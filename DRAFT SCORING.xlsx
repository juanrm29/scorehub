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juanrizkymaulana/Downloads/"/>
    </mc:Choice>
  </mc:AlternateContent>
  <xr:revisionPtr revIDLastSave="0" documentId="13_ncr:1_{41AE3AD9-6917-8241-A13F-9DD9FC32B3DD}" xr6:coauthVersionLast="47" xr6:coauthVersionMax="47" xr10:uidLastSave="{00000000-0000-0000-0000-000000000000}"/>
  <bookViews>
    <workbookView xWindow="0" yWindow="0" windowWidth="33600" windowHeight="21000" activeTab="3" xr2:uid="{00000000-000D-0000-FFFF-FFFF00000000}"/>
  </bookViews>
  <sheets>
    <sheet name="DATA MASTER" sheetId="3" r:id="rId1"/>
    <sheet name="NILAI" sheetId="1" r:id="rId2"/>
    <sheet name="NEW CUSTOMER" sheetId="2" r:id="rId3"/>
    <sheet name="REPEATED CUSTOMER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2" i="1"/>
  <c r="E11" i="1"/>
  <c r="E10" i="1"/>
  <c r="E20" i="1" l="1"/>
  <c r="E13" i="1"/>
</calcChain>
</file>

<file path=xl/sharedStrings.xml><?xml version="1.0" encoding="utf-8"?>
<sst xmlns="http://schemas.openxmlformats.org/spreadsheetml/2006/main" count="280" uniqueCount="225">
  <si>
    <t>COMMERCIAL POTENCIAL</t>
  </si>
  <si>
    <t>Estimasi Nilai Kerjasama (per vessel)</t>
  </si>
  <si>
    <t>&gt;Rp 3.000.000.000</t>
  </si>
  <si>
    <t>Rp 3.000.000.000
 Sd 
Rp2.000.000.000</t>
  </si>
  <si>
    <t>Rp 1.000.000.000  
sd 
Rp2.000.000.000</t>
  </si>
  <si>
    <t>Rp 500.000.000  
sd 
Rp1.000.000.000</t>
  </si>
  <si>
    <t>&lt;Rp500.000.000</t>
  </si>
  <si>
    <t>Fleet Size/Jumlah Armada (sesuai segmen market shipyard)</t>
  </si>
  <si>
    <t>&gt;20 Fleet</t>
  </si>
  <si>
    <t>15 sd 20 Fleet</t>
  </si>
  <si>
    <t>10 sd 15 fleet</t>
  </si>
  <si>
    <t>5 sd 10 fleet</t>
  </si>
  <si>
    <t>&lt; 5 Fleet</t>
  </si>
  <si>
    <t>Term of Payment (Estimated)</t>
  </si>
  <si>
    <t>DP 50% kapal diatas dock
FINAL 50% sebelum kapal keluar galangan</t>
  </si>
  <si>
    <t>DP 30% kapal diatas dock
DP 40 % (progress PPIC 70%)
FINAL 30 %sebelum kapal keluar galangan</t>
  </si>
  <si>
    <t>DP 0
FINAL 100 % sebelum kapal keluar galangan</t>
  </si>
  <si>
    <t>DP 30% kapal diatas dock
DP 40 % (progress PPIC 70%)
FINAL 30 % (30 hari setelah kapal keluar galangan)</t>
  </si>
  <si>
    <t>DP 50% kapal diatas dock
FINAL 50% (30 hari setelah  kapal keluar galangan)</t>
  </si>
  <si>
    <t xml:space="preserve">CREDIBILITY </t>
  </si>
  <si>
    <t>1,2,3,4,5</t>
  </si>
  <si>
    <t>1,2,4,5</t>
  </si>
  <si>
    <t>1,2,4</t>
  </si>
  <si>
    <t>2,4</t>
  </si>
  <si>
    <t>1,2,3</t>
  </si>
  <si>
    <t>1,2
2,3
1,3</t>
  </si>
  <si>
    <t>3</t>
  </si>
  <si>
    <t>Referensi Relasi</t>
  </si>
  <si>
    <t>CLARITY OF TECHNICAL INFORMATION</t>
  </si>
  <si>
    <t>1,3</t>
  </si>
  <si>
    <t>1/2</t>
  </si>
  <si>
    <t>Repair List</t>
  </si>
  <si>
    <t>Decision Speed</t>
  </si>
  <si>
    <t>3 sd 5 hari</t>
  </si>
  <si>
    <t>5 sd 7 hari</t>
  </si>
  <si>
    <t>7 sd 14hari</t>
  </si>
  <si>
    <t>&gt;14 hari</t>
  </si>
  <si>
    <t>BOBOT</t>
  </si>
  <si>
    <t>SKOR 1-5</t>
  </si>
  <si>
    <t>NILAI</t>
  </si>
  <si>
    <t>TOTAL SCORE</t>
  </si>
  <si>
    <t>REVENUE CONTRIBUTION</t>
  </si>
  <si>
    <t>Kontribusi dalam Omset</t>
  </si>
  <si>
    <t>Rerata Margin aktual setiap project</t>
  </si>
  <si>
    <t>PAYMENT BEHAVIOUR</t>
  </si>
  <si>
    <t>ketepatan pembayaran</t>
  </si>
  <si>
    <r>
      <t xml:space="preserve">jumlah dilakukannya pengubahan </t>
    </r>
    <r>
      <rPr>
        <b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invoice (dgn berbagai alasan yg memundurkan pembayaran)</t>
    </r>
  </si>
  <si>
    <t>OPERATIONAL BEHAVIOUR</t>
  </si>
  <si>
    <t>Jumlah rerata cancel order (baik project maupun Work Order)</t>
  </si>
  <si>
    <t>Kepatuhan Schedule kedatangan</t>
  </si>
  <si>
    <t>Konflik dengan QC dan HSSE</t>
  </si>
  <si>
    <t>Intervensi lapangan</t>
  </si>
  <si>
    <t>RELATIONSHIP QUALITY</t>
  </si>
  <si>
    <t>Komunikasi PIC</t>
  </si>
  <si>
    <t>Claim &amp; Blame Culture</t>
  </si>
  <si>
    <t xml:space="preserve">VALUE CUST </t>
  </si>
  <si>
    <t>Lama kerjasama</t>
  </si>
  <si>
    <t>jumlah vessel</t>
  </si>
  <si>
    <t>Memberikan referral kepada customer lain</t>
  </si>
  <si>
    <t>jumlah dilakukan penagihan, &gt;hari jatuh tempo</t>
  </si>
  <si>
    <t>&lt;2 hari</t>
  </si>
  <si>
    <t>NEW CUSTOMER</t>
  </si>
  <si>
    <t>DATA PERUSAHAAN</t>
  </si>
  <si>
    <t>DATA KAPAL</t>
  </si>
  <si>
    <t>DATA PROJECT</t>
  </si>
  <si>
    <t>DATA PEMBAYARAN</t>
  </si>
  <si>
    <t>Level Client</t>
  </si>
  <si>
    <t>No</t>
  </si>
  <si>
    <t>Perusahaan Client</t>
  </si>
  <si>
    <t>Contact Person</t>
  </si>
  <si>
    <t>Email</t>
  </si>
  <si>
    <t>Telp</t>
  </si>
  <si>
    <t>Alamat</t>
  </si>
  <si>
    <t>Status</t>
  </si>
  <si>
    <t>kelengkapan dokumen</t>
  </si>
  <si>
    <t>Jumlah Fleet</t>
  </si>
  <si>
    <t>Referensi</t>
  </si>
  <si>
    <t>Project Name</t>
  </si>
  <si>
    <t>Jenis Kapal</t>
  </si>
  <si>
    <t>Tehnical Documen</t>
  </si>
  <si>
    <t>Class</t>
  </si>
  <si>
    <t>Status Dockig</t>
  </si>
  <si>
    <t>Periode</t>
  </si>
  <si>
    <t>Approved Pekrjaan</t>
  </si>
  <si>
    <t>Plan arrival</t>
  </si>
  <si>
    <t>Arrival</t>
  </si>
  <si>
    <t>Naik      Dock</t>
  </si>
  <si>
    <t>Start</t>
  </si>
  <si>
    <t>Turun Dock</t>
  </si>
  <si>
    <t>Finish</t>
  </si>
  <si>
    <t>Durasi</t>
  </si>
  <si>
    <t>Nilai Project</t>
  </si>
  <si>
    <t>Invoice 1</t>
  </si>
  <si>
    <t>No Invoice 1</t>
  </si>
  <si>
    <t>Payment 1</t>
  </si>
  <si>
    <t>Invoice 2</t>
  </si>
  <si>
    <t>No Invoice 2</t>
  </si>
  <si>
    <t>Payment 2</t>
  </si>
  <si>
    <t>Invoice 3</t>
  </si>
  <si>
    <t>No Invoice 3</t>
  </si>
  <si>
    <t>Payment 3</t>
  </si>
  <si>
    <t>Plan</t>
  </si>
  <si>
    <t>Actual</t>
  </si>
  <si>
    <t>Diisi PT Client</t>
  </si>
  <si>
    <t>Nama Personil</t>
  </si>
  <si>
    <t>abc@mail.com</t>
  </si>
  <si>
    <t>08130000000</t>
  </si>
  <si>
    <t>Jakarta</t>
  </si>
  <si>
    <t>dokumen legalitas</t>
  </si>
  <si>
    <t>jumlah armada</t>
  </si>
  <si>
    <t>nama referensi</t>
  </si>
  <si>
    <t>nama kapal</t>
  </si>
  <si>
    <t>BG/TB/dsb</t>
  </si>
  <si>
    <t>Drawing, repair list, class</t>
  </si>
  <si>
    <t>bki/rina</t>
  </si>
  <si>
    <t>ada/tidak</t>
  </si>
  <si>
    <t>IS/SS/Emergency</t>
  </si>
  <si>
    <t>bulan, tahun</t>
  </si>
  <si>
    <t>Quotation</t>
  </si>
  <si>
    <t xml:space="preserve">schedule kesepakatan </t>
  </si>
  <si>
    <t xml:space="preserve">actual kedatangan </t>
  </si>
  <si>
    <t>tgl naik</t>
  </si>
  <si>
    <t>tgl start</t>
  </si>
  <si>
    <t>tgl turun</t>
  </si>
  <si>
    <t>tgl finish</t>
  </si>
  <si>
    <t>hari</t>
  </si>
  <si>
    <t>total nilai</t>
  </si>
  <si>
    <t>tgl, bulan</t>
  </si>
  <si>
    <t>deteksi no revisi</t>
  </si>
  <si>
    <t>berdasarkan penilaian level</t>
  </si>
  <si>
    <t>PO</t>
  </si>
  <si>
    <t>SPK</t>
  </si>
  <si>
    <t>Kontrak</t>
  </si>
  <si>
    <t>1. Ship part
2. Surat laut
3. Repair list</t>
  </si>
  <si>
    <t>Background Perusahaan (by media)
1. Website
2. Linked
3. Instagram</t>
  </si>
  <si>
    <t>Legal Perusahaan
1. Izin Usaha
2. NPWP
3. Assesment/CSMS
4. No rek Perusahaan
5. Kontrak kerjasama, SPK-PO</t>
  </si>
  <si>
    <t>PARAMETER UKUR</t>
  </si>
  <si>
    <t>SUMBER DATA</t>
  </si>
  <si>
    <t>&gt;15%</t>
  </si>
  <si>
    <t>15% sd 10%</t>
  </si>
  <si>
    <t>10% sd 5%</t>
  </si>
  <si>
    <t>5% sd 1%</t>
  </si>
  <si>
    <t>&lt;1%</t>
  </si>
  <si>
    <t>Total nilai invoice pertahun dibandingkan dengan revenue</t>
  </si>
  <si>
    <t>rekap invoice tahunan</t>
  </si>
  <si>
    <t>&gt;30%</t>
  </si>
  <si>
    <t>30% sd 25%</t>
  </si>
  <si>
    <t>25% sd 20%</t>
  </si>
  <si>
    <t>20% sd 15%</t>
  </si>
  <si>
    <t>&lt;15%</t>
  </si>
  <si>
    <t>(revenue-actual cost) : revenue</t>
  </si>
  <si>
    <t>Costing report</t>
  </si>
  <si>
    <t>0 day</t>
  </si>
  <si>
    <r>
      <t>&lt;</t>
    </r>
    <r>
      <rPr>
        <b/>
        <sz val="8"/>
        <color rgb="FF000000"/>
        <rFont val="Arial"/>
        <family val="2"/>
      </rPr>
      <t xml:space="preserve"> 7day</t>
    </r>
  </si>
  <si>
    <r>
      <t>&lt;</t>
    </r>
    <r>
      <rPr>
        <b/>
        <sz val="8"/>
        <color rgb="FF000000"/>
        <rFont val="Arial"/>
        <family val="2"/>
      </rPr>
      <t xml:space="preserve"> 14day</t>
    </r>
  </si>
  <si>
    <r>
      <t>&lt;</t>
    </r>
    <r>
      <rPr>
        <b/>
        <sz val="8"/>
        <color rgb="FF000000"/>
        <rFont val="Arial"/>
        <family val="2"/>
      </rPr>
      <t xml:space="preserve"> 21day</t>
    </r>
  </si>
  <si>
    <t>&gt;21day</t>
  </si>
  <si>
    <t>Selisih antara tanggal jatuh tempo &amp; tanggal pembayaran</t>
  </si>
  <si>
    <t>tidak pernah</t>
  </si>
  <si>
    <t>jarang</t>
  </si>
  <si>
    <t>kadang</t>
  </si>
  <si>
    <t>sering</t>
  </si>
  <si>
    <t>selalu</t>
  </si>
  <si>
    <t>jumlah permintaan revisi invoice by customer</t>
  </si>
  <si>
    <t>1 kali</t>
  </si>
  <si>
    <t>2 kali</t>
  </si>
  <si>
    <t>3 kali</t>
  </si>
  <si>
    <t>4 kali</t>
  </si>
  <si>
    <t>&gt;4kali</t>
  </si>
  <si>
    <t>frekuensi follow up &gt; jatuh tempo</t>
  </si>
  <si>
    <t>&gt;4</t>
  </si>
  <si>
    <t>jumlah cancel WO dalam 1 tahun, rasio</t>
  </si>
  <si>
    <t>data cancel WO</t>
  </si>
  <si>
    <t>&gt;3 hari sebelum</t>
  </si>
  <si>
    <r>
      <rPr>
        <b/>
        <u/>
        <sz val="8"/>
        <color theme="1"/>
        <rFont val="Arial"/>
        <family val="2"/>
      </rPr>
      <t>&lt;</t>
    </r>
    <r>
      <rPr>
        <b/>
        <sz val="8"/>
        <color theme="1"/>
        <rFont val="Arial"/>
        <family val="2"/>
      </rPr>
      <t>3 hari sebelum</t>
    </r>
  </si>
  <si>
    <t>sesuai schedule</t>
  </si>
  <si>
    <r>
      <rPr>
        <b/>
        <u/>
        <sz val="8"/>
        <color theme="1"/>
        <rFont val="Arial"/>
        <family val="2"/>
      </rPr>
      <t xml:space="preserve">&lt; </t>
    </r>
    <r>
      <rPr>
        <b/>
        <sz val="8"/>
        <color theme="1"/>
        <rFont val="Arial"/>
        <family val="2"/>
      </rPr>
      <t>3hari sesudah</t>
    </r>
  </si>
  <si>
    <t>&gt;3 sesudah</t>
  </si>
  <si>
    <t>selisih hari dari schedule</t>
  </si>
  <si>
    <t>&gt;3</t>
  </si>
  <si>
    <t>jumlah pelanggaran prosedur, konflik standar QC</t>
  </si>
  <si>
    <t>Anomaly report, Berita Acara</t>
  </si>
  <si>
    <t>instruksi langsung ke pekerja tanpa WO, keluar dari WO</t>
  </si>
  <si>
    <t>laporan supervisor vs additional work, NCR perihal pekerjaan diluar WO atas permintaan Client</t>
  </si>
  <si>
    <t>SB</t>
  </si>
  <si>
    <t>B</t>
  </si>
  <si>
    <t>C</t>
  </si>
  <si>
    <t>K</t>
  </si>
  <si>
    <t>KS</t>
  </si>
  <si>
    <t>feed back informasi, kejelasan komunikasi, profesional</t>
  </si>
  <si>
    <t>Form audience PIC, tim project (marketing, Produksi)</t>
  </si>
  <si>
    <t>jumlah claim tidak berdasar, sikap menyalahkan tanpa data</t>
  </si>
  <si>
    <t>log komplain, MOM meeting</t>
  </si>
  <si>
    <t>&lt;1</t>
  </si>
  <si>
    <t>waktu lamanya kerjasama/menjadai customer galangan</t>
  </si>
  <si>
    <t>total kapal yang dikelola customer</t>
  </si>
  <si>
    <t>hasil interview dgn customer baru</t>
  </si>
  <si>
    <t>PARAMETER</t>
  </si>
  <si>
    <t>estimasi nilai docking, nilai tahunan</t>
  </si>
  <si>
    <t>repair list, standar penawaran</t>
  </si>
  <si>
    <t>jumlah kapal customer</t>
  </si>
  <si>
    <t>permintaan skema payment</t>
  </si>
  <si>
    <t>draft kesepakatan, hasil negoisasi, penawaran final</t>
  </si>
  <si>
    <t>dokumen dilampirkan, AHU,  rekap, form penerimaan customer</t>
  </si>
  <si>
    <t>gambaran media aktif, reputasi, riwayat pailit, berita negatif</t>
  </si>
  <si>
    <t>Quotation approval</t>
  </si>
  <si>
    <t xml:space="preserve">database Master </t>
  </si>
  <si>
    <t>interview menjadi penilaian Clinet existing</t>
  </si>
  <si>
    <t>REPEATED CUSTOMER</t>
  </si>
  <si>
    <t>data master</t>
  </si>
  <si>
    <t>data master (kedatangan kapal)</t>
  </si>
  <si>
    <t>data master ,log penagihan</t>
  </si>
  <si>
    <t>data master, log data invoice/revisi</t>
  </si>
  <si>
    <t>data master (pembayaran)</t>
  </si>
  <si>
    <t>tgl feed back</t>
  </si>
  <si>
    <t>LEVEL CLIENT</t>
  </si>
  <si>
    <r>
      <t>&gt;</t>
    </r>
    <r>
      <rPr>
        <sz val="12"/>
        <color rgb="FF000000"/>
        <rFont val="Arial"/>
        <family val="2"/>
      </rPr>
      <t>4</t>
    </r>
  </si>
  <si>
    <t>STRATEGIC</t>
  </si>
  <si>
    <r>
      <t>&gt;</t>
    </r>
    <r>
      <rPr>
        <sz val="12"/>
        <color theme="1"/>
        <rFont val="Arial"/>
        <family val="2"/>
      </rPr>
      <t>3</t>
    </r>
  </si>
  <si>
    <t>PREFERRED</t>
  </si>
  <si>
    <r>
      <t>&gt;</t>
    </r>
    <r>
      <rPr>
        <sz val="12"/>
        <color rgb="FF000000"/>
        <rFont val="Arial"/>
        <family val="2"/>
      </rPr>
      <t>2</t>
    </r>
  </si>
  <si>
    <t>REGULAR</t>
  </si>
  <si>
    <t>&lt;2</t>
  </si>
  <si>
    <t>HIGH RISK</t>
  </si>
  <si>
    <t>Survey kepuasan pelanggan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</si>
</sst>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u/>
      <sz val="8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Arial"/>
      <family val="2"/>
    </font>
    <font>
      <b/>
      <sz val="9"/>
      <color theme="0"/>
      <name val="Arial"/>
      <family val="2"/>
    </font>
    <font>
      <b/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 "/>
    </font>
    <font>
      <sz val="9"/>
      <color theme="1"/>
      <name val="Calibri "/>
    </font>
    <font>
      <i/>
      <sz val="9"/>
      <color rgb="FFFF0000"/>
      <name val="Calibri "/>
    </font>
    <font>
      <sz val="9"/>
      <color rgb="FFFF0000"/>
      <name val="Calibri "/>
    </font>
    <font>
      <sz val="5"/>
      <color theme="1"/>
      <name val="Calibri "/>
    </font>
    <font>
      <sz val="5"/>
      <color rgb="FFFF0000"/>
      <name val="Calibri "/>
    </font>
    <font>
      <sz val="8"/>
      <color theme="1"/>
      <name val="Calibri"/>
      <family val="2"/>
      <scheme val="minor"/>
    </font>
    <font>
      <b/>
      <u/>
      <sz val="8"/>
      <color rgb="FF000000"/>
      <name val="Arial"/>
      <family val="2"/>
    </font>
    <font>
      <i/>
      <sz val="11"/>
      <color theme="1"/>
      <name val="Arial"/>
      <family val="2"/>
    </font>
    <font>
      <b/>
      <i/>
      <sz val="9"/>
      <color theme="0"/>
      <name val="Arial"/>
      <family val="2"/>
    </font>
    <font>
      <i/>
      <sz val="8"/>
      <color theme="1"/>
      <name val="Arial"/>
      <family val="2"/>
    </font>
    <font>
      <sz val="9"/>
      <color theme="0"/>
      <name val="Calibri"/>
      <family val="2"/>
      <scheme val="minor"/>
    </font>
    <font>
      <sz val="8"/>
      <color rgb="FFFF0000"/>
      <name val="Calibri "/>
    </font>
    <font>
      <u/>
      <sz val="8"/>
      <color rgb="FFFF0000"/>
      <name val="Calibri "/>
    </font>
    <font>
      <sz val="8"/>
      <color theme="1"/>
      <name val="Calibri "/>
    </font>
    <font>
      <sz val="12"/>
      <color rgb="FFFFFFFF"/>
      <name val="Arial"/>
      <family val="2"/>
    </font>
    <font>
      <u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u/>
      <sz val="12"/>
      <color theme="1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9" fillId="4" borderId="1" xfId="0" applyFont="1" applyFill="1" applyBorder="1" applyAlignment="1">
      <alignment vertical="center"/>
    </xf>
    <xf numFmtId="0" fontId="7" fillId="0" borderId="0" xfId="0" applyFont="1"/>
    <xf numFmtId="0" fontId="9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2" fillId="0" borderId="0" xfId="0" applyFont="1"/>
    <xf numFmtId="0" fontId="15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4" fillId="0" borderId="14" xfId="0" applyFont="1" applyBorder="1" applyAlignment="1">
      <alignment horizontal="center" vertical="top" wrapText="1"/>
    </xf>
    <xf numFmtId="0" fontId="14" fillId="0" borderId="14" xfId="0" applyFont="1" applyBorder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vertical="top" wrapText="1"/>
    </xf>
    <xf numFmtId="0" fontId="13" fillId="0" borderId="0" xfId="0" applyFont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14" fontId="16" fillId="0" borderId="0" xfId="0" applyNumberFormat="1" applyFont="1" applyAlignment="1">
      <alignment vertical="center" wrapText="1"/>
    </xf>
    <xf numFmtId="14" fontId="18" fillId="0" borderId="0" xfId="0" applyNumberFormat="1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9" fillId="0" borderId="0" xfId="0" applyFont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2" fillId="6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9" fontId="9" fillId="6" borderId="0" xfId="0" applyNumberFormat="1" applyFont="1" applyFill="1" applyAlignment="1">
      <alignment horizontal="center" vertical="center" wrapText="1"/>
    </xf>
    <xf numFmtId="0" fontId="24" fillId="0" borderId="0" xfId="0" applyFont="1" applyAlignment="1">
      <alignment vertical="center"/>
    </xf>
    <xf numFmtId="2" fontId="9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9" fontId="9" fillId="6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5" fillId="6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25" fillId="0" borderId="0" xfId="0" applyFont="1" applyAlignment="1">
      <alignment vertical="top" wrapText="1"/>
    </xf>
    <xf numFmtId="0" fontId="26" fillId="0" borderId="0" xfId="1" applyFont="1" applyBorder="1" applyAlignment="1">
      <alignment vertical="top" wrapText="1"/>
    </xf>
    <xf numFmtId="49" fontId="25" fillId="0" borderId="0" xfId="0" applyNumberFormat="1" applyFont="1" applyAlignment="1">
      <alignment vertical="top" wrapText="1"/>
    </xf>
    <xf numFmtId="14" fontId="25" fillId="0" borderId="0" xfId="0" applyNumberFormat="1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7" fillId="0" borderId="0" xfId="0" applyFont="1" applyAlignment="1">
      <alignment vertical="top"/>
    </xf>
    <xf numFmtId="0" fontId="28" fillId="2" borderId="18" xfId="0" applyFont="1" applyFill="1" applyBorder="1" applyAlignment="1">
      <alignment horizontal="center" vertical="center" wrapText="1"/>
    </xf>
    <xf numFmtId="0" fontId="28" fillId="2" borderId="19" xfId="0" applyFont="1" applyFill="1" applyBorder="1" applyAlignment="1">
      <alignment horizontal="center" vertical="center" wrapText="1"/>
    </xf>
    <xf numFmtId="0" fontId="29" fillId="3" borderId="20" xfId="0" applyFont="1" applyFill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4" fillId="0" borderId="13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5BD7-5B84-4585-8748-F2FAC46B236E}">
  <dimension ref="A1:AQ8"/>
  <sheetViews>
    <sheetView topLeftCell="I1" zoomScale="125" zoomScaleNormal="80" workbookViewId="0">
      <selection activeCell="G5" sqref="G5"/>
    </sheetView>
  </sheetViews>
  <sheetFormatPr baseColWidth="10" defaultColWidth="8.83203125" defaultRowHeight="15"/>
  <cols>
    <col min="1" max="1" width="3.6640625" customWidth="1"/>
    <col min="2" max="2" width="12.33203125" customWidth="1"/>
    <col min="7" max="7" width="7.1640625" customWidth="1"/>
    <col min="8" max="8" width="11.83203125" customWidth="1"/>
    <col min="13" max="13" width="10.6640625" customWidth="1"/>
    <col min="18" max="18" width="10.83203125" customWidth="1"/>
    <col min="40" max="40" width="15.83203125" customWidth="1"/>
  </cols>
  <sheetData>
    <row r="1" spans="1:43" s="14" customFormat="1" ht="19" customHeight="1">
      <c r="A1" s="83" t="s">
        <v>62</v>
      </c>
      <c r="B1" s="84"/>
      <c r="C1" s="84"/>
      <c r="D1" s="84"/>
      <c r="E1" s="84"/>
      <c r="F1" s="84"/>
      <c r="G1" s="84"/>
      <c r="H1" s="84"/>
      <c r="I1" s="84"/>
      <c r="J1" s="85"/>
      <c r="K1" s="86" t="s">
        <v>63</v>
      </c>
      <c r="L1" s="84"/>
      <c r="M1" s="84"/>
      <c r="N1" s="84"/>
      <c r="O1" s="84"/>
      <c r="P1" s="84"/>
      <c r="Q1" s="84"/>
      <c r="R1" s="85"/>
      <c r="S1" s="86" t="s">
        <v>64</v>
      </c>
      <c r="T1" s="84"/>
      <c r="U1" s="84"/>
      <c r="V1" s="84"/>
      <c r="W1" s="84"/>
      <c r="X1" s="84"/>
      <c r="Y1" s="84"/>
      <c r="Z1" s="84"/>
      <c r="AA1" s="85"/>
      <c r="AB1" s="86" t="s">
        <v>65</v>
      </c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5"/>
      <c r="AN1" s="87" t="s">
        <v>224</v>
      </c>
      <c r="AO1" s="90" t="s">
        <v>66</v>
      </c>
    </row>
    <row r="2" spans="1:43" s="16" customFormat="1" ht="13.5" customHeight="1">
      <c r="A2" s="93" t="s">
        <v>67</v>
      </c>
      <c r="B2" s="81" t="s">
        <v>68</v>
      </c>
      <c r="C2" s="81" t="s">
        <v>69</v>
      </c>
      <c r="D2" s="81" t="s">
        <v>70</v>
      </c>
      <c r="E2" s="81" t="s">
        <v>71</v>
      </c>
      <c r="F2" s="81" t="s">
        <v>72</v>
      </c>
      <c r="G2" s="81" t="s">
        <v>73</v>
      </c>
      <c r="H2" s="81" t="s">
        <v>74</v>
      </c>
      <c r="I2" s="81" t="s">
        <v>75</v>
      </c>
      <c r="J2" s="81" t="s">
        <v>76</v>
      </c>
      <c r="K2" s="81" t="s">
        <v>77</v>
      </c>
      <c r="L2" s="81" t="s">
        <v>78</v>
      </c>
      <c r="M2" s="81" t="s">
        <v>79</v>
      </c>
      <c r="N2" s="81" t="s">
        <v>80</v>
      </c>
      <c r="O2" s="81" t="s">
        <v>31</v>
      </c>
      <c r="P2" s="81" t="s">
        <v>81</v>
      </c>
      <c r="Q2" s="81" t="s">
        <v>82</v>
      </c>
      <c r="R2" s="81" t="s">
        <v>83</v>
      </c>
      <c r="S2" s="81" t="s">
        <v>84</v>
      </c>
      <c r="T2" s="81" t="s">
        <v>85</v>
      </c>
      <c r="U2" s="81" t="s">
        <v>86</v>
      </c>
      <c r="V2" s="81" t="s">
        <v>87</v>
      </c>
      <c r="W2" s="81" t="s">
        <v>88</v>
      </c>
      <c r="X2" s="81" t="s">
        <v>89</v>
      </c>
      <c r="Y2" s="79" t="s">
        <v>90</v>
      </c>
      <c r="Z2" s="80"/>
      <c r="AA2" s="81" t="s">
        <v>91</v>
      </c>
      <c r="AB2" s="81" t="s">
        <v>92</v>
      </c>
      <c r="AC2" s="81" t="s">
        <v>93</v>
      </c>
      <c r="AD2" s="79" t="s">
        <v>94</v>
      </c>
      <c r="AE2" s="80"/>
      <c r="AF2" s="81" t="s">
        <v>95</v>
      </c>
      <c r="AG2" s="81" t="s">
        <v>96</v>
      </c>
      <c r="AH2" s="79" t="s">
        <v>97</v>
      </c>
      <c r="AI2" s="80"/>
      <c r="AJ2" s="81" t="s">
        <v>98</v>
      </c>
      <c r="AK2" s="81" t="s">
        <v>99</v>
      </c>
      <c r="AL2" s="79" t="s">
        <v>100</v>
      </c>
      <c r="AM2" s="80"/>
      <c r="AN2" s="88"/>
      <c r="AO2" s="91"/>
      <c r="AP2" s="15"/>
      <c r="AQ2" s="15"/>
    </row>
    <row r="3" spans="1:43" s="16" customFormat="1" ht="26" customHeight="1" thickBot="1">
      <c r="A3" s="94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17" t="s">
        <v>101</v>
      </c>
      <c r="Z3" s="17" t="s">
        <v>102</v>
      </c>
      <c r="AA3" s="82"/>
      <c r="AB3" s="82"/>
      <c r="AC3" s="82"/>
      <c r="AD3" s="17" t="s">
        <v>101</v>
      </c>
      <c r="AE3" s="18" t="s">
        <v>102</v>
      </c>
      <c r="AF3" s="82"/>
      <c r="AG3" s="82"/>
      <c r="AH3" s="17" t="s">
        <v>101</v>
      </c>
      <c r="AI3" s="18" t="s">
        <v>102</v>
      </c>
      <c r="AJ3" s="82"/>
      <c r="AK3" s="82"/>
      <c r="AL3" s="17" t="s">
        <v>101</v>
      </c>
      <c r="AM3" s="18" t="s">
        <v>102</v>
      </c>
      <c r="AN3" s="89"/>
      <c r="AO3" s="92"/>
      <c r="AP3" s="15"/>
      <c r="AQ3" s="15"/>
    </row>
    <row r="4" spans="1:43" s="16" customFormat="1" ht="6.5" customHeight="1" thickTop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/>
      <c r="AF4" s="19"/>
      <c r="AG4" s="19"/>
      <c r="AH4" s="19"/>
      <c r="AI4" s="20"/>
      <c r="AJ4" s="19"/>
      <c r="AK4" s="19"/>
      <c r="AL4" s="19"/>
      <c r="AM4" s="20"/>
      <c r="AN4" s="21"/>
      <c r="AO4" s="21"/>
      <c r="AP4" s="15"/>
      <c r="AQ4" s="15"/>
    </row>
    <row r="5" spans="1:43" s="68" customFormat="1" ht="29.5" customHeight="1">
      <c r="A5" s="63">
        <v>1</v>
      </c>
      <c r="B5" s="63" t="s">
        <v>103</v>
      </c>
      <c r="C5" s="63" t="s">
        <v>104</v>
      </c>
      <c r="D5" s="64" t="s">
        <v>105</v>
      </c>
      <c r="E5" s="65" t="s">
        <v>106</v>
      </c>
      <c r="F5" s="63" t="s">
        <v>107</v>
      </c>
      <c r="G5" s="98" t="s">
        <v>133</v>
      </c>
      <c r="H5" s="63" t="s">
        <v>108</v>
      </c>
      <c r="I5" s="63" t="s">
        <v>109</v>
      </c>
      <c r="J5" s="63" t="s">
        <v>110</v>
      </c>
      <c r="K5" s="63" t="s">
        <v>111</v>
      </c>
      <c r="L5" s="63" t="s">
        <v>112</v>
      </c>
      <c r="M5" s="63" t="s">
        <v>113</v>
      </c>
      <c r="N5" s="63" t="s">
        <v>114</v>
      </c>
      <c r="O5" s="63" t="s">
        <v>115</v>
      </c>
      <c r="P5" s="63" t="s">
        <v>116</v>
      </c>
      <c r="Q5" s="63" t="s">
        <v>117</v>
      </c>
      <c r="R5" s="66" t="s">
        <v>118</v>
      </c>
      <c r="S5" s="66" t="s">
        <v>119</v>
      </c>
      <c r="T5" s="66" t="s">
        <v>120</v>
      </c>
      <c r="U5" s="66" t="s">
        <v>121</v>
      </c>
      <c r="V5" s="63" t="s">
        <v>122</v>
      </c>
      <c r="W5" s="63" t="s">
        <v>123</v>
      </c>
      <c r="X5" s="63" t="s">
        <v>124</v>
      </c>
      <c r="Y5" s="63" t="s">
        <v>125</v>
      </c>
      <c r="Z5" s="63" t="s">
        <v>125</v>
      </c>
      <c r="AA5" s="63" t="s">
        <v>126</v>
      </c>
      <c r="AB5" s="63" t="s">
        <v>127</v>
      </c>
      <c r="AC5" s="63" t="s">
        <v>128</v>
      </c>
      <c r="AD5" s="63" t="s">
        <v>127</v>
      </c>
      <c r="AE5" s="63" t="s">
        <v>127</v>
      </c>
      <c r="AF5" s="63" t="s">
        <v>127</v>
      </c>
      <c r="AG5" s="63" t="s">
        <v>128</v>
      </c>
      <c r="AH5" s="63" t="s">
        <v>127</v>
      </c>
      <c r="AI5" s="63" t="s">
        <v>127</v>
      </c>
      <c r="AJ5" s="63" t="s">
        <v>127</v>
      </c>
      <c r="AK5" s="63" t="s">
        <v>128</v>
      </c>
      <c r="AL5" s="63" t="s">
        <v>127</v>
      </c>
      <c r="AM5" s="63" t="s">
        <v>127</v>
      </c>
      <c r="AN5" s="63" t="s">
        <v>214</v>
      </c>
      <c r="AO5" s="63" t="s">
        <v>129</v>
      </c>
      <c r="AP5" s="67"/>
      <c r="AQ5" s="67"/>
    </row>
    <row r="6" spans="1:43" s="22" customFormat="1" ht="14.5" customHeight="1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4" t="s">
        <v>130</v>
      </c>
      <c r="S6" s="25"/>
      <c r="T6" s="25"/>
      <c r="U6" s="25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</row>
    <row r="7" spans="1:43" s="22" customFormat="1" ht="14.5" customHeight="1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4" t="s">
        <v>131</v>
      </c>
      <c r="S7" s="25"/>
      <c r="T7" s="25"/>
      <c r="U7" s="25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</row>
    <row r="8" spans="1:43" s="22" customFormat="1" ht="14.5" customHeight="1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4" t="s">
        <v>132</v>
      </c>
      <c r="S8" s="25"/>
      <c r="T8" s="25"/>
      <c r="U8" s="25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</row>
  </sheetData>
  <mergeCells count="41">
    <mergeCell ref="AO1:AO3"/>
    <mergeCell ref="A2:A3"/>
    <mergeCell ref="B2:B3"/>
    <mergeCell ref="C2:C3"/>
    <mergeCell ref="D2:D3"/>
    <mergeCell ref="A1:J1"/>
    <mergeCell ref="K1:R1"/>
    <mergeCell ref="S1:AA1"/>
    <mergeCell ref="AB1:AM1"/>
    <mergeCell ref="AN1:AN3"/>
    <mergeCell ref="P2:P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AC2:AC3"/>
    <mergeCell ref="Q2:Q3"/>
    <mergeCell ref="R2:R3"/>
    <mergeCell ref="S2:S3"/>
    <mergeCell ref="T2:T3"/>
    <mergeCell ref="U2:U3"/>
    <mergeCell ref="V2:V3"/>
    <mergeCell ref="W2:W3"/>
    <mergeCell ref="X2:X3"/>
    <mergeCell ref="Y2:Z2"/>
    <mergeCell ref="AA2:AA3"/>
    <mergeCell ref="AB2:AB3"/>
    <mergeCell ref="AL2:AM2"/>
    <mergeCell ref="AD2:AE2"/>
    <mergeCell ref="AF2:AF3"/>
    <mergeCell ref="AG2:AG3"/>
    <mergeCell ref="AH2:AI2"/>
    <mergeCell ref="AJ2:AJ3"/>
    <mergeCell ref="AK2:AK3"/>
  </mergeCells>
  <hyperlinks>
    <hyperlink ref="D5" r:id="rId1" display="mailto:abc@mail.com" xr:uid="{C3A98971-765D-4848-BBB8-32BED32FB4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opLeftCell="A2" zoomScaleNormal="90" workbookViewId="0">
      <selection activeCell="H17" sqref="H17"/>
    </sheetView>
  </sheetViews>
  <sheetFormatPr baseColWidth="10" defaultColWidth="8.83203125" defaultRowHeight="15"/>
  <cols>
    <col min="1" max="1" width="10.1640625" style="3" customWidth="1"/>
    <col min="2" max="2" width="29.6640625" style="7" customWidth="1"/>
    <col min="3" max="5" width="8.6640625" style="27"/>
  </cols>
  <sheetData>
    <row r="1" spans="1:5" ht="16" thickBot="1"/>
    <row r="2" spans="1:5" ht="31" customHeight="1" thickBot="1">
      <c r="A2" s="69" t="s">
        <v>40</v>
      </c>
      <c r="B2" s="70" t="s">
        <v>215</v>
      </c>
    </row>
    <row r="3" spans="1:5" ht="18" thickBot="1">
      <c r="A3" s="71" t="s">
        <v>216</v>
      </c>
      <c r="B3" s="72" t="s">
        <v>217</v>
      </c>
    </row>
    <row r="4" spans="1:5" ht="18" thickBot="1">
      <c r="A4" s="73" t="s">
        <v>218</v>
      </c>
      <c r="B4" s="74" t="s">
        <v>219</v>
      </c>
    </row>
    <row r="5" spans="1:5" ht="18" thickBot="1">
      <c r="A5" s="71" t="s">
        <v>220</v>
      </c>
      <c r="B5" s="72" t="s">
        <v>221</v>
      </c>
    </row>
    <row r="6" spans="1:5" ht="18" thickBot="1">
      <c r="A6" s="75" t="s">
        <v>222</v>
      </c>
      <c r="B6" s="74" t="s">
        <v>223</v>
      </c>
    </row>
    <row r="9" spans="1:5">
      <c r="C9" s="76" t="s">
        <v>37</v>
      </c>
      <c r="D9" s="76" t="s">
        <v>38</v>
      </c>
      <c r="E9" s="76" t="s">
        <v>39</v>
      </c>
    </row>
    <row r="10" spans="1:5">
      <c r="A10" s="3">
        <v>1</v>
      </c>
      <c r="B10" s="6" t="s">
        <v>0</v>
      </c>
      <c r="C10" s="77">
        <v>50</v>
      </c>
      <c r="D10" s="77">
        <v>5</v>
      </c>
      <c r="E10" s="77">
        <f>(C10*D10)/100</f>
        <v>2.5</v>
      </c>
    </row>
    <row r="11" spans="1:5">
      <c r="A11" s="3">
        <v>2</v>
      </c>
      <c r="B11" s="6" t="s">
        <v>19</v>
      </c>
      <c r="C11" s="77">
        <v>30</v>
      </c>
      <c r="D11" s="77">
        <v>5</v>
      </c>
      <c r="E11" s="77">
        <f t="shared" ref="E11:E12" si="0">(C11*D11)/100</f>
        <v>1.5</v>
      </c>
    </row>
    <row r="12" spans="1:5" ht="26">
      <c r="A12" s="3">
        <v>3</v>
      </c>
      <c r="B12" s="9" t="s">
        <v>28</v>
      </c>
      <c r="C12" s="77">
        <v>20</v>
      </c>
      <c r="D12" s="77">
        <v>5</v>
      </c>
      <c r="E12" s="77">
        <f t="shared" si="0"/>
        <v>1</v>
      </c>
    </row>
    <row r="13" spans="1:5">
      <c r="C13" s="78"/>
      <c r="D13" s="78"/>
      <c r="E13" s="77">
        <f>SUM(E10:E12)</f>
        <v>5</v>
      </c>
    </row>
    <row r="14" spans="1:5">
      <c r="C14" s="78"/>
      <c r="D14" s="78"/>
      <c r="E14" s="78"/>
    </row>
    <row r="15" spans="1:5">
      <c r="A15" s="3">
        <v>1</v>
      </c>
      <c r="B15" s="8" t="s">
        <v>41</v>
      </c>
      <c r="C15" s="77">
        <v>30</v>
      </c>
      <c r="D15" s="77">
        <v>5</v>
      </c>
      <c r="E15" s="77">
        <f t="shared" ref="E15:E19" si="1">(C15*D15)/100</f>
        <v>1.5</v>
      </c>
    </row>
    <row r="16" spans="1:5">
      <c r="A16" s="3">
        <v>2</v>
      </c>
      <c r="B16" s="8" t="s">
        <v>44</v>
      </c>
      <c r="C16" s="77">
        <v>30</v>
      </c>
      <c r="D16" s="77">
        <v>5</v>
      </c>
      <c r="E16" s="77">
        <f t="shared" si="1"/>
        <v>1.5</v>
      </c>
    </row>
    <row r="17" spans="1:5">
      <c r="A17" s="3">
        <v>3</v>
      </c>
      <c r="B17" s="8" t="s">
        <v>47</v>
      </c>
      <c r="C17" s="77">
        <v>15</v>
      </c>
      <c r="D17" s="77">
        <v>5</v>
      </c>
      <c r="E17" s="77">
        <f t="shared" si="1"/>
        <v>0.75</v>
      </c>
    </row>
    <row r="18" spans="1:5">
      <c r="A18" s="3">
        <v>4</v>
      </c>
      <c r="B18" s="8" t="s">
        <v>52</v>
      </c>
      <c r="C18" s="77">
        <v>15</v>
      </c>
      <c r="D18" s="77">
        <v>5</v>
      </c>
      <c r="E18" s="77">
        <f t="shared" si="1"/>
        <v>0.75</v>
      </c>
    </row>
    <row r="19" spans="1:5">
      <c r="A19" s="3">
        <v>5</v>
      </c>
      <c r="B19" s="8" t="s">
        <v>55</v>
      </c>
      <c r="C19" s="77">
        <v>10</v>
      </c>
      <c r="D19" s="77">
        <v>5</v>
      </c>
      <c r="E19" s="77">
        <f t="shared" si="1"/>
        <v>0.5</v>
      </c>
    </row>
    <row r="20" spans="1:5">
      <c r="C20" s="78"/>
      <c r="D20" s="78"/>
      <c r="E20" s="77">
        <f>SUM(E15:E19)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FF4C-02FC-49C1-AC47-08F953703A37}">
  <dimension ref="A1:J12"/>
  <sheetViews>
    <sheetView zoomScale="12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1" sqref="B11"/>
    </sheetView>
  </sheetViews>
  <sheetFormatPr baseColWidth="10" defaultColWidth="8.83203125" defaultRowHeight="15"/>
  <cols>
    <col min="1" max="1" width="4.6640625" style="27" customWidth="1"/>
    <col min="2" max="2" width="32.5" style="11" customWidth="1"/>
    <col min="3" max="7" width="22.33203125" style="29" customWidth="1"/>
    <col min="8" max="8" width="9.5" style="29" customWidth="1"/>
    <col min="9" max="10" width="28.33203125" style="38" customWidth="1"/>
  </cols>
  <sheetData>
    <row r="1" spans="1:10" ht="29" customHeight="1">
      <c r="B1" s="61" t="s">
        <v>61</v>
      </c>
    </row>
    <row r="2" spans="1:10">
      <c r="B2" s="13" t="s">
        <v>0</v>
      </c>
      <c r="C2" s="30">
        <v>5</v>
      </c>
      <c r="D2" s="30">
        <v>4</v>
      </c>
      <c r="E2" s="30">
        <v>3</v>
      </c>
      <c r="F2" s="30">
        <v>2</v>
      </c>
      <c r="G2" s="30">
        <v>1</v>
      </c>
      <c r="H2" s="42">
        <v>1</v>
      </c>
      <c r="I2" s="39" t="s">
        <v>197</v>
      </c>
      <c r="J2" s="39" t="s">
        <v>137</v>
      </c>
    </row>
    <row r="3" spans="1:10" ht="39">
      <c r="A3" s="27">
        <v>1</v>
      </c>
      <c r="B3" s="10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>
        <v>40</v>
      </c>
      <c r="I3" s="40" t="s">
        <v>198</v>
      </c>
      <c r="J3" s="40" t="s">
        <v>199</v>
      </c>
    </row>
    <row r="4" spans="1:10" ht="26">
      <c r="A4" s="27">
        <v>2</v>
      </c>
      <c r="B4" s="10" t="s">
        <v>7</v>
      </c>
      <c r="C4" s="26" t="s">
        <v>8</v>
      </c>
      <c r="D4" s="26" t="s">
        <v>9</v>
      </c>
      <c r="E4" s="26" t="s">
        <v>10</v>
      </c>
      <c r="F4" s="26" t="s">
        <v>11</v>
      </c>
      <c r="G4" s="26" t="s">
        <v>12</v>
      </c>
      <c r="H4" s="26">
        <v>20</v>
      </c>
      <c r="I4" s="40" t="s">
        <v>200</v>
      </c>
      <c r="J4" s="40" t="s">
        <v>206</v>
      </c>
    </row>
    <row r="5" spans="1:10" s="28" customFormat="1" ht="65">
      <c r="A5" s="27">
        <v>3</v>
      </c>
      <c r="B5" s="10" t="s">
        <v>13</v>
      </c>
      <c r="C5" s="26" t="s">
        <v>14</v>
      </c>
      <c r="D5" s="26" t="s">
        <v>15</v>
      </c>
      <c r="E5" s="26" t="s">
        <v>16</v>
      </c>
      <c r="F5" s="26" t="s">
        <v>17</v>
      </c>
      <c r="G5" s="26" t="s">
        <v>18</v>
      </c>
      <c r="H5" s="26">
        <v>40</v>
      </c>
      <c r="I5" s="40" t="s">
        <v>201</v>
      </c>
      <c r="J5" s="40" t="s">
        <v>202</v>
      </c>
    </row>
    <row r="6" spans="1:10">
      <c r="B6" s="12" t="s">
        <v>19</v>
      </c>
      <c r="C6" s="30">
        <v>5</v>
      </c>
      <c r="D6" s="30">
        <v>4</v>
      </c>
      <c r="E6" s="30">
        <v>3</v>
      </c>
      <c r="F6" s="30">
        <v>2</v>
      </c>
      <c r="G6" s="30">
        <v>1</v>
      </c>
      <c r="H6" s="42">
        <v>1</v>
      </c>
      <c r="I6" s="39" t="s">
        <v>197</v>
      </c>
      <c r="J6" s="39" t="s">
        <v>137</v>
      </c>
    </row>
    <row r="7" spans="1:10" s="28" customFormat="1" ht="78">
      <c r="A7" s="27">
        <v>1</v>
      </c>
      <c r="B7" s="10" t="s">
        <v>135</v>
      </c>
      <c r="C7" s="26" t="s">
        <v>20</v>
      </c>
      <c r="D7" s="26" t="s">
        <v>21</v>
      </c>
      <c r="E7" s="26" t="s">
        <v>22</v>
      </c>
      <c r="F7" s="26" t="s">
        <v>23</v>
      </c>
      <c r="G7" s="26">
        <v>2</v>
      </c>
      <c r="H7" s="26">
        <v>50</v>
      </c>
      <c r="I7" s="40" t="s">
        <v>203</v>
      </c>
      <c r="J7" s="40" t="s">
        <v>206</v>
      </c>
    </row>
    <row r="8" spans="1:10" s="28" customFormat="1" ht="52">
      <c r="A8" s="27">
        <v>2</v>
      </c>
      <c r="B8" s="10" t="s">
        <v>134</v>
      </c>
      <c r="C8" s="26" t="s">
        <v>24</v>
      </c>
      <c r="D8" s="26" t="s">
        <v>25</v>
      </c>
      <c r="E8" s="26">
        <v>2</v>
      </c>
      <c r="F8" s="26" t="s">
        <v>26</v>
      </c>
      <c r="G8" s="26">
        <v>0</v>
      </c>
      <c r="H8" s="26">
        <v>50</v>
      </c>
      <c r="I8" s="40" t="s">
        <v>204</v>
      </c>
      <c r="J8" s="40"/>
    </row>
    <row r="9" spans="1:10">
      <c r="A9" s="27">
        <v>3</v>
      </c>
      <c r="B9" s="10" t="s">
        <v>27</v>
      </c>
      <c r="C9" s="26"/>
      <c r="D9" s="26"/>
      <c r="E9" s="26"/>
      <c r="F9" s="26"/>
      <c r="G9" s="26"/>
      <c r="H9" s="26"/>
      <c r="I9" s="40" t="s">
        <v>207</v>
      </c>
      <c r="J9" s="40" t="s">
        <v>206</v>
      </c>
    </row>
    <row r="10" spans="1:10" ht="16.5" customHeight="1">
      <c r="B10" s="12" t="s">
        <v>28</v>
      </c>
      <c r="C10" s="30">
        <v>5</v>
      </c>
      <c r="D10" s="30">
        <v>4</v>
      </c>
      <c r="E10" s="30">
        <v>3</v>
      </c>
      <c r="F10" s="30">
        <v>2</v>
      </c>
      <c r="G10" s="30">
        <v>1</v>
      </c>
      <c r="H10" s="42">
        <v>1</v>
      </c>
      <c r="I10" s="39" t="s">
        <v>197</v>
      </c>
      <c r="J10" s="39" t="s">
        <v>137</v>
      </c>
    </row>
    <row r="11" spans="1:10" s="28" customFormat="1" ht="39">
      <c r="A11" s="27">
        <v>1</v>
      </c>
      <c r="B11" s="10" t="s">
        <v>133</v>
      </c>
      <c r="C11" s="26" t="s">
        <v>24</v>
      </c>
      <c r="D11" s="26" t="s">
        <v>29</v>
      </c>
      <c r="E11" s="26">
        <v>3</v>
      </c>
      <c r="F11" s="26" t="s">
        <v>30</v>
      </c>
      <c r="G11" s="26">
        <v>0</v>
      </c>
      <c r="H11" s="26">
        <v>50</v>
      </c>
      <c r="I11" s="40" t="s">
        <v>74</v>
      </c>
      <c r="J11" s="40" t="s">
        <v>206</v>
      </c>
    </row>
    <row r="12" spans="1:10" s="28" customFormat="1">
      <c r="A12" s="27">
        <v>2</v>
      </c>
      <c r="B12" s="10" t="s">
        <v>32</v>
      </c>
      <c r="C12" s="26" t="s">
        <v>60</v>
      </c>
      <c r="D12" s="26" t="s">
        <v>33</v>
      </c>
      <c r="E12" s="26" t="s">
        <v>34</v>
      </c>
      <c r="F12" s="26" t="s">
        <v>35</v>
      </c>
      <c r="G12" s="26" t="s">
        <v>36</v>
      </c>
      <c r="H12" s="26">
        <v>50</v>
      </c>
      <c r="I12" s="40" t="s">
        <v>74</v>
      </c>
      <c r="J12" s="40" t="s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D3C8-35DC-4787-A7EC-0D328830D5E0}">
  <dimension ref="A1:J20"/>
  <sheetViews>
    <sheetView tabSelected="1" zoomScale="13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8" sqref="E8"/>
    </sheetView>
  </sheetViews>
  <sheetFormatPr baseColWidth="10" defaultColWidth="10.83203125" defaultRowHeight="15"/>
  <cols>
    <col min="1" max="1" width="4.1640625" style="4" customWidth="1"/>
    <col min="2" max="2" width="40.5" style="5" customWidth="1"/>
    <col min="3" max="7" width="16.33203125" style="4" customWidth="1"/>
    <col min="8" max="8" width="7.83203125" style="4" customWidth="1"/>
    <col min="9" max="9" width="36.5" style="32" customWidth="1"/>
    <col min="10" max="10" width="35.5" style="31" customWidth="1"/>
    <col min="11" max="11" width="31.1640625" customWidth="1"/>
  </cols>
  <sheetData>
    <row r="1" spans="1:10" s="28" customFormat="1" ht="30" customHeight="1">
      <c r="A1" s="27"/>
      <c r="B1" s="62" t="s">
        <v>208</v>
      </c>
      <c r="C1" s="27"/>
      <c r="D1" s="27"/>
      <c r="E1" s="27"/>
      <c r="F1" s="27"/>
      <c r="G1" s="27"/>
      <c r="H1" s="27"/>
      <c r="I1" s="32"/>
      <c r="J1" s="31"/>
    </row>
    <row r="2" spans="1:10" s="43" customFormat="1" ht="20" customHeight="1">
      <c r="A2" s="96" t="s">
        <v>41</v>
      </c>
      <c r="B2" s="97"/>
      <c r="C2" s="41">
        <v>5</v>
      </c>
      <c r="D2" s="41">
        <v>4</v>
      </c>
      <c r="E2" s="41">
        <v>3</v>
      </c>
      <c r="F2" s="41">
        <v>2</v>
      </c>
      <c r="G2" s="41">
        <v>1</v>
      </c>
      <c r="H2" s="53">
        <v>1</v>
      </c>
      <c r="I2" s="37" t="s">
        <v>136</v>
      </c>
      <c r="J2" s="41" t="s">
        <v>137</v>
      </c>
    </row>
    <row r="3" spans="1:10" s="56" customFormat="1" ht="12">
      <c r="A3" s="1">
        <v>1</v>
      </c>
      <c r="B3" s="34" t="s">
        <v>42</v>
      </c>
      <c r="C3" s="54" t="s">
        <v>138</v>
      </c>
      <c r="D3" s="54" t="s">
        <v>139</v>
      </c>
      <c r="E3" s="55" t="s">
        <v>140</v>
      </c>
      <c r="F3" s="54" t="s">
        <v>141</v>
      </c>
      <c r="G3" s="55" t="s">
        <v>142</v>
      </c>
      <c r="H3" s="36">
        <v>50</v>
      </c>
      <c r="I3" s="40" t="s">
        <v>143</v>
      </c>
      <c r="J3" s="60" t="s">
        <v>144</v>
      </c>
    </row>
    <row r="4" spans="1:10" s="56" customFormat="1" ht="12">
      <c r="A4" s="1">
        <v>2</v>
      </c>
      <c r="B4" s="34" t="s">
        <v>43</v>
      </c>
      <c r="C4" s="35" t="s">
        <v>145</v>
      </c>
      <c r="D4" s="35" t="s">
        <v>146</v>
      </c>
      <c r="E4" s="35" t="s">
        <v>147</v>
      </c>
      <c r="F4" s="35" t="s">
        <v>148</v>
      </c>
      <c r="G4" s="35" t="s">
        <v>149</v>
      </c>
      <c r="H4" s="36">
        <v>50</v>
      </c>
      <c r="I4" s="40" t="s">
        <v>150</v>
      </c>
      <c r="J4" s="60" t="s">
        <v>151</v>
      </c>
    </row>
    <row r="5" spans="1:10" s="57" customFormat="1" ht="15.5" customHeight="1">
      <c r="A5" s="95" t="s">
        <v>44</v>
      </c>
      <c r="B5" s="95"/>
      <c r="C5" s="41">
        <v>5</v>
      </c>
      <c r="D5" s="41">
        <v>4</v>
      </c>
      <c r="E5" s="41">
        <v>3</v>
      </c>
      <c r="F5" s="41">
        <v>2</v>
      </c>
      <c r="G5" s="41">
        <v>1</v>
      </c>
      <c r="H5" s="44"/>
      <c r="I5" s="37" t="s">
        <v>136</v>
      </c>
      <c r="J5" s="41" t="s">
        <v>137</v>
      </c>
    </row>
    <row r="6" spans="1:10" s="56" customFormat="1" ht="12">
      <c r="A6" s="1">
        <v>1</v>
      </c>
      <c r="B6" s="34" t="s">
        <v>45</v>
      </c>
      <c r="C6" s="47" t="s">
        <v>152</v>
      </c>
      <c r="D6" s="48" t="s">
        <v>153</v>
      </c>
      <c r="E6" s="48" t="s">
        <v>154</v>
      </c>
      <c r="F6" s="48" t="s">
        <v>155</v>
      </c>
      <c r="G6" s="47" t="s">
        <v>156</v>
      </c>
      <c r="H6" s="49">
        <v>50</v>
      </c>
      <c r="I6" s="40" t="s">
        <v>157</v>
      </c>
      <c r="J6" s="60" t="s">
        <v>213</v>
      </c>
    </row>
    <row r="7" spans="1:10" s="56" customFormat="1" ht="34" customHeight="1">
      <c r="A7" s="1">
        <v>2</v>
      </c>
      <c r="B7" s="2" t="s">
        <v>46</v>
      </c>
      <c r="C7" s="59" t="s">
        <v>158</v>
      </c>
      <c r="D7" s="59" t="s">
        <v>159</v>
      </c>
      <c r="E7" s="59" t="s">
        <v>160</v>
      </c>
      <c r="F7" s="59" t="s">
        <v>161</v>
      </c>
      <c r="G7" s="59" t="s">
        <v>162</v>
      </c>
      <c r="H7" s="50">
        <v>30</v>
      </c>
      <c r="I7" s="40" t="s">
        <v>163</v>
      </c>
      <c r="J7" s="60" t="s">
        <v>212</v>
      </c>
    </row>
    <row r="8" spans="1:10" s="56" customFormat="1" ht="12">
      <c r="A8" s="1">
        <v>3</v>
      </c>
      <c r="B8" s="34" t="s">
        <v>59</v>
      </c>
      <c r="C8" s="35" t="s">
        <v>164</v>
      </c>
      <c r="D8" s="35" t="s">
        <v>165</v>
      </c>
      <c r="E8" s="35" t="s">
        <v>166</v>
      </c>
      <c r="F8" s="35" t="s">
        <v>167</v>
      </c>
      <c r="G8" s="35" t="s">
        <v>168</v>
      </c>
      <c r="H8" s="36">
        <v>20</v>
      </c>
      <c r="I8" s="40" t="s">
        <v>169</v>
      </c>
      <c r="J8" s="60" t="s">
        <v>211</v>
      </c>
    </row>
    <row r="9" spans="1:10" s="56" customFormat="1" ht="18.5" customHeight="1">
      <c r="A9" s="95" t="s">
        <v>47</v>
      </c>
      <c r="B9" s="95"/>
      <c r="C9" s="41">
        <v>5</v>
      </c>
      <c r="D9" s="41">
        <v>4</v>
      </c>
      <c r="E9" s="41">
        <v>3</v>
      </c>
      <c r="F9" s="41">
        <v>2</v>
      </c>
      <c r="G9" s="41">
        <v>1</v>
      </c>
      <c r="H9" s="53">
        <v>1</v>
      </c>
      <c r="I9" s="37" t="s">
        <v>136</v>
      </c>
      <c r="J9" s="41" t="s">
        <v>137</v>
      </c>
    </row>
    <row r="10" spans="1:10" s="56" customFormat="1" ht="12">
      <c r="A10" s="1">
        <v>1</v>
      </c>
      <c r="B10" s="2" t="s">
        <v>48</v>
      </c>
      <c r="C10" s="35">
        <v>1</v>
      </c>
      <c r="D10" s="35">
        <v>2</v>
      </c>
      <c r="E10" s="35">
        <v>3</v>
      </c>
      <c r="F10" s="35">
        <v>4</v>
      </c>
      <c r="G10" s="35" t="s">
        <v>170</v>
      </c>
      <c r="H10" s="36">
        <v>30</v>
      </c>
      <c r="I10" s="40" t="s">
        <v>171</v>
      </c>
      <c r="J10" s="60" t="s">
        <v>172</v>
      </c>
    </row>
    <row r="11" spans="1:10" s="56" customFormat="1" ht="12">
      <c r="A11" s="1">
        <v>2</v>
      </c>
      <c r="B11" s="34" t="s">
        <v>49</v>
      </c>
      <c r="C11" s="58" t="s">
        <v>173</v>
      </c>
      <c r="D11" s="58" t="s">
        <v>174</v>
      </c>
      <c r="E11" s="58" t="s">
        <v>175</v>
      </c>
      <c r="F11" s="58" t="s">
        <v>176</v>
      </c>
      <c r="G11" s="58" t="s">
        <v>177</v>
      </c>
      <c r="H11" s="36">
        <v>30</v>
      </c>
      <c r="I11" s="40" t="s">
        <v>178</v>
      </c>
      <c r="J11" s="60" t="s">
        <v>210</v>
      </c>
    </row>
    <row r="12" spans="1:10" s="56" customFormat="1" ht="12">
      <c r="A12" s="1">
        <v>3</v>
      </c>
      <c r="B12" s="34" t="s">
        <v>50</v>
      </c>
      <c r="C12" s="35">
        <v>0</v>
      </c>
      <c r="D12" s="35">
        <v>1</v>
      </c>
      <c r="E12" s="35">
        <v>2</v>
      </c>
      <c r="F12" s="35">
        <v>3</v>
      </c>
      <c r="G12" s="35" t="s">
        <v>179</v>
      </c>
      <c r="H12" s="36">
        <v>20</v>
      </c>
      <c r="I12" s="40" t="s">
        <v>180</v>
      </c>
      <c r="J12" s="60" t="s">
        <v>181</v>
      </c>
    </row>
    <row r="13" spans="1:10" s="56" customFormat="1" ht="29" customHeight="1">
      <c r="A13" s="1">
        <v>4</v>
      </c>
      <c r="B13" s="34" t="s">
        <v>51</v>
      </c>
      <c r="C13" s="35">
        <v>0</v>
      </c>
      <c r="D13" s="35">
        <v>1</v>
      </c>
      <c r="E13" s="35">
        <v>2</v>
      </c>
      <c r="F13" s="35">
        <v>3</v>
      </c>
      <c r="G13" s="35" t="s">
        <v>179</v>
      </c>
      <c r="H13" s="36">
        <v>20</v>
      </c>
      <c r="I13" s="40" t="s">
        <v>182</v>
      </c>
      <c r="J13" s="40" t="s">
        <v>183</v>
      </c>
    </row>
    <row r="14" spans="1:10" s="56" customFormat="1" ht="19.5" customHeight="1">
      <c r="A14" s="95" t="s">
        <v>52</v>
      </c>
      <c r="B14" s="95"/>
      <c r="C14" s="41">
        <v>5</v>
      </c>
      <c r="D14" s="41">
        <v>4</v>
      </c>
      <c r="E14" s="41">
        <v>3</v>
      </c>
      <c r="F14" s="41">
        <v>2</v>
      </c>
      <c r="G14" s="41">
        <v>1</v>
      </c>
      <c r="H14" s="53">
        <v>1</v>
      </c>
      <c r="I14" s="37" t="s">
        <v>136</v>
      </c>
      <c r="J14" s="41" t="s">
        <v>137</v>
      </c>
    </row>
    <row r="15" spans="1:10" s="56" customFormat="1" ht="12">
      <c r="A15" s="1">
        <v>1</v>
      </c>
      <c r="B15" s="34" t="s">
        <v>53</v>
      </c>
      <c r="C15" s="35" t="s">
        <v>184</v>
      </c>
      <c r="D15" s="35" t="s">
        <v>185</v>
      </c>
      <c r="E15" s="35" t="s">
        <v>186</v>
      </c>
      <c r="F15" s="35" t="s">
        <v>187</v>
      </c>
      <c r="G15" s="35" t="s">
        <v>188</v>
      </c>
      <c r="H15" s="36">
        <v>50</v>
      </c>
      <c r="I15" s="40" t="s">
        <v>189</v>
      </c>
      <c r="J15" s="60" t="s">
        <v>190</v>
      </c>
    </row>
    <row r="16" spans="1:10" s="56" customFormat="1" ht="12">
      <c r="A16" s="1">
        <v>2</v>
      </c>
      <c r="B16" s="34" t="s">
        <v>54</v>
      </c>
      <c r="C16" s="35">
        <v>0</v>
      </c>
      <c r="D16" s="35">
        <v>1</v>
      </c>
      <c r="E16" s="35">
        <v>2</v>
      </c>
      <c r="F16" s="35">
        <v>3</v>
      </c>
      <c r="G16" s="35" t="s">
        <v>179</v>
      </c>
      <c r="H16" s="36">
        <v>50</v>
      </c>
      <c r="I16" s="40" t="s">
        <v>191</v>
      </c>
      <c r="J16" s="60" t="s">
        <v>192</v>
      </c>
    </row>
    <row r="17" spans="1:10" s="56" customFormat="1" ht="20.5" customHeight="1">
      <c r="A17" s="95" t="s">
        <v>55</v>
      </c>
      <c r="B17" s="95"/>
      <c r="C17" s="41">
        <v>5</v>
      </c>
      <c r="D17" s="41">
        <v>4</v>
      </c>
      <c r="E17" s="41">
        <v>3</v>
      </c>
      <c r="F17" s="41">
        <v>2</v>
      </c>
      <c r="G17" s="41">
        <v>1</v>
      </c>
      <c r="H17" s="53">
        <v>1</v>
      </c>
      <c r="I17" s="37" t="s">
        <v>136</v>
      </c>
      <c r="J17" s="41" t="s">
        <v>137</v>
      </c>
    </row>
    <row r="18" spans="1:10" s="56" customFormat="1" ht="22" customHeight="1">
      <c r="A18" s="1">
        <v>1</v>
      </c>
      <c r="B18" s="34" t="s">
        <v>56</v>
      </c>
      <c r="C18" s="35" t="s">
        <v>179</v>
      </c>
      <c r="D18" s="35">
        <v>3</v>
      </c>
      <c r="E18" s="35">
        <v>2</v>
      </c>
      <c r="F18" s="35">
        <v>1</v>
      </c>
      <c r="G18" s="35" t="s">
        <v>193</v>
      </c>
      <c r="H18" s="36">
        <v>40</v>
      </c>
      <c r="I18" s="40" t="s">
        <v>194</v>
      </c>
      <c r="J18" s="60" t="s">
        <v>209</v>
      </c>
    </row>
    <row r="19" spans="1:10" s="56" customFormat="1" ht="12">
      <c r="A19" s="1">
        <v>2</v>
      </c>
      <c r="B19" s="34" t="s">
        <v>57</v>
      </c>
      <c r="C19" s="35" t="s">
        <v>8</v>
      </c>
      <c r="D19" s="35" t="s">
        <v>9</v>
      </c>
      <c r="E19" s="35" t="s">
        <v>10</v>
      </c>
      <c r="F19" s="35" t="s">
        <v>11</v>
      </c>
      <c r="G19" s="35" t="s">
        <v>12</v>
      </c>
      <c r="H19" s="36">
        <v>40</v>
      </c>
      <c r="I19" s="40" t="s">
        <v>195</v>
      </c>
      <c r="J19" s="60" t="s">
        <v>209</v>
      </c>
    </row>
    <row r="20" spans="1:10" s="33" customFormat="1" ht="12">
      <c r="A20" s="45">
        <v>3</v>
      </c>
      <c r="B20" s="46" t="s">
        <v>58</v>
      </c>
      <c r="C20" s="51">
        <v>1</v>
      </c>
      <c r="D20" s="51"/>
      <c r="E20" s="51"/>
      <c r="F20" s="51"/>
      <c r="G20" s="51">
        <v>0</v>
      </c>
      <c r="H20" s="52">
        <v>20</v>
      </c>
      <c r="I20" s="40" t="s">
        <v>196</v>
      </c>
      <c r="J20" s="60" t="s">
        <v>209</v>
      </c>
    </row>
  </sheetData>
  <mergeCells count="5">
    <mergeCell ref="A5:B5"/>
    <mergeCell ref="A9:B9"/>
    <mergeCell ref="A14:B14"/>
    <mergeCell ref="A17:B17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MASTER</vt:lpstr>
      <vt:lpstr>NILAI</vt:lpstr>
      <vt:lpstr>NEW CUSTOMER</vt:lpstr>
      <vt:lpstr>REPEATED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 HARTONO ASUS</dc:creator>
  <cp:lastModifiedBy>JUAN RIZKY MAULANA</cp:lastModifiedBy>
  <dcterms:created xsi:type="dcterms:W3CDTF">2015-06-05T18:17:20Z</dcterms:created>
  <dcterms:modified xsi:type="dcterms:W3CDTF">2026-02-16T11:40:37Z</dcterms:modified>
</cp:coreProperties>
</file>