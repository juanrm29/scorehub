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B7951FF-D881-452B-A78B-66583C73CE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MASTER 2025" sheetId="2" r:id="rId1"/>
    <sheet name="DATA MASTER 2024" sheetId="3" r:id="rId2"/>
  </sheets>
  <definedNames>
    <definedName name="_xlnm._FilterDatabase" localSheetId="1" hidden="1">'DATA MASTER 2024'!$A$2:$AS$102</definedName>
    <definedName name="_xlnm.Print_Area" localSheetId="1">'DATA MASTER 2024'!$A$1:$AQ$107</definedName>
    <definedName name="_xlnm.Print_Area" localSheetId="0">'DATA MASTER 2025'!$A$1:$AQ$73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64" i="2" l="1"/>
  <c r="AN63" i="2"/>
  <c r="AJ64" i="2"/>
  <c r="AJ63" i="2"/>
  <c r="AF64" i="2"/>
  <c r="AF63" i="2"/>
  <c r="AN61" i="2"/>
  <c r="AN62" i="2"/>
  <c r="AN60" i="2"/>
  <c r="AN55" i="2"/>
  <c r="AN54" i="2"/>
  <c r="AO43" i="2"/>
  <c r="AN43" i="2"/>
  <c r="AF43" i="2"/>
  <c r="AN30" i="2"/>
  <c r="AN9" i="2"/>
  <c r="AF9" i="2"/>
  <c r="AN94" i="3"/>
  <c r="AN89" i="3"/>
  <c r="AN81" i="3"/>
  <c r="AN76" i="3"/>
  <c r="AJ76" i="3"/>
  <c r="AF76" i="3"/>
  <c r="AN65" i="3"/>
  <c r="AF65" i="3"/>
  <c r="AN54" i="3"/>
  <c r="AF54" i="3"/>
  <c r="AN11" i="3"/>
  <c r="AN12" i="2" l="1"/>
  <c r="AN11" i="2"/>
  <c r="AJ11" i="2"/>
  <c r="AF11" i="2"/>
  <c r="AN14" i="2"/>
  <c r="AJ14" i="2"/>
  <c r="AF14" i="2"/>
  <c r="AN15" i="2"/>
  <c r="AN18" i="2"/>
  <c r="AJ18" i="2"/>
  <c r="AF18" i="2"/>
  <c r="AN16" i="2"/>
  <c r="AJ16" i="2"/>
  <c r="AF16" i="2"/>
  <c r="AN19" i="2"/>
  <c r="AJ19" i="2"/>
  <c r="AF19" i="2"/>
  <c r="AN21" i="2"/>
  <c r="AN22" i="2"/>
  <c r="AJ22" i="2"/>
  <c r="AF22" i="2"/>
  <c r="AN24" i="2"/>
  <c r="AN23" i="2"/>
  <c r="AJ24" i="2"/>
  <c r="AJ23" i="2"/>
  <c r="AF24" i="2"/>
  <c r="AF23" i="2"/>
  <c r="AN25" i="2"/>
  <c r="AJ25" i="2"/>
  <c r="AF25" i="2"/>
  <c r="AN26" i="2"/>
  <c r="AN27" i="2"/>
  <c r="AF28" i="2"/>
  <c r="AN28" i="2"/>
  <c r="AF30" i="2"/>
  <c r="AJ30" i="2"/>
  <c r="AF31" i="2"/>
  <c r="AJ31" i="2"/>
  <c r="AN31" i="2"/>
  <c r="AN29" i="2"/>
  <c r="AJ29" i="2"/>
  <c r="AF29" i="2"/>
  <c r="AN32" i="2"/>
  <c r="AN33" i="2"/>
  <c r="AJ33" i="2"/>
  <c r="AF33" i="2"/>
  <c r="AN37" i="2"/>
  <c r="AN36" i="2"/>
  <c r="AN38" i="2"/>
  <c r="AJ38" i="2"/>
  <c r="AF38" i="2"/>
  <c r="AN40" i="2"/>
  <c r="AN39" i="2"/>
  <c r="AN42" i="2"/>
  <c r="AN41" i="2"/>
  <c r="AF42" i="2"/>
  <c r="AF41" i="2"/>
  <c r="AN44" i="2"/>
  <c r="AF44" i="2"/>
  <c r="AJ46" i="2"/>
  <c r="AJ45" i="2"/>
  <c r="AF46" i="2"/>
  <c r="AF45" i="2"/>
  <c r="AN46" i="2"/>
  <c r="AN45" i="2"/>
  <c r="AN47" i="2"/>
  <c r="AF47" i="2"/>
  <c r="AN49" i="2"/>
  <c r="AN48" i="2"/>
  <c r="AN50" i="2"/>
  <c r="AN51" i="2"/>
  <c r="AN52" i="2"/>
  <c r="AF54" i="2"/>
  <c r="AJ54" i="2"/>
  <c r="AJ55" i="2"/>
  <c r="AF55" i="2"/>
  <c r="AN56" i="2"/>
  <c r="AJ56" i="2"/>
  <c r="AF56" i="2"/>
  <c r="AN59" i="2"/>
  <c r="AJ61" i="2"/>
  <c r="AJ60" i="2"/>
  <c r="AF61" i="2"/>
  <c r="AF60" i="2"/>
  <c r="AN17" i="2"/>
  <c r="AJ17" i="2"/>
  <c r="AF17" i="2"/>
  <c r="AF13" i="2"/>
  <c r="AJ13" i="2"/>
  <c r="AN13" i="2"/>
  <c r="AN35" i="2"/>
  <c r="AJ35" i="2"/>
  <c r="AF35" i="2"/>
  <c r="AF53" i="2"/>
  <c r="AJ53" i="2"/>
  <c r="AN53" i="2"/>
  <c r="AN34" i="2"/>
  <c r="AJ34" i="2"/>
  <c r="AF34" i="2"/>
  <c r="AN10" i="2"/>
  <c r="AJ7" i="2"/>
  <c r="AN7" i="2"/>
  <c r="AF7" i="2"/>
  <c r="AN6" i="2"/>
  <c r="AF6" i="2"/>
  <c r="AN5" i="2"/>
  <c r="AN20" i="2"/>
  <c r="AN8" i="2"/>
  <c r="AN4" i="2"/>
  <c r="AN78" i="3"/>
  <c r="AN77" i="3"/>
  <c r="AN73" i="3"/>
  <c r="AN67" i="3"/>
  <c r="AN69" i="3"/>
  <c r="AN68" i="3"/>
  <c r="AN83" i="3"/>
  <c r="AN53" i="3"/>
  <c r="AJ53" i="3"/>
  <c r="AF53" i="3"/>
  <c r="AF70" i="3"/>
  <c r="AF49" i="3"/>
  <c r="AN70" i="3"/>
  <c r="AN49" i="3"/>
  <c r="AN41" i="3"/>
  <c r="AN28" i="3"/>
  <c r="AN80" i="3"/>
  <c r="AN79" i="3"/>
  <c r="AN64" i="3"/>
  <c r="AN60" i="3"/>
  <c r="AN48" i="3"/>
  <c r="AN43" i="3"/>
  <c r="AN36" i="3"/>
  <c r="AN75" i="3"/>
  <c r="AN74" i="3"/>
  <c r="AF75" i="3"/>
  <c r="AF74" i="3"/>
  <c r="AN90" i="3"/>
  <c r="AF90" i="3"/>
  <c r="AN92" i="3"/>
  <c r="AN91" i="3"/>
  <c r="AN88" i="3"/>
  <c r="AN87" i="3"/>
  <c r="AJ88" i="3"/>
  <c r="AJ87" i="3"/>
  <c r="AF92" i="3"/>
  <c r="AF91" i="3"/>
  <c r="AF88" i="3"/>
  <c r="AF87" i="3"/>
  <c r="AN72" i="3"/>
  <c r="AN71" i="3"/>
  <c r="AJ72" i="3"/>
  <c r="AJ71" i="3"/>
  <c r="AF72" i="3"/>
  <c r="AF71" i="3"/>
  <c r="AN96" i="3"/>
  <c r="AN95" i="3"/>
  <c r="AJ96" i="3"/>
  <c r="AJ95" i="3"/>
  <c r="AF96" i="3"/>
  <c r="AF95" i="3"/>
  <c r="AN98" i="3"/>
  <c r="AN100" i="3"/>
  <c r="AN97" i="3"/>
  <c r="AF98" i="3"/>
  <c r="AF97" i="3"/>
  <c r="AJ100" i="3"/>
  <c r="AF100" i="3"/>
  <c r="AF101" i="3"/>
  <c r="AN101" i="3"/>
  <c r="AN26" i="3"/>
  <c r="AN63" i="3"/>
  <c r="AN59" i="3"/>
  <c r="AN58" i="3"/>
  <c r="AN24" i="3"/>
  <c r="AN23" i="3"/>
  <c r="AF59" i="3"/>
  <c r="AF58" i="3"/>
  <c r="AF24" i="3"/>
  <c r="AF23" i="3"/>
  <c r="AN99" i="3"/>
  <c r="AN93" i="3"/>
  <c r="AN25" i="3"/>
  <c r="AN22" i="3"/>
  <c r="AN21" i="3"/>
  <c r="AN51" i="3"/>
  <c r="AF66" i="3"/>
  <c r="AN66" i="3"/>
  <c r="AN13" i="3"/>
  <c r="AN12" i="3"/>
  <c r="AJ13" i="3"/>
  <c r="AJ12" i="3"/>
  <c r="AF13" i="3"/>
  <c r="AF12" i="3"/>
  <c r="AN61" i="3"/>
  <c r="AJ61" i="3"/>
  <c r="AF61" i="3"/>
  <c r="AF33" i="3"/>
  <c r="AF32" i="3"/>
  <c r="AN33" i="3"/>
  <c r="AN32" i="3"/>
  <c r="AN31" i="3"/>
  <c r="AN30" i="3"/>
  <c r="AF31" i="3"/>
  <c r="AF30" i="3"/>
  <c r="AN20" i="3"/>
  <c r="AN19" i="3"/>
  <c r="AN18" i="3"/>
  <c r="AN17" i="3"/>
  <c r="AJ20" i="3"/>
  <c r="AJ19" i="3"/>
  <c r="AJ18" i="3"/>
  <c r="AJ17" i="3"/>
  <c r="AF20" i="3"/>
  <c r="AF19" i="3"/>
  <c r="AF18" i="3"/>
  <c r="AF17" i="3"/>
  <c r="AN14" i="3"/>
  <c r="AN10" i="3"/>
  <c r="AF14" i="3"/>
  <c r="AF10" i="3"/>
  <c r="AN102" i="3"/>
  <c r="AN86" i="3"/>
  <c r="AN62" i="3"/>
  <c r="AN15" i="3"/>
  <c r="AN9" i="3"/>
  <c r="AN57" i="3"/>
  <c r="AN56" i="3"/>
  <c r="AF57" i="3"/>
  <c r="AF56" i="3"/>
  <c r="AN37" i="3"/>
  <c r="AN7" i="3"/>
  <c r="AJ7" i="3"/>
  <c r="AF37" i="3"/>
  <c r="AF7" i="3"/>
  <c r="AN35" i="3"/>
  <c r="AJ35" i="3"/>
  <c r="AF35" i="3"/>
  <c r="AN34" i="3"/>
  <c r="AJ34" i="3"/>
  <c r="AF34" i="3"/>
  <c r="AN6" i="3"/>
  <c r="AJ6" i="3"/>
  <c r="AF6" i="3"/>
  <c r="AF47" i="3"/>
  <c r="AN47" i="3"/>
  <c r="AF46" i="3"/>
  <c r="AN46" i="3"/>
  <c r="AN27" i="3"/>
  <c r="AF27" i="3"/>
  <c r="AN5" i="3"/>
  <c r="AN4" i="3"/>
  <c r="AJ45" i="3"/>
  <c r="AJ44" i="3"/>
  <c r="AF44" i="3"/>
  <c r="AF45" i="3"/>
  <c r="AN38" i="3"/>
  <c r="AF85" i="3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5" i="2"/>
  <c r="AC4" i="2"/>
</calcChain>
</file>

<file path=xl/sharedStrings.xml><?xml version="1.0" encoding="utf-8"?>
<sst xmlns="http://schemas.openxmlformats.org/spreadsheetml/2006/main" count="4231" uniqueCount="1107">
  <si>
    <t>DATA PERUSAHAAN</t>
  </si>
  <si>
    <t>DATA KAPAL</t>
  </si>
  <si>
    <t>DATA PROJECT</t>
  </si>
  <si>
    <t>DATA PEMBAYARAN</t>
  </si>
  <si>
    <t>Level Client</t>
  </si>
  <si>
    <t>No</t>
  </si>
  <si>
    <t>Perusahaan Client</t>
  </si>
  <si>
    <t>Contact Person</t>
  </si>
  <si>
    <t>Email</t>
  </si>
  <si>
    <t>Telp</t>
  </si>
  <si>
    <t>Alamat</t>
  </si>
  <si>
    <t>Status</t>
  </si>
  <si>
    <t>kelengkapan dokumen</t>
  </si>
  <si>
    <t>Jumlah Fleet</t>
  </si>
  <si>
    <t>Referensi</t>
  </si>
  <si>
    <t>Project Name</t>
  </si>
  <si>
    <t>Jenis Kapal</t>
  </si>
  <si>
    <t>Tehnical Documen</t>
  </si>
  <si>
    <t>Class</t>
  </si>
  <si>
    <t>Repair List</t>
  </si>
  <si>
    <t>Status Dockig</t>
  </si>
  <si>
    <t>Periode</t>
  </si>
  <si>
    <t>Approved Pekrjaan</t>
  </si>
  <si>
    <t>Plan arrival</t>
  </si>
  <si>
    <t>Arrival</t>
  </si>
  <si>
    <t>Start</t>
  </si>
  <si>
    <t>Turun Dock</t>
  </si>
  <si>
    <t>Finish</t>
  </si>
  <si>
    <t>Durasi</t>
  </si>
  <si>
    <t>Nilai Project</t>
  </si>
  <si>
    <t>Invoice 1</t>
  </si>
  <si>
    <t>No Invoice 1</t>
  </si>
  <si>
    <t>Payment 1</t>
  </si>
  <si>
    <t>Invoice 2</t>
  </si>
  <si>
    <t>No Invoice 2</t>
  </si>
  <si>
    <t>Payment 2</t>
  </si>
  <si>
    <t>Invoice 3</t>
  </si>
  <si>
    <t>No Invoice 3</t>
  </si>
  <si>
    <t>Payment 3</t>
  </si>
  <si>
    <t>Plan</t>
  </si>
  <si>
    <t>Actual</t>
  </si>
  <si>
    <t>Quotation</t>
  </si>
  <si>
    <t>Score berdasarkan survey</t>
  </si>
  <si>
    <t>berdasarkan penilaian level</t>
  </si>
  <si>
    <t>PO</t>
  </si>
  <si>
    <t>SPK</t>
  </si>
  <si>
    <t>Kontrak</t>
  </si>
  <si>
    <t>PT. BRM MARINE</t>
  </si>
  <si>
    <t>TB. AZIZAH</t>
  </si>
  <si>
    <t>Tug Boat</t>
  </si>
  <si>
    <t>BKI</t>
  </si>
  <si>
    <t>Tidak ada</t>
  </si>
  <si>
    <t>SS</t>
  </si>
  <si>
    <t>Januari 2025</t>
  </si>
  <si>
    <t>28 Hari</t>
  </si>
  <si>
    <t>4 Desember 2024</t>
  </si>
  <si>
    <t>3 Desember 2024</t>
  </si>
  <si>
    <t>Naik Dock</t>
  </si>
  <si>
    <t>5 Desember 2024</t>
  </si>
  <si>
    <t>5 Januari 2025</t>
  </si>
  <si>
    <t>13 Januari 2025</t>
  </si>
  <si>
    <t>41 Hari</t>
  </si>
  <si>
    <t>PT. PELAYARAN KENCANA PERMAI JAYA</t>
  </si>
  <si>
    <t>TB. PSL GLORIOUS</t>
  </si>
  <si>
    <t>IS</t>
  </si>
  <si>
    <t>12 Desember 2024</t>
  </si>
  <si>
    <t>13 Desember 2024</t>
  </si>
  <si>
    <t>14 Desember 2024</t>
  </si>
  <si>
    <t>10 Januari 2025</t>
  </si>
  <si>
    <t>14 Januari 2025</t>
  </si>
  <si>
    <t>15 Januari 2025</t>
  </si>
  <si>
    <t>18 Hari</t>
  </si>
  <si>
    <t>33 Hari</t>
  </si>
  <si>
    <t>PT. PELAYARAN SEGARA NIAGA UTAMA</t>
  </si>
  <si>
    <t>Mr. Catur</t>
  </si>
  <si>
    <t>Balikpapan, Kalimantan Timur</t>
  </si>
  <si>
    <t>Jakarta Selatan, DKI Jakarta</t>
  </si>
  <si>
    <t>Accomodation Work Barge</t>
  </si>
  <si>
    <t>11 Desember 2024</t>
  </si>
  <si>
    <t>3 Maret 2025</t>
  </si>
  <si>
    <t>27 Hari</t>
  </si>
  <si>
    <t>109 Hari</t>
  </si>
  <si>
    <t>AWB. MAJULAH NO.1</t>
  </si>
  <si>
    <t>PT. ARTHA GRAHA SAMUDERA</t>
  </si>
  <si>
    <t>Surabaya, Jawa Timur</t>
  </si>
  <si>
    <t>BG.  NIKO I</t>
  </si>
  <si>
    <t>Barge</t>
  </si>
  <si>
    <t>8 Januari 2025</t>
  </si>
  <si>
    <t>9 Januari 2025</t>
  </si>
  <si>
    <t>31 Januari 2025</t>
  </si>
  <si>
    <t>11 Februari 2025</t>
  </si>
  <si>
    <t>34 Hari</t>
  </si>
  <si>
    <t>TB. BRM 15</t>
  </si>
  <si>
    <t>12 Januari 2025</t>
  </si>
  <si>
    <t>20 Februari 2025</t>
  </si>
  <si>
    <t>39 Hari</t>
  </si>
  <si>
    <t>Survey kepuasan pelanggan</t>
  </si>
  <si>
    <t>PT. ALORINDA SHIPPING</t>
  </si>
  <si>
    <t>Samarinda, Kalimantan Timur</t>
  </si>
  <si>
    <t>BG. THOSAN 08</t>
  </si>
  <si>
    <t>28 Januari 2025</t>
  </si>
  <si>
    <t>29 Januari 2025</t>
  </si>
  <si>
    <t>27 Januari 2025</t>
  </si>
  <si>
    <t>15 Februari 2025</t>
  </si>
  <si>
    <t>17 Februari 2025</t>
  </si>
  <si>
    <t>22 Hari</t>
  </si>
  <si>
    <t>PT. LAJU DINAMIKA UTAMA</t>
  </si>
  <si>
    <t>SPOB. SP I BSI</t>
  </si>
  <si>
    <t>Self Propeller Oil Barge</t>
  </si>
  <si>
    <t xml:space="preserve"> </t>
  </si>
  <si>
    <t>PT. DIAN CIPTAMAS AGUNG</t>
  </si>
  <si>
    <t>Jakarta Pusat, DKI Jakarta</t>
  </si>
  <si>
    <t>BG. PSPM 3</t>
  </si>
  <si>
    <t>RINA</t>
  </si>
  <si>
    <t>Ada</t>
  </si>
  <si>
    <t>Oktober 2024</t>
  </si>
  <si>
    <t>2 Oktober 2024</t>
  </si>
  <si>
    <t>1 Oktober 2024</t>
  </si>
  <si>
    <t>3 Oktober 2024</t>
  </si>
  <si>
    <t>6 Februari 2025</t>
  </si>
  <si>
    <t>19 Februari 2025</t>
  </si>
  <si>
    <t>35 Hari</t>
  </si>
  <si>
    <t>141 Hari</t>
  </si>
  <si>
    <t>PT. MERANTI KARYA SAMUDERA</t>
  </si>
  <si>
    <t>Mr. Baramulia</t>
  </si>
  <si>
    <t>BG. KALTIM FT 3301</t>
  </si>
  <si>
    <t>URGENT</t>
  </si>
  <si>
    <t>1 Februari 2025</t>
  </si>
  <si>
    <t>Februari 2025</t>
  </si>
  <si>
    <t>2 Februari 2025</t>
  </si>
  <si>
    <t>3 Februari 2025</t>
  </si>
  <si>
    <t>-</t>
  </si>
  <si>
    <t>8 Hari</t>
  </si>
  <si>
    <t>17 Hari</t>
  </si>
  <si>
    <t>Mr. Teddy</t>
  </si>
  <si>
    <t>TB. PERKASA 3</t>
  </si>
  <si>
    <t>1 Februari 2024</t>
  </si>
  <si>
    <t>4 Oktober 2024</t>
  </si>
  <si>
    <t>5 Oktober 2024</t>
  </si>
  <si>
    <t>5 Februari 2025</t>
  </si>
  <si>
    <t>25 Februari 2025</t>
  </si>
  <si>
    <t>24 Hari</t>
  </si>
  <si>
    <t>146 Hari</t>
  </si>
  <si>
    <t>PT. KARUNIA LINTAS SAMUDRA</t>
  </si>
  <si>
    <t>BG. HERLIN 5</t>
  </si>
  <si>
    <t>2 Januari 2025</t>
  </si>
  <si>
    <t>3 Januari 2025</t>
  </si>
  <si>
    <t>4 Januari 2025</t>
  </si>
  <si>
    <t>7 Maret 2025</t>
  </si>
  <si>
    <t>8 Maret 2025</t>
  </si>
  <si>
    <t>64 Hari</t>
  </si>
  <si>
    <t>TB. SYUKUR 33</t>
  </si>
  <si>
    <t>2 Maret 2025</t>
  </si>
  <si>
    <t>4 Maret 2025</t>
  </si>
  <si>
    <t>Maret 2025</t>
  </si>
  <si>
    <t>6 Maret 2025</t>
  </si>
  <si>
    <t>5 Maret 2025</t>
  </si>
  <si>
    <t>11 Maret 2025</t>
  </si>
  <si>
    <t xml:space="preserve">3 Hari </t>
  </si>
  <si>
    <t>6 Hari</t>
  </si>
  <si>
    <t>TB. PERKASA 12</t>
  </si>
  <si>
    <t>11 Januari 2025</t>
  </si>
  <si>
    <t>102 Hari</t>
  </si>
  <si>
    <t>BG. PSPM 12</t>
  </si>
  <si>
    <t>17 Januari 2025</t>
  </si>
  <si>
    <t>18 Januari 2025</t>
  </si>
  <si>
    <t>19 Januari 2025</t>
  </si>
  <si>
    <t>23 Maret 2025</t>
  </si>
  <si>
    <t>153 Hari</t>
  </si>
  <si>
    <t>96 Hari</t>
  </si>
  <si>
    <t>Mr. Tommy</t>
  </si>
  <si>
    <t>Jakarta Utara, DKI Jakarta</t>
  </si>
  <si>
    <t>TB. BUANA MARITIM IX</t>
  </si>
  <si>
    <t>1 Maret 2025</t>
  </si>
  <si>
    <t>18 Maret 2025</t>
  </si>
  <si>
    <t>44 Hari</t>
  </si>
  <si>
    <t>BG. BUANA JAYA 3009</t>
  </si>
  <si>
    <t>PT. BUANA MARITIM SEJAHTERAH</t>
  </si>
  <si>
    <t>26 Februari 2025</t>
  </si>
  <si>
    <t>27 Februari 2025</t>
  </si>
  <si>
    <t>28 Februari 2025</t>
  </si>
  <si>
    <t>25 Maret 2025</t>
  </si>
  <si>
    <t>13 Hari</t>
  </si>
  <si>
    <t>32 Hari</t>
  </si>
  <si>
    <t>TB. BRM 01</t>
  </si>
  <si>
    <t>QC report, CCR, FVOR, Quotation, Rincian Biaya</t>
  </si>
  <si>
    <t>Maret 2026</t>
  </si>
  <si>
    <t>30 Februari 2025</t>
  </si>
  <si>
    <t>27 Maret 2025</t>
  </si>
  <si>
    <t>28 Maret 2025</t>
  </si>
  <si>
    <t>BG. ASIA PRIDE 23175</t>
  </si>
  <si>
    <t>70 Hari</t>
  </si>
  <si>
    <t>PT. HERLIN SAMUDRA LINE</t>
  </si>
  <si>
    <t>TB. HERLIN 27</t>
  </si>
  <si>
    <t>5 Mei 2025</t>
  </si>
  <si>
    <t>April 2025</t>
  </si>
  <si>
    <t>26 Maret 2025</t>
  </si>
  <si>
    <t>1 Mei 2025</t>
  </si>
  <si>
    <t>BG. BUANA JAYA 3302</t>
  </si>
  <si>
    <t>31 Hari</t>
  </si>
  <si>
    <t>TB. BUANA FOREVER II</t>
  </si>
  <si>
    <t>13 Maret 2025</t>
  </si>
  <si>
    <t>14 Maret 2025</t>
  </si>
  <si>
    <t>15 Maret 2025</t>
  </si>
  <si>
    <t>7 Mei 2025</t>
  </si>
  <si>
    <t>55 Hari</t>
  </si>
  <si>
    <t>PT. WIRA ARIANDI UTAMA</t>
  </si>
  <si>
    <t>Mr. Imam</t>
  </si>
  <si>
    <t>Berau, Kalimantan Timur</t>
  </si>
  <si>
    <t>SPOB. WIRANDI X</t>
  </si>
  <si>
    <t>15 Mei 2025</t>
  </si>
  <si>
    <t>22 Mei 2025</t>
  </si>
  <si>
    <t>36 Hari</t>
  </si>
  <si>
    <t xml:space="preserve">BG. HELLY </t>
  </si>
  <si>
    <t>17 Mei 2025</t>
  </si>
  <si>
    <t>24 Mei 2025</t>
  </si>
  <si>
    <t>PT. SERASI SHIPPING INDONESIA</t>
  </si>
  <si>
    <t>LCT. SERASI IX</t>
  </si>
  <si>
    <t>Landing Craft Tank</t>
  </si>
  <si>
    <t>27 Mei 2025</t>
  </si>
  <si>
    <t>25 Mei 2025</t>
  </si>
  <si>
    <t>PT. NIRMALA PATRANUSA</t>
  </si>
  <si>
    <t>AWB. ADMIRAYLTY 3</t>
  </si>
  <si>
    <t>Mei 2025</t>
  </si>
  <si>
    <t>2 Mei 2025</t>
  </si>
  <si>
    <t>3 Mei 2025</t>
  </si>
  <si>
    <t>17 Juni 2025</t>
  </si>
  <si>
    <t>21 Juni 2025</t>
  </si>
  <si>
    <t>51 Hari</t>
  </si>
  <si>
    <t>Mr. Fauzan</t>
  </si>
  <si>
    <t>PT. ATLANTIC EXPRESS LINE</t>
  </si>
  <si>
    <t>Banjar Baru, Kalimantan Selatan</t>
  </si>
  <si>
    <t>BG. SOEKAWATI 2711</t>
  </si>
  <si>
    <t>16 Mei 2025</t>
  </si>
  <si>
    <t>12 Juni</t>
  </si>
  <si>
    <t>26 Juni 2025</t>
  </si>
  <si>
    <t>42 Hari</t>
  </si>
  <si>
    <t>PT. BAHAR RUAN SEJAHTERA</t>
  </si>
  <si>
    <t>TB. ANUGRAH 11</t>
  </si>
  <si>
    <t>Juni 2025</t>
  </si>
  <si>
    <t>7 Juni 2025</t>
  </si>
  <si>
    <t>8 Juni 2025</t>
  </si>
  <si>
    <t>9 Juni 2025</t>
  </si>
  <si>
    <t>4 Juli 2025</t>
  </si>
  <si>
    <t>PT. JAMBI ANUGERAH MANDIRI</t>
  </si>
  <si>
    <t>OB. SENTOSA JAYA 2501</t>
  </si>
  <si>
    <t>Oil Barge</t>
  </si>
  <si>
    <t>13 Juni 2025</t>
  </si>
  <si>
    <t>14 Juni 2025</t>
  </si>
  <si>
    <t>15 Juni 2025</t>
  </si>
  <si>
    <t>2 Juli 2025</t>
  </si>
  <si>
    <t>14 Juli 2025</t>
  </si>
  <si>
    <t>TB. HARLINA 6</t>
  </si>
  <si>
    <t>29 Mei 2025</t>
  </si>
  <si>
    <t>1 Juni 2025</t>
  </si>
  <si>
    <t>1 Juli 2025</t>
  </si>
  <si>
    <t>15 Hari</t>
  </si>
  <si>
    <t>PT. GEMA SOERYA SAMODRA</t>
  </si>
  <si>
    <t>TB. EQUATOR 9</t>
  </si>
  <si>
    <t>26 Mei 2025</t>
  </si>
  <si>
    <t>25 Juni 2025</t>
  </si>
  <si>
    <t>2 Agustus 2025</t>
  </si>
  <si>
    <t>38 Hari</t>
  </si>
  <si>
    <t>TB. LAJU 1</t>
  </si>
  <si>
    <t>31 Mei 2025</t>
  </si>
  <si>
    <t>2 Juni 2025</t>
  </si>
  <si>
    <t>11 Juli 2025</t>
  </si>
  <si>
    <t>6 Agustus 2025</t>
  </si>
  <si>
    <t>67 Hari</t>
  </si>
  <si>
    <t>BG. UTAMA 1</t>
  </si>
  <si>
    <t>30 Mei 2025</t>
  </si>
  <si>
    <t>8 Juli 2025</t>
  </si>
  <si>
    <t>9 Juli 2025</t>
  </si>
  <si>
    <t>23 Juli 2025</t>
  </si>
  <si>
    <t>54 Hari</t>
  </si>
  <si>
    <t>TB. BRM 07</t>
  </si>
  <si>
    <t>24 Juni 2025</t>
  </si>
  <si>
    <t>BG. BRM 08</t>
  </si>
  <si>
    <t>23 Juni 2025</t>
  </si>
  <si>
    <t>15 Juli 2025</t>
  </si>
  <si>
    <t>17 Juli 2025</t>
  </si>
  <si>
    <t>BG. FINACIA 39</t>
  </si>
  <si>
    <t>28 Mei 2025</t>
  </si>
  <si>
    <t>27 Juli 2025</t>
  </si>
  <si>
    <t>26 Juli 2025</t>
  </si>
  <si>
    <t>PT. BALIKPAPAN FOREST INDUSTRIES</t>
  </si>
  <si>
    <t>Mr. Faisal</t>
  </si>
  <si>
    <t>TB. ASSIKE SATU</t>
  </si>
  <si>
    <t>Juli 2025</t>
  </si>
  <si>
    <t>10 Juli 2025</t>
  </si>
  <si>
    <t>12 Juli 2025</t>
  </si>
  <si>
    <t>25 Juli 2025</t>
  </si>
  <si>
    <t>1 Agustus 2025</t>
  </si>
  <si>
    <t>BG. ASSIKE 4001</t>
  </si>
  <si>
    <t>30 Juli 2025</t>
  </si>
  <si>
    <t>PT. PELAYARAN INTAN</t>
  </si>
  <si>
    <t>Pontianak, Kalimantan Barat</t>
  </si>
  <si>
    <t>TB. AS STAR 5</t>
  </si>
  <si>
    <t>7 Agustus 2025</t>
  </si>
  <si>
    <t>23 Agustus 2025</t>
  </si>
  <si>
    <t>45 Hari</t>
  </si>
  <si>
    <t>OB. AS STAR 7</t>
  </si>
  <si>
    <t>29 Juli 2025</t>
  </si>
  <si>
    <t>31 Juli 2025</t>
  </si>
  <si>
    <t>8 Agustus 2025</t>
  </si>
  <si>
    <t>20 Agustus 2025</t>
  </si>
  <si>
    <t>Mr. Robert</t>
  </si>
  <si>
    <t>PT. JAYA TRANSPORT LAUT</t>
  </si>
  <si>
    <t>MV. JTL 001</t>
  </si>
  <si>
    <t>Bulk Carrier</t>
  </si>
  <si>
    <t>24 Juli 2025</t>
  </si>
  <si>
    <t>9 Agustus 2025</t>
  </si>
  <si>
    <t>12 Agustus 2025</t>
  </si>
  <si>
    <t>14 Hari</t>
  </si>
  <si>
    <t>19 Hari</t>
  </si>
  <si>
    <t>TB. HERLIN 18</t>
  </si>
  <si>
    <t>13 Agustus 2025</t>
  </si>
  <si>
    <t>16 Agustus 2025</t>
  </si>
  <si>
    <t>23 Hari</t>
  </si>
  <si>
    <t>PT. IMC PELITA LOGISTIK</t>
  </si>
  <si>
    <t>TB. INTAN MEGAH 4</t>
  </si>
  <si>
    <t>28 Juli 2025</t>
  </si>
  <si>
    <t>21 Agustus 2025</t>
  </si>
  <si>
    <t>2 September 2025</t>
  </si>
  <si>
    <t>36 hari</t>
  </si>
  <si>
    <t>BG. INTAN KELANA 25</t>
  </si>
  <si>
    <t>5 September 2025</t>
  </si>
  <si>
    <t>9 September 2025</t>
  </si>
  <si>
    <t>40 Hari</t>
  </si>
  <si>
    <t>PT. BAYU BUANA SUKSES</t>
  </si>
  <si>
    <t>Mr. Bayu</t>
  </si>
  <si>
    <t>Palu, Sulawesi Tengah</t>
  </si>
  <si>
    <t>BG. VALENCIA</t>
  </si>
  <si>
    <t>7 September 2025</t>
  </si>
  <si>
    <t>8 September 2025</t>
  </si>
  <si>
    <t>7 Hari</t>
  </si>
  <si>
    <t>TB. BRM 17</t>
  </si>
  <si>
    <t>BG. BRM 18</t>
  </si>
  <si>
    <t>Agustus 2025</t>
  </si>
  <si>
    <t>PT. WHS GLOBAL MANDIRI</t>
  </si>
  <si>
    <t>BG. PB 3106</t>
  </si>
  <si>
    <t>3 Agustus 2025</t>
  </si>
  <si>
    <t>4 Agustus 2025</t>
  </si>
  <si>
    <t>9 Hari</t>
  </si>
  <si>
    <t>PT. WIDMARINE JAYA LINE</t>
  </si>
  <si>
    <t>Mr. Celvin</t>
  </si>
  <si>
    <t>TB. KTS XV</t>
  </si>
  <si>
    <t>29 Agustus 2025</t>
  </si>
  <si>
    <t>30 Agustus 2025</t>
  </si>
  <si>
    <t>31 Agustus 2025</t>
  </si>
  <si>
    <t>PT. PELAYARAN LINTAS KHATULISTIWA</t>
  </si>
  <si>
    <t>Kubu Raya, Kalimantan Barat</t>
  </si>
  <si>
    <t>TB. LOTUS 01</t>
  </si>
  <si>
    <t>28 Agustus 2025</t>
  </si>
  <si>
    <t>27 Agustus 2025</t>
  </si>
  <si>
    <t>10 Hari</t>
  </si>
  <si>
    <t>TB. LAJU 2</t>
  </si>
  <si>
    <t>November 2026</t>
  </si>
  <si>
    <t>7 November 2026</t>
  </si>
  <si>
    <t>8 November 2026</t>
  </si>
  <si>
    <t>9 November 2026</t>
  </si>
  <si>
    <t>2 Hari</t>
  </si>
  <si>
    <t>PT. PELAYARAN SAMUDERA LESTARI</t>
  </si>
  <si>
    <t>Mr. Indra</t>
  </si>
  <si>
    <t>Jakarta Barat, DKI Jakarta</t>
  </si>
  <si>
    <t>TB. TRUST 17</t>
  </si>
  <si>
    <t>Oktober 2025</t>
  </si>
  <si>
    <t>BG. PSL 271</t>
  </si>
  <si>
    <t>Docking report, Shell expansion, QC report, CCR, FVOR, Quotation, SNOTE, Rincian Biaya</t>
  </si>
  <si>
    <t>PT. PELAYARAN PENSUMBA BAHARI</t>
  </si>
  <si>
    <t>Tanjung Ucang, Batam</t>
  </si>
  <si>
    <t>TB. GEMA I</t>
  </si>
  <si>
    <t>September 2026</t>
  </si>
  <si>
    <t>TB. BRM 11</t>
  </si>
  <si>
    <t>BG. BRM 12</t>
  </si>
  <si>
    <t>21 Hari</t>
  </si>
  <si>
    <t>PT. BINA MARITIM SEJATI</t>
  </si>
  <si>
    <t>OB. BMS 001A</t>
  </si>
  <si>
    <t>November 2025</t>
  </si>
  <si>
    <t>4 Hari</t>
  </si>
  <si>
    <t>5 Hari</t>
  </si>
  <si>
    <t>TB. BERAU 21</t>
  </si>
  <si>
    <t>18 Desember 2025</t>
  </si>
  <si>
    <t>23 Desember 2025</t>
  </si>
  <si>
    <t>BG. PSPM 21</t>
  </si>
  <si>
    <t>27 Desember 2025</t>
  </si>
  <si>
    <t>47 Hari</t>
  </si>
  <si>
    <t>PT. HUMMPUSS TRANSPORTASI CURAH</t>
  </si>
  <si>
    <t>TB. SEMAR TUJUH BELAS</t>
  </si>
  <si>
    <t>Desember 2025</t>
  </si>
  <si>
    <t>17 Desember 2025</t>
  </si>
  <si>
    <t>19 Desember 2025</t>
  </si>
  <si>
    <t>20 Desember 2025</t>
  </si>
  <si>
    <t>31 Desember 2025</t>
  </si>
  <si>
    <t>1 Januari 2026</t>
  </si>
  <si>
    <t>16 Hari</t>
  </si>
  <si>
    <t>TB. DL 25</t>
  </si>
  <si>
    <t>30 Januari 2026</t>
  </si>
  <si>
    <t>OB. PKPJ II</t>
  </si>
  <si>
    <t>21 Desember 2025</t>
  </si>
  <si>
    <t>ada</t>
  </si>
  <si>
    <t>_</t>
  </si>
  <si>
    <t>BG. UTAMA C 01</t>
  </si>
  <si>
    <t>emergency</t>
  </si>
  <si>
    <t>Januari 2024</t>
  </si>
  <si>
    <t>7 Januari 2024</t>
  </si>
  <si>
    <t>8 Januari 2024</t>
  </si>
  <si>
    <t>9 Januari 2024</t>
  </si>
  <si>
    <t>11 Januari 2024</t>
  </si>
  <si>
    <t>TB. SANLE 20</t>
  </si>
  <si>
    <t>27 Desember 2023</t>
  </si>
  <si>
    <t>28 Desember 2023</t>
  </si>
  <si>
    <t>29 Desember 2023</t>
  </si>
  <si>
    <t xml:space="preserve"> 25 Januari 2024</t>
  </si>
  <si>
    <t>20 Februari 2024</t>
  </si>
  <si>
    <t>PT. ECOTRANS SAMUDERA</t>
  </si>
  <si>
    <t>Tangerang Banten</t>
  </si>
  <si>
    <t>BG. SS 2302</t>
  </si>
  <si>
    <t>18 Desember 2023</t>
  </si>
  <si>
    <t>19 Desember 2023</t>
  </si>
  <si>
    <t>20 Desember 2023</t>
  </si>
  <si>
    <t>24 januari 2024</t>
  </si>
  <si>
    <t>PT. PANGGANG LESTARI JAYA</t>
  </si>
  <si>
    <t>Banjarmasin, Kalimantan Selatan</t>
  </si>
  <si>
    <t>BG. ADIPUTRA PASIFIC 88</t>
  </si>
  <si>
    <t>24 Desember 2023</t>
  </si>
  <si>
    <t>25 Desember 2023</t>
  </si>
  <si>
    <t>26 Desember 2023</t>
  </si>
  <si>
    <t>29 Januari 2024</t>
  </si>
  <si>
    <t>Rampdoor LDU</t>
  </si>
  <si>
    <t>15 oktober 2023</t>
  </si>
  <si>
    <t>16 oktober 2023</t>
  </si>
  <si>
    <t>7 februari 2024</t>
  </si>
  <si>
    <t>Februari 2024</t>
  </si>
  <si>
    <t>PT. HUMPUSS TRANSPORTASI CURAH Tbk.</t>
  </si>
  <si>
    <t>TB. SEMAR TUJUHBELAS</t>
  </si>
  <si>
    <t>25 Januari 2024</t>
  </si>
  <si>
    <t>26 Januari 2024</t>
  </si>
  <si>
    <t>27 Januari 2024</t>
  </si>
  <si>
    <t>9 Februari 2024</t>
  </si>
  <si>
    <t>PT. BUANA MARITIM SEJAHTERA</t>
  </si>
  <si>
    <t>TB. BUANA MARITIM 7 &amp; BG. BUANA JAYA 3007</t>
  </si>
  <si>
    <t>PT. CBSP NUSANTARA MARINE</t>
  </si>
  <si>
    <t>Makassar, Sulawesi Selatan</t>
  </si>
  <si>
    <t>TB. BIRINGERE</t>
  </si>
  <si>
    <t>12 Januari 2024</t>
  </si>
  <si>
    <t>13 Januari 2024</t>
  </si>
  <si>
    <t>23 Februari 2024</t>
  </si>
  <si>
    <t>BG. TONASA LINE II</t>
  </si>
  <si>
    <t>13 januari 2024</t>
  </si>
  <si>
    <t>14 januari 2024</t>
  </si>
  <si>
    <t>15 januari 2024</t>
  </si>
  <si>
    <t>28 Februari 2024</t>
  </si>
  <si>
    <t>TB. SEMAR DELAPANBELAS</t>
  </si>
  <si>
    <t>14 Februari 2024</t>
  </si>
  <si>
    <t>15 Februari 2024</t>
  </si>
  <si>
    <t>17 Februari 2024</t>
  </si>
  <si>
    <t>27 Februari 2024</t>
  </si>
  <si>
    <t>BG. SUMBER JAYA 58</t>
  </si>
  <si>
    <t>TB. ASL PROGRESS</t>
  </si>
  <si>
    <t>TB.  BUANA MARITIM 2</t>
  </si>
  <si>
    <t>Maret 2024</t>
  </si>
  <si>
    <t>TB.  BUANA MARITIM 3</t>
  </si>
  <si>
    <t>8 februari 2024</t>
  </si>
  <si>
    <t>9 februari 2024</t>
  </si>
  <si>
    <t>10 februari 2024</t>
  </si>
  <si>
    <t xml:space="preserve"> 3 maret 2024</t>
  </si>
  <si>
    <t>BG. BUANA JAYA 3002</t>
  </si>
  <si>
    <t>10 Februari 2024</t>
  </si>
  <si>
    <t>11 Februari 2024</t>
  </si>
  <si>
    <t>12 Maret 2024</t>
  </si>
  <si>
    <t>BG. BUANA JAYA 3003</t>
  </si>
  <si>
    <t>7 Februari 2024</t>
  </si>
  <si>
    <t>8 Februari 2024</t>
  </si>
  <si>
    <t>13 Maret 2024</t>
  </si>
  <si>
    <t>PT. SUBUR SAKTI</t>
  </si>
  <si>
    <t>Mrs. Rahmi</t>
  </si>
  <si>
    <t>MP. PULAU TUKUNG</t>
  </si>
  <si>
    <t>Crew Boat</t>
  </si>
  <si>
    <t>16 Februari 2024</t>
  </si>
  <si>
    <t>18 Februari 2024</t>
  </si>
  <si>
    <t>6 Maret 2022</t>
  </si>
  <si>
    <t>Mr. Christian Darwinto</t>
  </si>
  <si>
    <t>OB. PKPJ</t>
  </si>
  <si>
    <t>13 Maret 2022</t>
  </si>
  <si>
    <t>14 Maret 2022</t>
  </si>
  <si>
    <t>15 Maret 2022</t>
  </si>
  <si>
    <t>23 Maret 2024</t>
  </si>
  <si>
    <t>PT. VARRO VAL INVESTAMA</t>
  </si>
  <si>
    <t>Mr. Amir</t>
  </si>
  <si>
    <t>TB. MITRACATUR 3</t>
  </si>
  <si>
    <t>NKK</t>
  </si>
  <si>
    <t>7 Maret 2024</t>
  </si>
  <si>
    <t>8 Maret 2024</t>
  </si>
  <si>
    <t>9 Maret 2024</t>
  </si>
  <si>
    <t>24 Maret 2022</t>
  </si>
  <si>
    <t>BG. MANDIRI 2</t>
  </si>
  <si>
    <t>6 Maret 2024</t>
  </si>
  <si>
    <t>28 Maret 2022</t>
  </si>
  <si>
    <t>PT. PELAYARAN KENCANA JAYA PERMAI</t>
  </si>
  <si>
    <t>April 2024</t>
  </si>
  <si>
    <t>14 Maret 2024</t>
  </si>
  <si>
    <t>15 Maret 2024</t>
  </si>
  <si>
    <t>16 Maret 2024</t>
  </si>
  <si>
    <t>2 April 2024</t>
  </si>
  <si>
    <t>PT. CASTBAY MARINE</t>
  </si>
  <si>
    <t>Mr. Heriadi</t>
  </si>
  <si>
    <t>TB. OCEAN ALPHA</t>
  </si>
  <si>
    <t>IRS</t>
  </si>
  <si>
    <t>25 Februari 2024</t>
  </si>
  <si>
    <t>26 Februari 2024</t>
  </si>
  <si>
    <t>5 April 2024</t>
  </si>
  <si>
    <t>BG. PB 3020</t>
  </si>
  <si>
    <t>3 April 2024</t>
  </si>
  <si>
    <t>4 April 2024</t>
  </si>
  <si>
    <t>10 April 2024</t>
  </si>
  <si>
    <t>PT. KARYA MARITIM INDONESIA</t>
  </si>
  <si>
    <t>Mr. Syarif Buana</t>
  </si>
  <si>
    <t>Banyuwangi, Jawa Timur</t>
  </si>
  <si>
    <t>BG. BOX ENAM</t>
  </si>
  <si>
    <t>17 Maret 2024</t>
  </si>
  <si>
    <t>18 Maret 2024</t>
  </si>
  <si>
    <t>22 April 2024</t>
  </si>
  <si>
    <t>TB. ASL PROGRESS &amp;  TB. BILITON 11</t>
  </si>
  <si>
    <t>TB. BUANA MARITIM 6</t>
  </si>
  <si>
    <t>BG. BUANA JAYA 3006</t>
  </si>
  <si>
    <t>MEI 2024</t>
  </si>
  <si>
    <t>29 April 2024</t>
  </si>
  <si>
    <t>TB. BUANA MARITIM 5</t>
  </si>
  <si>
    <t>30 maret 2024</t>
  </si>
  <si>
    <t>31 maret 2024</t>
  </si>
  <si>
    <t>1 April 2024</t>
  </si>
  <si>
    <t>28 April 2024</t>
  </si>
  <si>
    <t>BG. BUANA JAYA 3005</t>
  </si>
  <si>
    <t>24 maret 2024</t>
  </si>
  <si>
    <t>25 maret 2024</t>
  </si>
  <si>
    <t>26 maret 2024</t>
  </si>
  <si>
    <t>16 mei 2024</t>
  </si>
  <si>
    <t>Tangerang, Banten</t>
  </si>
  <si>
    <t>TB. ELIZABETH 2T</t>
  </si>
  <si>
    <t>22 Maret 2024</t>
  </si>
  <si>
    <t>24 Maret 2024</t>
  </si>
  <si>
    <t>23 April 2024</t>
  </si>
  <si>
    <t>BG. SS 2303</t>
  </si>
  <si>
    <t>19 Maret 2024</t>
  </si>
  <si>
    <t>6 Juni 2024</t>
  </si>
  <si>
    <t>PT. KARUNIA LINTAS SAMUDERA</t>
  </si>
  <si>
    <t>Mrs. Rita</t>
  </si>
  <si>
    <t>ss</t>
  </si>
  <si>
    <t>28 Maret 2024</t>
  </si>
  <si>
    <t>29 Maret 2024</t>
  </si>
  <si>
    <t>30 Maret 2024</t>
  </si>
  <si>
    <t>06 Mei 2024</t>
  </si>
  <si>
    <t>Mr. David</t>
  </si>
  <si>
    <t>BG. KENCANA SANJAYA</t>
  </si>
  <si>
    <t>1 Mei 2024</t>
  </si>
  <si>
    <t>2 Mei 2024</t>
  </si>
  <si>
    <t>14 Mei 2024</t>
  </si>
  <si>
    <t>8 Mei 2024</t>
  </si>
  <si>
    <t>PT. MERANTI ANGGUN SAMUDERA</t>
  </si>
  <si>
    <t>Mr. Wimba Prambada</t>
  </si>
  <si>
    <t>BG. BUNGA PERTIWI</t>
  </si>
  <si>
    <t>BG. NEXUS 11</t>
  </si>
  <si>
    <t>24 Februari 2024</t>
  </si>
  <si>
    <t>PT. PELAYARAN ANGKUTAN LAUT BAHTERA VICTORY SHIPPING</t>
  </si>
  <si>
    <t>BINTAN</t>
  </si>
  <si>
    <t>BG. BVS</t>
  </si>
  <si>
    <t>TB. KARYA AGUNG IX</t>
  </si>
  <si>
    <t>TB. KARUNIA SAMUDRA 8</t>
  </si>
  <si>
    <t>9 Mei 2024</t>
  </si>
  <si>
    <t>10 Mei 2024</t>
  </si>
  <si>
    <t>25 Mei 2024</t>
  </si>
  <si>
    <t>3 JUNI 2024</t>
  </si>
  <si>
    <t>24 April 2024</t>
  </si>
  <si>
    <t>25 April 2024</t>
  </si>
  <si>
    <t>22 Mei 2024</t>
  </si>
  <si>
    <t>BG. UTAMA 2</t>
  </si>
  <si>
    <t>15 Mei 2024</t>
  </si>
  <si>
    <t>16 Mei 2024</t>
  </si>
  <si>
    <t>20 juni 2024</t>
  </si>
  <si>
    <t>22 JUNI 2024</t>
  </si>
  <si>
    <t>TB. WGM 207</t>
  </si>
  <si>
    <t>juni 2024</t>
  </si>
  <si>
    <t>23 Mei 2024</t>
  </si>
  <si>
    <t>26 Mei 2024</t>
  </si>
  <si>
    <t>11 Juni 2024</t>
  </si>
  <si>
    <t>BG. TGH 2501</t>
  </si>
  <si>
    <t>ABS</t>
  </si>
  <si>
    <t>19 Mei 2024</t>
  </si>
  <si>
    <t>20 Mei 2024</t>
  </si>
  <si>
    <t>21 Mei 2024</t>
  </si>
  <si>
    <t>13 Juni 2024</t>
  </si>
  <si>
    <t xml:space="preserve"> BG. BAIDURI 30382</t>
  </si>
  <si>
    <t>7 Mei 2024</t>
  </si>
  <si>
    <t>27 Juni 2024</t>
  </si>
  <si>
    <t>PT. MORO CITRA SAMUDRA</t>
  </si>
  <si>
    <t>Mr. Youngky</t>
  </si>
  <si>
    <t>Batam, LubukBaja</t>
  </si>
  <si>
    <t>BG. SAMUDRA V</t>
  </si>
  <si>
    <t>7 Juni 2024</t>
  </si>
  <si>
    <t>8 Juni 2024</t>
  </si>
  <si>
    <t>5 juli 2024</t>
  </si>
  <si>
    <t>TB. ASL APEX</t>
  </si>
  <si>
    <t>11 Mei 2024</t>
  </si>
  <si>
    <t>22 Juni 2024</t>
  </si>
  <si>
    <t>PT. KARUNIA SAMUDERA LINES</t>
  </si>
  <si>
    <t>BG. ASL 56</t>
  </si>
  <si>
    <t>Juli 2024</t>
  </si>
  <si>
    <t>30 Mei 2024</t>
  </si>
  <si>
    <t>31 Mei 2024</t>
  </si>
  <si>
    <t>1 Juli 2024</t>
  </si>
  <si>
    <t>PT. KASAU SINAR SAMUDERA</t>
  </si>
  <si>
    <t>TB. FADLUN 99-09</t>
  </si>
  <si>
    <t>25 Juni 2024</t>
  </si>
  <si>
    <t>26 Juni 2024</t>
  </si>
  <si>
    <t>22 Juli 2024</t>
  </si>
  <si>
    <t>PT. BERJAYA SAMUDERA INDONESIA</t>
  </si>
  <si>
    <t>Dumai, Riau</t>
  </si>
  <si>
    <t>SPOB. SP 1 BSI</t>
  </si>
  <si>
    <t>17 Juni 2024</t>
  </si>
  <si>
    <t>18 Juni 2024</t>
  </si>
  <si>
    <t>19 Juni 2024</t>
  </si>
  <si>
    <t>20 Juli 2024</t>
  </si>
  <si>
    <t>KANTOR KSOP BALIKPAPAN</t>
  </si>
  <si>
    <t>KN.P 497</t>
  </si>
  <si>
    <t>patrol vessel</t>
  </si>
  <si>
    <t xml:space="preserve"> BG. ADIPUTRA PASIFIC</t>
  </si>
  <si>
    <t>28 Juni 2024</t>
  </si>
  <si>
    <t>17 Juli 2024</t>
  </si>
  <si>
    <t>TB. KENCANA MAKMUR</t>
  </si>
  <si>
    <t>23 Juni 2024</t>
  </si>
  <si>
    <t>24 Juni 2024</t>
  </si>
  <si>
    <t>24 Juli 2024</t>
  </si>
  <si>
    <t>TB. MITRA CATUR 5</t>
  </si>
  <si>
    <t>3 Juli 2024</t>
  </si>
  <si>
    <t>4 Juli 2024</t>
  </si>
  <si>
    <t>5 Juli 2024</t>
  </si>
  <si>
    <t>27 Juli 2024</t>
  </si>
  <si>
    <t>BG. MANDIRI 272</t>
  </si>
  <si>
    <t>6 Juli 2024</t>
  </si>
  <si>
    <t>7 Juli 2024</t>
  </si>
  <si>
    <t>26 Juli 2024</t>
  </si>
  <si>
    <t>TB. MAWAR 5</t>
  </si>
  <si>
    <t>28 Juli 2024</t>
  </si>
  <si>
    <t>20 Juni 2024</t>
  </si>
  <si>
    <t>21 Juni 2024</t>
  </si>
  <si>
    <t>29 Juli 2024</t>
  </si>
  <si>
    <t>PT. MERANTI KARYA SAMUDRA</t>
  </si>
  <si>
    <t>LCT. MERANTI 706</t>
  </si>
  <si>
    <t>18 Juli 2024</t>
  </si>
  <si>
    <t>19 Juli 2024</t>
  </si>
  <si>
    <t>25 Juli 2024</t>
  </si>
  <si>
    <t>TB. MITRA CATUR 3</t>
  </si>
  <si>
    <t>Agustus 2024</t>
  </si>
  <si>
    <t>2 Agustus 2024</t>
  </si>
  <si>
    <t>BG. ASIAPRIDE 23180</t>
  </si>
  <si>
    <t>10 Juli 2024</t>
  </si>
  <si>
    <t>11 Juli 2024</t>
  </si>
  <si>
    <t>12 Juli 2024</t>
  </si>
  <si>
    <t>3 Agustus 2024</t>
  </si>
  <si>
    <t>PT. PELAYARAN SUKSES HASIL BAHARI. PONTIANAK</t>
  </si>
  <si>
    <t>Mr. Thomas</t>
  </si>
  <si>
    <t xml:space="preserve">BG. TIGA JAYA 2728 </t>
  </si>
  <si>
    <t>21 Juli 2024</t>
  </si>
  <si>
    <t>23 Juli 2024</t>
  </si>
  <si>
    <t>18 Agustus 2024</t>
  </si>
  <si>
    <t>19 Februari 2024</t>
  </si>
  <si>
    <t>BG. BRM 16</t>
  </si>
  <si>
    <t>16 Agustus 2024</t>
  </si>
  <si>
    <t>PT. SERASI LOGISTICS INDONESIA</t>
  </si>
  <si>
    <t>TB. SERASI VI</t>
  </si>
  <si>
    <t>September 2024</t>
  </si>
  <si>
    <t>29 Agustus 2024</t>
  </si>
  <si>
    <t>30 Agustus 2024</t>
  </si>
  <si>
    <t>31 Agustus 2024</t>
  </si>
  <si>
    <t>11 September 2024</t>
  </si>
  <si>
    <t xml:space="preserve"> OB. SERASI VII</t>
  </si>
  <si>
    <t>6 Agustus 2024</t>
  </si>
  <si>
    <t>7 Agustus 2024</t>
  </si>
  <si>
    <t>8 Agustus 2024</t>
  </si>
  <si>
    <t>1 September 2024</t>
  </si>
  <si>
    <t>TB. OCEAN VENTURE II</t>
  </si>
  <si>
    <t>9 Agustus 2024</t>
  </si>
  <si>
    <t>10 Agustus 2024</t>
  </si>
  <si>
    <t>11 Agustus 2024</t>
  </si>
  <si>
    <t>26 September 2024</t>
  </si>
  <si>
    <t>Mr. Wito</t>
  </si>
  <si>
    <t>TB. WALES</t>
  </si>
  <si>
    <t>RI - Non Class</t>
  </si>
  <si>
    <t>3 Agustus2024</t>
  </si>
  <si>
    <t>4 Agustus2024</t>
  </si>
  <si>
    <t>5 Agustus2024</t>
  </si>
  <si>
    <t>4 September 2024</t>
  </si>
  <si>
    <t>OB. MUDAH I</t>
  </si>
  <si>
    <t>1 Agustus2024</t>
  </si>
  <si>
    <t>2 Agustus2024</t>
  </si>
  <si>
    <t>6 September 2024</t>
  </si>
  <si>
    <t>BG. BRM 06</t>
  </si>
  <si>
    <t>21 Agustus 2024</t>
  </si>
  <si>
    <t>22 Agustus 2024</t>
  </si>
  <si>
    <t>23 Agustus 2024</t>
  </si>
  <si>
    <t>17 September 2024</t>
  </si>
  <si>
    <t>PT. SAMUDERA PRIMA SENTOSA</t>
  </si>
  <si>
    <t>TB. AS JAYA 15</t>
  </si>
  <si>
    <t>4 September2024</t>
  </si>
  <si>
    <t>5 September2024</t>
  </si>
  <si>
    <t>6 September2024</t>
  </si>
  <si>
    <t>15 September 2024</t>
  </si>
  <si>
    <t>OB. AS GLORY 20</t>
  </si>
  <si>
    <t>3 September2024</t>
  </si>
  <si>
    <t>16 September 2024</t>
  </si>
  <si>
    <t>PT. ARGHANIAGA PANCATUNGGAL</t>
  </si>
  <si>
    <t>SPOB. KM SML 9</t>
  </si>
  <si>
    <t>TB. BRM 05</t>
  </si>
  <si>
    <t>7 September2024</t>
  </si>
  <si>
    <t>8 September2024</t>
  </si>
  <si>
    <t>9 September2024</t>
  </si>
  <si>
    <t>9 Oktober 2024</t>
  </si>
  <si>
    <t>TB. SYUKUR 35</t>
  </si>
  <si>
    <t>11 agustus2024</t>
  </si>
  <si>
    <t>10 Oktober 2024</t>
  </si>
  <si>
    <t>BG. SYUKUR 5</t>
  </si>
  <si>
    <t>20 Agustus 2024</t>
  </si>
  <si>
    <t>6 Oktober 2024</t>
  </si>
  <si>
    <t>PT. MUJI LINES</t>
  </si>
  <si>
    <t>KFT-2</t>
  </si>
  <si>
    <t>28 maret 2024</t>
  </si>
  <si>
    <t>PT. PRIMATAMA JAYA ABADI</t>
  </si>
  <si>
    <t>CB. KINABALU</t>
  </si>
  <si>
    <t>crane barge</t>
  </si>
  <si>
    <t>TB. LAJU 3</t>
  </si>
  <si>
    <t>November 2024</t>
  </si>
  <si>
    <t>14 November 2024</t>
  </si>
  <si>
    <t>BG. UTAMA 3</t>
  </si>
  <si>
    <t>6 oktober 2024</t>
  </si>
  <si>
    <t>8 oktober 2024</t>
  </si>
  <si>
    <t>9 oktober 2024</t>
  </si>
  <si>
    <t>29 November 2024</t>
  </si>
  <si>
    <t>LCT. MERANTI 702</t>
  </si>
  <si>
    <t>18 September 2024</t>
  </si>
  <si>
    <t>22 Oktober 2024</t>
  </si>
  <si>
    <t xml:space="preserve"> TB. BINTANG 2002</t>
  </si>
  <si>
    <t>8 September 2024</t>
  </si>
  <si>
    <t>9 September 2024</t>
  </si>
  <si>
    <t>10 September 2024</t>
  </si>
  <si>
    <t>23 Oktober 2024</t>
  </si>
  <si>
    <t>BG. SOEKAWATI 909</t>
  </si>
  <si>
    <t>7 September 2024</t>
  </si>
  <si>
    <t>28 Oktober 2024</t>
  </si>
  <si>
    <t>PT. Andesit Karya Bersama</t>
  </si>
  <si>
    <t>BG. MEGA TRANS VIII</t>
  </si>
  <si>
    <t>PT. DAVIDI INTERNATIONAL</t>
  </si>
  <si>
    <t xml:space="preserve">CB. DP03 </t>
  </si>
  <si>
    <t>OB. SINERGI PERMAI 02</t>
  </si>
  <si>
    <t>31 Oktober 2024</t>
  </si>
  <si>
    <t>1 November 2024</t>
  </si>
  <si>
    <t>2 November 2024</t>
  </si>
  <si>
    <t>19 November 2024</t>
  </si>
  <si>
    <t>PT. CITRA MARITIME</t>
  </si>
  <si>
    <t>Batam, Riau</t>
  </si>
  <si>
    <t>TB. CITRA 52</t>
  </si>
  <si>
    <t>16 oktober 2024</t>
  </si>
  <si>
    <t>17 oktober 2024</t>
  </si>
  <si>
    <t>18 oktober 2024</t>
  </si>
  <si>
    <t>20 November 2024</t>
  </si>
  <si>
    <t>OB. CITRA 30001</t>
  </si>
  <si>
    <t>Desember 2024</t>
  </si>
  <si>
    <t>14 oktober 2024</t>
  </si>
  <si>
    <t>15 oktober 2024</t>
  </si>
  <si>
    <t>26 November 2024</t>
  </si>
  <si>
    <t xml:space="preserve">PT QUADRA SAMUDRA PERKASA </t>
  </si>
  <si>
    <t>TB. MODALWAN 16107</t>
  </si>
  <si>
    <t>OB. OCEANBAY 23238</t>
  </si>
  <si>
    <t>3 November 2024</t>
  </si>
  <si>
    <t>TB. PSL FRANK</t>
  </si>
  <si>
    <t>PT. KENCANA MURIA JAYA</t>
  </si>
  <si>
    <t>Kudus, Jawa Tengah</t>
  </si>
  <si>
    <t>TB. AMIN 01</t>
  </si>
  <si>
    <t>2 September 2024</t>
  </si>
  <si>
    <t>3 September 2024</t>
  </si>
  <si>
    <t>20 Desember 2024</t>
  </si>
  <si>
    <t>PT. SURYA MARITIM SHIPPINDO</t>
  </si>
  <si>
    <t>Mr. Henry</t>
  </si>
  <si>
    <t>TB. GOODWILL</t>
  </si>
  <si>
    <t>Persentasi Profit</t>
  </si>
  <si>
    <t>08215857843</t>
  </si>
  <si>
    <t>raynirwan@yahoo.com,pt.brmmarine@yahoo.com</t>
  </si>
  <si>
    <t>08112619711</t>
  </si>
  <si>
    <t>iwan_gunawan@lajudinamika.com</t>
  </si>
  <si>
    <t>nasikin@sanlemakmur.com</t>
  </si>
  <si>
    <t>081196905253</t>
  </si>
  <si>
    <t>Mr. RAYMOND, Mr. EKO</t>
  </si>
  <si>
    <t>Mr. IWAN</t>
  </si>
  <si>
    <t xml:space="preserve"> Mr. NASIKIN</t>
  </si>
  <si>
    <t>Mr. Obaja</t>
  </si>
  <si>
    <t>obaja_s@ecotransgrup.com</t>
  </si>
  <si>
    <t>08125623112</t>
  </si>
  <si>
    <t>baramulia.meranti@gmail.com</t>
  </si>
  <si>
    <t>082148957612</t>
  </si>
  <si>
    <t>Mr. Eja</t>
  </si>
  <si>
    <t>081347636298</t>
  </si>
  <si>
    <t>tommy@buanamaritim.com</t>
  </si>
  <si>
    <t>081360692420</t>
  </si>
  <si>
    <t>Mr. Rainer</t>
  </si>
  <si>
    <t>081243600050</t>
  </si>
  <si>
    <t>0</t>
  </si>
  <si>
    <t>kencanapermaijaya@gmail.com</t>
  </si>
  <si>
    <t>082143305598</t>
  </si>
  <si>
    <t>0811993219</t>
  </si>
  <si>
    <t>082148674444</t>
  </si>
  <si>
    <t>pt.karunia_lintassamudra@yahoo.co.id</t>
  </si>
  <si>
    <t>081347832096</t>
  </si>
  <si>
    <t>wimba.meranti@gmail.com</t>
  </si>
  <si>
    <t>08118099999</t>
  </si>
  <si>
    <t>081995558883</t>
  </si>
  <si>
    <t>Mrs. Sarah</t>
  </si>
  <si>
    <t>081347203080</t>
  </si>
  <si>
    <t>08568778199</t>
  </si>
  <si>
    <t>henry.dharmawan@sera.astra.co.id</t>
  </si>
  <si>
    <t>085157715930</t>
  </si>
  <si>
    <t>pelayaran_intan@yahoo.com</t>
  </si>
  <si>
    <t>082345567189</t>
  </si>
  <si>
    <t>Mrs. Mega</t>
  </si>
  <si>
    <t>081389643511</t>
  </si>
  <si>
    <t>081210796478</t>
  </si>
  <si>
    <t>Mr. Harjo</t>
  </si>
  <si>
    <t>harjo.sulistyawan@ptdca.co.id</t>
  </si>
  <si>
    <t>081288642404</t>
  </si>
  <si>
    <t>Mr. Yanuar</t>
  </si>
  <si>
    <t>081211399994</t>
  </si>
  <si>
    <t>Mr. Murdianto</t>
  </si>
  <si>
    <t>085247534377</t>
  </si>
  <si>
    <t>Mr. Imam Maulana</t>
  </si>
  <si>
    <t>089518890536</t>
  </si>
  <si>
    <t>Mr. Utomo</t>
  </si>
  <si>
    <t>08115403456</t>
  </si>
  <si>
    <t>Mr. James Marcel</t>
  </si>
  <si>
    <t>085224857025</t>
  </si>
  <si>
    <t>Persentasi Omset</t>
  </si>
  <si>
    <t>Mr. Hendra</t>
  </si>
  <si>
    <t>081931603292</t>
  </si>
  <si>
    <t>pthsl.smd@gmail.com</t>
  </si>
  <si>
    <t xml:space="preserve"> Mr. Karnadi</t>
  </si>
  <si>
    <t>imam.wau@gmail.com</t>
  </si>
  <si>
    <t>Mr. Halim</t>
  </si>
  <si>
    <t>081347000133</t>
  </si>
  <si>
    <t>081226748636</t>
  </si>
  <si>
    <t>085250056661</t>
  </si>
  <si>
    <t>0811741199</t>
  </si>
  <si>
    <t>08115821221</t>
  </si>
  <si>
    <t>085751804056</t>
  </si>
  <si>
    <t>082220369986</t>
  </si>
  <si>
    <t>Mr. Zul</t>
  </si>
  <si>
    <t>zulkhaidir@imcpelitalog.com</t>
  </si>
  <si>
    <t>08115575690</t>
  </si>
  <si>
    <t>081347504888</t>
  </si>
  <si>
    <t>082146667921</t>
  </si>
  <si>
    <t>081385889868</t>
  </si>
  <si>
    <t>Mr. Fakhry</t>
  </si>
  <si>
    <t>082290141166</t>
  </si>
  <si>
    <t>active</t>
  </si>
  <si>
    <t>Izin usaha, NPWP, Norek</t>
  </si>
  <si>
    <t>Izin usaha, NPWP, Norek, CSMS, PO</t>
  </si>
  <si>
    <t>Izin usaha, NPWP, Norek, CSMS, SPK</t>
  </si>
  <si>
    <t>Izin usaha, NPWP, Norek, Kontrak</t>
  </si>
  <si>
    <t>Izin usaha, NPWP, Norek, PO</t>
  </si>
  <si>
    <t>Izin usaha, NPWP</t>
  </si>
  <si>
    <t>Izin usaha, NPWP, Norek, SPK</t>
  </si>
  <si>
    <t>&gt;50</t>
  </si>
  <si>
    <t>30 Januari 2024</t>
  </si>
  <si>
    <t>17 mei 2024</t>
  </si>
  <si>
    <t>6 juli 2024</t>
  </si>
  <si>
    <t>17 Agustus 2024</t>
  </si>
  <si>
    <t>21 Desember 2024</t>
  </si>
  <si>
    <t>BG. ASIA PRIDE 23176</t>
  </si>
  <si>
    <t>27 May 2024</t>
  </si>
  <si>
    <t>10 Jul 2024</t>
  </si>
  <si>
    <t>20 May 2024</t>
  </si>
  <si>
    <t>04 Jun 2024</t>
  </si>
  <si>
    <t>22 May 2024</t>
  </si>
  <si>
    <t>20 Jun 2024</t>
  </si>
  <si>
    <t>13 Aug 2024</t>
  </si>
  <si>
    <t>06 Sep 2024</t>
  </si>
  <si>
    <t>18 Oct 2024</t>
  </si>
  <si>
    <t>15 Nov 2024</t>
  </si>
  <si>
    <t>17 Feb 2025</t>
  </si>
  <si>
    <t>22 Nov 2024</t>
  </si>
  <si>
    <t>31 Dec 2024</t>
  </si>
  <si>
    <t>18 Mar 2024</t>
  </si>
  <si>
    <t>11 Apr 2024</t>
  </si>
  <si>
    <t>13 Jun 2024</t>
  </si>
  <si>
    <t>19 Jul 2024</t>
  </si>
  <si>
    <t>01 Feb 2024</t>
  </si>
  <si>
    <t>12 Feb 2024</t>
  </si>
  <si>
    <t>13 May 2024</t>
  </si>
  <si>
    <t>22 Jan 2024</t>
  </si>
  <si>
    <t>04 Mar 2024</t>
  </si>
  <si>
    <t>26 Apr 2024</t>
  </si>
  <si>
    <t>03 Jun 2024</t>
  </si>
  <si>
    <t>15 Jun 2024</t>
  </si>
  <si>
    <t>28 May 2024</t>
  </si>
  <si>
    <t>14 Aug 2024</t>
  </si>
  <si>
    <t>22 Jul 2024</t>
  </si>
  <si>
    <t>19 Jun 2024</t>
  </si>
  <si>
    <t>09 Jan 2024</t>
  </si>
  <si>
    <t>29 Jan 2024</t>
  </si>
  <si>
    <t>27 Feb 2024</t>
  </si>
  <si>
    <t>08 Jan 2024</t>
  </si>
  <si>
    <t>24 Jan 2024</t>
  </si>
  <si>
    <t>15 May 2024</t>
  </si>
  <si>
    <t>31 May 2024</t>
  </si>
  <si>
    <t>03 Jul 2024</t>
  </si>
  <si>
    <t>15 Aug 2024</t>
  </si>
  <si>
    <t>14 Mar 2024</t>
  </si>
  <si>
    <t>28 Aug 2024</t>
  </si>
  <si>
    <t>21 Oct 2024</t>
  </si>
  <si>
    <t>12 Dec 2024</t>
  </si>
  <si>
    <t>28 Feb 2025</t>
  </si>
  <si>
    <t>18 Mar 2025</t>
  </si>
  <si>
    <t>07 Feb 2024</t>
  </si>
  <si>
    <t>30 Jan 2024</t>
  </si>
  <si>
    <t>28 Mar 2024</t>
  </si>
  <si>
    <t>16 Mar 2024</t>
  </si>
  <si>
    <t>26 Feb 2024</t>
  </si>
  <si>
    <t>16 Feb 2024</t>
  </si>
  <si>
    <t>22 Feb 2024</t>
  </si>
  <si>
    <t>26 Mar 2024</t>
  </si>
  <si>
    <t>06 Mar 2024</t>
  </si>
  <si>
    <t>14 Jun 2024</t>
  </si>
  <si>
    <t>02 May 2024</t>
  </si>
  <si>
    <t>23 Apr 2024</t>
  </si>
  <si>
    <t>25 Jul 2024</t>
  </si>
  <si>
    <t>24 Jul 2024</t>
  </si>
  <si>
    <t>16 Aug 2024</t>
  </si>
  <si>
    <t>10 Oct 2024</t>
  </si>
  <si>
    <t>08 Oct 2024</t>
  </si>
  <si>
    <t>09 Aug 2024</t>
  </si>
  <si>
    <t>15 Jul 2024</t>
  </si>
  <si>
    <t>01 Mar 2024</t>
  </si>
  <si>
    <t>24 Sep 2024</t>
  </si>
  <si>
    <t>07 Jun 2024</t>
  </si>
  <si>
    <t>05 Aug 2024</t>
  </si>
  <si>
    <t>06 Aug 2024</t>
  </si>
  <si>
    <t>30 Dec 2024</t>
  </si>
  <si>
    <t>14 May 2024</t>
  </si>
  <si>
    <t>27 Dec 2024</t>
  </si>
  <si>
    <t>24 Mar 2025</t>
  </si>
  <si>
    <t>06 Dec 2024</t>
  </si>
  <si>
    <t>01 Dec 2025</t>
  </si>
  <si>
    <t>23 Dec 2024</t>
  </si>
  <si>
    <t>26 Nov 2024</t>
  </si>
  <si>
    <t>23 Mar 2024</t>
  </si>
  <si>
    <t>05 Apr 2024</t>
  </si>
  <si>
    <t>21 Mar 2024</t>
  </si>
  <si>
    <t>19 Aug 2024</t>
  </si>
  <si>
    <t>08 Apr 2024</t>
  </si>
  <si>
    <t>07 Dec 2024</t>
  </si>
  <si>
    <t>26 Mar 2025</t>
  </si>
  <si>
    <t>11 Dec 2024</t>
  </si>
  <si>
    <t>27 Sep 2024</t>
  </si>
  <si>
    <t>21 Nov 2024</t>
  </si>
  <si>
    <t>05 Jun 2025</t>
  </si>
  <si>
    <t>28 Mar 2025</t>
  </si>
  <si>
    <t>24 Jan 2025</t>
  </si>
  <si>
    <t>11 Nov 2024</t>
  </si>
  <si>
    <t>05 Nov 2024</t>
  </si>
  <si>
    <t>20 Nov 2024</t>
  </si>
  <si>
    <t>19 Nov 2024</t>
  </si>
  <si>
    <t>07 Feb 2025</t>
  </si>
  <si>
    <t>04 Sep 2024</t>
  </si>
  <si>
    <t>04 Dec 2024</t>
  </si>
  <si>
    <t>04 Oct 2024</t>
  </si>
  <si>
    <t>14 Oct 2024</t>
  </si>
  <si>
    <t>29 Oct 2024</t>
  </si>
  <si>
    <t>03 Dec 2024</t>
  </si>
  <si>
    <t>13 Dec 2024</t>
  </si>
  <si>
    <t>02 Dec 2024</t>
  </si>
  <si>
    <t>16 Oct 2024</t>
  </si>
  <si>
    <t>17 Sep 2024</t>
  </si>
  <si>
    <t>05 Oct 2024</t>
  </si>
  <si>
    <t>19 Sep 2024</t>
  </si>
  <si>
    <t>28 Dec 2024</t>
  </si>
  <si>
    <t>09 Dec 2024</t>
  </si>
  <si>
    <t>23 Jan 2025</t>
  </si>
  <si>
    <t>07 Oct 2024</t>
  </si>
  <si>
    <t>08 Aug 2024</t>
  </si>
  <si>
    <t>02 Mar 2026</t>
  </si>
  <si>
    <t>25 Jun 2024</t>
  </si>
  <si>
    <t>30 May 2024</t>
  </si>
  <si>
    <t>27 Aug 2024</t>
  </si>
  <si>
    <t>15 Oct 2024</t>
  </si>
  <si>
    <t>19 Dec 2024</t>
  </si>
  <si>
    <t>27 Feb 2025</t>
  </si>
  <si>
    <t>16 Apr 2024</t>
  </si>
  <si>
    <t>15 Apr 2024</t>
  </si>
  <si>
    <t>01 Apr 2024</t>
  </si>
  <si>
    <t>25 Oct 2024</t>
  </si>
  <si>
    <t>26 Aug 2024</t>
  </si>
  <si>
    <t>29 Jul 2024</t>
  </si>
  <si>
    <t>01 Oct 2024</t>
  </si>
  <si>
    <t>17 Jul 2024</t>
  </si>
  <si>
    <t>20 Sep 2024</t>
  </si>
  <si>
    <t>22 Oct 2024</t>
  </si>
  <si>
    <t>30 Sep 2024</t>
  </si>
  <si>
    <t>04 Jun 2025</t>
  </si>
  <si>
    <t>28 Nov 2024</t>
  </si>
  <si>
    <t>30 Oct 2024</t>
  </si>
  <si>
    <t>05 Sep 2024</t>
  </si>
  <si>
    <t>18 Nov 2024</t>
  </si>
  <si>
    <t>27 Mar 2025</t>
  </si>
  <si>
    <t>12 Mar 2025</t>
  </si>
  <si>
    <t>09 May 2025</t>
  </si>
  <si>
    <t>24 Feb 2025</t>
  </si>
  <si>
    <t>12 Feb 2025</t>
  </si>
  <si>
    <t>19 Dec 2025</t>
  </si>
  <si>
    <t>02 Dec 2025</t>
  </si>
  <si>
    <t>08 Jan 2025</t>
  </si>
  <si>
    <t>19 Jun 2025</t>
  </si>
  <si>
    <t>10 Mar 2025</t>
  </si>
  <si>
    <t>20 Feb 2025</t>
  </si>
  <si>
    <t>28 Jun 2025</t>
  </si>
  <si>
    <t>18 Jul 2025</t>
  </si>
  <si>
    <t>15 Sep 2025</t>
  </si>
  <si>
    <t>19 Aug 2025</t>
  </si>
  <si>
    <t>02 Jul 2025</t>
  </si>
  <si>
    <t>14 Jun 2025</t>
  </si>
  <si>
    <t>04 Jul 2025</t>
  </si>
  <si>
    <t>30 Jul 2025</t>
  </si>
  <si>
    <t>30 Apr 2025</t>
  </si>
  <si>
    <t>19 Mar 2025</t>
  </si>
  <si>
    <t>03 Feb 2025</t>
  </si>
  <si>
    <t>16 Jan 2025</t>
  </si>
  <si>
    <t>05 Mar 2025</t>
  </si>
  <si>
    <t>21 Mar 2025</t>
  </si>
  <si>
    <t>06 Mar 2025</t>
  </si>
  <si>
    <t>03 Dec 2025</t>
  </si>
  <si>
    <t>19 Nov 2025</t>
  </si>
  <si>
    <t>07 Jan 2026</t>
  </si>
  <si>
    <t>11 Dec 2025</t>
  </si>
  <si>
    <t>16 Dec 2025</t>
  </si>
  <si>
    <t>05 Dec 2025</t>
  </si>
  <si>
    <t>24 Dec 2025</t>
  </si>
  <si>
    <t>07 Oct 2025</t>
  </si>
  <si>
    <t>18 Nov 2025</t>
  </si>
  <si>
    <t>17 Nov 2025</t>
  </si>
  <si>
    <t>04 Dec 2025</t>
  </si>
  <si>
    <t>19 Feb 2026</t>
  </si>
  <si>
    <t>26 Nov 2025</t>
  </si>
  <si>
    <t>06 Feb 2026</t>
  </si>
  <si>
    <t>29 Sep 2025</t>
  </si>
  <si>
    <t>06 Oct 2025</t>
  </si>
  <si>
    <t>09 Sep 2025</t>
  </si>
  <si>
    <t>26 Dec 2025</t>
  </si>
  <si>
    <t>28 Nov 2025</t>
  </si>
  <si>
    <t>15 Oct 2025</t>
  </si>
  <si>
    <t>25 Aug 2025</t>
  </si>
  <si>
    <t>26 Sep 2025</t>
  </si>
  <si>
    <t>27 Aug 2025</t>
  </si>
  <si>
    <t>01 Aug 2025</t>
  </si>
  <si>
    <t>11 Sep 2025</t>
  </si>
  <si>
    <t>14 Nov 2025</t>
  </si>
  <si>
    <t>19 Sep 2025</t>
  </si>
  <si>
    <t>12 Aug 2025</t>
  </si>
  <si>
    <t>29 Jul 2025</t>
  </si>
  <si>
    <t>12 Sep 2025</t>
  </si>
  <si>
    <t>29 Aug 2025</t>
  </si>
  <si>
    <t>08 Sep 2025</t>
  </si>
  <si>
    <t>28 Oct 2025</t>
  </si>
  <si>
    <t>03 Oct 2025</t>
  </si>
  <si>
    <t>23 Jun 2025</t>
  </si>
  <si>
    <t>15 Jul 2025</t>
  </si>
  <si>
    <t>10 Nov 2025</t>
  </si>
  <si>
    <t>01 Sep 2025</t>
  </si>
  <si>
    <t>14 Jul 2025</t>
  </si>
  <si>
    <t>04 Sep 2025</t>
  </si>
  <si>
    <t>23 Jul 2025</t>
  </si>
  <si>
    <t>21 Jul 2025</t>
  </si>
  <si>
    <t>10 Jun 2025</t>
  </si>
  <si>
    <t>11 Jun 2025</t>
  </si>
  <si>
    <t>17 Jun 2025</t>
  </si>
  <si>
    <t>26 May 2025</t>
  </si>
  <si>
    <t>03 Jun 2025</t>
  </si>
  <si>
    <t>11 Jul 2025</t>
  </si>
  <si>
    <t>28 Jul 2025</t>
  </si>
  <si>
    <t>09 Oct 2025</t>
  </si>
  <si>
    <t>27 May 2025</t>
  </si>
  <si>
    <t>06 May 2025</t>
  </si>
  <si>
    <t>18 Jun 2025</t>
  </si>
  <si>
    <t>13 May 2025</t>
  </si>
  <si>
    <t>17 Jul 2025</t>
  </si>
  <si>
    <t>16 Jun 2025</t>
  </si>
  <si>
    <t>05 May 2025</t>
  </si>
  <si>
    <t>19 May 2025</t>
  </si>
  <si>
    <t>13 Jun 2025</t>
  </si>
  <si>
    <t>15 May 2025</t>
  </si>
  <si>
    <t>29 Apr 2025</t>
  </si>
  <si>
    <t>24 Apr 2025</t>
  </si>
  <si>
    <t>25 Apr 2025</t>
  </si>
  <si>
    <t>22 Apr 2025</t>
  </si>
  <si>
    <t>14 May 2025</t>
  </si>
  <si>
    <t>17 Apr 2025</t>
  </si>
  <si>
    <t>08 May 2025</t>
  </si>
  <si>
    <t>01 Jul 2025</t>
  </si>
  <si>
    <t>14 Mar 2025</t>
  </si>
  <si>
    <t>02 May 2025</t>
  </si>
  <si>
    <t>30 Jan 2026</t>
  </si>
  <si>
    <t>27 Mei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</si>
</sst>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p&quot;* #,##0.00_-;\-&quot;Rp&quot;* #,##0.00_-;_-&quot;Rp&quot;* &quot;-&quot;??_-;_-@_-"/>
    <numFmt numFmtId="165" formatCode="[$-13809]dd\ mmmm\ yyyy;@"/>
    <numFmt numFmtId="166" formatCode="_-&quot;Rp&quot;* #,##0_-;\-&quot;Rp&quot;* #,##0_-;_-&quot;Rp&quot;* &quot;-&quot;??_-;_-@_-"/>
    <numFmt numFmtId="167" formatCode="_-&quot;IDR&quot;* #,##0_-;\-&quot;IDR&quot;* #,##0_-;_-&quot;IDR&quot;* &quot;-&quot;_-;_-@_-"/>
    <numFmt numFmtId="168" formatCode="0.000000000000"/>
  </numFmts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"/>
    </font>
    <font>
      <sz val="9"/>
      <color theme="1"/>
      <name val="Calibri "/>
    </font>
    <font>
      <i/>
      <sz val="9"/>
      <color rgb="FFFF0000"/>
      <name val="Calibri "/>
    </font>
    <font>
      <sz val="9"/>
      <color rgb="FFFF0000"/>
      <name val="Calibri "/>
    </font>
    <font>
      <sz val="5"/>
      <color theme="1"/>
      <name val="Calibri "/>
    </font>
    <font>
      <sz val="5"/>
      <color rgb="FFFF0000"/>
      <name val="Calibri "/>
    </font>
    <font>
      <sz val="11"/>
      <color theme="1"/>
      <name val="Calibri"/>
      <family val="2"/>
      <scheme val="minor"/>
    </font>
    <font>
      <u/>
      <sz val="9"/>
      <color theme="1"/>
      <name val="Calibri "/>
    </font>
    <font>
      <sz val="8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4" fontId="12" fillId="4" borderId="0">
      <alignment horizontal="center" vertical="top"/>
    </xf>
    <xf numFmtId="4" fontId="13" fillId="4" borderId="0">
      <alignment horizontal="center" vertical="top"/>
    </xf>
    <xf numFmtId="4" fontId="20" fillId="4" borderId="0">
      <alignment horizontal="right" vertical="top"/>
    </xf>
    <xf numFmtId="4" fontId="19" fillId="4" borderId="0">
      <alignment horizontal="right" vertical="top"/>
    </xf>
    <xf numFmtId="4" fontId="15" fillId="4" borderId="0">
      <alignment horizontal="right" vertical="top"/>
    </xf>
    <xf numFmtId="4" fontId="21" fillId="4" borderId="0">
      <alignment horizontal="center" vertical="top"/>
    </xf>
    <xf numFmtId="4" fontId="21" fillId="4" borderId="0">
      <alignment horizontal="left" vertical="top"/>
    </xf>
    <xf numFmtId="4" fontId="21" fillId="4" borderId="0">
      <alignment horizontal="right" vertical="top"/>
    </xf>
    <xf numFmtId="4" fontId="20" fillId="4" borderId="0">
      <alignment horizontal="right" vertical="top"/>
    </xf>
    <xf numFmtId="4" fontId="14" fillId="4" borderId="0">
      <alignment horizontal="center" vertical="top"/>
    </xf>
    <xf numFmtId="4" fontId="15" fillId="4" borderId="0">
      <alignment horizontal="right" vertical="top"/>
    </xf>
    <xf numFmtId="4" fontId="16" fillId="4" borderId="0">
      <alignment horizontal="center" vertical="top"/>
    </xf>
    <xf numFmtId="4" fontId="17" fillId="4" borderId="0">
      <alignment horizontal="left" vertical="top"/>
    </xf>
    <xf numFmtId="4" fontId="15" fillId="4" borderId="0">
      <alignment horizontal="left" vertical="top"/>
    </xf>
    <xf numFmtId="4" fontId="18" fillId="4" borderId="0">
      <alignment horizontal="right" vertical="top"/>
    </xf>
    <xf numFmtId="4" fontId="19" fillId="4" borderId="0">
      <alignment horizontal="left" vertical="top"/>
    </xf>
    <xf numFmtId="4" fontId="19" fillId="4" borderId="0">
      <alignment horizontal="right" vertical="top"/>
    </xf>
    <xf numFmtId="4" fontId="19" fillId="4" borderId="0">
      <alignment horizontal="right" vertical="top"/>
    </xf>
    <xf numFmtId="4" fontId="19" fillId="4" borderId="0">
      <alignment horizontal="left" vertical="top"/>
    </xf>
    <xf numFmtId="4" fontId="20" fillId="4" borderId="0">
      <alignment horizontal="right" vertical="top"/>
    </xf>
    <xf numFmtId="4" fontId="18" fillId="4" borderId="0">
      <alignment horizontal="right" vertical="top"/>
    </xf>
    <xf numFmtId="4" fontId="21" fillId="4" borderId="0">
      <alignment horizontal="right" vertical="top"/>
    </xf>
    <xf numFmtId="4" fontId="21" fillId="4" borderId="0">
      <alignment horizontal="left" vertical="top"/>
    </xf>
    <xf numFmtId="4" fontId="21" fillId="4" borderId="0">
      <alignment horizontal="center" vertical="top"/>
    </xf>
  </cellStyleXfs>
  <cellXfs count="96">
    <xf numFmtId="0" fontId="0" fillId="0" borderId="0" xfId="0"/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7" fillId="0" borderId="0" xfId="0" applyFont="1"/>
    <xf numFmtId="0" fontId="7" fillId="0" borderId="0" xfId="0" applyFont="1" applyAlignment="1">
      <alignment wrapText="1"/>
    </xf>
    <xf numFmtId="14" fontId="6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1" applyFont="1" applyBorder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164" fontId="7" fillId="0" borderId="0" xfId="2" applyFont="1" applyAlignment="1">
      <alignment vertical="center" wrapText="1"/>
    </xf>
    <xf numFmtId="164" fontId="0" fillId="0" borderId="0" xfId="2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64" fontId="4" fillId="0" borderId="0" xfId="2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165" fontId="0" fillId="0" borderId="0" xfId="0" applyNumberFormat="1" applyAlignment="1">
      <alignment vertical="center"/>
    </xf>
    <xf numFmtId="165" fontId="7" fillId="0" borderId="0" xfId="0" applyNumberFormat="1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166" fontId="4" fillId="0" borderId="1" xfId="2" applyNumberFormat="1" applyFont="1" applyBorder="1" applyAlignment="1">
      <alignment horizontal="center" vertical="center" wrapText="1"/>
    </xf>
    <xf numFmtId="166" fontId="4" fillId="0" borderId="1" xfId="2" applyNumberFormat="1" applyFont="1" applyBorder="1" applyAlignment="1">
      <alignment vertical="center" wrapText="1"/>
    </xf>
    <xf numFmtId="166" fontId="4" fillId="0" borderId="3" xfId="2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165" fontId="4" fillId="0" borderId="1" xfId="0" quotePrefix="1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/>
    </xf>
    <xf numFmtId="0" fontId="3" fillId="3" borderId="2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2" applyFont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8" fontId="4" fillId="0" borderId="1" xfId="2" applyNumberFormat="1" applyFont="1" applyBorder="1" applyAlignment="1">
      <alignment horizontal="center" vertical="center" wrapText="1"/>
    </xf>
    <xf numFmtId="10" fontId="4" fillId="0" borderId="3" xfId="2" applyNumberFormat="1" applyFont="1" applyBorder="1" applyAlignment="1">
      <alignment horizontal="center" vertical="center" wrapText="1"/>
    </xf>
    <xf numFmtId="14" fontId="15" fillId="4" borderId="0" xfId="16" applyNumberFormat="1" applyAlignment="1">
      <alignment horizontal="left" vertical="top" wrapText="1"/>
    </xf>
    <xf numFmtId="4" fontId="15" fillId="5" borderId="12" xfId="15" quotePrefix="1" applyFont="1" applyFill="1" applyBorder="1" applyAlignment="1">
      <alignment horizontal="left" vertical="top" wrapText="1"/>
    </xf>
    <xf numFmtId="4" fontId="15" fillId="4" borderId="12" xfId="15" quotePrefix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2" applyNumberFormat="1" applyFont="1" applyFill="1" applyBorder="1" applyAlignment="1">
      <alignment horizontal="center" vertical="center" wrapText="1"/>
    </xf>
    <xf numFmtId="0" fontId="3" fillId="2" borderId="7" xfId="2" applyNumberFormat="1" applyFont="1" applyFill="1" applyBorder="1" applyAlignment="1">
      <alignment horizontal="center" vertical="center" wrapText="1"/>
    </xf>
    <xf numFmtId="0" fontId="3" fillId="2" borderId="8" xfId="2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2" applyNumberFormat="1" applyFont="1" applyFill="1" applyBorder="1" applyAlignment="1">
      <alignment horizontal="center" vertical="center" wrapText="1"/>
    </xf>
    <xf numFmtId="0" fontId="3" fillId="3" borderId="8" xfId="2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2" xfId="2" applyNumberFormat="1" applyFont="1" applyFill="1" applyBorder="1" applyAlignment="1">
      <alignment horizontal="center" vertical="center" wrapText="1"/>
    </xf>
  </cellXfs>
  <cellStyles count="27">
    <cellStyle name="Hipertaut" xfId="1" builtinId="8"/>
    <cellStyle name="Mata Uang" xfId="2" builtinId="4"/>
    <cellStyle name="Normal" xfId="0" builtinId="0"/>
    <cellStyle name="S0" xfId="3" xr:uid="{A9E763E4-999A-45EC-B7DD-ADF08C7D671F}"/>
    <cellStyle name="S1" xfId="4" xr:uid="{967A59CA-A3CE-4C1E-A9B7-053CF06111C2}"/>
    <cellStyle name="S10" xfId="5" xr:uid="{F1DFF4E3-628E-4368-B9D4-F3DEC1F44A3D}"/>
    <cellStyle name="S10 2" xfId="26" xr:uid="{BCB0CC0C-A7CB-41AF-B7C9-5B70C9844051}"/>
    <cellStyle name="S11" xfId="6" xr:uid="{3A32D822-70B5-452F-933A-9ECFF1B5197A}"/>
    <cellStyle name="S11 2" xfId="25" xr:uid="{798A5B9C-D8D0-437E-B442-72A174B698B8}"/>
    <cellStyle name="S12" xfId="7" xr:uid="{C981C7E8-1C08-4A70-A30D-BB7BA83FDF10}"/>
    <cellStyle name="S12 2" xfId="24" xr:uid="{0ABABB1E-1819-419F-9EB3-493B5AAD163B}"/>
    <cellStyle name="S13" xfId="8" xr:uid="{664626F9-28DF-44BD-AF3E-4E83B36A84E7}"/>
    <cellStyle name="S13 2" xfId="23" xr:uid="{E6ED3554-56A7-4FAD-A0F4-9C014ED2F981}"/>
    <cellStyle name="S14" xfId="9" xr:uid="{AF8B2EAA-098E-461F-B34A-303788EC1442}"/>
    <cellStyle name="S14 2" xfId="22" xr:uid="{4D86808C-DCBC-49F6-88CB-A298B3DDE2B5}"/>
    <cellStyle name="S15" xfId="10" xr:uid="{4C97A35E-F863-4389-AF73-E69D25DF032A}"/>
    <cellStyle name="S16" xfId="11" xr:uid="{DFEAA5BA-A129-424D-82C3-614053E3305F}"/>
    <cellStyle name="S2" xfId="12" xr:uid="{79A06E8E-DD89-442C-8A8F-D0C35284200B}"/>
    <cellStyle name="S3" xfId="13" xr:uid="{BDD53CCC-2BF0-4C47-8B4D-25B843F88D94}"/>
    <cellStyle name="S4" xfId="14" xr:uid="{C649DFAE-E61B-4F8B-AA9B-28B882B62251}"/>
    <cellStyle name="S5" xfId="15" xr:uid="{AE630952-964A-435C-A782-7326E047BB32}"/>
    <cellStyle name="S6" xfId="16" xr:uid="{A3F7BABB-BBC9-4EFF-8B9A-36D4F1ED55D4}"/>
    <cellStyle name="S7" xfId="17" xr:uid="{AF532118-F4DA-4B1C-B9B6-BE2B84374A69}"/>
    <cellStyle name="S7 2" xfId="21" xr:uid="{B876F76B-4A43-41F8-A09C-974C5527EEE5}"/>
    <cellStyle name="S8" xfId="18" xr:uid="{A6FC132C-393F-48A3-970A-4AEBA5C00720}"/>
    <cellStyle name="S8 2" xfId="20" xr:uid="{18AF4D0E-5A00-42D7-9F2B-EE9F6C2E87AB}"/>
    <cellStyle name="S9" xfId="19" xr:uid="{E177FBA6-9145-4299-BE23-5BC56EE048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t.karunia_lintassamudra@yahoo.co.id" TargetMode="External"/><Relationship Id="rId18" Type="http://schemas.openxmlformats.org/officeDocument/2006/relationships/hyperlink" Target="mailto:raynirwan@yahoo.com,pt.brmmarine@yahoo.com" TargetMode="External"/><Relationship Id="rId26" Type="http://schemas.openxmlformats.org/officeDocument/2006/relationships/hyperlink" Target="mailto:raynirwan@yahoo.com,pt.brmmarine@yahoo.com" TargetMode="External"/><Relationship Id="rId3" Type="http://schemas.openxmlformats.org/officeDocument/2006/relationships/hyperlink" Target="mailto:harjo.sulistyawan@ptdca.co.id" TargetMode="External"/><Relationship Id="rId21" Type="http://schemas.openxmlformats.org/officeDocument/2006/relationships/hyperlink" Target="mailto:pelayaran_intan@yahoo.com" TargetMode="External"/><Relationship Id="rId34" Type="http://schemas.openxmlformats.org/officeDocument/2006/relationships/hyperlink" Target="mailto:imam.wau@gmail.com" TargetMode="External"/><Relationship Id="rId7" Type="http://schemas.openxmlformats.org/officeDocument/2006/relationships/hyperlink" Target="mailto:baramulia.meranti@gmail.com" TargetMode="External"/><Relationship Id="rId12" Type="http://schemas.openxmlformats.org/officeDocument/2006/relationships/hyperlink" Target="mailto:raynirwan@yahoo.com,pt.brmmarine@yahoo.com" TargetMode="External"/><Relationship Id="rId17" Type="http://schemas.openxmlformats.org/officeDocument/2006/relationships/hyperlink" Target="mailto:imam.wau@gmail.com" TargetMode="External"/><Relationship Id="rId25" Type="http://schemas.openxmlformats.org/officeDocument/2006/relationships/hyperlink" Target="mailto:zulkhaidir@imcpelitalog.com" TargetMode="External"/><Relationship Id="rId33" Type="http://schemas.openxmlformats.org/officeDocument/2006/relationships/hyperlink" Target="mailto:imam.wau@gmail.com" TargetMode="External"/><Relationship Id="rId2" Type="http://schemas.openxmlformats.org/officeDocument/2006/relationships/hyperlink" Target="mailto:raynirwan@yahoo.com,pt.brmmarine@yahoo.com" TargetMode="External"/><Relationship Id="rId16" Type="http://schemas.openxmlformats.org/officeDocument/2006/relationships/hyperlink" Target="mailto:tommy@buanamaritim.com" TargetMode="External"/><Relationship Id="rId20" Type="http://schemas.openxmlformats.org/officeDocument/2006/relationships/hyperlink" Target="mailto:raynirwan@yahoo.com,pt.brmmarine@yahoo.com" TargetMode="External"/><Relationship Id="rId29" Type="http://schemas.openxmlformats.org/officeDocument/2006/relationships/hyperlink" Target="mailto:raynirwan@yahoo.com,pt.brmmarine@yahoo.com" TargetMode="External"/><Relationship Id="rId1" Type="http://schemas.openxmlformats.org/officeDocument/2006/relationships/hyperlink" Target="mailto:raynirwan@yahoo.com,pt.brmmarine@yahoo.com" TargetMode="External"/><Relationship Id="rId6" Type="http://schemas.openxmlformats.org/officeDocument/2006/relationships/hyperlink" Target="mailto:harjo.sulistyawan@ptdca.co.id" TargetMode="External"/><Relationship Id="rId11" Type="http://schemas.openxmlformats.org/officeDocument/2006/relationships/hyperlink" Target="mailto:tommy@buanamaritim.com" TargetMode="External"/><Relationship Id="rId24" Type="http://schemas.openxmlformats.org/officeDocument/2006/relationships/hyperlink" Target="mailto:zulkhaidir@imcpelitalog.com" TargetMode="External"/><Relationship Id="rId32" Type="http://schemas.openxmlformats.org/officeDocument/2006/relationships/hyperlink" Target="mailto:harjo.sulistyawan@ptdca.co.id" TargetMode="External"/><Relationship Id="rId5" Type="http://schemas.openxmlformats.org/officeDocument/2006/relationships/hyperlink" Target="mailto:harjo.sulistyawan@ptdca.co.id" TargetMode="External"/><Relationship Id="rId15" Type="http://schemas.openxmlformats.org/officeDocument/2006/relationships/hyperlink" Target="mailto:tommy@buanamaritim.com" TargetMode="External"/><Relationship Id="rId23" Type="http://schemas.openxmlformats.org/officeDocument/2006/relationships/hyperlink" Target="mailto:pthsl.smd@gmail.com" TargetMode="External"/><Relationship Id="rId28" Type="http://schemas.openxmlformats.org/officeDocument/2006/relationships/hyperlink" Target="mailto:nasikin@sanlemakmur.com" TargetMode="External"/><Relationship Id="rId10" Type="http://schemas.openxmlformats.org/officeDocument/2006/relationships/hyperlink" Target="mailto:tommy@buanamaritim.com" TargetMode="External"/><Relationship Id="rId19" Type="http://schemas.openxmlformats.org/officeDocument/2006/relationships/hyperlink" Target="mailto:raynirwan@yahoo.com,pt.brmmarine@yahoo.com" TargetMode="External"/><Relationship Id="rId31" Type="http://schemas.openxmlformats.org/officeDocument/2006/relationships/hyperlink" Target="mailto:harjo.sulistyawan@ptdca.co.id" TargetMode="External"/><Relationship Id="rId4" Type="http://schemas.openxmlformats.org/officeDocument/2006/relationships/hyperlink" Target="mailto:harjo.sulistyawan@ptdca.co.id" TargetMode="External"/><Relationship Id="rId9" Type="http://schemas.openxmlformats.org/officeDocument/2006/relationships/hyperlink" Target="mailto:pt.karunia_lintassamudra@yahoo.co.id" TargetMode="External"/><Relationship Id="rId14" Type="http://schemas.openxmlformats.org/officeDocument/2006/relationships/hyperlink" Target="mailto:pthsl.smd@gmail.com" TargetMode="External"/><Relationship Id="rId22" Type="http://schemas.openxmlformats.org/officeDocument/2006/relationships/hyperlink" Target="mailto:pelayaran_intan@yahoo.com" TargetMode="External"/><Relationship Id="rId27" Type="http://schemas.openxmlformats.org/officeDocument/2006/relationships/hyperlink" Target="mailto:raynirwan@yahoo.com,pt.brmmarine@yahoo.com" TargetMode="External"/><Relationship Id="rId30" Type="http://schemas.openxmlformats.org/officeDocument/2006/relationships/hyperlink" Target="mailto:raynirwan@yahoo.com,pt.brmmarine@yahoo.co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pt.karunia_lintassamudra@yahoo.co.i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ommy@buanamaritim.com" TargetMode="External"/><Relationship Id="rId18" Type="http://schemas.openxmlformats.org/officeDocument/2006/relationships/hyperlink" Target="mailto:obaja_s@ecotransgrup.com" TargetMode="External"/><Relationship Id="rId26" Type="http://schemas.openxmlformats.org/officeDocument/2006/relationships/hyperlink" Target="mailto:pt.karunia_lintassamudra@yahoo.co.id" TargetMode="External"/><Relationship Id="rId39" Type="http://schemas.openxmlformats.org/officeDocument/2006/relationships/hyperlink" Target="mailto:pelayaran_intan@yahoo.com" TargetMode="External"/><Relationship Id="rId21" Type="http://schemas.openxmlformats.org/officeDocument/2006/relationships/hyperlink" Target="mailto:wimba.meranti@gmail.com" TargetMode="External"/><Relationship Id="rId34" Type="http://schemas.openxmlformats.org/officeDocument/2006/relationships/hyperlink" Target="mailto:raynirwan@yahoo.com,pt.brmmarine@yahoo.com" TargetMode="External"/><Relationship Id="rId42" Type="http://schemas.openxmlformats.org/officeDocument/2006/relationships/hyperlink" Target="mailto:pt.karunia_lintassamudra@yahoo.co.id" TargetMode="External"/><Relationship Id="rId47" Type="http://schemas.openxmlformats.org/officeDocument/2006/relationships/hyperlink" Target="mailto:harjo.sulistyawan@ptdca.co.id" TargetMode="External"/><Relationship Id="rId50" Type="http://schemas.openxmlformats.org/officeDocument/2006/relationships/hyperlink" Target="mailto:pelayaran_intan@yahoo.com" TargetMode="External"/><Relationship Id="rId7" Type="http://schemas.openxmlformats.org/officeDocument/2006/relationships/hyperlink" Target="mailto:tommy@buanamaritim.com" TargetMode="External"/><Relationship Id="rId2" Type="http://schemas.openxmlformats.org/officeDocument/2006/relationships/hyperlink" Target="mailto:obaja_s@ecotransgrup.com" TargetMode="External"/><Relationship Id="rId16" Type="http://schemas.openxmlformats.org/officeDocument/2006/relationships/hyperlink" Target="mailto:tommy@buanamaritim.com" TargetMode="External"/><Relationship Id="rId29" Type="http://schemas.openxmlformats.org/officeDocument/2006/relationships/hyperlink" Target="mailto:pt.karunia_lintassamudra@yahoo.co.id" TargetMode="External"/><Relationship Id="rId11" Type="http://schemas.openxmlformats.org/officeDocument/2006/relationships/hyperlink" Target="mailto:nasikin@sanlemakmur.com" TargetMode="External"/><Relationship Id="rId24" Type="http://schemas.openxmlformats.org/officeDocument/2006/relationships/hyperlink" Target="mailto:nasikin@sanlemakmur.com" TargetMode="External"/><Relationship Id="rId32" Type="http://schemas.openxmlformats.org/officeDocument/2006/relationships/hyperlink" Target="mailto:pt.karunia_lintassamudra@yahoo.co.id" TargetMode="External"/><Relationship Id="rId37" Type="http://schemas.openxmlformats.org/officeDocument/2006/relationships/hyperlink" Target="mailto:pelayaran_intan@yahoo.com" TargetMode="External"/><Relationship Id="rId40" Type="http://schemas.openxmlformats.org/officeDocument/2006/relationships/hyperlink" Target="mailto:raynirwan@yahoo.com,pt.brmmarine@yahoo.com" TargetMode="External"/><Relationship Id="rId45" Type="http://schemas.openxmlformats.org/officeDocument/2006/relationships/hyperlink" Target="mailto:baramulia.meranti@gmail.com" TargetMode="External"/><Relationship Id="rId5" Type="http://schemas.openxmlformats.org/officeDocument/2006/relationships/hyperlink" Target="mailto:baramulia.meranti@gmail.com" TargetMode="External"/><Relationship Id="rId15" Type="http://schemas.openxmlformats.org/officeDocument/2006/relationships/hyperlink" Target="mailto:tommy@buanamaritim.com" TargetMode="External"/><Relationship Id="rId23" Type="http://schemas.openxmlformats.org/officeDocument/2006/relationships/hyperlink" Target="mailto:pt.karunia_lintassamudra@yahoo.co.id" TargetMode="External"/><Relationship Id="rId28" Type="http://schemas.openxmlformats.org/officeDocument/2006/relationships/hyperlink" Target="mailto:pt.karunia_lintassamudra@yahoo.co.id" TargetMode="External"/><Relationship Id="rId36" Type="http://schemas.openxmlformats.org/officeDocument/2006/relationships/hyperlink" Target="mailto:pelayaran_intan@yahoo.com" TargetMode="External"/><Relationship Id="rId49" Type="http://schemas.openxmlformats.org/officeDocument/2006/relationships/hyperlink" Target="mailto:harjo.sulistyawan@ptdca.co.id" TargetMode="External"/><Relationship Id="rId10" Type="http://schemas.openxmlformats.org/officeDocument/2006/relationships/hyperlink" Target="mailto:tommy@buanamaritim.com" TargetMode="External"/><Relationship Id="rId19" Type="http://schemas.openxmlformats.org/officeDocument/2006/relationships/hyperlink" Target="mailto:pt.karunia_lintassamudra@yahoo.co.id" TargetMode="External"/><Relationship Id="rId31" Type="http://schemas.openxmlformats.org/officeDocument/2006/relationships/hyperlink" Target="mailto:baramulia.meranti@gmail.com" TargetMode="External"/><Relationship Id="rId44" Type="http://schemas.openxmlformats.org/officeDocument/2006/relationships/hyperlink" Target="mailto:baramulia.meranti@gmail.com" TargetMode="External"/><Relationship Id="rId52" Type="http://schemas.openxmlformats.org/officeDocument/2006/relationships/printerSettings" Target="../printerSettings/printerSettings2.bin"/><Relationship Id="rId4" Type="http://schemas.openxmlformats.org/officeDocument/2006/relationships/hyperlink" Target="mailto:tommy@buanamaritim.com" TargetMode="External"/><Relationship Id="rId9" Type="http://schemas.openxmlformats.org/officeDocument/2006/relationships/hyperlink" Target="mailto:tommy@buanamaritim.com" TargetMode="External"/><Relationship Id="rId14" Type="http://schemas.openxmlformats.org/officeDocument/2006/relationships/hyperlink" Target="mailto:tommy@buanamaritim.com" TargetMode="External"/><Relationship Id="rId22" Type="http://schemas.openxmlformats.org/officeDocument/2006/relationships/hyperlink" Target="mailto:wimba.meranti@gmail.com" TargetMode="External"/><Relationship Id="rId27" Type="http://schemas.openxmlformats.org/officeDocument/2006/relationships/hyperlink" Target="mailto:pt.karunia_lintassamudra@yahoo.co.id" TargetMode="External"/><Relationship Id="rId30" Type="http://schemas.openxmlformats.org/officeDocument/2006/relationships/hyperlink" Target="mailto:tommy@buanamaritim.com" TargetMode="External"/><Relationship Id="rId35" Type="http://schemas.openxmlformats.org/officeDocument/2006/relationships/hyperlink" Target="mailto:pelayaran_intan@yahoo.com" TargetMode="External"/><Relationship Id="rId43" Type="http://schemas.openxmlformats.org/officeDocument/2006/relationships/hyperlink" Target="mailto:pt.karunia_lintassamudra@yahoo.co.id" TargetMode="External"/><Relationship Id="rId48" Type="http://schemas.openxmlformats.org/officeDocument/2006/relationships/hyperlink" Target="mailto:harjo.sulistyawan@ptdca.co.id" TargetMode="External"/><Relationship Id="rId8" Type="http://schemas.openxmlformats.org/officeDocument/2006/relationships/hyperlink" Target="mailto:tommy@buanamaritim.com" TargetMode="External"/><Relationship Id="rId51" Type="http://schemas.openxmlformats.org/officeDocument/2006/relationships/hyperlink" Target="mailto:baramulia.meranti@gmail.com" TargetMode="External"/><Relationship Id="rId3" Type="http://schemas.openxmlformats.org/officeDocument/2006/relationships/hyperlink" Target="mailto:baramulia.meranti@gmail.com" TargetMode="External"/><Relationship Id="rId12" Type="http://schemas.openxmlformats.org/officeDocument/2006/relationships/hyperlink" Target="mailto:baramulia.meranti@gmail.com" TargetMode="External"/><Relationship Id="rId17" Type="http://schemas.openxmlformats.org/officeDocument/2006/relationships/hyperlink" Target="mailto:obaja_s@ecotransgrup.com" TargetMode="External"/><Relationship Id="rId25" Type="http://schemas.openxmlformats.org/officeDocument/2006/relationships/hyperlink" Target="mailto:nasikin@sanlemakmur.com" TargetMode="External"/><Relationship Id="rId33" Type="http://schemas.openxmlformats.org/officeDocument/2006/relationships/hyperlink" Target="mailto:raynirwan@yahoo.com,pt.brmmarine@yahoo.com" TargetMode="External"/><Relationship Id="rId38" Type="http://schemas.openxmlformats.org/officeDocument/2006/relationships/hyperlink" Target="mailto:raynirwan@yahoo.com,pt.brmmarine@yahoo.com" TargetMode="External"/><Relationship Id="rId46" Type="http://schemas.openxmlformats.org/officeDocument/2006/relationships/hyperlink" Target="mailto:harjo.sulistyawan@ptdca.co.id" TargetMode="External"/><Relationship Id="rId20" Type="http://schemas.openxmlformats.org/officeDocument/2006/relationships/hyperlink" Target="mailto:wimba.meranti@gmail.com" TargetMode="External"/><Relationship Id="rId41" Type="http://schemas.openxmlformats.org/officeDocument/2006/relationships/hyperlink" Target="mailto:raynirwan@yahoo.com,pt.brmmarine@yahoo.com" TargetMode="External"/><Relationship Id="rId1" Type="http://schemas.openxmlformats.org/officeDocument/2006/relationships/hyperlink" Target="mailto:nasikin@sanlemakmur.com" TargetMode="External"/><Relationship Id="rId6" Type="http://schemas.openxmlformats.org/officeDocument/2006/relationships/hyperlink" Target="mailto:baramulia.meran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59E5-1DAE-47E8-825C-E1014B15A01E}">
  <dimension ref="A1:AS77"/>
  <sheetViews>
    <sheetView tabSelected="1" view="pageBreakPreview" topLeftCell="X62" zoomScale="70" zoomScaleNormal="25" zoomScaleSheetLayoutView="70" workbookViewId="0">
      <selection activeCell="AO64" sqref="AO64"/>
    </sheetView>
  </sheetViews>
  <sheetFormatPr defaultRowHeight="14.5"/>
  <cols>
    <col min="1" max="1" width="5.453125" style="12" customWidth="1"/>
    <col min="2" max="2" width="37.1796875" style="12" customWidth="1"/>
    <col min="3" max="3" width="17.6328125" style="12" customWidth="1"/>
    <col min="4" max="4" width="21.36328125" style="12" customWidth="1"/>
    <col min="5" max="5" width="16.54296875" style="12" customWidth="1"/>
    <col min="6" max="6" width="27.08984375" style="12" customWidth="1"/>
    <col min="7" max="7" width="8.90625" style="12" customWidth="1"/>
    <col min="8" max="8" width="11.90625" style="12" customWidth="1"/>
    <col min="9" max="10" width="8.81640625" style="12"/>
    <col min="11" max="11" width="21.453125" style="12" customWidth="1"/>
    <col min="12" max="12" width="13.6328125" style="12" customWidth="1"/>
    <col min="13" max="13" width="21.54296875" style="12" customWidth="1"/>
    <col min="14" max="14" width="8.81640625" style="12"/>
    <col min="15" max="15" width="9.54296875" style="12" customWidth="1"/>
    <col min="16" max="16" width="8.81640625" style="12"/>
    <col min="17" max="17" width="14.90625" style="12" customWidth="1"/>
    <col min="18" max="18" width="10.90625" style="12" customWidth="1"/>
    <col min="19" max="24" width="15.90625" style="34" customWidth="1"/>
    <col min="25" max="26" width="8.81640625" style="12"/>
    <col min="27" max="27" width="20" style="18" customWidth="1"/>
    <col min="28" max="28" width="9.1796875" style="18" customWidth="1"/>
    <col min="29" max="29" width="9.90625" style="18" customWidth="1"/>
    <col min="30" max="31" width="8.81640625" style="12"/>
    <col min="32" max="32" width="10.36328125" style="12" customWidth="1"/>
    <col min="33" max="35" width="8.81640625" style="12"/>
    <col min="36" max="36" width="11.08984375" style="12" customWidth="1"/>
    <col min="37" max="37" width="8.81640625" style="12"/>
    <col min="38" max="38" width="12.90625" style="12" customWidth="1"/>
    <col min="39" max="39" width="8.81640625" style="12"/>
    <col min="40" max="40" width="10.6328125" style="12" customWidth="1"/>
    <col min="41" max="41" width="12.1796875" style="12" customWidth="1"/>
    <col min="42" max="42" width="15.81640625" style="12" customWidth="1"/>
    <col min="43" max="43" width="11.54296875" style="12" customWidth="1"/>
  </cols>
  <sheetData>
    <row r="1" spans="1:45" s="1" customFormat="1" ht="31.75" customHeight="1" thickBo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 t="s">
        <v>1</v>
      </c>
      <c r="L1" s="78"/>
      <c r="M1" s="78"/>
      <c r="N1" s="78"/>
      <c r="O1" s="78"/>
      <c r="P1" s="78"/>
      <c r="Q1" s="78"/>
      <c r="R1" s="78"/>
      <c r="S1" s="78" t="s">
        <v>2</v>
      </c>
      <c r="T1" s="78"/>
      <c r="U1" s="78"/>
      <c r="V1" s="78"/>
      <c r="W1" s="78"/>
      <c r="X1" s="78"/>
      <c r="Y1" s="78"/>
      <c r="Z1" s="78"/>
      <c r="AA1" s="78"/>
      <c r="AB1" s="46"/>
      <c r="AC1" s="46"/>
      <c r="AD1" s="78" t="s">
        <v>3</v>
      </c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9" t="s">
        <v>96</v>
      </c>
      <c r="AQ1" s="75" t="s">
        <v>4</v>
      </c>
    </row>
    <row r="2" spans="1:45" s="3" customFormat="1" ht="13.5" customHeight="1" thickBot="1">
      <c r="A2" s="77" t="s">
        <v>5</v>
      </c>
      <c r="B2" s="77" t="s">
        <v>6</v>
      </c>
      <c r="C2" s="77" t="s">
        <v>7</v>
      </c>
      <c r="D2" s="77" t="s">
        <v>8</v>
      </c>
      <c r="E2" s="77" t="s">
        <v>9</v>
      </c>
      <c r="F2" s="77" t="s">
        <v>10</v>
      </c>
      <c r="G2" s="77" t="s">
        <v>11</v>
      </c>
      <c r="H2" s="77" t="s">
        <v>12</v>
      </c>
      <c r="I2" s="77" t="s">
        <v>13</v>
      </c>
      <c r="J2" s="77" t="s">
        <v>14</v>
      </c>
      <c r="K2" s="77" t="s">
        <v>15</v>
      </c>
      <c r="L2" s="77" t="s">
        <v>16</v>
      </c>
      <c r="M2" s="77" t="s">
        <v>17</v>
      </c>
      <c r="N2" s="77" t="s">
        <v>18</v>
      </c>
      <c r="O2" s="77" t="s">
        <v>19</v>
      </c>
      <c r="P2" s="77" t="s">
        <v>20</v>
      </c>
      <c r="Q2" s="77" t="s">
        <v>21</v>
      </c>
      <c r="R2" s="77" t="s">
        <v>22</v>
      </c>
      <c r="S2" s="77" t="s">
        <v>23</v>
      </c>
      <c r="T2" s="77" t="s">
        <v>24</v>
      </c>
      <c r="U2" s="77" t="s">
        <v>57</v>
      </c>
      <c r="V2" s="77" t="s">
        <v>25</v>
      </c>
      <c r="W2" s="77" t="s">
        <v>26</v>
      </c>
      <c r="X2" s="77" t="s">
        <v>27</v>
      </c>
      <c r="Y2" s="77" t="s">
        <v>28</v>
      </c>
      <c r="Z2" s="77"/>
      <c r="AA2" s="80" t="s">
        <v>29</v>
      </c>
      <c r="AB2" s="81" t="s">
        <v>784</v>
      </c>
      <c r="AC2" s="81" t="s">
        <v>838</v>
      </c>
      <c r="AD2" s="77" t="s">
        <v>30</v>
      </c>
      <c r="AE2" s="77" t="s">
        <v>31</v>
      </c>
      <c r="AF2" s="77" t="s">
        <v>32</v>
      </c>
      <c r="AG2" s="77"/>
      <c r="AH2" s="77" t="s">
        <v>33</v>
      </c>
      <c r="AI2" s="77" t="s">
        <v>34</v>
      </c>
      <c r="AJ2" s="77" t="s">
        <v>35</v>
      </c>
      <c r="AK2" s="77"/>
      <c r="AL2" s="77" t="s">
        <v>36</v>
      </c>
      <c r="AM2" s="77" t="s">
        <v>37</v>
      </c>
      <c r="AN2" s="77" t="s">
        <v>38</v>
      </c>
      <c r="AO2" s="77"/>
      <c r="AP2" s="77"/>
      <c r="AQ2" s="76"/>
      <c r="AR2" s="2"/>
      <c r="AS2" s="2"/>
    </row>
    <row r="3" spans="1:45" s="3" customFormat="1" ht="26" customHeight="1" thickBo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43" t="s">
        <v>39</v>
      </c>
      <c r="Z3" s="43" t="s">
        <v>40</v>
      </c>
      <c r="AA3" s="80"/>
      <c r="AB3" s="82"/>
      <c r="AC3" s="82"/>
      <c r="AD3" s="77"/>
      <c r="AE3" s="77"/>
      <c r="AF3" s="43" t="s">
        <v>39</v>
      </c>
      <c r="AG3" s="44" t="s">
        <v>40</v>
      </c>
      <c r="AH3" s="77"/>
      <c r="AI3" s="77"/>
      <c r="AJ3" s="43" t="s">
        <v>39</v>
      </c>
      <c r="AK3" s="44" t="s">
        <v>40</v>
      </c>
      <c r="AL3" s="77"/>
      <c r="AM3" s="77"/>
      <c r="AN3" s="43" t="s">
        <v>39</v>
      </c>
      <c r="AO3" s="44" t="s">
        <v>40</v>
      </c>
      <c r="AP3" s="77"/>
      <c r="AQ3" s="76"/>
      <c r="AR3" s="2"/>
      <c r="AS3" s="2"/>
    </row>
    <row r="4" spans="1:45" s="15" customFormat="1" ht="54" customHeight="1">
      <c r="A4" s="36">
        <v>1</v>
      </c>
      <c r="B4" s="36" t="s">
        <v>47</v>
      </c>
      <c r="C4" s="64" t="s">
        <v>791</v>
      </c>
      <c r="D4" s="64" t="s">
        <v>786</v>
      </c>
      <c r="E4" s="64" t="s">
        <v>785</v>
      </c>
      <c r="F4" s="36" t="s">
        <v>75</v>
      </c>
      <c r="G4" s="36" t="s">
        <v>860</v>
      </c>
      <c r="H4" s="36" t="s">
        <v>861</v>
      </c>
      <c r="I4" s="36">
        <v>44</v>
      </c>
      <c r="J4" s="36" t="s">
        <v>131</v>
      </c>
      <c r="K4" s="36" t="s">
        <v>48</v>
      </c>
      <c r="L4" s="36" t="s">
        <v>49</v>
      </c>
      <c r="M4" s="19" t="s">
        <v>368</v>
      </c>
      <c r="N4" s="36" t="s">
        <v>50</v>
      </c>
      <c r="O4" s="36" t="s">
        <v>51</v>
      </c>
      <c r="P4" s="36" t="s">
        <v>52</v>
      </c>
      <c r="Q4" s="39" t="s">
        <v>53</v>
      </c>
      <c r="R4" s="38" t="s">
        <v>41</v>
      </c>
      <c r="S4" s="39" t="s">
        <v>56</v>
      </c>
      <c r="T4" s="39" t="s">
        <v>56</v>
      </c>
      <c r="U4" s="39" t="s">
        <v>55</v>
      </c>
      <c r="V4" s="39" t="s">
        <v>58</v>
      </c>
      <c r="W4" s="39" t="s">
        <v>59</v>
      </c>
      <c r="X4" s="39" t="s">
        <v>60</v>
      </c>
      <c r="Y4" s="36" t="s">
        <v>54</v>
      </c>
      <c r="Z4" s="36" t="s">
        <v>61</v>
      </c>
      <c r="AA4" s="42">
        <v>717449313</v>
      </c>
      <c r="AB4" s="70">
        <v>0.35160000000000002</v>
      </c>
      <c r="AC4" s="70">
        <f>(AA4/88246107378)*100%</f>
        <v>8.1300958684423757E-3</v>
      </c>
      <c r="AD4" s="36"/>
      <c r="AE4" s="36"/>
      <c r="AF4" s="36"/>
      <c r="AG4" s="36"/>
      <c r="AH4" s="36"/>
      <c r="AI4" s="36"/>
      <c r="AJ4" s="36"/>
      <c r="AK4" s="36"/>
      <c r="AL4" s="36" t="s">
        <v>1010</v>
      </c>
      <c r="AM4" s="36">
        <v>1</v>
      </c>
      <c r="AN4" s="22">
        <f>AL4+30</f>
        <v>45758</v>
      </c>
      <c r="AO4" s="36" t="s">
        <v>1009</v>
      </c>
      <c r="AP4" s="36" t="s">
        <v>42</v>
      </c>
      <c r="AQ4" s="36" t="s">
        <v>43</v>
      </c>
      <c r="AR4" s="14"/>
      <c r="AS4" s="14"/>
    </row>
    <row r="5" spans="1:45" s="16" customFormat="1" ht="54" customHeight="1">
      <c r="A5" s="19">
        <v>2</v>
      </c>
      <c r="B5" s="19" t="s">
        <v>62</v>
      </c>
      <c r="C5" s="64" t="s">
        <v>482</v>
      </c>
      <c r="D5" s="64" t="s">
        <v>806</v>
      </c>
      <c r="E5" s="64" t="s">
        <v>807</v>
      </c>
      <c r="F5" s="19" t="s">
        <v>75</v>
      </c>
      <c r="G5" s="36" t="s">
        <v>860</v>
      </c>
      <c r="H5" s="36" t="s">
        <v>861</v>
      </c>
      <c r="I5" s="19">
        <v>6</v>
      </c>
      <c r="J5" s="19" t="s">
        <v>131</v>
      </c>
      <c r="K5" s="19" t="s">
        <v>63</v>
      </c>
      <c r="L5" s="19" t="s">
        <v>49</v>
      </c>
      <c r="M5" s="19" t="s">
        <v>368</v>
      </c>
      <c r="N5" s="19" t="s">
        <v>50</v>
      </c>
      <c r="O5" s="19" t="s">
        <v>51</v>
      </c>
      <c r="P5" s="19" t="s">
        <v>64</v>
      </c>
      <c r="Q5" s="30" t="s">
        <v>53</v>
      </c>
      <c r="R5" s="22" t="s">
        <v>41</v>
      </c>
      <c r="S5" s="30" t="s">
        <v>65</v>
      </c>
      <c r="T5" s="30" t="s">
        <v>65</v>
      </c>
      <c r="U5" s="30" t="s">
        <v>66</v>
      </c>
      <c r="V5" s="30" t="s">
        <v>67</v>
      </c>
      <c r="W5" s="30" t="s">
        <v>68</v>
      </c>
      <c r="X5" s="30" t="s">
        <v>70</v>
      </c>
      <c r="Y5" s="19" t="s">
        <v>71</v>
      </c>
      <c r="Z5" s="19" t="s">
        <v>72</v>
      </c>
      <c r="AA5" s="40">
        <v>361656061</v>
      </c>
      <c r="AB5" s="70">
        <v>0.5</v>
      </c>
      <c r="AC5" s="70">
        <f>(AA5/88246107378)*100%</f>
        <v>4.0982664476162702E-3</v>
      </c>
      <c r="AD5" s="19"/>
      <c r="AE5" s="19"/>
      <c r="AF5" s="19"/>
      <c r="AG5" s="19"/>
      <c r="AH5" s="19"/>
      <c r="AI5" s="19"/>
      <c r="AJ5" s="19"/>
      <c r="AK5" s="19"/>
      <c r="AL5" s="36" t="s">
        <v>963</v>
      </c>
      <c r="AM5" s="36">
        <v>1</v>
      </c>
      <c r="AN5" s="22">
        <f>AL5+30</f>
        <v>45711</v>
      </c>
      <c r="AO5" s="36" t="s">
        <v>946</v>
      </c>
      <c r="AP5" s="19"/>
      <c r="AQ5" s="19"/>
      <c r="AR5" s="9"/>
      <c r="AS5" s="9"/>
    </row>
    <row r="6" spans="1:45" s="16" customFormat="1" ht="54" customHeight="1">
      <c r="A6" s="19">
        <v>3</v>
      </c>
      <c r="B6" s="19" t="s">
        <v>73</v>
      </c>
      <c r="C6" s="64" t="s">
        <v>74</v>
      </c>
      <c r="D6" s="64" t="s">
        <v>131</v>
      </c>
      <c r="E6" s="64" t="s">
        <v>824</v>
      </c>
      <c r="F6" s="19" t="s">
        <v>76</v>
      </c>
      <c r="G6" s="36" t="s">
        <v>860</v>
      </c>
      <c r="H6" s="36" t="s">
        <v>862</v>
      </c>
      <c r="I6" s="19">
        <v>6</v>
      </c>
      <c r="J6" s="19" t="s">
        <v>131</v>
      </c>
      <c r="K6" s="19" t="s">
        <v>82</v>
      </c>
      <c r="L6" s="19" t="s">
        <v>77</v>
      </c>
      <c r="M6" s="19" t="s">
        <v>368</v>
      </c>
      <c r="N6" s="19" t="s">
        <v>50</v>
      </c>
      <c r="O6" s="19" t="s">
        <v>51</v>
      </c>
      <c r="P6" s="19" t="s">
        <v>64</v>
      </c>
      <c r="Q6" s="30" t="s">
        <v>53</v>
      </c>
      <c r="R6" s="22" t="s">
        <v>41</v>
      </c>
      <c r="S6" s="30">
        <v>45610</v>
      </c>
      <c r="T6" s="30">
        <v>45610</v>
      </c>
      <c r="U6" s="30">
        <v>45611</v>
      </c>
      <c r="V6" s="30">
        <v>45612</v>
      </c>
      <c r="W6" s="30" t="s">
        <v>78</v>
      </c>
      <c r="X6" s="30" t="s">
        <v>79</v>
      </c>
      <c r="Y6" s="19" t="s">
        <v>80</v>
      </c>
      <c r="Z6" s="19" t="s">
        <v>81</v>
      </c>
      <c r="AA6" s="40">
        <v>1640978670</v>
      </c>
      <c r="AB6" s="70">
        <v>0.22</v>
      </c>
      <c r="AC6" s="70">
        <f t="shared" ref="AC6:AC64" si="0">(AA6/88246107378)*100%</f>
        <v>1.8595479378721021E-2</v>
      </c>
      <c r="AD6" s="36" t="s">
        <v>1013</v>
      </c>
      <c r="AE6" s="36">
        <v>1</v>
      </c>
      <c r="AF6" s="22">
        <f>AD6+14</f>
        <v>45714</v>
      </c>
      <c r="AG6" s="36" t="s">
        <v>1012</v>
      </c>
      <c r="AH6" s="19"/>
      <c r="AI6" s="19"/>
      <c r="AJ6" s="19"/>
      <c r="AK6" s="19"/>
      <c r="AL6" s="36" t="s">
        <v>1015</v>
      </c>
      <c r="AM6" s="36">
        <v>1</v>
      </c>
      <c r="AN6" s="22">
        <f>AL6+30</f>
        <v>46023</v>
      </c>
      <c r="AO6" s="36" t="s">
        <v>1014</v>
      </c>
      <c r="AP6" s="19"/>
      <c r="AQ6" s="19"/>
      <c r="AR6" s="9"/>
      <c r="AS6" s="9"/>
    </row>
    <row r="7" spans="1:45" s="16" customFormat="1" ht="54" customHeight="1">
      <c r="A7" s="19">
        <v>4</v>
      </c>
      <c r="B7" s="19" t="s">
        <v>83</v>
      </c>
      <c r="C7" s="64" t="s">
        <v>839</v>
      </c>
      <c r="D7" s="64" t="s">
        <v>131</v>
      </c>
      <c r="E7" s="64" t="s">
        <v>840</v>
      </c>
      <c r="F7" s="19" t="s">
        <v>84</v>
      </c>
      <c r="G7" s="36" t="s">
        <v>860</v>
      </c>
      <c r="H7" s="36" t="s">
        <v>861</v>
      </c>
      <c r="I7" s="19">
        <v>2</v>
      </c>
      <c r="J7" s="19" t="s">
        <v>131</v>
      </c>
      <c r="K7" s="19" t="s">
        <v>85</v>
      </c>
      <c r="L7" s="19" t="s">
        <v>86</v>
      </c>
      <c r="M7" s="19" t="s">
        <v>368</v>
      </c>
      <c r="N7" s="19" t="s">
        <v>50</v>
      </c>
      <c r="O7" s="19" t="s">
        <v>51</v>
      </c>
      <c r="P7" s="19" t="s">
        <v>64</v>
      </c>
      <c r="Q7" s="30" t="s">
        <v>53</v>
      </c>
      <c r="R7" s="22" t="s">
        <v>41</v>
      </c>
      <c r="S7" s="30" t="s">
        <v>87</v>
      </c>
      <c r="T7" s="30" t="s">
        <v>87</v>
      </c>
      <c r="U7" s="30" t="s">
        <v>88</v>
      </c>
      <c r="V7" s="30" t="s">
        <v>68</v>
      </c>
      <c r="W7" s="30" t="s">
        <v>89</v>
      </c>
      <c r="X7" s="30" t="s">
        <v>90</v>
      </c>
      <c r="Y7" s="19" t="s">
        <v>80</v>
      </c>
      <c r="Z7" s="19" t="s">
        <v>91</v>
      </c>
      <c r="AA7" s="40">
        <v>400000000</v>
      </c>
      <c r="AB7" s="70">
        <v>0.23</v>
      </c>
      <c r="AC7" s="70">
        <f t="shared" si="0"/>
        <v>4.5327778401217178E-3</v>
      </c>
      <c r="AD7" s="36" t="s">
        <v>1016</v>
      </c>
      <c r="AE7" s="36">
        <v>1</v>
      </c>
      <c r="AF7" s="22">
        <f>AD7+14</f>
        <v>45679</v>
      </c>
      <c r="AG7" s="36" t="s">
        <v>1016</v>
      </c>
      <c r="AH7" s="36" t="s">
        <v>983</v>
      </c>
      <c r="AI7" s="36">
        <v>1</v>
      </c>
      <c r="AJ7" s="22">
        <f>AH7+14</f>
        <v>45694</v>
      </c>
      <c r="AK7" s="36" t="s">
        <v>983</v>
      </c>
      <c r="AL7" s="36" t="s">
        <v>1018</v>
      </c>
      <c r="AM7" s="36">
        <v>1</v>
      </c>
      <c r="AN7" s="22">
        <f>AL7+30</f>
        <v>45756</v>
      </c>
      <c r="AO7" s="36" t="s">
        <v>1017</v>
      </c>
      <c r="AP7" s="19"/>
      <c r="AQ7" s="19"/>
      <c r="AR7" s="9"/>
      <c r="AS7" s="9"/>
    </row>
    <row r="8" spans="1:45" s="16" customFormat="1" ht="54" customHeight="1">
      <c r="A8" s="19">
        <v>5</v>
      </c>
      <c r="B8" s="19" t="s">
        <v>47</v>
      </c>
      <c r="C8" s="64" t="s">
        <v>791</v>
      </c>
      <c r="D8" s="64" t="s">
        <v>786</v>
      </c>
      <c r="E8" s="64" t="s">
        <v>785</v>
      </c>
      <c r="F8" s="19" t="s">
        <v>75</v>
      </c>
      <c r="G8" s="36" t="s">
        <v>860</v>
      </c>
      <c r="H8" s="36" t="s">
        <v>861</v>
      </c>
      <c r="I8" s="19">
        <v>44</v>
      </c>
      <c r="J8" s="19" t="s">
        <v>131</v>
      </c>
      <c r="K8" s="19" t="s">
        <v>92</v>
      </c>
      <c r="L8" s="19" t="s">
        <v>49</v>
      </c>
      <c r="M8" s="19" t="s">
        <v>368</v>
      </c>
      <c r="N8" s="19" t="s">
        <v>50</v>
      </c>
      <c r="O8" s="19" t="s">
        <v>51</v>
      </c>
      <c r="P8" s="19" t="s">
        <v>52</v>
      </c>
      <c r="Q8" s="30" t="s">
        <v>53</v>
      </c>
      <c r="R8" s="22" t="s">
        <v>41</v>
      </c>
      <c r="S8" s="30" t="s">
        <v>93</v>
      </c>
      <c r="T8" s="30" t="s">
        <v>93</v>
      </c>
      <c r="U8" s="30" t="s">
        <v>60</v>
      </c>
      <c r="V8" s="30" t="s">
        <v>69</v>
      </c>
      <c r="W8" s="30" t="s">
        <v>90</v>
      </c>
      <c r="X8" s="30" t="s">
        <v>94</v>
      </c>
      <c r="Y8" s="19" t="s">
        <v>54</v>
      </c>
      <c r="Z8" s="19" t="s">
        <v>95</v>
      </c>
      <c r="AA8" s="40">
        <v>830219796</v>
      </c>
      <c r="AB8" s="70">
        <v>0.53</v>
      </c>
      <c r="AC8" s="70">
        <f t="shared" si="0"/>
        <v>9.4080047343479325E-3</v>
      </c>
      <c r="AD8" s="19"/>
      <c r="AE8" s="36"/>
      <c r="AF8" s="22"/>
      <c r="AG8" s="19"/>
      <c r="AH8" s="19"/>
      <c r="AI8" s="36"/>
      <c r="AJ8" s="19"/>
      <c r="AK8" s="19"/>
      <c r="AL8" s="36" t="s">
        <v>1010</v>
      </c>
      <c r="AM8" s="36">
        <v>1</v>
      </c>
      <c r="AN8" s="22">
        <f>AL8+30</f>
        <v>45758</v>
      </c>
      <c r="AO8" s="36" t="s">
        <v>1009</v>
      </c>
      <c r="AP8" s="19"/>
      <c r="AQ8" s="19"/>
      <c r="AR8" s="9"/>
      <c r="AS8" s="9"/>
    </row>
    <row r="9" spans="1:45" s="16" customFormat="1" ht="54" customHeight="1">
      <c r="A9" s="19">
        <v>6</v>
      </c>
      <c r="B9" s="19" t="s">
        <v>97</v>
      </c>
      <c r="C9" s="53" t="s">
        <v>815</v>
      </c>
      <c r="D9" s="37" t="s">
        <v>131</v>
      </c>
      <c r="E9" s="64" t="s">
        <v>816</v>
      </c>
      <c r="F9" s="19" t="s">
        <v>98</v>
      </c>
      <c r="G9" s="36" t="s">
        <v>860</v>
      </c>
      <c r="H9" s="36" t="s">
        <v>861</v>
      </c>
      <c r="I9" s="19">
        <v>4</v>
      </c>
      <c r="J9" s="19" t="s">
        <v>131</v>
      </c>
      <c r="K9" s="19" t="s">
        <v>99</v>
      </c>
      <c r="L9" s="19" t="s">
        <v>86</v>
      </c>
      <c r="M9" s="19" t="s">
        <v>368</v>
      </c>
      <c r="N9" s="19" t="s">
        <v>50</v>
      </c>
      <c r="O9" s="19" t="s">
        <v>51</v>
      </c>
      <c r="P9" s="19" t="s">
        <v>64</v>
      </c>
      <c r="Q9" s="30" t="s">
        <v>53</v>
      </c>
      <c r="R9" s="22" t="s">
        <v>41</v>
      </c>
      <c r="S9" s="30" t="s">
        <v>102</v>
      </c>
      <c r="T9" s="30" t="s">
        <v>102</v>
      </c>
      <c r="U9" s="30" t="s">
        <v>100</v>
      </c>
      <c r="V9" s="30" t="s">
        <v>101</v>
      </c>
      <c r="W9" s="30" t="s">
        <v>103</v>
      </c>
      <c r="X9" s="30" t="s">
        <v>104</v>
      </c>
      <c r="Y9" s="19" t="s">
        <v>105</v>
      </c>
      <c r="Z9" s="19" t="s">
        <v>71</v>
      </c>
      <c r="AA9" s="40">
        <v>301840133</v>
      </c>
      <c r="AB9" s="70">
        <v>0.41</v>
      </c>
      <c r="AC9" s="70">
        <f t="shared" si="0"/>
        <v>3.4204356653044798E-3</v>
      </c>
      <c r="AD9" s="22">
        <v>45692</v>
      </c>
      <c r="AE9" s="36">
        <v>1</v>
      </c>
      <c r="AF9" s="22">
        <f>AD9+14</f>
        <v>45706</v>
      </c>
      <c r="AG9" s="22">
        <v>45712</v>
      </c>
      <c r="AH9" s="19"/>
      <c r="AI9" s="36"/>
      <c r="AJ9" s="19"/>
      <c r="AK9" s="19"/>
      <c r="AL9" s="22">
        <v>45713</v>
      </c>
      <c r="AM9" s="19">
        <v>1</v>
      </c>
      <c r="AN9" s="22">
        <f>AL9+30</f>
        <v>45743</v>
      </c>
      <c r="AO9" s="22">
        <v>45713</v>
      </c>
      <c r="AP9" s="19"/>
      <c r="AQ9" s="19"/>
      <c r="AR9" s="9"/>
      <c r="AS9" s="9"/>
    </row>
    <row r="10" spans="1:45" s="16" customFormat="1" ht="54" customHeight="1">
      <c r="A10" s="19">
        <v>7</v>
      </c>
      <c r="B10" s="19" t="s">
        <v>106</v>
      </c>
      <c r="C10" s="53" t="s">
        <v>792</v>
      </c>
      <c r="D10" s="37" t="s">
        <v>788</v>
      </c>
      <c r="E10" s="64" t="s">
        <v>787</v>
      </c>
      <c r="F10" s="19" t="s">
        <v>75</v>
      </c>
      <c r="G10" s="36" t="s">
        <v>860</v>
      </c>
      <c r="H10" s="36" t="s">
        <v>862</v>
      </c>
      <c r="I10" s="19" t="s">
        <v>868</v>
      </c>
      <c r="J10" s="19" t="s">
        <v>131</v>
      </c>
      <c r="K10" s="19" t="s">
        <v>107</v>
      </c>
      <c r="L10" s="19" t="s">
        <v>108</v>
      </c>
      <c r="M10" s="19"/>
      <c r="N10" s="19" t="s">
        <v>109</v>
      </c>
      <c r="O10" s="19"/>
      <c r="P10" s="19"/>
      <c r="Q10" s="30"/>
      <c r="R10" s="22"/>
      <c r="S10" s="30"/>
      <c r="T10" s="30"/>
      <c r="U10" s="30"/>
      <c r="V10" s="30"/>
      <c r="W10" s="30"/>
      <c r="X10" s="30"/>
      <c r="Y10" s="19"/>
      <c r="Z10" s="19"/>
      <c r="AA10" s="40">
        <v>376000000</v>
      </c>
      <c r="AB10" s="70">
        <v>0.41</v>
      </c>
      <c r="AC10" s="70">
        <f t="shared" si="0"/>
        <v>4.2608111697144142E-3</v>
      </c>
      <c r="AD10" s="19"/>
      <c r="AE10" s="36"/>
      <c r="AF10" s="22"/>
      <c r="AG10" s="19"/>
      <c r="AH10" s="19"/>
      <c r="AI10" s="36"/>
      <c r="AJ10" s="19"/>
      <c r="AK10" s="19"/>
      <c r="AL10" s="36" t="s">
        <v>1019</v>
      </c>
      <c r="AM10" s="36">
        <v>1</v>
      </c>
      <c r="AN10" s="22">
        <f t="shared" ref="AN10:AN15" si="1">AL10+30</f>
        <v>45738</v>
      </c>
      <c r="AO10" s="36" t="s">
        <v>946</v>
      </c>
      <c r="AP10" s="19"/>
      <c r="AQ10" s="19"/>
      <c r="AR10" s="9"/>
      <c r="AS10" s="9"/>
    </row>
    <row r="11" spans="1:45" s="16" customFormat="1" ht="54" customHeight="1">
      <c r="A11" s="19">
        <v>8</v>
      </c>
      <c r="B11" s="19" t="s">
        <v>110</v>
      </c>
      <c r="C11" s="53" t="s">
        <v>825</v>
      </c>
      <c r="D11" s="63" t="s">
        <v>826</v>
      </c>
      <c r="E11" s="64" t="s">
        <v>827</v>
      </c>
      <c r="F11" s="19" t="s">
        <v>111</v>
      </c>
      <c r="G11" s="36" t="s">
        <v>860</v>
      </c>
      <c r="H11" s="36" t="s">
        <v>863</v>
      </c>
      <c r="I11" s="19">
        <v>30</v>
      </c>
      <c r="J11" s="19" t="s">
        <v>131</v>
      </c>
      <c r="K11" s="19" t="s">
        <v>112</v>
      </c>
      <c r="L11" s="19" t="s">
        <v>86</v>
      </c>
      <c r="M11" s="19" t="s">
        <v>368</v>
      </c>
      <c r="N11" s="19" t="s">
        <v>113</v>
      </c>
      <c r="O11" s="19" t="s">
        <v>114</v>
      </c>
      <c r="P11" s="19" t="s">
        <v>64</v>
      </c>
      <c r="Q11" s="30" t="s">
        <v>115</v>
      </c>
      <c r="R11" s="22" t="s">
        <v>41</v>
      </c>
      <c r="S11" s="30" t="s">
        <v>117</v>
      </c>
      <c r="T11" s="30" t="s">
        <v>117</v>
      </c>
      <c r="U11" s="30" t="s">
        <v>116</v>
      </c>
      <c r="V11" s="30" t="s">
        <v>118</v>
      </c>
      <c r="W11" s="30" t="s">
        <v>119</v>
      </c>
      <c r="X11" s="30" t="s">
        <v>120</v>
      </c>
      <c r="Y11" s="19" t="s">
        <v>121</v>
      </c>
      <c r="Z11" s="19" t="s">
        <v>122</v>
      </c>
      <c r="AA11" s="40">
        <v>11700000000</v>
      </c>
      <c r="AB11" s="70">
        <v>0.1</v>
      </c>
      <c r="AC11" s="70">
        <f t="shared" si="0"/>
        <v>0.13258375182356025</v>
      </c>
      <c r="AD11" s="36" t="s">
        <v>979</v>
      </c>
      <c r="AE11" s="36">
        <v>1</v>
      </c>
      <c r="AF11" s="22">
        <f>AD11+14</f>
        <v>45584</v>
      </c>
      <c r="AG11" s="36" t="s">
        <v>972</v>
      </c>
      <c r="AH11" s="36" t="s">
        <v>976</v>
      </c>
      <c r="AI11" s="36">
        <v>1</v>
      </c>
      <c r="AJ11" s="22">
        <f>AH11+14</f>
        <v>45642</v>
      </c>
      <c r="AK11" s="36" t="s">
        <v>975</v>
      </c>
      <c r="AL11" s="36" t="s">
        <v>1029</v>
      </c>
      <c r="AM11" s="36">
        <v>1</v>
      </c>
      <c r="AN11" s="22">
        <f t="shared" si="1"/>
        <v>45765</v>
      </c>
      <c r="AO11" s="36" t="s">
        <v>1028</v>
      </c>
      <c r="AP11" s="19"/>
      <c r="AQ11" s="19"/>
      <c r="AR11" s="9"/>
      <c r="AS11" s="9"/>
    </row>
    <row r="12" spans="1:45" s="16" customFormat="1" ht="54" customHeight="1">
      <c r="A12" s="19">
        <v>9</v>
      </c>
      <c r="B12" s="19" t="s">
        <v>123</v>
      </c>
      <c r="C12" s="53" t="s">
        <v>124</v>
      </c>
      <c r="D12" s="63" t="s">
        <v>797</v>
      </c>
      <c r="E12" s="64" t="s">
        <v>798</v>
      </c>
      <c r="F12" s="19" t="s">
        <v>75</v>
      </c>
      <c r="G12" s="36" t="s">
        <v>860</v>
      </c>
      <c r="H12" s="36" t="s">
        <v>861</v>
      </c>
      <c r="I12" s="19">
        <v>6</v>
      </c>
      <c r="J12" s="19" t="s">
        <v>131</v>
      </c>
      <c r="K12" s="19" t="s">
        <v>125</v>
      </c>
      <c r="L12" s="19" t="s">
        <v>86</v>
      </c>
      <c r="M12" s="19" t="s">
        <v>368</v>
      </c>
      <c r="N12" s="19" t="s">
        <v>50</v>
      </c>
      <c r="O12" s="19" t="s">
        <v>51</v>
      </c>
      <c r="P12" s="19" t="s">
        <v>126</v>
      </c>
      <c r="Q12" s="30" t="s">
        <v>128</v>
      </c>
      <c r="R12" s="22" t="s">
        <v>41</v>
      </c>
      <c r="S12" s="30" t="s">
        <v>127</v>
      </c>
      <c r="T12" s="30" t="s">
        <v>127</v>
      </c>
      <c r="U12" s="30" t="s">
        <v>131</v>
      </c>
      <c r="V12" s="30" t="s">
        <v>130</v>
      </c>
      <c r="W12" s="30" t="s">
        <v>131</v>
      </c>
      <c r="X12" s="30" t="s">
        <v>120</v>
      </c>
      <c r="Y12" s="19" t="s">
        <v>132</v>
      </c>
      <c r="Z12" s="19" t="s">
        <v>133</v>
      </c>
      <c r="AA12" s="40">
        <v>240000000</v>
      </c>
      <c r="AB12" s="70">
        <v>0.05</v>
      </c>
      <c r="AC12" s="70">
        <f t="shared" si="0"/>
        <v>2.7196667040730307E-3</v>
      </c>
      <c r="AD12" s="19"/>
      <c r="AE12" s="36"/>
      <c r="AF12" s="22"/>
      <c r="AG12" s="19"/>
      <c r="AH12" s="19"/>
      <c r="AI12" s="36"/>
      <c r="AJ12" s="19"/>
      <c r="AK12" s="19"/>
      <c r="AL12" s="36" t="s">
        <v>918</v>
      </c>
      <c r="AM12" s="36">
        <v>1</v>
      </c>
      <c r="AN12" s="22">
        <f t="shared" si="1"/>
        <v>45764</v>
      </c>
      <c r="AO12" s="36" t="s">
        <v>1029</v>
      </c>
      <c r="AP12" s="19"/>
      <c r="AQ12" s="19"/>
      <c r="AR12" s="9"/>
      <c r="AS12" s="9"/>
    </row>
    <row r="13" spans="1:45" s="16" customFormat="1" ht="54" customHeight="1">
      <c r="A13" s="19">
        <v>10</v>
      </c>
      <c r="B13" s="19" t="s">
        <v>110</v>
      </c>
      <c r="C13" s="53" t="s">
        <v>825</v>
      </c>
      <c r="D13" s="63" t="s">
        <v>826</v>
      </c>
      <c r="E13" s="64" t="s">
        <v>827</v>
      </c>
      <c r="F13" s="19" t="s">
        <v>111</v>
      </c>
      <c r="G13" s="36" t="s">
        <v>860</v>
      </c>
      <c r="H13" s="36" t="s">
        <v>863</v>
      </c>
      <c r="I13" s="19">
        <v>30</v>
      </c>
      <c r="J13" s="19" t="s">
        <v>131</v>
      </c>
      <c r="K13" s="19" t="s">
        <v>135</v>
      </c>
      <c r="L13" s="19" t="s">
        <v>49</v>
      </c>
      <c r="M13" s="19" t="s">
        <v>368</v>
      </c>
      <c r="N13" s="19" t="s">
        <v>113</v>
      </c>
      <c r="O13" s="19" t="s">
        <v>114</v>
      </c>
      <c r="P13" s="19" t="s">
        <v>64</v>
      </c>
      <c r="Q13" s="30" t="s">
        <v>115</v>
      </c>
      <c r="R13" s="22" t="s">
        <v>41</v>
      </c>
      <c r="S13" s="30" t="s">
        <v>136</v>
      </c>
      <c r="T13" s="30" t="s">
        <v>117</v>
      </c>
      <c r="U13" s="30" t="s">
        <v>137</v>
      </c>
      <c r="V13" s="30" t="s">
        <v>138</v>
      </c>
      <c r="W13" s="30" t="s">
        <v>139</v>
      </c>
      <c r="X13" s="30" t="s">
        <v>140</v>
      </c>
      <c r="Y13" s="19" t="s">
        <v>141</v>
      </c>
      <c r="Z13" s="19" t="s">
        <v>142</v>
      </c>
      <c r="AA13" s="40">
        <v>1500000000</v>
      </c>
      <c r="AB13" s="70">
        <v>0.18579999999999999</v>
      </c>
      <c r="AC13" s="70">
        <f t="shared" si="0"/>
        <v>1.699791690045644E-2</v>
      </c>
      <c r="AD13" s="36" t="s">
        <v>979</v>
      </c>
      <c r="AE13" s="36">
        <v>1</v>
      </c>
      <c r="AF13" s="22">
        <f>AD13+14</f>
        <v>45584</v>
      </c>
      <c r="AG13" s="36" t="s">
        <v>972</v>
      </c>
      <c r="AH13" s="36" t="s">
        <v>976</v>
      </c>
      <c r="AI13" s="36">
        <v>1</v>
      </c>
      <c r="AJ13" s="22">
        <f>AH13+14</f>
        <v>45642</v>
      </c>
      <c r="AK13" s="36" t="s">
        <v>975</v>
      </c>
      <c r="AL13" s="36" t="s">
        <v>1029</v>
      </c>
      <c r="AM13" s="36">
        <v>1</v>
      </c>
      <c r="AN13" s="22">
        <f t="shared" si="1"/>
        <v>45765</v>
      </c>
      <c r="AO13" s="36" t="s">
        <v>1028</v>
      </c>
      <c r="AP13" s="19"/>
      <c r="AQ13" s="19"/>
      <c r="AR13" s="9"/>
      <c r="AS13" s="9"/>
    </row>
    <row r="14" spans="1:45" s="16" customFormat="1" ht="54" customHeight="1">
      <c r="A14" s="19">
        <v>11</v>
      </c>
      <c r="B14" s="19" t="s">
        <v>143</v>
      </c>
      <c r="C14" s="53" t="s">
        <v>547</v>
      </c>
      <c r="D14" s="63" t="s">
        <v>810</v>
      </c>
      <c r="E14" s="64" t="s">
        <v>811</v>
      </c>
      <c r="F14" s="19" t="s">
        <v>75</v>
      </c>
      <c r="G14" s="36" t="s">
        <v>860</v>
      </c>
      <c r="H14" s="36" t="s">
        <v>864</v>
      </c>
      <c r="I14" s="19">
        <v>40</v>
      </c>
      <c r="J14" s="19" t="s">
        <v>131</v>
      </c>
      <c r="K14" s="19" t="s">
        <v>144</v>
      </c>
      <c r="L14" s="19" t="s">
        <v>86</v>
      </c>
      <c r="M14" s="19" t="s">
        <v>368</v>
      </c>
      <c r="N14" s="19" t="s">
        <v>50</v>
      </c>
      <c r="O14" s="19" t="s">
        <v>51</v>
      </c>
      <c r="P14" s="19" t="s">
        <v>64</v>
      </c>
      <c r="Q14" s="30" t="s">
        <v>53</v>
      </c>
      <c r="R14" s="22" t="s">
        <v>41</v>
      </c>
      <c r="S14" s="30" t="s">
        <v>145</v>
      </c>
      <c r="T14" s="30" t="s">
        <v>145</v>
      </c>
      <c r="U14" s="30" t="s">
        <v>146</v>
      </c>
      <c r="V14" s="30" t="s">
        <v>147</v>
      </c>
      <c r="W14" s="30" t="s">
        <v>148</v>
      </c>
      <c r="X14" s="30" t="s">
        <v>149</v>
      </c>
      <c r="Y14" s="19" t="s">
        <v>80</v>
      </c>
      <c r="Z14" s="19" t="s">
        <v>150</v>
      </c>
      <c r="AA14" s="40">
        <v>2800000000</v>
      </c>
      <c r="AB14" s="70">
        <v>0.24</v>
      </c>
      <c r="AC14" s="70">
        <f t="shared" si="0"/>
        <v>3.1729444880852026E-2</v>
      </c>
      <c r="AD14" s="36" t="s">
        <v>1019</v>
      </c>
      <c r="AE14" s="36">
        <v>1</v>
      </c>
      <c r="AF14" s="22">
        <f>AD14+14</f>
        <v>45722</v>
      </c>
      <c r="AG14" s="36" t="s">
        <v>1019</v>
      </c>
      <c r="AH14" s="36" t="s">
        <v>1104</v>
      </c>
      <c r="AI14" s="36">
        <v>1</v>
      </c>
      <c r="AJ14" s="22">
        <f>AH14+14</f>
        <v>45793</v>
      </c>
      <c r="AK14" s="36" t="s">
        <v>1104</v>
      </c>
      <c r="AL14" s="36" t="s">
        <v>1102</v>
      </c>
      <c r="AM14" s="36">
        <v>1</v>
      </c>
      <c r="AN14" s="22">
        <f t="shared" si="1"/>
        <v>45869</v>
      </c>
      <c r="AO14" s="36" t="s">
        <v>1105</v>
      </c>
      <c r="AP14" s="19"/>
      <c r="AQ14" s="19"/>
      <c r="AR14" s="9"/>
      <c r="AS14" s="9"/>
    </row>
    <row r="15" spans="1:45" s="16" customFormat="1" ht="54" customHeight="1">
      <c r="A15" s="19">
        <v>12</v>
      </c>
      <c r="B15" s="19" t="s">
        <v>143</v>
      </c>
      <c r="C15" s="53" t="s">
        <v>547</v>
      </c>
      <c r="D15" s="63" t="s">
        <v>810</v>
      </c>
      <c r="E15" s="64" t="s">
        <v>811</v>
      </c>
      <c r="F15" s="19" t="s">
        <v>75</v>
      </c>
      <c r="G15" s="36" t="s">
        <v>860</v>
      </c>
      <c r="H15" s="36" t="s">
        <v>864</v>
      </c>
      <c r="I15" s="19">
        <v>40</v>
      </c>
      <c r="J15" s="19" t="s">
        <v>131</v>
      </c>
      <c r="K15" s="19" t="s">
        <v>151</v>
      </c>
      <c r="L15" s="19" t="s">
        <v>49</v>
      </c>
      <c r="M15" s="19" t="s">
        <v>185</v>
      </c>
      <c r="N15" s="19" t="s">
        <v>50</v>
      </c>
      <c r="O15" s="19" t="s">
        <v>51</v>
      </c>
      <c r="P15" s="19" t="s">
        <v>126</v>
      </c>
      <c r="Q15" s="30" t="s">
        <v>154</v>
      </c>
      <c r="R15" s="22" t="s">
        <v>41</v>
      </c>
      <c r="S15" s="30" t="s">
        <v>156</v>
      </c>
      <c r="T15" s="30" t="s">
        <v>156</v>
      </c>
      <c r="U15" s="30" t="s">
        <v>131</v>
      </c>
      <c r="V15" s="30" t="s">
        <v>155</v>
      </c>
      <c r="W15" s="30" t="s">
        <v>131</v>
      </c>
      <c r="X15" s="30" t="s">
        <v>157</v>
      </c>
      <c r="Y15" s="19" t="s">
        <v>158</v>
      </c>
      <c r="Z15" s="19" t="s">
        <v>159</v>
      </c>
      <c r="AA15" s="40">
        <v>80000000</v>
      </c>
      <c r="AB15" s="70">
        <v>0.61</v>
      </c>
      <c r="AC15" s="70">
        <f t="shared" si="0"/>
        <v>9.0655556802434346E-4</v>
      </c>
      <c r="AD15" s="19"/>
      <c r="AE15" s="36"/>
      <c r="AF15" s="73"/>
      <c r="AG15" s="73"/>
      <c r="AH15" s="36"/>
      <c r="AI15" s="36"/>
      <c r="AJ15" s="19"/>
      <c r="AK15" s="19"/>
      <c r="AL15" s="36" t="s">
        <v>946</v>
      </c>
      <c r="AM15" s="36">
        <v>1</v>
      </c>
      <c r="AN15" s="22">
        <f t="shared" si="1"/>
        <v>45770</v>
      </c>
      <c r="AO15" s="36" t="s">
        <v>1009</v>
      </c>
      <c r="AP15" s="19"/>
      <c r="AQ15" s="19"/>
      <c r="AR15" s="9"/>
      <c r="AS15" s="9"/>
    </row>
    <row r="16" spans="1:45" s="16" customFormat="1" ht="54" customHeight="1">
      <c r="A16" s="19">
        <v>13</v>
      </c>
      <c r="B16" s="19" t="s">
        <v>110</v>
      </c>
      <c r="C16" s="53" t="s">
        <v>825</v>
      </c>
      <c r="D16" s="63" t="s">
        <v>826</v>
      </c>
      <c r="E16" s="64" t="s">
        <v>827</v>
      </c>
      <c r="F16" s="19" t="s">
        <v>111</v>
      </c>
      <c r="G16" s="36" t="s">
        <v>860</v>
      </c>
      <c r="H16" s="36" t="s">
        <v>863</v>
      </c>
      <c r="I16" s="19">
        <v>30</v>
      </c>
      <c r="J16" s="19" t="s">
        <v>131</v>
      </c>
      <c r="K16" s="19" t="s">
        <v>160</v>
      </c>
      <c r="L16" s="19" t="s">
        <v>49</v>
      </c>
      <c r="M16" s="19" t="s">
        <v>368</v>
      </c>
      <c r="N16" s="19" t="s">
        <v>113</v>
      </c>
      <c r="O16" s="19" t="s">
        <v>114</v>
      </c>
      <c r="P16" s="19" t="s">
        <v>52</v>
      </c>
      <c r="Q16" s="30" t="s">
        <v>53</v>
      </c>
      <c r="R16" s="22" t="s">
        <v>41</v>
      </c>
      <c r="S16" s="30" t="s">
        <v>161</v>
      </c>
      <c r="T16" s="30" t="s">
        <v>161</v>
      </c>
      <c r="U16" s="30" t="s">
        <v>93</v>
      </c>
      <c r="V16" s="30" t="s">
        <v>60</v>
      </c>
      <c r="W16" s="30" t="s">
        <v>153</v>
      </c>
      <c r="X16" s="30">
        <v>45769</v>
      </c>
      <c r="Y16" s="19" t="s">
        <v>54</v>
      </c>
      <c r="Z16" s="19" t="s">
        <v>162</v>
      </c>
      <c r="AA16" s="40">
        <v>904147285</v>
      </c>
      <c r="AB16" s="70">
        <v>0.19020000000000001</v>
      </c>
      <c r="AC16" s="70">
        <f t="shared" si="0"/>
        <v>1.0245746944135537E-2</v>
      </c>
      <c r="AD16" s="36" t="s">
        <v>1031</v>
      </c>
      <c r="AE16" s="36">
        <v>1</v>
      </c>
      <c r="AF16" s="22">
        <f t="shared" ref="AF16" si="2">AD16+14</f>
        <v>45687</v>
      </c>
      <c r="AG16" s="36" t="s">
        <v>1030</v>
      </c>
      <c r="AH16" s="36" t="s">
        <v>1033</v>
      </c>
      <c r="AI16" s="36">
        <v>1</v>
      </c>
      <c r="AJ16" s="22">
        <f t="shared" ref="AJ16" si="3">AH16+14</f>
        <v>45751</v>
      </c>
      <c r="AK16" s="36" t="s">
        <v>1034</v>
      </c>
      <c r="AL16" s="36" t="s">
        <v>1029</v>
      </c>
      <c r="AM16" s="36">
        <v>1</v>
      </c>
      <c r="AN16" s="22">
        <f t="shared" ref="AN16" si="4">AL16+30</f>
        <v>45765</v>
      </c>
      <c r="AO16" s="36" t="s">
        <v>1028</v>
      </c>
      <c r="AP16" s="19"/>
      <c r="AQ16" s="19"/>
      <c r="AR16" s="9"/>
      <c r="AS16" s="9"/>
    </row>
    <row r="17" spans="1:45" s="16" customFormat="1" ht="54" customHeight="1">
      <c r="A17" s="19">
        <v>14</v>
      </c>
      <c r="B17" s="19" t="s">
        <v>110</v>
      </c>
      <c r="C17" s="53" t="s">
        <v>825</v>
      </c>
      <c r="D17" s="63" t="s">
        <v>826</v>
      </c>
      <c r="E17" s="64" t="s">
        <v>827</v>
      </c>
      <c r="F17" s="19" t="s">
        <v>111</v>
      </c>
      <c r="G17" s="36" t="s">
        <v>860</v>
      </c>
      <c r="H17" s="36" t="s">
        <v>863</v>
      </c>
      <c r="I17" s="19">
        <v>30</v>
      </c>
      <c r="J17" s="19" t="s">
        <v>131</v>
      </c>
      <c r="K17" s="19" t="s">
        <v>163</v>
      </c>
      <c r="L17" s="19" t="s">
        <v>86</v>
      </c>
      <c r="M17" s="19" t="s">
        <v>368</v>
      </c>
      <c r="N17" s="19" t="s">
        <v>50</v>
      </c>
      <c r="O17" s="19" t="s">
        <v>114</v>
      </c>
      <c r="P17" s="19" t="s">
        <v>52</v>
      </c>
      <c r="Q17" s="30" t="s">
        <v>53</v>
      </c>
      <c r="R17" s="22" t="s">
        <v>41</v>
      </c>
      <c r="S17" s="30" t="s">
        <v>164</v>
      </c>
      <c r="T17" s="30" t="s">
        <v>164</v>
      </c>
      <c r="U17" s="30" t="s">
        <v>165</v>
      </c>
      <c r="V17" s="30" t="s">
        <v>166</v>
      </c>
      <c r="W17" s="30" t="s">
        <v>167</v>
      </c>
      <c r="X17" s="30">
        <v>45770</v>
      </c>
      <c r="Y17" s="19" t="s">
        <v>168</v>
      </c>
      <c r="Z17" s="19" t="s">
        <v>169</v>
      </c>
      <c r="AA17" s="40">
        <v>13058034591</v>
      </c>
      <c r="AB17" s="70">
        <v>0.12</v>
      </c>
      <c r="AC17" s="70">
        <f t="shared" si="0"/>
        <v>0.14797292457406913</v>
      </c>
      <c r="AD17" s="36" t="s">
        <v>1031</v>
      </c>
      <c r="AE17" s="36">
        <v>1</v>
      </c>
      <c r="AF17" s="22">
        <f t="shared" ref="AF17:AF19" si="5">AD17+14</f>
        <v>45687</v>
      </c>
      <c r="AG17" s="36" t="s">
        <v>1030</v>
      </c>
      <c r="AH17" s="36" t="s">
        <v>1032</v>
      </c>
      <c r="AI17" s="36">
        <v>1</v>
      </c>
      <c r="AJ17" s="22">
        <f t="shared" ref="AJ17:AJ19" si="6">AH17+14</f>
        <v>45735</v>
      </c>
      <c r="AK17" s="36" t="s">
        <v>885</v>
      </c>
      <c r="AL17" s="36" t="s">
        <v>1029</v>
      </c>
      <c r="AM17" s="36">
        <v>1</v>
      </c>
      <c r="AN17" s="22">
        <f t="shared" ref="AN17" si="7">AL17+30</f>
        <v>45765</v>
      </c>
      <c r="AO17" s="36" t="s">
        <v>1028</v>
      </c>
      <c r="AP17" s="19"/>
      <c r="AQ17" s="19"/>
      <c r="AR17" s="9"/>
      <c r="AS17" s="9"/>
    </row>
    <row r="18" spans="1:45" s="16" customFormat="1" ht="54" customHeight="1">
      <c r="A18" s="19">
        <v>15</v>
      </c>
      <c r="B18" s="19" t="s">
        <v>177</v>
      </c>
      <c r="C18" s="53" t="s">
        <v>170</v>
      </c>
      <c r="D18" s="63" t="s">
        <v>801</v>
      </c>
      <c r="E18" s="64" t="s">
        <v>802</v>
      </c>
      <c r="F18" s="19" t="s">
        <v>171</v>
      </c>
      <c r="G18" s="36" t="s">
        <v>860</v>
      </c>
      <c r="H18" s="36" t="s">
        <v>861</v>
      </c>
      <c r="I18" s="19">
        <v>40</v>
      </c>
      <c r="J18" s="19" t="s">
        <v>131</v>
      </c>
      <c r="K18" s="19" t="s">
        <v>172</v>
      </c>
      <c r="L18" s="19" t="s">
        <v>49</v>
      </c>
      <c r="M18" s="19" t="s">
        <v>368</v>
      </c>
      <c r="N18" s="19" t="s">
        <v>113</v>
      </c>
      <c r="O18" s="19" t="s">
        <v>51</v>
      </c>
      <c r="P18" s="19" t="s">
        <v>52</v>
      </c>
      <c r="Q18" s="30" t="s">
        <v>154</v>
      </c>
      <c r="R18" s="22" t="s">
        <v>41</v>
      </c>
      <c r="S18" s="30" t="s">
        <v>178</v>
      </c>
      <c r="T18" s="30" t="s">
        <v>178</v>
      </c>
      <c r="U18" s="30" t="s">
        <v>152</v>
      </c>
      <c r="V18" s="30" t="s">
        <v>79</v>
      </c>
      <c r="W18" s="30" t="s">
        <v>174</v>
      </c>
      <c r="X18" s="30">
        <v>45763</v>
      </c>
      <c r="Y18" s="19" t="s">
        <v>54</v>
      </c>
      <c r="Z18" s="19" t="s">
        <v>175</v>
      </c>
      <c r="AA18" s="40">
        <v>253171159</v>
      </c>
      <c r="AB18" s="70">
        <v>0.37</v>
      </c>
      <c r="AC18" s="70">
        <f t="shared" si="0"/>
        <v>2.8689215481828298E-3</v>
      </c>
      <c r="AD18" s="36" t="s">
        <v>1034</v>
      </c>
      <c r="AE18" s="36">
        <v>1</v>
      </c>
      <c r="AF18" s="22">
        <f t="shared" ref="AF18" si="8">AD18+14</f>
        <v>45736</v>
      </c>
      <c r="AG18" s="36" t="s">
        <v>1103</v>
      </c>
      <c r="AH18" s="36" t="s">
        <v>1103</v>
      </c>
      <c r="AI18" s="36">
        <v>1</v>
      </c>
      <c r="AJ18" s="22">
        <f t="shared" ref="AJ18" si="9">AH18+14</f>
        <v>45744</v>
      </c>
      <c r="AK18" s="36" t="s">
        <v>1029</v>
      </c>
      <c r="AL18" s="36" t="s">
        <v>961</v>
      </c>
      <c r="AM18" s="36">
        <v>1</v>
      </c>
      <c r="AN18" s="22">
        <f>AL18+30</f>
        <v>45843</v>
      </c>
      <c r="AO18" s="36" t="s">
        <v>1078</v>
      </c>
      <c r="AP18" s="19"/>
      <c r="AQ18" s="19"/>
      <c r="AR18" s="9"/>
      <c r="AS18" s="9"/>
    </row>
    <row r="19" spans="1:45" s="16" customFormat="1" ht="54" customHeight="1">
      <c r="A19" s="19">
        <v>16</v>
      </c>
      <c r="B19" s="19" t="s">
        <v>177</v>
      </c>
      <c r="C19" s="53" t="s">
        <v>170</v>
      </c>
      <c r="D19" s="63" t="s">
        <v>801</v>
      </c>
      <c r="E19" s="64" t="s">
        <v>802</v>
      </c>
      <c r="F19" s="19" t="s">
        <v>171</v>
      </c>
      <c r="G19" s="36" t="s">
        <v>860</v>
      </c>
      <c r="H19" s="36" t="s">
        <v>861</v>
      </c>
      <c r="I19" s="19">
        <v>40</v>
      </c>
      <c r="J19" s="19" t="s">
        <v>131</v>
      </c>
      <c r="K19" s="19" t="s">
        <v>176</v>
      </c>
      <c r="L19" s="19" t="s">
        <v>86</v>
      </c>
      <c r="M19" s="19" t="s">
        <v>368</v>
      </c>
      <c r="N19" s="19" t="s">
        <v>113</v>
      </c>
      <c r="O19" s="19" t="s">
        <v>51</v>
      </c>
      <c r="P19" s="19" t="s">
        <v>52</v>
      </c>
      <c r="Q19" s="30" t="s">
        <v>154</v>
      </c>
      <c r="R19" s="22" t="s">
        <v>41</v>
      </c>
      <c r="S19" s="30" t="s">
        <v>178</v>
      </c>
      <c r="T19" s="30" t="s">
        <v>178</v>
      </c>
      <c r="U19" s="30" t="s">
        <v>179</v>
      </c>
      <c r="V19" s="30" t="s">
        <v>180</v>
      </c>
      <c r="W19" s="30" t="s">
        <v>181</v>
      </c>
      <c r="X19" s="30">
        <v>45755</v>
      </c>
      <c r="Y19" s="19" t="s">
        <v>182</v>
      </c>
      <c r="Z19" s="19" t="s">
        <v>183</v>
      </c>
      <c r="AA19" s="40">
        <v>1666913185</v>
      </c>
      <c r="AB19" s="70">
        <v>0.14000000000000001</v>
      </c>
      <c r="AC19" s="70">
        <f t="shared" si="0"/>
        <v>1.8889367865936781E-2</v>
      </c>
      <c r="AD19" s="36" t="s">
        <v>1034</v>
      </c>
      <c r="AE19" s="36">
        <v>1</v>
      </c>
      <c r="AF19" s="22">
        <f t="shared" si="5"/>
        <v>45736</v>
      </c>
      <c r="AG19" s="36" t="s">
        <v>1103</v>
      </c>
      <c r="AH19" s="36" t="s">
        <v>1103</v>
      </c>
      <c r="AI19" s="36">
        <v>1</v>
      </c>
      <c r="AJ19" s="22">
        <f t="shared" si="6"/>
        <v>45744</v>
      </c>
      <c r="AK19" s="36" t="s">
        <v>1029</v>
      </c>
      <c r="AL19" s="36" t="s">
        <v>961</v>
      </c>
      <c r="AM19" s="36">
        <v>1</v>
      </c>
      <c r="AN19" s="22">
        <f>AL19+30</f>
        <v>45843</v>
      </c>
      <c r="AO19" s="36" t="s">
        <v>1078</v>
      </c>
      <c r="AP19" s="19"/>
      <c r="AQ19" s="19"/>
      <c r="AR19" s="9"/>
      <c r="AS19" s="9"/>
    </row>
    <row r="20" spans="1:45" s="16" customFormat="1" ht="54" customHeight="1">
      <c r="A20" s="19">
        <v>17</v>
      </c>
      <c r="B20" s="19" t="s">
        <v>47</v>
      </c>
      <c r="C20" s="64" t="s">
        <v>791</v>
      </c>
      <c r="D20" s="64" t="s">
        <v>786</v>
      </c>
      <c r="E20" s="64" t="s">
        <v>785</v>
      </c>
      <c r="F20" s="19" t="s">
        <v>75</v>
      </c>
      <c r="G20" s="36" t="s">
        <v>860</v>
      </c>
      <c r="H20" s="36" t="s">
        <v>861</v>
      </c>
      <c r="I20" s="19">
        <v>44</v>
      </c>
      <c r="J20" s="19" t="s">
        <v>131</v>
      </c>
      <c r="K20" s="19" t="s">
        <v>184</v>
      </c>
      <c r="L20" s="19" t="s">
        <v>49</v>
      </c>
      <c r="M20" s="19" t="s">
        <v>368</v>
      </c>
      <c r="N20" s="19" t="s">
        <v>50</v>
      </c>
      <c r="O20" s="19" t="s">
        <v>51</v>
      </c>
      <c r="P20" s="19" t="s">
        <v>52</v>
      </c>
      <c r="Q20" s="30" t="s">
        <v>186</v>
      </c>
      <c r="R20" s="22" t="s">
        <v>41</v>
      </c>
      <c r="S20" s="30" t="s">
        <v>187</v>
      </c>
      <c r="T20" s="30" t="s">
        <v>187</v>
      </c>
      <c r="U20" s="30" t="s">
        <v>173</v>
      </c>
      <c r="V20" s="30" t="s">
        <v>152</v>
      </c>
      <c r="W20" s="30" t="s">
        <v>188</v>
      </c>
      <c r="X20" s="30" t="s">
        <v>189</v>
      </c>
      <c r="Y20" s="19" t="s">
        <v>54</v>
      </c>
      <c r="Z20" s="19" t="s">
        <v>80</v>
      </c>
      <c r="AA20" s="40">
        <v>578297015</v>
      </c>
      <c r="AB20" s="70">
        <v>0.37</v>
      </c>
      <c r="AC20" s="70">
        <f t="shared" si="0"/>
        <v>6.5532297365013415E-3</v>
      </c>
      <c r="AD20" s="19"/>
      <c r="AE20" s="36"/>
      <c r="AF20" s="22"/>
      <c r="AG20" s="19"/>
      <c r="AH20" s="19"/>
      <c r="AI20" s="36"/>
      <c r="AJ20" s="19"/>
      <c r="AK20" s="19"/>
      <c r="AL20" s="19" t="s">
        <v>1011</v>
      </c>
      <c r="AM20" s="36">
        <v>1</v>
      </c>
      <c r="AN20" s="22">
        <f>AL20+30</f>
        <v>45816</v>
      </c>
      <c r="AO20" s="19" t="s">
        <v>1004</v>
      </c>
      <c r="AP20" s="19"/>
      <c r="AQ20" s="19"/>
      <c r="AR20" s="9"/>
      <c r="AS20" s="9"/>
    </row>
    <row r="21" spans="1:45" s="16" customFormat="1" ht="54" customHeight="1">
      <c r="A21" s="19">
        <v>18</v>
      </c>
      <c r="B21" s="19" t="s">
        <v>143</v>
      </c>
      <c r="C21" s="53" t="s">
        <v>547</v>
      </c>
      <c r="D21" s="63" t="s">
        <v>810</v>
      </c>
      <c r="E21" s="64" t="s">
        <v>811</v>
      </c>
      <c r="F21" s="19" t="s">
        <v>75</v>
      </c>
      <c r="G21" s="36" t="s">
        <v>860</v>
      </c>
      <c r="H21" s="36" t="s">
        <v>864</v>
      </c>
      <c r="I21" s="19">
        <v>40</v>
      </c>
      <c r="J21" s="19" t="s">
        <v>131</v>
      </c>
      <c r="K21" s="19" t="s">
        <v>190</v>
      </c>
      <c r="L21" s="19" t="s">
        <v>86</v>
      </c>
      <c r="M21" s="19" t="s">
        <v>368</v>
      </c>
      <c r="N21" s="19" t="s">
        <v>50</v>
      </c>
      <c r="O21" s="19" t="s">
        <v>51</v>
      </c>
      <c r="P21" s="19" t="s">
        <v>64</v>
      </c>
      <c r="Q21" s="30" t="s">
        <v>128</v>
      </c>
      <c r="R21" s="22" t="s">
        <v>41</v>
      </c>
      <c r="S21" s="30" t="s">
        <v>127</v>
      </c>
      <c r="T21" s="30" t="s">
        <v>127</v>
      </c>
      <c r="U21" s="30" t="s">
        <v>129</v>
      </c>
      <c r="V21" s="30" t="s">
        <v>130</v>
      </c>
      <c r="W21" s="30" t="s">
        <v>189</v>
      </c>
      <c r="X21" s="30">
        <v>45768</v>
      </c>
      <c r="Y21" s="19" t="s">
        <v>80</v>
      </c>
      <c r="Z21" s="19" t="s">
        <v>191</v>
      </c>
      <c r="AA21" s="40">
        <v>2800000000</v>
      </c>
      <c r="AB21" s="70">
        <v>0.09</v>
      </c>
      <c r="AC21" s="70">
        <f t="shared" si="0"/>
        <v>3.1729444880852026E-2</v>
      </c>
      <c r="AD21" s="19"/>
      <c r="AE21" s="36"/>
      <c r="AF21" s="22"/>
      <c r="AG21" s="19"/>
      <c r="AH21" s="19"/>
      <c r="AI21" s="36"/>
      <c r="AJ21" s="19"/>
      <c r="AK21" s="19"/>
      <c r="AL21" s="36" t="s">
        <v>1102</v>
      </c>
      <c r="AM21" s="36">
        <v>1</v>
      </c>
      <c r="AN21" s="22">
        <f t="shared" ref="AN21:AN24" si="10">AL21+30</f>
        <v>45869</v>
      </c>
      <c r="AO21" s="36" t="s">
        <v>986</v>
      </c>
      <c r="AP21" s="19"/>
      <c r="AQ21" s="19"/>
      <c r="AR21" s="9"/>
      <c r="AS21" s="9"/>
    </row>
    <row r="22" spans="1:45" s="16" customFormat="1" ht="54" customHeight="1">
      <c r="A22" s="19">
        <v>19</v>
      </c>
      <c r="B22" s="19" t="s">
        <v>192</v>
      </c>
      <c r="C22" s="64" t="s">
        <v>842</v>
      </c>
      <c r="D22" s="62" t="s">
        <v>841</v>
      </c>
      <c r="E22" s="65" t="s">
        <v>845</v>
      </c>
      <c r="F22" s="19" t="s">
        <v>98</v>
      </c>
      <c r="G22" s="36" t="s">
        <v>860</v>
      </c>
      <c r="H22" s="36" t="s">
        <v>861</v>
      </c>
      <c r="I22" s="19">
        <v>6</v>
      </c>
      <c r="J22" s="19" t="s">
        <v>131</v>
      </c>
      <c r="K22" s="19" t="s">
        <v>193</v>
      </c>
      <c r="L22" s="19" t="s">
        <v>49</v>
      </c>
      <c r="M22" s="19" t="s">
        <v>368</v>
      </c>
      <c r="N22" s="19" t="s">
        <v>50</v>
      </c>
      <c r="O22" s="19" t="s">
        <v>51</v>
      </c>
      <c r="P22" s="19" t="s">
        <v>64</v>
      </c>
      <c r="Q22" s="45" t="s">
        <v>195</v>
      </c>
      <c r="R22" s="22" t="s">
        <v>41</v>
      </c>
      <c r="S22" s="30">
        <v>45757</v>
      </c>
      <c r="T22" s="30">
        <v>45757</v>
      </c>
      <c r="U22" s="30">
        <v>45758</v>
      </c>
      <c r="V22" s="30">
        <v>45759</v>
      </c>
      <c r="W22" s="30">
        <v>45773</v>
      </c>
      <c r="X22" s="30" t="s">
        <v>194</v>
      </c>
      <c r="Y22" s="19" t="s">
        <v>71</v>
      </c>
      <c r="Z22" s="19" t="s">
        <v>141</v>
      </c>
      <c r="AA22" s="40">
        <v>442094773</v>
      </c>
      <c r="AB22" s="70">
        <v>0.6</v>
      </c>
      <c r="AC22" s="70">
        <f t="shared" si="0"/>
        <v>5.0097934757201024E-3</v>
      </c>
      <c r="AD22" s="36" t="s">
        <v>1100</v>
      </c>
      <c r="AE22" s="36">
        <v>1</v>
      </c>
      <c r="AF22" s="22">
        <f t="shared" ref="AF22:AF24" si="11">AD22+14</f>
        <v>45778</v>
      </c>
      <c r="AG22" s="36" t="s">
        <v>1098</v>
      </c>
      <c r="AH22" s="36" t="s">
        <v>1097</v>
      </c>
      <c r="AI22" s="36">
        <v>1</v>
      </c>
      <c r="AJ22" s="22">
        <f>AH22+14</f>
        <v>45786</v>
      </c>
      <c r="AK22" s="36" t="s">
        <v>1097</v>
      </c>
      <c r="AL22" s="36" t="s">
        <v>1101</v>
      </c>
      <c r="AM22" s="36">
        <v>1</v>
      </c>
      <c r="AN22" s="22">
        <f t="shared" si="10"/>
        <v>45815</v>
      </c>
      <c r="AO22" s="36" t="s">
        <v>1099</v>
      </c>
      <c r="AP22" s="19"/>
      <c r="AQ22" s="19"/>
      <c r="AR22" s="9"/>
      <c r="AS22" s="9"/>
    </row>
    <row r="23" spans="1:45" s="16" customFormat="1" ht="54" customHeight="1">
      <c r="A23" s="19">
        <v>20</v>
      </c>
      <c r="B23" s="19" t="s">
        <v>177</v>
      </c>
      <c r="C23" s="53" t="s">
        <v>170</v>
      </c>
      <c r="D23" s="63" t="s">
        <v>801</v>
      </c>
      <c r="E23" s="64" t="s">
        <v>802</v>
      </c>
      <c r="F23" s="19" t="s">
        <v>171</v>
      </c>
      <c r="G23" s="36" t="s">
        <v>860</v>
      </c>
      <c r="H23" s="36" t="s">
        <v>861</v>
      </c>
      <c r="I23" s="19">
        <v>40</v>
      </c>
      <c r="J23" s="19" t="s">
        <v>131</v>
      </c>
      <c r="K23" s="19" t="s">
        <v>198</v>
      </c>
      <c r="L23" s="19" t="s">
        <v>86</v>
      </c>
      <c r="M23" s="19" t="s">
        <v>368</v>
      </c>
      <c r="N23" s="19" t="s">
        <v>113</v>
      </c>
      <c r="O23" s="19" t="s">
        <v>51</v>
      </c>
      <c r="P23" s="19" t="s">
        <v>64</v>
      </c>
      <c r="Q23" s="30" t="s">
        <v>154</v>
      </c>
      <c r="R23" s="22" t="s">
        <v>41</v>
      </c>
      <c r="S23" s="30" t="s">
        <v>196</v>
      </c>
      <c r="T23" s="30" t="s">
        <v>196</v>
      </c>
      <c r="U23" s="30" t="s">
        <v>188</v>
      </c>
      <c r="V23" s="30" t="s">
        <v>189</v>
      </c>
      <c r="W23" s="30" t="s">
        <v>197</v>
      </c>
      <c r="X23" s="30" t="s">
        <v>194</v>
      </c>
      <c r="Y23" s="19" t="s">
        <v>54</v>
      </c>
      <c r="Z23" s="19" t="s">
        <v>199</v>
      </c>
      <c r="AA23" s="40">
        <v>625924095</v>
      </c>
      <c r="AB23" s="70">
        <v>0.1</v>
      </c>
      <c r="AC23" s="70">
        <f t="shared" si="0"/>
        <v>7.0929371685356018E-3</v>
      </c>
      <c r="AD23" s="36" t="s">
        <v>1096</v>
      </c>
      <c r="AE23" s="36">
        <v>1</v>
      </c>
      <c r="AF23" s="22">
        <f t="shared" si="11"/>
        <v>45785</v>
      </c>
      <c r="AG23" s="36" t="s">
        <v>1086</v>
      </c>
      <c r="AH23" s="36" t="s">
        <v>1096</v>
      </c>
      <c r="AI23" s="36">
        <v>1</v>
      </c>
      <c r="AJ23" s="22">
        <f>AH23+14</f>
        <v>45785</v>
      </c>
      <c r="AK23" s="36" t="s">
        <v>1086</v>
      </c>
      <c r="AL23" s="36" t="s">
        <v>961</v>
      </c>
      <c r="AM23" s="36">
        <v>1</v>
      </c>
      <c r="AN23" s="22">
        <f t="shared" si="10"/>
        <v>45843</v>
      </c>
      <c r="AO23" s="36" t="s">
        <v>1078</v>
      </c>
      <c r="AP23" s="19"/>
      <c r="AQ23" s="19"/>
      <c r="AR23" s="9"/>
      <c r="AS23" s="9"/>
    </row>
    <row r="24" spans="1:45" s="16" customFormat="1" ht="54" customHeight="1">
      <c r="A24" s="19">
        <v>21</v>
      </c>
      <c r="B24" s="19" t="s">
        <v>177</v>
      </c>
      <c r="C24" s="53" t="s">
        <v>170</v>
      </c>
      <c r="D24" s="63" t="s">
        <v>801</v>
      </c>
      <c r="E24" s="64" t="s">
        <v>802</v>
      </c>
      <c r="F24" s="19" t="s">
        <v>171</v>
      </c>
      <c r="G24" s="36" t="s">
        <v>860</v>
      </c>
      <c r="H24" s="36" t="s">
        <v>861</v>
      </c>
      <c r="I24" s="19">
        <v>40</v>
      </c>
      <c r="J24" s="19" t="s">
        <v>131</v>
      </c>
      <c r="K24" s="19" t="s">
        <v>200</v>
      </c>
      <c r="L24" s="19" t="s">
        <v>49</v>
      </c>
      <c r="M24" s="19" t="s">
        <v>368</v>
      </c>
      <c r="N24" s="19" t="s">
        <v>113</v>
      </c>
      <c r="O24" s="19" t="s">
        <v>51</v>
      </c>
      <c r="P24" s="19" t="s">
        <v>64</v>
      </c>
      <c r="Q24" s="30" t="s">
        <v>154</v>
      </c>
      <c r="R24" s="22" t="s">
        <v>41</v>
      </c>
      <c r="S24" s="30" t="s">
        <v>201</v>
      </c>
      <c r="T24" s="30" t="s">
        <v>201</v>
      </c>
      <c r="U24" s="30" t="s">
        <v>202</v>
      </c>
      <c r="V24" s="30" t="s">
        <v>203</v>
      </c>
      <c r="W24" s="30">
        <v>45776</v>
      </c>
      <c r="X24" s="30" t="s">
        <v>204</v>
      </c>
      <c r="Y24" s="19" t="s">
        <v>54</v>
      </c>
      <c r="Z24" s="19" t="s">
        <v>205</v>
      </c>
      <c r="AA24" s="40">
        <v>384899649</v>
      </c>
      <c r="AB24" s="70">
        <v>0.08</v>
      </c>
      <c r="AC24" s="70">
        <f t="shared" si="0"/>
        <v>4.3616614991445679E-3</v>
      </c>
      <c r="AD24" s="36" t="s">
        <v>1096</v>
      </c>
      <c r="AE24" s="36">
        <v>1</v>
      </c>
      <c r="AF24" s="22">
        <f t="shared" si="11"/>
        <v>45785</v>
      </c>
      <c r="AG24" s="36" t="s">
        <v>1086</v>
      </c>
      <c r="AH24" s="36" t="s">
        <v>1096</v>
      </c>
      <c r="AI24" s="36">
        <v>1</v>
      </c>
      <c r="AJ24" s="22">
        <f>AH24+14</f>
        <v>45785</v>
      </c>
      <c r="AK24" s="36" t="s">
        <v>1086</v>
      </c>
      <c r="AL24" s="36" t="s">
        <v>961</v>
      </c>
      <c r="AM24" s="36">
        <v>1</v>
      </c>
      <c r="AN24" s="22">
        <f t="shared" si="10"/>
        <v>45843</v>
      </c>
      <c r="AO24" s="36" t="s">
        <v>1078</v>
      </c>
      <c r="AP24" s="19"/>
      <c r="AQ24" s="19"/>
      <c r="AR24" s="9"/>
      <c r="AS24" s="9"/>
    </row>
    <row r="25" spans="1:45" s="16" customFormat="1" ht="54" customHeight="1">
      <c r="A25" s="19">
        <v>22</v>
      </c>
      <c r="B25" s="19" t="s">
        <v>206</v>
      </c>
      <c r="C25" s="64" t="s">
        <v>207</v>
      </c>
      <c r="D25" s="62" t="s">
        <v>843</v>
      </c>
      <c r="E25" s="65" t="s">
        <v>846</v>
      </c>
      <c r="F25" s="19" t="s">
        <v>208</v>
      </c>
      <c r="G25" s="36" t="s">
        <v>860</v>
      </c>
      <c r="H25" s="36" t="s">
        <v>861</v>
      </c>
      <c r="I25" s="19">
        <v>24</v>
      </c>
      <c r="J25" s="19" t="s">
        <v>131</v>
      </c>
      <c r="K25" s="19" t="s">
        <v>209</v>
      </c>
      <c r="L25" s="19" t="s">
        <v>108</v>
      </c>
      <c r="M25" s="19" t="s">
        <v>368</v>
      </c>
      <c r="N25" s="19" t="s">
        <v>50</v>
      </c>
      <c r="O25" s="19" t="s">
        <v>51</v>
      </c>
      <c r="P25" s="19" t="s">
        <v>64</v>
      </c>
      <c r="Q25" s="45" t="s">
        <v>195</v>
      </c>
      <c r="R25" s="22" t="s">
        <v>41</v>
      </c>
      <c r="S25" s="30">
        <v>45763</v>
      </c>
      <c r="T25" s="30">
        <v>45763</v>
      </c>
      <c r="U25" s="30">
        <v>45764</v>
      </c>
      <c r="V25" s="30">
        <v>45765</v>
      </c>
      <c r="W25" s="30" t="s">
        <v>210</v>
      </c>
      <c r="X25" s="30" t="s">
        <v>211</v>
      </c>
      <c r="Y25" s="19" t="s">
        <v>54</v>
      </c>
      <c r="Z25" s="19" t="s">
        <v>212</v>
      </c>
      <c r="AA25" s="40">
        <v>1120000000</v>
      </c>
      <c r="AB25" s="70">
        <v>0.19</v>
      </c>
      <c r="AC25" s="70">
        <f t="shared" si="0"/>
        <v>1.2691777952340808E-2</v>
      </c>
      <c r="AD25" s="36" t="s">
        <v>1095</v>
      </c>
      <c r="AE25" s="36">
        <v>1</v>
      </c>
      <c r="AF25" s="22">
        <f>AD25+14</f>
        <v>45790</v>
      </c>
      <c r="AG25" s="36" t="s">
        <v>1091</v>
      </c>
      <c r="AH25" s="36" t="s">
        <v>1094</v>
      </c>
      <c r="AI25" s="36">
        <v>1</v>
      </c>
      <c r="AJ25" s="22">
        <f>AH25+14</f>
        <v>45806</v>
      </c>
      <c r="AK25" s="36" t="s">
        <v>1092</v>
      </c>
      <c r="AL25" s="36" t="s">
        <v>1004</v>
      </c>
      <c r="AM25" s="36">
        <v>1</v>
      </c>
      <c r="AN25" s="22">
        <f t="shared" ref="AN25:AN37" si="12">AL25+30</f>
        <v>45842</v>
      </c>
      <c r="AO25" s="36" t="s">
        <v>1093</v>
      </c>
      <c r="AP25" s="19"/>
      <c r="AQ25" s="19"/>
      <c r="AR25" s="9"/>
      <c r="AS25" s="9"/>
    </row>
    <row r="26" spans="1:45" s="16" customFormat="1" ht="54" customHeight="1">
      <c r="A26" s="19">
        <v>23</v>
      </c>
      <c r="B26" s="19" t="s">
        <v>47</v>
      </c>
      <c r="C26" s="64" t="s">
        <v>791</v>
      </c>
      <c r="D26" s="64" t="s">
        <v>786</v>
      </c>
      <c r="E26" s="64" t="s">
        <v>785</v>
      </c>
      <c r="F26" s="19" t="s">
        <v>75</v>
      </c>
      <c r="G26" s="36" t="s">
        <v>860</v>
      </c>
      <c r="H26" s="36" t="s">
        <v>861</v>
      </c>
      <c r="I26" s="19">
        <v>44</v>
      </c>
      <c r="J26" s="19" t="s">
        <v>131</v>
      </c>
      <c r="K26" s="19" t="s">
        <v>213</v>
      </c>
      <c r="L26" s="19" t="s">
        <v>86</v>
      </c>
      <c r="M26" s="19" t="s">
        <v>368</v>
      </c>
      <c r="N26" s="19" t="s">
        <v>50</v>
      </c>
      <c r="O26" s="19" t="s">
        <v>51</v>
      </c>
      <c r="P26" s="19" t="s">
        <v>64</v>
      </c>
      <c r="Q26" s="45" t="s">
        <v>195</v>
      </c>
      <c r="R26" s="22" t="s">
        <v>41</v>
      </c>
      <c r="S26" s="30">
        <v>45761</v>
      </c>
      <c r="T26" s="30">
        <v>45761</v>
      </c>
      <c r="U26" s="30">
        <v>45762</v>
      </c>
      <c r="V26" s="30">
        <v>45763</v>
      </c>
      <c r="W26" s="30" t="s">
        <v>214</v>
      </c>
      <c r="X26" s="30" t="s">
        <v>215</v>
      </c>
      <c r="Y26" s="19" t="s">
        <v>80</v>
      </c>
      <c r="Z26" s="19" t="s">
        <v>95</v>
      </c>
      <c r="AA26" s="40">
        <v>1573205099</v>
      </c>
      <c r="AB26" s="70">
        <v>0.3</v>
      </c>
      <c r="AC26" s="70">
        <f t="shared" si="0"/>
        <v>1.7827473026784231E-2</v>
      </c>
      <c r="AD26" s="19"/>
      <c r="AE26" s="36"/>
      <c r="AF26" s="22"/>
      <c r="AG26" s="19"/>
      <c r="AH26" s="19"/>
      <c r="AI26" s="36"/>
      <c r="AJ26" s="19"/>
      <c r="AK26" s="19"/>
      <c r="AL26" s="36" t="s">
        <v>1090</v>
      </c>
      <c r="AM26" s="36">
        <v>1</v>
      </c>
      <c r="AN26" s="22">
        <f t="shared" si="12"/>
        <v>45854</v>
      </c>
      <c r="AO26" s="36" t="s">
        <v>1089</v>
      </c>
      <c r="AP26" s="19"/>
      <c r="AQ26" s="19"/>
      <c r="AR26" s="9"/>
      <c r="AS26" s="9"/>
    </row>
    <row r="27" spans="1:45" s="16" customFormat="1" ht="54" customHeight="1">
      <c r="A27" s="19">
        <v>24</v>
      </c>
      <c r="B27" s="19" t="s">
        <v>216</v>
      </c>
      <c r="C27" s="53" t="s">
        <v>782</v>
      </c>
      <c r="D27" s="37" t="s">
        <v>818</v>
      </c>
      <c r="E27" s="64" t="s">
        <v>819</v>
      </c>
      <c r="F27" s="19" t="s">
        <v>171</v>
      </c>
      <c r="G27" s="36" t="s">
        <v>860</v>
      </c>
      <c r="H27" s="36" t="s">
        <v>862</v>
      </c>
      <c r="I27" s="19">
        <v>20</v>
      </c>
      <c r="J27" s="19" t="s">
        <v>131</v>
      </c>
      <c r="K27" s="19" t="s">
        <v>217</v>
      </c>
      <c r="L27" s="19" t="s">
        <v>218</v>
      </c>
      <c r="M27" s="19" t="s">
        <v>368</v>
      </c>
      <c r="N27" s="19" t="s">
        <v>50</v>
      </c>
      <c r="O27" s="19" t="s">
        <v>114</v>
      </c>
      <c r="P27" s="19" t="s">
        <v>64</v>
      </c>
      <c r="Q27" s="45" t="s">
        <v>195</v>
      </c>
      <c r="R27" s="22" t="s">
        <v>41</v>
      </c>
      <c r="S27" s="30">
        <v>45775</v>
      </c>
      <c r="T27" s="30">
        <v>45775</v>
      </c>
      <c r="U27" s="30">
        <v>45776</v>
      </c>
      <c r="V27" s="30">
        <v>45777</v>
      </c>
      <c r="W27" s="30" t="s">
        <v>215</v>
      </c>
      <c r="X27" s="30" t="s">
        <v>219</v>
      </c>
      <c r="Y27" s="19" t="s">
        <v>54</v>
      </c>
      <c r="Z27" s="19" t="s">
        <v>54</v>
      </c>
      <c r="AA27" s="40">
        <v>880000000</v>
      </c>
      <c r="AB27" s="70">
        <v>0.34</v>
      </c>
      <c r="AC27" s="70">
        <f t="shared" si="0"/>
        <v>9.9721112482677784E-3</v>
      </c>
      <c r="AD27" s="19"/>
      <c r="AE27" s="36"/>
      <c r="AF27" s="22"/>
      <c r="AG27" s="19"/>
      <c r="AH27" s="19"/>
      <c r="AI27" s="36"/>
      <c r="AJ27" s="19"/>
      <c r="AK27" s="19"/>
      <c r="AL27" s="36" t="s">
        <v>1088</v>
      </c>
      <c r="AM27" s="36">
        <v>1</v>
      </c>
      <c r="AN27" s="22">
        <f t="shared" si="12"/>
        <v>45820</v>
      </c>
      <c r="AO27" s="36" t="s">
        <v>1087</v>
      </c>
      <c r="AP27" s="19"/>
      <c r="AQ27" s="19"/>
      <c r="AR27" s="9"/>
      <c r="AS27" s="9"/>
    </row>
    <row r="28" spans="1:45" s="16" customFormat="1" ht="54" customHeight="1">
      <c r="A28" s="19">
        <v>25</v>
      </c>
      <c r="B28" s="19" t="s">
        <v>221</v>
      </c>
      <c r="C28" s="64" t="s">
        <v>74</v>
      </c>
      <c r="D28" s="64" t="s">
        <v>131</v>
      </c>
      <c r="E28" s="64" t="s">
        <v>824</v>
      </c>
      <c r="F28" s="19" t="s">
        <v>75</v>
      </c>
      <c r="G28" s="36" t="s">
        <v>860</v>
      </c>
      <c r="H28" s="36" t="s">
        <v>862</v>
      </c>
      <c r="I28" s="19">
        <v>6</v>
      </c>
      <c r="J28" s="19" t="s">
        <v>131</v>
      </c>
      <c r="K28" s="19" t="s">
        <v>222</v>
      </c>
      <c r="L28" s="19" t="s">
        <v>77</v>
      </c>
      <c r="M28" s="19" t="s">
        <v>368</v>
      </c>
      <c r="N28" s="19" t="s">
        <v>50</v>
      </c>
      <c r="O28" s="19" t="s">
        <v>51</v>
      </c>
      <c r="P28" s="19" t="s">
        <v>64</v>
      </c>
      <c r="Q28" s="45" t="s">
        <v>223</v>
      </c>
      <c r="R28" s="22" t="s">
        <v>41</v>
      </c>
      <c r="S28" s="30" t="s">
        <v>197</v>
      </c>
      <c r="T28" s="30" t="s">
        <v>197</v>
      </c>
      <c r="U28" s="30" t="s">
        <v>224</v>
      </c>
      <c r="V28" s="30" t="s">
        <v>225</v>
      </c>
      <c r="W28" s="30" t="s">
        <v>226</v>
      </c>
      <c r="X28" s="30" t="s">
        <v>227</v>
      </c>
      <c r="Y28" s="19" t="s">
        <v>72</v>
      </c>
      <c r="Z28" s="19" t="s">
        <v>228</v>
      </c>
      <c r="AA28" s="40">
        <v>1253354525</v>
      </c>
      <c r="AB28" s="70">
        <v>0.36</v>
      </c>
      <c r="AC28" s="70">
        <f t="shared" si="0"/>
        <v>1.4202944041840703E-2</v>
      </c>
      <c r="AD28" s="36" t="s">
        <v>1086</v>
      </c>
      <c r="AE28" s="36">
        <v>1</v>
      </c>
      <c r="AF28" s="22">
        <f>AD28+14</f>
        <v>45797</v>
      </c>
      <c r="AG28" s="36" t="s">
        <v>1085</v>
      </c>
      <c r="AH28" s="19"/>
      <c r="AI28" s="36"/>
      <c r="AJ28" s="19"/>
      <c r="AK28" s="19"/>
      <c r="AL28" s="36" t="s">
        <v>1072</v>
      </c>
      <c r="AM28" s="36">
        <v>1</v>
      </c>
      <c r="AN28" s="22">
        <f t="shared" si="12"/>
        <v>45931</v>
      </c>
      <c r="AO28" s="36" t="s">
        <v>1084</v>
      </c>
      <c r="AP28" s="19"/>
      <c r="AQ28" s="19"/>
      <c r="AR28" s="9"/>
      <c r="AS28" s="9"/>
    </row>
    <row r="29" spans="1:45" s="16" customFormat="1" ht="54" customHeight="1">
      <c r="A29" s="19">
        <v>26</v>
      </c>
      <c r="B29" s="19" t="s">
        <v>230</v>
      </c>
      <c r="C29" s="64" t="s">
        <v>229</v>
      </c>
      <c r="D29" s="64" t="s">
        <v>131</v>
      </c>
      <c r="E29" s="65" t="s">
        <v>847</v>
      </c>
      <c r="F29" s="19" t="s">
        <v>231</v>
      </c>
      <c r="G29" s="36" t="s">
        <v>860</v>
      </c>
      <c r="H29" s="36" t="s">
        <v>861</v>
      </c>
      <c r="I29" s="19">
        <v>2</v>
      </c>
      <c r="J29" s="19" t="s">
        <v>131</v>
      </c>
      <c r="K29" s="19" t="s">
        <v>232</v>
      </c>
      <c r="L29" s="19" t="s">
        <v>86</v>
      </c>
      <c r="M29" s="19" t="s">
        <v>368</v>
      </c>
      <c r="N29" s="19" t="s">
        <v>50</v>
      </c>
      <c r="O29" s="19" t="s">
        <v>51</v>
      </c>
      <c r="P29" s="19" t="s">
        <v>52</v>
      </c>
      <c r="Q29" s="45" t="s">
        <v>223</v>
      </c>
      <c r="R29" s="22" t="s">
        <v>41</v>
      </c>
      <c r="S29" s="30" t="s">
        <v>210</v>
      </c>
      <c r="T29" s="30" t="s">
        <v>210</v>
      </c>
      <c r="U29" s="30" t="s">
        <v>233</v>
      </c>
      <c r="V29" s="30" t="s">
        <v>214</v>
      </c>
      <c r="W29" s="30" t="s">
        <v>234</v>
      </c>
      <c r="X29" s="30" t="s">
        <v>235</v>
      </c>
      <c r="Y29" s="19" t="s">
        <v>80</v>
      </c>
      <c r="Z29" s="19" t="s">
        <v>236</v>
      </c>
      <c r="AA29" s="40">
        <v>1700000000</v>
      </c>
      <c r="AB29" s="70">
        <v>0.18</v>
      </c>
      <c r="AC29" s="70">
        <f t="shared" si="0"/>
        <v>1.9264305820517299E-2</v>
      </c>
      <c r="AD29" s="36" t="s">
        <v>1080</v>
      </c>
      <c r="AE29" s="36">
        <v>1</v>
      </c>
      <c r="AF29" s="22">
        <f>AD29+14</f>
        <v>45817</v>
      </c>
      <c r="AG29" s="36" t="s">
        <v>1077</v>
      </c>
      <c r="AH29" s="36" t="s">
        <v>1078</v>
      </c>
      <c r="AI29" s="36">
        <v>1</v>
      </c>
      <c r="AJ29" s="22">
        <f>AH29+14</f>
        <v>45833</v>
      </c>
      <c r="AK29" s="36" t="s">
        <v>1079</v>
      </c>
      <c r="AL29" s="36" t="s">
        <v>1076</v>
      </c>
      <c r="AM29" s="36">
        <v>1</v>
      </c>
      <c r="AN29" s="22">
        <f t="shared" si="12"/>
        <v>45889</v>
      </c>
      <c r="AO29" s="36" t="s">
        <v>1075</v>
      </c>
      <c r="AP29" s="19"/>
      <c r="AQ29" s="19"/>
      <c r="AR29" s="9"/>
      <c r="AS29" s="9"/>
    </row>
    <row r="30" spans="1:45" s="16" customFormat="1" ht="54" customHeight="1">
      <c r="A30" s="19">
        <v>27</v>
      </c>
      <c r="B30" s="19" t="s">
        <v>237</v>
      </c>
      <c r="C30" s="64" t="s">
        <v>844</v>
      </c>
      <c r="D30" s="64" t="s">
        <v>131</v>
      </c>
      <c r="E30" s="65" t="s">
        <v>848</v>
      </c>
      <c r="F30" s="19" t="s">
        <v>171</v>
      </c>
      <c r="G30" s="36" t="s">
        <v>860</v>
      </c>
      <c r="H30" s="36" t="s">
        <v>861</v>
      </c>
      <c r="I30" s="19">
        <v>16</v>
      </c>
      <c r="J30" s="19" t="s">
        <v>131</v>
      </c>
      <c r="K30" s="19" t="s">
        <v>238</v>
      </c>
      <c r="L30" s="19" t="s">
        <v>49</v>
      </c>
      <c r="M30" s="19" t="s">
        <v>368</v>
      </c>
      <c r="N30" s="19" t="s">
        <v>50</v>
      </c>
      <c r="O30" s="19" t="s">
        <v>51</v>
      </c>
      <c r="P30" s="19" t="s">
        <v>64</v>
      </c>
      <c r="Q30" s="45" t="s">
        <v>239</v>
      </c>
      <c r="R30" s="22" t="s">
        <v>41</v>
      </c>
      <c r="S30" s="30" t="s">
        <v>240</v>
      </c>
      <c r="T30" s="30" t="s">
        <v>240</v>
      </c>
      <c r="U30" s="30" t="s">
        <v>241</v>
      </c>
      <c r="V30" s="30" t="s">
        <v>242</v>
      </c>
      <c r="W30" s="30" t="s">
        <v>235</v>
      </c>
      <c r="X30" s="30" t="s">
        <v>243</v>
      </c>
      <c r="Y30" s="19" t="s">
        <v>71</v>
      </c>
      <c r="Z30" s="19" t="s">
        <v>80</v>
      </c>
      <c r="AA30" s="40">
        <v>449156504</v>
      </c>
      <c r="AB30" s="70">
        <v>0.37519999999999998</v>
      </c>
      <c r="AC30" s="70">
        <f t="shared" si="0"/>
        <v>5.0898166201943538E-3</v>
      </c>
      <c r="AD30" s="73" t="s">
        <v>1081</v>
      </c>
      <c r="AE30" s="36">
        <v>1</v>
      </c>
      <c r="AF30" s="36">
        <f>AD30+14</f>
        <v>45825</v>
      </c>
      <c r="AG30" s="22" t="s">
        <v>1081</v>
      </c>
      <c r="AH30" s="36" t="s">
        <v>1082</v>
      </c>
      <c r="AI30" s="36">
        <v>1</v>
      </c>
      <c r="AJ30" s="36">
        <f>AH30+14</f>
        <v>45863</v>
      </c>
      <c r="AK30" s="22" t="s">
        <v>1082</v>
      </c>
      <c r="AL30" s="36" t="s">
        <v>1083</v>
      </c>
      <c r="AM30" s="36">
        <v>1</v>
      </c>
      <c r="AN30" s="22">
        <f t="shared" si="12"/>
        <v>45896</v>
      </c>
      <c r="AO30" s="22" t="s">
        <v>1023</v>
      </c>
      <c r="AP30" s="36"/>
      <c r="AQ30" s="19"/>
      <c r="AR30" s="9"/>
      <c r="AS30" s="9"/>
    </row>
    <row r="31" spans="1:45" s="16" customFormat="1" ht="54" customHeight="1">
      <c r="A31" s="19">
        <v>28</v>
      </c>
      <c r="B31" s="19" t="s">
        <v>244</v>
      </c>
      <c r="C31" s="64" t="s">
        <v>844</v>
      </c>
      <c r="D31" s="64" t="s">
        <v>131</v>
      </c>
      <c r="E31" s="65" t="s">
        <v>848</v>
      </c>
      <c r="F31" s="19" t="s">
        <v>171</v>
      </c>
      <c r="G31" s="36" t="s">
        <v>860</v>
      </c>
      <c r="H31" s="36" t="s">
        <v>861</v>
      </c>
      <c r="I31" s="19">
        <v>16</v>
      </c>
      <c r="J31" s="66" t="s">
        <v>131</v>
      </c>
      <c r="K31" s="19" t="s">
        <v>245</v>
      </c>
      <c r="L31" s="19" t="s">
        <v>246</v>
      </c>
      <c r="M31" s="19" t="s">
        <v>368</v>
      </c>
      <c r="N31" s="19" t="s">
        <v>50</v>
      </c>
      <c r="O31" s="19" t="s">
        <v>51</v>
      </c>
      <c r="P31" s="19" t="s">
        <v>64</v>
      </c>
      <c r="Q31" s="45" t="s">
        <v>239</v>
      </c>
      <c r="R31" s="22" t="s">
        <v>41</v>
      </c>
      <c r="S31" s="30" t="s">
        <v>247</v>
      </c>
      <c r="T31" s="30" t="s">
        <v>247</v>
      </c>
      <c r="U31" s="30" t="s">
        <v>248</v>
      </c>
      <c r="V31" s="30" t="s">
        <v>249</v>
      </c>
      <c r="W31" s="30" t="s">
        <v>250</v>
      </c>
      <c r="X31" s="30" t="s">
        <v>251</v>
      </c>
      <c r="Y31" s="19" t="s">
        <v>71</v>
      </c>
      <c r="Z31" s="19" t="s">
        <v>199</v>
      </c>
      <c r="AA31" s="40">
        <v>572283614</v>
      </c>
      <c r="AB31" s="70">
        <v>0.56000000000000005</v>
      </c>
      <c r="AC31" s="70">
        <f t="shared" si="0"/>
        <v>6.4850862095099269E-3</v>
      </c>
      <c r="AD31" s="36" t="s">
        <v>1081</v>
      </c>
      <c r="AE31" s="36">
        <v>1</v>
      </c>
      <c r="AF31" s="22">
        <f>AD31+14</f>
        <v>45825</v>
      </c>
      <c r="AG31" s="36" t="s">
        <v>1081</v>
      </c>
      <c r="AH31" s="36" t="s">
        <v>1082</v>
      </c>
      <c r="AI31" s="36">
        <v>1</v>
      </c>
      <c r="AJ31" s="22">
        <f>AH31+14</f>
        <v>45863</v>
      </c>
      <c r="AK31" s="36" t="s">
        <v>1082</v>
      </c>
      <c r="AL31" s="36" t="s">
        <v>1083</v>
      </c>
      <c r="AM31" s="36">
        <v>1</v>
      </c>
      <c r="AN31" s="22">
        <f t="shared" si="12"/>
        <v>45896</v>
      </c>
      <c r="AO31" s="36" t="s">
        <v>1023</v>
      </c>
      <c r="AP31" s="19"/>
      <c r="AQ31" s="19"/>
      <c r="AR31" s="9"/>
      <c r="AS31" s="9"/>
    </row>
    <row r="32" spans="1:45" s="16" customFormat="1" ht="54" customHeight="1">
      <c r="A32" s="19">
        <v>29</v>
      </c>
      <c r="B32" s="19" t="s">
        <v>230</v>
      </c>
      <c r="C32" s="64" t="s">
        <v>229</v>
      </c>
      <c r="D32" s="64" t="s">
        <v>131</v>
      </c>
      <c r="E32" s="65" t="s">
        <v>847</v>
      </c>
      <c r="F32" s="19" t="s">
        <v>231</v>
      </c>
      <c r="G32" s="36" t="s">
        <v>860</v>
      </c>
      <c r="H32" s="36" t="s">
        <v>861</v>
      </c>
      <c r="I32" s="19">
        <v>2</v>
      </c>
      <c r="J32" s="19" t="s">
        <v>131</v>
      </c>
      <c r="K32" s="19" t="s">
        <v>252</v>
      </c>
      <c r="L32" s="19" t="s">
        <v>49</v>
      </c>
      <c r="M32" s="19" t="s">
        <v>185</v>
      </c>
      <c r="N32" s="19" t="s">
        <v>50</v>
      </c>
      <c r="O32" s="19" t="s">
        <v>51</v>
      </c>
      <c r="P32" s="19" t="s">
        <v>126</v>
      </c>
      <c r="Q32" s="45" t="s">
        <v>223</v>
      </c>
      <c r="R32" s="22" t="s">
        <v>41</v>
      </c>
      <c r="S32" s="30" t="s">
        <v>219</v>
      </c>
      <c r="T32" s="30" t="s">
        <v>219</v>
      </c>
      <c r="U32" s="30" t="s">
        <v>131</v>
      </c>
      <c r="V32" s="30" t="s">
        <v>253</v>
      </c>
      <c r="W32" s="30" t="s">
        <v>131</v>
      </c>
      <c r="X32" s="30" t="s">
        <v>255</v>
      </c>
      <c r="Y32" s="19" t="s">
        <v>256</v>
      </c>
      <c r="Z32" s="19" t="s">
        <v>121</v>
      </c>
      <c r="AA32" s="40">
        <v>150000000</v>
      </c>
      <c r="AB32" s="70">
        <v>0.56000000000000005</v>
      </c>
      <c r="AC32" s="70">
        <f t="shared" si="0"/>
        <v>1.6997916900456441E-3</v>
      </c>
      <c r="AD32" s="19"/>
      <c r="AE32" s="36">
        <v>1</v>
      </c>
      <c r="AF32" s="22"/>
      <c r="AG32" s="19"/>
      <c r="AH32" s="19"/>
      <c r="AI32" s="36">
        <v>1</v>
      </c>
      <c r="AJ32" s="19"/>
      <c r="AK32" s="19"/>
      <c r="AL32" s="36" t="s">
        <v>1076</v>
      </c>
      <c r="AM32" s="36">
        <v>1</v>
      </c>
      <c r="AN32" s="22">
        <f t="shared" si="12"/>
        <v>45889</v>
      </c>
      <c r="AO32" s="36" t="s">
        <v>1075</v>
      </c>
      <c r="AP32" s="19"/>
      <c r="AQ32" s="19"/>
      <c r="AR32" s="9"/>
      <c r="AS32" s="9"/>
    </row>
    <row r="33" spans="1:45" s="16" customFormat="1" ht="54" customHeight="1">
      <c r="A33" s="19">
        <v>30</v>
      </c>
      <c r="B33" s="19" t="s">
        <v>257</v>
      </c>
      <c r="C33" s="64" t="s">
        <v>134</v>
      </c>
      <c r="D33" s="64" t="s">
        <v>131</v>
      </c>
      <c r="E33" s="65" t="s">
        <v>849</v>
      </c>
      <c r="F33" s="19" t="s">
        <v>98</v>
      </c>
      <c r="G33" s="36" t="s">
        <v>860</v>
      </c>
      <c r="H33" s="36" t="s">
        <v>861</v>
      </c>
      <c r="I33" s="19">
        <v>2</v>
      </c>
      <c r="J33" s="19" t="s">
        <v>131</v>
      </c>
      <c r="K33" s="19" t="s">
        <v>258</v>
      </c>
      <c r="L33" s="19" t="s">
        <v>49</v>
      </c>
      <c r="M33" s="19" t="s">
        <v>368</v>
      </c>
      <c r="N33" s="19" t="s">
        <v>50</v>
      </c>
      <c r="O33" s="19" t="s">
        <v>51</v>
      </c>
      <c r="P33" s="19" t="s">
        <v>52</v>
      </c>
      <c r="Q33" s="45" t="s">
        <v>223</v>
      </c>
      <c r="R33" s="22" t="s">
        <v>41</v>
      </c>
      <c r="S33" s="30" t="s">
        <v>220</v>
      </c>
      <c r="T33" s="30" t="s">
        <v>220</v>
      </c>
      <c r="U33" s="30" t="s">
        <v>259</v>
      </c>
      <c r="V33" s="30" t="s">
        <v>219</v>
      </c>
      <c r="W33" s="30" t="s">
        <v>260</v>
      </c>
      <c r="X33" s="30" t="s">
        <v>261</v>
      </c>
      <c r="Y33" s="19" t="s">
        <v>54</v>
      </c>
      <c r="Z33" s="19" t="s">
        <v>262</v>
      </c>
      <c r="AA33" s="40">
        <v>600000000</v>
      </c>
      <c r="AB33" s="70">
        <v>0.35160000000000002</v>
      </c>
      <c r="AC33" s="70">
        <f t="shared" si="0"/>
        <v>6.7991667601825763E-3</v>
      </c>
      <c r="AD33" s="36" t="s">
        <v>1017</v>
      </c>
      <c r="AE33" s="36">
        <v>1</v>
      </c>
      <c r="AF33" s="22">
        <f>AD33+14</f>
        <v>45841</v>
      </c>
      <c r="AG33" s="36" t="s">
        <v>1069</v>
      </c>
      <c r="AH33" s="36" t="s">
        <v>1073</v>
      </c>
      <c r="AI33" s="36">
        <v>1</v>
      </c>
      <c r="AJ33" s="22">
        <f>AH33+14</f>
        <v>45866</v>
      </c>
      <c r="AK33" s="36" t="s">
        <v>1070</v>
      </c>
      <c r="AL33" s="36" t="s">
        <v>1072</v>
      </c>
      <c r="AM33" s="36">
        <v>1</v>
      </c>
      <c r="AN33" s="22">
        <f t="shared" si="12"/>
        <v>45931</v>
      </c>
      <c r="AO33" s="36" t="s">
        <v>1074</v>
      </c>
      <c r="AP33" s="19"/>
      <c r="AQ33" s="19"/>
      <c r="AR33" s="9"/>
      <c r="AS33" s="9"/>
    </row>
    <row r="34" spans="1:45" s="16" customFormat="1" ht="54" customHeight="1">
      <c r="A34" s="19">
        <v>31</v>
      </c>
      <c r="B34" s="19" t="s">
        <v>106</v>
      </c>
      <c r="C34" s="53" t="s">
        <v>792</v>
      </c>
      <c r="D34" s="37" t="s">
        <v>788</v>
      </c>
      <c r="E34" s="64" t="s">
        <v>787</v>
      </c>
      <c r="F34" s="19" t="s">
        <v>75</v>
      </c>
      <c r="G34" s="36" t="s">
        <v>860</v>
      </c>
      <c r="H34" s="36" t="s">
        <v>862</v>
      </c>
      <c r="I34" s="19" t="s">
        <v>868</v>
      </c>
      <c r="J34" s="19" t="s">
        <v>131</v>
      </c>
      <c r="K34" s="19" t="s">
        <v>263</v>
      </c>
      <c r="L34" s="19" t="s">
        <v>49</v>
      </c>
      <c r="M34" s="19" t="s">
        <v>368</v>
      </c>
      <c r="N34" s="19" t="s">
        <v>50</v>
      </c>
      <c r="O34" s="19" t="s">
        <v>51</v>
      </c>
      <c r="P34" s="19" t="s">
        <v>64</v>
      </c>
      <c r="Q34" s="45" t="s">
        <v>239</v>
      </c>
      <c r="R34" s="22" t="s">
        <v>41</v>
      </c>
      <c r="S34" s="30" t="s">
        <v>270</v>
      </c>
      <c r="T34" s="30" t="s">
        <v>270</v>
      </c>
      <c r="U34" s="30" t="s">
        <v>254</v>
      </c>
      <c r="V34" s="30" t="s">
        <v>265</v>
      </c>
      <c r="W34" s="30" t="s">
        <v>266</v>
      </c>
      <c r="X34" s="30" t="s">
        <v>267</v>
      </c>
      <c r="Y34" s="19" t="s">
        <v>212</v>
      </c>
      <c r="Z34" s="19" t="s">
        <v>268</v>
      </c>
      <c r="AA34" s="40">
        <v>1230697429</v>
      </c>
      <c r="AB34" s="70">
        <v>0.32669999999999999</v>
      </c>
      <c r="AC34" s="70">
        <f t="shared" si="0"/>
        <v>1.3946195085164927E-2</v>
      </c>
      <c r="AD34" s="36" t="s">
        <v>1025</v>
      </c>
      <c r="AE34" s="36">
        <v>1</v>
      </c>
      <c r="AF34" s="22">
        <f>AD34+14</f>
        <v>45836</v>
      </c>
      <c r="AG34" s="36" t="s">
        <v>1020</v>
      </c>
      <c r="AH34" s="36" t="s">
        <v>1024</v>
      </c>
      <c r="AI34" s="36">
        <v>1</v>
      </c>
      <c r="AJ34" s="22">
        <f>AH34+14</f>
        <v>45854</v>
      </c>
      <c r="AK34" s="36" t="s">
        <v>1021</v>
      </c>
      <c r="AL34" s="36" t="s">
        <v>1023</v>
      </c>
      <c r="AM34" s="36">
        <v>1</v>
      </c>
      <c r="AN34" s="22">
        <f t="shared" si="12"/>
        <v>45918</v>
      </c>
      <c r="AO34" s="36" t="s">
        <v>1022</v>
      </c>
      <c r="AP34" s="19"/>
      <c r="AQ34" s="19"/>
      <c r="AR34" s="9"/>
      <c r="AS34" s="9"/>
    </row>
    <row r="35" spans="1:45" s="16" customFormat="1" ht="54" customHeight="1">
      <c r="A35" s="19">
        <v>32</v>
      </c>
      <c r="B35" s="19" t="s">
        <v>106</v>
      </c>
      <c r="C35" s="53" t="s">
        <v>792</v>
      </c>
      <c r="D35" s="37" t="s">
        <v>788</v>
      </c>
      <c r="E35" s="64" t="s">
        <v>787</v>
      </c>
      <c r="F35" s="19" t="s">
        <v>75</v>
      </c>
      <c r="G35" s="36" t="s">
        <v>860</v>
      </c>
      <c r="H35" s="36" t="s">
        <v>862</v>
      </c>
      <c r="I35" s="19" t="s">
        <v>868</v>
      </c>
      <c r="J35" s="19" t="s">
        <v>131</v>
      </c>
      <c r="K35" s="19" t="s">
        <v>269</v>
      </c>
      <c r="L35" s="19" t="s">
        <v>86</v>
      </c>
      <c r="M35" s="19" t="s">
        <v>368</v>
      </c>
      <c r="N35" s="19" t="s">
        <v>50</v>
      </c>
      <c r="O35" s="19" t="s">
        <v>51</v>
      </c>
      <c r="P35" s="19" t="s">
        <v>64</v>
      </c>
      <c r="Q35" s="45" t="s">
        <v>223</v>
      </c>
      <c r="R35" s="22" t="s">
        <v>41</v>
      </c>
      <c r="S35" s="30" t="s">
        <v>270</v>
      </c>
      <c r="T35" s="30" t="s">
        <v>270</v>
      </c>
      <c r="U35" s="30" t="s">
        <v>264</v>
      </c>
      <c r="V35" s="30" t="s">
        <v>254</v>
      </c>
      <c r="W35" s="30" t="s">
        <v>271</v>
      </c>
      <c r="X35" s="30" t="s">
        <v>273</v>
      </c>
      <c r="Y35" s="19" t="s">
        <v>212</v>
      </c>
      <c r="Z35" s="19" t="s">
        <v>274</v>
      </c>
      <c r="AA35" s="40">
        <v>1682743835</v>
      </c>
      <c r="AB35" s="70">
        <v>0.44</v>
      </c>
      <c r="AC35" s="70">
        <f t="shared" si="0"/>
        <v>1.906875991472359E-2</v>
      </c>
      <c r="AD35" s="36" t="s">
        <v>1025</v>
      </c>
      <c r="AE35" s="36">
        <v>1</v>
      </c>
      <c r="AF35" s="22">
        <f>AD35+14</f>
        <v>45836</v>
      </c>
      <c r="AG35" s="36" t="s">
        <v>1026</v>
      </c>
      <c r="AH35" s="36" t="s">
        <v>1024</v>
      </c>
      <c r="AI35" s="36">
        <v>1</v>
      </c>
      <c r="AJ35" s="22">
        <f>AH35+14</f>
        <v>45854</v>
      </c>
      <c r="AK35" s="36" t="s">
        <v>1027</v>
      </c>
      <c r="AL35" s="36" t="s">
        <v>1023</v>
      </c>
      <c r="AM35" s="36">
        <v>1</v>
      </c>
      <c r="AN35" s="22">
        <f t="shared" si="12"/>
        <v>45918</v>
      </c>
      <c r="AO35" s="36" t="s">
        <v>1022</v>
      </c>
      <c r="AP35" s="19"/>
      <c r="AQ35" s="19"/>
      <c r="AR35" s="9"/>
      <c r="AS35" s="9"/>
    </row>
    <row r="36" spans="1:45" s="16" customFormat="1" ht="54" customHeight="1">
      <c r="A36" s="19">
        <v>33</v>
      </c>
      <c r="B36" s="19" t="s">
        <v>47</v>
      </c>
      <c r="C36" s="64" t="s">
        <v>791</v>
      </c>
      <c r="D36" s="64" t="s">
        <v>786</v>
      </c>
      <c r="E36" s="64" t="s">
        <v>785</v>
      </c>
      <c r="F36" s="19" t="s">
        <v>75</v>
      </c>
      <c r="G36" s="36" t="s">
        <v>860</v>
      </c>
      <c r="H36" s="36" t="s">
        <v>861</v>
      </c>
      <c r="I36" s="19">
        <v>44</v>
      </c>
      <c r="J36" s="19" t="s">
        <v>131</v>
      </c>
      <c r="K36" s="19" t="s">
        <v>275</v>
      </c>
      <c r="L36" s="19" t="s">
        <v>49</v>
      </c>
      <c r="M36" s="19" t="s">
        <v>368</v>
      </c>
      <c r="N36" s="19" t="s">
        <v>50</v>
      </c>
      <c r="O36" s="19" t="s">
        <v>51</v>
      </c>
      <c r="P36" s="19" t="s">
        <v>64</v>
      </c>
      <c r="Q36" s="45" t="s">
        <v>239</v>
      </c>
      <c r="R36" s="22" t="s">
        <v>41</v>
      </c>
      <c r="S36" s="30" t="s">
        <v>278</v>
      </c>
      <c r="T36" s="30" t="s">
        <v>278</v>
      </c>
      <c r="U36" s="30" t="s">
        <v>260</v>
      </c>
      <c r="V36" s="30" t="s">
        <v>235</v>
      </c>
      <c r="W36" s="30" t="s">
        <v>251</v>
      </c>
      <c r="X36" s="30" t="s">
        <v>273</v>
      </c>
      <c r="Y36" s="19" t="s">
        <v>71</v>
      </c>
      <c r="Z36" s="19" t="s">
        <v>54</v>
      </c>
      <c r="AA36" s="40">
        <v>734765093</v>
      </c>
      <c r="AB36" s="70">
        <v>0.52859999999999996</v>
      </c>
      <c r="AC36" s="70">
        <f t="shared" si="0"/>
        <v>8.326317328113432E-3</v>
      </c>
      <c r="AD36" s="19"/>
      <c r="AE36" s="36"/>
      <c r="AF36" s="22"/>
      <c r="AG36" s="19"/>
      <c r="AH36" s="19"/>
      <c r="AI36" s="36"/>
      <c r="AJ36" s="19"/>
      <c r="AK36" s="19"/>
      <c r="AL36" s="36" t="s">
        <v>1057</v>
      </c>
      <c r="AM36" s="36">
        <v>1</v>
      </c>
      <c r="AN36" s="22">
        <f t="shared" si="12"/>
        <v>45926</v>
      </c>
      <c r="AO36" s="36" t="s">
        <v>1074</v>
      </c>
      <c r="AP36" s="19"/>
      <c r="AQ36" s="19"/>
      <c r="AR36" s="9"/>
      <c r="AS36" s="9"/>
    </row>
    <row r="37" spans="1:45" s="16" customFormat="1" ht="54" customHeight="1">
      <c r="A37" s="19">
        <v>34</v>
      </c>
      <c r="B37" s="19" t="s">
        <v>47</v>
      </c>
      <c r="C37" s="64" t="s">
        <v>791</v>
      </c>
      <c r="D37" s="64" t="s">
        <v>786</v>
      </c>
      <c r="E37" s="64" t="s">
        <v>785</v>
      </c>
      <c r="F37" s="19" t="s">
        <v>75</v>
      </c>
      <c r="G37" s="36" t="s">
        <v>860</v>
      </c>
      <c r="H37" s="36" t="s">
        <v>861</v>
      </c>
      <c r="I37" s="19">
        <v>44</v>
      </c>
      <c r="J37" s="19" t="s">
        <v>131</v>
      </c>
      <c r="K37" s="19" t="s">
        <v>277</v>
      </c>
      <c r="L37" s="19" t="s">
        <v>86</v>
      </c>
      <c r="M37" s="19" t="s">
        <v>368</v>
      </c>
      <c r="N37" s="19" t="s">
        <v>50</v>
      </c>
      <c r="O37" s="19" t="s">
        <v>51</v>
      </c>
      <c r="P37" s="19" t="s">
        <v>64</v>
      </c>
      <c r="Q37" s="45" t="s">
        <v>239</v>
      </c>
      <c r="R37" s="22" t="s">
        <v>41</v>
      </c>
      <c r="S37" s="30" t="s">
        <v>278</v>
      </c>
      <c r="T37" s="30" t="s">
        <v>278</v>
      </c>
      <c r="U37" s="30" t="s">
        <v>276</v>
      </c>
      <c r="V37" s="30" t="s">
        <v>260</v>
      </c>
      <c r="W37" s="30" t="s">
        <v>279</v>
      </c>
      <c r="X37" s="30" t="s">
        <v>280</v>
      </c>
      <c r="Y37" s="19" t="s">
        <v>80</v>
      </c>
      <c r="Z37" s="19" t="s">
        <v>141</v>
      </c>
      <c r="AA37" s="40">
        <v>1199671831</v>
      </c>
      <c r="AB37" s="70">
        <v>0.47</v>
      </c>
      <c r="AC37" s="70">
        <f t="shared" si="0"/>
        <v>1.3594614727437615E-2</v>
      </c>
      <c r="AD37" s="19"/>
      <c r="AE37" s="36"/>
      <c r="AF37" s="22"/>
      <c r="AG37" s="19"/>
      <c r="AH37" s="19"/>
      <c r="AI37" s="36"/>
      <c r="AJ37" s="19"/>
      <c r="AK37" s="19"/>
      <c r="AL37" s="36" t="s">
        <v>1057</v>
      </c>
      <c r="AM37" s="36">
        <v>1</v>
      </c>
      <c r="AN37" s="22">
        <f t="shared" si="12"/>
        <v>45926</v>
      </c>
      <c r="AO37" s="36" t="s">
        <v>1074</v>
      </c>
      <c r="AP37" s="19"/>
      <c r="AQ37" s="19"/>
      <c r="AR37" s="9"/>
      <c r="AS37" s="9"/>
    </row>
    <row r="38" spans="1:45" s="16" customFormat="1" ht="54" customHeight="1">
      <c r="A38" s="19">
        <v>35</v>
      </c>
      <c r="B38" s="19" t="s">
        <v>257</v>
      </c>
      <c r="C38" s="64" t="s">
        <v>134</v>
      </c>
      <c r="D38" s="64" t="s">
        <v>131</v>
      </c>
      <c r="E38" s="65" t="s">
        <v>849</v>
      </c>
      <c r="F38" s="19" t="s">
        <v>98</v>
      </c>
      <c r="G38" s="36" t="s">
        <v>860</v>
      </c>
      <c r="H38" s="36" t="s">
        <v>861</v>
      </c>
      <c r="I38" s="19">
        <v>2</v>
      </c>
      <c r="J38" s="19" t="s">
        <v>131</v>
      </c>
      <c r="K38" s="19" t="s">
        <v>281</v>
      </c>
      <c r="L38" s="19" t="s">
        <v>86</v>
      </c>
      <c r="M38" s="19" t="s">
        <v>368</v>
      </c>
      <c r="N38" s="19" t="s">
        <v>50</v>
      </c>
      <c r="O38" s="19" t="s">
        <v>51</v>
      </c>
      <c r="P38" s="19" t="s">
        <v>64</v>
      </c>
      <c r="Q38" s="45" t="s">
        <v>223</v>
      </c>
      <c r="R38" s="22" t="s">
        <v>41</v>
      </c>
      <c r="S38" s="30" t="s">
        <v>259</v>
      </c>
      <c r="T38" s="30" t="s">
        <v>259</v>
      </c>
      <c r="U38" s="30" t="s">
        <v>219</v>
      </c>
      <c r="V38" s="30" t="s">
        <v>282</v>
      </c>
      <c r="W38" s="30" t="s">
        <v>284</v>
      </c>
      <c r="X38" s="30" t="s">
        <v>261</v>
      </c>
      <c r="Y38" s="19" t="s">
        <v>80</v>
      </c>
      <c r="Z38" s="19" t="s">
        <v>268</v>
      </c>
      <c r="AA38" s="40">
        <v>2900000000</v>
      </c>
      <c r="AB38" s="70">
        <v>0.23</v>
      </c>
      <c r="AC38" s="70">
        <f t="shared" si="0"/>
        <v>3.2862639340882453E-2</v>
      </c>
      <c r="AD38" s="36" t="s">
        <v>1017</v>
      </c>
      <c r="AE38" s="36">
        <v>1</v>
      </c>
      <c r="AF38" s="22">
        <f t="shared" ref="AF38" si="13">AD38+14</f>
        <v>45841</v>
      </c>
      <c r="AG38" s="36" t="s">
        <v>1069</v>
      </c>
      <c r="AH38" s="36" t="s">
        <v>1073</v>
      </c>
      <c r="AI38" s="36">
        <v>1</v>
      </c>
      <c r="AJ38" s="22">
        <f t="shared" ref="AJ38" si="14">AH38+14</f>
        <v>45866</v>
      </c>
      <c r="AK38" s="36" t="s">
        <v>1070</v>
      </c>
      <c r="AL38" s="36" t="s">
        <v>1072</v>
      </c>
      <c r="AM38" s="36">
        <v>1</v>
      </c>
      <c r="AN38" s="22">
        <f t="shared" ref="AN38:AN42" si="15">AL38+30</f>
        <v>45931</v>
      </c>
      <c r="AO38" s="36" t="s">
        <v>1071</v>
      </c>
      <c r="AP38" s="19"/>
      <c r="AQ38" s="19"/>
      <c r="AR38" s="9"/>
      <c r="AS38" s="9"/>
    </row>
    <row r="39" spans="1:45" s="16" customFormat="1" ht="54" customHeight="1">
      <c r="A39" s="19">
        <v>36</v>
      </c>
      <c r="B39" s="19" t="s">
        <v>285</v>
      </c>
      <c r="C39" s="64" t="s">
        <v>286</v>
      </c>
      <c r="D39" s="64" t="s">
        <v>131</v>
      </c>
      <c r="E39" s="65" t="s">
        <v>850</v>
      </c>
      <c r="F39" s="19" t="s">
        <v>75</v>
      </c>
      <c r="G39" s="36" t="s">
        <v>860</v>
      </c>
      <c r="H39" s="36" t="s">
        <v>861</v>
      </c>
      <c r="I39" s="19">
        <v>8</v>
      </c>
      <c r="J39" s="19" t="s">
        <v>131</v>
      </c>
      <c r="K39" s="19" t="s">
        <v>287</v>
      </c>
      <c r="L39" s="19" t="s">
        <v>49</v>
      </c>
      <c r="M39" s="19" t="s">
        <v>368</v>
      </c>
      <c r="N39" s="19" t="s">
        <v>50</v>
      </c>
      <c r="O39" s="19" t="s">
        <v>51</v>
      </c>
      <c r="P39" s="19" t="s">
        <v>64</v>
      </c>
      <c r="Q39" s="45" t="s">
        <v>288</v>
      </c>
      <c r="R39" s="22" t="s">
        <v>41</v>
      </c>
      <c r="S39" s="30" t="s">
        <v>271</v>
      </c>
      <c r="T39" s="30" t="s">
        <v>271</v>
      </c>
      <c r="U39" s="30" t="s">
        <v>266</v>
      </c>
      <c r="V39" s="30" t="s">
        <v>290</v>
      </c>
      <c r="W39" s="30" t="s">
        <v>291</v>
      </c>
      <c r="X39" s="30" t="s">
        <v>292</v>
      </c>
      <c r="Y39" s="19" t="s">
        <v>71</v>
      </c>
      <c r="Z39" s="19" t="s">
        <v>105</v>
      </c>
      <c r="AA39" s="40">
        <v>242679460</v>
      </c>
      <c r="AB39" s="70">
        <v>0.38590000000000002</v>
      </c>
      <c r="AC39" s="70">
        <f t="shared" si="0"/>
        <v>2.7500301963517618E-3</v>
      </c>
      <c r="AD39" s="19"/>
      <c r="AE39" s="36"/>
      <c r="AF39" s="22"/>
      <c r="AG39" s="19"/>
      <c r="AH39" s="19"/>
      <c r="AI39" s="36"/>
      <c r="AJ39" s="19"/>
      <c r="AK39" s="19"/>
      <c r="AL39" s="36" t="s">
        <v>1068</v>
      </c>
      <c r="AM39" s="36">
        <v>1</v>
      </c>
      <c r="AN39" s="22">
        <f t="shared" si="15"/>
        <v>45963</v>
      </c>
      <c r="AO39" s="36" t="s">
        <v>1067</v>
      </c>
      <c r="AP39" s="19"/>
      <c r="AQ39" s="19"/>
      <c r="AR39" s="9"/>
      <c r="AS39" s="9"/>
    </row>
    <row r="40" spans="1:45" s="16" customFormat="1" ht="54" customHeight="1">
      <c r="A40" s="19">
        <v>37</v>
      </c>
      <c r="B40" s="19" t="s">
        <v>285</v>
      </c>
      <c r="C40" s="64" t="s">
        <v>286</v>
      </c>
      <c r="D40" s="64" t="s">
        <v>131</v>
      </c>
      <c r="E40" s="65" t="s">
        <v>850</v>
      </c>
      <c r="F40" s="19" t="s">
        <v>75</v>
      </c>
      <c r="G40" s="36" t="s">
        <v>860</v>
      </c>
      <c r="H40" s="36" t="s">
        <v>861</v>
      </c>
      <c r="I40" s="19">
        <v>8</v>
      </c>
      <c r="J40" s="19" t="s">
        <v>131</v>
      </c>
      <c r="K40" s="19" t="s">
        <v>293</v>
      </c>
      <c r="L40" s="19" t="s">
        <v>86</v>
      </c>
      <c r="M40" s="19" t="s">
        <v>368</v>
      </c>
      <c r="N40" s="19" t="s">
        <v>50</v>
      </c>
      <c r="O40" s="19" t="s">
        <v>51</v>
      </c>
      <c r="P40" s="19" t="s">
        <v>64</v>
      </c>
      <c r="Q40" s="45" t="s">
        <v>288</v>
      </c>
      <c r="R40" s="22" t="s">
        <v>41</v>
      </c>
      <c r="S40" s="30" t="s">
        <v>271</v>
      </c>
      <c r="T40" s="30" t="s">
        <v>271</v>
      </c>
      <c r="U40" s="30" t="s">
        <v>272</v>
      </c>
      <c r="V40" s="30" t="s">
        <v>289</v>
      </c>
      <c r="W40" s="30" t="s">
        <v>294</v>
      </c>
      <c r="X40" s="30" t="s">
        <v>292</v>
      </c>
      <c r="Y40" s="19" t="s">
        <v>80</v>
      </c>
      <c r="Z40" s="19" t="s">
        <v>141</v>
      </c>
      <c r="AA40" s="40">
        <v>329980000</v>
      </c>
      <c r="AB40" s="70">
        <v>0.41</v>
      </c>
      <c r="AC40" s="70">
        <f t="shared" si="0"/>
        <v>3.7393150792084107E-3</v>
      </c>
      <c r="AD40" s="19"/>
      <c r="AE40" s="36"/>
      <c r="AF40" s="22"/>
      <c r="AG40" s="19"/>
      <c r="AH40" s="19"/>
      <c r="AI40" s="36"/>
      <c r="AJ40" s="19"/>
      <c r="AK40" s="19"/>
      <c r="AL40" s="36" t="s">
        <v>1068</v>
      </c>
      <c r="AM40" s="36">
        <v>1</v>
      </c>
      <c r="AN40" s="22">
        <f t="shared" si="15"/>
        <v>45963</v>
      </c>
      <c r="AO40" s="36" t="s">
        <v>1067</v>
      </c>
      <c r="AP40" s="19"/>
      <c r="AQ40" s="19"/>
      <c r="AR40" s="9"/>
      <c r="AS40" s="9"/>
    </row>
    <row r="41" spans="1:45" s="16" customFormat="1" ht="54" customHeight="1">
      <c r="A41" s="19">
        <v>38</v>
      </c>
      <c r="B41" s="19" t="s">
        <v>295</v>
      </c>
      <c r="C41" s="53" t="s">
        <v>686</v>
      </c>
      <c r="D41" s="63" t="s">
        <v>820</v>
      </c>
      <c r="E41" s="37" t="s">
        <v>821</v>
      </c>
      <c r="F41" s="19" t="s">
        <v>296</v>
      </c>
      <c r="G41" s="36" t="s">
        <v>860</v>
      </c>
      <c r="H41" s="36" t="s">
        <v>861</v>
      </c>
      <c r="I41" s="19">
        <v>20</v>
      </c>
      <c r="J41" s="19" t="s">
        <v>131</v>
      </c>
      <c r="K41" s="19" t="s">
        <v>297</v>
      </c>
      <c r="L41" s="19" t="s">
        <v>49</v>
      </c>
      <c r="M41" s="19" t="s">
        <v>368</v>
      </c>
      <c r="N41" s="19" t="s">
        <v>50</v>
      </c>
      <c r="O41" s="19" t="s">
        <v>51</v>
      </c>
      <c r="P41" s="19" t="s">
        <v>64</v>
      </c>
      <c r="Q41" s="45" t="s">
        <v>288</v>
      </c>
      <c r="R41" s="22" t="s">
        <v>41</v>
      </c>
      <c r="S41" s="30" t="s">
        <v>302</v>
      </c>
      <c r="T41" s="30" t="s">
        <v>302</v>
      </c>
      <c r="U41" s="30" t="s">
        <v>289</v>
      </c>
      <c r="V41" s="30" t="s">
        <v>266</v>
      </c>
      <c r="W41" s="30" t="s">
        <v>298</v>
      </c>
      <c r="X41" s="30" t="s">
        <v>299</v>
      </c>
      <c r="Y41" s="19" t="s">
        <v>71</v>
      </c>
      <c r="Z41" s="19" t="s">
        <v>300</v>
      </c>
      <c r="AA41" s="40">
        <v>550000000</v>
      </c>
      <c r="AB41" s="70">
        <v>0.29580000000000001</v>
      </c>
      <c r="AC41" s="70">
        <f t="shared" si="0"/>
        <v>6.2325695301673617E-3</v>
      </c>
      <c r="AD41" s="36" t="s">
        <v>1058</v>
      </c>
      <c r="AE41" s="36">
        <v>1</v>
      </c>
      <c r="AF41" s="22">
        <f t="shared" ref="AF41:AF42" si="16">AD41+14</f>
        <v>45884</v>
      </c>
      <c r="AG41" s="36" t="s">
        <v>1058</v>
      </c>
      <c r="AH41" s="19"/>
      <c r="AI41" s="36"/>
      <c r="AJ41" s="19"/>
      <c r="AK41" s="19"/>
      <c r="AL41" s="36" t="s">
        <v>1066</v>
      </c>
      <c r="AM41" s="36">
        <v>1</v>
      </c>
      <c r="AN41" s="22">
        <f t="shared" si="15"/>
        <v>45938</v>
      </c>
      <c r="AO41" s="36" t="s">
        <v>1022</v>
      </c>
      <c r="AP41" s="19"/>
      <c r="AQ41" s="19"/>
      <c r="AR41" s="9"/>
      <c r="AS41" s="9"/>
    </row>
    <row r="42" spans="1:45" s="16" customFormat="1" ht="54" customHeight="1">
      <c r="A42" s="19">
        <v>39</v>
      </c>
      <c r="B42" s="19" t="s">
        <v>295</v>
      </c>
      <c r="C42" s="53" t="s">
        <v>686</v>
      </c>
      <c r="D42" s="63" t="s">
        <v>820</v>
      </c>
      <c r="E42" s="37" t="s">
        <v>821</v>
      </c>
      <c r="F42" s="19" t="s">
        <v>296</v>
      </c>
      <c r="G42" s="36" t="s">
        <v>860</v>
      </c>
      <c r="H42" s="36" t="s">
        <v>861</v>
      </c>
      <c r="I42" s="19">
        <v>20</v>
      </c>
      <c r="J42" s="19" t="s">
        <v>131</v>
      </c>
      <c r="K42" s="19" t="s">
        <v>301</v>
      </c>
      <c r="L42" s="19" t="s">
        <v>246</v>
      </c>
      <c r="M42" s="19" t="s">
        <v>368</v>
      </c>
      <c r="N42" s="19" t="s">
        <v>50</v>
      </c>
      <c r="O42" s="19" t="s">
        <v>51</v>
      </c>
      <c r="P42" s="19" t="s">
        <v>64</v>
      </c>
      <c r="Q42" s="45" t="s">
        <v>288</v>
      </c>
      <c r="R42" s="22" t="s">
        <v>41</v>
      </c>
      <c r="S42" s="30" t="s">
        <v>302</v>
      </c>
      <c r="T42" s="30" t="s">
        <v>302</v>
      </c>
      <c r="U42" s="30" t="s">
        <v>294</v>
      </c>
      <c r="V42" s="30" t="s">
        <v>292</v>
      </c>
      <c r="W42" s="30" t="s">
        <v>304</v>
      </c>
      <c r="X42" s="30" t="s">
        <v>305</v>
      </c>
      <c r="Y42" s="19" t="s">
        <v>80</v>
      </c>
      <c r="Z42" s="19" t="s">
        <v>228</v>
      </c>
      <c r="AA42" s="40">
        <v>650000000</v>
      </c>
      <c r="AB42" s="70">
        <v>0.28999999999999998</v>
      </c>
      <c r="AC42" s="70">
        <f t="shared" si="0"/>
        <v>7.3657639901977909E-3</v>
      </c>
      <c r="AD42" s="36" t="s">
        <v>1058</v>
      </c>
      <c r="AE42" s="36">
        <v>1</v>
      </c>
      <c r="AF42" s="22">
        <f t="shared" si="16"/>
        <v>45884</v>
      </c>
      <c r="AG42" s="36" t="s">
        <v>1058</v>
      </c>
      <c r="AH42" s="19"/>
      <c r="AI42" s="36"/>
      <c r="AJ42" s="19"/>
      <c r="AK42" s="19"/>
      <c r="AL42" s="36" t="s">
        <v>1066</v>
      </c>
      <c r="AM42" s="36">
        <v>1</v>
      </c>
      <c r="AN42" s="22">
        <f t="shared" si="15"/>
        <v>45938</v>
      </c>
      <c r="AO42" s="36" t="s">
        <v>1022</v>
      </c>
      <c r="AP42" s="19"/>
      <c r="AQ42" s="19"/>
      <c r="AR42" s="9"/>
      <c r="AS42" s="9"/>
    </row>
    <row r="43" spans="1:45" s="16" customFormat="1" ht="54" customHeight="1">
      <c r="A43" s="19">
        <v>40</v>
      </c>
      <c r="B43" s="19" t="s">
        <v>307</v>
      </c>
      <c r="C43" s="64" t="s">
        <v>306</v>
      </c>
      <c r="D43" s="64" t="s">
        <v>131</v>
      </c>
      <c r="E43" s="65" t="s">
        <v>851</v>
      </c>
      <c r="F43" s="19" t="s">
        <v>171</v>
      </c>
      <c r="G43" s="36" t="s">
        <v>860</v>
      </c>
      <c r="H43" s="36" t="s">
        <v>131</v>
      </c>
      <c r="I43" s="19">
        <v>1</v>
      </c>
      <c r="J43" s="19" t="s">
        <v>131</v>
      </c>
      <c r="K43" s="19" t="s">
        <v>308</v>
      </c>
      <c r="L43" s="19" t="s">
        <v>309</v>
      </c>
      <c r="M43" s="19" t="s">
        <v>368</v>
      </c>
      <c r="N43" s="19" t="s">
        <v>50</v>
      </c>
      <c r="O43" s="19" t="s">
        <v>51</v>
      </c>
      <c r="P43" s="19" t="s">
        <v>52</v>
      </c>
      <c r="Q43" s="45" t="s">
        <v>288</v>
      </c>
      <c r="R43" s="22" t="s">
        <v>41</v>
      </c>
      <c r="S43" s="30" t="s">
        <v>273</v>
      </c>
      <c r="T43" s="30" t="s">
        <v>273</v>
      </c>
      <c r="U43" s="30" t="s">
        <v>310</v>
      </c>
      <c r="V43" s="30" t="s">
        <v>291</v>
      </c>
      <c r="W43" s="30" t="s">
        <v>311</v>
      </c>
      <c r="X43" s="30" t="s">
        <v>312</v>
      </c>
      <c r="Y43" s="19" t="s">
        <v>313</v>
      </c>
      <c r="Z43" s="19" t="s">
        <v>314</v>
      </c>
      <c r="AA43" s="40">
        <v>900000000</v>
      </c>
      <c r="AB43" s="70">
        <v>0.36</v>
      </c>
      <c r="AC43" s="70">
        <f t="shared" si="0"/>
        <v>1.0198750140273865E-2</v>
      </c>
      <c r="AD43" s="22">
        <v>45874</v>
      </c>
      <c r="AE43" s="36">
        <v>1</v>
      </c>
      <c r="AF43" s="22">
        <f>AD43+14</f>
        <v>45888</v>
      </c>
      <c r="AG43" s="22">
        <v>45874</v>
      </c>
      <c r="AH43" s="19"/>
      <c r="AI43" s="36"/>
      <c r="AJ43" s="19"/>
      <c r="AK43" s="19"/>
      <c r="AL43" s="22">
        <v>45889</v>
      </c>
      <c r="AM43" s="36">
        <v>1</v>
      </c>
      <c r="AN43" s="22">
        <f>AL43+30</f>
        <v>45919</v>
      </c>
      <c r="AO43" s="22">
        <f>AL43</f>
        <v>45889</v>
      </c>
      <c r="AP43" s="19"/>
      <c r="AQ43" s="19"/>
      <c r="AR43" s="9"/>
      <c r="AS43" s="9"/>
    </row>
    <row r="44" spans="1:45" s="16" customFormat="1" ht="54" customHeight="1">
      <c r="A44" s="19">
        <v>41</v>
      </c>
      <c r="B44" s="19" t="s">
        <v>192</v>
      </c>
      <c r="C44" s="64" t="s">
        <v>842</v>
      </c>
      <c r="D44" s="62" t="s">
        <v>841</v>
      </c>
      <c r="E44" s="65" t="s">
        <v>845</v>
      </c>
      <c r="F44" s="19" t="s">
        <v>98</v>
      </c>
      <c r="G44" s="36" t="s">
        <v>860</v>
      </c>
      <c r="H44" s="36" t="s">
        <v>861</v>
      </c>
      <c r="I44" s="19">
        <v>6</v>
      </c>
      <c r="J44" s="19" t="s">
        <v>131</v>
      </c>
      <c r="K44" s="19" t="s">
        <v>315</v>
      </c>
      <c r="L44" s="19" t="s">
        <v>49</v>
      </c>
      <c r="M44" s="19" t="s">
        <v>368</v>
      </c>
      <c r="N44" s="19" t="s">
        <v>50</v>
      </c>
      <c r="O44" s="19" t="s">
        <v>51</v>
      </c>
      <c r="P44" s="19" t="s">
        <v>64</v>
      </c>
      <c r="Q44" s="45" t="s">
        <v>288</v>
      </c>
      <c r="R44" s="22" t="s">
        <v>41</v>
      </c>
      <c r="S44" s="30" t="s">
        <v>310</v>
      </c>
      <c r="T44" s="30" t="s">
        <v>310</v>
      </c>
      <c r="U44" s="30" t="s">
        <v>291</v>
      </c>
      <c r="V44" s="30" t="s">
        <v>284</v>
      </c>
      <c r="W44" s="30" t="s">
        <v>316</v>
      </c>
      <c r="X44" s="30" t="s">
        <v>317</v>
      </c>
      <c r="Y44" s="19" t="s">
        <v>54</v>
      </c>
      <c r="Z44" s="19" t="s">
        <v>318</v>
      </c>
      <c r="AA44" s="40">
        <v>540000000</v>
      </c>
      <c r="AB44" s="70">
        <v>0.41070000000000001</v>
      </c>
      <c r="AC44" s="70">
        <f t="shared" si="0"/>
        <v>6.1192500841643184E-3</v>
      </c>
      <c r="AD44" s="36" t="s">
        <v>1062</v>
      </c>
      <c r="AE44" s="36">
        <v>1</v>
      </c>
      <c r="AF44" s="22">
        <f t="shared" ref="AF44:AF46" si="17">AD44+14</f>
        <v>45895</v>
      </c>
      <c r="AG44" s="36" t="s">
        <v>1063</v>
      </c>
      <c r="AH44" s="19"/>
      <c r="AI44" s="36"/>
      <c r="AJ44" s="19"/>
      <c r="AK44" s="19"/>
      <c r="AL44" s="36" t="s">
        <v>1065</v>
      </c>
      <c r="AM44" s="36">
        <v>1</v>
      </c>
      <c r="AN44" s="22">
        <f t="shared" ref="AN44:AN49" si="18">AL44+30</f>
        <v>45928</v>
      </c>
      <c r="AO44" s="36" t="s">
        <v>1064</v>
      </c>
      <c r="AP44" s="19"/>
      <c r="AQ44" s="19"/>
      <c r="AR44" s="9"/>
      <c r="AS44" s="9"/>
    </row>
    <row r="45" spans="1:45" s="16" customFormat="1" ht="54" customHeight="1">
      <c r="A45" s="19">
        <v>42</v>
      </c>
      <c r="B45" s="19" t="s">
        <v>319</v>
      </c>
      <c r="C45" s="64" t="s">
        <v>852</v>
      </c>
      <c r="D45" s="62" t="s">
        <v>853</v>
      </c>
      <c r="E45" s="65" t="s">
        <v>854</v>
      </c>
      <c r="F45" s="19" t="s">
        <v>98</v>
      </c>
      <c r="G45" s="36" t="s">
        <v>860</v>
      </c>
      <c r="H45" s="36" t="s">
        <v>862</v>
      </c>
      <c r="I45" s="19" t="s">
        <v>868</v>
      </c>
      <c r="J45" s="19" t="s">
        <v>131</v>
      </c>
      <c r="K45" s="19" t="s">
        <v>320</v>
      </c>
      <c r="L45" s="19" t="s">
        <v>49</v>
      </c>
      <c r="M45" s="19" t="s">
        <v>368</v>
      </c>
      <c r="N45" s="19" t="s">
        <v>50</v>
      </c>
      <c r="O45" s="19" t="s">
        <v>114</v>
      </c>
      <c r="P45" s="19" t="s">
        <v>52</v>
      </c>
      <c r="Q45" s="45" t="s">
        <v>288</v>
      </c>
      <c r="R45" s="22" t="s">
        <v>41</v>
      </c>
      <c r="S45" s="30" t="s">
        <v>291</v>
      </c>
      <c r="T45" s="30" t="s">
        <v>291</v>
      </c>
      <c r="U45" s="30" t="s">
        <v>321</v>
      </c>
      <c r="V45" s="30" t="s">
        <v>302</v>
      </c>
      <c r="W45" s="30" t="s">
        <v>322</v>
      </c>
      <c r="X45" s="45" t="s">
        <v>323</v>
      </c>
      <c r="Y45" s="19" t="s">
        <v>54</v>
      </c>
      <c r="Z45" s="19" t="s">
        <v>324</v>
      </c>
      <c r="AA45" s="40">
        <v>757424999</v>
      </c>
      <c r="AB45" s="70">
        <v>0.3498</v>
      </c>
      <c r="AC45" s="70">
        <f t="shared" si="0"/>
        <v>8.5830981275535345E-3</v>
      </c>
      <c r="AD45" s="36" t="s">
        <v>1058</v>
      </c>
      <c r="AE45" s="36">
        <v>1</v>
      </c>
      <c r="AF45" s="22">
        <f t="shared" si="17"/>
        <v>45884</v>
      </c>
      <c r="AG45" s="36" t="s">
        <v>1057</v>
      </c>
      <c r="AH45" s="36" t="s">
        <v>1055</v>
      </c>
      <c r="AI45" s="36">
        <v>1</v>
      </c>
      <c r="AJ45" s="22">
        <f t="shared" ref="AJ45:AJ46" si="19">AH45+14</f>
        <v>45908</v>
      </c>
      <c r="AK45" s="36" t="s">
        <v>1059</v>
      </c>
      <c r="AL45" s="36" t="s">
        <v>1061</v>
      </c>
      <c r="AM45" s="36">
        <v>1</v>
      </c>
      <c r="AN45" s="22">
        <f t="shared" si="18"/>
        <v>45949</v>
      </c>
      <c r="AO45" s="36" t="s">
        <v>1060</v>
      </c>
      <c r="AP45" s="19"/>
      <c r="AQ45" s="19"/>
      <c r="AR45" s="9"/>
      <c r="AS45" s="9"/>
    </row>
    <row r="46" spans="1:45" s="16" customFormat="1" ht="54" customHeight="1">
      <c r="A46" s="19">
        <v>43</v>
      </c>
      <c r="B46" s="19" t="s">
        <v>319</v>
      </c>
      <c r="C46" s="64" t="s">
        <v>852</v>
      </c>
      <c r="D46" s="62" t="s">
        <v>853</v>
      </c>
      <c r="E46" s="65" t="s">
        <v>854</v>
      </c>
      <c r="F46" s="19" t="s">
        <v>98</v>
      </c>
      <c r="G46" s="36" t="s">
        <v>860</v>
      </c>
      <c r="H46" s="36" t="s">
        <v>862</v>
      </c>
      <c r="I46" s="19" t="s">
        <v>868</v>
      </c>
      <c r="J46" s="19" t="s">
        <v>131</v>
      </c>
      <c r="K46" s="19" t="s">
        <v>325</v>
      </c>
      <c r="L46" s="19" t="s">
        <v>86</v>
      </c>
      <c r="M46" s="19" t="s">
        <v>368</v>
      </c>
      <c r="N46" s="19" t="s">
        <v>50</v>
      </c>
      <c r="O46" s="19" t="s">
        <v>114</v>
      </c>
      <c r="P46" s="19" t="s">
        <v>52</v>
      </c>
      <c r="Q46" s="45" t="s">
        <v>288</v>
      </c>
      <c r="R46" s="22" t="s">
        <v>41</v>
      </c>
      <c r="S46" s="30" t="s">
        <v>291</v>
      </c>
      <c r="T46" s="30" t="s">
        <v>291</v>
      </c>
      <c r="U46" s="30" t="s">
        <v>284</v>
      </c>
      <c r="V46" s="30" t="s">
        <v>283</v>
      </c>
      <c r="W46" s="45" t="s">
        <v>326</v>
      </c>
      <c r="X46" s="45" t="s">
        <v>327</v>
      </c>
      <c r="Y46" s="19" t="s">
        <v>328</v>
      </c>
      <c r="Z46" s="19" t="s">
        <v>175</v>
      </c>
      <c r="AA46" s="40">
        <v>4325701459</v>
      </c>
      <c r="AB46" s="70">
        <v>0.16</v>
      </c>
      <c r="AC46" s="70">
        <f t="shared" si="0"/>
        <v>4.9018609290843458E-2</v>
      </c>
      <c r="AD46" s="36" t="s">
        <v>1058</v>
      </c>
      <c r="AE46" s="36">
        <v>1</v>
      </c>
      <c r="AF46" s="22">
        <f t="shared" si="17"/>
        <v>45884</v>
      </c>
      <c r="AG46" s="36" t="s">
        <v>1057</v>
      </c>
      <c r="AH46" s="36" t="s">
        <v>1057</v>
      </c>
      <c r="AI46" s="36">
        <v>1</v>
      </c>
      <c r="AJ46" s="22">
        <f t="shared" si="19"/>
        <v>45910</v>
      </c>
      <c r="AK46" s="36" t="s">
        <v>1059</v>
      </c>
      <c r="AL46" s="36" t="s">
        <v>1061</v>
      </c>
      <c r="AM46" s="36">
        <v>1</v>
      </c>
      <c r="AN46" s="22">
        <f t="shared" si="18"/>
        <v>45949</v>
      </c>
      <c r="AO46" s="36" t="s">
        <v>1053</v>
      </c>
      <c r="AP46" s="19"/>
      <c r="AQ46" s="19"/>
      <c r="AR46" s="9"/>
      <c r="AS46" s="9"/>
    </row>
    <row r="47" spans="1:45" s="16" customFormat="1" ht="54" customHeight="1">
      <c r="A47" s="19">
        <v>44</v>
      </c>
      <c r="B47" s="19" t="s">
        <v>329</v>
      </c>
      <c r="C47" s="64" t="s">
        <v>330</v>
      </c>
      <c r="D47" s="64" t="s">
        <v>131</v>
      </c>
      <c r="E47" s="65" t="s">
        <v>855</v>
      </c>
      <c r="F47" s="19" t="s">
        <v>331</v>
      </c>
      <c r="G47" s="36" t="s">
        <v>860</v>
      </c>
      <c r="H47" s="36" t="s">
        <v>861</v>
      </c>
      <c r="I47" s="19">
        <v>4</v>
      </c>
      <c r="J47" s="19" t="s">
        <v>131</v>
      </c>
      <c r="K47" s="19" t="s">
        <v>332</v>
      </c>
      <c r="L47" s="19" t="s">
        <v>86</v>
      </c>
      <c r="M47" s="19" t="s">
        <v>368</v>
      </c>
      <c r="N47" s="19" t="s">
        <v>50</v>
      </c>
      <c r="O47" s="19" t="s">
        <v>51</v>
      </c>
      <c r="P47" s="19" t="s">
        <v>126</v>
      </c>
      <c r="Q47" s="45" t="s">
        <v>288</v>
      </c>
      <c r="R47" s="22" t="s">
        <v>41</v>
      </c>
      <c r="S47" s="30" t="s">
        <v>294</v>
      </c>
      <c r="T47" s="30" t="s">
        <v>294</v>
      </c>
      <c r="U47" s="30" t="s">
        <v>303</v>
      </c>
      <c r="V47" s="30" t="s">
        <v>292</v>
      </c>
      <c r="W47" s="45" t="s">
        <v>333</v>
      </c>
      <c r="X47" s="45" t="s">
        <v>334</v>
      </c>
      <c r="Y47" s="19" t="s">
        <v>335</v>
      </c>
      <c r="Z47" s="19" t="s">
        <v>328</v>
      </c>
      <c r="AA47" s="40">
        <v>679113842</v>
      </c>
      <c r="AB47" s="70">
        <v>0.22</v>
      </c>
      <c r="AC47" s="70">
        <f t="shared" si="0"/>
        <v>7.6956804348438032E-3</v>
      </c>
      <c r="AD47" s="36" t="s">
        <v>1055</v>
      </c>
      <c r="AE47" s="36">
        <v>1</v>
      </c>
      <c r="AF47" s="22">
        <f>AD47+14</f>
        <v>45908</v>
      </c>
      <c r="AG47" s="36" t="s">
        <v>1055</v>
      </c>
      <c r="AH47" s="19"/>
      <c r="AI47" s="36"/>
      <c r="AJ47" s="19"/>
      <c r="AK47" s="19"/>
      <c r="AL47" s="36" t="s">
        <v>1051</v>
      </c>
      <c r="AM47" s="36">
        <v>1</v>
      </c>
      <c r="AN47" s="22">
        <f t="shared" si="18"/>
        <v>45939</v>
      </c>
      <c r="AO47" s="36" t="s">
        <v>1056</v>
      </c>
      <c r="AP47" s="19"/>
      <c r="AQ47" s="19"/>
      <c r="AR47" s="9"/>
      <c r="AS47" s="9"/>
    </row>
    <row r="48" spans="1:45" s="16" customFormat="1" ht="54" customHeight="1">
      <c r="A48" s="19">
        <v>45</v>
      </c>
      <c r="B48" s="19" t="s">
        <v>47</v>
      </c>
      <c r="C48" s="64" t="s">
        <v>791</v>
      </c>
      <c r="D48" s="64" t="s">
        <v>786</v>
      </c>
      <c r="E48" s="64" t="s">
        <v>785</v>
      </c>
      <c r="F48" s="19" t="s">
        <v>75</v>
      </c>
      <c r="G48" s="36" t="s">
        <v>860</v>
      </c>
      <c r="H48" s="36" t="s">
        <v>861</v>
      </c>
      <c r="I48" s="19">
        <v>44</v>
      </c>
      <c r="J48" s="19" t="s">
        <v>131</v>
      </c>
      <c r="K48" s="19" t="s">
        <v>336</v>
      </c>
      <c r="L48" s="19" t="s">
        <v>49</v>
      </c>
      <c r="M48" s="19" t="s">
        <v>368</v>
      </c>
      <c r="N48" s="19" t="s">
        <v>50</v>
      </c>
      <c r="O48" s="19" t="s">
        <v>51</v>
      </c>
      <c r="P48" s="19" t="s">
        <v>64</v>
      </c>
      <c r="Q48" s="45" t="s">
        <v>338</v>
      </c>
      <c r="R48" s="22" t="s">
        <v>41</v>
      </c>
      <c r="S48" s="30" t="s">
        <v>131</v>
      </c>
      <c r="T48" s="30" t="s">
        <v>131</v>
      </c>
      <c r="U48" s="30" t="s">
        <v>131</v>
      </c>
      <c r="V48" s="30" t="s">
        <v>131</v>
      </c>
      <c r="W48" s="30" t="s">
        <v>131</v>
      </c>
      <c r="X48" s="30" t="s">
        <v>131</v>
      </c>
      <c r="Y48" s="19" t="s">
        <v>71</v>
      </c>
      <c r="Z48" s="19" t="s">
        <v>91</v>
      </c>
      <c r="AA48" s="40">
        <v>775734570</v>
      </c>
      <c r="AB48" s="70">
        <v>0.53</v>
      </c>
      <c r="AC48" s="70">
        <f t="shared" si="0"/>
        <v>8.7905811717808729E-3</v>
      </c>
      <c r="AD48" s="19"/>
      <c r="AE48" s="36"/>
      <c r="AF48" s="22"/>
      <c r="AG48" s="19"/>
      <c r="AH48" s="19"/>
      <c r="AI48" s="36"/>
      <c r="AJ48" s="19"/>
      <c r="AK48" s="19"/>
      <c r="AL48" s="36" t="s">
        <v>1054</v>
      </c>
      <c r="AM48" s="36">
        <v>1</v>
      </c>
      <c r="AN48" s="22">
        <f t="shared" si="18"/>
        <v>45975</v>
      </c>
      <c r="AO48" s="36" t="s">
        <v>1052</v>
      </c>
      <c r="AP48" s="19"/>
      <c r="AQ48" s="19"/>
      <c r="AR48" s="9"/>
      <c r="AS48" s="9"/>
    </row>
    <row r="49" spans="1:45" s="16" customFormat="1" ht="54" customHeight="1">
      <c r="A49" s="19">
        <v>46</v>
      </c>
      <c r="B49" s="19" t="s">
        <v>47</v>
      </c>
      <c r="C49" s="64" t="s">
        <v>791</v>
      </c>
      <c r="D49" s="64" t="s">
        <v>786</v>
      </c>
      <c r="E49" s="64" t="s">
        <v>785</v>
      </c>
      <c r="F49" s="19" t="s">
        <v>75</v>
      </c>
      <c r="G49" s="36" t="s">
        <v>860</v>
      </c>
      <c r="H49" s="36" t="s">
        <v>861</v>
      </c>
      <c r="I49" s="19">
        <v>44</v>
      </c>
      <c r="J49" s="19" t="s">
        <v>131</v>
      </c>
      <c r="K49" s="19" t="s">
        <v>337</v>
      </c>
      <c r="L49" s="19" t="s">
        <v>86</v>
      </c>
      <c r="M49" s="19" t="s">
        <v>368</v>
      </c>
      <c r="N49" s="19" t="s">
        <v>50</v>
      </c>
      <c r="O49" s="19" t="s">
        <v>51</v>
      </c>
      <c r="P49" s="19" t="s">
        <v>64</v>
      </c>
      <c r="Q49" s="45" t="s">
        <v>338</v>
      </c>
      <c r="R49" s="22" t="s">
        <v>41</v>
      </c>
      <c r="S49" s="30" t="s">
        <v>131</v>
      </c>
      <c r="T49" s="30" t="s">
        <v>131</v>
      </c>
      <c r="U49" s="30" t="s">
        <v>131</v>
      </c>
      <c r="V49" s="30" t="s">
        <v>131</v>
      </c>
      <c r="W49" s="30" t="s">
        <v>131</v>
      </c>
      <c r="X49" s="30" t="s">
        <v>131</v>
      </c>
      <c r="Y49" s="19" t="s">
        <v>80</v>
      </c>
      <c r="Z49" s="19" t="s">
        <v>262</v>
      </c>
      <c r="AA49" s="40">
        <v>2097559934</v>
      </c>
      <c r="AB49" s="70">
        <v>0.37209999999999999</v>
      </c>
      <c r="AC49" s="70">
        <f t="shared" si="0"/>
        <v>2.3769432967905933E-2</v>
      </c>
      <c r="AD49" s="19"/>
      <c r="AE49" s="36"/>
      <c r="AF49" s="22"/>
      <c r="AG49" s="19"/>
      <c r="AH49" s="19"/>
      <c r="AI49" s="36"/>
      <c r="AJ49" s="19"/>
      <c r="AK49" s="19"/>
      <c r="AL49" s="36" t="s">
        <v>1054</v>
      </c>
      <c r="AM49" s="36">
        <v>1</v>
      </c>
      <c r="AN49" s="22">
        <f t="shared" si="18"/>
        <v>45975</v>
      </c>
      <c r="AO49" s="36" t="s">
        <v>1053</v>
      </c>
      <c r="AP49" s="19"/>
      <c r="AQ49" s="19"/>
      <c r="AR49" s="9"/>
      <c r="AS49" s="9"/>
    </row>
    <row r="50" spans="1:45" s="16" customFormat="1" ht="54" customHeight="1">
      <c r="A50" s="19">
        <v>47</v>
      </c>
      <c r="B50" s="19" t="s">
        <v>339</v>
      </c>
      <c r="C50" s="53" t="s">
        <v>793</v>
      </c>
      <c r="D50" s="37" t="s">
        <v>789</v>
      </c>
      <c r="E50" s="37" t="s">
        <v>790</v>
      </c>
      <c r="F50" s="19" t="s">
        <v>111</v>
      </c>
      <c r="G50" s="36" t="s">
        <v>860</v>
      </c>
      <c r="H50" s="36" t="s">
        <v>862</v>
      </c>
      <c r="I50" s="19" t="s">
        <v>868</v>
      </c>
      <c r="J50" s="19" t="s">
        <v>131</v>
      </c>
      <c r="K50" s="19" t="s">
        <v>340</v>
      </c>
      <c r="L50" s="19" t="s">
        <v>86</v>
      </c>
      <c r="M50" s="19" t="s">
        <v>185</v>
      </c>
      <c r="N50" s="19" t="s">
        <v>50</v>
      </c>
      <c r="O50" s="19" t="s">
        <v>51</v>
      </c>
      <c r="P50" s="19" t="s">
        <v>126</v>
      </c>
      <c r="Q50" s="45" t="s">
        <v>338</v>
      </c>
      <c r="R50" s="22" t="s">
        <v>41</v>
      </c>
      <c r="S50" s="30" t="s">
        <v>341</v>
      </c>
      <c r="T50" s="30" t="s">
        <v>341</v>
      </c>
      <c r="U50" s="30" t="s">
        <v>131</v>
      </c>
      <c r="V50" s="30" t="s">
        <v>342</v>
      </c>
      <c r="W50" s="30" t="s">
        <v>131</v>
      </c>
      <c r="X50" s="30" t="s">
        <v>311</v>
      </c>
      <c r="Y50" s="19" t="s">
        <v>343</v>
      </c>
      <c r="Z50" s="19" t="s">
        <v>159</v>
      </c>
      <c r="AA50" s="40">
        <v>189097982</v>
      </c>
      <c r="AB50" s="70">
        <v>0.46</v>
      </c>
      <c r="AC50" s="70">
        <f t="shared" si="0"/>
        <v>2.1428478560533387E-3</v>
      </c>
      <c r="AD50" s="19"/>
      <c r="AE50" s="36"/>
      <c r="AF50" s="22"/>
      <c r="AG50" s="19"/>
      <c r="AH50" s="19"/>
      <c r="AI50" s="36"/>
      <c r="AJ50" s="19"/>
      <c r="AK50" s="19"/>
      <c r="AL50" s="36" t="s">
        <v>1051</v>
      </c>
      <c r="AM50" s="36">
        <v>1</v>
      </c>
      <c r="AN50" s="22">
        <f>AL50+30</f>
        <v>45939</v>
      </c>
      <c r="AO50" s="36" t="s">
        <v>1051</v>
      </c>
      <c r="AP50" s="19"/>
      <c r="AQ50" s="19"/>
      <c r="AR50" s="9"/>
      <c r="AS50" s="9"/>
    </row>
    <row r="51" spans="1:45" s="16" customFormat="1" ht="54" customHeight="1">
      <c r="A51" s="19">
        <v>48</v>
      </c>
      <c r="B51" s="19" t="s">
        <v>344</v>
      </c>
      <c r="C51" s="64" t="s">
        <v>345</v>
      </c>
      <c r="D51" s="64" t="s">
        <v>131</v>
      </c>
      <c r="E51" s="65" t="s">
        <v>856</v>
      </c>
      <c r="F51" s="19" t="s">
        <v>84</v>
      </c>
      <c r="G51" s="36" t="s">
        <v>860</v>
      </c>
      <c r="H51" s="36" t="s">
        <v>861</v>
      </c>
      <c r="I51" s="19">
        <v>2</v>
      </c>
      <c r="J51" s="19" t="s">
        <v>131</v>
      </c>
      <c r="K51" s="19" t="s">
        <v>346</v>
      </c>
      <c r="L51" s="19" t="s">
        <v>49</v>
      </c>
      <c r="M51" s="19" t="s">
        <v>368</v>
      </c>
      <c r="N51" s="19" t="s">
        <v>50</v>
      </c>
      <c r="O51" s="19" t="s">
        <v>51</v>
      </c>
      <c r="P51" s="19" t="s">
        <v>64</v>
      </c>
      <c r="Q51" s="45" t="s">
        <v>338</v>
      </c>
      <c r="R51" s="22" t="s">
        <v>41</v>
      </c>
      <c r="S51" s="30" t="s">
        <v>347</v>
      </c>
      <c r="T51" s="30" t="s">
        <v>347</v>
      </c>
      <c r="U51" s="30" t="s">
        <v>348</v>
      </c>
      <c r="V51" s="30" t="s">
        <v>349</v>
      </c>
      <c r="W51" s="30">
        <v>45912</v>
      </c>
      <c r="X51" s="30" t="s">
        <v>131</v>
      </c>
      <c r="Y51" s="19" t="s">
        <v>71</v>
      </c>
      <c r="Z51" s="19" t="s">
        <v>131</v>
      </c>
      <c r="AA51" s="40">
        <v>398492524</v>
      </c>
      <c r="AB51" s="70">
        <v>0.54</v>
      </c>
      <c r="AC51" s="70">
        <f t="shared" si="0"/>
        <v>4.5156952056034294E-3</v>
      </c>
      <c r="AD51" s="19"/>
      <c r="AE51" s="36"/>
      <c r="AF51" s="22"/>
      <c r="AG51" s="19"/>
      <c r="AH51" s="19"/>
      <c r="AI51" s="36"/>
      <c r="AJ51" s="19"/>
      <c r="AK51" s="19"/>
      <c r="AL51" s="38">
        <v>46087</v>
      </c>
      <c r="AM51" s="36">
        <v>1</v>
      </c>
      <c r="AN51" s="22">
        <f>AL51+30</f>
        <v>46117</v>
      </c>
      <c r="AO51" s="22">
        <v>46087</v>
      </c>
      <c r="AP51" s="19"/>
      <c r="AQ51" s="19"/>
      <c r="AR51" s="9"/>
      <c r="AS51" s="9"/>
    </row>
    <row r="52" spans="1:45" s="16" customFormat="1" ht="54" customHeight="1">
      <c r="A52" s="19">
        <v>49</v>
      </c>
      <c r="B52" s="19" t="s">
        <v>350</v>
      </c>
      <c r="C52" s="64" t="s">
        <v>131</v>
      </c>
      <c r="D52" s="64" t="s">
        <v>131</v>
      </c>
      <c r="E52" s="65"/>
      <c r="F52" s="19" t="s">
        <v>351</v>
      </c>
      <c r="G52" s="36" t="s">
        <v>860</v>
      </c>
      <c r="H52" s="36" t="s">
        <v>861</v>
      </c>
      <c r="I52" s="19" t="s">
        <v>131</v>
      </c>
      <c r="J52" s="19" t="s">
        <v>131</v>
      </c>
      <c r="K52" s="19" t="s">
        <v>352</v>
      </c>
      <c r="L52" s="19" t="s">
        <v>49</v>
      </c>
      <c r="M52" s="19" t="s">
        <v>185</v>
      </c>
      <c r="N52" s="19" t="s">
        <v>50</v>
      </c>
      <c r="O52" s="19" t="s">
        <v>51</v>
      </c>
      <c r="P52" s="19" t="s">
        <v>126</v>
      </c>
      <c r="Q52" s="45" t="s">
        <v>338</v>
      </c>
      <c r="R52" s="22" t="s">
        <v>41</v>
      </c>
      <c r="S52" s="30" t="s">
        <v>354</v>
      </c>
      <c r="T52" s="30" t="s">
        <v>354</v>
      </c>
      <c r="U52" s="30" t="s">
        <v>131</v>
      </c>
      <c r="V52" s="30" t="s">
        <v>353</v>
      </c>
      <c r="W52" s="30"/>
      <c r="X52" s="30">
        <v>45923</v>
      </c>
      <c r="Y52" s="19" t="s">
        <v>355</v>
      </c>
      <c r="Z52" s="19" t="s">
        <v>80</v>
      </c>
      <c r="AA52" s="40">
        <v>100000000</v>
      </c>
      <c r="AB52" s="70">
        <v>0.68</v>
      </c>
      <c r="AC52" s="70">
        <f t="shared" si="0"/>
        <v>1.1331944600304295E-3</v>
      </c>
      <c r="AD52" s="19"/>
      <c r="AE52" s="36"/>
      <c r="AF52" s="22"/>
      <c r="AG52" s="19"/>
      <c r="AH52" s="19"/>
      <c r="AI52" s="36"/>
      <c r="AJ52" s="19"/>
      <c r="AK52" s="19"/>
      <c r="AL52" s="36" t="s">
        <v>1049</v>
      </c>
      <c r="AM52" s="36">
        <v>1</v>
      </c>
      <c r="AN52" s="22">
        <f>AL52+30</f>
        <v>45959</v>
      </c>
      <c r="AO52" s="36" t="s">
        <v>1050</v>
      </c>
      <c r="AP52" s="19"/>
      <c r="AQ52" s="19"/>
      <c r="AR52" s="9"/>
      <c r="AS52" s="9"/>
    </row>
    <row r="53" spans="1:45" s="16" customFormat="1" ht="54" customHeight="1">
      <c r="A53" s="19">
        <v>50</v>
      </c>
      <c r="B53" s="19" t="s">
        <v>106</v>
      </c>
      <c r="C53" s="53" t="s">
        <v>792</v>
      </c>
      <c r="D53" s="37" t="s">
        <v>788</v>
      </c>
      <c r="E53" s="64" t="s">
        <v>787</v>
      </c>
      <c r="F53" s="19" t="s">
        <v>75</v>
      </c>
      <c r="G53" s="36" t="s">
        <v>860</v>
      </c>
      <c r="H53" s="36" t="s">
        <v>862</v>
      </c>
      <c r="I53" s="19" t="s">
        <v>868</v>
      </c>
      <c r="J53" s="19" t="s">
        <v>131</v>
      </c>
      <c r="K53" s="19" t="s">
        <v>356</v>
      </c>
      <c r="L53" s="19" t="s">
        <v>49</v>
      </c>
      <c r="M53" s="19" t="s">
        <v>185</v>
      </c>
      <c r="N53" s="19" t="s">
        <v>50</v>
      </c>
      <c r="O53" s="19" t="s">
        <v>51</v>
      </c>
      <c r="P53" s="19" t="s">
        <v>126</v>
      </c>
      <c r="Q53" s="45" t="s">
        <v>357</v>
      </c>
      <c r="R53" s="22" t="s">
        <v>41</v>
      </c>
      <c r="S53" s="30" t="s">
        <v>270</v>
      </c>
      <c r="T53" s="45" t="s">
        <v>358</v>
      </c>
      <c r="U53" s="30" t="s">
        <v>131</v>
      </c>
      <c r="V53" s="45" t="s">
        <v>359</v>
      </c>
      <c r="W53" s="30" t="s">
        <v>131</v>
      </c>
      <c r="X53" s="45" t="s">
        <v>360</v>
      </c>
      <c r="Y53" s="19" t="s">
        <v>361</v>
      </c>
      <c r="Z53" s="19" t="s">
        <v>361</v>
      </c>
      <c r="AA53" s="40">
        <v>53950000</v>
      </c>
      <c r="AB53" s="70">
        <v>0.64</v>
      </c>
      <c r="AC53" s="70">
        <f t="shared" si="0"/>
        <v>6.1135841118641662E-4</v>
      </c>
      <c r="AD53" s="36" t="s">
        <v>877</v>
      </c>
      <c r="AE53" s="36">
        <v>1</v>
      </c>
      <c r="AF53" s="22">
        <f>AD53+14</f>
        <v>45446</v>
      </c>
      <c r="AG53" s="36" t="s">
        <v>879</v>
      </c>
      <c r="AH53" s="36" t="s">
        <v>878</v>
      </c>
      <c r="AI53" s="36">
        <v>1</v>
      </c>
      <c r="AJ53" s="22">
        <f>AH53+14</f>
        <v>45461</v>
      </c>
      <c r="AK53" s="36" t="s">
        <v>880</v>
      </c>
      <c r="AL53" s="36" t="s">
        <v>881</v>
      </c>
      <c r="AM53" s="36">
        <v>1</v>
      </c>
      <c r="AN53" s="22">
        <f>AL53+30</f>
        <v>45547</v>
      </c>
      <c r="AO53" s="36" t="s">
        <v>882</v>
      </c>
      <c r="AP53" s="36"/>
      <c r="AQ53" s="19"/>
      <c r="AR53" s="9"/>
      <c r="AS53" s="9"/>
    </row>
    <row r="54" spans="1:45" s="16" customFormat="1" ht="54" customHeight="1">
      <c r="A54" s="19">
        <v>51</v>
      </c>
      <c r="B54" s="19" t="s">
        <v>362</v>
      </c>
      <c r="C54" s="64" t="s">
        <v>363</v>
      </c>
      <c r="D54" s="64" t="s">
        <v>131</v>
      </c>
      <c r="E54" s="65" t="s">
        <v>857</v>
      </c>
      <c r="F54" s="19" t="s">
        <v>364</v>
      </c>
      <c r="G54" s="36" t="s">
        <v>860</v>
      </c>
      <c r="H54" s="36" t="s">
        <v>861</v>
      </c>
      <c r="I54" s="19">
        <v>2</v>
      </c>
      <c r="J54" s="19" t="s">
        <v>131</v>
      </c>
      <c r="K54" s="19" t="s">
        <v>365</v>
      </c>
      <c r="L54" s="19" t="s">
        <v>49</v>
      </c>
      <c r="M54" s="19" t="s">
        <v>368</v>
      </c>
      <c r="N54" s="19" t="s">
        <v>50</v>
      </c>
      <c r="O54" s="19" t="s">
        <v>51</v>
      </c>
      <c r="P54" s="19" t="s">
        <v>64</v>
      </c>
      <c r="Q54" s="45" t="s">
        <v>366</v>
      </c>
      <c r="R54" s="22" t="s">
        <v>41</v>
      </c>
      <c r="S54" s="30" t="s">
        <v>131</v>
      </c>
      <c r="T54" s="30" t="s">
        <v>131</v>
      </c>
      <c r="U54" s="30" t="s">
        <v>131</v>
      </c>
      <c r="V54" s="30" t="s">
        <v>131</v>
      </c>
      <c r="W54" s="30" t="s">
        <v>131</v>
      </c>
      <c r="X54" s="30" t="s">
        <v>131</v>
      </c>
      <c r="Y54" s="19" t="s">
        <v>72</v>
      </c>
      <c r="Z54" s="19" t="s">
        <v>236</v>
      </c>
      <c r="AA54" s="40">
        <v>562966565</v>
      </c>
      <c r="AB54" s="70">
        <v>0.30680000000000002</v>
      </c>
      <c r="AC54" s="70">
        <f t="shared" si="0"/>
        <v>6.3795059264036063E-3</v>
      </c>
      <c r="AD54" s="36" t="s">
        <v>1044</v>
      </c>
      <c r="AE54" s="36">
        <v>1</v>
      </c>
      <c r="AF54" s="22">
        <f>AD54+14</f>
        <v>45992</v>
      </c>
      <c r="AG54" s="36" t="s">
        <v>1014</v>
      </c>
      <c r="AH54" s="36" t="s">
        <v>1047</v>
      </c>
      <c r="AI54" s="36">
        <v>1</v>
      </c>
      <c r="AJ54" s="22">
        <f>AH54+14</f>
        <v>46001</v>
      </c>
      <c r="AK54" s="36" t="s">
        <v>1048</v>
      </c>
      <c r="AL54" s="22">
        <v>46053</v>
      </c>
      <c r="AM54" s="36">
        <v>1</v>
      </c>
      <c r="AN54" s="22">
        <f>AL54+30</f>
        <v>46083</v>
      </c>
      <c r="AO54" s="19"/>
      <c r="AP54" s="19"/>
      <c r="AQ54" s="19"/>
      <c r="AR54" s="9"/>
      <c r="AS54" s="9"/>
    </row>
    <row r="55" spans="1:45" s="16" customFormat="1" ht="54" customHeight="1">
      <c r="A55" s="19">
        <v>52</v>
      </c>
      <c r="B55" s="19" t="s">
        <v>362</v>
      </c>
      <c r="C55" s="64" t="s">
        <v>363</v>
      </c>
      <c r="D55" s="64" t="s">
        <v>131</v>
      </c>
      <c r="E55" s="65" t="s">
        <v>857</v>
      </c>
      <c r="F55" s="19" t="s">
        <v>364</v>
      </c>
      <c r="G55" s="36" t="s">
        <v>860</v>
      </c>
      <c r="H55" s="36" t="s">
        <v>861</v>
      </c>
      <c r="I55" s="19">
        <v>2</v>
      </c>
      <c r="J55" s="19" t="s">
        <v>131</v>
      </c>
      <c r="K55" s="19" t="s">
        <v>367</v>
      </c>
      <c r="L55" s="19" t="s">
        <v>86</v>
      </c>
      <c r="M55" s="19" t="s">
        <v>368</v>
      </c>
      <c r="N55" s="19" t="s">
        <v>50</v>
      </c>
      <c r="O55" s="19" t="s">
        <v>51</v>
      </c>
      <c r="P55" s="19" t="s">
        <v>64</v>
      </c>
      <c r="Q55" s="45" t="s">
        <v>366</v>
      </c>
      <c r="R55" s="22" t="s">
        <v>41</v>
      </c>
      <c r="S55" s="30" t="s">
        <v>131</v>
      </c>
      <c r="T55" s="30" t="s">
        <v>131</v>
      </c>
      <c r="U55" s="30" t="s">
        <v>131</v>
      </c>
      <c r="V55" s="30" t="s">
        <v>131</v>
      </c>
      <c r="W55" s="30" t="s">
        <v>131</v>
      </c>
      <c r="X55" s="30" t="s">
        <v>131</v>
      </c>
      <c r="Y55" s="19" t="s">
        <v>72</v>
      </c>
      <c r="Z55" s="19" t="s">
        <v>236</v>
      </c>
      <c r="AA55" s="40">
        <v>869613442</v>
      </c>
      <c r="AB55" s="70">
        <v>0.4476</v>
      </c>
      <c r="AC55" s="70">
        <f t="shared" si="0"/>
        <v>9.8544113484239308E-3</v>
      </c>
      <c r="AD55" s="36" t="s">
        <v>1044</v>
      </c>
      <c r="AE55" s="36">
        <v>1</v>
      </c>
      <c r="AF55" s="22">
        <f>AD55+14</f>
        <v>45992</v>
      </c>
      <c r="AG55" s="36" t="s">
        <v>1014</v>
      </c>
      <c r="AH55" s="36" t="s">
        <v>1047</v>
      </c>
      <c r="AI55" s="36">
        <v>1</v>
      </c>
      <c r="AJ55" s="22">
        <f>AH55+14</f>
        <v>46001</v>
      </c>
      <c r="AK55" s="36" t="s">
        <v>1046</v>
      </c>
      <c r="AL55" s="22">
        <v>46053</v>
      </c>
      <c r="AM55" s="36">
        <v>1</v>
      </c>
      <c r="AN55" s="22">
        <f>AL55+30</f>
        <v>46083</v>
      </c>
      <c r="AO55" s="19"/>
      <c r="AP55" s="19"/>
      <c r="AQ55" s="19"/>
      <c r="AR55" s="9"/>
      <c r="AS55" s="9"/>
    </row>
    <row r="56" spans="1:45" s="16" customFormat="1" ht="54" customHeight="1">
      <c r="A56" s="19">
        <v>53</v>
      </c>
      <c r="B56" s="19" t="s">
        <v>369</v>
      </c>
      <c r="C56" s="64" t="s">
        <v>131</v>
      </c>
      <c r="D56" s="64"/>
      <c r="E56" s="65"/>
      <c r="F56" s="19" t="s">
        <v>370</v>
      </c>
      <c r="G56" s="36" t="s">
        <v>860</v>
      </c>
      <c r="H56" s="36" t="s">
        <v>131</v>
      </c>
      <c r="I56" s="19">
        <v>1</v>
      </c>
      <c r="J56" s="19" t="s">
        <v>131</v>
      </c>
      <c r="K56" s="19" t="s">
        <v>371</v>
      </c>
      <c r="L56" s="19" t="s">
        <v>49</v>
      </c>
      <c r="M56" s="19" t="s">
        <v>368</v>
      </c>
      <c r="N56" s="19" t="s">
        <v>50</v>
      </c>
      <c r="O56" s="19" t="s">
        <v>51</v>
      </c>
      <c r="P56" s="19" t="s">
        <v>52</v>
      </c>
      <c r="Q56" s="45" t="s">
        <v>372</v>
      </c>
      <c r="R56" s="22" t="s">
        <v>41</v>
      </c>
      <c r="S56" s="30" t="s">
        <v>131</v>
      </c>
      <c r="T56" s="30" t="s">
        <v>131</v>
      </c>
      <c r="U56" s="30" t="s">
        <v>131</v>
      </c>
      <c r="V56" s="30" t="s">
        <v>131</v>
      </c>
      <c r="W56" s="30" t="s">
        <v>131</v>
      </c>
      <c r="X56" s="30" t="s">
        <v>131</v>
      </c>
      <c r="Y56" s="19" t="s">
        <v>54</v>
      </c>
      <c r="Z56" s="19"/>
      <c r="AA56" s="40">
        <v>787430000</v>
      </c>
      <c r="AB56" s="70">
        <v>0.3</v>
      </c>
      <c r="AC56" s="70">
        <f t="shared" si="0"/>
        <v>8.9231131366176095E-3</v>
      </c>
      <c r="AD56" s="36" t="s">
        <v>1042</v>
      </c>
      <c r="AE56" s="36">
        <v>1</v>
      </c>
      <c r="AF56" s="22">
        <f>AD56+14</f>
        <v>45951</v>
      </c>
      <c r="AG56" s="36" t="s">
        <v>1042</v>
      </c>
      <c r="AH56" s="36" t="s">
        <v>1044</v>
      </c>
      <c r="AI56" s="36">
        <v>1</v>
      </c>
      <c r="AJ56" s="22">
        <f>AH56+14</f>
        <v>45992</v>
      </c>
      <c r="AK56" s="36" t="s">
        <v>1043</v>
      </c>
      <c r="AL56" s="36" t="s">
        <v>1045</v>
      </c>
      <c r="AM56" s="36">
        <v>1</v>
      </c>
      <c r="AN56" s="22">
        <f>AL56+30</f>
        <v>46025</v>
      </c>
      <c r="AO56" s="36" t="s">
        <v>1045</v>
      </c>
      <c r="AP56" s="19"/>
      <c r="AQ56" s="19"/>
      <c r="AR56" s="9"/>
      <c r="AS56" s="9"/>
    </row>
    <row r="57" spans="1:45" s="16" customFormat="1" ht="54" customHeight="1">
      <c r="A57" s="19">
        <v>54</v>
      </c>
      <c r="B57" s="19" t="s">
        <v>47</v>
      </c>
      <c r="C57" s="64" t="s">
        <v>791</v>
      </c>
      <c r="D57" s="64" t="s">
        <v>786</v>
      </c>
      <c r="E57" s="64" t="s">
        <v>785</v>
      </c>
      <c r="F57" s="19" t="s">
        <v>75</v>
      </c>
      <c r="G57" s="36" t="s">
        <v>860</v>
      </c>
      <c r="H57" s="36" t="s">
        <v>861</v>
      </c>
      <c r="I57" s="19">
        <v>44</v>
      </c>
      <c r="J57" s="19" t="s">
        <v>131</v>
      </c>
      <c r="K57" s="19" t="s">
        <v>373</v>
      </c>
      <c r="L57" s="19" t="s">
        <v>49</v>
      </c>
      <c r="M57" s="19" t="s">
        <v>368</v>
      </c>
      <c r="N57" s="19" t="s">
        <v>50</v>
      </c>
      <c r="O57" s="19" t="s">
        <v>51</v>
      </c>
      <c r="P57" s="19" t="s">
        <v>64</v>
      </c>
      <c r="Q57" s="45" t="s">
        <v>338</v>
      </c>
      <c r="R57" s="22" t="s">
        <v>41</v>
      </c>
      <c r="S57" s="30" t="s">
        <v>131</v>
      </c>
      <c r="T57" s="30" t="s">
        <v>131</v>
      </c>
      <c r="U57" s="30" t="s">
        <v>131</v>
      </c>
      <c r="V57" s="30" t="s">
        <v>131</v>
      </c>
      <c r="W57" s="30" t="s">
        <v>131</v>
      </c>
      <c r="X57" s="30" t="s">
        <v>131</v>
      </c>
      <c r="Y57" s="19" t="s">
        <v>71</v>
      </c>
      <c r="Z57" s="19" t="s">
        <v>375</v>
      </c>
      <c r="AA57" s="40">
        <v>522518573</v>
      </c>
      <c r="AB57" s="70">
        <v>0.4743</v>
      </c>
      <c r="AC57" s="70">
        <f t="shared" si="0"/>
        <v>5.9211515218660551E-3</v>
      </c>
      <c r="AD57" s="19"/>
      <c r="AE57" s="36"/>
      <c r="AF57" s="22"/>
      <c r="AG57" s="19"/>
      <c r="AH57" s="19"/>
      <c r="AI57" s="36"/>
      <c r="AJ57" s="19"/>
      <c r="AK57" s="19"/>
      <c r="AL57" s="19"/>
      <c r="AM57" s="36"/>
      <c r="AN57" s="22"/>
      <c r="AO57" s="19"/>
      <c r="AP57" s="19"/>
      <c r="AQ57" s="19"/>
      <c r="AR57" s="9"/>
      <c r="AS57" s="9"/>
    </row>
    <row r="58" spans="1:45" s="16" customFormat="1" ht="54" customHeight="1">
      <c r="A58" s="19">
        <v>55</v>
      </c>
      <c r="B58" s="19" t="s">
        <v>47</v>
      </c>
      <c r="C58" s="64" t="s">
        <v>791</v>
      </c>
      <c r="D58" s="64" t="s">
        <v>786</v>
      </c>
      <c r="E58" s="64" t="s">
        <v>785</v>
      </c>
      <c r="F58" s="19" t="s">
        <v>75</v>
      </c>
      <c r="G58" s="36" t="s">
        <v>860</v>
      </c>
      <c r="H58" s="36" t="s">
        <v>861</v>
      </c>
      <c r="I58" s="19">
        <v>44</v>
      </c>
      <c r="J58" s="19" t="s">
        <v>131</v>
      </c>
      <c r="K58" s="19" t="s">
        <v>374</v>
      </c>
      <c r="L58" s="19" t="s">
        <v>86</v>
      </c>
      <c r="M58" s="19" t="s">
        <v>368</v>
      </c>
      <c r="N58" s="19" t="s">
        <v>50</v>
      </c>
      <c r="O58" s="19" t="s">
        <v>51</v>
      </c>
      <c r="P58" s="19" t="s">
        <v>64</v>
      </c>
      <c r="Q58" s="45" t="s">
        <v>338</v>
      </c>
      <c r="R58" s="22" t="s">
        <v>41</v>
      </c>
      <c r="S58" s="30" t="s">
        <v>131</v>
      </c>
      <c r="T58" s="30" t="s">
        <v>131</v>
      </c>
      <c r="U58" s="30" t="s">
        <v>131</v>
      </c>
      <c r="V58" s="30" t="s">
        <v>131</v>
      </c>
      <c r="W58" s="30" t="s">
        <v>131</v>
      </c>
      <c r="X58" s="30" t="s">
        <v>131</v>
      </c>
      <c r="Y58" s="19" t="s">
        <v>80</v>
      </c>
      <c r="Z58" s="19" t="s">
        <v>141</v>
      </c>
      <c r="AA58" s="40">
        <v>1077365101</v>
      </c>
      <c r="AB58" s="70">
        <v>0.41170000000000001</v>
      </c>
      <c r="AC58" s="70">
        <f t="shared" si="0"/>
        <v>1.2208641638833241E-2</v>
      </c>
      <c r="AD58" s="19"/>
      <c r="AE58" s="36"/>
      <c r="AF58" s="22"/>
      <c r="AG58" s="19"/>
      <c r="AH58" s="19"/>
      <c r="AI58" s="36"/>
      <c r="AJ58" s="19"/>
      <c r="AK58" s="19"/>
      <c r="AL58" s="19"/>
      <c r="AM58" s="36"/>
      <c r="AN58" s="22"/>
      <c r="AO58" s="19"/>
      <c r="AP58" s="19"/>
      <c r="AQ58" s="19"/>
      <c r="AR58" s="9"/>
      <c r="AS58" s="9"/>
    </row>
    <row r="59" spans="1:45" s="16" customFormat="1" ht="54" customHeight="1">
      <c r="A59" s="19">
        <v>56</v>
      </c>
      <c r="B59" s="19" t="s">
        <v>376</v>
      </c>
      <c r="C59" s="64" t="s">
        <v>858</v>
      </c>
      <c r="D59" s="64" t="s">
        <v>131</v>
      </c>
      <c r="E59" s="65" t="s">
        <v>859</v>
      </c>
      <c r="F59" s="19" t="s">
        <v>364</v>
      </c>
      <c r="G59" s="36" t="s">
        <v>860</v>
      </c>
      <c r="H59" s="36" t="s">
        <v>861</v>
      </c>
      <c r="I59" s="19">
        <v>40</v>
      </c>
      <c r="J59" s="19" t="s">
        <v>131</v>
      </c>
      <c r="K59" s="19" t="s">
        <v>377</v>
      </c>
      <c r="L59" s="19" t="s">
        <v>246</v>
      </c>
      <c r="M59" s="19" t="s">
        <v>185</v>
      </c>
      <c r="N59" s="19" t="s">
        <v>50</v>
      </c>
      <c r="O59" s="19" t="s">
        <v>51</v>
      </c>
      <c r="P59" s="19" t="s">
        <v>126</v>
      </c>
      <c r="Q59" s="45" t="s">
        <v>378</v>
      </c>
      <c r="R59" s="22" t="s">
        <v>41</v>
      </c>
      <c r="S59" s="30">
        <v>45980</v>
      </c>
      <c r="T59" s="30">
        <v>45980</v>
      </c>
      <c r="U59" s="30" t="s">
        <v>131</v>
      </c>
      <c r="V59" s="30">
        <v>45981</v>
      </c>
      <c r="W59" s="30" t="s">
        <v>131</v>
      </c>
      <c r="X59" s="30">
        <v>45986</v>
      </c>
      <c r="Y59" s="19" t="s">
        <v>379</v>
      </c>
      <c r="Z59" s="19" t="s">
        <v>380</v>
      </c>
      <c r="AA59" s="40">
        <v>49042818</v>
      </c>
      <c r="AB59" s="70">
        <v>0.37819999999999998</v>
      </c>
      <c r="AC59" s="70">
        <f t="shared" si="0"/>
        <v>5.5575049661880623E-4</v>
      </c>
      <c r="AD59" s="19"/>
      <c r="AE59" s="36">
        <v>1</v>
      </c>
      <c r="AF59" s="22"/>
      <c r="AG59" s="19"/>
      <c r="AH59" s="19"/>
      <c r="AI59" s="36">
        <v>1</v>
      </c>
      <c r="AJ59" s="19"/>
      <c r="AK59" s="19"/>
      <c r="AL59" s="36" t="s">
        <v>948</v>
      </c>
      <c r="AM59" s="36">
        <v>1</v>
      </c>
      <c r="AN59" s="22">
        <f>AL59+30</f>
        <v>46022</v>
      </c>
      <c r="AO59" s="36" t="s">
        <v>1041</v>
      </c>
      <c r="AP59" s="19"/>
      <c r="AQ59" s="19"/>
      <c r="AR59" s="9"/>
      <c r="AS59" s="9"/>
    </row>
    <row r="60" spans="1:45" s="16" customFormat="1" ht="54" customHeight="1">
      <c r="A60" s="19">
        <v>57</v>
      </c>
      <c r="B60" s="19" t="s">
        <v>110</v>
      </c>
      <c r="C60" s="53" t="s">
        <v>825</v>
      </c>
      <c r="D60" s="63" t="s">
        <v>826</v>
      </c>
      <c r="E60" s="37" t="s">
        <v>827</v>
      </c>
      <c r="F60" s="19" t="s">
        <v>111</v>
      </c>
      <c r="G60" s="36" t="s">
        <v>860</v>
      </c>
      <c r="H60" s="36" t="s">
        <v>863</v>
      </c>
      <c r="I60" s="19">
        <v>30</v>
      </c>
      <c r="J60" s="19" t="s">
        <v>131</v>
      </c>
      <c r="K60" s="19" t="s">
        <v>381</v>
      </c>
      <c r="L60" s="19" t="s">
        <v>49</v>
      </c>
      <c r="M60" s="19" t="s">
        <v>368</v>
      </c>
      <c r="N60" s="19" t="s">
        <v>113</v>
      </c>
      <c r="O60" s="19" t="s">
        <v>114</v>
      </c>
      <c r="P60" s="19" t="s">
        <v>52</v>
      </c>
      <c r="Q60" s="45" t="s">
        <v>378</v>
      </c>
      <c r="R60" s="22" t="s">
        <v>41</v>
      </c>
      <c r="S60" s="30">
        <v>45977</v>
      </c>
      <c r="T60" s="30">
        <v>45977</v>
      </c>
      <c r="U60" s="30">
        <v>45979</v>
      </c>
      <c r="V60" s="30">
        <v>45980</v>
      </c>
      <c r="W60" s="30" t="s">
        <v>382</v>
      </c>
      <c r="X60" s="30" t="s">
        <v>383</v>
      </c>
      <c r="Y60" s="19" t="s">
        <v>183</v>
      </c>
      <c r="Z60" s="19" t="s">
        <v>121</v>
      </c>
      <c r="AA60" s="40">
        <v>840000000</v>
      </c>
      <c r="AB60" s="70">
        <v>0.25009999999999999</v>
      </c>
      <c r="AC60" s="70">
        <f t="shared" si="0"/>
        <v>9.518833464255607E-3</v>
      </c>
      <c r="AD60" s="36" t="s">
        <v>1036</v>
      </c>
      <c r="AE60" s="36">
        <v>1</v>
      </c>
      <c r="AF60" s="22">
        <f>AD60+14</f>
        <v>45994</v>
      </c>
      <c r="AG60" s="36" t="s">
        <v>1035</v>
      </c>
      <c r="AH60" s="36" t="s">
        <v>1038</v>
      </c>
      <c r="AI60" s="36">
        <v>1</v>
      </c>
      <c r="AJ60" s="22">
        <f>AH60+14</f>
        <v>46016</v>
      </c>
      <c r="AK60" s="36" t="s">
        <v>1037</v>
      </c>
      <c r="AL60" s="22">
        <v>46054</v>
      </c>
      <c r="AM60" s="36">
        <v>1</v>
      </c>
      <c r="AN60" s="22">
        <f>AL60+30</f>
        <v>46084</v>
      </c>
      <c r="AO60" s="19"/>
      <c r="AP60" s="19"/>
      <c r="AQ60" s="19"/>
      <c r="AR60" s="9"/>
      <c r="AS60" s="9"/>
    </row>
    <row r="61" spans="1:45" s="16" customFormat="1" ht="54" customHeight="1">
      <c r="A61" s="19">
        <v>58</v>
      </c>
      <c r="B61" s="19" t="s">
        <v>110</v>
      </c>
      <c r="C61" s="53" t="s">
        <v>825</v>
      </c>
      <c r="D61" s="63" t="s">
        <v>826</v>
      </c>
      <c r="E61" s="37" t="s">
        <v>827</v>
      </c>
      <c r="F61" s="19" t="s">
        <v>111</v>
      </c>
      <c r="G61" s="36" t="s">
        <v>860</v>
      </c>
      <c r="H61" s="36" t="s">
        <v>863</v>
      </c>
      <c r="I61" s="19">
        <v>30</v>
      </c>
      <c r="J61" s="19" t="s">
        <v>131</v>
      </c>
      <c r="K61" s="19" t="s">
        <v>384</v>
      </c>
      <c r="L61" s="19" t="s">
        <v>86</v>
      </c>
      <c r="M61" s="19" t="s">
        <v>368</v>
      </c>
      <c r="N61" s="19" t="s">
        <v>113</v>
      </c>
      <c r="O61" s="19" t="s">
        <v>114</v>
      </c>
      <c r="P61" s="19" t="s">
        <v>52</v>
      </c>
      <c r="Q61" s="45" t="s">
        <v>378</v>
      </c>
      <c r="R61" s="22" t="s">
        <v>41</v>
      </c>
      <c r="S61" s="30">
        <v>45977</v>
      </c>
      <c r="T61" s="30">
        <v>45977</v>
      </c>
      <c r="U61" s="30">
        <v>45978</v>
      </c>
      <c r="V61" s="30">
        <v>45979</v>
      </c>
      <c r="W61" s="30" t="s">
        <v>385</v>
      </c>
      <c r="X61" s="30" t="s">
        <v>383</v>
      </c>
      <c r="Y61" s="19">
        <v>45</v>
      </c>
      <c r="Z61" s="19" t="s">
        <v>386</v>
      </c>
      <c r="AA61" s="40">
        <v>9800000000</v>
      </c>
      <c r="AB61" s="70">
        <v>0.12870000000000001</v>
      </c>
      <c r="AC61" s="70">
        <f t="shared" si="0"/>
        <v>0.11105305708298208</v>
      </c>
      <c r="AD61" s="36" t="s">
        <v>1036</v>
      </c>
      <c r="AE61" s="36">
        <v>1</v>
      </c>
      <c r="AF61" s="22">
        <f>AD61+14</f>
        <v>45994</v>
      </c>
      <c r="AG61" s="36" t="s">
        <v>1035</v>
      </c>
      <c r="AH61" s="36" t="s">
        <v>1039</v>
      </c>
      <c r="AI61" s="36">
        <v>1</v>
      </c>
      <c r="AJ61" s="22">
        <f>AH61+14</f>
        <v>46021</v>
      </c>
      <c r="AK61" s="36" t="s">
        <v>1037</v>
      </c>
      <c r="AL61" s="22">
        <v>46054</v>
      </c>
      <c r="AM61" s="36">
        <v>1</v>
      </c>
      <c r="AN61" s="22">
        <f>AL61+30</f>
        <v>46084</v>
      </c>
      <c r="AO61" s="19"/>
      <c r="AP61" s="19"/>
      <c r="AQ61" s="19"/>
      <c r="AR61" s="9"/>
      <c r="AS61" s="9"/>
    </row>
    <row r="62" spans="1:45" s="16" customFormat="1" ht="54" customHeight="1">
      <c r="A62" s="19">
        <v>59</v>
      </c>
      <c r="B62" s="19" t="s">
        <v>387</v>
      </c>
      <c r="C62" s="53" t="s">
        <v>799</v>
      </c>
      <c r="D62" s="37" t="s">
        <v>131</v>
      </c>
      <c r="E62" s="37" t="s">
        <v>800</v>
      </c>
      <c r="F62" s="19" t="s">
        <v>76</v>
      </c>
      <c r="G62" s="36" t="s">
        <v>860</v>
      </c>
      <c r="H62" s="36" t="s">
        <v>862</v>
      </c>
      <c r="I62" s="19">
        <v>12</v>
      </c>
      <c r="J62" s="19" t="s">
        <v>131</v>
      </c>
      <c r="K62" s="19" t="s">
        <v>388</v>
      </c>
      <c r="L62" s="19" t="s">
        <v>49</v>
      </c>
      <c r="M62" s="19" t="s">
        <v>368</v>
      </c>
      <c r="N62" s="19" t="s">
        <v>50</v>
      </c>
      <c r="O62" s="19" t="s">
        <v>114</v>
      </c>
      <c r="P62" s="19" t="s">
        <v>64</v>
      </c>
      <c r="Q62" s="45" t="s">
        <v>389</v>
      </c>
      <c r="R62" s="22" t="s">
        <v>41</v>
      </c>
      <c r="S62" s="30" t="s">
        <v>390</v>
      </c>
      <c r="T62" s="30" t="s">
        <v>390</v>
      </c>
      <c r="U62" s="30" t="s">
        <v>382</v>
      </c>
      <c r="V62" s="30" t="s">
        <v>391</v>
      </c>
      <c r="W62" s="30" t="s">
        <v>393</v>
      </c>
      <c r="X62" s="30" t="s">
        <v>394</v>
      </c>
      <c r="Y62" s="19" t="s">
        <v>54</v>
      </c>
      <c r="Z62" s="19" t="s">
        <v>395</v>
      </c>
      <c r="AA62" s="40">
        <v>419970000</v>
      </c>
      <c r="AB62" s="70">
        <v>0.38080000000000003</v>
      </c>
      <c r="AC62" s="70">
        <f t="shared" si="0"/>
        <v>4.7590767737897945E-3</v>
      </c>
      <c r="AD62" s="19"/>
      <c r="AE62" s="36">
        <v>1</v>
      </c>
      <c r="AF62" s="22"/>
      <c r="AG62" s="19"/>
      <c r="AH62" s="19"/>
      <c r="AI62" s="36">
        <v>1</v>
      </c>
      <c r="AJ62" s="19"/>
      <c r="AK62" s="19"/>
      <c r="AL62" s="36" t="s">
        <v>1040</v>
      </c>
      <c r="AM62" s="36">
        <v>1</v>
      </c>
      <c r="AN62" s="22">
        <f>AL62+30</f>
        <v>46026</v>
      </c>
      <c r="AO62" s="36" t="s">
        <v>1014</v>
      </c>
      <c r="AP62" s="19"/>
      <c r="AQ62" s="19"/>
      <c r="AR62" s="9"/>
      <c r="AS62" s="9"/>
    </row>
    <row r="63" spans="1:45" s="16" customFormat="1" ht="54" customHeight="1">
      <c r="A63" s="19">
        <v>60</v>
      </c>
      <c r="B63" s="19" t="s">
        <v>206</v>
      </c>
      <c r="C63" s="64" t="s">
        <v>207</v>
      </c>
      <c r="D63" s="62" t="s">
        <v>843</v>
      </c>
      <c r="E63" s="65" t="s">
        <v>846</v>
      </c>
      <c r="F63" s="19" t="s">
        <v>208</v>
      </c>
      <c r="G63" s="36" t="s">
        <v>860</v>
      </c>
      <c r="H63" s="36" t="s">
        <v>861</v>
      </c>
      <c r="I63" s="19">
        <v>24</v>
      </c>
      <c r="J63" s="19" t="s">
        <v>131</v>
      </c>
      <c r="K63" s="19" t="s">
        <v>396</v>
      </c>
      <c r="L63" s="19" t="s">
        <v>49</v>
      </c>
      <c r="M63" s="19" t="s">
        <v>368</v>
      </c>
      <c r="N63" s="19" t="s">
        <v>50</v>
      </c>
      <c r="O63" s="19" t="s">
        <v>114</v>
      </c>
      <c r="P63" s="19" t="s">
        <v>52</v>
      </c>
      <c r="Q63" s="45" t="s">
        <v>389</v>
      </c>
      <c r="R63" s="22" t="s">
        <v>41</v>
      </c>
      <c r="S63" s="30" t="s">
        <v>382</v>
      </c>
      <c r="T63" s="30" t="s">
        <v>382</v>
      </c>
      <c r="U63" s="30" t="s">
        <v>391</v>
      </c>
      <c r="V63" s="30" t="s">
        <v>392</v>
      </c>
      <c r="W63" s="30" t="s">
        <v>397</v>
      </c>
      <c r="X63" s="30" t="s">
        <v>131</v>
      </c>
      <c r="Y63" s="19" t="s">
        <v>54</v>
      </c>
      <c r="Z63" s="19" t="s">
        <v>131</v>
      </c>
      <c r="AA63" s="40">
        <v>1195020630</v>
      </c>
      <c r="AB63" s="70">
        <v>0.42030000000000001</v>
      </c>
      <c r="AC63" s="70">
        <f t="shared" si="0"/>
        <v>1.3541907575380735E-2</v>
      </c>
      <c r="AD63" s="22">
        <v>46030</v>
      </c>
      <c r="AE63" s="36">
        <v>1</v>
      </c>
      <c r="AF63" s="22">
        <f>AD63+14</f>
        <v>46044</v>
      </c>
      <c r="AG63" s="22">
        <v>46042</v>
      </c>
      <c r="AH63" s="22">
        <v>46049</v>
      </c>
      <c r="AI63" s="36">
        <v>1</v>
      </c>
      <c r="AJ63" s="22">
        <f>AH63+14</f>
        <v>46063</v>
      </c>
      <c r="AK63" s="22">
        <v>46059</v>
      </c>
      <c r="AL63" s="22">
        <v>46088</v>
      </c>
      <c r="AM63" s="36">
        <v>1</v>
      </c>
      <c r="AN63" s="22">
        <f>AL63+30</f>
        <v>46118</v>
      </c>
      <c r="AO63" s="19"/>
      <c r="AP63" s="19"/>
      <c r="AQ63" s="19"/>
      <c r="AR63" s="9"/>
      <c r="AS63" s="9"/>
    </row>
    <row r="64" spans="1:45" s="16" customFormat="1" ht="54" customHeight="1">
      <c r="A64" s="19">
        <v>61</v>
      </c>
      <c r="B64" s="19" t="s">
        <v>206</v>
      </c>
      <c r="C64" s="64" t="s">
        <v>207</v>
      </c>
      <c r="D64" s="62" t="s">
        <v>843</v>
      </c>
      <c r="E64" s="65" t="s">
        <v>846</v>
      </c>
      <c r="F64" s="19" t="s">
        <v>208</v>
      </c>
      <c r="G64" s="36" t="s">
        <v>860</v>
      </c>
      <c r="H64" s="36" t="s">
        <v>861</v>
      </c>
      <c r="I64" s="19">
        <v>24</v>
      </c>
      <c r="J64" s="19" t="s">
        <v>131</v>
      </c>
      <c r="K64" s="19" t="s">
        <v>398</v>
      </c>
      <c r="L64" s="19" t="s">
        <v>246</v>
      </c>
      <c r="M64" s="19" t="s">
        <v>368</v>
      </c>
      <c r="N64" s="19" t="s">
        <v>50</v>
      </c>
      <c r="O64" s="19" t="s">
        <v>114</v>
      </c>
      <c r="P64" s="19" t="s">
        <v>52</v>
      </c>
      <c r="Q64" s="45" t="s">
        <v>389</v>
      </c>
      <c r="R64" s="22" t="s">
        <v>41</v>
      </c>
      <c r="S64" s="30" t="s">
        <v>382</v>
      </c>
      <c r="T64" s="30" t="s">
        <v>382</v>
      </c>
      <c r="U64" s="30" t="s">
        <v>392</v>
      </c>
      <c r="V64" s="30" t="s">
        <v>399</v>
      </c>
      <c r="W64" s="30" t="s">
        <v>131</v>
      </c>
      <c r="X64" s="30" t="s">
        <v>131</v>
      </c>
      <c r="Y64" s="19" t="s">
        <v>54</v>
      </c>
      <c r="Z64" s="19" t="s">
        <v>131</v>
      </c>
      <c r="AA64" s="40">
        <v>1824941824</v>
      </c>
      <c r="AB64" s="70">
        <v>0.30359999999999998</v>
      </c>
      <c r="AC64" s="70">
        <f t="shared" si="0"/>
        <v>2.0680139648346269E-2</v>
      </c>
      <c r="AD64" s="22">
        <v>46030</v>
      </c>
      <c r="AE64" s="36">
        <v>1</v>
      </c>
      <c r="AF64" s="22">
        <f>AD64+14</f>
        <v>46044</v>
      </c>
      <c r="AG64" s="22">
        <v>46042</v>
      </c>
      <c r="AH64" s="22">
        <v>46049</v>
      </c>
      <c r="AI64" s="36">
        <v>1</v>
      </c>
      <c r="AJ64" s="22">
        <f>AH64+14</f>
        <v>46063</v>
      </c>
      <c r="AK64" s="22">
        <v>46059</v>
      </c>
      <c r="AL64" s="22">
        <v>46088</v>
      </c>
      <c r="AM64" s="36">
        <v>1</v>
      </c>
      <c r="AN64" s="22">
        <f>AL64+30</f>
        <v>46118</v>
      </c>
      <c r="AO64" s="19"/>
      <c r="AP64" s="19"/>
      <c r="AQ64" s="19"/>
      <c r="AR64" s="9"/>
      <c r="AS64" s="9"/>
    </row>
    <row r="65" spans="1:45" s="16" customFormat="1" ht="54" customHeight="1">
      <c r="A65" s="19"/>
      <c r="B65" s="19"/>
      <c r="C65" s="19"/>
      <c r="D65" s="20"/>
      <c r="E65" s="21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45"/>
      <c r="R65" s="22" t="s">
        <v>41</v>
      </c>
      <c r="S65" s="30"/>
      <c r="T65" s="30"/>
      <c r="U65" s="30"/>
      <c r="V65" s="30"/>
      <c r="W65" s="30"/>
      <c r="X65" s="30"/>
      <c r="Y65" s="19"/>
      <c r="Z65" s="19"/>
      <c r="AA65" s="40"/>
      <c r="AB65" s="40"/>
      <c r="AC65" s="40"/>
      <c r="AD65" s="19"/>
      <c r="AE65" s="36"/>
      <c r="AF65" s="22"/>
      <c r="AG65" s="19"/>
      <c r="AH65" s="19"/>
      <c r="AI65" s="36"/>
      <c r="AJ65" s="19"/>
      <c r="AK65" s="19"/>
      <c r="AL65" s="19"/>
      <c r="AM65" s="36"/>
      <c r="AN65" s="22"/>
      <c r="AO65" s="19"/>
      <c r="AP65" s="19"/>
      <c r="AQ65" s="19"/>
      <c r="AR65" s="9"/>
      <c r="AS65" s="9"/>
    </row>
    <row r="66" spans="1:45" s="16" customFormat="1" ht="54" customHeight="1">
      <c r="A66" s="19"/>
      <c r="B66" s="19"/>
      <c r="C66" s="19"/>
      <c r="D66" s="20"/>
      <c r="E66" s="21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45"/>
      <c r="R66" s="22" t="s">
        <v>41</v>
      </c>
      <c r="S66" s="30"/>
      <c r="T66" s="30"/>
      <c r="U66" s="30"/>
      <c r="V66" s="30"/>
      <c r="W66" s="30"/>
      <c r="X66" s="30"/>
      <c r="Y66" s="19"/>
      <c r="Z66" s="19"/>
      <c r="AA66" s="40"/>
      <c r="AB66" s="40"/>
      <c r="AC66" s="40"/>
      <c r="AD66" s="19"/>
      <c r="AE66" s="36"/>
      <c r="AF66" s="22"/>
      <c r="AG66" s="19"/>
      <c r="AH66" s="19"/>
      <c r="AI66" s="36"/>
      <c r="AJ66" s="19"/>
      <c r="AK66" s="19"/>
      <c r="AL66" s="19"/>
      <c r="AM66" s="36"/>
      <c r="AN66" s="22"/>
      <c r="AO66" s="19"/>
      <c r="AP66" s="19"/>
      <c r="AQ66" s="19"/>
      <c r="AR66" s="9"/>
      <c r="AS66" s="9"/>
    </row>
    <row r="67" spans="1:45" s="16" customFormat="1" ht="54" customHeight="1">
      <c r="A67" s="19"/>
      <c r="B67" s="19"/>
      <c r="C67" s="19"/>
      <c r="D67" s="20"/>
      <c r="E67" s="21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45"/>
      <c r="R67" s="22" t="s">
        <v>41</v>
      </c>
      <c r="S67" s="30"/>
      <c r="T67" s="30"/>
      <c r="U67" s="30"/>
      <c r="V67" s="30"/>
      <c r="W67" s="30"/>
      <c r="X67" s="30"/>
      <c r="Y67" s="19"/>
      <c r="Z67" s="19"/>
      <c r="AA67" s="40"/>
      <c r="AB67" s="40"/>
      <c r="AC67" s="40"/>
      <c r="AD67" s="19"/>
      <c r="AE67" s="36"/>
      <c r="AF67" s="22"/>
      <c r="AG67" s="19"/>
      <c r="AH67" s="19"/>
      <c r="AI67" s="36"/>
      <c r="AJ67" s="19"/>
      <c r="AK67" s="19"/>
      <c r="AL67" s="19"/>
      <c r="AM67" s="36"/>
      <c r="AN67" s="19"/>
      <c r="AO67" s="19"/>
      <c r="AP67" s="19"/>
      <c r="AQ67" s="19"/>
      <c r="AR67" s="9"/>
      <c r="AS67" s="9"/>
    </row>
    <row r="68" spans="1:45" s="16" customFormat="1" ht="54" customHeight="1">
      <c r="A68" s="19"/>
      <c r="B68" s="19"/>
      <c r="C68" s="19"/>
      <c r="D68" s="20"/>
      <c r="E68" s="21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45"/>
      <c r="R68" s="22" t="s">
        <v>41</v>
      </c>
      <c r="S68" s="30"/>
      <c r="T68" s="30"/>
      <c r="U68" s="30"/>
      <c r="V68" s="30"/>
      <c r="W68" s="30"/>
      <c r="X68" s="30"/>
      <c r="Y68" s="19"/>
      <c r="Z68" s="19"/>
      <c r="AA68" s="40"/>
      <c r="AB68" s="40"/>
      <c r="AC68" s="40"/>
      <c r="AD68" s="19"/>
      <c r="AE68" s="36"/>
      <c r="AF68" s="22"/>
      <c r="AG68" s="19"/>
      <c r="AH68" s="19"/>
      <c r="AI68" s="19"/>
      <c r="AJ68" s="19"/>
      <c r="AK68" s="19"/>
      <c r="AL68" s="19"/>
      <c r="AM68" s="36"/>
      <c r="AN68" s="19"/>
      <c r="AO68" s="19"/>
      <c r="AP68" s="19"/>
      <c r="AQ68" s="19"/>
      <c r="AR68" s="9"/>
      <c r="AS68" s="9"/>
    </row>
    <row r="69" spans="1:45" s="16" customFormat="1" ht="54" customHeight="1">
      <c r="A69" s="19"/>
      <c r="B69" s="19"/>
      <c r="C69" s="19"/>
      <c r="D69" s="20"/>
      <c r="E69" s="21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45"/>
      <c r="R69" s="22" t="s">
        <v>41</v>
      </c>
      <c r="S69" s="30"/>
      <c r="T69" s="30"/>
      <c r="U69" s="30"/>
      <c r="V69" s="30"/>
      <c r="W69" s="30"/>
      <c r="X69" s="30"/>
      <c r="Y69" s="19"/>
      <c r="Z69" s="19"/>
      <c r="AA69" s="40"/>
      <c r="AB69" s="40"/>
      <c r="AC69" s="40"/>
      <c r="AD69" s="19"/>
      <c r="AE69" s="36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9"/>
      <c r="AS69" s="9"/>
    </row>
    <row r="70" spans="1:45" s="16" customFormat="1" ht="54" customHeight="1">
      <c r="A70" s="19"/>
      <c r="B70" s="19"/>
      <c r="C70" s="19"/>
      <c r="D70" s="20"/>
      <c r="E70" s="21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45"/>
      <c r="R70" s="22" t="s">
        <v>41</v>
      </c>
      <c r="S70" s="30"/>
      <c r="T70" s="30"/>
      <c r="U70" s="30"/>
      <c r="V70" s="30"/>
      <c r="W70" s="30"/>
      <c r="X70" s="30"/>
      <c r="Y70" s="19"/>
      <c r="Z70" s="19"/>
      <c r="AA70" s="40"/>
      <c r="AB70" s="40"/>
      <c r="AC70" s="40"/>
      <c r="AD70" s="19"/>
      <c r="AE70" s="36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9"/>
      <c r="AS70" s="9"/>
    </row>
    <row r="71" spans="1:45" s="16" customFormat="1" ht="54" customHeight="1">
      <c r="A71" s="19"/>
      <c r="B71" s="19"/>
      <c r="C71" s="19"/>
      <c r="D71" s="20"/>
      <c r="E71" s="21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30"/>
      <c r="R71" s="22" t="s">
        <v>41</v>
      </c>
      <c r="S71" s="30"/>
      <c r="T71" s="30"/>
      <c r="U71" s="30"/>
      <c r="V71" s="30"/>
      <c r="W71" s="30"/>
      <c r="X71" s="30"/>
      <c r="Y71" s="19"/>
      <c r="Z71" s="19"/>
      <c r="AA71" s="40"/>
      <c r="AB71" s="40"/>
      <c r="AC71" s="40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9"/>
      <c r="AS71" s="9"/>
    </row>
    <row r="72" spans="1:45" s="16" customFormat="1" ht="54" customHeight="1">
      <c r="A72" s="19"/>
      <c r="B72" s="19"/>
      <c r="C72" s="19"/>
      <c r="D72" s="20"/>
      <c r="E72" s="21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30"/>
      <c r="R72" s="22" t="s">
        <v>41</v>
      </c>
      <c r="S72" s="30"/>
      <c r="T72" s="30"/>
      <c r="U72" s="30"/>
      <c r="V72" s="30"/>
      <c r="W72" s="30"/>
      <c r="X72" s="30"/>
      <c r="Y72" s="19"/>
      <c r="Z72" s="19"/>
      <c r="AA72" s="40"/>
      <c r="AB72" s="40"/>
      <c r="AC72" s="40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9"/>
      <c r="AS72" s="9"/>
    </row>
    <row r="73" spans="1:45" s="5" customFormat="1" ht="54" customHeight="1">
      <c r="A73" s="19"/>
      <c r="B73" s="23"/>
      <c r="C73" s="23"/>
      <c r="D73" s="24"/>
      <c r="E73" s="25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30"/>
      <c r="R73" s="22" t="s">
        <v>41</v>
      </c>
      <c r="S73" s="31"/>
      <c r="T73" s="31"/>
      <c r="U73" s="31"/>
      <c r="V73" s="31"/>
      <c r="W73" s="31"/>
      <c r="X73" s="31"/>
      <c r="Y73" s="23"/>
      <c r="Z73" s="23"/>
      <c r="AA73" s="41"/>
      <c r="AB73" s="41"/>
      <c r="AC73" s="41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4"/>
      <c r="AS73" s="4"/>
    </row>
    <row r="74" spans="1:45" s="5" customFormat="1" ht="43.75" customHeight="1">
      <c r="A74" s="9"/>
      <c r="B74" s="26"/>
      <c r="C74" s="26"/>
      <c r="D74" s="13"/>
      <c r="E74" s="27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8"/>
      <c r="S74" s="32"/>
      <c r="T74" s="32"/>
      <c r="U74" s="32"/>
      <c r="V74" s="32"/>
      <c r="W74" s="32"/>
      <c r="X74" s="32"/>
      <c r="Y74" s="26"/>
      <c r="Z74" s="26"/>
      <c r="AA74" s="29"/>
      <c r="AB74" s="29"/>
      <c r="AC74" s="29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4"/>
      <c r="AS74" s="4"/>
    </row>
    <row r="75" spans="1:45" s="6" customFormat="1" ht="14.5" customHeight="1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8" t="s">
        <v>44</v>
      </c>
      <c r="S75" s="33"/>
      <c r="T75" s="33"/>
      <c r="U75" s="33"/>
      <c r="V75" s="35"/>
      <c r="W75" s="35"/>
      <c r="X75" s="35"/>
      <c r="Y75" s="11"/>
      <c r="Z75" s="11"/>
      <c r="AA75" s="17"/>
      <c r="AB75" s="17"/>
      <c r="AC75" s="17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7"/>
      <c r="AS75" s="7"/>
    </row>
    <row r="76" spans="1:45" s="6" customFormat="1" ht="14.5" customHeight="1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8" t="s">
        <v>45</v>
      </c>
      <c r="S76" s="33"/>
      <c r="T76" s="33"/>
      <c r="U76" s="33"/>
      <c r="V76" s="35"/>
      <c r="W76" s="35"/>
      <c r="X76" s="35"/>
      <c r="Y76" s="11"/>
      <c r="Z76" s="11"/>
      <c r="AA76" s="17"/>
      <c r="AB76" s="17"/>
      <c r="AC76" s="17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7"/>
      <c r="AS76" s="7"/>
    </row>
    <row r="77" spans="1:45" s="6" customFormat="1" ht="14.5" customHeight="1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8" t="s">
        <v>46</v>
      </c>
      <c r="S77" s="33"/>
      <c r="T77" s="33"/>
      <c r="U77" s="33"/>
      <c r="V77" s="35"/>
      <c r="W77" s="35"/>
      <c r="X77" s="35"/>
      <c r="Y77" s="11"/>
      <c r="Z77" s="11"/>
      <c r="AA77" s="17"/>
      <c r="AB77" s="17"/>
      <c r="AC77" s="17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7"/>
      <c r="AS77" s="7"/>
    </row>
  </sheetData>
  <mergeCells count="43">
    <mergeCell ref="AN2:AO2"/>
    <mergeCell ref="AF2:AG2"/>
    <mergeCell ref="AH2:AH3"/>
    <mergeCell ref="AI2:AI3"/>
    <mergeCell ref="AJ2:AK2"/>
    <mergeCell ref="AL2:AL3"/>
    <mergeCell ref="AM2:AM3"/>
    <mergeCell ref="O2:O3"/>
    <mergeCell ref="AE2:AE3"/>
    <mergeCell ref="Q2:Q3"/>
    <mergeCell ref="R2:R3"/>
    <mergeCell ref="S2:S3"/>
    <mergeCell ref="T2:T3"/>
    <mergeCell ref="U2:U3"/>
    <mergeCell ref="V2:V3"/>
    <mergeCell ref="W2:W3"/>
    <mergeCell ref="X2:X3"/>
    <mergeCell ref="Y2:Z2"/>
    <mergeCell ref="AA2:AA3"/>
    <mergeCell ref="AD2:AD3"/>
    <mergeCell ref="AB2:AB3"/>
    <mergeCell ref="AC2:AC3"/>
    <mergeCell ref="J2:J3"/>
    <mergeCell ref="K2:K3"/>
    <mergeCell ref="L2:L3"/>
    <mergeCell ref="M2:M3"/>
    <mergeCell ref="N2:N3"/>
    <mergeCell ref="AQ1:AQ3"/>
    <mergeCell ref="A2:A3"/>
    <mergeCell ref="B2:B3"/>
    <mergeCell ref="C2:C3"/>
    <mergeCell ref="D2:D3"/>
    <mergeCell ref="A1:J1"/>
    <mergeCell ref="K1:R1"/>
    <mergeCell ref="S1:AA1"/>
    <mergeCell ref="AD1:AO1"/>
    <mergeCell ref="AP1:AP3"/>
    <mergeCell ref="P2:P3"/>
    <mergeCell ref="E2:E3"/>
    <mergeCell ref="F2:F3"/>
    <mergeCell ref="G2:G3"/>
    <mergeCell ref="H2:H3"/>
    <mergeCell ref="I2:I3"/>
  </mergeCells>
  <phoneticPr fontId="11" type="noConversion"/>
  <hyperlinks>
    <hyperlink ref="D4" r:id="rId1" xr:uid="{F59C7369-5016-44AA-873B-771FA2A05734}"/>
    <hyperlink ref="D8" r:id="rId2" xr:uid="{52D68A02-3C19-4075-AE1C-FA2D7DDEB630}"/>
    <hyperlink ref="D11" r:id="rId3" xr:uid="{F993B094-0CBD-4B8B-A7CF-C77DF8D148CD}"/>
    <hyperlink ref="D13" r:id="rId4" xr:uid="{CBEB52D0-94C4-4BEB-B8CD-AD8D76B9F439}"/>
    <hyperlink ref="D16" r:id="rId5" xr:uid="{46E0C8FC-FF31-4D9E-8D2C-78CE955573A8}"/>
    <hyperlink ref="D17" r:id="rId6" xr:uid="{E29F6C97-4062-4575-BF15-F4CD5575D21B}"/>
    <hyperlink ref="D12" r:id="rId7" xr:uid="{31769C51-CBD7-473C-BE35-62B868E2A62C}"/>
    <hyperlink ref="D14" r:id="rId8" xr:uid="{B1D28570-D76E-40A6-8FFF-2996A9DF8432}"/>
    <hyperlink ref="D15" r:id="rId9" xr:uid="{2DFBC2C8-B947-4AAF-B705-92D0E9A68F38}"/>
    <hyperlink ref="D18" r:id="rId10" xr:uid="{659A90EE-70E7-45E7-8DC6-213E2A2F2826}"/>
    <hyperlink ref="D19" r:id="rId11" xr:uid="{2A4A172C-ACD4-4C6E-85BC-85289BE50D95}"/>
    <hyperlink ref="D20" r:id="rId12" xr:uid="{B4A4A403-CC03-4644-8722-A1F768CC3658}"/>
    <hyperlink ref="D21" r:id="rId13" xr:uid="{D20FE548-C4E3-40F1-982D-3A7DA7D258C3}"/>
    <hyperlink ref="D22" r:id="rId14" xr:uid="{538E1BFA-271C-403E-A553-7913BDC29904}"/>
    <hyperlink ref="D23" r:id="rId15" xr:uid="{2BDDCB0B-AA1A-4DB7-8031-8338EA036C2F}"/>
    <hyperlink ref="D24" r:id="rId16" xr:uid="{E80F1F21-2867-4991-9440-792C968410AC}"/>
    <hyperlink ref="D25" r:id="rId17" xr:uid="{186B3FFC-3089-4F38-AAA8-6A001E0800FD}"/>
    <hyperlink ref="D26" r:id="rId18" xr:uid="{571B0245-CD5E-4A30-80DC-FE3C3ECC5303}"/>
    <hyperlink ref="D36" r:id="rId19" xr:uid="{4FA69B18-646C-4AAC-848A-3AED5F295001}"/>
    <hyperlink ref="D37" r:id="rId20" xr:uid="{725BE7A0-CA16-4380-B401-309917FCDDAF}"/>
    <hyperlink ref="D41" r:id="rId21" xr:uid="{65AE7FF6-C50B-4720-968A-A50C9F558ABD}"/>
    <hyperlink ref="D42" r:id="rId22" xr:uid="{898346B8-08F1-476C-9D22-3322D8D357AA}"/>
    <hyperlink ref="D44" r:id="rId23" xr:uid="{19656A1F-C7D4-4118-87CF-F872BC5F2111}"/>
    <hyperlink ref="D45" r:id="rId24" xr:uid="{CCDF1374-8F9D-4FB0-9C15-26B6DF798D5F}"/>
    <hyperlink ref="D46" r:id="rId25" xr:uid="{EF1B94C9-9724-4F15-8595-9EC9BE514AE0}"/>
    <hyperlink ref="D48" r:id="rId26" xr:uid="{3BE96298-F650-47D7-892E-DD48614D35A7}"/>
    <hyperlink ref="D49" r:id="rId27" xr:uid="{60ECAA8A-83B2-4F8B-8BAF-A39968696B3D}"/>
    <hyperlink ref="D50" r:id="rId28" xr:uid="{7E48C782-3254-422E-BCB5-907266818960}"/>
    <hyperlink ref="D57" r:id="rId29" xr:uid="{8146530C-2292-446D-8081-56ADF19318E9}"/>
    <hyperlink ref="D58" r:id="rId30" xr:uid="{A7EEC40B-A409-48BC-9FD3-15A135A5EA17}"/>
    <hyperlink ref="D60" r:id="rId31" xr:uid="{7CEA3EBB-1A52-491B-A64F-7B7C7B726349}"/>
    <hyperlink ref="D61" r:id="rId32" xr:uid="{211305B8-3B89-4506-85D4-8F2AE3FC5DBB}"/>
    <hyperlink ref="D64" r:id="rId33" xr:uid="{17AD7620-C59A-4386-AD93-CE6B18364DDF}"/>
    <hyperlink ref="D63" r:id="rId34" xr:uid="{B32B93F3-DC82-4A5E-AEB4-690841A2F57C}"/>
  </hyperlinks>
  <pageMargins left="0.7" right="0.7" top="0.75" bottom="0.75" header="0.3" footer="0.3"/>
  <pageSetup paperSize="9" scale="16" orientation="portrait" horizontalDpi="360" verticalDpi="360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44B9-66B6-433E-AEFC-8EC7854A0A42}">
  <dimension ref="A1:AS107"/>
  <sheetViews>
    <sheetView view="pageBreakPreview" topLeftCell="AA1" zoomScale="79" zoomScaleNormal="25" zoomScaleSheetLayoutView="78" workbookViewId="0">
      <selection activeCell="AO95" sqref="AO95"/>
    </sheetView>
  </sheetViews>
  <sheetFormatPr defaultRowHeight="14.5"/>
  <cols>
    <col min="1" max="1" width="5.453125" style="12" customWidth="1"/>
    <col min="2" max="2" width="58.1796875" style="60" customWidth="1"/>
    <col min="3" max="3" width="31.6328125" style="12" customWidth="1"/>
    <col min="4" max="4" width="25.54296875" style="12" customWidth="1"/>
    <col min="5" max="5" width="22.6328125" style="12" customWidth="1"/>
    <col min="6" max="6" width="36.08984375" style="60" customWidth="1"/>
    <col min="7" max="7" width="8.90625" style="12" customWidth="1"/>
    <col min="8" max="8" width="11.90625" style="12" customWidth="1"/>
    <col min="9" max="10" width="8.81640625" style="12"/>
    <col min="11" max="11" width="46.36328125" style="60" customWidth="1"/>
    <col min="12" max="12" width="13.6328125" style="60" customWidth="1"/>
    <col min="13" max="13" width="21.54296875" style="12" customWidth="1"/>
    <col min="14" max="14" width="11.6328125" style="12" customWidth="1"/>
    <col min="15" max="15" width="9.54296875" style="12" customWidth="1"/>
    <col min="16" max="16" width="13.08984375" style="12" customWidth="1"/>
    <col min="17" max="17" width="17.453125" style="12" customWidth="1"/>
    <col min="18" max="18" width="10.90625" style="12" customWidth="1"/>
    <col min="19" max="19" width="19.453125" style="34" customWidth="1"/>
    <col min="20" max="20" width="17.6328125" style="34" customWidth="1"/>
    <col min="21" max="21" width="18" style="34" customWidth="1"/>
    <col min="22" max="22" width="18.81640625" style="34" customWidth="1"/>
    <col min="23" max="23" width="18.453125" style="34" customWidth="1"/>
    <col min="24" max="24" width="16.6328125" style="34" customWidth="1"/>
    <col min="25" max="26" width="8.81640625" style="60"/>
    <col min="27" max="27" width="22.6328125" style="61" customWidth="1"/>
    <col min="28" max="28" width="13.1796875" style="61" customWidth="1"/>
    <col min="29" max="29" width="11.81640625" style="61" customWidth="1"/>
    <col min="30" max="30" width="11.36328125" style="12" customWidth="1"/>
    <col min="31" max="31" width="8.81640625" style="12" customWidth="1"/>
    <col min="32" max="32" width="11.54296875" style="12" customWidth="1"/>
    <col min="33" max="33" width="12.54296875" style="12" customWidth="1"/>
    <col min="34" max="34" width="12.36328125" style="12" customWidth="1"/>
    <col min="35" max="35" width="8.81640625" style="12"/>
    <col min="36" max="36" width="11" style="12" customWidth="1"/>
    <col min="37" max="37" width="13.6328125" style="12" customWidth="1"/>
    <col min="38" max="38" width="12.1796875" style="12" customWidth="1"/>
    <col min="39" max="39" width="10.81640625" style="12" customWidth="1"/>
    <col min="40" max="40" width="16.90625" style="12" customWidth="1"/>
    <col min="41" max="41" width="13.08984375" style="12" customWidth="1"/>
    <col min="42" max="42" width="15.81640625" style="12" customWidth="1"/>
    <col min="43" max="43" width="11.54296875" style="12" customWidth="1"/>
  </cols>
  <sheetData>
    <row r="1" spans="1:45" s="48" customFormat="1" ht="31.75" customHeight="1" thickBot="1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9" t="s">
        <v>1</v>
      </c>
      <c r="L1" s="90"/>
      <c r="M1" s="90"/>
      <c r="N1" s="90"/>
      <c r="O1" s="90"/>
      <c r="P1" s="90"/>
      <c r="Q1" s="90"/>
      <c r="R1" s="91"/>
      <c r="S1" s="89" t="s">
        <v>2</v>
      </c>
      <c r="T1" s="90"/>
      <c r="U1" s="90"/>
      <c r="V1" s="90"/>
      <c r="W1" s="90"/>
      <c r="X1" s="90"/>
      <c r="Y1" s="90"/>
      <c r="Z1" s="90"/>
      <c r="AA1" s="91"/>
      <c r="AB1" s="47"/>
      <c r="AC1" s="47"/>
      <c r="AD1" s="88" t="s">
        <v>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92" t="s">
        <v>96</v>
      </c>
      <c r="AQ1" s="83" t="s">
        <v>4</v>
      </c>
    </row>
    <row r="2" spans="1:45" s="51" customFormat="1" ht="13.5" customHeight="1" thickBot="1">
      <c r="A2" s="85" t="s">
        <v>5</v>
      </c>
      <c r="B2" s="85" t="s">
        <v>6</v>
      </c>
      <c r="C2" s="85" t="s">
        <v>7</v>
      </c>
      <c r="D2" s="85" t="s">
        <v>8</v>
      </c>
      <c r="E2" s="85" t="s">
        <v>9</v>
      </c>
      <c r="F2" s="85" t="s">
        <v>10</v>
      </c>
      <c r="G2" s="85" t="s">
        <v>11</v>
      </c>
      <c r="H2" s="85" t="s">
        <v>12</v>
      </c>
      <c r="I2" s="85" t="s">
        <v>13</v>
      </c>
      <c r="J2" s="85" t="s">
        <v>14</v>
      </c>
      <c r="K2" s="85" t="s">
        <v>15</v>
      </c>
      <c r="L2" s="85" t="s">
        <v>16</v>
      </c>
      <c r="M2" s="85" t="s">
        <v>17</v>
      </c>
      <c r="N2" s="85" t="s">
        <v>18</v>
      </c>
      <c r="O2" s="85" t="s">
        <v>19</v>
      </c>
      <c r="P2" s="85" t="s">
        <v>20</v>
      </c>
      <c r="Q2" s="85" t="s">
        <v>21</v>
      </c>
      <c r="R2" s="85" t="s">
        <v>22</v>
      </c>
      <c r="S2" s="85" t="s">
        <v>23</v>
      </c>
      <c r="T2" s="85" t="s">
        <v>24</v>
      </c>
      <c r="U2" s="85" t="s">
        <v>57</v>
      </c>
      <c r="V2" s="93" t="s">
        <v>25</v>
      </c>
      <c r="W2" s="93" t="s">
        <v>26</v>
      </c>
      <c r="X2" s="95" t="s">
        <v>27</v>
      </c>
      <c r="Y2" s="85" t="s">
        <v>28</v>
      </c>
      <c r="Z2" s="85"/>
      <c r="AA2" s="95" t="s">
        <v>29</v>
      </c>
      <c r="AB2" s="86" t="s">
        <v>784</v>
      </c>
      <c r="AC2" s="86" t="s">
        <v>838</v>
      </c>
      <c r="AD2" s="85" t="s">
        <v>30</v>
      </c>
      <c r="AE2" s="85" t="s">
        <v>31</v>
      </c>
      <c r="AF2" s="85" t="s">
        <v>32</v>
      </c>
      <c r="AG2" s="85"/>
      <c r="AH2" s="85" t="s">
        <v>33</v>
      </c>
      <c r="AI2" s="85" t="s">
        <v>34</v>
      </c>
      <c r="AJ2" s="85" t="s">
        <v>35</v>
      </c>
      <c r="AK2" s="85"/>
      <c r="AL2" s="85" t="s">
        <v>36</v>
      </c>
      <c r="AM2" s="85" t="s">
        <v>37</v>
      </c>
      <c r="AN2" s="85" t="s">
        <v>38</v>
      </c>
      <c r="AO2" s="85"/>
      <c r="AP2" s="85"/>
      <c r="AQ2" s="84"/>
      <c r="AR2" s="50"/>
      <c r="AS2" s="50"/>
    </row>
    <row r="3" spans="1:45" s="51" customFormat="1" ht="26" customHeight="1" thickBo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94"/>
      <c r="W3" s="94"/>
      <c r="X3" s="95"/>
      <c r="Y3" s="49" t="s">
        <v>39</v>
      </c>
      <c r="Z3" s="49" t="s">
        <v>40</v>
      </c>
      <c r="AA3" s="95"/>
      <c r="AB3" s="87"/>
      <c r="AC3" s="87"/>
      <c r="AD3" s="85"/>
      <c r="AE3" s="85"/>
      <c r="AF3" s="49" t="s">
        <v>39</v>
      </c>
      <c r="AG3" s="52" t="s">
        <v>40</v>
      </c>
      <c r="AH3" s="85"/>
      <c r="AI3" s="85"/>
      <c r="AJ3" s="49" t="s">
        <v>39</v>
      </c>
      <c r="AK3" s="52" t="s">
        <v>40</v>
      </c>
      <c r="AL3" s="85"/>
      <c r="AM3" s="85"/>
      <c r="AN3" s="49" t="s">
        <v>39</v>
      </c>
      <c r="AO3" s="52" t="s">
        <v>40</v>
      </c>
      <c r="AP3" s="85"/>
      <c r="AQ3" s="84"/>
      <c r="AR3" s="50"/>
      <c r="AS3" s="50"/>
    </row>
    <row r="4" spans="1:45" s="16" customFormat="1" ht="54" customHeight="1">
      <c r="A4" s="19">
        <v>2</v>
      </c>
      <c r="B4" s="53" t="s">
        <v>106</v>
      </c>
      <c r="C4" s="53" t="s">
        <v>792</v>
      </c>
      <c r="D4" s="37" t="s">
        <v>788</v>
      </c>
      <c r="E4" s="37" t="s">
        <v>787</v>
      </c>
      <c r="F4" s="53" t="s">
        <v>75</v>
      </c>
      <c r="G4" s="36" t="s">
        <v>860</v>
      </c>
      <c r="H4" s="36" t="s">
        <v>862</v>
      </c>
      <c r="I4" s="19" t="s">
        <v>868</v>
      </c>
      <c r="J4" s="19" t="s">
        <v>131</v>
      </c>
      <c r="K4" s="53" t="s">
        <v>402</v>
      </c>
      <c r="L4" s="19" t="s">
        <v>86</v>
      </c>
      <c r="M4" s="19" t="s">
        <v>185</v>
      </c>
      <c r="N4" s="53" t="s">
        <v>50</v>
      </c>
      <c r="O4" s="53" t="s">
        <v>400</v>
      </c>
      <c r="P4" s="53" t="s">
        <v>403</v>
      </c>
      <c r="Q4" s="53" t="s">
        <v>404</v>
      </c>
      <c r="R4" s="22" t="s">
        <v>41</v>
      </c>
      <c r="S4" s="53" t="s">
        <v>405</v>
      </c>
      <c r="T4" s="53" t="s">
        <v>405</v>
      </c>
      <c r="U4" s="53" t="s">
        <v>406</v>
      </c>
      <c r="V4" s="53" t="s">
        <v>407</v>
      </c>
      <c r="W4" s="53" t="s">
        <v>408</v>
      </c>
      <c r="X4" s="53" t="s">
        <v>408</v>
      </c>
      <c r="Y4" s="19">
        <v>7</v>
      </c>
      <c r="Z4" s="19">
        <v>4</v>
      </c>
      <c r="AA4" s="54">
        <v>25000000</v>
      </c>
      <c r="AB4" s="68">
        <v>0.47</v>
      </c>
      <c r="AC4" s="67">
        <v>2.3000000000000001E-4</v>
      </c>
      <c r="AD4" s="22"/>
      <c r="AE4" s="19"/>
      <c r="AF4" s="19"/>
      <c r="AG4" s="19"/>
      <c r="AH4" s="19"/>
      <c r="AI4" s="19"/>
      <c r="AJ4" s="19"/>
      <c r="AK4" s="19"/>
      <c r="AL4" s="22" t="s">
        <v>875</v>
      </c>
      <c r="AM4" s="19">
        <v>1</v>
      </c>
      <c r="AN4" s="22">
        <f>AL4+30</f>
        <v>45469</v>
      </c>
      <c r="AO4" s="22" t="s">
        <v>876</v>
      </c>
      <c r="AP4" s="19"/>
      <c r="AQ4" s="19"/>
      <c r="AR4" s="9"/>
      <c r="AS4" s="9"/>
    </row>
    <row r="5" spans="1:45" s="16" customFormat="1" ht="54" customHeight="1">
      <c r="A5" s="19">
        <v>3</v>
      </c>
      <c r="B5" s="53" t="s">
        <v>339</v>
      </c>
      <c r="C5" s="53" t="s">
        <v>793</v>
      </c>
      <c r="D5" s="37" t="s">
        <v>789</v>
      </c>
      <c r="E5" s="37" t="s">
        <v>790</v>
      </c>
      <c r="F5" s="53" t="s">
        <v>111</v>
      </c>
      <c r="G5" s="36" t="s">
        <v>860</v>
      </c>
      <c r="H5" s="36" t="s">
        <v>862</v>
      </c>
      <c r="I5" s="19" t="s">
        <v>868</v>
      </c>
      <c r="J5" s="36" t="s">
        <v>131</v>
      </c>
      <c r="K5" s="53" t="s">
        <v>409</v>
      </c>
      <c r="L5" s="19" t="s">
        <v>49</v>
      </c>
      <c r="M5" s="19" t="s">
        <v>368</v>
      </c>
      <c r="N5" s="53" t="s">
        <v>50</v>
      </c>
      <c r="O5" s="53" t="s">
        <v>400</v>
      </c>
      <c r="P5" s="53" t="s">
        <v>64</v>
      </c>
      <c r="Q5" s="53" t="s">
        <v>404</v>
      </c>
      <c r="R5" s="22" t="s">
        <v>41</v>
      </c>
      <c r="S5" s="53" t="s">
        <v>410</v>
      </c>
      <c r="T5" s="53" t="s">
        <v>410</v>
      </c>
      <c r="U5" s="53" t="s">
        <v>411</v>
      </c>
      <c r="V5" s="53" t="s">
        <v>412</v>
      </c>
      <c r="W5" s="53" t="s">
        <v>413</v>
      </c>
      <c r="X5" s="53" t="s">
        <v>414</v>
      </c>
      <c r="Y5" s="19">
        <v>25</v>
      </c>
      <c r="Z5" s="19">
        <v>44</v>
      </c>
      <c r="AA5" s="54">
        <v>550000000</v>
      </c>
      <c r="AB5" s="68">
        <v>0.31</v>
      </c>
      <c r="AC5" s="67">
        <v>5.1000000000000004E-3</v>
      </c>
      <c r="AD5" s="22"/>
      <c r="AE5" s="19"/>
      <c r="AF5" s="22"/>
      <c r="AG5" s="22"/>
      <c r="AH5" s="22"/>
      <c r="AI5" s="19"/>
      <c r="AJ5" s="22"/>
      <c r="AK5" s="22"/>
      <c r="AL5" s="22" t="s">
        <v>888</v>
      </c>
      <c r="AM5" s="19">
        <v>1</v>
      </c>
      <c r="AN5" s="22">
        <f>AL5+30</f>
        <v>45399</v>
      </c>
      <c r="AO5" s="22" t="s">
        <v>887</v>
      </c>
      <c r="AP5" s="19"/>
      <c r="AQ5" s="19"/>
      <c r="AR5" s="9"/>
      <c r="AS5" s="9"/>
    </row>
    <row r="6" spans="1:45" s="16" customFormat="1" ht="54" customHeight="1">
      <c r="A6" s="19">
        <v>4</v>
      </c>
      <c r="B6" s="53" t="s">
        <v>415</v>
      </c>
      <c r="C6" s="53" t="s">
        <v>794</v>
      </c>
      <c r="D6" s="63" t="s">
        <v>795</v>
      </c>
      <c r="E6" s="37" t="s">
        <v>131</v>
      </c>
      <c r="F6" s="53" t="s">
        <v>416</v>
      </c>
      <c r="G6" s="36" t="s">
        <v>860</v>
      </c>
      <c r="H6" s="36" t="s">
        <v>865</v>
      </c>
      <c r="I6" s="19">
        <v>4</v>
      </c>
      <c r="J6" s="36" t="s">
        <v>131</v>
      </c>
      <c r="K6" s="53" t="s">
        <v>417</v>
      </c>
      <c r="L6" s="19" t="s">
        <v>86</v>
      </c>
      <c r="M6" s="19" t="s">
        <v>368</v>
      </c>
      <c r="N6" s="53" t="s">
        <v>50</v>
      </c>
      <c r="O6" s="53" t="s">
        <v>400</v>
      </c>
      <c r="P6" s="53" t="s">
        <v>64</v>
      </c>
      <c r="Q6" s="53" t="s">
        <v>404</v>
      </c>
      <c r="R6" s="22" t="s">
        <v>41</v>
      </c>
      <c r="S6" s="53" t="s">
        <v>418</v>
      </c>
      <c r="T6" s="53" t="s">
        <v>418</v>
      </c>
      <c r="U6" s="53" t="s">
        <v>419</v>
      </c>
      <c r="V6" s="53" t="s">
        <v>420</v>
      </c>
      <c r="W6" s="53" t="s">
        <v>421</v>
      </c>
      <c r="X6" s="53" t="s">
        <v>421</v>
      </c>
      <c r="Y6" s="19">
        <v>27</v>
      </c>
      <c r="Z6" s="19">
        <v>32</v>
      </c>
      <c r="AA6" s="54">
        <v>1321686000</v>
      </c>
      <c r="AB6" s="68">
        <v>0.19</v>
      </c>
      <c r="AC6" s="67">
        <v>1.24E-2</v>
      </c>
      <c r="AD6" s="22" t="s">
        <v>895</v>
      </c>
      <c r="AE6" s="19">
        <v>1</v>
      </c>
      <c r="AF6" s="22">
        <f>AD6+14</f>
        <v>45327</v>
      </c>
      <c r="AG6" s="22" t="s">
        <v>892</v>
      </c>
      <c r="AH6" s="22" t="s">
        <v>895</v>
      </c>
      <c r="AI6" s="19">
        <v>1</v>
      </c>
      <c r="AJ6" s="22">
        <f>AH6+14</f>
        <v>45327</v>
      </c>
      <c r="AK6" s="22" t="s">
        <v>893</v>
      </c>
      <c r="AL6" s="22" t="s">
        <v>896</v>
      </c>
      <c r="AM6" s="19">
        <v>1</v>
      </c>
      <c r="AN6" s="22">
        <f>AL6+30</f>
        <v>45385</v>
      </c>
      <c r="AO6" s="22" t="s">
        <v>894</v>
      </c>
      <c r="AP6" s="19"/>
      <c r="AQ6" s="19"/>
      <c r="AR6" s="9"/>
      <c r="AS6" s="9"/>
    </row>
    <row r="7" spans="1:45" s="16" customFormat="1" ht="54" customHeight="1">
      <c r="A7" s="19">
        <v>5</v>
      </c>
      <c r="B7" s="53" t="s">
        <v>422</v>
      </c>
      <c r="C7" s="53" t="s">
        <v>553</v>
      </c>
      <c r="D7" s="37" t="s">
        <v>131</v>
      </c>
      <c r="E7" s="37" t="s">
        <v>796</v>
      </c>
      <c r="F7" s="53" t="s">
        <v>423</v>
      </c>
      <c r="G7" s="36" t="s">
        <v>860</v>
      </c>
      <c r="H7" s="36" t="s">
        <v>861</v>
      </c>
      <c r="I7" s="19">
        <v>14</v>
      </c>
      <c r="J7" s="19" t="s">
        <v>131</v>
      </c>
      <c r="K7" s="53" t="s">
        <v>424</v>
      </c>
      <c r="L7" s="19" t="s">
        <v>86</v>
      </c>
      <c r="M7" s="19" t="s">
        <v>368</v>
      </c>
      <c r="N7" s="53" t="s">
        <v>50</v>
      </c>
      <c r="O7" s="53" t="s">
        <v>400</v>
      </c>
      <c r="P7" s="53" t="s">
        <v>64</v>
      </c>
      <c r="Q7" s="53" t="s">
        <v>404</v>
      </c>
      <c r="R7" s="22" t="s">
        <v>41</v>
      </c>
      <c r="S7" s="53" t="s">
        <v>425</v>
      </c>
      <c r="T7" s="53" t="s">
        <v>425</v>
      </c>
      <c r="U7" s="53" t="s">
        <v>426</v>
      </c>
      <c r="V7" s="53" t="s">
        <v>427</v>
      </c>
      <c r="W7" s="53" t="s">
        <v>428</v>
      </c>
      <c r="X7" s="53" t="s">
        <v>869</v>
      </c>
      <c r="Y7" s="19">
        <v>27</v>
      </c>
      <c r="Z7" s="19">
        <v>36</v>
      </c>
      <c r="AA7" s="54">
        <v>1530000000</v>
      </c>
      <c r="AB7" s="68">
        <v>0.21</v>
      </c>
      <c r="AC7" s="67">
        <v>1.44E-2</v>
      </c>
      <c r="AD7" s="22" t="s">
        <v>907</v>
      </c>
      <c r="AE7" s="19">
        <v>1</v>
      </c>
      <c r="AF7" s="22">
        <f>AD7+14</f>
        <v>45313</v>
      </c>
      <c r="AG7" s="22" t="s">
        <v>904</v>
      </c>
      <c r="AH7" s="73" t="s">
        <v>908</v>
      </c>
      <c r="AI7" s="19">
        <v>1</v>
      </c>
      <c r="AJ7" s="22">
        <f>AH7+14</f>
        <v>45329</v>
      </c>
      <c r="AK7" s="22" t="s">
        <v>905</v>
      </c>
      <c r="AL7" s="22" t="s">
        <v>906</v>
      </c>
      <c r="AM7" s="19">
        <v>1</v>
      </c>
      <c r="AN7" s="22">
        <f>AL7+30</f>
        <v>45379</v>
      </c>
      <c r="AO7" s="22" t="s">
        <v>906</v>
      </c>
      <c r="AP7" s="19"/>
      <c r="AQ7" s="19"/>
      <c r="AR7" s="9"/>
      <c r="AS7" s="9"/>
    </row>
    <row r="8" spans="1:45" s="16" customFormat="1" ht="54" customHeight="1">
      <c r="A8" s="19">
        <v>6</v>
      </c>
      <c r="B8" s="53" t="s">
        <v>106</v>
      </c>
      <c r="C8" s="53" t="s">
        <v>792</v>
      </c>
      <c r="D8" s="37" t="s">
        <v>788</v>
      </c>
      <c r="E8" s="37" t="s">
        <v>787</v>
      </c>
      <c r="F8" s="53" t="s">
        <v>75</v>
      </c>
      <c r="G8" s="36" t="s">
        <v>860</v>
      </c>
      <c r="H8" s="36" t="s">
        <v>862</v>
      </c>
      <c r="I8" s="19" t="s">
        <v>868</v>
      </c>
      <c r="J8" s="36" t="s">
        <v>131</v>
      </c>
      <c r="K8" s="53" t="s">
        <v>429</v>
      </c>
      <c r="L8" s="19" t="s">
        <v>86</v>
      </c>
      <c r="M8" s="19" t="s">
        <v>185</v>
      </c>
      <c r="N8" s="53" t="s">
        <v>50</v>
      </c>
      <c r="O8" s="53" t="s">
        <v>400</v>
      </c>
      <c r="P8" s="53" t="s">
        <v>403</v>
      </c>
      <c r="Q8" s="53" t="s">
        <v>404</v>
      </c>
      <c r="R8" s="22" t="s">
        <v>41</v>
      </c>
      <c r="S8" s="53" t="s">
        <v>430</v>
      </c>
      <c r="T8" s="53" t="s">
        <v>430</v>
      </c>
      <c r="U8" s="53" t="s">
        <v>431</v>
      </c>
      <c r="V8" s="53" t="s">
        <v>431</v>
      </c>
      <c r="W8" s="53" t="s">
        <v>432</v>
      </c>
      <c r="X8" s="53" t="s">
        <v>463</v>
      </c>
      <c r="Y8" s="19">
        <v>25</v>
      </c>
      <c r="Z8" s="19"/>
      <c r="AA8" s="54">
        <v>475705506</v>
      </c>
      <c r="AB8" s="68">
        <v>0.3</v>
      </c>
      <c r="AC8" s="67">
        <v>4.0000000000000001E-3</v>
      </c>
      <c r="AD8" s="22"/>
      <c r="AE8" s="19"/>
      <c r="AF8" s="22"/>
      <c r="AG8" s="22"/>
      <c r="AH8" s="22"/>
      <c r="AI8" s="19"/>
      <c r="AJ8" s="19"/>
      <c r="AK8" s="22"/>
      <c r="AL8" s="22" t="s">
        <v>1106</v>
      </c>
      <c r="AM8" s="19"/>
      <c r="AN8" s="22">
        <v>45469</v>
      </c>
      <c r="AO8" s="22" t="s">
        <v>656</v>
      </c>
      <c r="AP8" s="19"/>
      <c r="AQ8" s="19"/>
      <c r="AR8" s="9"/>
      <c r="AS8" s="9"/>
    </row>
    <row r="9" spans="1:45" s="16" customFormat="1" ht="54" customHeight="1">
      <c r="A9" s="19">
        <v>7</v>
      </c>
      <c r="B9" s="53" t="s">
        <v>123</v>
      </c>
      <c r="C9" s="53" t="s">
        <v>124</v>
      </c>
      <c r="D9" s="63" t="s">
        <v>797</v>
      </c>
      <c r="E9" s="37" t="s">
        <v>798</v>
      </c>
      <c r="F9" s="53" t="s">
        <v>75</v>
      </c>
      <c r="G9" s="36" t="s">
        <v>860</v>
      </c>
      <c r="H9" s="36" t="s">
        <v>861</v>
      </c>
      <c r="I9" s="19">
        <v>6</v>
      </c>
      <c r="J9" s="36" t="s">
        <v>131</v>
      </c>
      <c r="K9" s="53" t="s">
        <v>125</v>
      </c>
      <c r="L9" s="19" t="s">
        <v>86</v>
      </c>
      <c r="M9" s="19" t="s">
        <v>368</v>
      </c>
      <c r="N9" s="53" t="s">
        <v>50</v>
      </c>
      <c r="O9" s="53" t="s">
        <v>400</v>
      </c>
      <c r="P9" s="53" t="s">
        <v>64</v>
      </c>
      <c r="Q9" s="53" t="s">
        <v>433</v>
      </c>
      <c r="R9" s="22" t="s">
        <v>41</v>
      </c>
      <c r="S9" s="53" t="s">
        <v>131</v>
      </c>
      <c r="T9" s="53" t="s">
        <v>131</v>
      </c>
      <c r="U9" s="53" t="s">
        <v>131</v>
      </c>
      <c r="V9" s="53" t="s">
        <v>131</v>
      </c>
      <c r="W9" s="53" t="s">
        <v>131</v>
      </c>
      <c r="X9" s="53"/>
      <c r="Y9" s="19">
        <v>28</v>
      </c>
      <c r="Z9" s="19">
        <v>135</v>
      </c>
      <c r="AA9" s="54">
        <v>7500000000</v>
      </c>
      <c r="AB9" s="68">
        <v>5.3400000000000003E-2</v>
      </c>
      <c r="AC9" s="67">
        <v>7.4999999999999997E-2</v>
      </c>
      <c r="AD9" s="22"/>
      <c r="AE9" s="19"/>
      <c r="AF9" s="22"/>
      <c r="AG9" s="22"/>
      <c r="AH9" s="22"/>
      <c r="AI9" s="19"/>
      <c r="AJ9" s="19"/>
      <c r="AK9" s="22"/>
      <c r="AL9" s="19" t="s">
        <v>913</v>
      </c>
      <c r="AM9" s="19">
        <v>1</v>
      </c>
      <c r="AN9" s="74">
        <f>AL9+30</f>
        <v>45395</v>
      </c>
      <c r="AO9" s="19" t="s">
        <v>913</v>
      </c>
      <c r="AP9" s="19"/>
      <c r="AQ9" s="19"/>
      <c r="AR9" s="9"/>
      <c r="AS9" s="9"/>
    </row>
    <row r="10" spans="1:45" s="16" customFormat="1" ht="54" customHeight="1">
      <c r="A10" s="19">
        <v>8</v>
      </c>
      <c r="B10" s="53" t="s">
        <v>434</v>
      </c>
      <c r="C10" s="53" t="s">
        <v>799</v>
      </c>
      <c r="D10" s="37" t="s">
        <v>131</v>
      </c>
      <c r="E10" s="37" t="s">
        <v>800</v>
      </c>
      <c r="F10" s="53" t="s">
        <v>76</v>
      </c>
      <c r="G10" s="36" t="s">
        <v>860</v>
      </c>
      <c r="H10" s="36" t="s">
        <v>862</v>
      </c>
      <c r="I10" s="19">
        <v>12</v>
      </c>
      <c r="J10" s="19" t="s">
        <v>131</v>
      </c>
      <c r="K10" s="53" t="s">
        <v>435</v>
      </c>
      <c r="L10" s="19" t="s">
        <v>49</v>
      </c>
      <c r="M10" s="19" t="s">
        <v>368</v>
      </c>
      <c r="N10" s="53" t="s">
        <v>50</v>
      </c>
      <c r="O10" s="53" t="s">
        <v>400</v>
      </c>
      <c r="P10" s="53" t="s">
        <v>64</v>
      </c>
      <c r="Q10" s="53" t="s">
        <v>433</v>
      </c>
      <c r="R10" s="22" t="s">
        <v>41</v>
      </c>
      <c r="S10" s="53" t="s">
        <v>436</v>
      </c>
      <c r="T10" s="53" t="s">
        <v>436</v>
      </c>
      <c r="U10" s="53" t="s">
        <v>437</v>
      </c>
      <c r="V10" s="53" t="s">
        <v>438</v>
      </c>
      <c r="W10" s="53" t="s">
        <v>439</v>
      </c>
      <c r="X10" s="53" t="s">
        <v>468</v>
      </c>
      <c r="Y10" s="19">
        <v>28</v>
      </c>
      <c r="Z10" s="19">
        <v>16</v>
      </c>
      <c r="AA10" s="54">
        <v>306694156</v>
      </c>
      <c r="AB10" s="68">
        <v>0.3</v>
      </c>
      <c r="AC10" s="67">
        <v>3.0999999999999999E-3</v>
      </c>
      <c r="AD10" s="19" t="s">
        <v>920</v>
      </c>
      <c r="AE10" s="19">
        <v>1</v>
      </c>
      <c r="AF10" s="22">
        <f>AD10+14</f>
        <v>45335</v>
      </c>
      <c r="AG10" s="19" t="s">
        <v>919</v>
      </c>
      <c r="AH10" s="22"/>
      <c r="AI10" s="19"/>
      <c r="AJ10" s="19"/>
      <c r="AK10" s="22"/>
      <c r="AL10" s="19" t="s">
        <v>922</v>
      </c>
      <c r="AM10" s="19">
        <v>1</v>
      </c>
      <c r="AN10" s="22">
        <f>AL10+30</f>
        <v>45397</v>
      </c>
      <c r="AO10" s="19" t="s">
        <v>921</v>
      </c>
      <c r="AP10" s="19"/>
      <c r="AQ10" s="19"/>
      <c r="AR10" s="9"/>
      <c r="AS10" s="9"/>
    </row>
    <row r="11" spans="1:45" s="16" customFormat="1" ht="54" customHeight="1">
      <c r="A11" s="19">
        <v>9</v>
      </c>
      <c r="B11" s="53" t="s">
        <v>440</v>
      </c>
      <c r="C11" s="53" t="s">
        <v>170</v>
      </c>
      <c r="D11" s="63" t="s">
        <v>801</v>
      </c>
      <c r="E11" s="37" t="s">
        <v>802</v>
      </c>
      <c r="F11" s="53" t="s">
        <v>171</v>
      </c>
      <c r="G11" s="36" t="s">
        <v>860</v>
      </c>
      <c r="H11" s="36" t="s">
        <v>861</v>
      </c>
      <c r="I11" s="19">
        <v>20</v>
      </c>
      <c r="J11" s="36" t="s">
        <v>131</v>
      </c>
      <c r="K11" s="53" t="s">
        <v>441</v>
      </c>
      <c r="L11" s="19" t="s">
        <v>86</v>
      </c>
      <c r="M11" s="19" t="s">
        <v>185</v>
      </c>
      <c r="N11" s="53" t="s">
        <v>113</v>
      </c>
      <c r="O11" s="53" t="s">
        <v>400</v>
      </c>
      <c r="P11" s="53" t="s">
        <v>403</v>
      </c>
      <c r="Q11" s="53" t="s">
        <v>433</v>
      </c>
      <c r="R11" s="22" t="s">
        <v>41</v>
      </c>
      <c r="S11" s="53" t="s">
        <v>131</v>
      </c>
      <c r="T11" s="53" t="s">
        <v>131</v>
      </c>
      <c r="U11" s="53" t="s">
        <v>131</v>
      </c>
      <c r="V11" s="53" t="s">
        <v>131</v>
      </c>
      <c r="W11" s="53" t="s">
        <v>131</v>
      </c>
      <c r="X11" s="53"/>
      <c r="Y11" s="19"/>
      <c r="Z11" s="19">
        <v>11</v>
      </c>
      <c r="AA11" s="54">
        <v>151971799</v>
      </c>
      <c r="AB11" s="68">
        <v>0.2</v>
      </c>
      <c r="AC11" s="67">
        <v>1.5E-3</v>
      </c>
      <c r="AD11" s="19"/>
      <c r="AE11" s="19"/>
      <c r="AF11" s="22"/>
      <c r="AG11" s="19"/>
      <c r="AH11" s="22"/>
      <c r="AI11" s="19"/>
      <c r="AJ11" s="19"/>
      <c r="AK11" s="22"/>
      <c r="AL11" s="22">
        <v>45497</v>
      </c>
      <c r="AM11" s="19"/>
      <c r="AN11" s="22">
        <f>AL11+30</f>
        <v>45527</v>
      </c>
      <c r="AO11" s="22">
        <v>45498</v>
      </c>
      <c r="AP11" s="19"/>
      <c r="AQ11" s="19"/>
      <c r="AR11" s="9"/>
      <c r="AS11" s="9"/>
    </row>
    <row r="12" spans="1:45" s="16" customFormat="1" ht="54" customHeight="1">
      <c r="A12" s="19">
        <v>10</v>
      </c>
      <c r="B12" s="53" t="s">
        <v>442</v>
      </c>
      <c r="C12" s="53" t="s">
        <v>803</v>
      </c>
      <c r="D12" s="37" t="s">
        <v>131</v>
      </c>
      <c r="E12" s="37" t="s">
        <v>804</v>
      </c>
      <c r="F12" s="53" t="s">
        <v>443</v>
      </c>
      <c r="G12" s="36" t="s">
        <v>860</v>
      </c>
      <c r="H12" s="36" t="s">
        <v>861</v>
      </c>
      <c r="I12" s="19">
        <v>2</v>
      </c>
      <c r="J12" s="36" t="s">
        <v>131</v>
      </c>
      <c r="K12" s="53" t="s">
        <v>444</v>
      </c>
      <c r="L12" s="19" t="s">
        <v>49</v>
      </c>
      <c r="M12" s="19" t="s">
        <v>368</v>
      </c>
      <c r="N12" s="53" t="s">
        <v>50</v>
      </c>
      <c r="O12" s="53" t="s">
        <v>400</v>
      </c>
      <c r="P12" s="53" t="s">
        <v>64</v>
      </c>
      <c r="Q12" s="53" t="s">
        <v>433</v>
      </c>
      <c r="R12" s="22" t="s">
        <v>41</v>
      </c>
      <c r="S12" s="53" t="s">
        <v>408</v>
      </c>
      <c r="T12" s="53" t="s">
        <v>408</v>
      </c>
      <c r="U12" s="53" t="s">
        <v>445</v>
      </c>
      <c r="V12" s="53" t="s">
        <v>446</v>
      </c>
      <c r="W12" s="53" t="s">
        <v>447</v>
      </c>
      <c r="X12" s="53" t="s">
        <v>563</v>
      </c>
      <c r="Y12" s="19">
        <v>18</v>
      </c>
      <c r="Z12" s="19">
        <v>67</v>
      </c>
      <c r="AA12" s="54">
        <v>1500000000</v>
      </c>
      <c r="AB12" s="68">
        <v>0.45</v>
      </c>
      <c r="AC12" s="67">
        <v>1.4999999999999999E-2</v>
      </c>
      <c r="AD12" s="19" t="s">
        <v>908</v>
      </c>
      <c r="AE12" s="19">
        <v>1</v>
      </c>
      <c r="AF12" s="22">
        <f>AD12+14</f>
        <v>45329</v>
      </c>
      <c r="AG12" s="19" t="s">
        <v>944</v>
      </c>
      <c r="AH12" s="19" t="s">
        <v>938</v>
      </c>
      <c r="AI12" s="19">
        <v>1</v>
      </c>
      <c r="AJ12" s="22">
        <f>AH12+14</f>
        <v>45366</v>
      </c>
      <c r="AK12" s="19" t="s">
        <v>944</v>
      </c>
      <c r="AL12" s="19" t="s">
        <v>939</v>
      </c>
      <c r="AM12" s="19">
        <v>1</v>
      </c>
      <c r="AN12" s="22">
        <f>AL12+30</f>
        <v>45589</v>
      </c>
      <c r="AO12" s="19" t="s">
        <v>945</v>
      </c>
      <c r="AP12" s="19"/>
      <c r="AQ12" s="19"/>
      <c r="AR12" s="9"/>
      <c r="AS12" s="9"/>
    </row>
    <row r="13" spans="1:45" s="16" customFormat="1" ht="54" customHeight="1">
      <c r="A13" s="19">
        <v>11</v>
      </c>
      <c r="B13" s="53" t="s">
        <v>442</v>
      </c>
      <c r="C13" s="53" t="s">
        <v>803</v>
      </c>
      <c r="D13" s="37" t="s">
        <v>131</v>
      </c>
      <c r="E13" s="37" t="s">
        <v>804</v>
      </c>
      <c r="F13" s="53" t="s">
        <v>443</v>
      </c>
      <c r="G13" s="36" t="s">
        <v>860</v>
      </c>
      <c r="H13" s="36" t="s">
        <v>861</v>
      </c>
      <c r="I13" s="19">
        <v>2</v>
      </c>
      <c r="J13" s="19" t="s">
        <v>131</v>
      </c>
      <c r="K13" s="53" t="s">
        <v>448</v>
      </c>
      <c r="L13" s="19" t="s">
        <v>86</v>
      </c>
      <c r="M13" s="19" t="s">
        <v>368</v>
      </c>
      <c r="N13" s="53" t="s">
        <v>50</v>
      </c>
      <c r="O13" s="53" t="s">
        <v>400</v>
      </c>
      <c r="P13" s="53" t="s">
        <v>64</v>
      </c>
      <c r="Q13" s="53" t="s">
        <v>433</v>
      </c>
      <c r="R13" s="22" t="s">
        <v>41</v>
      </c>
      <c r="S13" s="53" t="s">
        <v>449</v>
      </c>
      <c r="T13" s="53" t="s">
        <v>449</v>
      </c>
      <c r="U13" s="53" t="s">
        <v>450</v>
      </c>
      <c r="V13" s="53" t="s">
        <v>451</v>
      </c>
      <c r="W13" s="53" t="s">
        <v>452</v>
      </c>
      <c r="X13" s="53" t="s">
        <v>452</v>
      </c>
      <c r="Y13" s="19">
        <v>14</v>
      </c>
      <c r="Z13" s="19">
        <v>48</v>
      </c>
      <c r="AA13" s="54">
        <v>6420888024</v>
      </c>
      <c r="AB13" s="68">
        <v>0.25</v>
      </c>
      <c r="AC13" s="67">
        <v>6.4199999999999993E-2</v>
      </c>
      <c r="AD13" s="19" t="s">
        <v>908</v>
      </c>
      <c r="AE13" s="19">
        <v>1</v>
      </c>
      <c r="AF13" s="22">
        <f>AD13+14</f>
        <v>45329</v>
      </c>
      <c r="AG13" s="19" t="s">
        <v>944</v>
      </c>
      <c r="AH13" s="19" t="s">
        <v>938</v>
      </c>
      <c r="AI13" s="19">
        <v>1</v>
      </c>
      <c r="AJ13" s="22">
        <f>AH13+14</f>
        <v>45366</v>
      </c>
      <c r="AK13" s="19" t="s">
        <v>944</v>
      </c>
      <c r="AL13" s="19" t="s">
        <v>939</v>
      </c>
      <c r="AM13" s="19">
        <v>1</v>
      </c>
      <c r="AN13" s="22">
        <f>AL13+30</f>
        <v>45589</v>
      </c>
      <c r="AO13" s="19" t="s">
        <v>945</v>
      </c>
      <c r="AP13" s="19"/>
      <c r="AQ13" s="19"/>
      <c r="AR13" s="9"/>
      <c r="AS13" s="9"/>
    </row>
    <row r="14" spans="1:45" s="16" customFormat="1" ht="54" customHeight="1">
      <c r="A14" s="19">
        <v>12</v>
      </c>
      <c r="B14" s="53" t="s">
        <v>434</v>
      </c>
      <c r="C14" s="53" t="s">
        <v>799</v>
      </c>
      <c r="D14" s="37" t="s">
        <v>131</v>
      </c>
      <c r="E14" s="37" t="s">
        <v>800</v>
      </c>
      <c r="F14" s="53" t="s">
        <v>76</v>
      </c>
      <c r="G14" s="36" t="s">
        <v>860</v>
      </c>
      <c r="H14" s="36" t="s">
        <v>862</v>
      </c>
      <c r="I14" s="19">
        <v>12</v>
      </c>
      <c r="J14" s="36" t="s">
        <v>131</v>
      </c>
      <c r="K14" s="53" t="s">
        <v>453</v>
      </c>
      <c r="L14" s="19" t="s">
        <v>49</v>
      </c>
      <c r="M14" s="19" t="s">
        <v>368</v>
      </c>
      <c r="N14" s="53" t="s">
        <v>50</v>
      </c>
      <c r="O14" s="53" t="s">
        <v>400</v>
      </c>
      <c r="P14" s="53" t="s">
        <v>64</v>
      </c>
      <c r="Q14" s="53" t="s">
        <v>433</v>
      </c>
      <c r="R14" s="22" t="s">
        <v>41</v>
      </c>
      <c r="S14" s="53" t="s">
        <v>454</v>
      </c>
      <c r="T14" s="53" t="s">
        <v>454</v>
      </c>
      <c r="U14" s="53" t="s">
        <v>455</v>
      </c>
      <c r="V14" s="53" t="s">
        <v>456</v>
      </c>
      <c r="W14" s="53" t="s">
        <v>457</v>
      </c>
      <c r="X14" s="53" t="s">
        <v>457</v>
      </c>
      <c r="Y14" s="19">
        <v>18</v>
      </c>
      <c r="Z14" s="19">
        <v>14</v>
      </c>
      <c r="AA14" s="54">
        <v>309705062</v>
      </c>
      <c r="AB14" s="68">
        <v>0.3</v>
      </c>
      <c r="AC14" s="67">
        <v>3.8999999999999998E-3</v>
      </c>
      <c r="AD14" s="19" t="s">
        <v>924</v>
      </c>
      <c r="AE14" s="19">
        <v>1</v>
      </c>
      <c r="AF14" s="22">
        <f>AD14+14</f>
        <v>45352</v>
      </c>
      <c r="AG14" s="19" t="s">
        <v>923</v>
      </c>
      <c r="AH14" s="19"/>
      <c r="AI14" s="19"/>
      <c r="AJ14" s="71"/>
      <c r="AK14" s="19"/>
      <c r="AL14" s="19" t="s">
        <v>922</v>
      </c>
      <c r="AM14" s="19">
        <v>1</v>
      </c>
      <c r="AN14" s="22">
        <f>AL14+30</f>
        <v>45397</v>
      </c>
      <c r="AO14" s="19" t="s">
        <v>921</v>
      </c>
      <c r="AP14" s="19"/>
      <c r="AQ14" s="19"/>
      <c r="AR14" s="9"/>
      <c r="AS14" s="9"/>
    </row>
    <row r="15" spans="1:45" s="16" customFormat="1" ht="54" customHeight="1">
      <c r="A15" s="19">
        <v>13</v>
      </c>
      <c r="B15" s="53" t="s">
        <v>123</v>
      </c>
      <c r="C15" s="53" t="s">
        <v>124</v>
      </c>
      <c r="D15" s="63" t="s">
        <v>797</v>
      </c>
      <c r="E15" s="37" t="s">
        <v>798</v>
      </c>
      <c r="F15" s="53" t="s">
        <v>75</v>
      </c>
      <c r="G15" s="36" t="s">
        <v>860</v>
      </c>
      <c r="H15" s="36" t="s">
        <v>861</v>
      </c>
      <c r="I15" s="19">
        <v>6</v>
      </c>
      <c r="J15" s="36" t="s">
        <v>131</v>
      </c>
      <c r="K15" s="53" t="s">
        <v>458</v>
      </c>
      <c r="L15" s="19" t="s">
        <v>86</v>
      </c>
      <c r="M15" s="19" t="s">
        <v>185</v>
      </c>
      <c r="N15" s="53" t="s">
        <v>50</v>
      </c>
      <c r="O15" s="53" t="s">
        <v>400</v>
      </c>
      <c r="P15" s="53" t="s">
        <v>403</v>
      </c>
      <c r="Q15" s="53" t="s">
        <v>433</v>
      </c>
      <c r="R15" s="22" t="s">
        <v>41</v>
      </c>
      <c r="S15" s="53" t="s">
        <v>131</v>
      </c>
      <c r="T15" s="53" t="s">
        <v>131</v>
      </c>
      <c r="U15" s="53" t="s">
        <v>131</v>
      </c>
      <c r="V15" s="53" t="s">
        <v>131</v>
      </c>
      <c r="W15" s="53" t="s">
        <v>131</v>
      </c>
      <c r="X15" s="53"/>
      <c r="Y15" s="53" t="s">
        <v>131</v>
      </c>
      <c r="Z15" s="53" t="s">
        <v>131</v>
      </c>
      <c r="AA15" s="54">
        <v>10158967</v>
      </c>
      <c r="AB15" s="68">
        <v>0.05</v>
      </c>
      <c r="AC15" s="67">
        <v>1E-4</v>
      </c>
      <c r="AD15" s="19"/>
      <c r="AE15" s="19"/>
      <c r="AF15" s="22"/>
      <c r="AG15" s="19"/>
      <c r="AH15" s="19"/>
      <c r="AI15" s="19"/>
      <c r="AJ15" s="19"/>
      <c r="AK15" s="19"/>
      <c r="AL15" s="19" t="s">
        <v>913</v>
      </c>
      <c r="AM15" s="19">
        <v>1</v>
      </c>
      <c r="AN15" s="22">
        <f>AL15+30</f>
        <v>45395</v>
      </c>
      <c r="AO15" s="19" t="s">
        <v>913</v>
      </c>
      <c r="AP15" s="19"/>
      <c r="AQ15" s="19"/>
      <c r="AR15" s="9"/>
      <c r="AS15" s="9"/>
    </row>
    <row r="16" spans="1:45" s="16" customFormat="1" ht="54" customHeight="1">
      <c r="A16" s="19">
        <v>14</v>
      </c>
      <c r="B16" s="53" t="s">
        <v>123</v>
      </c>
      <c r="C16" s="53" t="s">
        <v>124</v>
      </c>
      <c r="D16" s="63" t="s">
        <v>797</v>
      </c>
      <c r="E16" s="37" t="s">
        <v>798</v>
      </c>
      <c r="F16" s="53" t="s">
        <v>75</v>
      </c>
      <c r="G16" s="36" t="s">
        <v>860</v>
      </c>
      <c r="H16" s="36" t="s">
        <v>861</v>
      </c>
      <c r="I16" s="19">
        <v>6</v>
      </c>
      <c r="J16" s="19" t="s">
        <v>131</v>
      </c>
      <c r="K16" s="53" t="s">
        <v>459</v>
      </c>
      <c r="L16" s="19" t="s">
        <v>49</v>
      </c>
      <c r="M16" s="19" t="s">
        <v>185</v>
      </c>
      <c r="N16" s="53" t="s">
        <v>50</v>
      </c>
      <c r="O16" s="53" t="s">
        <v>400</v>
      </c>
      <c r="P16" s="53" t="s">
        <v>403</v>
      </c>
      <c r="Q16" s="53" t="s">
        <v>433</v>
      </c>
      <c r="R16" s="22" t="s">
        <v>41</v>
      </c>
      <c r="S16" s="53" t="s">
        <v>131</v>
      </c>
      <c r="T16" s="53" t="s">
        <v>131</v>
      </c>
      <c r="U16" s="53" t="s">
        <v>131</v>
      </c>
      <c r="V16" s="53" t="s">
        <v>131</v>
      </c>
      <c r="W16" s="53" t="s">
        <v>131</v>
      </c>
      <c r="X16" s="53"/>
      <c r="Y16" s="53" t="s">
        <v>131</v>
      </c>
      <c r="Z16" s="53" t="s">
        <v>131</v>
      </c>
      <c r="AA16" s="54">
        <v>6218280</v>
      </c>
      <c r="AB16" s="68">
        <v>0.05</v>
      </c>
      <c r="AC16" s="67">
        <v>6.0000000000000002E-5</v>
      </c>
      <c r="AD16" s="19"/>
      <c r="AE16" s="19"/>
      <c r="AF16" s="22"/>
      <c r="AG16" s="19"/>
      <c r="AH16" s="19"/>
      <c r="AI16" s="19"/>
      <c r="AJ16" s="19"/>
      <c r="AK16" s="19"/>
      <c r="AL16" s="19" t="s">
        <v>913</v>
      </c>
      <c r="AM16" s="19">
        <v>1</v>
      </c>
      <c r="AN16" s="22"/>
      <c r="AO16" s="19" t="s">
        <v>913</v>
      </c>
      <c r="AP16" s="19"/>
      <c r="AQ16" s="19"/>
      <c r="AR16" s="9"/>
      <c r="AS16" s="9"/>
    </row>
    <row r="17" spans="1:45" s="16" customFormat="1" ht="54" customHeight="1">
      <c r="A17" s="19">
        <v>15</v>
      </c>
      <c r="B17" s="53" t="s">
        <v>440</v>
      </c>
      <c r="C17" s="53" t="s">
        <v>170</v>
      </c>
      <c r="D17" s="63" t="s">
        <v>801</v>
      </c>
      <c r="E17" s="37" t="s">
        <v>802</v>
      </c>
      <c r="F17" s="53" t="s">
        <v>171</v>
      </c>
      <c r="G17" s="36" t="s">
        <v>860</v>
      </c>
      <c r="H17" s="36" t="s">
        <v>861</v>
      </c>
      <c r="I17" s="19">
        <v>20</v>
      </c>
      <c r="J17" s="36" t="s">
        <v>131</v>
      </c>
      <c r="K17" s="53" t="s">
        <v>460</v>
      </c>
      <c r="L17" s="19" t="s">
        <v>49</v>
      </c>
      <c r="M17" s="19" t="s">
        <v>368</v>
      </c>
      <c r="N17" s="53" t="s">
        <v>113</v>
      </c>
      <c r="O17" s="53" t="s">
        <v>400</v>
      </c>
      <c r="P17" s="53" t="s">
        <v>52</v>
      </c>
      <c r="Q17" s="53" t="s">
        <v>461</v>
      </c>
      <c r="R17" s="22" t="s">
        <v>41</v>
      </c>
      <c r="S17" s="53" t="s">
        <v>463</v>
      </c>
      <c r="T17" s="53" t="s">
        <v>463</v>
      </c>
      <c r="U17" s="53" t="s">
        <v>464</v>
      </c>
      <c r="V17" s="53" t="s">
        <v>465</v>
      </c>
      <c r="W17" s="53" t="s">
        <v>466</v>
      </c>
      <c r="X17" s="53" t="s">
        <v>466</v>
      </c>
      <c r="Y17" s="19">
        <v>18</v>
      </c>
      <c r="Z17" s="19">
        <v>30</v>
      </c>
      <c r="AA17" s="54">
        <v>410393575</v>
      </c>
      <c r="AB17" s="68">
        <v>0.28999999999999998</v>
      </c>
      <c r="AC17" s="67">
        <v>4.1000000000000003E-3</v>
      </c>
      <c r="AD17" s="19" t="s">
        <v>925</v>
      </c>
      <c r="AE17" s="19">
        <v>1</v>
      </c>
      <c r="AF17" s="22">
        <f>AD17+14</f>
        <v>45358</v>
      </c>
      <c r="AG17" s="19" t="s">
        <v>906</v>
      </c>
      <c r="AH17" s="19" t="s">
        <v>927</v>
      </c>
      <c r="AI17" s="19">
        <v>1</v>
      </c>
      <c r="AJ17" s="22">
        <f>AH17+14</f>
        <v>45371</v>
      </c>
      <c r="AK17" s="19" t="s">
        <v>926</v>
      </c>
      <c r="AL17" s="19" t="s">
        <v>929</v>
      </c>
      <c r="AM17" s="19">
        <v>1</v>
      </c>
      <c r="AN17" s="22">
        <f>AL17+30</f>
        <v>45444</v>
      </c>
      <c r="AO17" s="19" t="s">
        <v>928</v>
      </c>
      <c r="AP17" s="19"/>
      <c r="AQ17" s="19"/>
      <c r="AR17" s="9"/>
      <c r="AS17" s="9"/>
    </row>
    <row r="18" spans="1:45" s="16" customFormat="1" ht="54" customHeight="1">
      <c r="A18" s="19">
        <v>16</v>
      </c>
      <c r="B18" s="53" t="s">
        <v>440</v>
      </c>
      <c r="C18" s="53" t="s">
        <v>170</v>
      </c>
      <c r="D18" s="63" t="s">
        <v>801</v>
      </c>
      <c r="E18" s="37" t="s">
        <v>802</v>
      </c>
      <c r="F18" s="53" t="s">
        <v>171</v>
      </c>
      <c r="G18" s="36" t="s">
        <v>860</v>
      </c>
      <c r="H18" s="36" t="s">
        <v>861</v>
      </c>
      <c r="I18" s="19">
        <v>20</v>
      </c>
      <c r="J18" s="36" t="s">
        <v>131</v>
      </c>
      <c r="K18" s="53" t="s">
        <v>462</v>
      </c>
      <c r="L18" s="19" t="s">
        <v>49</v>
      </c>
      <c r="M18" s="19" t="s">
        <v>368</v>
      </c>
      <c r="N18" s="53" t="s">
        <v>113</v>
      </c>
      <c r="O18" s="53" t="s">
        <v>400</v>
      </c>
      <c r="P18" s="53" t="s">
        <v>52</v>
      </c>
      <c r="Q18" s="53" t="s">
        <v>461</v>
      </c>
      <c r="R18" s="22" t="s">
        <v>41</v>
      </c>
      <c r="S18" s="53" t="s">
        <v>463</v>
      </c>
      <c r="T18" s="53" t="s">
        <v>463</v>
      </c>
      <c r="U18" s="53" t="s">
        <v>464</v>
      </c>
      <c r="V18" s="53" t="s">
        <v>465</v>
      </c>
      <c r="W18" s="53" t="s">
        <v>466</v>
      </c>
      <c r="X18" s="53" t="s">
        <v>466</v>
      </c>
      <c r="Y18" s="19">
        <v>18</v>
      </c>
      <c r="Z18" s="19">
        <v>38</v>
      </c>
      <c r="AA18" s="54">
        <v>467432548</v>
      </c>
      <c r="AB18" s="68">
        <v>0.57999999999999996</v>
      </c>
      <c r="AC18" s="67">
        <v>4.5999999999999999E-3</v>
      </c>
      <c r="AD18" s="19" t="s">
        <v>925</v>
      </c>
      <c r="AE18" s="19">
        <v>1</v>
      </c>
      <c r="AF18" s="22">
        <f>AD18+14</f>
        <v>45358</v>
      </c>
      <c r="AG18" s="19" t="s">
        <v>906</v>
      </c>
      <c r="AH18" s="19" t="s">
        <v>927</v>
      </c>
      <c r="AI18" s="19">
        <v>1</v>
      </c>
      <c r="AJ18" s="22">
        <f>AH18+14</f>
        <v>45371</v>
      </c>
      <c r="AK18" s="19" t="s">
        <v>926</v>
      </c>
      <c r="AL18" s="19" t="s">
        <v>929</v>
      </c>
      <c r="AM18" s="19">
        <v>1</v>
      </c>
      <c r="AN18" s="22">
        <f t="shared" ref="AN18:AN20" si="0">AL18+30</f>
        <v>45444</v>
      </c>
      <c r="AO18" s="19" t="s">
        <v>928</v>
      </c>
      <c r="AP18" s="19"/>
      <c r="AQ18" s="19"/>
      <c r="AR18" s="9"/>
      <c r="AS18" s="9"/>
    </row>
    <row r="19" spans="1:45" s="16" customFormat="1" ht="54" customHeight="1">
      <c r="A19" s="19">
        <v>17</v>
      </c>
      <c r="B19" s="53" t="s">
        <v>440</v>
      </c>
      <c r="C19" s="53" t="s">
        <v>170</v>
      </c>
      <c r="D19" s="63" t="s">
        <v>801</v>
      </c>
      <c r="E19" s="37" t="s">
        <v>802</v>
      </c>
      <c r="F19" s="53" t="s">
        <v>171</v>
      </c>
      <c r="G19" s="36" t="s">
        <v>860</v>
      </c>
      <c r="H19" s="36" t="s">
        <v>861</v>
      </c>
      <c r="I19" s="19">
        <v>20</v>
      </c>
      <c r="J19" s="19" t="s">
        <v>131</v>
      </c>
      <c r="K19" s="53" t="s">
        <v>467</v>
      </c>
      <c r="L19" s="19" t="s">
        <v>86</v>
      </c>
      <c r="M19" s="19" t="s">
        <v>368</v>
      </c>
      <c r="N19" s="53" t="s">
        <v>113</v>
      </c>
      <c r="O19" s="53" t="s">
        <v>400</v>
      </c>
      <c r="P19" s="53" t="s">
        <v>52</v>
      </c>
      <c r="Q19" s="53" t="s">
        <v>461</v>
      </c>
      <c r="R19" s="22" t="s">
        <v>41</v>
      </c>
      <c r="S19" s="53" t="s">
        <v>439</v>
      </c>
      <c r="T19" s="53" t="s">
        <v>439</v>
      </c>
      <c r="U19" s="53" t="s">
        <v>468</v>
      </c>
      <c r="V19" s="53" t="s">
        <v>469</v>
      </c>
      <c r="W19" s="53" t="s">
        <v>470</v>
      </c>
      <c r="X19" s="53" t="s">
        <v>470</v>
      </c>
      <c r="Y19" s="19">
        <v>27</v>
      </c>
      <c r="Z19" s="19">
        <v>31</v>
      </c>
      <c r="AA19" s="54">
        <v>1537428573</v>
      </c>
      <c r="AB19" s="68">
        <v>0.17</v>
      </c>
      <c r="AC19" s="67">
        <v>1.5299999999999999E-2</v>
      </c>
      <c r="AD19" s="19" t="s">
        <v>925</v>
      </c>
      <c r="AE19" s="19">
        <v>1</v>
      </c>
      <c r="AF19" s="22">
        <f>AD19+14</f>
        <v>45358</v>
      </c>
      <c r="AG19" s="19" t="s">
        <v>906</v>
      </c>
      <c r="AH19" s="19" t="s">
        <v>927</v>
      </c>
      <c r="AI19" s="19">
        <v>1</v>
      </c>
      <c r="AJ19" s="22">
        <f>AH19+14</f>
        <v>45371</v>
      </c>
      <c r="AK19" s="19" t="s">
        <v>926</v>
      </c>
      <c r="AL19" s="19" t="s">
        <v>929</v>
      </c>
      <c r="AM19" s="19">
        <v>1</v>
      </c>
      <c r="AN19" s="22">
        <f t="shared" si="0"/>
        <v>45444</v>
      </c>
      <c r="AO19" s="19" t="s">
        <v>928</v>
      </c>
      <c r="AP19" s="19"/>
      <c r="AQ19" s="19"/>
      <c r="AR19" s="9"/>
      <c r="AS19" s="9"/>
    </row>
    <row r="20" spans="1:45" s="16" customFormat="1" ht="54" customHeight="1">
      <c r="A20" s="19">
        <v>18</v>
      </c>
      <c r="B20" s="53" t="s">
        <v>440</v>
      </c>
      <c r="C20" s="53" t="s">
        <v>170</v>
      </c>
      <c r="D20" s="63" t="s">
        <v>801</v>
      </c>
      <c r="E20" s="37" t="s">
        <v>802</v>
      </c>
      <c r="F20" s="53" t="s">
        <v>171</v>
      </c>
      <c r="G20" s="36" t="s">
        <v>860</v>
      </c>
      <c r="H20" s="36" t="s">
        <v>861</v>
      </c>
      <c r="I20" s="19">
        <v>20</v>
      </c>
      <c r="J20" s="36" t="s">
        <v>131</v>
      </c>
      <c r="K20" s="53" t="s">
        <v>471</v>
      </c>
      <c r="L20" s="19" t="s">
        <v>86</v>
      </c>
      <c r="M20" s="19" t="s">
        <v>368</v>
      </c>
      <c r="N20" s="53" t="s">
        <v>113</v>
      </c>
      <c r="O20" s="53" t="s">
        <v>400</v>
      </c>
      <c r="P20" s="53" t="s">
        <v>52</v>
      </c>
      <c r="Q20" s="53" t="s">
        <v>461</v>
      </c>
      <c r="R20" s="22" t="s">
        <v>41</v>
      </c>
      <c r="S20" s="53" t="s">
        <v>472</v>
      </c>
      <c r="T20" s="53" t="s">
        <v>472</v>
      </c>
      <c r="U20" s="53" t="s">
        <v>473</v>
      </c>
      <c r="V20" s="53" t="s">
        <v>439</v>
      </c>
      <c r="W20" s="53" t="s">
        <v>474</v>
      </c>
      <c r="X20" s="53" t="s">
        <v>474</v>
      </c>
      <c r="Y20" s="19">
        <v>27</v>
      </c>
      <c r="Z20" s="19">
        <v>35</v>
      </c>
      <c r="AA20" s="54">
        <v>1639711250</v>
      </c>
      <c r="AB20" s="68">
        <v>0.1</v>
      </c>
      <c r="AC20" s="67">
        <v>1.6299999999999999E-2</v>
      </c>
      <c r="AD20" s="19" t="s">
        <v>925</v>
      </c>
      <c r="AE20" s="19">
        <v>1</v>
      </c>
      <c r="AF20" s="22">
        <f>AD20+14</f>
        <v>45358</v>
      </c>
      <c r="AG20" s="19" t="s">
        <v>906</v>
      </c>
      <c r="AH20" s="19" t="s">
        <v>927</v>
      </c>
      <c r="AI20" s="19">
        <v>1</v>
      </c>
      <c r="AJ20" s="22">
        <f>AH20+14</f>
        <v>45371</v>
      </c>
      <c r="AK20" s="19" t="s">
        <v>926</v>
      </c>
      <c r="AL20" s="19" t="s">
        <v>929</v>
      </c>
      <c r="AM20" s="19">
        <v>1</v>
      </c>
      <c r="AN20" s="22">
        <f t="shared" si="0"/>
        <v>45444</v>
      </c>
      <c r="AO20" s="19" t="s">
        <v>928</v>
      </c>
      <c r="AP20" s="19"/>
      <c r="AQ20" s="19"/>
      <c r="AR20" s="9"/>
      <c r="AS20" s="9"/>
    </row>
    <row r="21" spans="1:45" s="16" customFormat="1" ht="54" customHeight="1">
      <c r="A21" s="19">
        <v>19</v>
      </c>
      <c r="B21" s="53" t="s">
        <v>475</v>
      </c>
      <c r="C21" s="53" t="s">
        <v>476</v>
      </c>
      <c r="D21" s="37" t="s">
        <v>131</v>
      </c>
      <c r="E21" s="37" t="s">
        <v>131</v>
      </c>
      <c r="F21" s="53" t="s">
        <v>443</v>
      </c>
      <c r="G21" s="36" t="s">
        <v>860</v>
      </c>
      <c r="H21" s="36" t="s">
        <v>866</v>
      </c>
      <c r="I21" s="19">
        <v>1</v>
      </c>
      <c r="J21" s="36" t="s">
        <v>131</v>
      </c>
      <c r="K21" s="53" t="s">
        <v>477</v>
      </c>
      <c r="L21" s="19" t="s">
        <v>478</v>
      </c>
      <c r="M21" s="19" t="s">
        <v>368</v>
      </c>
      <c r="N21" s="53" t="s">
        <v>50</v>
      </c>
      <c r="O21" s="53" t="s">
        <v>400</v>
      </c>
      <c r="P21" s="53" t="s">
        <v>64</v>
      </c>
      <c r="Q21" s="53" t="s">
        <v>461</v>
      </c>
      <c r="R21" s="22" t="s">
        <v>41</v>
      </c>
      <c r="S21" s="53" t="s">
        <v>479</v>
      </c>
      <c r="T21" s="53" t="s">
        <v>479</v>
      </c>
      <c r="U21" s="53" t="s">
        <v>456</v>
      </c>
      <c r="V21" s="53" t="s">
        <v>480</v>
      </c>
      <c r="W21" s="53" t="s">
        <v>481</v>
      </c>
      <c r="X21" s="53" t="s">
        <v>481</v>
      </c>
      <c r="Y21" s="19">
        <v>10</v>
      </c>
      <c r="Z21" s="19">
        <v>9</v>
      </c>
      <c r="AA21" s="54">
        <v>56352000</v>
      </c>
      <c r="AB21" s="68">
        <v>0.3</v>
      </c>
      <c r="AC21" s="67">
        <v>5.5999999999999995E-4</v>
      </c>
      <c r="AD21" s="19"/>
      <c r="AE21" s="19"/>
      <c r="AF21" s="22"/>
      <c r="AG21" s="19"/>
      <c r="AH21" s="19"/>
      <c r="AI21" s="19"/>
      <c r="AJ21" s="19"/>
      <c r="AK21" s="19"/>
      <c r="AL21" s="19" t="s">
        <v>913</v>
      </c>
      <c r="AM21" s="19">
        <v>1</v>
      </c>
      <c r="AN21" s="22">
        <f t="shared" ref="AN21:AN28" si="1">AL21+30</f>
        <v>45395</v>
      </c>
      <c r="AO21" s="19" t="s">
        <v>913</v>
      </c>
      <c r="AP21" s="19"/>
      <c r="AQ21" s="19"/>
      <c r="AR21" s="9"/>
      <c r="AS21" s="9"/>
    </row>
    <row r="22" spans="1:45" s="16" customFormat="1" ht="54" customHeight="1">
      <c r="A22" s="19">
        <v>20</v>
      </c>
      <c r="B22" s="53" t="s">
        <v>62</v>
      </c>
      <c r="C22" s="53" t="s">
        <v>482</v>
      </c>
      <c r="D22" s="63" t="s">
        <v>806</v>
      </c>
      <c r="E22" s="37" t="s">
        <v>807</v>
      </c>
      <c r="F22" s="53" t="s">
        <v>75</v>
      </c>
      <c r="G22" s="36" t="s">
        <v>860</v>
      </c>
      <c r="H22" s="36" t="s">
        <v>861</v>
      </c>
      <c r="I22" s="19">
        <v>6</v>
      </c>
      <c r="J22" s="19" t="s">
        <v>131</v>
      </c>
      <c r="K22" s="53" t="s">
        <v>483</v>
      </c>
      <c r="L22" s="19" t="s">
        <v>246</v>
      </c>
      <c r="M22" s="19" t="s">
        <v>368</v>
      </c>
      <c r="N22" s="53" t="s">
        <v>50</v>
      </c>
      <c r="O22" s="53" t="s">
        <v>400</v>
      </c>
      <c r="P22" s="53" t="s">
        <v>64</v>
      </c>
      <c r="Q22" s="53" t="s">
        <v>461</v>
      </c>
      <c r="R22" s="22" t="s">
        <v>41</v>
      </c>
      <c r="S22" s="53" t="s">
        <v>484</v>
      </c>
      <c r="T22" s="53" t="s">
        <v>484</v>
      </c>
      <c r="U22" s="53" t="s">
        <v>485</v>
      </c>
      <c r="V22" s="53" t="s">
        <v>486</v>
      </c>
      <c r="W22" s="53" t="s">
        <v>487</v>
      </c>
      <c r="X22" s="53" t="s">
        <v>487</v>
      </c>
      <c r="Y22" s="19">
        <v>18</v>
      </c>
      <c r="Z22" s="19">
        <v>19</v>
      </c>
      <c r="AA22" s="54">
        <v>381352509</v>
      </c>
      <c r="AB22" s="68">
        <v>0.67</v>
      </c>
      <c r="AC22" s="67">
        <v>3.81E-3</v>
      </c>
      <c r="AD22" s="19"/>
      <c r="AE22" s="19"/>
      <c r="AF22" s="22"/>
      <c r="AG22" s="19"/>
      <c r="AH22" s="19"/>
      <c r="AI22" s="19"/>
      <c r="AJ22" s="19"/>
      <c r="AK22" s="19"/>
      <c r="AL22" s="19" t="s">
        <v>930</v>
      </c>
      <c r="AM22" s="19">
        <v>1</v>
      </c>
      <c r="AN22" s="22">
        <f t="shared" si="1"/>
        <v>45435</v>
      </c>
      <c r="AO22" s="19" t="s">
        <v>929</v>
      </c>
      <c r="AP22" s="19"/>
      <c r="AQ22" s="19"/>
      <c r="AR22" s="9"/>
      <c r="AS22" s="9"/>
    </row>
    <row r="23" spans="1:45" s="16" customFormat="1" ht="54" customHeight="1">
      <c r="A23" s="19">
        <v>21</v>
      </c>
      <c r="B23" s="53" t="s">
        <v>488</v>
      </c>
      <c r="C23" s="53" t="s">
        <v>489</v>
      </c>
      <c r="D23" s="37" t="s">
        <v>131</v>
      </c>
      <c r="E23" s="37" t="s">
        <v>808</v>
      </c>
      <c r="F23" s="53" t="s">
        <v>111</v>
      </c>
      <c r="G23" s="36" t="s">
        <v>860</v>
      </c>
      <c r="H23" s="36" t="s">
        <v>861</v>
      </c>
      <c r="I23" s="19">
        <v>10</v>
      </c>
      <c r="J23" s="36" t="s">
        <v>131</v>
      </c>
      <c r="K23" s="53" t="s">
        <v>490</v>
      </c>
      <c r="L23" s="19" t="s">
        <v>49</v>
      </c>
      <c r="M23" s="19" t="s">
        <v>368</v>
      </c>
      <c r="N23" s="53" t="s">
        <v>491</v>
      </c>
      <c r="O23" s="53" t="s">
        <v>400</v>
      </c>
      <c r="P23" s="53" t="s">
        <v>64</v>
      </c>
      <c r="Q23" s="53" t="s">
        <v>461</v>
      </c>
      <c r="R23" s="22" t="s">
        <v>41</v>
      </c>
      <c r="S23" s="53" t="s">
        <v>492</v>
      </c>
      <c r="T23" s="53" t="s">
        <v>492</v>
      </c>
      <c r="U23" s="53" t="s">
        <v>493</v>
      </c>
      <c r="V23" s="53" t="s">
        <v>494</v>
      </c>
      <c r="W23" s="53" t="s">
        <v>495</v>
      </c>
      <c r="X23" s="53" t="s">
        <v>495</v>
      </c>
      <c r="Y23" s="19">
        <v>14</v>
      </c>
      <c r="Z23" s="19">
        <v>20</v>
      </c>
      <c r="AA23" s="54">
        <v>250000000</v>
      </c>
      <c r="AB23" s="68">
        <v>0.63</v>
      </c>
      <c r="AC23" s="67">
        <v>2.5000000000000001E-3</v>
      </c>
      <c r="AD23" s="19" t="s">
        <v>953</v>
      </c>
      <c r="AE23" s="19">
        <v>1</v>
      </c>
      <c r="AF23" s="22">
        <f>AD23+14</f>
        <v>45386</v>
      </c>
      <c r="AG23" s="19" t="s">
        <v>951</v>
      </c>
      <c r="AH23" s="19"/>
      <c r="AI23" s="19"/>
      <c r="AJ23" s="19"/>
      <c r="AK23" s="19"/>
      <c r="AL23" s="19" t="s">
        <v>952</v>
      </c>
      <c r="AM23" s="19">
        <v>1</v>
      </c>
      <c r="AN23" s="22">
        <f t="shared" si="1"/>
        <v>45417</v>
      </c>
      <c r="AO23" s="19" t="s">
        <v>952</v>
      </c>
      <c r="AP23" s="19"/>
      <c r="AQ23" s="19"/>
      <c r="AR23" s="9"/>
      <c r="AS23" s="9"/>
    </row>
    <row r="24" spans="1:45" s="16" customFormat="1" ht="54" customHeight="1">
      <c r="A24" s="19">
        <v>22</v>
      </c>
      <c r="B24" s="53" t="s">
        <v>488</v>
      </c>
      <c r="C24" s="53" t="s">
        <v>489</v>
      </c>
      <c r="D24" s="37" t="s">
        <v>131</v>
      </c>
      <c r="E24" s="37" t="s">
        <v>808</v>
      </c>
      <c r="F24" s="53" t="s">
        <v>111</v>
      </c>
      <c r="G24" s="36" t="s">
        <v>860</v>
      </c>
      <c r="H24" s="36" t="s">
        <v>861</v>
      </c>
      <c r="I24" s="19">
        <v>10</v>
      </c>
      <c r="J24" s="36" t="s">
        <v>131</v>
      </c>
      <c r="K24" s="53" t="s">
        <v>496</v>
      </c>
      <c r="L24" s="19" t="s">
        <v>86</v>
      </c>
      <c r="M24" s="19" t="s">
        <v>368</v>
      </c>
      <c r="N24" s="53" t="s">
        <v>491</v>
      </c>
      <c r="O24" s="53" t="s">
        <v>400</v>
      </c>
      <c r="P24" s="53" t="s">
        <v>64</v>
      </c>
      <c r="Q24" s="55" t="s">
        <v>461</v>
      </c>
      <c r="R24" s="22" t="s">
        <v>41</v>
      </c>
      <c r="S24" s="53" t="s">
        <v>497</v>
      </c>
      <c r="T24" s="53" t="s">
        <v>497</v>
      </c>
      <c r="U24" s="53" t="s">
        <v>492</v>
      </c>
      <c r="V24" s="53" t="s">
        <v>493</v>
      </c>
      <c r="W24" s="53" t="s">
        <v>498</v>
      </c>
      <c r="X24" s="53" t="s">
        <v>498</v>
      </c>
      <c r="Y24" s="19">
        <v>25</v>
      </c>
      <c r="Z24" s="19">
        <v>27</v>
      </c>
      <c r="AA24" s="54">
        <v>600000000</v>
      </c>
      <c r="AB24" s="68">
        <v>0.49</v>
      </c>
      <c r="AC24" s="67">
        <v>6.0000000000000001E-3</v>
      </c>
      <c r="AD24" s="19" t="s">
        <v>953</v>
      </c>
      <c r="AE24" s="19">
        <v>1</v>
      </c>
      <c r="AF24" s="22">
        <f>AD24+14</f>
        <v>45386</v>
      </c>
      <c r="AG24" s="19" t="s">
        <v>951</v>
      </c>
      <c r="AH24" s="19"/>
      <c r="AI24" s="19"/>
      <c r="AJ24" s="19"/>
      <c r="AK24" s="19"/>
      <c r="AL24" s="19" t="s">
        <v>952</v>
      </c>
      <c r="AM24" s="19">
        <v>1</v>
      </c>
      <c r="AN24" s="22">
        <f t="shared" si="1"/>
        <v>45417</v>
      </c>
      <c r="AO24" s="19" t="s">
        <v>952</v>
      </c>
      <c r="AP24" s="19"/>
      <c r="AQ24" s="19"/>
      <c r="AR24" s="9"/>
      <c r="AS24" s="9"/>
    </row>
    <row r="25" spans="1:45" s="16" customFormat="1" ht="54" customHeight="1">
      <c r="A25" s="19">
        <v>23</v>
      </c>
      <c r="B25" s="53" t="s">
        <v>499</v>
      </c>
      <c r="C25" s="53" t="s">
        <v>482</v>
      </c>
      <c r="D25" s="63" t="s">
        <v>806</v>
      </c>
      <c r="E25" s="37" t="s">
        <v>807</v>
      </c>
      <c r="F25" s="53" t="s">
        <v>75</v>
      </c>
      <c r="G25" s="36" t="s">
        <v>860</v>
      </c>
      <c r="H25" s="36" t="s">
        <v>861</v>
      </c>
      <c r="I25" s="19">
        <v>6</v>
      </c>
      <c r="J25" s="19" t="s">
        <v>131</v>
      </c>
      <c r="K25" s="53" t="s">
        <v>63</v>
      </c>
      <c r="L25" s="19" t="s">
        <v>49</v>
      </c>
      <c r="M25" s="19" t="s">
        <v>185</v>
      </c>
      <c r="N25" s="53" t="s">
        <v>50</v>
      </c>
      <c r="O25" s="53" t="s">
        <v>400</v>
      </c>
      <c r="P25" s="53" t="s">
        <v>403</v>
      </c>
      <c r="Q25" s="45" t="s">
        <v>500</v>
      </c>
      <c r="R25" s="22" t="s">
        <v>41</v>
      </c>
      <c r="S25" s="53" t="s">
        <v>501</v>
      </c>
      <c r="T25" s="53" t="s">
        <v>501</v>
      </c>
      <c r="U25" s="53" t="s">
        <v>502</v>
      </c>
      <c r="V25" s="53" t="s">
        <v>503</v>
      </c>
      <c r="W25" s="56" t="s">
        <v>504</v>
      </c>
      <c r="X25" s="56" t="s">
        <v>504</v>
      </c>
      <c r="Y25" s="19">
        <v>18</v>
      </c>
      <c r="Z25" s="19">
        <v>18</v>
      </c>
      <c r="AA25" s="54">
        <v>82873669</v>
      </c>
      <c r="AB25" s="68">
        <v>0.4</v>
      </c>
      <c r="AC25" s="67">
        <v>8.1999999999999998E-4</v>
      </c>
      <c r="AD25" s="19"/>
      <c r="AE25" s="19"/>
      <c r="AF25" s="22"/>
      <c r="AG25" s="19"/>
      <c r="AH25" s="19"/>
      <c r="AI25" s="19"/>
      <c r="AJ25" s="19"/>
      <c r="AK25" s="19"/>
      <c r="AL25" s="19" t="s">
        <v>930</v>
      </c>
      <c r="AM25" s="19">
        <v>1</v>
      </c>
      <c r="AN25" s="22">
        <f t="shared" si="1"/>
        <v>45435</v>
      </c>
      <c r="AO25" s="19" t="s">
        <v>929</v>
      </c>
      <c r="AP25" s="19"/>
      <c r="AQ25" s="19"/>
      <c r="AR25" s="9"/>
      <c r="AS25" s="9"/>
    </row>
    <row r="26" spans="1:45" s="16" customFormat="1" ht="54" customHeight="1">
      <c r="A26" s="19">
        <v>24</v>
      </c>
      <c r="B26" s="53" t="s">
        <v>505</v>
      </c>
      <c r="C26" s="53" t="s">
        <v>506</v>
      </c>
      <c r="D26" s="37" t="s">
        <v>131</v>
      </c>
      <c r="E26" s="37" t="s">
        <v>131</v>
      </c>
      <c r="F26" s="53" t="s">
        <v>111</v>
      </c>
      <c r="G26" s="36" t="s">
        <v>860</v>
      </c>
      <c r="H26" s="36" t="s">
        <v>861</v>
      </c>
      <c r="I26" s="19">
        <v>1</v>
      </c>
      <c r="J26" s="36" t="s">
        <v>131</v>
      </c>
      <c r="K26" s="53" t="s">
        <v>507</v>
      </c>
      <c r="L26" s="19" t="s">
        <v>49</v>
      </c>
      <c r="M26" s="19" t="s">
        <v>185</v>
      </c>
      <c r="N26" s="53" t="s">
        <v>508</v>
      </c>
      <c r="O26" s="53" t="s">
        <v>400</v>
      </c>
      <c r="P26" s="53" t="s">
        <v>403</v>
      </c>
      <c r="Q26" s="45" t="s">
        <v>500</v>
      </c>
      <c r="R26" s="22" t="s">
        <v>41</v>
      </c>
      <c r="S26" s="53" t="s">
        <v>509</v>
      </c>
      <c r="T26" s="53" t="s">
        <v>509</v>
      </c>
      <c r="U26" s="53" t="s">
        <v>510</v>
      </c>
      <c r="V26" s="53" t="s">
        <v>457</v>
      </c>
      <c r="W26" s="56" t="s">
        <v>511</v>
      </c>
      <c r="X26" s="56" t="s">
        <v>511</v>
      </c>
      <c r="Y26" s="19">
        <v>5</v>
      </c>
      <c r="Z26" s="19">
        <v>39</v>
      </c>
      <c r="AA26" s="54">
        <v>160000000</v>
      </c>
      <c r="AB26" s="68">
        <v>0.3</v>
      </c>
      <c r="AC26" s="67">
        <v>1.6000000000000001E-3</v>
      </c>
      <c r="AD26" s="19"/>
      <c r="AE26" s="19"/>
      <c r="AF26" s="22"/>
      <c r="AG26" s="19"/>
      <c r="AH26" s="19"/>
      <c r="AI26" s="19"/>
      <c r="AJ26" s="19"/>
      <c r="AK26" s="19"/>
      <c r="AL26" s="19" t="s">
        <v>955</v>
      </c>
      <c r="AM26" s="19">
        <v>1</v>
      </c>
      <c r="AN26" s="22">
        <f t="shared" si="1"/>
        <v>45420</v>
      </c>
      <c r="AO26" s="19" t="s">
        <v>955</v>
      </c>
      <c r="AP26" s="19"/>
      <c r="AQ26" s="19"/>
      <c r="AR26" s="9"/>
      <c r="AS26" s="9"/>
    </row>
    <row r="27" spans="1:45" s="16" customFormat="1" ht="54" customHeight="1">
      <c r="A27" s="19">
        <v>25</v>
      </c>
      <c r="B27" s="53" t="s">
        <v>339</v>
      </c>
      <c r="C27" s="53" t="s">
        <v>793</v>
      </c>
      <c r="D27" s="37" t="s">
        <v>789</v>
      </c>
      <c r="E27" s="37" t="s">
        <v>790</v>
      </c>
      <c r="F27" s="53" t="s">
        <v>111</v>
      </c>
      <c r="G27" s="36" t="s">
        <v>860</v>
      </c>
      <c r="H27" s="36" t="s">
        <v>862</v>
      </c>
      <c r="I27" s="19" t="s">
        <v>868</v>
      </c>
      <c r="J27" s="36" t="s">
        <v>131</v>
      </c>
      <c r="K27" s="53" t="s">
        <v>512</v>
      </c>
      <c r="L27" s="19" t="s">
        <v>86</v>
      </c>
      <c r="M27" s="19" t="s">
        <v>185</v>
      </c>
      <c r="N27" s="53" t="s">
        <v>50</v>
      </c>
      <c r="O27" s="53" t="s">
        <v>400</v>
      </c>
      <c r="P27" s="53" t="s">
        <v>403</v>
      </c>
      <c r="Q27" s="45" t="s">
        <v>500</v>
      </c>
      <c r="R27" s="22" t="s">
        <v>41</v>
      </c>
      <c r="S27" s="56" t="s">
        <v>504</v>
      </c>
      <c r="T27" s="56" t="s">
        <v>504</v>
      </c>
      <c r="U27" s="56" t="s">
        <v>513</v>
      </c>
      <c r="V27" s="56" t="s">
        <v>514</v>
      </c>
      <c r="W27" s="56" t="s">
        <v>515</v>
      </c>
      <c r="X27" s="56" t="s">
        <v>515</v>
      </c>
      <c r="Y27" s="19">
        <v>12</v>
      </c>
      <c r="Z27" s="19">
        <v>8</v>
      </c>
      <c r="AA27" s="54">
        <v>290000000</v>
      </c>
      <c r="AB27" s="68">
        <v>0.08</v>
      </c>
      <c r="AC27" s="67">
        <v>2.8999999999999998E-3</v>
      </c>
      <c r="AD27" s="19" t="s">
        <v>889</v>
      </c>
      <c r="AE27" s="19">
        <v>1</v>
      </c>
      <c r="AF27" s="22">
        <f>AD27+14</f>
        <v>45407</v>
      </c>
      <c r="AG27" s="19" t="s">
        <v>889</v>
      </c>
      <c r="AH27" s="19"/>
      <c r="AI27" s="19"/>
      <c r="AJ27" s="19"/>
      <c r="AK27" s="19"/>
      <c r="AL27" s="19" t="s">
        <v>875</v>
      </c>
      <c r="AM27" s="19">
        <v>1</v>
      </c>
      <c r="AN27" s="22">
        <f t="shared" si="1"/>
        <v>45469</v>
      </c>
      <c r="AO27" s="19" t="s">
        <v>890</v>
      </c>
      <c r="AP27" s="19"/>
      <c r="AQ27" s="19"/>
      <c r="AR27" s="9"/>
      <c r="AS27" s="9"/>
    </row>
    <row r="28" spans="1:45" s="16" customFormat="1" ht="54" customHeight="1">
      <c r="A28" s="19">
        <v>26</v>
      </c>
      <c r="B28" s="53" t="s">
        <v>516</v>
      </c>
      <c r="C28" s="53" t="s">
        <v>517</v>
      </c>
      <c r="D28" s="37" t="s">
        <v>131</v>
      </c>
      <c r="E28" s="37" t="s">
        <v>809</v>
      </c>
      <c r="F28" s="53" t="s">
        <v>518</v>
      </c>
      <c r="G28" s="36" t="s">
        <v>860</v>
      </c>
      <c r="H28" s="36" t="s">
        <v>866</v>
      </c>
      <c r="I28" s="19">
        <v>1</v>
      </c>
      <c r="J28" s="19" t="s">
        <v>131</v>
      </c>
      <c r="K28" s="53" t="s">
        <v>519</v>
      </c>
      <c r="L28" s="19" t="s">
        <v>86</v>
      </c>
      <c r="M28" s="19" t="s">
        <v>185</v>
      </c>
      <c r="N28" s="53" t="s">
        <v>50</v>
      </c>
      <c r="O28" s="53" t="s">
        <v>400</v>
      </c>
      <c r="P28" s="53" t="s">
        <v>403</v>
      </c>
      <c r="Q28" s="45" t="s">
        <v>500</v>
      </c>
      <c r="R28" s="22" t="s">
        <v>41</v>
      </c>
      <c r="S28" s="53" t="s">
        <v>503</v>
      </c>
      <c r="T28" s="53" t="s">
        <v>503</v>
      </c>
      <c r="U28" s="53" t="s">
        <v>520</v>
      </c>
      <c r="V28" s="53" t="s">
        <v>521</v>
      </c>
      <c r="W28" s="56" t="s">
        <v>522</v>
      </c>
      <c r="X28" s="56" t="s">
        <v>522</v>
      </c>
      <c r="Y28" s="19">
        <v>7</v>
      </c>
      <c r="Z28" s="19">
        <v>7</v>
      </c>
      <c r="AA28" s="54">
        <v>27000000</v>
      </c>
      <c r="AB28" s="68">
        <v>0.3</v>
      </c>
      <c r="AC28" s="67">
        <v>2.7E-4</v>
      </c>
      <c r="AD28" s="19"/>
      <c r="AE28" s="19"/>
      <c r="AF28" s="22"/>
      <c r="AG28" s="19"/>
      <c r="AH28" s="19"/>
      <c r="AI28" s="19"/>
      <c r="AJ28" s="19"/>
      <c r="AK28" s="19"/>
      <c r="AL28" s="19" t="s">
        <v>994</v>
      </c>
      <c r="AM28" s="19">
        <v>1</v>
      </c>
      <c r="AN28" s="22">
        <f t="shared" si="1"/>
        <v>45427</v>
      </c>
      <c r="AO28" s="19" t="s">
        <v>993</v>
      </c>
      <c r="AP28" s="19"/>
      <c r="AQ28" s="19"/>
      <c r="AR28" s="9"/>
      <c r="AS28" s="9"/>
    </row>
    <row r="29" spans="1:45" s="16" customFormat="1" ht="54" customHeight="1">
      <c r="A29" s="19">
        <v>27</v>
      </c>
      <c r="B29" s="53" t="s">
        <v>123</v>
      </c>
      <c r="C29" s="53" t="s">
        <v>124</v>
      </c>
      <c r="D29" s="63" t="s">
        <v>797</v>
      </c>
      <c r="E29" s="37" t="s">
        <v>798</v>
      </c>
      <c r="F29" s="53" t="s">
        <v>75</v>
      </c>
      <c r="G29" s="36" t="s">
        <v>860</v>
      </c>
      <c r="H29" s="36" t="s">
        <v>861</v>
      </c>
      <c r="I29" s="19">
        <v>6</v>
      </c>
      <c r="J29" s="36" t="s">
        <v>131</v>
      </c>
      <c r="K29" s="53" t="s">
        <v>523</v>
      </c>
      <c r="L29" s="19" t="s">
        <v>86</v>
      </c>
      <c r="M29" s="19" t="s">
        <v>185</v>
      </c>
      <c r="N29" s="53" t="s">
        <v>50</v>
      </c>
      <c r="O29" s="53" t="s">
        <v>400</v>
      </c>
      <c r="P29" s="53" t="s">
        <v>403</v>
      </c>
      <c r="Q29" s="45" t="s">
        <v>500</v>
      </c>
      <c r="R29" s="22" t="s">
        <v>41</v>
      </c>
      <c r="S29" s="53" t="s">
        <v>131</v>
      </c>
      <c r="T29" s="53" t="s">
        <v>131</v>
      </c>
      <c r="U29" s="53" t="s">
        <v>131</v>
      </c>
      <c r="V29" s="53" t="s">
        <v>131</v>
      </c>
      <c r="W29" s="53" t="s">
        <v>131</v>
      </c>
      <c r="X29" s="53"/>
      <c r="Y29" s="19"/>
      <c r="Z29" s="19">
        <v>3</v>
      </c>
      <c r="AA29" s="54">
        <v>64494000</v>
      </c>
      <c r="AB29" s="68">
        <v>0.05</v>
      </c>
      <c r="AC29" s="67">
        <v>6.4000000000000005E-4</v>
      </c>
      <c r="AD29" s="19"/>
      <c r="AE29" s="19"/>
      <c r="AF29" s="22"/>
      <c r="AG29" s="19"/>
      <c r="AH29" s="19"/>
      <c r="AI29" s="19"/>
      <c r="AJ29" s="19"/>
      <c r="AK29" s="19"/>
      <c r="AL29" s="19"/>
      <c r="AM29" s="19"/>
      <c r="AN29" s="22"/>
      <c r="AO29" s="19"/>
      <c r="AP29" s="19"/>
      <c r="AQ29" s="19"/>
      <c r="AR29" s="9"/>
      <c r="AS29" s="9"/>
    </row>
    <row r="30" spans="1:45" s="16" customFormat="1" ht="54" customHeight="1">
      <c r="A30" s="19">
        <v>28</v>
      </c>
      <c r="B30" s="53" t="s">
        <v>440</v>
      </c>
      <c r="C30" s="53" t="s">
        <v>170</v>
      </c>
      <c r="D30" s="63" t="s">
        <v>801</v>
      </c>
      <c r="E30" s="37" t="s">
        <v>802</v>
      </c>
      <c r="F30" s="53" t="s">
        <v>171</v>
      </c>
      <c r="G30" s="36" t="s">
        <v>860</v>
      </c>
      <c r="H30" s="36" t="s">
        <v>861</v>
      </c>
      <c r="I30" s="19">
        <v>20</v>
      </c>
      <c r="J30" s="36" t="s">
        <v>131</v>
      </c>
      <c r="K30" s="53" t="s">
        <v>524</v>
      </c>
      <c r="L30" s="19" t="s">
        <v>49</v>
      </c>
      <c r="M30" s="19" t="s">
        <v>368</v>
      </c>
      <c r="N30" s="53" t="s">
        <v>113</v>
      </c>
      <c r="O30" s="53" t="s">
        <v>400</v>
      </c>
      <c r="P30" s="53" t="s">
        <v>64</v>
      </c>
      <c r="Q30" s="45" t="s">
        <v>500</v>
      </c>
      <c r="R30" s="22" t="s">
        <v>41</v>
      </c>
      <c r="S30" s="53" t="s">
        <v>503</v>
      </c>
      <c r="T30" s="53" t="s">
        <v>503</v>
      </c>
      <c r="U30" s="53" t="s">
        <v>520</v>
      </c>
      <c r="V30" s="53" t="s">
        <v>521</v>
      </c>
      <c r="W30" s="56" t="s">
        <v>522</v>
      </c>
      <c r="X30" s="56" t="s">
        <v>522</v>
      </c>
      <c r="Y30" s="19">
        <v>18</v>
      </c>
      <c r="Z30" s="19">
        <v>50</v>
      </c>
      <c r="AA30" s="54">
        <v>426408853</v>
      </c>
      <c r="AB30" s="68">
        <v>0.59</v>
      </c>
      <c r="AC30" s="67">
        <v>4.2599999999999999E-3</v>
      </c>
      <c r="AD30" s="19" t="s">
        <v>930</v>
      </c>
      <c r="AE30" s="19">
        <v>1</v>
      </c>
      <c r="AF30" s="22">
        <f t="shared" ref="AF30:AF31" si="2">AD30+14</f>
        <v>45419</v>
      </c>
      <c r="AG30" s="19" t="s">
        <v>894</v>
      </c>
      <c r="AH30" s="19"/>
      <c r="AI30" s="19"/>
      <c r="AJ30" s="19"/>
      <c r="AK30" s="19"/>
      <c r="AL30" s="19" t="s">
        <v>932</v>
      </c>
      <c r="AM30" s="19">
        <v>1</v>
      </c>
      <c r="AN30" s="22">
        <f t="shared" ref="AN30:AN31" si="3">AL30+30</f>
        <v>45527</v>
      </c>
      <c r="AO30" s="19" t="s">
        <v>931</v>
      </c>
      <c r="AP30" s="19"/>
      <c r="AQ30" s="19"/>
      <c r="AR30" s="9"/>
      <c r="AS30" s="9"/>
    </row>
    <row r="31" spans="1:45" s="16" customFormat="1" ht="54" customHeight="1">
      <c r="A31" s="19">
        <v>29</v>
      </c>
      <c r="B31" s="53" t="s">
        <v>440</v>
      </c>
      <c r="C31" s="53" t="s">
        <v>170</v>
      </c>
      <c r="D31" s="63" t="s">
        <v>801</v>
      </c>
      <c r="E31" s="37" t="s">
        <v>802</v>
      </c>
      <c r="F31" s="53" t="s">
        <v>171</v>
      </c>
      <c r="G31" s="36" t="s">
        <v>860</v>
      </c>
      <c r="H31" s="36" t="s">
        <v>861</v>
      </c>
      <c r="I31" s="19">
        <v>20</v>
      </c>
      <c r="J31" s="19" t="s">
        <v>131</v>
      </c>
      <c r="K31" s="53" t="s">
        <v>525</v>
      </c>
      <c r="L31" s="19" t="s">
        <v>86</v>
      </c>
      <c r="M31" s="19" t="s">
        <v>368</v>
      </c>
      <c r="N31" s="53" t="s">
        <v>113</v>
      </c>
      <c r="O31" s="53" t="s">
        <v>400</v>
      </c>
      <c r="P31" s="53" t="s">
        <v>64</v>
      </c>
      <c r="Q31" s="55" t="s">
        <v>526</v>
      </c>
      <c r="R31" s="22" t="s">
        <v>41</v>
      </c>
      <c r="S31" s="53" t="s">
        <v>502</v>
      </c>
      <c r="T31" s="53" t="s">
        <v>502</v>
      </c>
      <c r="U31" s="53" t="s">
        <v>503</v>
      </c>
      <c r="V31" s="53" t="s">
        <v>520</v>
      </c>
      <c r="W31" s="56" t="s">
        <v>527</v>
      </c>
      <c r="X31" s="56" t="s">
        <v>527</v>
      </c>
      <c r="Y31" s="19">
        <v>27</v>
      </c>
      <c r="Z31" s="19">
        <v>47</v>
      </c>
      <c r="AA31" s="54">
        <v>1098951300</v>
      </c>
      <c r="AB31" s="68">
        <v>0.41</v>
      </c>
      <c r="AC31" s="67">
        <v>1.09E-2</v>
      </c>
      <c r="AD31" s="19" t="s">
        <v>930</v>
      </c>
      <c r="AE31" s="19">
        <v>1</v>
      </c>
      <c r="AF31" s="22">
        <f t="shared" si="2"/>
        <v>45419</v>
      </c>
      <c r="AG31" s="19" t="s">
        <v>894</v>
      </c>
      <c r="AH31" s="19"/>
      <c r="AI31" s="19"/>
      <c r="AJ31" s="19"/>
      <c r="AK31" s="19"/>
      <c r="AL31" s="19" t="s">
        <v>932</v>
      </c>
      <c r="AM31" s="19">
        <v>1</v>
      </c>
      <c r="AN31" s="22">
        <f t="shared" si="3"/>
        <v>45527</v>
      </c>
      <c r="AO31" s="19" t="s">
        <v>931</v>
      </c>
      <c r="AP31" s="19"/>
      <c r="AQ31" s="19"/>
      <c r="AR31" s="9"/>
      <c r="AS31" s="9"/>
    </row>
    <row r="32" spans="1:45" s="16" customFormat="1" ht="54" customHeight="1">
      <c r="A32" s="19">
        <v>30</v>
      </c>
      <c r="B32" s="53" t="s">
        <v>440</v>
      </c>
      <c r="C32" s="53" t="s">
        <v>170</v>
      </c>
      <c r="D32" s="63" t="s">
        <v>801</v>
      </c>
      <c r="E32" s="37" t="s">
        <v>802</v>
      </c>
      <c r="F32" s="53" t="s">
        <v>171</v>
      </c>
      <c r="G32" s="36" t="s">
        <v>860</v>
      </c>
      <c r="H32" s="36" t="s">
        <v>861</v>
      </c>
      <c r="I32" s="19">
        <v>20</v>
      </c>
      <c r="J32" s="36" t="s">
        <v>131</v>
      </c>
      <c r="K32" s="53" t="s">
        <v>528</v>
      </c>
      <c r="L32" s="19" t="s">
        <v>49</v>
      </c>
      <c r="M32" s="19" t="s">
        <v>368</v>
      </c>
      <c r="N32" s="53" t="s">
        <v>113</v>
      </c>
      <c r="O32" s="53" t="s">
        <v>400</v>
      </c>
      <c r="P32" s="53" t="s">
        <v>64</v>
      </c>
      <c r="Q32" s="55" t="s">
        <v>526</v>
      </c>
      <c r="R32" s="22" t="s">
        <v>41</v>
      </c>
      <c r="S32" s="53" t="s">
        <v>529</v>
      </c>
      <c r="T32" s="53" t="s">
        <v>529</v>
      </c>
      <c r="U32" s="53" t="s">
        <v>530</v>
      </c>
      <c r="V32" s="56" t="s">
        <v>531</v>
      </c>
      <c r="W32" s="56" t="s">
        <v>532</v>
      </c>
      <c r="X32" s="56" t="s">
        <v>532</v>
      </c>
      <c r="Y32" s="19">
        <v>18</v>
      </c>
      <c r="Z32" s="19">
        <v>54</v>
      </c>
      <c r="AA32" s="54">
        <v>408443248</v>
      </c>
      <c r="AB32" s="68">
        <v>0.52</v>
      </c>
      <c r="AC32" s="67">
        <v>4.0800000000000003E-3</v>
      </c>
      <c r="AD32" s="19" t="s">
        <v>930</v>
      </c>
      <c r="AE32" s="19">
        <v>1</v>
      </c>
      <c r="AF32" s="22">
        <f t="shared" ref="AF32:AF33" si="4">AD32+14</f>
        <v>45419</v>
      </c>
      <c r="AG32" s="19" t="s">
        <v>894</v>
      </c>
      <c r="AH32" s="19"/>
      <c r="AI32" s="19"/>
      <c r="AJ32" s="19"/>
      <c r="AK32" s="19"/>
      <c r="AL32" s="19" t="s">
        <v>932</v>
      </c>
      <c r="AM32" s="19">
        <v>1</v>
      </c>
      <c r="AN32" s="22">
        <f t="shared" ref="AN32:AN33" si="5">AL32+30</f>
        <v>45527</v>
      </c>
      <c r="AO32" s="19" t="s">
        <v>931</v>
      </c>
      <c r="AP32" s="19"/>
      <c r="AQ32" s="19"/>
      <c r="AR32" s="9"/>
      <c r="AS32" s="9"/>
    </row>
    <row r="33" spans="1:45" s="16" customFormat="1" ht="54" customHeight="1">
      <c r="A33" s="19">
        <v>31</v>
      </c>
      <c r="B33" s="53" t="s">
        <v>440</v>
      </c>
      <c r="C33" s="53" t="s">
        <v>170</v>
      </c>
      <c r="D33" s="63" t="s">
        <v>801</v>
      </c>
      <c r="E33" s="37" t="s">
        <v>802</v>
      </c>
      <c r="F33" s="53" t="s">
        <v>171</v>
      </c>
      <c r="G33" s="36" t="s">
        <v>860</v>
      </c>
      <c r="H33" s="36" t="s">
        <v>861</v>
      </c>
      <c r="I33" s="19">
        <v>20</v>
      </c>
      <c r="J33" s="36" t="s">
        <v>131</v>
      </c>
      <c r="K33" s="53" t="s">
        <v>533</v>
      </c>
      <c r="L33" s="19" t="s">
        <v>86</v>
      </c>
      <c r="M33" s="19" t="s">
        <v>368</v>
      </c>
      <c r="N33" s="53" t="s">
        <v>113</v>
      </c>
      <c r="O33" s="53" t="s">
        <v>400</v>
      </c>
      <c r="P33" s="53" t="s">
        <v>64</v>
      </c>
      <c r="Q33" s="55" t="s">
        <v>526</v>
      </c>
      <c r="R33" s="22" t="s">
        <v>41</v>
      </c>
      <c r="S33" s="53" t="s">
        <v>534</v>
      </c>
      <c r="T33" s="53" t="s">
        <v>534</v>
      </c>
      <c r="U33" s="53" t="s">
        <v>535</v>
      </c>
      <c r="V33" s="53" t="s">
        <v>536</v>
      </c>
      <c r="W33" s="53" t="s">
        <v>537</v>
      </c>
      <c r="X33" s="53" t="s">
        <v>870</v>
      </c>
      <c r="Y33" s="19">
        <v>27</v>
      </c>
      <c r="Z33" s="19">
        <v>43</v>
      </c>
      <c r="AA33" s="54">
        <v>1073582139</v>
      </c>
      <c r="AB33" s="68">
        <v>0.38</v>
      </c>
      <c r="AC33" s="67">
        <v>1.0699999999999999E-2</v>
      </c>
      <c r="AD33" s="19" t="s">
        <v>930</v>
      </c>
      <c r="AE33" s="19">
        <v>1</v>
      </c>
      <c r="AF33" s="22">
        <f t="shared" si="4"/>
        <v>45419</v>
      </c>
      <c r="AG33" s="19" t="s">
        <v>894</v>
      </c>
      <c r="AH33" s="19"/>
      <c r="AI33" s="19"/>
      <c r="AJ33" s="19"/>
      <c r="AK33" s="19"/>
      <c r="AL33" s="19" t="s">
        <v>932</v>
      </c>
      <c r="AM33" s="19">
        <v>1</v>
      </c>
      <c r="AN33" s="22">
        <f t="shared" si="5"/>
        <v>45527</v>
      </c>
      <c r="AO33" s="19" t="s">
        <v>931</v>
      </c>
      <c r="AP33" s="19"/>
      <c r="AQ33" s="19"/>
      <c r="AR33" s="9"/>
      <c r="AS33" s="9"/>
    </row>
    <row r="34" spans="1:45" s="16" customFormat="1" ht="54" customHeight="1">
      <c r="A34" s="19">
        <v>32</v>
      </c>
      <c r="B34" s="53" t="s">
        <v>415</v>
      </c>
      <c r="C34" s="53" t="s">
        <v>794</v>
      </c>
      <c r="D34" s="63" t="s">
        <v>795</v>
      </c>
      <c r="E34" s="37" t="s">
        <v>131</v>
      </c>
      <c r="F34" s="53" t="s">
        <v>538</v>
      </c>
      <c r="G34" s="36" t="s">
        <v>860</v>
      </c>
      <c r="H34" s="36" t="s">
        <v>865</v>
      </c>
      <c r="I34" s="19">
        <v>4</v>
      </c>
      <c r="J34" s="19" t="s">
        <v>131</v>
      </c>
      <c r="K34" s="53" t="s">
        <v>539</v>
      </c>
      <c r="L34" s="19" t="s">
        <v>49</v>
      </c>
      <c r="M34" s="19" t="s">
        <v>368</v>
      </c>
      <c r="N34" s="53" t="s">
        <v>50</v>
      </c>
      <c r="O34" s="53" t="s">
        <v>400</v>
      </c>
      <c r="P34" s="53" t="s">
        <v>52</v>
      </c>
      <c r="Q34" s="45" t="s">
        <v>500</v>
      </c>
      <c r="R34" s="22" t="s">
        <v>41</v>
      </c>
      <c r="S34" s="53" t="s">
        <v>540</v>
      </c>
      <c r="T34" s="53" t="s">
        <v>540</v>
      </c>
      <c r="U34" s="53" t="s">
        <v>487</v>
      </c>
      <c r="V34" s="53" t="s">
        <v>541</v>
      </c>
      <c r="W34" s="56" t="s">
        <v>542</v>
      </c>
      <c r="X34" s="56" t="s">
        <v>573</v>
      </c>
      <c r="Y34" s="19">
        <v>28</v>
      </c>
      <c r="Z34" s="19">
        <v>70</v>
      </c>
      <c r="AA34" s="54">
        <v>345917000</v>
      </c>
      <c r="AB34" s="68">
        <v>0.55000000000000004</v>
      </c>
      <c r="AC34" s="67">
        <v>3.4499999999999999E-3</v>
      </c>
      <c r="AD34" s="19" t="s">
        <v>897</v>
      </c>
      <c r="AE34" s="19">
        <v>1</v>
      </c>
      <c r="AF34" s="22">
        <f>AD34+14</f>
        <v>45422</v>
      </c>
      <c r="AG34" s="19" t="s">
        <v>898</v>
      </c>
      <c r="AH34" s="19" t="s">
        <v>900</v>
      </c>
      <c r="AI34" s="19">
        <v>1</v>
      </c>
      <c r="AJ34" s="22">
        <f>AH34+14</f>
        <v>45454</v>
      </c>
      <c r="AK34" s="19" t="s">
        <v>899</v>
      </c>
      <c r="AL34" s="19" t="s">
        <v>902</v>
      </c>
      <c r="AM34" s="19">
        <v>1</v>
      </c>
      <c r="AN34" s="22">
        <f>AL34+30</f>
        <v>45525</v>
      </c>
      <c r="AO34" s="19" t="s">
        <v>901</v>
      </c>
      <c r="AP34" s="19"/>
      <c r="AQ34" s="19"/>
      <c r="AR34" s="9"/>
      <c r="AS34" s="9"/>
    </row>
    <row r="35" spans="1:45" s="16" customFormat="1" ht="54" customHeight="1">
      <c r="A35" s="19">
        <v>33</v>
      </c>
      <c r="B35" s="53" t="s">
        <v>415</v>
      </c>
      <c r="C35" s="53" t="s">
        <v>794</v>
      </c>
      <c r="D35" s="63" t="s">
        <v>795</v>
      </c>
      <c r="E35" s="37" t="s">
        <v>131</v>
      </c>
      <c r="F35" s="53" t="s">
        <v>538</v>
      </c>
      <c r="G35" s="36" t="s">
        <v>860</v>
      </c>
      <c r="H35" s="36" t="s">
        <v>865</v>
      </c>
      <c r="I35" s="19">
        <v>4</v>
      </c>
      <c r="J35" s="36" t="s">
        <v>131</v>
      </c>
      <c r="K35" s="53" t="s">
        <v>543</v>
      </c>
      <c r="L35" s="19" t="s">
        <v>86</v>
      </c>
      <c r="M35" s="19" t="s">
        <v>368</v>
      </c>
      <c r="N35" s="53" t="s">
        <v>50</v>
      </c>
      <c r="O35" s="53" t="s">
        <v>400</v>
      </c>
      <c r="P35" s="53" t="s">
        <v>52</v>
      </c>
      <c r="Q35" s="55" t="s">
        <v>526</v>
      </c>
      <c r="R35" s="22" t="s">
        <v>41</v>
      </c>
      <c r="S35" s="53" t="s">
        <v>520</v>
      </c>
      <c r="T35" s="53" t="s">
        <v>520</v>
      </c>
      <c r="U35" s="53" t="s">
        <v>521</v>
      </c>
      <c r="V35" s="53" t="s">
        <v>544</v>
      </c>
      <c r="W35" s="53" t="s">
        <v>545</v>
      </c>
      <c r="X35" s="53" t="s">
        <v>599</v>
      </c>
      <c r="Y35" s="19">
        <v>27</v>
      </c>
      <c r="Z35" s="19">
        <v>60</v>
      </c>
      <c r="AA35" s="54">
        <v>1986871352</v>
      </c>
      <c r="AB35" s="68">
        <v>0.22</v>
      </c>
      <c r="AC35" s="67">
        <v>1.9800000000000002E-2</v>
      </c>
      <c r="AD35" s="19" t="s">
        <v>897</v>
      </c>
      <c r="AE35" s="19">
        <v>1</v>
      </c>
      <c r="AF35" s="22">
        <f>AD35+14</f>
        <v>45422</v>
      </c>
      <c r="AG35" s="19" t="s">
        <v>898</v>
      </c>
      <c r="AH35" s="19" t="s">
        <v>900</v>
      </c>
      <c r="AI35" s="19">
        <v>1</v>
      </c>
      <c r="AJ35" s="22">
        <f>AH35+14</f>
        <v>45454</v>
      </c>
      <c r="AK35" s="19" t="s">
        <v>903</v>
      </c>
      <c r="AL35" s="19" t="s">
        <v>902</v>
      </c>
      <c r="AM35" s="19">
        <v>1</v>
      </c>
      <c r="AN35" s="22">
        <f>AL35+30</f>
        <v>45525</v>
      </c>
      <c r="AO35" s="19" t="s">
        <v>901</v>
      </c>
      <c r="AP35" s="19"/>
      <c r="AQ35" s="19"/>
      <c r="AR35" s="9"/>
      <c r="AS35" s="9"/>
    </row>
    <row r="36" spans="1:45" s="16" customFormat="1" ht="54" customHeight="1">
      <c r="A36" s="19">
        <v>34</v>
      </c>
      <c r="B36" s="53" t="s">
        <v>546</v>
      </c>
      <c r="C36" s="53" t="s">
        <v>547</v>
      </c>
      <c r="D36" s="63" t="s">
        <v>810</v>
      </c>
      <c r="E36" s="37" t="s">
        <v>811</v>
      </c>
      <c r="F36" s="53" t="s">
        <v>75</v>
      </c>
      <c r="G36" s="36" t="s">
        <v>860</v>
      </c>
      <c r="H36" s="36" t="s">
        <v>864</v>
      </c>
      <c r="I36" s="19">
        <v>40</v>
      </c>
      <c r="J36" s="36" t="s">
        <v>131</v>
      </c>
      <c r="K36" s="53" t="s">
        <v>874</v>
      </c>
      <c r="L36" s="19" t="s">
        <v>86</v>
      </c>
      <c r="M36" s="19" t="s">
        <v>368</v>
      </c>
      <c r="N36" s="53" t="s">
        <v>50</v>
      </c>
      <c r="O36" s="53" t="s">
        <v>400</v>
      </c>
      <c r="P36" s="53" t="s">
        <v>548</v>
      </c>
      <c r="Q36" s="55" t="s">
        <v>526</v>
      </c>
      <c r="R36" s="22" t="s">
        <v>41</v>
      </c>
      <c r="S36" s="53" t="s">
        <v>549</v>
      </c>
      <c r="T36" s="53" t="s">
        <v>549</v>
      </c>
      <c r="U36" s="53" t="s">
        <v>550</v>
      </c>
      <c r="V36" s="53" t="s">
        <v>551</v>
      </c>
      <c r="W36" s="57" t="s">
        <v>552</v>
      </c>
      <c r="X36" s="57" t="s">
        <v>552</v>
      </c>
      <c r="Y36" s="19">
        <v>27</v>
      </c>
      <c r="Z36" s="19">
        <v>39</v>
      </c>
      <c r="AA36" s="54">
        <v>750000000</v>
      </c>
      <c r="AB36" s="68">
        <v>0.16</v>
      </c>
      <c r="AC36" s="67">
        <v>7.4999999999999997E-3</v>
      </c>
      <c r="AD36" s="72"/>
      <c r="AE36" s="19"/>
      <c r="AF36" s="19"/>
      <c r="AG36" s="72"/>
      <c r="AH36" s="19"/>
      <c r="AI36" s="19"/>
      <c r="AJ36" s="19"/>
      <c r="AK36" s="19"/>
      <c r="AL36" s="19" t="s">
        <v>988</v>
      </c>
      <c r="AM36" s="19">
        <v>1</v>
      </c>
      <c r="AN36" s="22">
        <f>AL36+30</f>
        <v>45472</v>
      </c>
      <c r="AO36" s="19" t="s">
        <v>987</v>
      </c>
      <c r="AP36" s="19"/>
      <c r="AQ36" s="19"/>
      <c r="AR36" s="9"/>
      <c r="AS36" s="9"/>
    </row>
    <row r="37" spans="1:45" s="16" customFormat="1" ht="54" customHeight="1">
      <c r="A37" s="19">
        <v>35</v>
      </c>
      <c r="B37" s="53" t="s">
        <v>422</v>
      </c>
      <c r="C37" s="53" t="s">
        <v>553</v>
      </c>
      <c r="D37" s="37" t="s">
        <v>131</v>
      </c>
      <c r="E37" s="37" t="s">
        <v>796</v>
      </c>
      <c r="F37" s="53" t="s">
        <v>423</v>
      </c>
      <c r="G37" s="36" t="s">
        <v>860</v>
      </c>
      <c r="H37" s="36" t="s">
        <v>861</v>
      </c>
      <c r="I37" s="19">
        <v>16</v>
      </c>
      <c r="J37" s="19" t="s">
        <v>131</v>
      </c>
      <c r="K37" s="53" t="s">
        <v>554</v>
      </c>
      <c r="L37" s="19" t="s">
        <v>86</v>
      </c>
      <c r="M37" s="19" t="s">
        <v>368</v>
      </c>
      <c r="N37" s="53" t="s">
        <v>50</v>
      </c>
      <c r="O37" s="53" t="s">
        <v>400</v>
      </c>
      <c r="P37" s="53" t="s">
        <v>64</v>
      </c>
      <c r="Q37" s="55" t="s">
        <v>526</v>
      </c>
      <c r="R37" s="22" t="s">
        <v>41</v>
      </c>
      <c r="S37" s="57">
        <v>45412</v>
      </c>
      <c r="T37" s="57">
        <v>45412</v>
      </c>
      <c r="U37" s="53" t="s">
        <v>555</v>
      </c>
      <c r="V37" s="53" t="s">
        <v>556</v>
      </c>
      <c r="W37" s="53" t="s">
        <v>557</v>
      </c>
      <c r="X37" s="53" t="s">
        <v>557</v>
      </c>
      <c r="Y37" s="19">
        <v>27</v>
      </c>
      <c r="Z37" s="19">
        <v>17</v>
      </c>
      <c r="AA37" s="54">
        <v>410000000</v>
      </c>
      <c r="AB37" s="68">
        <v>0.23</v>
      </c>
      <c r="AC37" s="67">
        <v>4.1000000000000003E-3</v>
      </c>
      <c r="AD37" s="19" t="s">
        <v>909</v>
      </c>
      <c r="AE37" s="19">
        <v>1</v>
      </c>
      <c r="AF37" s="22">
        <f>AD37+14</f>
        <v>45441</v>
      </c>
      <c r="AG37" s="19" t="s">
        <v>910</v>
      </c>
      <c r="AH37" s="19"/>
      <c r="AI37" s="19"/>
      <c r="AJ37" s="19"/>
      <c r="AK37" s="19"/>
      <c r="AL37" s="19" t="s">
        <v>910</v>
      </c>
      <c r="AM37" s="19">
        <v>1</v>
      </c>
      <c r="AN37" s="22">
        <f>AL37+30</f>
        <v>45473</v>
      </c>
      <c r="AO37" s="19" t="s">
        <v>898</v>
      </c>
      <c r="AP37" s="19"/>
      <c r="AQ37" s="19"/>
      <c r="AR37" s="9"/>
      <c r="AS37" s="9"/>
    </row>
    <row r="38" spans="1:45" s="16" customFormat="1" ht="54" customHeight="1">
      <c r="A38" s="19">
        <v>36</v>
      </c>
      <c r="B38" s="53" t="s">
        <v>106</v>
      </c>
      <c r="C38" s="53" t="s">
        <v>792</v>
      </c>
      <c r="D38" s="37" t="s">
        <v>788</v>
      </c>
      <c r="E38" s="37" t="s">
        <v>787</v>
      </c>
      <c r="F38" s="53" t="s">
        <v>75</v>
      </c>
      <c r="G38" s="36" t="s">
        <v>860</v>
      </c>
      <c r="H38" s="36" t="s">
        <v>862</v>
      </c>
      <c r="I38" s="19" t="s">
        <v>868</v>
      </c>
      <c r="J38" s="36" t="s">
        <v>131</v>
      </c>
      <c r="K38" s="53" t="s">
        <v>402</v>
      </c>
      <c r="L38" s="19" t="s">
        <v>86</v>
      </c>
      <c r="M38" s="19" t="s">
        <v>185</v>
      </c>
      <c r="N38" s="53" t="s">
        <v>50</v>
      </c>
      <c r="O38" s="53" t="s">
        <v>400</v>
      </c>
      <c r="P38" s="53" t="s">
        <v>403</v>
      </c>
      <c r="Q38" s="55" t="s">
        <v>526</v>
      </c>
      <c r="R38" s="22" t="s">
        <v>41</v>
      </c>
      <c r="S38" s="53" t="s">
        <v>131</v>
      </c>
      <c r="T38" s="53" t="s">
        <v>131</v>
      </c>
      <c r="U38" s="53" t="s">
        <v>131</v>
      </c>
      <c r="V38" s="53" t="s">
        <v>131</v>
      </c>
      <c r="W38" s="53" t="s">
        <v>558</v>
      </c>
      <c r="X38" s="53" t="s">
        <v>558</v>
      </c>
      <c r="Y38" s="19">
        <v>7</v>
      </c>
      <c r="Z38" s="19">
        <v>4</v>
      </c>
      <c r="AA38" s="54">
        <v>295000000</v>
      </c>
      <c r="AB38" s="68">
        <v>0.47</v>
      </c>
      <c r="AC38" s="67">
        <v>2.9499999999999999E-3</v>
      </c>
      <c r="AD38" s="19"/>
      <c r="AE38" s="19"/>
      <c r="AF38" s="19"/>
      <c r="AG38" s="19"/>
      <c r="AH38" s="19"/>
      <c r="AI38" s="19"/>
      <c r="AJ38" s="19"/>
      <c r="AK38" s="19"/>
      <c r="AL38" s="19" t="s">
        <v>875</v>
      </c>
      <c r="AM38" s="19">
        <v>1</v>
      </c>
      <c r="AN38" s="22">
        <f>AL38+30</f>
        <v>45469</v>
      </c>
      <c r="AO38" s="19" t="s">
        <v>876</v>
      </c>
      <c r="AP38" s="19"/>
      <c r="AQ38" s="19"/>
      <c r="AR38" s="9"/>
      <c r="AS38" s="9"/>
    </row>
    <row r="39" spans="1:45" s="16" customFormat="1" ht="54" customHeight="1">
      <c r="A39" s="19">
        <v>37</v>
      </c>
      <c r="B39" s="53" t="s">
        <v>559</v>
      </c>
      <c r="C39" s="53" t="s">
        <v>560</v>
      </c>
      <c r="D39" s="63" t="s">
        <v>812</v>
      </c>
      <c r="E39" s="37" t="s">
        <v>813</v>
      </c>
      <c r="F39" s="53" t="s">
        <v>75</v>
      </c>
      <c r="G39" s="36" t="s">
        <v>860</v>
      </c>
      <c r="H39" s="36" t="s">
        <v>861</v>
      </c>
      <c r="I39" s="19">
        <v>6</v>
      </c>
      <c r="J39" s="36" t="s">
        <v>131</v>
      </c>
      <c r="K39" s="53" t="s">
        <v>561</v>
      </c>
      <c r="L39" s="19" t="s">
        <v>86</v>
      </c>
      <c r="M39" s="19" t="s">
        <v>368</v>
      </c>
      <c r="N39" s="53" t="s">
        <v>50</v>
      </c>
      <c r="O39" s="53" t="s">
        <v>400</v>
      </c>
      <c r="P39" s="53"/>
      <c r="Q39" s="53" t="s">
        <v>526</v>
      </c>
      <c r="R39" s="22" t="s">
        <v>41</v>
      </c>
      <c r="S39" s="53" t="s">
        <v>131</v>
      </c>
      <c r="T39" s="53" t="s">
        <v>131</v>
      </c>
      <c r="U39" s="53" t="s">
        <v>131</v>
      </c>
      <c r="V39" s="53" t="s">
        <v>131</v>
      </c>
      <c r="W39" s="53" t="s">
        <v>131</v>
      </c>
      <c r="X39" s="53"/>
      <c r="Y39" s="19">
        <v>30</v>
      </c>
      <c r="Z39" s="19">
        <v>130</v>
      </c>
      <c r="AA39" s="54">
        <v>3760000000</v>
      </c>
      <c r="AB39" s="68">
        <v>0.13</v>
      </c>
      <c r="AC39" s="67">
        <v>3.7600000000000001E-2</v>
      </c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2"/>
      <c r="AO39" s="19"/>
      <c r="AP39" s="19"/>
      <c r="AQ39" s="19"/>
      <c r="AR39" s="9"/>
      <c r="AS39" s="9"/>
    </row>
    <row r="40" spans="1:45" s="16" customFormat="1" ht="54" customHeight="1">
      <c r="A40" s="19">
        <v>38</v>
      </c>
      <c r="B40" s="53" t="s">
        <v>559</v>
      </c>
      <c r="C40" s="53" t="s">
        <v>560</v>
      </c>
      <c r="D40" s="63" t="s">
        <v>812</v>
      </c>
      <c r="E40" s="37" t="s">
        <v>813</v>
      </c>
      <c r="F40" s="53" t="s">
        <v>75</v>
      </c>
      <c r="G40" s="36" t="s">
        <v>860</v>
      </c>
      <c r="H40" s="36" t="s">
        <v>861</v>
      </c>
      <c r="I40" s="19">
        <v>6</v>
      </c>
      <c r="J40" s="19" t="s">
        <v>131</v>
      </c>
      <c r="K40" s="53" t="s">
        <v>562</v>
      </c>
      <c r="L40" s="19" t="s">
        <v>86</v>
      </c>
      <c r="M40" s="19" t="s">
        <v>368</v>
      </c>
      <c r="N40" s="53" t="s">
        <v>50</v>
      </c>
      <c r="O40" s="53" t="s">
        <v>400</v>
      </c>
      <c r="P40" s="53" t="s">
        <v>52</v>
      </c>
      <c r="Q40" s="53" t="s">
        <v>526</v>
      </c>
      <c r="R40" s="22" t="s">
        <v>41</v>
      </c>
      <c r="S40" s="53" t="s">
        <v>563</v>
      </c>
      <c r="T40" s="53" t="s">
        <v>563</v>
      </c>
      <c r="U40" s="53" t="s">
        <v>509</v>
      </c>
      <c r="V40" s="53" t="s">
        <v>510</v>
      </c>
      <c r="W40" s="53" t="s">
        <v>545</v>
      </c>
      <c r="X40" s="53" t="s">
        <v>545</v>
      </c>
      <c r="Y40" s="19">
        <v>27</v>
      </c>
      <c r="Z40" s="19">
        <v>142</v>
      </c>
      <c r="AA40" s="54">
        <v>10257721953</v>
      </c>
      <c r="AB40" s="68">
        <v>0.21</v>
      </c>
      <c r="AC40" s="67">
        <v>0.10249999999999999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2"/>
      <c r="AO40" s="19"/>
      <c r="AP40" s="19"/>
      <c r="AQ40" s="19"/>
      <c r="AR40" s="9"/>
      <c r="AS40" s="9"/>
    </row>
    <row r="41" spans="1:45" s="16" customFormat="1" ht="54" customHeight="1">
      <c r="A41" s="19">
        <v>39</v>
      </c>
      <c r="B41" s="53" t="s">
        <v>564</v>
      </c>
      <c r="C41" s="53" t="s">
        <v>170</v>
      </c>
      <c r="D41" s="37" t="s">
        <v>131</v>
      </c>
      <c r="E41" s="37" t="s">
        <v>131</v>
      </c>
      <c r="F41" s="53" t="s">
        <v>565</v>
      </c>
      <c r="G41" s="36" t="s">
        <v>860</v>
      </c>
      <c r="H41" s="36" t="s">
        <v>861</v>
      </c>
      <c r="I41" s="19">
        <v>10</v>
      </c>
      <c r="J41" s="36" t="s">
        <v>131</v>
      </c>
      <c r="K41" s="53" t="s">
        <v>566</v>
      </c>
      <c r="L41" s="19" t="s">
        <v>86</v>
      </c>
      <c r="M41" s="19" t="s">
        <v>185</v>
      </c>
      <c r="N41" s="53"/>
      <c r="O41" s="53" t="s">
        <v>400</v>
      </c>
      <c r="P41" s="53" t="s">
        <v>403</v>
      </c>
      <c r="Q41" s="53" t="s">
        <v>526</v>
      </c>
      <c r="R41" s="22" t="s">
        <v>41</v>
      </c>
      <c r="S41" s="53" t="s">
        <v>131</v>
      </c>
      <c r="T41" s="53" t="s">
        <v>131</v>
      </c>
      <c r="U41" s="53" t="s">
        <v>131</v>
      </c>
      <c r="V41" s="53" t="s">
        <v>131</v>
      </c>
      <c r="W41" s="53" t="s">
        <v>131</v>
      </c>
      <c r="X41" s="53"/>
      <c r="Y41" s="19">
        <v>3</v>
      </c>
      <c r="Z41" s="19">
        <v>4</v>
      </c>
      <c r="AA41" s="54">
        <v>31488442</v>
      </c>
      <c r="AB41" s="68">
        <v>0.3</v>
      </c>
      <c r="AC41" s="67">
        <v>3.1E-4</v>
      </c>
      <c r="AD41" s="19"/>
      <c r="AE41" s="19"/>
      <c r="AF41" s="19"/>
      <c r="AG41" s="19"/>
      <c r="AH41" s="19"/>
      <c r="AI41" s="19"/>
      <c r="AJ41" s="19"/>
      <c r="AK41" s="19"/>
      <c r="AL41" s="19" t="s">
        <v>995</v>
      </c>
      <c r="AM41" s="19">
        <v>1</v>
      </c>
      <c r="AN41" s="22">
        <f>AL41+30</f>
        <v>45413</v>
      </c>
      <c r="AO41" s="19" t="s">
        <v>996</v>
      </c>
      <c r="AP41" s="19"/>
      <c r="AQ41" s="19"/>
      <c r="AR41" s="9"/>
      <c r="AS41" s="9"/>
    </row>
    <row r="42" spans="1:45" s="16" customFormat="1" ht="54" customHeight="1">
      <c r="A42" s="19">
        <v>40</v>
      </c>
      <c r="B42" s="53" t="s">
        <v>559</v>
      </c>
      <c r="C42" s="53" t="s">
        <v>560</v>
      </c>
      <c r="D42" s="63" t="s">
        <v>812</v>
      </c>
      <c r="E42" s="37" t="s">
        <v>813</v>
      </c>
      <c r="F42" s="53" t="s">
        <v>75</v>
      </c>
      <c r="G42" s="36" t="s">
        <v>860</v>
      </c>
      <c r="H42" s="36" t="s">
        <v>861</v>
      </c>
      <c r="I42" s="19">
        <v>6</v>
      </c>
      <c r="J42" s="36" t="s">
        <v>131</v>
      </c>
      <c r="K42" s="53" t="s">
        <v>567</v>
      </c>
      <c r="L42" s="19" t="s">
        <v>49</v>
      </c>
      <c r="M42" s="19" t="s">
        <v>368</v>
      </c>
      <c r="N42" s="53" t="s">
        <v>50</v>
      </c>
      <c r="O42" s="53" t="s">
        <v>400</v>
      </c>
      <c r="P42" s="53" t="s">
        <v>64</v>
      </c>
      <c r="Q42" s="53" t="s">
        <v>526</v>
      </c>
      <c r="R42" s="22" t="s">
        <v>41</v>
      </c>
      <c r="S42" s="53" t="s">
        <v>131</v>
      </c>
      <c r="T42" s="53" t="s">
        <v>131</v>
      </c>
      <c r="U42" s="53" t="s">
        <v>131</v>
      </c>
      <c r="V42" s="53" t="s">
        <v>131</v>
      </c>
      <c r="W42" s="53" t="s">
        <v>131</v>
      </c>
      <c r="X42" s="53"/>
      <c r="Y42" s="19">
        <v>18</v>
      </c>
      <c r="Z42" s="19">
        <v>54</v>
      </c>
      <c r="AA42" s="54">
        <v>450000000</v>
      </c>
      <c r="AB42" s="68">
        <v>0.47</v>
      </c>
      <c r="AC42" s="67">
        <v>4.4999999999999997E-3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2"/>
      <c r="AO42" s="19"/>
      <c r="AP42" s="19"/>
      <c r="AQ42" s="19"/>
      <c r="AR42" s="9"/>
      <c r="AS42" s="9"/>
    </row>
    <row r="43" spans="1:45" s="16" customFormat="1" ht="54" customHeight="1">
      <c r="A43" s="19">
        <v>41</v>
      </c>
      <c r="B43" s="53" t="s">
        <v>546</v>
      </c>
      <c r="C43" s="53" t="s">
        <v>547</v>
      </c>
      <c r="D43" s="63" t="s">
        <v>810</v>
      </c>
      <c r="E43" s="37" t="s">
        <v>811</v>
      </c>
      <c r="F43" s="53" t="s">
        <v>75</v>
      </c>
      <c r="G43" s="36" t="s">
        <v>860</v>
      </c>
      <c r="H43" s="36" t="s">
        <v>864</v>
      </c>
      <c r="I43" s="19">
        <v>40</v>
      </c>
      <c r="J43" s="19" t="s">
        <v>131</v>
      </c>
      <c r="K43" s="53" t="s">
        <v>568</v>
      </c>
      <c r="L43" s="19" t="s">
        <v>49</v>
      </c>
      <c r="M43" s="19" t="s">
        <v>368</v>
      </c>
      <c r="N43" s="53" t="s">
        <v>50</v>
      </c>
      <c r="O43" s="53" t="s">
        <v>400</v>
      </c>
      <c r="P43" s="53" t="s">
        <v>52</v>
      </c>
      <c r="Q43" s="53" t="s">
        <v>526</v>
      </c>
      <c r="R43" s="22" t="s">
        <v>41</v>
      </c>
      <c r="S43" s="53" t="s">
        <v>558</v>
      </c>
      <c r="T43" s="53" t="s">
        <v>558</v>
      </c>
      <c r="U43" s="53" t="s">
        <v>569</v>
      </c>
      <c r="V43" s="53" t="s">
        <v>570</v>
      </c>
      <c r="W43" s="53" t="s">
        <v>571</v>
      </c>
      <c r="X43" s="53" t="s">
        <v>572</v>
      </c>
      <c r="Y43" s="19">
        <v>28</v>
      </c>
      <c r="Z43" s="19">
        <v>32</v>
      </c>
      <c r="AA43" s="54">
        <v>450000000</v>
      </c>
      <c r="AB43" s="68">
        <v>0.41</v>
      </c>
      <c r="AC43" s="67">
        <v>4.4999999999999997E-3</v>
      </c>
      <c r="AD43" s="19"/>
      <c r="AE43" s="19"/>
      <c r="AF43" s="19"/>
      <c r="AG43" s="19"/>
      <c r="AH43" s="19"/>
      <c r="AI43" s="19"/>
      <c r="AJ43" s="19"/>
      <c r="AK43" s="19"/>
      <c r="AL43" s="19" t="s">
        <v>942</v>
      </c>
      <c r="AM43" s="19">
        <v>1</v>
      </c>
      <c r="AN43" s="22">
        <f>AL43+30</f>
        <v>45540</v>
      </c>
      <c r="AO43" s="19" t="s">
        <v>985</v>
      </c>
      <c r="AP43" s="19"/>
      <c r="AQ43" s="19"/>
      <c r="AR43" s="9"/>
      <c r="AS43" s="9"/>
    </row>
    <row r="44" spans="1:45" s="16" customFormat="1" ht="54" customHeight="1">
      <c r="A44" s="19">
        <v>42</v>
      </c>
      <c r="B44" s="53" t="s">
        <v>106</v>
      </c>
      <c r="C44" s="53" t="s">
        <v>792</v>
      </c>
      <c r="D44" s="37" t="s">
        <v>788</v>
      </c>
      <c r="E44" s="37" t="s">
        <v>787</v>
      </c>
      <c r="F44" s="53" t="s">
        <v>75</v>
      </c>
      <c r="G44" s="36" t="s">
        <v>860</v>
      </c>
      <c r="H44" s="36" t="s">
        <v>862</v>
      </c>
      <c r="I44" s="19" t="s">
        <v>868</v>
      </c>
      <c r="J44" s="36" t="s">
        <v>131</v>
      </c>
      <c r="K44" s="53" t="s">
        <v>356</v>
      </c>
      <c r="L44" s="19" t="s">
        <v>49</v>
      </c>
      <c r="M44" s="19" t="s">
        <v>368</v>
      </c>
      <c r="N44" s="53" t="s">
        <v>50</v>
      </c>
      <c r="O44" s="53" t="s">
        <v>400</v>
      </c>
      <c r="P44" s="53" t="s">
        <v>52</v>
      </c>
      <c r="Q44" s="53" t="s">
        <v>526</v>
      </c>
      <c r="R44" s="22" t="s">
        <v>41</v>
      </c>
      <c r="S44" s="58" t="s">
        <v>542</v>
      </c>
      <c r="T44" s="58" t="s">
        <v>542</v>
      </c>
      <c r="U44" s="58" t="s">
        <v>573</v>
      </c>
      <c r="V44" s="58" t="s">
        <v>574</v>
      </c>
      <c r="W44" s="53" t="s">
        <v>575</v>
      </c>
      <c r="X44" s="53" t="s">
        <v>572</v>
      </c>
      <c r="Y44" s="19">
        <v>22</v>
      </c>
      <c r="Z44" s="19">
        <v>69</v>
      </c>
      <c r="AA44" s="54">
        <v>902881761</v>
      </c>
      <c r="AB44" s="68">
        <v>0.51</v>
      </c>
      <c r="AC44" s="67">
        <v>9.0200000000000002E-3</v>
      </c>
      <c r="AD44" s="19" t="s">
        <v>877</v>
      </c>
      <c r="AE44" s="19">
        <v>1</v>
      </c>
      <c r="AF44" s="22">
        <f>AD44+30</f>
        <v>45462</v>
      </c>
      <c r="AG44" s="19" t="s">
        <v>879</v>
      </c>
      <c r="AH44" s="19" t="s">
        <v>878</v>
      </c>
      <c r="AI44" s="19">
        <v>1</v>
      </c>
      <c r="AJ44" s="22">
        <f>AH44+14</f>
        <v>45461</v>
      </c>
      <c r="AK44" s="19" t="s">
        <v>880</v>
      </c>
      <c r="AL44" s="19" t="s">
        <v>881</v>
      </c>
      <c r="AM44" s="19">
        <v>1</v>
      </c>
      <c r="AN44" s="22">
        <v>45547</v>
      </c>
      <c r="AO44" s="19" t="s">
        <v>882</v>
      </c>
      <c r="AP44" s="19"/>
      <c r="AQ44" s="19"/>
      <c r="AR44" s="9"/>
      <c r="AS44" s="9"/>
    </row>
    <row r="45" spans="1:45" s="16" customFormat="1" ht="54" customHeight="1">
      <c r="A45" s="19">
        <v>43</v>
      </c>
      <c r="B45" s="53" t="s">
        <v>106</v>
      </c>
      <c r="C45" s="53" t="s">
        <v>792</v>
      </c>
      <c r="D45" s="37" t="s">
        <v>788</v>
      </c>
      <c r="E45" s="37" t="s">
        <v>787</v>
      </c>
      <c r="F45" s="53" t="s">
        <v>75</v>
      </c>
      <c r="G45" s="36" t="s">
        <v>860</v>
      </c>
      <c r="H45" s="36" t="s">
        <v>862</v>
      </c>
      <c r="I45" s="19" t="s">
        <v>868</v>
      </c>
      <c r="J45" s="36" t="s">
        <v>131</v>
      </c>
      <c r="K45" s="53" t="s">
        <v>576</v>
      </c>
      <c r="L45" s="19" t="s">
        <v>86</v>
      </c>
      <c r="M45" s="19" t="s">
        <v>368</v>
      </c>
      <c r="N45" s="53" t="s">
        <v>50</v>
      </c>
      <c r="O45" s="53" t="s">
        <v>400</v>
      </c>
      <c r="P45" s="53" t="s">
        <v>64</v>
      </c>
      <c r="Q45" s="53" t="s">
        <v>526</v>
      </c>
      <c r="R45" s="22" t="s">
        <v>41</v>
      </c>
      <c r="S45" s="53" t="s">
        <v>557</v>
      </c>
      <c r="T45" s="53" t="s">
        <v>557</v>
      </c>
      <c r="U45" s="53" t="s">
        <v>577</v>
      </c>
      <c r="V45" s="53" t="s">
        <v>578</v>
      </c>
      <c r="W45" s="53" t="s">
        <v>579</v>
      </c>
      <c r="X45" s="53" t="s">
        <v>580</v>
      </c>
      <c r="Y45" s="19">
        <v>33</v>
      </c>
      <c r="Z45" s="19">
        <v>47</v>
      </c>
      <c r="AA45" s="54">
        <v>9135591698</v>
      </c>
      <c r="AB45" s="68">
        <v>0.27</v>
      </c>
      <c r="AC45" s="67">
        <v>9.1350000000000001E-2</v>
      </c>
      <c r="AD45" s="19" t="s">
        <v>877</v>
      </c>
      <c r="AE45" s="19">
        <v>1</v>
      </c>
      <c r="AF45" s="22">
        <f>AD45+30</f>
        <v>45462</v>
      </c>
      <c r="AG45" s="19" t="s">
        <v>879</v>
      </c>
      <c r="AH45" s="19" t="s">
        <v>878</v>
      </c>
      <c r="AI45" s="19">
        <v>1</v>
      </c>
      <c r="AJ45" s="22">
        <f>AH45+14</f>
        <v>45461</v>
      </c>
      <c r="AK45" s="19" t="s">
        <v>880</v>
      </c>
      <c r="AL45" s="19" t="s">
        <v>881</v>
      </c>
      <c r="AM45" s="19">
        <v>1</v>
      </c>
      <c r="AN45" s="22">
        <v>45547</v>
      </c>
      <c r="AO45" s="19" t="s">
        <v>882</v>
      </c>
      <c r="AP45" s="19"/>
      <c r="AQ45" s="19"/>
      <c r="AR45" s="9"/>
      <c r="AS45" s="9"/>
    </row>
    <row r="46" spans="1:45" s="16" customFormat="1" ht="54" customHeight="1">
      <c r="A46" s="19">
        <v>44</v>
      </c>
      <c r="B46" s="53" t="s">
        <v>339</v>
      </c>
      <c r="C46" s="53" t="s">
        <v>793</v>
      </c>
      <c r="D46" s="37" t="s">
        <v>789</v>
      </c>
      <c r="E46" s="37" t="s">
        <v>790</v>
      </c>
      <c r="F46" s="53" t="s">
        <v>111</v>
      </c>
      <c r="G46" s="36" t="s">
        <v>860</v>
      </c>
      <c r="H46" s="36" t="s">
        <v>862</v>
      </c>
      <c r="I46" s="19" t="s">
        <v>868</v>
      </c>
      <c r="J46" s="19" t="s">
        <v>131</v>
      </c>
      <c r="K46" s="53" t="s">
        <v>581</v>
      </c>
      <c r="L46" s="19" t="s">
        <v>49</v>
      </c>
      <c r="M46" s="19" t="s">
        <v>368</v>
      </c>
      <c r="N46" s="53" t="s">
        <v>50</v>
      </c>
      <c r="O46" s="53" t="s">
        <v>400</v>
      </c>
      <c r="P46" s="53" t="s">
        <v>52</v>
      </c>
      <c r="Q46" s="53" t="s">
        <v>582</v>
      </c>
      <c r="R46" s="22" t="s">
        <v>41</v>
      </c>
      <c r="S46" s="53" t="s">
        <v>575</v>
      </c>
      <c r="T46" s="53" t="s">
        <v>575</v>
      </c>
      <c r="U46" s="53" t="s">
        <v>583</v>
      </c>
      <c r="V46" s="53" t="s">
        <v>584</v>
      </c>
      <c r="W46" s="53" t="s">
        <v>585</v>
      </c>
      <c r="X46" s="53" t="s">
        <v>585</v>
      </c>
      <c r="Y46" s="19">
        <v>30</v>
      </c>
      <c r="Z46" s="19">
        <v>36</v>
      </c>
      <c r="AA46" s="54">
        <v>560000000</v>
      </c>
      <c r="AB46" s="68">
        <v>0.14000000000000001</v>
      </c>
      <c r="AC46" s="67">
        <v>5.5999999999999999E-3</v>
      </c>
      <c r="AD46" s="19" t="s">
        <v>875</v>
      </c>
      <c r="AE46" s="19">
        <v>1</v>
      </c>
      <c r="AF46" s="22">
        <f>AD46+30</f>
        <v>45469</v>
      </c>
      <c r="AG46" s="19" t="s">
        <v>890</v>
      </c>
      <c r="AH46" s="19"/>
      <c r="AI46" s="19"/>
      <c r="AJ46" s="19"/>
      <c r="AK46" s="19"/>
      <c r="AL46" s="19" t="s">
        <v>891</v>
      </c>
      <c r="AM46" s="19">
        <v>1</v>
      </c>
      <c r="AN46" s="22">
        <f>AL46+30</f>
        <v>45522</v>
      </c>
      <c r="AO46" s="19" t="s">
        <v>882</v>
      </c>
      <c r="AP46" s="19"/>
      <c r="AQ46" s="19"/>
      <c r="AR46" s="9"/>
      <c r="AS46" s="9"/>
    </row>
    <row r="47" spans="1:45" s="16" customFormat="1" ht="54" customHeight="1">
      <c r="A47" s="19">
        <v>45</v>
      </c>
      <c r="B47" s="53" t="s">
        <v>339</v>
      </c>
      <c r="C47" s="53" t="s">
        <v>793</v>
      </c>
      <c r="D47" s="37" t="s">
        <v>789</v>
      </c>
      <c r="E47" s="37" t="s">
        <v>790</v>
      </c>
      <c r="F47" s="53" t="s">
        <v>111</v>
      </c>
      <c r="G47" s="36" t="s">
        <v>860</v>
      </c>
      <c r="H47" s="36" t="s">
        <v>862</v>
      </c>
      <c r="I47" s="19" t="s">
        <v>868</v>
      </c>
      <c r="J47" s="36" t="s">
        <v>131</v>
      </c>
      <c r="K47" s="53" t="s">
        <v>586</v>
      </c>
      <c r="L47" s="19" t="s">
        <v>86</v>
      </c>
      <c r="M47" s="19" t="s">
        <v>368</v>
      </c>
      <c r="N47" s="53" t="s">
        <v>587</v>
      </c>
      <c r="O47" s="53" t="s">
        <v>400</v>
      </c>
      <c r="P47" s="53" t="s">
        <v>64</v>
      </c>
      <c r="Q47" s="53" t="s">
        <v>582</v>
      </c>
      <c r="R47" s="22" t="s">
        <v>41</v>
      </c>
      <c r="S47" s="53" t="s">
        <v>588</v>
      </c>
      <c r="T47" s="53" t="s">
        <v>588</v>
      </c>
      <c r="U47" s="53" t="s">
        <v>589</v>
      </c>
      <c r="V47" s="53" t="s">
        <v>590</v>
      </c>
      <c r="W47" s="53" t="s">
        <v>591</v>
      </c>
      <c r="X47" s="53" t="s">
        <v>591</v>
      </c>
      <c r="Y47" s="19">
        <v>27</v>
      </c>
      <c r="Z47" s="19">
        <v>36</v>
      </c>
      <c r="AA47" s="54">
        <v>960000000</v>
      </c>
      <c r="AB47" s="68">
        <v>0.18</v>
      </c>
      <c r="AC47" s="67">
        <v>9.5999999999999992E-3</v>
      </c>
      <c r="AD47" s="19" t="s">
        <v>875</v>
      </c>
      <c r="AE47" s="19">
        <v>1</v>
      </c>
      <c r="AF47" s="22">
        <f>AD47+30</f>
        <v>45469</v>
      </c>
      <c r="AG47" s="19" t="s">
        <v>890</v>
      </c>
      <c r="AH47" s="19"/>
      <c r="AI47" s="19"/>
      <c r="AJ47" s="19"/>
      <c r="AK47" s="19"/>
      <c r="AL47" s="19" t="s">
        <v>891</v>
      </c>
      <c r="AM47" s="19">
        <v>1</v>
      </c>
      <c r="AN47" s="22">
        <f>AL47+30</f>
        <v>45522</v>
      </c>
      <c r="AO47" s="19" t="s">
        <v>882</v>
      </c>
      <c r="AP47" s="19"/>
      <c r="AQ47" s="19"/>
      <c r="AR47" s="9"/>
      <c r="AS47" s="9"/>
    </row>
    <row r="48" spans="1:45" s="16" customFormat="1" ht="54" customHeight="1">
      <c r="A48" s="19">
        <v>46</v>
      </c>
      <c r="B48" s="53" t="s">
        <v>546</v>
      </c>
      <c r="C48" s="53" t="s">
        <v>547</v>
      </c>
      <c r="D48" s="63" t="s">
        <v>810</v>
      </c>
      <c r="E48" s="37" t="s">
        <v>811</v>
      </c>
      <c r="F48" s="53" t="s">
        <v>75</v>
      </c>
      <c r="G48" s="36" t="s">
        <v>860</v>
      </c>
      <c r="H48" s="36" t="s">
        <v>864</v>
      </c>
      <c r="I48" s="19">
        <v>40</v>
      </c>
      <c r="J48" s="36" t="s">
        <v>131</v>
      </c>
      <c r="K48" s="53" t="s">
        <v>592</v>
      </c>
      <c r="L48" s="19" t="s">
        <v>86</v>
      </c>
      <c r="M48" s="19" t="s">
        <v>368</v>
      </c>
      <c r="N48" s="53" t="s">
        <v>50</v>
      </c>
      <c r="O48" s="53" t="s">
        <v>400</v>
      </c>
      <c r="P48" s="53" t="s">
        <v>64</v>
      </c>
      <c r="Q48" s="53" t="s">
        <v>582</v>
      </c>
      <c r="R48" s="22" t="s">
        <v>41</v>
      </c>
      <c r="S48" s="53" t="s">
        <v>593</v>
      </c>
      <c r="T48" s="53" t="s">
        <v>593</v>
      </c>
      <c r="U48" s="53" t="s">
        <v>558</v>
      </c>
      <c r="V48" s="53" t="s">
        <v>569</v>
      </c>
      <c r="W48" s="53" t="s">
        <v>594</v>
      </c>
      <c r="X48" s="53" t="s">
        <v>594</v>
      </c>
      <c r="Y48" s="19">
        <v>27</v>
      </c>
      <c r="Z48" s="19">
        <v>77</v>
      </c>
      <c r="AA48" s="54">
        <v>2250000000</v>
      </c>
      <c r="AB48" s="68">
        <v>0.01</v>
      </c>
      <c r="AC48" s="67">
        <v>2.2499999999999999E-2</v>
      </c>
      <c r="AD48" s="19"/>
      <c r="AE48" s="19"/>
      <c r="AF48" s="19"/>
      <c r="AG48" s="19"/>
      <c r="AH48" s="19"/>
      <c r="AI48" s="19"/>
      <c r="AJ48" s="19"/>
      <c r="AK48" s="19"/>
      <c r="AL48" s="19" t="s">
        <v>989</v>
      </c>
      <c r="AM48" s="19">
        <v>1</v>
      </c>
      <c r="AN48" s="22">
        <f>AL48+30</f>
        <v>45561</v>
      </c>
      <c r="AO48" s="19" t="s">
        <v>950</v>
      </c>
      <c r="AP48" s="19"/>
      <c r="AQ48" s="19"/>
      <c r="AR48" s="9"/>
      <c r="AS48" s="9"/>
    </row>
    <row r="49" spans="1:45" s="16" customFormat="1" ht="54" customHeight="1">
      <c r="A49" s="19">
        <v>47</v>
      </c>
      <c r="B49" s="53" t="s">
        <v>595</v>
      </c>
      <c r="C49" s="53" t="s">
        <v>596</v>
      </c>
      <c r="D49" s="37" t="s">
        <v>131</v>
      </c>
      <c r="E49" s="37" t="s">
        <v>814</v>
      </c>
      <c r="F49" s="53" t="s">
        <v>597</v>
      </c>
      <c r="G49" s="36" t="s">
        <v>860</v>
      </c>
      <c r="H49" s="36" t="s">
        <v>861</v>
      </c>
      <c r="I49" s="19">
        <v>10</v>
      </c>
      <c r="J49" s="19" t="s">
        <v>131</v>
      </c>
      <c r="K49" s="53" t="s">
        <v>598</v>
      </c>
      <c r="L49" s="19" t="s">
        <v>86</v>
      </c>
      <c r="M49" s="19" t="s">
        <v>368</v>
      </c>
      <c r="N49" s="53" t="s">
        <v>50</v>
      </c>
      <c r="O49" s="53" t="s">
        <v>400</v>
      </c>
      <c r="P49" s="53" t="s">
        <v>64</v>
      </c>
      <c r="Q49" s="53" t="s">
        <v>582</v>
      </c>
      <c r="R49" s="22" t="s">
        <v>41</v>
      </c>
      <c r="S49" s="53" t="s">
        <v>545</v>
      </c>
      <c r="T49" s="53" t="s">
        <v>545</v>
      </c>
      <c r="U49" s="53" t="s">
        <v>599</v>
      </c>
      <c r="V49" s="53" t="s">
        <v>600</v>
      </c>
      <c r="W49" s="53" t="s">
        <v>601</v>
      </c>
      <c r="X49" s="53" t="s">
        <v>871</v>
      </c>
      <c r="Y49" s="19">
        <v>18</v>
      </c>
      <c r="Z49" s="19">
        <v>34</v>
      </c>
      <c r="AA49" s="54">
        <v>650000000</v>
      </c>
      <c r="AB49" s="68">
        <v>0.32</v>
      </c>
      <c r="AC49" s="67">
        <v>6.4999999999999997E-3</v>
      </c>
      <c r="AD49" s="19" t="s">
        <v>998</v>
      </c>
      <c r="AE49" s="19">
        <v>1</v>
      </c>
      <c r="AF49" s="22">
        <f>AD49+14</f>
        <v>45516</v>
      </c>
      <c r="AG49" s="19" t="s">
        <v>997</v>
      </c>
      <c r="AH49" s="19"/>
      <c r="AI49" s="19"/>
      <c r="AJ49" s="19"/>
      <c r="AK49" s="19"/>
      <c r="AL49" s="19" t="s">
        <v>938</v>
      </c>
      <c r="AM49" s="19">
        <v>1</v>
      </c>
      <c r="AN49" s="22">
        <f>AL49+30</f>
        <v>45382</v>
      </c>
      <c r="AO49" s="19" t="s">
        <v>888</v>
      </c>
      <c r="AP49" s="19"/>
      <c r="AQ49" s="19"/>
      <c r="AR49" s="9"/>
      <c r="AS49" s="9"/>
    </row>
    <row r="50" spans="1:45" s="16" customFormat="1" ht="54" customHeight="1">
      <c r="A50" s="19">
        <v>48</v>
      </c>
      <c r="B50" s="53" t="s">
        <v>546</v>
      </c>
      <c r="C50" s="53" t="s">
        <v>547</v>
      </c>
      <c r="D50" s="63" t="s">
        <v>810</v>
      </c>
      <c r="E50" s="37" t="s">
        <v>811</v>
      </c>
      <c r="F50" s="53" t="s">
        <v>75</v>
      </c>
      <c r="G50" s="36" t="s">
        <v>860</v>
      </c>
      <c r="H50" s="36" t="s">
        <v>864</v>
      </c>
      <c r="I50" s="19">
        <v>40</v>
      </c>
      <c r="J50" s="36" t="s">
        <v>131</v>
      </c>
      <c r="K50" s="53" t="s">
        <v>602</v>
      </c>
      <c r="L50" s="19" t="s">
        <v>49</v>
      </c>
      <c r="M50" s="19" t="s">
        <v>368</v>
      </c>
      <c r="N50" s="53" t="s">
        <v>50</v>
      </c>
      <c r="O50" s="53" t="s">
        <v>400</v>
      </c>
      <c r="P50" s="53" t="s">
        <v>64</v>
      </c>
      <c r="Q50" s="53" t="s">
        <v>582</v>
      </c>
      <c r="R50" s="22" t="s">
        <v>41</v>
      </c>
      <c r="S50" s="53" t="s">
        <v>569</v>
      </c>
      <c r="T50" s="53" t="s">
        <v>569</v>
      </c>
      <c r="U50" s="53" t="s">
        <v>570</v>
      </c>
      <c r="V50" s="53" t="s">
        <v>603</v>
      </c>
      <c r="W50" s="53" t="s">
        <v>604</v>
      </c>
      <c r="X50" s="53" t="s">
        <v>630</v>
      </c>
      <c r="Y50" s="19">
        <v>18</v>
      </c>
      <c r="Z50" s="19">
        <v>46</v>
      </c>
      <c r="AA50" s="54">
        <v>495635524</v>
      </c>
      <c r="AB50" s="68">
        <v>0.39</v>
      </c>
      <c r="AC50" s="67">
        <v>4.9500000000000004E-3</v>
      </c>
      <c r="AD50" s="19"/>
      <c r="AE50" s="19"/>
      <c r="AF50" s="22"/>
      <c r="AG50" s="19"/>
      <c r="AH50" s="19"/>
      <c r="AI50" s="19"/>
      <c r="AJ50" s="19"/>
      <c r="AK50" s="19"/>
      <c r="AL50" s="22">
        <v>45497</v>
      </c>
      <c r="AM50" s="19">
        <v>1</v>
      </c>
      <c r="AN50" s="22">
        <v>45527</v>
      </c>
      <c r="AO50" s="22">
        <v>45672</v>
      </c>
      <c r="AP50" s="19"/>
      <c r="AQ50" s="19"/>
      <c r="AR50" s="9"/>
      <c r="AS50" s="9"/>
    </row>
    <row r="51" spans="1:45" s="16" customFormat="1" ht="54" customHeight="1">
      <c r="A51" s="19">
        <v>49</v>
      </c>
      <c r="B51" s="53" t="s">
        <v>442</v>
      </c>
      <c r="C51" s="53" t="s">
        <v>803</v>
      </c>
      <c r="D51" s="37" t="s">
        <v>131</v>
      </c>
      <c r="E51" s="37" t="s">
        <v>804</v>
      </c>
      <c r="F51" s="53" t="s">
        <v>443</v>
      </c>
      <c r="G51" s="36" t="s">
        <v>860</v>
      </c>
      <c r="H51" s="36" t="s">
        <v>861</v>
      </c>
      <c r="I51" s="19">
        <v>2</v>
      </c>
      <c r="J51" s="36" t="s">
        <v>131</v>
      </c>
      <c r="K51" s="53" t="s">
        <v>448</v>
      </c>
      <c r="L51" s="19" t="s">
        <v>86</v>
      </c>
      <c r="M51" s="19" t="s">
        <v>185</v>
      </c>
      <c r="N51" s="53" t="s">
        <v>50</v>
      </c>
      <c r="O51" s="53" t="s">
        <v>400</v>
      </c>
      <c r="P51" s="53" t="s">
        <v>403</v>
      </c>
      <c r="Q51" s="53" t="s">
        <v>582</v>
      </c>
      <c r="R51" s="22" t="s">
        <v>41</v>
      </c>
      <c r="S51" s="53" t="s">
        <v>131</v>
      </c>
      <c r="T51" s="53" t="s">
        <v>131</v>
      </c>
      <c r="U51" s="53" t="s">
        <v>131</v>
      </c>
      <c r="V51" s="53" t="s">
        <v>131</v>
      </c>
      <c r="W51" s="53" t="s">
        <v>131</v>
      </c>
      <c r="X51" s="53"/>
      <c r="Y51" s="19">
        <v>14</v>
      </c>
      <c r="Z51" s="19">
        <v>107</v>
      </c>
      <c r="AA51" s="54">
        <v>1325225742</v>
      </c>
      <c r="AB51" s="68">
        <v>0.3</v>
      </c>
      <c r="AC51" s="67">
        <v>1.325E-2</v>
      </c>
      <c r="AD51" s="19"/>
      <c r="AE51" s="19"/>
      <c r="AF51" s="22"/>
      <c r="AG51" s="19"/>
      <c r="AH51" s="19"/>
      <c r="AI51" s="19"/>
      <c r="AJ51" s="19"/>
      <c r="AK51" s="19"/>
      <c r="AL51" s="19" t="s">
        <v>941</v>
      </c>
      <c r="AM51" s="19">
        <v>1</v>
      </c>
      <c r="AN51" s="22">
        <f>AL51+14</f>
        <v>45523</v>
      </c>
      <c r="AO51" s="19" t="s">
        <v>942</v>
      </c>
      <c r="AP51" s="19"/>
      <c r="AQ51" s="19"/>
      <c r="AR51" s="9"/>
      <c r="AS51" s="9"/>
    </row>
    <row r="52" spans="1:45" s="16" customFormat="1" ht="54" customHeight="1">
      <c r="A52" s="19">
        <v>50</v>
      </c>
      <c r="B52" s="53" t="s">
        <v>605</v>
      </c>
      <c r="C52" s="53" t="s">
        <v>547</v>
      </c>
      <c r="D52" s="63" t="s">
        <v>810</v>
      </c>
      <c r="E52" s="37" t="s">
        <v>811</v>
      </c>
      <c r="F52" s="53" t="s">
        <v>75</v>
      </c>
      <c r="G52" s="36" t="s">
        <v>860</v>
      </c>
      <c r="H52" s="36" t="s">
        <v>861</v>
      </c>
      <c r="I52" s="19">
        <v>2</v>
      </c>
      <c r="J52" s="19" t="s">
        <v>131</v>
      </c>
      <c r="K52" s="53" t="s">
        <v>606</v>
      </c>
      <c r="L52" s="19" t="s">
        <v>86</v>
      </c>
      <c r="M52" s="19" t="s">
        <v>368</v>
      </c>
      <c r="N52" s="53" t="s">
        <v>50</v>
      </c>
      <c r="O52" s="53" t="s">
        <v>400</v>
      </c>
      <c r="P52" s="53" t="s">
        <v>64</v>
      </c>
      <c r="Q52" s="53" t="s">
        <v>607</v>
      </c>
      <c r="R52" s="22" t="s">
        <v>41</v>
      </c>
      <c r="S52" s="53" t="s">
        <v>608</v>
      </c>
      <c r="T52" s="53" t="s">
        <v>608</v>
      </c>
      <c r="U52" s="53" t="s">
        <v>609</v>
      </c>
      <c r="V52" s="53" t="s">
        <v>555</v>
      </c>
      <c r="W52" s="53" t="s">
        <v>610</v>
      </c>
      <c r="X52" s="53" t="s">
        <v>610</v>
      </c>
      <c r="Y52" s="19">
        <v>27</v>
      </c>
      <c r="Z52" s="19">
        <v>31</v>
      </c>
      <c r="AA52" s="54">
        <v>1204364475</v>
      </c>
      <c r="AB52" s="68">
        <v>0.04</v>
      </c>
      <c r="AC52" s="67">
        <v>1.204E-2</v>
      </c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2"/>
      <c r="AO52" s="19"/>
      <c r="AP52" s="19"/>
      <c r="AQ52" s="19"/>
      <c r="AR52" s="9"/>
      <c r="AS52" s="9"/>
    </row>
    <row r="53" spans="1:45" s="16" customFormat="1" ht="54" customHeight="1">
      <c r="A53" s="19">
        <v>51</v>
      </c>
      <c r="B53" s="53" t="s">
        <v>611</v>
      </c>
      <c r="C53" s="53" t="s">
        <v>815</v>
      </c>
      <c r="D53" s="37" t="s">
        <v>131</v>
      </c>
      <c r="E53" s="37" t="s">
        <v>816</v>
      </c>
      <c r="F53" s="53" t="s">
        <v>75</v>
      </c>
      <c r="G53" s="36" t="s">
        <v>860</v>
      </c>
      <c r="H53" s="36" t="s">
        <v>861</v>
      </c>
      <c r="I53" s="19">
        <v>4</v>
      </c>
      <c r="J53" s="36" t="s">
        <v>131</v>
      </c>
      <c r="K53" s="53" t="s">
        <v>612</v>
      </c>
      <c r="L53" s="19" t="s">
        <v>49</v>
      </c>
      <c r="M53" s="19" t="s">
        <v>368</v>
      </c>
      <c r="N53" s="53" t="s">
        <v>50</v>
      </c>
      <c r="O53" s="53" t="s">
        <v>400</v>
      </c>
      <c r="P53" s="53" t="s">
        <v>64</v>
      </c>
      <c r="Q53" s="53" t="s">
        <v>607</v>
      </c>
      <c r="R53" s="22" t="s">
        <v>41</v>
      </c>
      <c r="S53" s="53" t="s">
        <v>613</v>
      </c>
      <c r="T53" s="53" t="s">
        <v>613</v>
      </c>
      <c r="U53" s="53" t="s">
        <v>614</v>
      </c>
      <c r="V53" s="53" t="s">
        <v>594</v>
      </c>
      <c r="W53" s="53" t="s">
        <v>615</v>
      </c>
      <c r="X53" s="53" t="s">
        <v>615</v>
      </c>
      <c r="Y53" s="19">
        <v>28</v>
      </c>
      <c r="Z53" s="19">
        <v>26</v>
      </c>
      <c r="AA53" s="54">
        <v>265822658</v>
      </c>
      <c r="AB53" s="68">
        <v>0.6</v>
      </c>
      <c r="AC53" s="67">
        <v>2.65E-3</v>
      </c>
      <c r="AD53" s="19" t="s">
        <v>940</v>
      </c>
      <c r="AE53" s="19">
        <v>1</v>
      </c>
      <c r="AF53" s="22">
        <f>AD53+14</f>
        <v>45464</v>
      </c>
      <c r="AG53" s="19" t="s">
        <v>876</v>
      </c>
      <c r="AH53" s="19" t="s">
        <v>1000</v>
      </c>
      <c r="AI53" s="19">
        <v>1</v>
      </c>
      <c r="AJ53" s="22">
        <f>AH53+14</f>
        <v>45504</v>
      </c>
      <c r="AK53" s="19" t="s">
        <v>1000</v>
      </c>
      <c r="AL53" s="19" t="s">
        <v>954</v>
      </c>
      <c r="AM53" s="19">
        <v>1</v>
      </c>
      <c r="AN53" s="22">
        <f>AL53+30</f>
        <v>45553</v>
      </c>
      <c r="AO53" s="19" t="s">
        <v>1001</v>
      </c>
      <c r="AP53" s="19"/>
      <c r="AQ53" s="19"/>
      <c r="AR53" s="9"/>
      <c r="AS53" s="9"/>
    </row>
    <row r="54" spans="1:45" s="16" customFormat="1" ht="54" customHeight="1">
      <c r="A54" s="19">
        <v>52</v>
      </c>
      <c r="B54" s="53" t="s">
        <v>616</v>
      </c>
      <c r="C54" s="53" t="s">
        <v>792</v>
      </c>
      <c r="D54" s="37" t="s">
        <v>788</v>
      </c>
      <c r="E54" s="37" t="s">
        <v>787</v>
      </c>
      <c r="F54" s="53" t="s">
        <v>617</v>
      </c>
      <c r="G54" s="36" t="s">
        <v>860</v>
      </c>
      <c r="H54" s="36" t="s">
        <v>862</v>
      </c>
      <c r="I54" s="19">
        <v>3</v>
      </c>
      <c r="J54" s="36" t="s">
        <v>131</v>
      </c>
      <c r="K54" s="53" t="s">
        <v>618</v>
      </c>
      <c r="L54" s="19" t="s">
        <v>108</v>
      </c>
      <c r="M54" s="19" t="s">
        <v>368</v>
      </c>
      <c r="N54" s="53" t="s">
        <v>50</v>
      </c>
      <c r="O54" s="53" t="s">
        <v>400</v>
      </c>
      <c r="P54" s="53" t="s">
        <v>52</v>
      </c>
      <c r="Q54" s="53" t="s">
        <v>607</v>
      </c>
      <c r="R54" s="22" t="s">
        <v>41</v>
      </c>
      <c r="S54" s="53" t="s">
        <v>619</v>
      </c>
      <c r="T54" s="53" t="s">
        <v>619</v>
      </c>
      <c r="U54" s="53" t="s">
        <v>620</v>
      </c>
      <c r="V54" s="53" t="s">
        <v>621</v>
      </c>
      <c r="W54" s="53" t="s">
        <v>622</v>
      </c>
      <c r="X54" s="53" t="s">
        <v>622</v>
      </c>
      <c r="Y54" s="19">
        <v>20</v>
      </c>
      <c r="Z54" s="19">
        <v>32</v>
      </c>
      <c r="AA54" s="54">
        <v>896317603</v>
      </c>
      <c r="AB54" s="68">
        <v>0.46</v>
      </c>
      <c r="AC54" s="67">
        <v>8.9599999999999992E-3</v>
      </c>
      <c r="AD54" s="22">
        <v>45477</v>
      </c>
      <c r="AE54" s="19">
        <v>1</v>
      </c>
      <c r="AF54" s="22">
        <f>AD54+14</f>
        <v>45491</v>
      </c>
      <c r="AG54" s="22">
        <v>45513</v>
      </c>
      <c r="AH54" s="19"/>
      <c r="AI54" s="19"/>
      <c r="AJ54" s="19"/>
      <c r="AK54" s="19"/>
      <c r="AL54" s="22">
        <v>45534</v>
      </c>
      <c r="AM54" s="19">
        <v>1</v>
      </c>
      <c r="AN54" s="22">
        <f>AL54+30</f>
        <v>45564</v>
      </c>
      <c r="AO54" s="22">
        <v>45611</v>
      </c>
      <c r="AP54" s="19"/>
      <c r="AQ54" s="19"/>
      <c r="AR54" s="9"/>
      <c r="AS54" s="9"/>
    </row>
    <row r="55" spans="1:45" s="16" customFormat="1" ht="54" customHeight="1">
      <c r="A55" s="19">
        <v>53</v>
      </c>
      <c r="B55" s="53" t="s">
        <v>623</v>
      </c>
      <c r="C55" s="53" t="s">
        <v>401</v>
      </c>
      <c r="D55" s="37" t="s">
        <v>131</v>
      </c>
      <c r="E55" s="37" t="s">
        <v>131</v>
      </c>
      <c r="F55" s="53" t="s">
        <v>75</v>
      </c>
      <c r="G55" s="19" t="s">
        <v>131</v>
      </c>
      <c r="H55" s="19" t="s">
        <v>131</v>
      </c>
      <c r="I55" s="19" t="s">
        <v>131</v>
      </c>
      <c r="J55" s="19" t="s">
        <v>131</v>
      </c>
      <c r="K55" s="53" t="s">
        <v>624</v>
      </c>
      <c r="L55" s="19" t="s">
        <v>625</v>
      </c>
      <c r="M55" s="19" t="s">
        <v>368</v>
      </c>
      <c r="N55" s="53" t="s">
        <v>50</v>
      </c>
      <c r="O55" s="53" t="s">
        <v>400</v>
      </c>
      <c r="P55" s="53" t="s">
        <v>64</v>
      </c>
      <c r="Q55" s="53" t="s">
        <v>607</v>
      </c>
      <c r="R55" s="22" t="s">
        <v>41</v>
      </c>
      <c r="S55" s="53" t="s">
        <v>131</v>
      </c>
      <c r="T55" s="53" t="s">
        <v>131</v>
      </c>
      <c r="U55" s="53" t="s">
        <v>131</v>
      </c>
      <c r="V55" s="53" t="s">
        <v>131</v>
      </c>
      <c r="W55" s="53" t="s">
        <v>131</v>
      </c>
      <c r="X55" s="53"/>
      <c r="Y55" s="19"/>
      <c r="Z55" s="19">
        <v>5</v>
      </c>
      <c r="AA55" s="54">
        <v>96624000</v>
      </c>
      <c r="AB55" s="68">
        <v>0</v>
      </c>
      <c r="AC55" s="67">
        <v>9.6000000000000002E-4</v>
      </c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2"/>
      <c r="AO55" s="19"/>
      <c r="AP55" s="19"/>
      <c r="AQ55" s="19"/>
      <c r="AR55" s="9"/>
      <c r="AS55" s="9"/>
    </row>
    <row r="56" spans="1:45" s="16" customFormat="1" ht="54" customHeight="1">
      <c r="A56" s="19">
        <v>54</v>
      </c>
      <c r="B56" s="53" t="s">
        <v>422</v>
      </c>
      <c r="C56" s="53" t="s">
        <v>553</v>
      </c>
      <c r="D56" s="37" t="s">
        <v>131</v>
      </c>
      <c r="E56" s="37" t="s">
        <v>796</v>
      </c>
      <c r="F56" s="53" t="s">
        <v>423</v>
      </c>
      <c r="G56" s="36" t="s">
        <v>860</v>
      </c>
      <c r="H56" s="36" t="s">
        <v>861</v>
      </c>
      <c r="I56" s="19">
        <v>16</v>
      </c>
      <c r="J56" s="36" t="s">
        <v>131</v>
      </c>
      <c r="K56" s="53" t="s">
        <v>626</v>
      </c>
      <c r="L56" s="19" t="s">
        <v>86</v>
      </c>
      <c r="M56" s="19" t="s">
        <v>368</v>
      </c>
      <c r="N56" s="53" t="s">
        <v>50</v>
      </c>
      <c r="O56" s="53" t="s">
        <v>400</v>
      </c>
      <c r="P56" s="53" t="s">
        <v>64</v>
      </c>
      <c r="Q56" s="53" t="s">
        <v>607</v>
      </c>
      <c r="R56" s="22" t="s">
        <v>41</v>
      </c>
      <c r="S56" s="53" t="s">
        <v>614</v>
      </c>
      <c r="T56" s="53" t="s">
        <v>614</v>
      </c>
      <c r="U56" s="53" t="s">
        <v>594</v>
      </c>
      <c r="V56" s="53" t="s">
        <v>627</v>
      </c>
      <c r="W56" s="53" t="s">
        <v>628</v>
      </c>
      <c r="X56" s="53" t="s">
        <v>628</v>
      </c>
      <c r="Y56" s="19">
        <v>27</v>
      </c>
      <c r="Z56" s="19">
        <v>21</v>
      </c>
      <c r="AA56" s="54">
        <v>260000000</v>
      </c>
      <c r="AB56" s="68">
        <v>0.17</v>
      </c>
      <c r="AC56" s="67">
        <v>2.5999999999999999E-3</v>
      </c>
      <c r="AD56" s="19" t="s">
        <v>911</v>
      </c>
      <c r="AE56" s="19">
        <v>1</v>
      </c>
      <c r="AF56" s="22">
        <f>AD56+14</f>
        <v>45490</v>
      </c>
      <c r="AG56" s="19" t="s">
        <v>911</v>
      </c>
      <c r="AH56" s="19"/>
      <c r="AI56" s="19"/>
      <c r="AJ56" s="19"/>
      <c r="AK56" s="19"/>
      <c r="AL56" s="19" t="s">
        <v>901</v>
      </c>
      <c r="AM56" s="19">
        <v>1</v>
      </c>
      <c r="AN56" s="22">
        <f>AL56+30</f>
        <v>45548</v>
      </c>
      <c r="AO56" s="19" t="s">
        <v>912</v>
      </c>
      <c r="AP56" s="19"/>
      <c r="AQ56" s="19"/>
      <c r="AR56" s="9"/>
      <c r="AS56" s="9"/>
    </row>
    <row r="57" spans="1:45" s="16" customFormat="1" ht="54" customHeight="1">
      <c r="A57" s="19">
        <v>55</v>
      </c>
      <c r="B57" s="53" t="s">
        <v>422</v>
      </c>
      <c r="C57" s="53" t="s">
        <v>553</v>
      </c>
      <c r="D57" s="37" t="s">
        <v>131</v>
      </c>
      <c r="E57" s="37" t="s">
        <v>796</v>
      </c>
      <c r="F57" s="53" t="s">
        <v>423</v>
      </c>
      <c r="G57" s="36" t="s">
        <v>860</v>
      </c>
      <c r="H57" s="36" t="s">
        <v>861</v>
      </c>
      <c r="I57" s="19">
        <v>16</v>
      </c>
      <c r="J57" s="36" t="s">
        <v>131</v>
      </c>
      <c r="K57" s="53" t="s">
        <v>629</v>
      </c>
      <c r="L57" s="19" t="s">
        <v>49</v>
      </c>
      <c r="M57" s="19" t="s">
        <v>368</v>
      </c>
      <c r="N57" s="53" t="s">
        <v>50</v>
      </c>
      <c r="O57" s="53" t="s">
        <v>400</v>
      </c>
      <c r="P57" s="53" t="s">
        <v>64</v>
      </c>
      <c r="Q57" s="53" t="s">
        <v>607</v>
      </c>
      <c r="R57" s="22" t="s">
        <v>41</v>
      </c>
      <c r="S57" s="53" t="s">
        <v>604</v>
      </c>
      <c r="T57" s="53" t="s">
        <v>604</v>
      </c>
      <c r="U57" s="53" t="s">
        <v>630</v>
      </c>
      <c r="V57" s="53" t="s">
        <v>631</v>
      </c>
      <c r="W57" s="53" t="s">
        <v>632</v>
      </c>
      <c r="X57" s="53" t="s">
        <v>632</v>
      </c>
      <c r="Y57" s="19">
        <v>18</v>
      </c>
      <c r="Z57" s="19">
        <v>39</v>
      </c>
      <c r="AA57" s="54">
        <v>390000000</v>
      </c>
      <c r="AB57" s="68">
        <v>0.27</v>
      </c>
      <c r="AC57" s="67">
        <v>3.8999999999999998E-3</v>
      </c>
      <c r="AD57" s="19" t="s">
        <v>911</v>
      </c>
      <c r="AE57" s="19">
        <v>1</v>
      </c>
      <c r="AF57" s="22">
        <f>AD57+14</f>
        <v>45490</v>
      </c>
      <c r="AG57" s="19" t="s">
        <v>911</v>
      </c>
      <c r="AH57" s="19"/>
      <c r="AI57" s="19"/>
      <c r="AJ57" s="19"/>
      <c r="AK57" s="19"/>
      <c r="AL57" s="19" t="s">
        <v>901</v>
      </c>
      <c r="AM57" s="19">
        <v>1</v>
      </c>
      <c r="AN57" s="22">
        <f>AL57+30</f>
        <v>45548</v>
      </c>
      <c r="AO57" s="19" t="s">
        <v>912</v>
      </c>
      <c r="AP57" s="19"/>
      <c r="AQ57" s="19"/>
      <c r="AR57" s="9"/>
      <c r="AS57" s="9"/>
    </row>
    <row r="58" spans="1:45" s="16" customFormat="1" ht="54" customHeight="1">
      <c r="A58" s="19">
        <v>56</v>
      </c>
      <c r="B58" s="53" t="s">
        <v>488</v>
      </c>
      <c r="C58" s="53" t="s">
        <v>489</v>
      </c>
      <c r="D58" s="37" t="s">
        <v>131</v>
      </c>
      <c r="E58" s="37" t="s">
        <v>808</v>
      </c>
      <c r="F58" s="53" t="s">
        <v>111</v>
      </c>
      <c r="G58" s="36" t="s">
        <v>860</v>
      </c>
      <c r="H58" s="36" t="s">
        <v>861</v>
      </c>
      <c r="I58" s="19">
        <v>10</v>
      </c>
      <c r="J58" s="19" t="s">
        <v>131</v>
      </c>
      <c r="K58" s="53" t="s">
        <v>633</v>
      </c>
      <c r="L58" s="19" t="s">
        <v>49</v>
      </c>
      <c r="M58" s="19" t="s">
        <v>368</v>
      </c>
      <c r="N58" s="53" t="s">
        <v>491</v>
      </c>
      <c r="O58" s="53" t="s">
        <v>400</v>
      </c>
      <c r="P58" s="53" t="s">
        <v>64</v>
      </c>
      <c r="Q58" s="53" t="s">
        <v>607</v>
      </c>
      <c r="R58" s="22" t="s">
        <v>41</v>
      </c>
      <c r="S58" s="53" t="s">
        <v>634</v>
      </c>
      <c r="T58" s="53" t="s">
        <v>634</v>
      </c>
      <c r="U58" s="53" t="s">
        <v>635</v>
      </c>
      <c r="V58" s="53" t="s">
        <v>636</v>
      </c>
      <c r="W58" s="53" t="s">
        <v>637</v>
      </c>
      <c r="X58" s="53" t="s">
        <v>637</v>
      </c>
      <c r="Y58" s="19">
        <v>18</v>
      </c>
      <c r="Z58" s="19">
        <v>28</v>
      </c>
      <c r="AA58" s="54">
        <v>300000000</v>
      </c>
      <c r="AB58" s="68">
        <v>0.52</v>
      </c>
      <c r="AC58" s="67">
        <v>3.0000000000000001E-3</v>
      </c>
      <c r="AD58" s="19" t="s">
        <v>941</v>
      </c>
      <c r="AE58" s="19">
        <v>1</v>
      </c>
      <c r="AF58" s="22">
        <f t="shared" ref="AF58:AF59" si="6">AD58+14</f>
        <v>45523</v>
      </c>
      <c r="AG58" s="19" t="s">
        <v>941</v>
      </c>
      <c r="AH58" s="19"/>
      <c r="AI58" s="19"/>
      <c r="AJ58" s="19"/>
      <c r="AK58" s="19"/>
      <c r="AL58" s="19" t="s">
        <v>933</v>
      </c>
      <c r="AM58" s="19">
        <v>1</v>
      </c>
      <c r="AN58" s="22">
        <f t="shared" ref="AN58:AN59" si="7">AL58+30</f>
        <v>45550</v>
      </c>
      <c r="AO58" s="19" t="s">
        <v>954</v>
      </c>
      <c r="AP58" s="19"/>
      <c r="AQ58" s="19"/>
      <c r="AR58" s="9"/>
      <c r="AS58" s="9"/>
    </row>
    <row r="59" spans="1:45" s="16" customFormat="1" ht="54" customHeight="1">
      <c r="A59" s="19">
        <v>57</v>
      </c>
      <c r="B59" s="53" t="s">
        <v>488</v>
      </c>
      <c r="C59" s="53" t="s">
        <v>489</v>
      </c>
      <c r="D59" s="37" t="s">
        <v>131</v>
      </c>
      <c r="E59" s="37" t="s">
        <v>808</v>
      </c>
      <c r="F59" s="53" t="s">
        <v>111</v>
      </c>
      <c r="G59" s="36" t="s">
        <v>860</v>
      </c>
      <c r="H59" s="36" t="s">
        <v>861</v>
      </c>
      <c r="I59" s="19">
        <v>10</v>
      </c>
      <c r="J59" s="36" t="s">
        <v>131</v>
      </c>
      <c r="K59" s="53" t="s">
        <v>638</v>
      </c>
      <c r="L59" s="19" t="s">
        <v>86</v>
      </c>
      <c r="M59" s="19" t="s">
        <v>368</v>
      </c>
      <c r="N59" s="53" t="s">
        <v>491</v>
      </c>
      <c r="O59" s="53" t="s">
        <v>400</v>
      </c>
      <c r="P59" s="53" t="s">
        <v>64</v>
      </c>
      <c r="Q59" s="53" t="s">
        <v>607</v>
      </c>
      <c r="R59" s="22" t="s">
        <v>41</v>
      </c>
      <c r="S59" s="53" t="s">
        <v>636</v>
      </c>
      <c r="T59" s="53" t="s">
        <v>636</v>
      </c>
      <c r="U59" s="53" t="s">
        <v>639</v>
      </c>
      <c r="V59" s="53" t="s">
        <v>640</v>
      </c>
      <c r="W59" s="53" t="s">
        <v>641</v>
      </c>
      <c r="X59" s="53" t="s">
        <v>641</v>
      </c>
      <c r="Y59" s="19">
        <v>27</v>
      </c>
      <c r="Z59" s="19">
        <v>21</v>
      </c>
      <c r="AA59" s="54">
        <v>800000000</v>
      </c>
      <c r="AB59" s="68">
        <v>0.37</v>
      </c>
      <c r="AC59" s="67">
        <v>8.0000000000000002E-3</v>
      </c>
      <c r="AD59" s="19" t="s">
        <v>941</v>
      </c>
      <c r="AE59" s="19">
        <v>1</v>
      </c>
      <c r="AF59" s="22">
        <f t="shared" si="6"/>
        <v>45523</v>
      </c>
      <c r="AG59" s="19" t="s">
        <v>941</v>
      </c>
      <c r="AH59" s="19"/>
      <c r="AI59" s="19"/>
      <c r="AJ59" s="19"/>
      <c r="AK59" s="19"/>
      <c r="AL59" s="19" t="s">
        <v>933</v>
      </c>
      <c r="AM59" s="19">
        <v>1</v>
      </c>
      <c r="AN59" s="22">
        <f t="shared" si="7"/>
        <v>45550</v>
      </c>
      <c r="AO59" s="19" t="s">
        <v>954</v>
      </c>
      <c r="AP59" s="19"/>
      <c r="AQ59" s="19"/>
      <c r="AR59" s="9"/>
      <c r="AS59" s="9"/>
    </row>
    <row r="60" spans="1:45" s="16" customFormat="1" ht="54" customHeight="1">
      <c r="A60" s="19">
        <v>58</v>
      </c>
      <c r="B60" s="53" t="s">
        <v>143</v>
      </c>
      <c r="C60" s="53" t="s">
        <v>547</v>
      </c>
      <c r="D60" s="63" t="s">
        <v>810</v>
      </c>
      <c r="E60" s="37" t="s">
        <v>811</v>
      </c>
      <c r="F60" s="53" t="s">
        <v>75</v>
      </c>
      <c r="G60" s="36" t="s">
        <v>860</v>
      </c>
      <c r="H60" s="36" t="s">
        <v>864</v>
      </c>
      <c r="I60" s="19">
        <v>40</v>
      </c>
      <c r="J60" s="36" t="s">
        <v>131</v>
      </c>
      <c r="K60" s="53" t="s">
        <v>642</v>
      </c>
      <c r="L60" s="19" t="s">
        <v>49</v>
      </c>
      <c r="M60" s="19" t="s">
        <v>368</v>
      </c>
      <c r="N60" s="53" t="s">
        <v>50</v>
      </c>
      <c r="O60" s="53" t="s">
        <v>400</v>
      </c>
      <c r="P60" s="53" t="s">
        <v>52</v>
      </c>
      <c r="Q60" s="53" t="s">
        <v>607</v>
      </c>
      <c r="R60" s="22" t="s">
        <v>41</v>
      </c>
      <c r="S60" s="53" t="s">
        <v>631</v>
      </c>
      <c r="T60" s="53" t="s">
        <v>631</v>
      </c>
      <c r="U60" s="53" t="s">
        <v>613</v>
      </c>
      <c r="V60" s="53" t="s">
        <v>614</v>
      </c>
      <c r="W60" s="53" t="s">
        <v>643</v>
      </c>
      <c r="X60" s="53" t="s">
        <v>643</v>
      </c>
      <c r="Y60" s="19">
        <v>18</v>
      </c>
      <c r="Z60" s="19">
        <v>43</v>
      </c>
      <c r="AA60" s="54">
        <v>370564213</v>
      </c>
      <c r="AB60" s="68">
        <v>0.33</v>
      </c>
      <c r="AC60" s="67">
        <v>3.7000000000000002E-3</v>
      </c>
      <c r="AD60" s="19"/>
      <c r="AE60" s="19"/>
      <c r="AF60" s="19"/>
      <c r="AG60" s="19"/>
      <c r="AH60" s="19"/>
      <c r="AI60" s="19"/>
      <c r="AJ60" s="19"/>
      <c r="AK60" s="19"/>
      <c r="AL60" s="19" t="s">
        <v>979</v>
      </c>
      <c r="AM60" s="19">
        <v>1</v>
      </c>
      <c r="AN60" s="22">
        <f>AL60+30</f>
        <v>45600</v>
      </c>
      <c r="AO60" s="19" t="s">
        <v>990</v>
      </c>
      <c r="AP60" s="19"/>
      <c r="AQ60" s="19"/>
      <c r="AR60" s="9"/>
      <c r="AS60" s="9"/>
    </row>
    <row r="61" spans="1:45" s="16" customFormat="1" ht="54" customHeight="1">
      <c r="A61" s="19">
        <v>59</v>
      </c>
      <c r="B61" s="53" t="s">
        <v>440</v>
      </c>
      <c r="C61" s="53" t="s">
        <v>170</v>
      </c>
      <c r="D61" s="63" t="s">
        <v>801</v>
      </c>
      <c r="E61" s="37" t="s">
        <v>802</v>
      </c>
      <c r="F61" s="53" t="s">
        <v>171</v>
      </c>
      <c r="G61" s="36" t="s">
        <v>860</v>
      </c>
      <c r="H61" s="36" t="s">
        <v>861</v>
      </c>
      <c r="I61" s="19">
        <v>20</v>
      </c>
      <c r="J61" s="19" t="s">
        <v>131</v>
      </c>
      <c r="K61" s="53" t="s">
        <v>471</v>
      </c>
      <c r="L61" s="19" t="s">
        <v>86</v>
      </c>
      <c r="M61" s="19" t="s">
        <v>368</v>
      </c>
      <c r="N61" s="53" t="s">
        <v>113</v>
      </c>
      <c r="O61" s="53" t="s">
        <v>400</v>
      </c>
      <c r="P61" s="53" t="s">
        <v>52</v>
      </c>
      <c r="Q61" s="53" t="s">
        <v>607</v>
      </c>
      <c r="R61" s="22" t="s">
        <v>41</v>
      </c>
      <c r="S61" s="53" t="s">
        <v>644</v>
      </c>
      <c r="T61" s="53" t="s">
        <v>644</v>
      </c>
      <c r="U61" s="53" t="s">
        <v>645</v>
      </c>
      <c r="V61" s="53" t="s">
        <v>604</v>
      </c>
      <c r="W61" s="53" t="s">
        <v>646</v>
      </c>
      <c r="X61" s="53" t="s">
        <v>646</v>
      </c>
      <c r="Y61" s="19">
        <v>27</v>
      </c>
      <c r="Z61" s="19">
        <v>41</v>
      </c>
      <c r="AA61" s="54">
        <v>4845867956</v>
      </c>
      <c r="AB61" s="68">
        <v>0.3</v>
      </c>
      <c r="AC61" s="67">
        <v>4.845E-2</v>
      </c>
      <c r="AD61" s="19" t="s">
        <v>937</v>
      </c>
      <c r="AE61" s="19">
        <v>1</v>
      </c>
      <c r="AF61" s="22">
        <f t="shared" ref="AF61" si="8">AD61+14</f>
        <v>45502</v>
      </c>
      <c r="AG61" s="19" t="s">
        <v>931</v>
      </c>
      <c r="AH61" s="19" t="s">
        <v>936</v>
      </c>
      <c r="AI61" s="19">
        <v>1</v>
      </c>
      <c r="AJ61" s="22">
        <f t="shared" ref="AJ61" si="9">AH61+14</f>
        <v>45527</v>
      </c>
      <c r="AK61" s="19" t="s">
        <v>933</v>
      </c>
      <c r="AL61" s="19" t="s">
        <v>935</v>
      </c>
      <c r="AM61" s="19">
        <v>1</v>
      </c>
      <c r="AN61" s="22">
        <f t="shared" ref="AN61" si="10">AL61+30</f>
        <v>45603</v>
      </c>
      <c r="AO61" s="19" t="s">
        <v>934</v>
      </c>
      <c r="AP61" s="19"/>
      <c r="AQ61" s="19"/>
      <c r="AR61" s="9"/>
      <c r="AS61" s="9"/>
    </row>
    <row r="62" spans="1:45" s="16" customFormat="1" ht="54" customHeight="1">
      <c r="A62" s="19">
        <v>60</v>
      </c>
      <c r="B62" s="53" t="s">
        <v>647</v>
      </c>
      <c r="C62" s="53" t="s">
        <v>124</v>
      </c>
      <c r="D62" s="63" t="s">
        <v>797</v>
      </c>
      <c r="E62" s="37" t="s">
        <v>798</v>
      </c>
      <c r="F62" s="53" t="s">
        <v>75</v>
      </c>
      <c r="G62" s="36" t="s">
        <v>860</v>
      </c>
      <c r="H62" s="36" t="s">
        <v>861</v>
      </c>
      <c r="I62" s="19">
        <v>6</v>
      </c>
      <c r="J62" s="36" t="s">
        <v>131</v>
      </c>
      <c r="K62" s="53" t="s">
        <v>648</v>
      </c>
      <c r="L62" s="19" t="s">
        <v>218</v>
      </c>
      <c r="M62" s="19" t="s">
        <v>368</v>
      </c>
      <c r="N62" s="53" t="s">
        <v>50</v>
      </c>
      <c r="O62" s="53" t="s">
        <v>400</v>
      </c>
      <c r="P62" s="53" t="s">
        <v>64</v>
      </c>
      <c r="Q62" s="53" t="s">
        <v>607</v>
      </c>
      <c r="R62" s="22" t="s">
        <v>41</v>
      </c>
      <c r="S62" s="53" t="s">
        <v>628</v>
      </c>
      <c r="T62" s="53" t="s">
        <v>628</v>
      </c>
      <c r="U62" s="53" t="s">
        <v>649</v>
      </c>
      <c r="V62" s="53" t="s">
        <v>650</v>
      </c>
      <c r="W62" s="53" t="s">
        <v>651</v>
      </c>
      <c r="X62" s="53" t="s">
        <v>651</v>
      </c>
      <c r="Y62" s="19">
        <v>12</v>
      </c>
      <c r="Z62" s="19">
        <v>23</v>
      </c>
      <c r="AA62" s="54">
        <v>315000000</v>
      </c>
      <c r="AB62" s="68">
        <v>0.05</v>
      </c>
      <c r="AC62" s="67">
        <v>3.15E-3</v>
      </c>
      <c r="AD62" s="19"/>
      <c r="AE62" s="19"/>
      <c r="AF62" s="22"/>
      <c r="AG62" s="19"/>
      <c r="AH62" s="19"/>
      <c r="AI62" s="19"/>
      <c r="AJ62" s="22"/>
      <c r="AK62" s="19"/>
      <c r="AL62" s="19" t="s">
        <v>914</v>
      </c>
      <c r="AM62" s="19">
        <v>1</v>
      </c>
      <c r="AN62" s="22">
        <f>AL62+30</f>
        <v>45562</v>
      </c>
      <c r="AO62" s="19" t="s">
        <v>915</v>
      </c>
      <c r="AP62" s="19"/>
      <c r="AQ62" s="19"/>
      <c r="AR62" s="9"/>
      <c r="AS62" s="9"/>
    </row>
    <row r="63" spans="1:45" s="16" customFormat="1" ht="54" customHeight="1">
      <c r="A63" s="19">
        <v>61</v>
      </c>
      <c r="B63" s="53" t="s">
        <v>488</v>
      </c>
      <c r="C63" s="53" t="s">
        <v>553</v>
      </c>
      <c r="D63" s="37" t="s">
        <v>131</v>
      </c>
      <c r="E63" s="37" t="s">
        <v>796</v>
      </c>
      <c r="F63" s="53" t="s">
        <v>111</v>
      </c>
      <c r="G63" s="36" t="s">
        <v>860</v>
      </c>
      <c r="H63" s="36" t="s">
        <v>861</v>
      </c>
      <c r="I63" s="19">
        <v>10</v>
      </c>
      <c r="J63" s="36" t="s">
        <v>131</v>
      </c>
      <c r="K63" s="53" t="s">
        <v>652</v>
      </c>
      <c r="L63" s="19" t="s">
        <v>49</v>
      </c>
      <c r="M63" s="19" t="s">
        <v>185</v>
      </c>
      <c r="N63" s="53" t="s">
        <v>491</v>
      </c>
      <c r="O63" s="53" t="s">
        <v>400</v>
      </c>
      <c r="P63" s="53" t="s">
        <v>403</v>
      </c>
      <c r="Q63" s="53" t="s">
        <v>653</v>
      </c>
      <c r="R63" s="22" t="s">
        <v>41</v>
      </c>
      <c r="S63" s="53" t="s">
        <v>649</v>
      </c>
      <c r="T63" s="53" t="s">
        <v>649</v>
      </c>
      <c r="U63" s="53" t="s">
        <v>650</v>
      </c>
      <c r="V63" s="53" t="s">
        <v>622</v>
      </c>
      <c r="W63" s="53" t="s">
        <v>654</v>
      </c>
      <c r="X63" s="53" t="s">
        <v>654</v>
      </c>
      <c r="Y63" s="19">
        <v>18</v>
      </c>
      <c r="Z63" s="19">
        <v>15</v>
      </c>
      <c r="AA63" s="54">
        <v>98350000</v>
      </c>
      <c r="AB63" s="68">
        <v>0.25</v>
      </c>
      <c r="AC63" s="67">
        <v>9.7999999999999997E-4</v>
      </c>
      <c r="AD63" s="19"/>
      <c r="AE63" s="19"/>
      <c r="AF63" s="22"/>
      <c r="AG63" s="19"/>
      <c r="AH63" s="19"/>
      <c r="AI63" s="19"/>
      <c r="AJ63" s="19"/>
      <c r="AK63" s="19"/>
      <c r="AL63" s="19" t="s">
        <v>936</v>
      </c>
      <c r="AM63" s="19">
        <v>1</v>
      </c>
      <c r="AN63" s="22">
        <f>AL63+30</f>
        <v>45543</v>
      </c>
      <c r="AO63" s="19" t="s">
        <v>936</v>
      </c>
      <c r="AP63" s="19"/>
      <c r="AQ63" s="19"/>
      <c r="AR63" s="9"/>
      <c r="AS63" s="9"/>
    </row>
    <row r="64" spans="1:45" s="16" customFormat="1" ht="54" customHeight="1">
      <c r="A64" s="19">
        <v>62</v>
      </c>
      <c r="B64" s="53" t="s">
        <v>143</v>
      </c>
      <c r="C64" s="53" t="s">
        <v>547</v>
      </c>
      <c r="D64" s="63" t="s">
        <v>810</v>
      </c>
      <c r="E64" s="37" t="s">
        <v>811</v>
      </c>
      <c r="F64" s="53" t="s">
        <v>75</v>
      </c>
      <c r="G64" s="36" t="s">
        <v>860</v>
      </c>
      <c r="H64" s="36" t="s">
        <v>864</v>
      </c>
      <c r="I64" s="19">
        <v>40</v>
      </c>
      <c r="J64" s="19" t="s">
        <v>131</v>
      </c>
      <c r="K64" s="53" t="s">
        <v>655</v>
      </c>
      <c r="L64" s="19" t="s">
        <v>86</v>
      </c>
      <c r="M64" s="19" t="s">
        <v>368</v>
      </c>
      <c r="N64" s="53" t="s">
        <v>50</v>
      </c>
      <c r="O64" s="53" t="s">
        <v>400</v>
      </c>
      <c r="P64" s="53" t="s">
        <v>64</v>
      </c>
      <c r="Q64" s="53" t="s">
        <v>653</v>
      </c>
      <c r="R64" s="22" t="s">
        <v>41</v>
      </c>
      <c r="S64" s="53" t="s">
        <v>656</v>
      </c>
      <c r="T64" s="53" t="s">
        <v>656</v>
      </c>
      <c r="U64" s="53" t="s">
        <v>657</v>
      </c>
      <c r="V64" s="53" t="s">
        <v>658</v>
      </c>
      <c r="W64" s="53" t="s">
        <v>659</v>
      </c>
      <c r="X64" s="53" t="s">
        <v>659</v>
      </c>
      <c r="Y64" s="19">
        <v>20</v>
      </c>
      <c r="Z64" s="19">
        <v>23</v>
      </c>
      <c r="AA64" s="54">
        <v>540000000</v>
      </c>
      <c r="AB64" s="68">
        <v>0.01</v>
      </c>
      <c r="AC64" s="67">
        <v>5.4000000000000003E-3</v>
      </c>
      <c r="AD64" s="19"/>
      <c r="AE64" s="19"/>
      <c r="AF64" s="19"/>
      <c r="AG64" s="19"/>
      <c r="AH64" s="19"/>
      <c r="AI64" s="19"/>
      <c r="AJ64" s="19"/>
      <c r="AK64" s="19"/>
      <c r="AL64" s="19" t="s">
        <v>989</v>
      </c>
      <c r="AM64" s="19">
        <v>1</v>
      </c>
      <c r="AN64" s="22">
        <f>AL64+30</f>
        <v>45561</v>
      </c>
      <c r="AO64" s="19" t="s">
        <v>914</v>
      </c>
      <c r="AP64" s="19"/>
      <c r="AQ64" s="19"/>
      <c r="AR64" s="9"/>
      <c r="AS64" s="9"/>
    </row>
    <row r="65" spans="1:45" s="16" customFormat="1" ht="54" customHeight="1">
      <c r="A65" s="19">
        <v>63</v>
      </c>
      <c r="B65" s="53" t="s">
        <v>660</v>
      </c>
      <c r="C65" s="53" t="s">
        <v>661</v>
      </c>
      <c r="D65" s="37" t="s">
        <v>805</v>
      </c>
      <c r="E65" s="37" t="s">
        <v>817</v>
      </c>
      <c r="F65" s="53" t="s">
        <v>296</v>
      </c>
      <c r="G65" s="36" t="s">
        <v>860</v>
      </c>
      <c r="H65" s="36" t="s">
        <v>861</v>
      </c>
      <c r="I65" s="19">
        <v>10</v>
      </c>
      <c r="J65" s="36" t="s">
        <v>131</v>
      </c>
      <c r="K65" s="53" t="s">
        <v>662</v>
      </c>
      <c r="L65" s="19" t="s">
        <v>86</v>
      </c>
      <c r="M65" s="19" t="s">
        <v>368</v>
      </c>
      <c r="N65" s="53" t="s">
        <v>50</v>
      </c>
      <c r="O65" s="53" t="s">
        <v>400</v>
      </c>
      <c r="P65" s="53" t="s">
        <v>64</v>
      </c>
      <c r="Q65" s="53" t="s">
        <v>653</v>
      </c>
      <c r="R65" s="22" t="s">
        <v>41</v>
      </c>
      <c r="S65" s="53" t="s">
        <v>663</v>
      </c>
      <c r="T65" s="53" t="s">
        <v>663</v>
      </c>
      <c r="U65" s="53" t="s">
        <v>615</v>
      </c>
      <c r="V65" s="53" t="s">
        <v>664</v>
      </c>
      <c r="W65" s="53" t="s">
        <v>665</v>
      </c>
      <c r="X65" s="53" t="s">
        <v>665</v>
      </c>
      <c r="Y65" s="19">
        <v>18</v>
      </c>
      <c r="Z65" s="19">
        <v>22</v>
      </c>
      <c r="AA65" s="54">
        <v>450000000</v>
      </c>
      <c r="AB65" s="68">
        <v>0.3</v>
      </c>
      <c r="AC65" s="67">
        <v>4.4999999999999997E-3</v>
      </c>
      <c r="AD65" s="22">
        <v>45512</v>
      </c>
      <c r="AE65" s="19">
        <v>1</v>
      </c>
      <c r="AF65" s="22">
        <f>AD65+14</f>
        <v>45526</v>
      </c>
      <c r="AG65" s="22">
        <v>45512</v>
      </c>
      <c r="AH65" s="19"/>
      <c r="AI65" s="19"/>
      <c r="AJ65" s="19"/>
      <c r="AK65" s="19"/>
      <c r="AL65" s="22">
        <v>45541</v>
      </c>
      <c r="AM65" s="19">
        <v>1</v>
      </c>
      <c r="AN65" s="22">
        <f>AL65+30</f>
        <v>45571</v>
      </c>
      <c r="AO65" s="22">
        <v>45545</v>
      </c>
      <c r="AP65" s="19"/>
      <c r="AQ65" s="19"/>
      <c r="AR65" s="9"/>
      <c r="AS65" s="9"/>
    </row>
    <row r="66" spans="1:45" s="16" customFormat="1" ht="54" customHeight="1">
      <c r="A66" s="19">
        <v>64</v>
      </c>
      <c r="B66" s="53" t="s">
        <v>442</v>
      </c>
      <c r="C66" s="53" t="s">
        <v>803</v>
      </c>
      <c r="D66" s="37" t="s">
        <v>131</v>
      </c>
      <c r="E66" s="37" t="s">
        <v>804</v>
      </c>
      <c r="F66" s="53" t="s">
        <v>443</v>
      </c>
      <c r="G66" s="36" t="s">
        <v>860</v>
      </c>
      <c r="H66" s="36" t="s">
        <v>861</v>
      </c>
      <c r="I66" s="19">
        <v>2</v>
      </c>
      <c r="J66" s="36" t="s">
        <v>131</v>
      </c>
      <c r="K66" s="53" t="s">
        <v>444</v>
      </c>
      <c r="L66" s="19" t="s">
        <v>49</v>
      </c>
      <c r="M66" s="19" t="s">
        <v>368</v>
      </c>
      <c r="N66" s="53" t="s">
        <v>50</v>
      </c>
      <c r="O66" s="53" t="s">
        <v>400</v>
      </c>
      <c r="P66" s="53" t="s">
        <v>64</v>
      </c>
      <c r="Q66" s="53" t="s">
        <v>653</v>
      </c>
      <c r="R66" s="22" t="s">
        <v>41</v>
      </c>
      <c r="S66" s="53" t="s">
        <v>666</v>
      </c>
      <c r="T66" s="53" t="s">
        <v>666</v>
      </c>
      <c r="U66" s="53" t="s">
        <v>468</v>
      </c>
      <c r="V66" s="53" t="s">
        <v>469</v>
      </c>
      <c r="W66" s="53" t="s">
        <v>649</v>
      </c>
      <c r="X66" s="53" t="s">
        <v>650</v>
      </c>
      <c r="Y66" s="19"/>
      <c r="Z66" s="19">
        <v>203</v>
      </c>
      <c r="AA66" s="54">
        <v>665471398</v>
      </c>
      <c r="AB66" s="68">
        <v>0.3</v>
      </c>
      <c r="AC66" s="67">
        <v>6.6499999999999997E-3</v>
      </c>
      <c r="AD66" s="19" t="s">
        <v>941</v>
      </c>
      <c r="AE66" s="19">
        <v>1</v>
      </c>
      <c r="AF66" s="22">
        <f>AD66+14</f>
        <v>45523</v>
      </c>
      <c r="AG66" s="19" t="s">
        <v>942</v>
      </c>
      <c r="AH66" s="19"/>
      <c r="AI66" s="19"/>
      <c r="AJ66" s="19"/>
      <c r="AK66" s="19"/>
      <c r="AL66" s="19" t="s">
        <v>939</v>
      </c>
      <c r="AM66" s="19">
        <v>1</v>
      </c>
      <c r="AN66" s="22">
        <f t="shared" ref="AN66:AN75" si="11">AL66+30</f>
        <v>45589</v>
      </c>
      <c r="AO66" s="19" t="s">
        <v>943</v>
      </c>
      <c r="AP66" s="19"/>
      <c r="AQ66" s="19"/>
      <c r="AR66" s="9"/>
      <c r="AS66" s="9"/>
    </row>
    <row r="67" spans="1:45" s="16" customFormat="1" ht="54" customHeight="1">
      <c r="A67" s="19">
        <v>65</v>
      </c>
      <c r="B67" s="53" t="s">
        <v>47</v>
      </c>
      <c r="C67" s="53" t="s">
        <v>791</v>
      </c>
      <c r="D67" s="37" t="s">
        <v>786</v>
      </c>
      <c r="E67" s="37" t="s">
        <v>785</v>
      </c>
      <c r="F67" s="53" t="s">
        <v>75</v>
      </c>
      <c r="G67" s="36" t="s">
        <v>860</v>
      </c>
      <c r="H67" s="36" t="s">
        <v>861</v>
      </c>
      <c r="I67" s="19">
        <v>44</v>
      </c>
      <c r="J67" s="19" t="s">
        <v>131</v>
      </c>
      <c r="K67" s="53" t="s">
        <v>667</v>
      </c>
      <c r="L67" s="19" t="s">
        <v>86</v>
      </c>
      <c r="M67" s="19" t="s">
        <v>368</v>
      </c>
      <c r="N67" s="53" t="s">
        <v>50</v>
      </c>
      <c r="O67" s="53" t="s">
        <v>400</v>
      </c>
      <c r="P67" s="53" t="s">
        <v>64</v>
      </c>
      <c r="Q67" s="53" t="s">
        <v>653</v>
      </c>
      <c r="R67" s="22" t="s">
        <v>41</v>
      </c>
      <c r="S67" s="53" t="s">
        <v>641</v>
      </c>
      <c r="T67" s="53" t="s">
        <v>641</v>
      </c>
      <c r="U67" s="53" t="s">
        <v>637</v>
      </c>
      <c r="V67" s="53" t="s">
        <v>643</v>
      </c>
      <c r="W67" s="53" t="s">
        <v>668</v>
      </c>
      <c r="X67" s="53" t="s">
        <v>872</v>
      </c>
      <c r="Y67" s="19">
        <v>20</v>
      </c>
      <c r="Z67" s="19">
        <v>27</v>
      </c>
      <c r="AA67" s="54">
        <v>1392505274</v>
      </c>
      <c r="AB67" s="68">
        <v>0.21</v>
      </c>
      <c r="AC67" s="67">
        <v>1.392E-2</v>
      </c>
      <c r="AD67" s="19"/>
      <c r="AE67" s="19"/>
      <c r="AF67" s="19"/>
      <c r="AG67" s="19"/>
      <c r="AH67" s="19"/>
      <c r="AI67" s="19"/>
      <c r="AJ67" s="19"/>
      <c r="AK67" s="19"/>
      <c r="AL67" s="19" t="s">
        <v>1007</v>
      </c>
      <c r="AM67" s="19">
        <v>1</v>
      </c>
      <c r="AN67" s="22">
        <f t="shared" si="11"/>
        <v>45570</v>
      </c>
      <c r="AO67" s="19" t="s">
        <v>1001</v>
      </c>
      <c r="AP67" s="19"/>
      <c r="AQ67" s="19"/>
      <c r="AR67" s="9"/>
      <c r="AS67" s="9"/>
    </row>
    <row r="68" spans="1:45" s="16" customFormat="1" ht="54" customHeight="1">
      <c r="A68" s="19">
        <v>66</v>
      </c>
      <c r="B68" s="53" t="s">
        <v>669</v>
      </c>
      <c r="C68" s="53" t="s">
        <v>782</v>
      </c>
      <c r="D68" s="37" t="s">
        <v>818</v>
      </c>
      <c r="E68" s="37" t="s">
        <v>819</v>
      </c>
      <c r="F68" s="53" t="s">
        <v>171</v>
      </c>
      <c r="G68" s="36" t="s">
        <v>860</v>
      </c>
      <c r="H68" s="36" t="s">
        <v>862</v>
      </c>
      <c r="I68" s="19">
        <v>20</v>
      </c>
      <c r="J68" s="36" t="s">
        <v>131</v>
      </c>
      <c r="K68" s="53" t="s">
        <v>670</v>
      </c>
      <c r="L68" s="19" t="s">
        <v>49</v>
      </c>
      <c r="M68" s="19" t="s">
        <v>368</v>
      </c>
      <c r="N68" s="53" t="s">
        <v>50</v>
      </c>
      <c r="O68" s="53" t="s">
        <v>400</v>
      </c>
      <c r="P68" s="53" t="s">
        <v>52</v>
      </c>
      <c r="Q68" s="45" t="s">
        <v>671</v>
      </c>
      <c r="R68" s="22" t="s">
        <v>41</v>
      </c>
      <c r="S68" s="53" t="s">
        <v>672</v>
      </c>
      <c r="T68" s="53" t="s">
        <v>672</v>
      </c>
      <c r="U68" s="53" t="s">
        <v>673</v>
      </c>
      <c r="V68" s="53" t="s">
        <v>674</v>
      </c>
      <c r="W68" s="56" t="s">
        <v>675</v>
      </c>
      <c r="X68" s="56" t="s">
        <v>675</v>
      </c>
      <c r="Y68" s="19">
        <v>20</v>
      </c>
      <c r="Z68" s="19">
        <v>27</v>
      </c>
      <c r="AA68" s="54">
        <v>339508660</v>
      </c>
      <c r="AB68" s="68">
        <v>0.28000000000000003</v>
      </c>
      <c r="AC68" s="67">
        <v>3.3899999999999998E-3</v>
      </c>
      <c r="AD68" s="19"/>
      <c r="AE68" s="19"/>
      <c r="AF68" s="19"/>
      <c r="AG68" s="19"/>
      <c r="AH68" s="19"/>
      <c r="AI68" s="19"/>
      <c r="AJ68" s="19"/>
      <c r="AK68" s="19"/>
      <c r="AL68" s="19" t="s">
        <v>914</v>
      </c>
      <c r="AM68" s="19">
        <v>1</v>
      </c>
      <c r="AN68" s="22">
        <f t="shared" si="11"/>
        <v>45562</v>
      </c>
      <c r="AO68" s="19" t="s">
        <v>1003</v>
      </c>
      <c r="AP68" s="19"/>
      <c r="AQ68" s="19"/>
      <c r="AR68" s="9"/>
      <c r="AS68" s="9"/>
    </row>
    <row r="69" spans="1:45" s="16" customFormat="1" ht="54" customHeight="1">
      <c r="A69" s="19">
        <v>67</v>
      </c>
      <c r="B69" s="53" t="s">
        <v>669</v>
      </c>
      <c r="C69" s="53" t="s">
        <v>782</v>
      </c>
      <c r="D69" s="37" t="s">
        <v>818</v>
      </c>
      <c r="E69" s="37" t="s">
        <v>819</v>
      </c>
      <c r="F69" s="53" t="s">
        <v>171</v>
      </c>
      <c r="G69" s="36" t="s">
        <v>860</v>
      </c>
      <c r="H69" s="36" t="s">
        <v>862</v>
      </c>
      <c r="I69" s="19">
        <v>20</v>
      </c>
      <c r="J69" s="36" t="s">
        <v>131</v>
      </c>
      <c r="K69" s="53" t="s">
        <v>676</v>
      </c>
      <c r="L69" s="19" t="s">
        <v>246</v>
      </c>
      <c r="M69" s="19" t="s">
        <v>368</v>
      </c>
      <c r="N69" s="53" t="s">
        <v>50</v>
      </c>
      <c r="O69" s="53" t="s">
        <v>400</v>
      </c>
      <c r="P69" s="53" t="s">
        <v>64</v>
      </c>
      <c r="Q69" s="45" t="s">
        <v>671</v>
      </c>
      <c r="R69" s="22" t="s">
        <v>41</v>
      </c>
      <c r="S69" s="53" t="s">
        <v>677</v>
      </c>
      <c r="T69" s="53" t="s">
        <v>677</v>
      </c>
      <c r="U69" s="53" t="s">
        <v>678</v>
      </c>
      <c r="V69" s="53" t="s">
        <v>679</v>
      </c>
      <c r="W69" s="56" t="s">
        <v>680</v>
      </c>
      <c r="X69" s="56" t="s">
        <v>680</v>
      </c>
      <c r="Y69" s="19">
        <v>20</v>
      </c>
      <c r="Z69" s="19">
        <v>35</v>
      </c>
      <c r="AA69" s="54">
        <v>603498000</v>
      </c>
      <c r="AB69" s="68">
        <v>0.33</v>
      </c>
      <c r="AC69" s="67">
        <v>6.3E-3</v>
      </c>
      <c r="AD69" s="19"/>
      <c r="AE69" s="19"/>
      <c r="AF69" s="19"/>
      <c r="AG69" s="19"/>
      <c r="AH69" s="19"/>
      <c r="AI69" s="19"/>
      <c r="AJ69" s="19"/>
      <c r="AK69" s="19"/>
      <c r="AL69" s="19" t="s">
        <v>914</v>
      </c>
      <c r="AM69" s="19">
        <v>1</v>
      </c>
      <c r="AN69" s="22">
        <f t="shared" si="11"/>
        <v>45562</v>
      </c>
      <c r="AO69" s="19" t="s">
        <v>1003</v>
      </c>
      <c r="AP69" s="19"/>
      <c r="AQ69" s="19"/>
      <c r="AR69" s="9"/>
      <c r="AS69" s="9"/>
    </row>
    <row r="70" spans="1:45" s="16" customFormat="1" ht="54" customHeight="1">
      <c r="A70" s="19">
        <v>68</v>
      </c>
      <c r="B70" s="53" t="s">
        <v>595</v>
      </c>
      <c r="C70" s="53" t="s">
        <v>791</v>
      </c>
      <c r="D70" s="37" t="s">
        <v>786</v>
      </c>
      <c r="E70" s="37" t="s">
        <v>785</v>
      </c>
      <c r="F70" s="53" t="s">
        <v>597</v>
      </c>
      <c r="G70" s="36" t="s">
        <v>860</v>
      </c>
      <c r="H70" s="36" t="s">
        <v>861</v>
      </c>
      <c r="I70" s="19">
        <v>10</v>
      </c>
      <c r="J70" s="19" t="s">
        <v>131</v>
      </c>
      <c r="K70" s="53" t="s">
        <v>681</v>
      </c>
      <c r="L70" s="19" t="s">
        <v>49</v>
      </c>
      <c r="M70" s="19" t="s">
        <v>368</v>
      </c>
      <c r="N70" s="53" t="s">
        <v>50</v>
      </c>
      <c r="O70" s="53" t="s">
        <v>400</v>
      </c>
      <c r="P70" s="53" t="s">
        <v>64</v>
      </c>
      <c r="Q70" s="45" t="s">
        <v>671</v>
      </c>
      <c r="R70" s="22" t="s">
        <v>41</v>
      </c>
      <c r="S70" s="53" t="s">
        <v>682</v>
      </c>
      <c r="T70" s="53" t="s">
        <v>682</v>
      </c>
      <c r="U70" s="53" t="s">
        <v>683</v>
      </c>
      <c r="V70" s="53" t="s">
        <v>684</v>
      </c>
      <c r="W70" s="56" t="s">
        <v>685</v>
      </c>
      <c r="X70" s="56" t="s">
        <v>685</v>
      </c>
      <c r="Y70" s="19">
        <v>18</v>
      </c>
      <c r="Z70" s="19">
        <v>38</v>
      </c>
      <c r="AA70" s="54">
        <v>398000000</v>
      </c>
      <c r="AB70" s="68">
        <v>0.4</v>
      </c>
      <c r="AC70" s="67">
        <v>3.8999999999999998E-3</v>
      </c>
      <c r="AD70" s="19" t="s">
        <v>999</v>
      </c>
      <c r="AE70" s="19">
        <v>1</v>
      </c>
      <c r="AF70" s="22">
        <f>AD70+14</f>
        <v>45580</v>
      </c>
      <c r="AG70" s="19" t="s">
        <v>971</v>
      </c>
      <c r="AH70" s="19"/>
      <c r="AI70" s="19"/>
      <c r="AJ70" s="19"/>
      <c r="AK70" s="19"/>
      <c r="AL70" s="19" t="s">
        <v>938</v>
      </c>
      <c r="AM70" s="19">
        <v>1</v>
      </c>
      <c r="AN70" s="22">
        <f t="shared" si="11"/>
        <v>45382</v>
      </c>
      <c r="AO70" s="19" t="s">
        <v>888</v>
      </c>
      <c r="AP70" s="19"/>
      <c r="AQ70" s="19"/>
      <c r="AR70" s="9"/>
      <c r="AS70" s="9"/>
    </row>
    <row r="71" spans="1:45" s="16" customFormat="1" ht="54" customHeight="1">
      <c r="A71" s="19">
        <v>69</v>
      </c>
      <c r="B71" s="53" t="s">
        <v>295</v>
      </c>
      <c r="C71" s="53" t="s">
        <v>686</v>
      </c>
      <c r="D71" s="63" t="s">
        <v>820</v>
      </c>
      <c r="E71" s="37" t="s">
        <v>821</v>
      </c>
      <c r="F71" s="53" t="s">
        <v>296</v>
      </c>
      <c r="G71" s="36" t="s">
        <v>860</v>
      </c>
      <c r="H71" s="36" t="s">
        <v>861</v>
      </c>
      <c r="I71" s="19">
        <v>20</v>
      </c>
      <c r="J71" s="36" t="s">
        <v>131</v>
      </c>
      <c r="K71" s="53" t="s">
        <v>687</v>
      </c>
      <c r="L71" s="19" t="s">
        <v>49</v>
      </c>
      <c r="M71" s="19" t="s">
        <v>368</v>
      </c>
      <c r="N71" s="53" t="s">
        <v>688</v>
      </c>
      <c r="O71" s="53" t="s">
        <v>400</v>
      </c>
      <c r="P71" s="53" t="s">
        <v>64</v>
      </c>
      <c r="Q71" s="45" t="s">
        <v>671</v>
      </c>
      <c r="R71" s="22" t="s">
        <v>41</v>
      </c>
      <c r="S71" s="53" t="s">
        <v>689</v>
      </c>
      <c r="T71" s="53" t="s">
        <v>689</v>
      </c>
      <c r="U71" s="53" t="s">
        <v>690</v>
      </c>
      <c r="V71" s="53" t="s">
        <v>691</v>
      </c>
      <c r="W71" s="56" t="s">
        <v>692</v>
      </c>
      <c r="X71" s="56" t="s">
        <v>692</v>
      </c>
      <c r="Y71" s="19">
        <v>18</v>
      </c>
      <c r="Z71" s="19">
        <v>110</v>
      </c>
      <c r="AA71" s="54">
        <v>755000000</v>
      </c>
      <c r="AB71" s="68">
        <v>0.38</v>
      </c>
      <c r="AC71" s="67">
        <v>7.4999999999999997E-3</v>
      </c>
      <c r="AD71" s="19" t="s">
        <v>901</v>
      </c>
      <c r="AE71" s="19">
        <v>1</v>
      </c>
      <c r="AF71" s="22">
        <f>AD71+14</f>
        <v>45532</v>
      </c>
      <c r="AG71" s="19" t="s">
        <v>912</v>
      </c>
      <c r="AH71" s="19" t="s">
        <v>969</v>
      </c>
      <c r="AI71" s="19">
        <v>1</v>
      </c>
      <c r="AJ71" s="22">
        <f>AH71+14</f>
        <v>45553</v>
      </c>
      <c r="AK71" s="19" t="s">
        <v>882</v>
      </c>
      <c r="AL71" s="19" t="s">
        <v>970</v>
      </c>
      <c r="AM71" s="19">
        <v>1</v>
      </c>
      <c r="AN71" s="22">
        <f t="shared" si="11"/>
        <v>45660</v>
      </c>
      <c r="AO71" s="19" t="s">
        <v>947</v>
      </c>
      <c r="AP71" s="19"/>
      <c r="AQ71" s="19"/>
      <c r="AR71" s="9"/>
      <c r="AS71" s="9"/>
    </row>
    <row r="72" spans="1:45" s="5" customFormat="1" ht="54" customHeight="1">
      <c r="A72" s="19">
        <v>70</v>
      </c>
      <c r="B72" s="53" t="s">
        <v>295</v>
      </c>
      <c r="C72" s="53" t="s">
        <v>686</v>
      </c>
      <c r="D72" s="63" t="s">
        <v>820</v>
      </c>
      <c r="E72" s="37" t="s">
        <v>821</v>
      </c>
      <c r="F72" s="53" t="s">
        <v>296</v>
      </c>
      <c r="G72" s="36" t="s">
        <v>860</v>
      </c>
      <c r="H72" s="36" t="s">
        <v>861</v>
      </c>
      <c r="I72" s="19">
        <v>20</v>
      </c>
      <c r="J72" s="36" t="s">
        <v>131</v>
      </c>
      <c r="K72" s="53" t="s">
        <v>693</v>
      </c>
      <c r="L72" s="19" t="s">
        <v>246</v>
      </c>
      <c r="M72" s="19" t="s">
        <v>368</v>
      </c>
      <c r="N72" s="53" t="s">
        <v>50</v>
      </c>
      <c r="O72" s="53" t="s">
        <v>400</v>
      </c>
      <c r="P72" s="53" t="s">
        <v>64</v>
      </c>
      <c r="Q72" s="45" t="s">
        <v>671</v>
      </c>
      <c r="R72" s="22" t="s">
        <v>41</v>
      </c>
      <c r="S72" s="53" t="s">
        <v>694</v>
      </c>
      <c r="T72" s="53" t="s">
        <v>694</v>
      </c>
      <c r="U72" s="53" t="s">
        <v>695</v>
      </c>
      <c r="V72" s="53" t="s">
        <v>689</v>
      </c>
      <c r="W72" s="56" t="s">
        <v>696</v>
      </c>
      <c r="X72" s="56" t="s">
        <v>696</v>
      </c>
      <c r="Y72" s="19">
        <v>4</v>
      </c>
      <c r="Z72" s="19">
        <v>36</v>
      </c>
      <c r="AA72" s="54">
        <v>670000000</v>
      </c>
      <c r="AB72" s="68">
        <v>0.48</v>
      </c>
      <c r="AC72" s="67">
        <v>6.7000000000000002E-3</v>
      </c>
      <c r="AD72" s="19" t="s">
        <v>901</v>
      </c>
      <c r="AE72" s="19">
        <v>1</v>
      </c>
      <c r="AF72" s="22">
        <f>AD72+14</f>
        <v>45532</v>
      </c>
      <c r="AG72" s="19" t="s">
        <v>912</v>
      </c>
      <c r="AH72" s="19" t="s">
        <v>969</v>
      </c>
      <c r="AI72" s="19">
        <v>1</v>
      </c>
      <c r="AJ72" s="22">
        <f>AH72+14</f>
        <v>45553</v>
      </c>
      <c r="AK72" s="19" t="s">
        <v>882</v>
      </c>
      <c r="AL72" s="19" t="s">
        <v>970</v>
      </c>
      <c r="AM72" s="19">
        <v>1</v>
      </c>
      <c r="AN72" s="22">
        <f t="shared" si="11"/>
        <v>45660</v>
      </c>
      <c r="AO72" s="19" t="s">
        <v>947</v>
      </c>
      <c r="AP72" s="23"/>
      <c r="AQ72" s="23"/>
      <c r="AR72" s="4"/>
      <c r="AS72" s="4"/>
    </row>
    <row r="73" spans="1:45" s="5" customFormat="1" ht="54" customHeight="1">
      <c r="A73" s="19">
        <v>71</v>
      </c>
      <c r="B73" s="53" t="s">
        <v>47</v>
      </c>
      <c r="C73" s="53" t="s">
        <v>791</v>
      </c>
      <c r="D73" s="37" t="s">
        <v>786</v>
      </c>
      <c r="E73" s="37" t="s">
        <v>785</v>
      </c>
      <c r="F73" s="53" t="s">
        <v>75</v>
      </c>
      <c r="G73" s="36" t="s">
        <v>860</v>
      </c>
      <c r="H73" s="36" t="s">
        <v>861</v>
      </c>
      <c r="I73" s="19">
        <v>44</v>
      </c>
      <c r="J73" s="19" t="s">
        <v>131</v>
      </c>
      <c r="K73" s="53" t="s">
        <v>697</v>
      </c>
      <c r="L73" s="19" t="s">
        <v>86</v>
      </c>
      <c r="M73" s="19" t="s">
        <v>368</v>
      </c>
      <c r="N73" s="53" t="s">
        <v>50</v>
      </c>
      <c r="O73" s="53" t="s">
        <v>400</v>
      </c>
      <c r="P73" s="53" t="s">
        <v>64</v>
      </c>
      <c r="Q73" s="45" t="s">
        <v>671</v>
      </c>
      <c r="R73" s="22" t="s">
        <v>41</v>
      </c>
      <c r="S73" s="53" t="s">
        <v>698</v>
      </c>
      <c r="T73" s="53" t="s">
        <v>698</v>
      </c>
      <c r="U73" s="53" t="s">
        <v>699</v>
      </c>
      <c r="V73" s="53" t="s">
        <v>700</v>
      </c>
      <c r="W73" s="56" t="s">
        <v>701</v>
      </c>
      <c r="X73" s="56" t="s">
        <v>701</v>
      </c>
      <c r="Y73" s="19">
        <v>22</v>
      </c>
      <c r="Z73" s="19">
        <v>34</v>
      </c>
      <c r="AA73" s="54">
        <v>963579594</v>
      </c>
      <c r="AB73" s="68">
        <v>0.11</v>
      </c>
      <c r="AC73" s="67">
        <v>9.5999999999999992E-3</v>
      </c>
      <c r="AD73" s="23"/>
      <c r="AE73" s="23"/>
      <c r="AF73" s="23"/>
      <c r="AG73" s="23"/>
      <c r="AH73" s="23"/>
      <c r="AI73" s="23"/>
      <c r="AJ73" s="23"/>
      <c r="AK73" s="23"/>
      <c r="AL73" s="19" t="s">
        <v>972</v>
      </c>
      <c r="AM73" s="19">
        <v>1</v>
      </c>
      <c r="AN73" s="22">
        <f t="shared" si="11"/>
        <v>45609</v>
      </c>
      <c r="AO73" s="19" t="s">
        <v>965</v>
      </c>
      <c r="AP73" s="23"/>
      <c r="AQ73" s="23"/>
      <c r="AR73" s="4"/>
      <c r="AS73" s="4"/>
    </row>
    <row r="74" spans="1:45" s="5" customFormat="1" ht="54" customHeight="1">
      <c r="A74" s="19">
        <v>72</v>
      </c>
      <c r="B74" s="53" t="s">
        <v>702</v>
      </c>
      <c r="C74" s="53" t="s">
        <v>686</v>
      </c>
      <c r="D74" s="63" t="s">
        <v>820</v>
      </c>
      <c r="E74" s="37" t="s">
        <v>821</v>
      </c>
      <c r="F74" s="53" t="s">
        <v>296</v>
      </c>
      <c r="G74" s="36" t="s">
        <v>860</v>
      </c>
      <c r="H74" s="36" t="s">
        <v>861</v>
      </c>
      <c r="I74" s="19">
        <v>2</v>
      </c>
      <c r="J74" s="36" t="s">
        <v>131</v>
      </c>
      <c r="K74" s="53" t="s">
        <v>703</v>
      </c>
      <c r="L74" s="19" t="s">
        <v>49</v>
      </c>
      <c r="M74" s="19" t="s">
        <v>368</v>
      </c>
      <c r="N74" s="53" t="s">
        <v>50</v>
      </c>
      <c r="O74" s="53" t="s">
        <v>400</v>
      </c>
      <c r="P74" s="53" t="s">
        <v>64</v>
      </c>
      <c r="Q74" s="45" t="s">
        <v>671</v>
      </c>
      <c r="R74" s="22" t="s">
        <v>41</v>
      </c>
      <c r="S74" s="56" t="s">
        <v>704</v>
      </c>
      <c r="T74" s="56" t="s">
        <v>704</v>
      </c>
      <c r="U74" s="56" t="s">
        <v>705</v>
      </c>
      <c r="V74" s="56" t="s">
        <v>706</v>
      </c>
      <c r="W74" s="56" t="s">
        <v>707</v>
      </c>
      <c r="X74" s="56" t="s">
        <v>707</v>
      </c>
      <c r="Y74" s="19">
        <v>18</v>
      </c>
      <c r="Z74" s="19">
        <v>22</v>
      </c>
      <c r="AA74" s="54">
        <v>160000000</v>
      </c>
      <c r="AB74" s="68">
        <v>0.55000000000000004</v>
      </c>
      <c r="AC74" s="67">
        <v>1.6000000000000001E-3</v>
      </c>
      <c r="AD74" s="19" t="s">
        <v>980</v>
      </c>
      <c r="AE74" s="19">
        <v>1</v>
      </c>
      <c r="AF74" s="22">
        <f>AD74+14</f>
        <v>45568</v>
      </c>
      <c r="AG74" s="19" t="s">
        <v>980</v>
      </c>
      <c r="AH74" s="23"/>
      <c r="AI74" s="23"/>
      <c r="AJ74" s="23"/>
      <c r="AK74" s="23"/>
      <c r="AL74" s="19" t="s">
        <v>979</v>
      </c>
      <c r="AM74" s="19">
        <v>1</v>
      </c>
      <c r="AN74" s="22">
        <f t="shared" si="11"/>
        <v>45600</v>
      </c>
      <c r="AO74" s="19" t="s">
        <v>984</v>
      </c>
      <c r="AP74" s="23"/>
      <c r="AQ74" s="23"/>
      <c r="AR74" s="4"/>
      <c r="AS74" s="4"/>
    </row>
    <row r="75" spans="1:45" s="5" customFormat="1" ht="54" customHeight="1">
      <c r="A75" s="19">
        <v>73</v>
      </c>
      <c r="B75" s="53" t="s">
        <v>702</v>
      </c>
      <c r="C75" s="53" t="s">
        <v>686</v>
      </c>
      <c r="D75" s="63" t="s">
        <v>820</v>
      </c>
      <c r="E75" s="37" t="s">
        <v>821</v>
      </c>
      <c r="F75" s="53" t="s">
        <v>296</v>
      </c>
      <c r="G75" s="36" t="s">
        <v>860</v>
      </c>
      <c r="H75" s="36" t="s">
        <v>861</v>
      </c>
      <c r="I75" s="19">
        <v>2</v>
      </c>
      <c r="J75" s="36" t="s">
        <v>131</v>
      </c>
      <c r="K75" s="53" t="s">
        <v>708</v>
      </c>
      <c r="L75" s="19" t="s">
        <v>246</v>
      </c>
      <c r="M75" s="19" t="s">
        <v>368</v>
      </c>
      <c r="N75" s="53" t="s">
        <v>50</v>
      </c>
      <c r="O75" s="53" t="s">
        <v>400</v>
      </c>
      <c r="P75" s="53" t="s">
        <v>64</v>
      </c>
      <c r="Q75" s="45" t="s">
        <v>671</v>
      </c>
      <c r="R75" s="22" t="s">
        <v>41</v>
      </c>
      <c r="S75" s="56" t="s">
        <v>709</v>
      </c>
      <c r="T75" s="56" t="s">
        <v>709</v>
      </c>
      <c r="U75" s="56" t="s">
        <v>704</v>
      </c>
      <c r="V75" s="56" t="s">
        <v>705</v>
      </c>
      <c r="W75" s="56" t="s">
        <v>710</v>
      </c>
      <c r="X75" s="56" t="s">
        <v>710</v>
      </c>
      <c r="Y75" s="19">
        <v>20</v>
      </c>
      <c r="Z75" s="19">
        <v>20</v>
      </c>
      <c r="AA75" s="54">
        <v>115000000</v>
      </c>
      <c r="AB75" s="68">
        <v>0.47</v>
      </c>
      <c r="AC75" s="67">
        <v>1.15E-3</v>
      </c>
      <c r="AD75" s="19" t="s">
        <v>980</v>
      </c>
      <c r="AE75" s="19">
        <v>1</v>
      </c>
      <c r="AF75" s="22">
        <f>AD75+14</f>
        <v>45568</v>
      </c>
      <c r="AG75" s="19" t="s">
        <v>980</v>
      </c>
      <c r="AH75" s="23"/>
      <c r="AI75" s="23"/>
      <c r="AJ75" s="23"/>
      <c r="AK75" s="23"/>
      <c r="AL75" s="19" t="s">
        <v>979</v>
      </c>
      <c r="AM75" s="19">
        <v>1</v>
      </c>
      <c r="AN75" s="22">
        <f t="shared" si="11"/>
        <v>45600</v>
      </c>
      <c r="AO75" s="19" t="s">
        <v>984</v>
      </c>
      <c r="AP75" s="23"/>
      <c r="AQ75" s="23"/>
      <c r="AR75" s="4"/>
      <c r="AS75" s="4"/>
    </row>
    <row r="76" spans="1:45" s="5" customFormat="1" ht="54" customHeight="1">
      <c r="A76" s="19">
        <v>74</v>
      </c>
      <c r="B76" s="53" t="s">
        <v>711</v>
      </c>
      <c r="C76" s="53" t="s">
        <v>822</v>
      </c>
      <c r="D76" s="37" t="s">
        <v>131</v>
      </c>
      <c r="E76" s="37" t="s">
        <v>823</v>
      </c>
      <c r="F76" s="53" t="s">
        <v>538</v>
      </c>
      <c r="G76" s="36" t="s">
        <v>860</v>
      </c>
      <c r="H76" s="36" t="s">
        <v>862</v>
      </c>
      <c r="I76" s="19">
        <v>20</v>
      </c>
      <c r="J76" s="19" t="s">
        <v>131</v>
      </c>
      <c r="K76" s="53" t="s">
        <v>712</v>
      </c>
      <c r="L76" s="19" t="s">
        <v>108</v>
      </c>
      <c r="M76" s="19" t="s">
        <v>368</v>
      </c>
      <c r="N76" s="53" t="s">
        <v>50</v>
      </c>
      <c r="O76" s="53" t="s">
        <v>400</v>
      </c>
      <c r="P76" s="53" t="s">
        <v>52</v>
      </c>
      <c r="Q76" s="45" t="s">
        <v>671</v>
      </c>
      <c r="R76" s="22" t="s">
        <v>41</v>
      </c>
      <c r="S76" s="53" t="s">
        <v>131</v>
      </c>
      <c r="T76" s="53" t="s">
        <v>131</v>
      </c>
      <c r="U76" s="53" t="s">
        <v>131</v>
      </c>
      <c r="V76" s="53" t="s">
        <v>131</v>
      </c>
      <c r="W76" s="53" t="s">
        <v>131</v>
      </c>
      <c r="X76" s="53"/>
      <c r="Y76" s="19">
        <v>25</v>
      </c>
      <c r="Z76" s="19">
        <v>36</v>
      </c>
      <c r="AA76" s="54">
        <v>1650000000</v>
      </c>
      <c r="AB76" s="68">
        <v>0.2</v>
      </c>
      <c r="AC76" s="67">
        <v>1.6500000000000001E-2</v>
      </c>
      <c r="AD76" s="22">
        <v>45531</v>
      </c>
      <c r="AE76" s="19">
        <v>1</v>
      </c>
      <c r="AF76" s="22">
        <f>AD76+14</f>
        <v>45545</v>
      </c>
      <c r="AG76" s="22">
        <v>45538</v>
      </c>
      <c r="AH76" s="22">
        <v>45558</v>
      </c>
      <c r="AI76" s="19">
        <v>1</v>
      </c>
      <c r="AJ76" s="22">
        <f>AH76+14</f>
        <v>45572</v>
      </c>
      <c r="AK76" s="22">
        <v>45560</v>
      </c>
      <c r="AL76" s="22">
        <v>45982</v>
      </c>
      <c r="AM76" s="19">
        <v>1</v>
      </c>
      <c r="AN76" s="22">
        <f>AL76+30</f>
        <v>46012</v>
      </c>
      <c r="AO76" s="22">
        <v>45628</v>
      </c>
      <c r="AP76" s="23"/>
      <c r="AQ76" s="23"/>
      <c r="AR76" s="4"/>
      <c r="AS76" s="4"/>
    </row>
    <row r="77" spans="1:45" s="5" customFormat="1" ht="54" customHeight="1">
      <c r="A77" s="19">
        <v>75</v>
      </c>
      <c r="B77" s="53" t="s">
        <v>47</v>
      </c>
      <c r="C77" s="53" t="s">
        <v>791</v>
      </c>
      <c r="D77" s="37" t="s">
        <v>786</v>
      </c>
      <c r="E77" s="37" t="s">
        <v>785</v>
      </c>
      <c r="F77" s="53" t="s">
        <v>75</v>
      </c>
      <c r="G77" s="36" t="s">
        <v>860</v>
      </c>
      <c r="H77" s="36" t="s">
        <v>861</v>
      </c>
      <c r="I77" s="19">
        <v>44</v>
      </c>
      <c r="J77" s="36" t="s">
        <v>131</v>
      </c>
      <c r="K77" s="53" t="s">
        <v>184</v>
      </c>
      <c r="L77" s="19" t="s">
        <v>49</v>
      </c>
      <c r="M77" s="19" t="s">
        <v>185</v>
      </c>
      <c r="N77" s="53" t="s">
        <v>50</v>
      </c>
      <c r="O77" s="53" t="s">
        <v>400</v>
      </c>
      <c r="P77" s="53" t="s">
        <v>403</v>
      </c>
      <c r="Q77" s="45" t="s">
        <v>671</v>
      </c>
      <c r="R77" s="22" t="s">
        <v>41</v>
      </c>
      <c r="S77" s="53" t="s">
        <v>131</v>
      </c>
      <c r="T77" s="53" t="s">
        <v>131</v>
      </c>
      <c r="U77" s="53" t="s">
        <v>131</v>
      </c>
      <c r="V77" s="53" t="s">
        <v>131</v>
      </c>
      <c r="W77" s="53" t="s">
        <v>131</v>
      </c>
      <c r="X77" s="53"/>
      <c r="Y77" s="19">
        <v>7</v>
      </c>
      <c r="Z77" s="19">
        <v>7</v>
      </c>
      <c r="AA77" s="54">
        <v>47250000</v>
      </c>
      <c r="AB77" s="68">
        <v>0.6</v>
      </c>
      <c r="AC77" s="67">
        <v>4.6999999999999999E-4</v>
      </c>
      <c r="AD77" s="23"/>
      <c r="AE77" s="23"/>
      <c r="AF77" s="23"/>
      <c r="AG77" s="23"/>
      <c r="AH77" s="23"/>
      <c r="AI77" s="23"/>
      <c r="AJ77" s="23"/>
      <c r="AK77" s="23"/>
      <c r="AL77" s="19" t="s">
        <v>972</v>
      </c>
      <c r="AM77" s="19">
        <v>1</v>
      </c>
      <c r="AN77" s="22">
        <f t="shared" ref="AN77:AN78" si="12">AL77+30</f>
        <v>45609</v>
      </c>
      <c r="AO77" s="19" t="s">
        <v>1006</v>
      </c>
      <c r="AP77" s="23"/>
      <c r="AQ77" s="23"/>
      <c r="AR77" s="4"/>
      <c r="AS77" s="4"/>
    </row>
    <row r="78" spans="1:45" s="5" customFormat="1" ht="54" customHeight="1">
      <c r="A78" s="19">
        <v>76</v>
      </c>
      <c r="B78" s="53" t="s">
        <v>47</v>
      </c>
      <c r="C78" s="53" t="s">
        <v>791</v>
      </c>
      <c r="D78" s="37" t="s">
        <v>786</v>
      </c>
      <c r="E78" s="37" t="s">
        <v>785</v>
      </c>
      <c r="F78" s="53" t="s">
        <v>75</v>
      </c>
      <c r="G78" s="36" t="s">
        <v>860</v>
      </c>
      <c r="H78" s="36" t="s">
        <v>861</v>
      </c>
      <c r="I78" s="19">
        <v>44</v>
      </c>
      <c r="J78" s="36" t="s">
        <v>131</v>
      </c>
      <c r="K78" s="53" t="s">
        <v>713</v>
      </c>
      <c r="L78" s="19" t="s">
        <v>49</v>
      </c>
      <c r="M78" s="19" t="s">
        <v>368</v>
      </c>
      <c r="N78" s="53" t="s">
        <v>50</v>
      </c>
      <c r="O78" s="53" t="s">
        <v>400</v>
      </c>
      <c r="P78" s="53" t="s">
        <v>52</v>
      </c>
      <c r="Q78" s="45" t="s">
        <v>671</v>
      </c>
      <c r="R78" s="22" t="s">
        <v>41</v>
      </c>
      <c r="S78" s="56" t="s">
        <v>714</v>
      </c>
      <c r="T78" s="56" t="s">
        <v>714</v>
      </c>
      <c r="U78" s="56" t="s">
        <v>715</v>
      </c>
      <c r="V78" s="56" t="s">
        <v>716</v>
      </c>
      <c r="W78" s="53" t="s">
        <v>717</v>
      </c>
      <c r="X78" s="53" t="s">
        <v>717</v>
      </c>
      <c r="Y78" s="19">
        <v>18</v>
      </c>
      <c r="Z78" s="19">
        <v>38</v>
      </c>
      <c r="AA78" s="54">
        <v>565896295</v>
      </c>
      <c r="AB78" s="68">
        <v>0.33</v>
      </c>
      <c r="AC78" s="67">
        <v>5.6499999999999996E-3</v>
      </c>
      <c r="AD78" s="23"/>
      <c r="AE78" s="23"/>
      <c r="AF78" s="23"/>
      <c r="AG78" s="23"/>
      <c r="AH78" s="23"/>
      <c r="AI78" s="23"/>
      <c r="AJ78" s="23"/>
      <c r="AK78" s="23"/>
      <c r="AL78" s="19" t="s">
        <v>1008</v>
      </c>
      <c r="AM78" s="19">
        <v>1</v>
      </c>
      <c r="AN78" s="22">
        <f t="shared" si="12"/>
        <v>45644</v>
      </c>
      <c r="AO78" s="19" t="s">
        <v>1005</v>
      </c>
      <c r="AP78" s="23"/>
      <c r="AQ78" s="23"/>
      <c r="AR78" s="4"/>
      <c r="AS78" s="4"/>
    </row>
    <row r="79" spans="1:45" s="5" customFormat="1" ht="54" customHeight="1">
      <c r="A79" s="19">
        <v>77</v>
      </c>
      <c r="B79" s="53" t="s">
        <v>143</v>
      </c>
      <c r="C79" s="53" t="s">
        <v>547</v>
      </c>
      <c r="D79" s="63" t="s">
        <v>810</v>
      </c>
      <c r="E79" s="37" t="s">
        <v>811</v>
      </c>
      <c r="F79" s="53" t="s">
        <v>75</v>
      </c>
      <c r="G79" s="36" t="s">
        <v>860</v>
      </c>
      <c r="H79" s="36" t="s">
        <v>864</v>
      </c>
      <c r="I79" s="19">
        <v>40</v>
      </c>
      <c r="J79" s="19" t="s">
        <v>131</v>
      </c>
      <c r="K79" s="53" t="s">
        <v>718</v>
      </c>
      <c r="L79" s="19" t="s">
        <v>49</v>
      </c>
      <c r="M79" s="19" t="s">
        <v>368</v>
      </c>
      <c r="N79" s="53" t="s">
        <v>50</v>
      </c>
      <c r="O79" s="53" t="s">
        <v>400</v>
      </c>
      <c r="P79" s="53" t="s">
        <v>64</v>
      </c>
      <c r="Q79" s="53" t="s">
        <v>115</v>
      </c>
      <c r="R79" s="22" t="s">
        <v>41</v>
      </c>
      <c r="S79" s="53" t="s">
        <v>682</v>
      </c>
      <c r="T79" s="53" t="s">
        <v>682</v>
      </c>
      <c r="U79" s="53" t="s">
        <v>683</v>
      </c>
      <c r="V79" s="53" t="s">
        <v>719</v>
      </c>
      <c r="W79" s="53" t="s">
        <v>720</v>
      </c>
      <c r="X79" s="53" t="s">
        <v>720</v>
      </c>
      <c r="Y79" s="19">
        <v>18</v>
      </c>
      <c r="Z79" s="19">
        <v>86</v>
      </c>
      <c r="AA79" s="54">
        <v>1050000000</v>
      </c>
      <c r="AB79" s="68">
        <v>0.01</v>
      </c>
      <c r="AC79" s="67">
        <v>1.0500000000000001E-2</v>
      </c>
      <c r="AD79" s="23"/>
      <c r="AE79" s="23"/>
      <c r="AF79" s="23"/>
      <c r="AG79" s="23"/>
      <c r="AH79" s="23"/>
      <c r="AI79" s="23"/>
      <c r="AJ79" s="23"/>
      <c r="AK79" s="23"/>
      <c r="AL79" s="19" t="s">
        <v>967</v>
      </c>
      <c r="AM79" s="19">
        <v>1</v>
      </c>
      <c r="AN79" s="22">
        <f t="shared" ref="AN79:AN80" si="13">AL79+30</f>
        <v>45645</v>
      </c>
      <c r="AO79" s="19" t="s">
        <v>991</v>
      </c>
      <c r="AP79" s="23"/>
      <c r="AQ79" s="23"/>
      <c r="AR79" s="4"/>
      <c r="AS79" s="4"/>
    </row>
    <row r="80" spans="1:45" s="5" customFormat="1" ht="54" customHeight="1">
      <c r="A80" s="19">
        <v>78</v>
      </c>
      <c r="B80" s="53" t="s">
        <v>143</v>
      </c>
      <c r="C80" s="53" t="s">
        <v>547</v>
      </c>
      <c r="D80" s="63" t="s">
        <v>810</v>
      </c>
      <c r="E80" s="37" t="s">
        <v>811</v>
      </c>
      <c r="F80" s="53" t="s">
        <v>75</v>
      </c>
      <c r="G80" s="36" t="s">
        <v>860</v>
      </c>
      <c r="H80" s="36" t="s">
        <v>864</v>
      </c>
      <c r="I80" s="19">
        <v>40</v>
      </c>
      <c r="J80" s="36" t="s">
        <v>131</v>
      </c>
      <c r="K80" s="53" t="s">
        <v>721</v>
      </c>
      <c r="L80" s="19" t="s">
        <v>86</v>
      </c>
      <c r="M80" s="19" t="s">
        <v>368</v>
      </c>
      <c r="N80" s="53" t="s">
        <v>50</v>
      </c>
      <c r="O80" s="53" t="s">
        <v>400</v>
      </c>
      <c r="P80" s="53" t="s">
        <v>64</v>
      </c>
      <c r="Q80" s="53" t="s">
        <v>115</v>
      </c>
      <c r="R80" s="22" t="s">
        <v>41</v>
      </c>
      <c r="S80" s="53" t="s">
        <v>722</v>
      </c>
      <c r="T80" s="53" t="s">
        <v>722</v>
      </c>
      <c r="U80" s="53" t="s">
        <v>698</v>
      </c>
      <c r="V80" s="53" t="s">
        <v>699</v>
      </c>
      <c r="W80" s="53" t="s">
        <v>723</v>
      </c>
      <c r="X80" s="53" t="s">
        <v>723</v>
      </c>
      <c r="Y80" s="19">
        <v>21</v>
      </c>
      <c r="Z80" s="19">
        <v>59</v>
      </c>
      <c r="AA80" s="54">
        <v>3100000000</v>
      </c>
      <c r="AB80" s="68">
        <v>0.05</v>
      </c>
      <c r="AC80" s="67">
        <v>3.1E-2</v>
      </c>
      <c r="AD80" s="23"/>
      <c r="AE80" s="23"/>
      <c r="AF80" s="23"/>
      <c r="AG80" s="23"/>
      <c r="AH80" s="23"/>
      <c r="AI80" s="23"/>
      <c r="AJ80" s="23"/>
      <c r="AK80" s="23"/>
      <c r="AL80" s="19" t="s">
        <v>958</v>
      </c>
      <c r="AM80" s="19">
        <v>1</v>
      </c>
      <c r="AN80" s="22">
        <f t="shared" si="13"/>
        <v>45667</v>
      </c>
      <c r="AO80" s="19" t="s">
        <v>992</v>
      </c>
      <c r="AP80" s="23"/>
      <c r="AQ80" s="23"/>
      <c r="AR80" s="4"/>
      <c r="AS80" s="4"/>
    </row>
    <row r="81" spans="1:45" s="5" customFormat="1" ht="54" customHeight="1">
      <c r="A81" s="19">
        <v>79</v>
      </c>
      <c r="B81" s="53" t="s">
        <v>724</v>
      </c>
      <c r="C81" s="53" t="s">
        <v>74</v>
      </c>
      <c r="D81" s="37" t="s">
        <v>131</v>
      </c>
      <c r="E81" s="37" t="s">
        <v>824</v>
      </c>
      <c r="F81" s="53" t="s">
        <v>75</v>
      </c>
      <c r="G81" s="36" t="s">
        <v>860</v>
      </c>
      <c r="H81" s="36" t="s">
        <v>865</v>
      </c>
      <c r="I81" s="19">
        <v>6</v>
      </c>
      <c r="J81" s="36" t="s">
        <v>131</v>
      </c>
      <c r="K81" s="53" t="s">
        <v>725</v>
      </c>
      <c r="L81" s="19"/>
      <c r="M81" s="19" t="s">
        <v>185</v>
      </c>
      <c r="N81" s="53"/>
      <c r="O81" s="53" t="s">
        <v>400</v>
      </c>
      <c r="P81" s="53" t="s">
        <v>403</v>
      </c>
      <c r="Q81" s="53" t="s">
        <v>115</v>
      </c>
      <c r="R81" s="22" t="s">
        <v>41</v>
      </c>
      <c r="S81" s="53" t="s">
        <v>131</v>
      </c>
      <c r="T81" s="53" t="s">
        <v>131</v>
      </c>
      <c r="U81" s="53" t="s">
        <v>131</v>
      </c>
      <c r="V81" s="53" t="s">
        <v>726</v>
      </c>
      <c r="W81" s="53" t="s">
        <v>131</v>
      </c>
      <c r="X81" s="53" t="s">
        <v>621</v>
      </c>
      <c r="Y81" s="53" t="s">
        <v>131</v>
      </c>
      <c r="Z81" s="53" t="s">
        <v>131</v>
      </c>
      <c r="AA81" s="54">
        <v>89865000</v>
      </c>
      <c r="AB81" s="68">
        <v>0.3</v>
      </c>
      <c r="AC81" s="67">
        <v>8.8999999999999995E-4</v>
      </c>
      <c r="AD81" s="23"/>
      <c r="AE81" s="23"/>
      <c r="AF81" s="23"/>
      <c r="AG81" s="23"/>
      <c r="AH81" s="23"/>
      <c r="AI81" s="23"/>
      <c r="AJ81" s="23"/>
      <c r="AK81" s="23"/>
      <c r="AL81" s="22">
        <v>45754</v>
      </c>
      <c r="AM81" s="19">
        <v>1</v>
      </c>
      <c r="AN81" s="22">
        <f>AL81+30</f>
        <v>45784</v>
      </c>
      <c r="AO81" s="22">
        <v>45791</v>
      </c>
      <c r="AP81" s="23"/>
      <c r="AQ81" s="23"/>
      <c r="AR81" s="4"/>
      <c r="AS81" s="4"/>
    </row>
    <row r="82" spans="1:45" s="5" customFormat="1" ht="54" customHeight="1">
      <c r="A82" s="19">
        <v>80</v>
      </c>
      <c r="B82" s="53" t="s">
        <v>647</v>
      </c>
      <c r="C82" s="53" t="s">
        <v>124</v>
      </c>
      <c r="D82" s="63" t="s">
        <v>797</v>
      </c>
      <c r="E82" s="37" t="s">
        <v>798</v>
      </c>
      <c r="F82" s="53" t="s">
        <v>75</v>
      </c>
      <c r="G82" s="36" t="s">
        <v>860</v>
      </c>
      <c r="H82" s="36" t="s">
        <v>861</v>
      </c>
      <c r="I82" s="19">
        <v>6</v>
      </c>
      <c r="J82" s="19" t="s">
        <v>131</v>
      </c>
      <c r="K82" s="53" t="s">
        <v>458</v>
      </c>
      <c r="L82" s="19" t="s">
        <v>86</v>
      </c>
      <c r="M82" s="19" t="s">
        <v>185</v>
      </c>
      <c r="N82" s="53" t="s">
        <v>50</v>
      </c>
      <c r="O82" s="53" t="s">
        <v>400</v>
      </c>
      <c r="P82" s="53" t="s">
        <v>403</v>
      </c>
      <c r="Q82" s="53" t="s">
        <v>115</v>
      </c>
      <c r="R82" s="22" t="s">
        <v>41</v>
      </c>
      <c r="S82" s="53" t="s">
        <v>131</v>
      </c>
      <c r="T82" s="53" t="s">
        <v>131</v>
      </c>
      <c r="U82" s="53" t="s">
        <v>131</v>
      </c>
      <c r="V82" s="53" t="s">
        <v>131</v>
      </c>
      <c r="W82" s="53" t="s">
        <v>131</v>
      </c>
      <c r="X82" s="53"/>
      <c r="Y82" s="19">
        <v>27</v>
      </c>
      <c r="Z82" s="19">
        <v>21</v>
      </c>
      <c r="AA82" s="54">
        <v>73000000</v>
      </c>
      <c r="AB82" s="68">
        <v>0.05</v>
      </c>
      <c r="AC82" s="67">
        <v>7.2999999999999996E-4</v>
      </c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22"/>
      <c r="AO82" s="19"/>
      <c r="AP82" s="23"/>
      <c r="AQ82" s="23"/>
      <c r="AR82" s="4"/>
      <c r="AS82" s="4"/>
    </row>
    <row r="83" spans="1:45" s="5" customFormat="1" ht="54" customHeight="1">
      <c r="A83" s="19">
        <v>81</v>
      </c>
      <c r="B83" s="53" t="s">
        <v>727</v>
      </c>
      <c r="C83" s="53" t="s">
        <v>792</v>
      </c>
      <c r="D83" s="37" t="s">
        <v>131</v>
      </c>
      <c r="E83" s="37" t="s">
        <v>131</v>
      </c>
      <c r="F83" s="53" t="s">
        <v>75</v>
      </c>
      <c r="G83" s="36" t="s">
        <v>860</v>
      </c>
      <c r="H83" s="36" t="s">
        <v>861</v>
      </c>
      <c r="I83" s="19">
        <v>1</v>
      </c>
      <c r="J83" s="36" t="s">
        <v>131</v>
      </c>
      <c r="K83" s="53" t="s">
        <v>728</v>
      </c>
      <c r="L83" s="19" t="s">
        <v>729</v>
      </c>
      <c r="M83" s="19" t="s">
        <v>185</v>
      </c>
      <c r="N83" s="53" t="s">
        <v>50</v>
      </c>
      <c r="O83" s="53" t="s">
        <v>400</v>
      </c>
      <c r="P83" s="53" t="s">
        <v>403</v>
      </c>
      <c r="Q83" s="53" t="s">
        <v>115</v>
      </c>
      <c r="R83" s="22" t="s">
        <v>41</v>
      </c>
      <c r="S83" s="53" t="s">
        <v>131</v>
      </c>
      <c r="T83" s="53" t="s">
        <v>131</v>
      </c>
      <c r="U83" s="53" t="s">
        <v>131</v>
      </c>
      <c r="V83" s="53" t="s">
        <v>131</v>
      </c>
      <c r="W83" s="53" t="s">
        <v>131</v>
      </c>
      <c r="X83" s="53"/>
      <c r="Y83" s="19">
        <v>30</v>
      </c>
      <c r="Z83" s="19">
        <v>30</v>
      </c>
      <c r="AA83" s="54">
        <v>8000000</v>
      </c>
      <c r="AB83" s="68">
        <v>0.3</v>
      </c>
      <c r="AC83" s="67">
        <v>8.0000000000000007E-5</v>
      </c>
      <c r="AD83" s="23"/>
      <c r="AE83" s="23"/>
      <c r="AF83" s="23"/>
      <c r="AG83" s="23"/>
      <c r="AH83" s="23"/>
      <c r="AI83" s="23"/>
      <c r="AJ83" s="23"/>
      <c r="AK83" s="23"/>
      <c r="AL83" s="19" t="s">
        <v>990</v>
      </c>
      <c r="AM83" s="19">
        <v>1</v>
      </c>
      <c r="AN83" s="22">
        <f>AL83+30</f>
        <v>45610</v>
      </c>
      <c r="AO83" s="19" t="s">
        <v>1002</v>
      </c>
      <c r="AP83" s="23"/>
      <c r="AQ83" s="23"/>
      <c r="AR83" s="4"/>
      <c r="AS83" s="4"/>
    </row>
    <row r="84" spans="1:45" s="5" customFormat="1" ht="54" customHeight="1">
      <c r="A84" s="19">
        <v>82</v>
      </c>
      <c r="B84" s="53" t="s">
        <v>106</v>
      </c>
      <c r="C84" s="53" t="s">
        <v>792</v>
      </c>
      <c r="D84" s="37" t="s">
        <v>788</v>
      </c>
      <c r="E84" s="37" t="s">
        <v>787</v>
      </c>
      <c r="F84" s="53" t="s">
        <v>75</v>
      </c>
      <c r="G84" s="36" t="s">
        <v>860</v>
      </c>
      <c r="H84" s="36" t="s">
        <v>862</v>
      </c>
      <c r="I84" s="19" t="s">
        <v>868</v>
      </c>
      <c r="J84" s="36" t="s">
        <v>131</v>
      </c>
      <c r="K84" s="53" t="s">
        <v>730</v>
      </c>
      <c r="L84" s="19" t="s">
        <v>49</v>
      </c>
      <c r="M84" s="19" t="s">
        <v>368</v>
      </c>
      <c r="N84" s="53" t="s">
        <v>50</v>
      </c>
      <c r="O84" s="53" t="s">
        <v>400</v>
      </c>
      <c r="P84" s="53" t="s">
        <v>64</v>
      </c>
      <c r="Q84" s="59" t="s">
        <v>731</v>
      </c>
      <c r="R84" s="22" t="s">
        <v>41</v>
      </c>
      <c r="S84" s="53" t="s">
        <v>137</v>
      </c>
      <c r="T84" s="53" t="s">
        <v>137</v>
      </c>
      <c r="U84" s="53" t="s">
        <v>138</v>
      </c>
      <c r="V84" s="53" t="s">
        <v>723</v>
      </c>
      <c r="W84" s="56" t="s">
        <v>732</v>
      </c>
      <c r="X84" s="56" t="s">
        <v>732</v>
      </c>
      <c r="Y84" s="19">
        <v>40</v>
      </c>
      <c r="Z84" s="19">
        <v>71</v>
      </c>
      <c r="AA84" s="54">
        <v>1232330602</v>
      </c>
      <c r="AB84" s="68">
        <v>0.42</v>
      </c>
      <c r="AC84" s="67">
        <v>1.2319999999999999E-2</v>
      </c>
      <c r="AD84" s="22" t="s">
        <v>883</v>
      </c>
      <c r="AE84" s="19">
        <v>1</v>
      </c>
      <c r="AF84" s="22">
        <v>45597</v>
      </c>
      <c r="AG84" s="22" t="s">
        <v>884</v>
      </c>
      <c r="AH84" s="22"/>
      <c r="AI84" s="19"/>
      <c r="AJ84" s="22"/>
      <c r="AK84" s="22"/>
      <c r="AL84" s="19" t="s">
        <v>886</v>
      </c>
      <c r="AM84" s="19">
        <v>1</v>
      </c>
      <c r="AN84" s="22">
        <v>45648</v>
      </c>
      <c r="AO84" s="19" t="s">
        <v>887</v>
      </c>
      <c r="AP84" s="23"/>
      <c r="AQ84" s="23"/>
      <c r="AR84" s="4"/>
      <c r="AS84" s="4"/>
    </row>
    <row r="85" spans="1:45" s="5" customFormat="1" ht="54" customHeight="1">
      <c r="A85" s="19">
        <v>83</v>
      </c>
      <c r="B85" s="53" t="s">
        <v>106</v>
      </c>
      <c r="C85" s="53" t="s">
        <v>792</v>
      </c>
      <c r="D85" s="37" t="s">
        <v>788</v>
      </c>
      <c r="E85" s="37" t="s">
        <v>787</v>
      </c>
      <c r="F85" s="53" t="s">
        <v>75</v>
      </c>
      <c r="G85" s="36" t="s">
        <v>860</v>
      </c>
      <c r="H85" s="36" t="s">
        <v>862</v>
      </c>
      <c r="I85" s="19" t="s">
        <v>868</v>
      </c>
      <c r="J85" s="19" t="s">
        <v>131</v>
      </c>
      <c r="K85" s="53" t="s">
        <v>733</v>
      </c>
      <c r="L85" s="19" t="s">
        <v>86</v>
      </c>
      <c r="M85" s="19" t="s">
        <v>368</v>
      </c>
      <c r="N85" s="53" t="s">
        <v>50</v>
      </c>
      <c r="O85" s="53" t="s">
        <v>400</v>
      </c>
      <c r="P85" s="53" t="s">
        <v>64</v>
      </c>
      <c r="Q85" s="59" t="s">
        <v>731</v>
      </c>
      <c r="R85" s="22" t="s">
        <v>41</v>
      </c>
      <c r="S85" s="53" t="s">
        <v>734</v>
      </c>
      <c r="T85" s="53" t="s">
        <v>734</v>
      </c>
      <c r="U85" s="53" t="s">
        <v>735</v>
      </c>
      <c r="V85" s="53" t="s">
        <v>736</v>
      </c>
      <c r="W85" s="56" t="s">
        <v>737</v>
      </c>
      <c r="X85" s="56" t="s">
        <v>737</v>
      </c>
      <c r="Y85" s="19">
        <v>30</v>
      </c>
      <c r="Z85" s="19">
        <v>53</v>
      </c>
      <c r="AA85" s="54">
        <v>1838893574</v>
      </c>
      <c r="AB85" s="68">
        <v>0.31</v>
      </c>
      <c r="AC85" s="67">
        <v>1.8380000000000001E-2</v>
      </c>
      <c r="AD85" s="22" t="s">
        <v>883</v>
      </c>
      <c r="AE85" s="19">
        <v>1</v>
      </c>
      <c r="AF85" s="22">
        <f>AD85+14</f>
        <v>45597</v>
      </c>
      <c r="AG85" s="22" t="s">
        <v>885</v>
      </c>
      <c r="AH85" s="22"/>
      <c r="AI85" s="19"/>
      <c r="AJ85" s="22"/>
      <c r="AK85" s="22"/>
      <c r="AL85" s="19" t="s">
        <v>886</v>
      </c>
      <c r="AM85" s="19">
        <v>1</v>
      </c>
      <c r="AN85" s="22">
        <v>45648</v>
      </c>
      <c r="AO85" s="19" t="s">
        <v>887</v>
      </c>
      <c r="AP85" s="23"/>
      <c r="AQ85" s="23"/>
      <c r="AR85" s="4"/>
      <c r="AS85" s="4"/>
    </row>
    <row r="86" spans="1:45" s="5" customFormat="1" ht="54" customHeight="1">
      <c r="A86" s="19">
        <v>84</v>
      </c>
      <c r="B86" s="53" t="s">
        <v>647</v>
      </c>
      <c r="C86" s="53" t="s">
        <v>124</v>
      </c>
      <c r="D86" s="63" t="s">
        <v>797</v>
      </c>
      <c r="E86" s="37" t="s">
        <v>798</v>
      </c>
      <c r="F86" s="53" t="s">
        <v>75</v>
      </c>
      <c r="G86" s="36" t="s">
        <v>860</v>
      </c>
      <c r="H86" s="36" t="s">
        <v>861</v>
      </c>
      <c r="I86" s="19">
        <v>6</v>
      </c>
      <c r="J86" s="36" t="s">
        <v>131</v>
      </c>
      <c r="K86" s="53" t="s">
        <v>738</v>
      </c>
      <c r="L86" s="19" t="s">
        <v>218</v>
      </c>
      <c r="M86" s="19" t="s">
        <v>368</v>
      </c>
      <c r="N86" s="53" t="s">
        <v>50</v>
      </c>
      <c r="O86" s="53" t="s">
        <v>400</v>
      </c>
      <c r="P86" s="53" t="s">
        <v>52</v>
      </c>
      <c r="Q86" s="53" t="s">
        <v>115</v>
      </c>
      <c r="R86" s="22" t="s">
        <v>41</v>
      </c>
      <c r="S86" s="56" t="s">
        <v>710</v>
      </c>
      <c r="T86" s="56" t="s">
        <v>710</v>
      </c>
      <c r="U86" s="56" t="s">
        <v>701</v>
      </c>
      <c r="V86" s="56" t="s">
        <v>739</v>
      </c>
      <c r="W86" s="53" t="s">
        <v>740</v>
      </c>
      <c r="X86" s="53" t="s">
        <v>740</v>
      </c>
      <c r="Y86" s="19">
        <v>24</v>
      </c>
      <c r="Z86" s="19">
        <v>61</v>
      </c>
      <c r="AA86" s="54">
        <v>850000000</v>
      </c>
      <c r="AB86" s="68">
        <v>0.05</v>
      </c>
      <c r="AC86" s="67">
        <v>8.5000000000000006E-3</v>
      </c>
      <c r="AD86" s="23"/>
      <c r="AE86" s="23"/>
      <c r="AF86" s="23"/>
      <c r="AG86" s="23"/>
      <c r="AH86" s="23"/>
      <c r="AI86" s="23"/>
      <c r="AJ86" s="23"/>
      <c r="AK86" s="23"/>
      <c r="AL86" s="19" t="s">
        <v>916</v>
      </c>
      <c r="AM86" s="19">
        <v>1</v>
      </c>
      <c r="AN86" s="22">
        <f>AL86+30</f>
        <v>45668</v>
      </c>
      <c r="AO86" s="19" t="s">
        <v>917</v>
      </c>
      <c r="AP86" s="23"/>
      <c r="AQ86" s="23"/>
      <c r="AR86" s="4"/>
      <c r="AS86" s="4"/>
    </row>
    <row r="87" spans="1:45" s="5" customFormat="1" ht="54" customHeight="1">
      <c r="A87" s="19">
        <v>85</v>
      </c>
      <c r="B87" s="53" t="s">
        <v>110</v>
      </c>
      <c r="C87" s="53" t="s">
        <v>825</v>
      </c>
      <c r="D87" s="63" t="s">
        <v>826</v>
      </c>
      <c r="E87" s="37" t="s">
        <v>827</v>
      </c>
      <c r="F87" s="53" t="s">
        <v>111</v>
      </c>
      <c r="G87" s="36" t="s">
        <v>860</v>
      </c>
      <c r="H87" s="36" t="s">
        <v>863</v>
      </c>
      <c r="I87" s="19">
        <v>30</v>
      </c>
      <c r="J87" s="36" t="s">
        <v>131</v>
      </c>
      <c r="K87" s="53" t="s">
        <v>741</v>
      </c>
      <c r="L87" s="19" t="s">
        <v>49</v>
      </c>
      <c r="M87" s="19" t="s">
        <v>368</v>
      </c>
      <c r="N87" s="53" t="s">
        <v>50</v>
      </c>
      <c r="O87" s="53" t="s">
        <v>400</v>
      </c>
      <c r="P87" s="53" t="s">
        <v>52</v>
      </c>
      <c r="Q87" s="53" t="s">
        <v>115</v>
      </c>
      <c r="R87" s="22" t="s">
        <v>41</v>
      </c>
      <c r="S87" s="56" t="s">
        <v>742</v>
      </c>
      <c r="T87" s="56" t="s">
        <v>742</v>
      </c>
      <c r="U87" s="56" t="s">
        <v>743</v>
      </c>
      <c r="V87" s="56" t="s">
        <v>744</v>
      </c>
      <c r="W87" s="53" t="s">
        <v>745</v>
      </c>
      <c r="X87" s="53" t="s">
        <v>745</v>
      </c>
      <c r="Y87" s="19">
        <v>30</v>
      </c>
      <c r="Z87" s="19">
        <v>60</v>
      </c>
      <c r="AA87" s="54">
        <v>1370000000</v>
      </c>
      <c r="AB87" s="68">
        <v>0.21</v>
      </c>
      <c r="AC87" s="67">
        <v>1.37E-2</v>
      </c>
      <c r="AD87" s="19" t="s">
        <v>978</v>
      </c>
      <c r="AE87" s="19">
        <v>1</v>
      </c>
      <c r="AF87" s="22">
        <f>AD87+14</f>
        <v>45566</v>
      </c>
      <c r="AG87" s="19" t="s">
        <v>971</v>
      </c>
      <c r="AH87" s="19" t="s">
        <v>977</v>
      </c>
      <c r="AI87" s="19">
        <v>1</v>
      </c>
      <c r="AJ87" s="22">
        <f t="shared" ref="AJ87:AJ88" si="14">AH87+14</f>
        <v>45595</v>
      </c>
      <c r="AK87" s="19" t="s">
        <v>973</v>
      </c>
      <c r="AL87" s="19" t="s">
        <v>967</v>
      </c>
      <c r="AM87" s="19">
        <v>1</v>
      </c>
      <c r="AN87" s="22">
        <f>AL87+30</f>
        <v>45645</v>
      </c>
      <c r="AO87" s="19" t="s">
        <v>974</v>
      </c>
      <c r="AP87" s="23"/>
      <c r="AQ87" s="23"/>
      <c r="AR87" s="4"/>
      <c r="AS87" s="4"/>
    </row>
    <row r="88" spans="1:45" s="5" customFormat="1" ht="54" customHeight="1">
      <c r="A88" s="19">
        <v>86</v>
      </c>
      <c r="B88" s="53" t="s">
        <v>110</v>
      </c>
      <c r="C88" s="53" t="s">
        <v>825</v>
      </c>
      <c r="D88" s="63" t="s">
        <v>826</v>
      </c>
      <c r="E88" s="37" t="s">
        <v>827</v>
      </c>
      <c r="F88" s="53" t="s">
        <v>111</v>
      </c>
      <c r="G88" s="36" t="s">
        <v>860</v>
      </c>
      <c r="H88" s="36" t="s">
        <v>863</v>
      </c>
      <c r="I88" s="19">
        <v>30</v>
      </c>
      <c r="J88" s="19" t="s">
        <v>131</v>
      </c>
      <c r="K88" s="53" t="s">
        <v>746</v>
      </c>
      <c r="L88" s="19" t="s">
        <v>86</v>
      </c>
      <c r="M88" s="19" t="s">
        <v>368</v>
      </c>
      <c r="N88" s="53" t="s">
        <v>50</v>
      </c>
      <c r="O88" s="53" t="s">
        <v>400</v>
      </c>
      <c r="P88" s="53" t="s">
        <v>52</v>
      </c>
      <c r="Q88" s="53" t="s">
        <v>115</v>
      </c>
      <c r="R88" s="22" t="s">
        <v>41</v>
      </c>
      <c r="S88" s="56" t="s">
        <v>747</v>
      </c>
      <c r="T88" s="56" t="s">
        <v>747</v>
      </c>
      <c r="U88" s="56" t="s">
        <v>742</v>
      </c>
      <c r="V88" s="56" t="s">
        <v>743</v>
      </c>
      <c r="W88" s="53" t="s">
        <v>748</v>
      </c>
      <c r="X88" s="53" t="s">
        <v>748</v>
      </c>
      <c r="Y88" s="19">
        <v>30</v>
      </c>
      <c r="Z88" s="19">
        <v>59</v>
      </c>
      <c r="AA88" s="54">
        <v>5500000000</v>
      </c>
      <c r="AB88" s="68">
        <v>0.09</v>
      </c>
      <c r="AC88" s="67">
        <v>5.5E-2</v>
      </c>
      <c r="AD88" s="19" t="s">
        <v>978</v>
      </c>
      <c r="AE88" s="19">
        <v>1</v>
      </c>
      <c r="AF88" s="22">
        <f>AD88+14</f>
        <v>45566</v>
      </c>
      <c r="AG88" s="19" t="s">
        <v>971</v>
      </c>
      <c r="AH88" s="19" t="s">
        <v>977</v>
      </c>
      <c r="AI88" s="19">
        <v>1</v>
      </c>
      <c r="AJ88" s="22">
        <f t="shared" si="14"/>
        <v>45595</v>
      </c>
      <c r="AK88" s="19" t="s">
        <v>973</v>
      </c>
      <c r="AL88" s="19" t="s">
        <v>967</v>
      </c>
      <c r="AM88" s="19">
        <v>1</v>
      </c>
      <c r="AN88" s="22">
        <f>AL88+30</f>
        <v>45645</v>
      </c>
      <c r="AO88" s="19" t="s">
        <v>974</v>
      </c>
      <c r="AP88" s="23"/>
      <c r="AQ88" s="23"/>
      <c r="AR88" s="4"/>
      <c r="AS88" s="4"/>
    </row>
    <row r="89" spans="1:45" s="5" customFormat="1" ht="54" customHeight="1">
      <c r="A89" s="19">
        <v>87</v>
      </c>
      <c r="B89" s="53" t="s">
        <v>749</v>
      </c>
      <c r="C89" s="53" t="s">
        <v>828</v>
      </c>
      <c r="D89" s="37" t="s">
        <v>131</v>
      </c>
      <c r="E89" s="37" t="s">
        <v>829</v>
      </c>
      <c r="F89" s="53" t="s">
        <v>331</v>
      </c>
      <c r="G89" s="36" t="s">
        <v>860</v>
      </c>
      <c r="H89" s="36" t="s">
        <v>861</v>
      </c>
      <c r="I89" s="19">
        <v>2</v>
      </c>
      <c r="J89" s="36" t="s">
        <v>131</v>
      </c>
      <c r="K89" s="53" t="s">
        <v>750</v>
      </c>
      <c r="L89" s="19" t="s">
        <v>86</v>
      </c>
      <c r="M89" s="19" t="s">
        <v>185</v>
      </c>
      <c r="N89" s="53" t="s">
        <v>50</v>
      </c>
      <c r="O89" s="53" t="s">
        <v>400</v>
      </c>
      <c r="P89" s="53" t="s">
        <v>403</v>
      </c>
      <c r="Q89" s="53" t="s">
        <v>115</v>
      </c>
      <c r="R89" s="22" t="s">
        <v>41</v>
      </c>
      <c r="S89" s="53" t="s">
        <v>131</v>
      </c>
      <c r="T89" s="53" t="s">
        <v>131</v>
      </c>
      <c r="U89" s="53" t="s">
        <v>131</v>
      </c>
      <c r="V89" s="53" t="s">
        <v>131</v>
      </c>
      <c r="W89" s="53" t="s">
        <v>131</v>
      </c>
      <c r="X89" s="53"/>
      <c r="Y89" s="53" t="s">
        <v>131</v>
      </c>
      <c r="Z89" s="53" t="s">
        <v>131</v>
      </c>
      <c r="AA89" s="54">
        <v>53945547</v>
      </c>
      <c r="AB89" s="68">
        <v>0</v>
      </c>
      <c r="AC89" s="67">
        <v>5.2999999999999998E-4</v>
      </c>
      <c r="AD89" s="19"/>
      <c r="AE89" s="23"/>
      <c r="AF89" s="23"/>
      <c r="AG89" s="19"/>
      <c r="AH89" s="19"/>
      <c r="AI89" s="19"/>
      <c r="AJ89" s="23"/>
      <c r="AK89" s="19"/>
      <c r="AL89" s="22">
        <v>45680</v>
      </c>
      <c r="AM89" s="19">
        <v>1</v>
      </c>
      <c r="AN89" s="22">
        <f>AL89+30</f>
        <v>45710</v>
      </c>
      <c r="AO89" s="22">
        <v>45682</v>
      </c>
      <c r="AP89" s="23"/>
      <c r="AQ89" s="23"/>
      <c r="AR89" s="4"/>
      <c r="AS89" s="4"/>
    </row>
    <row r="90" spans="1:45" s="5" customFormat="1" ht="54" customHeight="1">
      <c r="A90" s="19">
        <v>88</v>
      </c>
      <c r="B90" s="53" t="s">
        <v>751</v>
      </c>
      <c r="C90" s="53" t="s">
        <v>830</v>
      </c>
      <c r="D90" s="37" t="s">
        <v>131</v>
      </c>
      <c r="E90" s="37" t="s">
        <v>831</v>
      </c>
      <c r="F90" s="53" t="s">
        <v>75</v>
      </c>
      <c r="G90" s="36" t="s">
        <v>860</v>
      </c>
      <c r="H90" s="36" t="s">
        <v>861</v>
      </c>
      <c r="I90" s="19">
        <v>2</v>
      </c>
      <c r="J90" s="36" t="s">
        <v>131</v>
      </c>
      <c r="K90" s="53" t="s">
        <v>752</v>
      </c>
      <c r="L90" s="19" t="s">
        <v>729</v>
      </c>
      <c r="M90" s="19" t="s">
        <v>185</v>
      </c>
      <c r="N90" s="53" t="s">
        <v>50</v>
      </c>
      <c r="O90" s="53" t="s">
        <v>400</v>
      </c>
      <c r="P90" s="53" t="s">
        <v>403</v>
      </c>
      <c r="Q90" s="53" t="s">
        <v>115</v>
      </c>
      <c r="R90" s="22" t="s">
        <v>41</v>
      </c>
      <c r="S90" s="53" t="s">
        <v>131</v>
      </c>
      <c r="T90" s="53" t="s">
        <v>131</v>
      </c>
      <c r="U90" s="53" t="s">
        <v>131</v>
      </c>
      <c r="V90" s="53" t="s">
        <v>131</v>
      </c>
      <c r="W90" s="53" t="s">
        <v>131</v>
      </c>
      <c r="X90" s="53"/>
      <c r="Y90" s="19">
        <v>10</v>
      </c>
      <c r="Z90" s="53" t="s">
        <v>131</v>
      </c>
      <c r="AA90" s="54">
        <v>55550000</v>
      </c>
      <c r="AB90" s="68">
        <v>0.69</v>
      </c>
      <c r="AC90" s="67">
        <v>5.5000000000000003E-4</v>
      </c>
      <c r="AD90" s="19" t="s">
        <v>980</v>
      </c>
      <c r="AE90" s="19">
        <v>1</v>
      </c>
      <c r="AF90" s="22">
        <f t="shared" ref="AF90" si="15">AD90+14</f>
        <v>45568</v>
      </c>
      <c r="AG90" s="19" t="s">
        <v>980</v>
      </c>
      <c r="AH90" s="19"/>
      <c r="AI90" s="19"/>
      <c r="AJ90" s="22"/>
      <c r="AK90" s="19"/>
      <c r="AL90" s="19" t="s">
        <v>982</v>
      </c>
      <c r="AM90" s="19">
        <v>1</v>
      </c>
      <c r="AN90" s="22">
        <f t="shared" ref="AN90" si="16">AL90+30</f>
        <v>45665</v>
      </c>
      <c r="AO90" s="19" t="s">
        <v>981</v>
      </c>
      <c r="AP90" s="23"/>
      <c r="AQ90" s="23"/>
      <c r="AR90" s="4"/>
      <c r="AS90" s="4"/>
    </row>
    <row r="91" spans="1:45" s="5" customFormat="1" ht="54" customHeight="1">
      <c r="A91" s="19">
        <v>89</v>
      </c>
      <c r="B91" s="53" t="s">
        <v>110</v>
      </c>
      <c r="C91" s="53" t="s">
        <v>825</v>
      </c>
      <c r="D91" s="63" t="s">
        <v>826</v>
      </c>
      <c r="E91" s="37" t="s">
        <v>827</v>
      </c>
      <c r="F91" s="53" t="s">
        <v>111</v>
      </c>
      <c r="G91" s="36" t="s">
        <v>860</v>
      </c>
      <c r="H91" s="36" t="s">
        <v>867</v>
      </c>
      <c r="I91" s="19">
        <v>30</v>
      </c>
      <c r="J91" s="19" t="s">
        <v>131</v>
      </c>
      <c r="K91" s="53" t="s">
        <v>135</v>
      </c>
      <c r="L91" s="19" t="s">
        <v>49</v>
      </c>
      <c r="M91" s="19" t="s">
        <v>368</v>
      </c>
      <c r="N91" s="53" t="s">
        <v>50</v>
      </c>
      <c r="O91" s="53" t="s">
        <v>400</v>
      </c>
      <c r="P91" s="53" t="s">
        <v>52</v>
      </c>
      <c r="Q91" s="59" t="s">
        <v>731</v>
      </c>
      <c r="R91" s="22" t="s">
        <v>41</v>
      </c>
      <c r="S91" s="53" t="s">
        <v>116</v>
      </c>
      <c r="T91" s="53" t="s">
        <v>116</v>
      </c>
      <c r="U91" s="53" t="s">
        <v>118</v>
      </c>
      <c r="V91" s="53" t="s">
        <v>131</v>
      </c>
      <c r="W91" s="53" t="s">
        <v>139</v>
      </c>
      <c r="X91" s="53" t="s">
        <v>139</v>
      </c>
      <c r="Y91" s="19">
        <v>28</v>
      </c>
      <c r="Z91" s="19">
        <v>146</v>
      </c>
      <c r="AA91" s="54">
        <v>1500000000</v>
      </c>
      <c r="AB91" s="68">
        <v>0.18</v>
      </c>
      <c r="AC91" s="67">
        <v>1.4999999999999999E-2</v>
      </c>
      <c r="AD91" s="19" t="s">
        <v>979</v>
      </c>
      <c r="AE91" s="19">
        <v>1</v>
      </c>
      <c r="AF91" s="22">
        <f t="shared" ref="AF91:AF92" si="17">AD91+14</f>
        <v>45584</v>
      </c>
      <c r="AG91" s="19" t="s">
        <v>972</v>
      </c>
      <c r="AH91" s="19"/>
      <c r="AI91" s="19"/>
      <c r="AJ91" s="22"/>
      <c r="AK91" s="19"/>
      <c r="AL91" s="19" t="s">
        <v>976</v>
      </c>
      <c r="AM91" s="19">
        <v>1</v>
      </c>
      <c r="AN91" s="22">
        <f t="shared" ref="AN91:AN92" si="18">AL91+30</f>
        <v>45658</v>
      </c>
      <c r="AO91" s="19" t="s">
        <v>975</v>
      </c>
      <c r="AP91" s="23"/>
      <c r="AQ91" s="23"/>
      <c r="AR91" s="4"/>
      <c r="AS91" s="4"/>
    </row>
    <row r="92" spans="1:45" s="5" customFormat="1" ht="54" customHeight="1">
      <c r="A92" s="19">
        <v>90</v>
      </c>
      <c r="B92" s="53" t="s">
        <v>110</v>
      </c>
      <c r="C92" s="53" t="s">
        <v>825</v>
      </c>
      <c r="D92" s="63" t="s">
        <v>826</v>
      </c>
      <c r="E92" s="37" t="s">
        <v>827</v>
      </c>
      <c r="F92" s="53" t="s">
        <v>111</v>
      </c>
      <c r="G92" s="36" t="s">
        <v>860</v>
      </c>
      <c r="H92" s="36" t="s">
        <v>863</v>
      </c>
      <c r="I92" s="19">
        <v>30</v>
      </c>
      <c r="J92" s="36" t="s">
        <v>131</v>
      </c>
      <c r="K92" s="53" t="s">
        <v>112</v>
      </c>
      <c r="L92" s="19" t="s">
        <v>86</v>
      </c>
      <c r="M92" s="19" t="s">
        <v>368</v>
      </c>
      <c r="N92" s="53" t="s">
        <v>113</v>
      </c>
      <c r="O92" s="53" t="s">
        <v>400</v>
      </c>
      <c r="P92" s="53" t="s">
        <v>64</v>
      </c>
      <c r="Q92" s="59" t="s">
        <v>731</v>
      </c>
      <c r="R92" s="22" t="s">
        <v>41</v>
      </c>
      <c r="S92" s="53" t="s">
        <v>117</v>
      </c>
      <c r="T92" s="53" t="s">
        <v>117</v>
      </c>
      <c r="U92" s="53" t="s">
        <v>116</v>
      </c>
      <c r="V92" s="53" t="s">
        <v>131</v>
      </c>
      <c r="W92" s="53" t="s">
        <v>119</v>
      </c>
      <c r="X92" s="53" t="s">
        <v>119</v>
      </c>
      <c r="Y92" s="19">
        <v>150</v>
      </c>
      <c r="Z92" s="19">
        <v>141</v>
      </c>
      <c r="AA92" s="54">
        <v>8378229635</v>
      </c>
      <c r="AB92" s="68">
        <v>0.1</v>
      </c>
      <c r="AC92" s="67">
        <v>8.3699999999999997E-2</v>
      </c>
      <c r="AD92" s="19" t="s">
        <v>979</v>
      </c>
      <c r="AE92" s="19">
        <v>1</v>
      </c>
      <c r="AF92" s="22">
        <f t="shared" si="17"/>
        <v>45584</v>
      </c>
      <c r="AG92" s="19" t="s">
        <v>972</v>
      </c>
      <c r="AH92" s="19"/>
      <c r="AI92" s="19"/>
      <c r="AJ92" s="22"/>
      <c r="AK92" s="19"/>
      <c r="AL92" s="19" t="s">
        <v>976</v>
      </c>
      <c r="AM92" s="19">
        <v>1</v>
      </c>
      <c r="AN92" s="22">
        <f t="shared" si="18"/>
        <v>45658</v>
      </c>
      <c r="AO92" s="19" t="s">
        <v>975</v>
      </c>
      <c r="AP92" s="23"/>
      <c r="AQ92" s="23"/>
      <c r="AR92" s="4"/>
      <c r="AS92" s="4"/>
    </row>
    <row r="93" spans="1:45" s="5" customFormat="1" ht="54" customHeight="1">
      <c r="A93" s="19">
        <v>91</v>
      </c>
      <c r="B93" s="53" t="s">
        <v>62</v>
      </c>
      <c r="C93" s="53" t="s">
        <v>482</v>
      </c>
      <c r="D93" s="63" t="s">
        <v>806</v>
      </c>
      <c r="E93" s="37" t="s">
        <v>807</v>
      </c>
      <c r="F93" s="53" t="s">
        <v>75</v>
      </c>
      <c r="G93" s="36" t="s">
        <v>860</v>
      </c>
      <c r="H93" s="36" t="s">
        <v>861</v>
      </c>
      <c r="I93" s="19">
        <v>6</v>
      </c>
      <c r="J93" s="36" t="s">
        <v>131</v>
      </c>
      <c r="K93" s="53" t="s">
        <v>753</v>
      </c>
      <c r="L93" s="19" t="s">
        <v>246</v>
      </c>
      <c r="M93" s="19" t="s">
        <v>368</v>
      </c>
      <c r="N93" s="53" t="s">
        <v>50</v>
      </c>
      <c r="O93" s="53" t="s">
        <v>400</v>
      </c>
      <c r="P93" s="53" t="s">
        <v>64</v>
      </c>
      <c r="Q93" s="59" t="s">
        <v>731</v>
      </c>
      <c r="R93" s="22" t="s">
        <v>41</v>
      </c>
      <c r="S93" s="56" t="s">
        <v>754</v>
      </c>
      <c r="T93" s="56" t="s">
        <v>754</v>
      </c>
      <c r="U93" s="56" t="s">
        <v>755</v>
      </c>
      <c r="V93" s="56" t="s">
        <v>756</v>
      </c>
      <c r="W93" s="56" t="s">
        <v>757</v>
      </c>
      <c r="X93" s="56" t="s">
        <v>764</v>
      </c>
      <c r="Y93" s="19">
        <v>18</v>
      </c>
      <c r="Z93" s="19">
        <v>21</v>
      </c>
      <c r="AA93" s="54">
        <v>368328775</v>
      </c>
      <c r="AB93" s="68">
        <v>0.75</v>
      </c>
      <c r="AC93" s="67">
        <v>3.6799999999999999E-2</v>
      </c>
      <c r="AD93" s="19"/>
      <c r="AE93" s="23"/>
      <c r="AF93" s="23"/>
      <c r="AG93" s="19"/>
      <c r="AH93" s="19"/>
      <c r="AI93" s="23"/>
      <c r="AJ93" s="23"/>
      <c r="AK93" s="19"/>
      <c r="AL93" s="19" t="s">
        <v>950</v>
      </c>
      <c r="AM93" s="19">
        <v>1</v>
      </c>
      <c r="AN93" s="22">
        <f>AL93+30</f>
        <v>45652</v>
      </c>
      <c r="AO93" s="19" t="s">
        <v>947</v>
      </c>
      <c r="AP93" s="23"/>
      <c r="AQ93" s="23"/>
      <c r="AR93" s="4"/>
      <c r="AS93" s="4"/>
    </row>
    <row r="94" spans="1:45" s="5" customFormat="1" ht="54" customHeight="1">
      <c r="A94" s="19">
        <v>92</v>
      </c>
      <c r="B94" s="53" t="s">
        <v>295</v>
      </c>
      <c r="C94" s="53" t="s">
        <v>686</v>
      </c>
      <c r="D94" s="63" t="s">
        <v>820</v>
      </c>
      <c r="E94" s="37" t="s">
        <v>821</v>
      </c>
      <c r="F94" s="53" t="s">
        <v>296</v>
      </c>
      <c r="G94" s="36" t="s">
        <v>860</v>
      </c>
      <c r="H94" s="36" t="s">
        <v>861</v>
      </c>
      <c r="I94" s="19">
        <v>20</v>
      </c>
      <c r="J94" s="19" t="s">
        <v>131</v>
      </c>
      <c r="K94" s="53" t="s">
        <v>693</v>
      </c>
      <c r="L94" s="19" t="s">
        <v>246</v>
      </c>
      <c r="M94" s="19" t="s">
        <v>185</v>
      </c>
      <c r="N94" s="53" t="s">
        <v>50</v>
      </c>
      <c r="O94" s="53" t="s">
        <v>400</v>
      </c>
      <c r="P94" s="53" t="s">
        <v>403</v>
      </c>
      <c r="Q94" s="53" t="s">
        <v>115</v>
      </c>
      <c r="R94" s="22" t="s">
        <v>41</v>
      </c>
      <c r="S94" s="53" t="s">
        <v>131</v>
      </c>
      <c r="T94" s="53" t="s">
        <v>131</v>
      </c>
      <c r="U94" s="53" t="s">
        <v>131</v>
      </c>
      <c r="V94" s="53" t="s">
        <v>131</v>
      </c>
      <c r="W94" s="53" t="s">
        <v>131</v>
      </c>
      <c r="X94" s="53"/>
      <c r="Y94" s="19">
        <v>18</v>
      </c>
      <c r="Z94" s="19">
        <v>42</v>
      </c>
      <c r="AA94" s="54">
        <v>122366787</v>
      </c>
      <c r="AB94" s="68">
        <v>0.48</v>
      </c>
      <c r="AC94" s="67">
        <v>1.2199999999999999E-3</v>
      </c>
      <c r="AD94" s="19"/>
      <c r="AE94" s="19"/>
      <c r="AF94" s="22"/>
      <c r="AG94" s="19"/>
      <c r="AH94" s="19"/>
      <c r="AI94" s="19"/>
      <c r="AJ94" s="22"/>
      <c r="AK94" s="19"/>
      <c r="AL94" s="22">
        <v>45630</v>
      </c>
      <c r="AM94" s="19">
        <v>1</v>
      </c>
      <c r="AN94" s="22">
        <f>AL94+30</f>
        <v>45660</v>
      </c>
      <c r="AO94" s="22">
        <v>45632</v>
      </c>
      <c r="AP94" s="23"/>
      <c r="AQ94" s="23"/>
      <c r="AR94" s="4"/>
      <c r="AS94" s="4"/>
    </row>
    <row r="95" spans="1:45" s="5" customFormat="1" ht="54" customHeight="1">
      <c r="A95" s="19">
        <v>93</v>
      </c>
      <c r="B95" s="53" t="s">
        <v>758</v>
      </c>
      <c r="C95" s="53" t="s">
        <v>832</v>
      </c>
      <c r="D95" s="37" t="s">
        <v>131</v>
      </c>
      <c r="E95" s="37" t="s">
        <v>833</v>
      </c>
      <c r="F95" s="53" t="s">
        <v>759</v>
      </c>
      <c r="G95" s="36" t="s">
        <v>860</v>
      </c>
      <c r="H95" s="36" t="s">
        <v>861</v>
      </c>
      <c r="I95" s="19" t="s">
        <v>868</v>
      </c>
      <c r="J95" s="36" t="s">
        <v>131</v>
      </c>
      <c r="K95" s="53" t="s">
        <v>760</v>
      </c>
      <c r="L95" s="19" t="s">
        <v>49</v>
      </c>
      <c r="M95" s="19" t="s">
        <v>368</v>
      </c>
      <c r="N95" s="53" t="s">
        <v>113</v>
      </c>
      <c r="O95" s="53" t="s">
        <v>400</v>
      </c>
      <c r="P95" s="53" t="s">
        <v>52</v>
      </c>
      <c r="Q95" s="59" t="s">
        <v>731</v>
      </c>
      <c r="R95" s="22" t="s">
        <v>41</v>
      </c>
      <c r="S95" s="53" t="s">
        <v>761</v>
      </c>
      <c r="T95" s="53" t="s">
        <v>761</v>
      </c>
      <c r="U95" s="53" t="s">
        <v>762</v>
      </c>
      <c r="V95" s="53" t="s">
        <v>763</v>
      </c>
      <c r="W95" s="56" t="s">
        <v>764</v>
      </c>
      <c r="X95" s="56" t="s">
        <v>764</v>
      </c>
      <c r="Y95" s="19">
        <v>28</v>
      </c>
      <c r="Z95" s="19">
        <v>70</v>
      </c>
      <c r="AA95" s="54">
        <v>773106402</v>
      </c>
      <c r="AB95" s="68">
        <v>0.46</v>
      </c>
      <c r="AC95" s="67">
        <v>7.7000000000000002E-3</v>
      </c>
      <c r="AD95" s="19" t="s">
        <v>965</v>
      </c>
      <c r="AE95" s="19">
        <v>1</v>
      </c>
      <c r="AF95" s="22">
        <f t="shared" ref="AF95:AF96" si="19">AD95+14</f>
        <v>45615</v>
      </c>
      <c r="AG95" s="19" t="s">
        <v>967</v>
      </c>
      <c r="AH95" s="19" t="s">
        <v>966</v>
      </c>
      <c r="AI95" s="19">
        <v>1</v>
      </c>
      <c r="AJ95" s="22">
        <f t="shared" ref="AJ95:AJ96" si="20">AH95+14</f>
        <v>45630</v>
      </c>
      <c r="AK95" s="19" t="s">
        <v>950</v>
      </c>
      <c r="AL95" s="19" t="s">
        <v>943</v>
      </c>
      <c r="AM95" s="19">
        <v>1</v>
      </c>
      <c r="AN95" s="22">
        <f t="shared" ref="AN95:AN102" si="21">AL95+30</f>
        <v>45686</v>
      </c>
      <c r="AO95" s="19" t="s">
        <v>968</v>
      </c>
      <c r="AP95" s="23"/>
      <c r="AQ95" s="23"/>
      <c r="AR95" s="4"/>
      <c r="AS95" s="4"/>
    </row>
    <row r="96" spans="1:45" s="5" customFormat="1" ht="54" customHeight="1">
      <c r="A96" s="19">
        <v>94</v>
      </c>
      <c r="B96" s="53" t="s">
        <v>758</v>
      </c>
      <c r="C96" s="53" t="s">
        <v>832</v>
      </c>
      <c r="D96" s="37" t="s">
        <v>131</v>
      </c>
      <c r="E96" s="37" t="s">
        <v>833</v>
      </c>
      <c r="F96" s="53" t="s">
        <v>759</v>
      </c>
      <c r="G96" s="36" t="s">
        <v>860</v>
      </c>
      <c r="H96" s="36" t="s">
        <v>861</v>
      </c>
      <c r="I96" s="19" t="s">
        <v>868</v>
      </c>
      <c r="J96" s="36" t="s">
        <v>131</v>
      </c>
      <c r="K96" s="53" t="s">
        <v>765</v>
      </c>
      <c r="L96" s="19" t="s">
        <v>246</v>
      </c>
      <c r="M96" s="19" t="s">
        <v>368</v>
      </c>
      <c r="N96" s="53" t="s">
        <v>113</v>
      </c>
      <c r="O96" s="53" t="s">
        <v>400</v>
      </c>
      <c r="P96" s="53" t="s">
        <v>52</v>
      </c>
      <c r="Q96" s="53" t="s">
        <v>766</v>
      </c>
      <c r="R96" s="22" t="s">
        <v>41</v>
      </c>
      <c r="S96" s="53" t="s">
        <v>767</v>
      </c>
      <c r="T96" s="53" t="s">
        <v>767</v>
      </c>
      <c r="U96" s="53" t="s">
        <v>768</v>
      </c>
      <c r="V96" s="53" t="s">
        <v>761</v>
      </c>
      <c r="W96" s="56" t="s">
        <v>769</v>
      </c>
      <c r="X96" s="56" t="s">
        <v>769</v>
      </c>
      <c r="Y96" s="19">
        <v>27</v>
      </c>
      <c r="Z96" s="19">
        <v>71</v>
      </c>
      <c r="AA96" s="54">
        <v>1479792983</v>
      </c>
      <c r="AB96" s="68">
        <v>0.27</v>
      </c>
      <c r="AC96" s="67">
        <v>1.47E-2</v>
      </c>
      <c r="AD96" s="19" t="s">
        <v>965</v>
      </c>
      <c r="AE96" s="19">
        <v>1</v>
      </c>
      <c r="AF96" s="22">
        <f t="shared" si="19"/>
        <v>45615</v>
      </c>
      <c r="AG96" s="19" t="s">
        <v>967</v>
      </c>
      <c r="AH96" s="19" t="s">
        <v>966</v>
      </c>
      <c r="AI96" s="19">
        <v>1</v>
      </c>
      <c r="AJ96" s="22">
        <f t="shared" si="20"/>
        <v>45630</v>
      </c>
      <c r="AK96" s="19" t="s">
        <v>950</v>
      </c>
      <c r="AL96" s="19" t="s">
        <v>943</v>
      </c>
      <c r="AM96" s="19">
        <v>1</v>
      </c>
      <c r="AN96" s="22">
        <f t="shared" si="21"/>
        <v>45686</v>
      </c>
      <c r="AO96" s="19" t="s">
        <v>968</v>
      </c>
      <c r="AP96" s="23"/>
      <c r="AQ96" s="23"/>
      <c r="AR96" s="4"/>
      <c r="AS96" s="4"/>
    </row>
    <row r="97" spans="1:45" s="5" customFormat="1" ht="54" customHeight="1">
      <c r="A97" s="19">
        <v>95</v>
      </c>
      <c r="B97" s="53" t="s">
        <v>770</v>
      </c>
      <c r="C97" s="53" t="s">
        <v>834</v>
      </c>
      <c r="D97" s="37"/>
      <c r="E97" s="37" t="s">
        <v>835</v>
      </c>
      <c r="F97" s="53" t="s">
        <v>98</v>
      </c>
      <c r="G97" s="36" t="s">
        <v>860</v>
      </c>
      <c r="H97" s="36" t="s">
        <v>861</v>
      </c>
      <c r="I97" s="19">
        <v>10</v>
      </c>
      <c r="J97" s="19" t="s">
        <v>131</v>
      </c>
      <c r="K97" s="53" t="s">
        <v>771</v>
      </c>
      <c r="L97" s="19" t="s">
        <v>49</v>
      </c>
      <c r="M97" s="19" t="s">
        <v>368</v>
      </c>
      <c r="N97" s="53" t="s">
        <v>113</v>
      </c>
      <c r="O97" s="53" t="s">
        <v>400</v>
      </c>
      <c r="P97" s="53"/>
      <c r="Q97" s="53" t="s">
        <v>766</v>
      </c>
      <c r="R97" s="22" t="s">
        <v>41</v>
      </c>
      <c r="S97" s="53" t="s">
        <v>131</v>
      </c>
      <c r="T97" s="53" t="s">
        <v>131</v>
      </c>
      <c r="U97" s="53" t="s">
        <v>131</v>
      </c>
      <c r="V97" s="53" t="s">
        <v>131</v>
      </c>
      <c r="W97" s="53" t="s">
        <v>131</v>
      </c>
      <c r="X97" s="53"/>
      <c r="Y97" s="19">
        <v>28</v>
      </c>
      <c r="Z97" s="19">
        <v>230</v>
      </c>
      <c r="AA97" s="54">
        <v>125000000</v>
      </c>
      <c r="AB97" s="68">
        <v>0.44</v>
      </c>
      <c r="AC97" s="67">
        <v>1.25E-3</v>
      </c>
      <c r="AD97" s="19" t="s">
        <v>964</v>
      </c>
      <c r="AE97" s="19">
        <v>1</v>
      </c>
      <c r="AF97" s="22">
        <f t="shared" ref="AF97:AF98" si="22">AD97+14</f>
        <v>45621</v>
      </c>
      <c r="AG97" s="19" t="s">
        <v>960</v>
      </c>
      <c r="AH97" s="23"/>
      <c r="AI97" s="23"/>
      <c r="AJ97" s="23"/>
      <c r="AK97" s="23"/>
      <c r="AL97" s="19" t="s">
        <v>963</v>
      </c>
      <c r="AM97" s="19">
        <v>1</v>
      </c>
      <c r="AN97" s="22">
        <f t="shared" si="21"/>
        <v>45711</v>
      </c>
      <c r="AO97" s="19" t="s">
        <v>961</v>
      </c>
      <c r="AP97" s="23"/>
      <c r="AQ97" s="23"/>
      <c r="AR97" s="4"/>
      <c r="AS97" s="4"/>
    </row>
    <row r="98" spans="1:45" s="5" customFormat="1" ht="54" customHeight="1">
      <c r="A98" s="19">
        <v>96</v>
      </c>
      <c r="B98" s="53" t="s">
        <v>770</v>
      </c>
      <c r="C98" s="53" t="s">
        <v>834</v>
      </c>
      <c r="D98" s="37"/>
      <c r="E98" s="37" t="s">
        <v>835</v>
      </c>
      <c r="F98" s="53" t="s">
        <v>98</v>
      </c>
      <c r="G98" s="36" t="s">
        <v>860</v>
      </c>
      <c r="H98" s="36" t="s">
        <v>861</v>
      </c>
      <c r="I98" s="19">
        <v>10</v>
      </c>
      <c r="J98" s="36" t="s">
        <v>131</v>
      </c>
      <c r="K98" s="53" t="s">
        <v>772</v>
      </c>
      <c r="L98" s="19" t="s">
        <v>246</v>
      </c>
      <c r="M98" s="19" t="s">
        <v>368</v>
      </c>
      <c r="N98" s="53" t="s">
        <v>113</v>
      </c>
      <c r="O98" s="53" t="s">
        <v>400</v>
      </c>
      <c r="P98" s="53" t="s">
        <v>64</v>
      </c>
      <c r="Q98" s="53" t="s">
        <v>766</v>
      </c>
      <c r="R98" s="22" t="s">
        <v>41</v>
      </c>
      <c r="S98" s="56" t="s">
        <v>755</v>
      </c>
      <c r="T98" s="56" t="s">
        <v>755</v>
      </c>
      <c r="U98" s="56" t="s">
        <v>756</v>
      </c>
      <c r="V98" s="56" t="s">
        <v>773</v>
      </c>
      <c r="W98" s="53" t="s">
        <v>56</v>
      </c>
      <c r="X98" s="53" t="s">
        <v>55</v>
      </c>
      <c r="Y98" s="19">
        <v>28</v>
      </c>
      <c r="Z98" s="19">
        <v>54</v>
      </c>
      <c r="AA98" s="54">
        <v>785782830</v>
      </c>
      <c r="AB98" s="68">
        <v>0.4</v>
      </c>
      <c r="AC98" s="67">
        <v>7.8499999999999993E-3</v>
      </c>
      <c r="AD98" s="19" t="s">
        <v>964</v>
      </c>
      <c r="AE98" s="19">
        <v>1</v>
      </c>
      <c r="AF98" s="22">
        <f t="shared" si="22"/>
        <v>45621</v>
      </c>
      <c r="AG98" s="19" t="s">
        <v>960</v>
      </c>
      <c r="AH98" s="23"/>
      <c r="AI98" s="23"/>
      <c r="AJ98" s="23"/>
      <c r="AK98" s="23"/>
      <c r="AL98" s="19" t="s">
        <v>963</v>
      </c>
      <c r="AM98" s="19">
        <v>1</v>
      </c>
      <c r="AN98" s="22">
        <f t="shared" si="21"/>
        <v>45711</v>
      </c>
      <c r="AO98" s="19" t="s">
        <v>962</v>
      </c>
      <c r="AP98" s="23"/>
      <c r="AQ98" s="23"/>
      <c r="AR98" s="4"/>
      <c r="AS98" s="4"/>
    </row>
    <row r="99" spans="1:45" s="5" customFormat="1" ht="54" customHeight="1">
      <c r="A99" s="19">
        <v>97</v>
      </c>
      <c r="B99" s="53" t="s">
        <v>62</v>
      </c>
      <c r="C99" s="53" t="s">
        <v>482</v>
      </c>
      <c r="D99" s="63" t="s">
        <v>806</v>
      </c>
      <c r="E99" s="37" t="s">
        <v>807</v>
      </c>
      <c r="F99" s="53" t="s">
        <v>75</v>
      </c>
      <c r="G99" s="36" t="s">
        <v>860</v>
      </c>
      <c r="H99" s="36" t="s">
        <v>861</v>
      </c>
      <c r="I99" s="19">
        <v>6</v>
      </c>
      <c r="J99" s="36" t="s">
        <v>131</v>
      </c>
      <c r="K99" s="53" t="s">
        <v>774</v>
      </c>
      <c r="L99" s="19" t="s">
        <v>49</v>
      </c>
      <c r="M99" s="19" t="s">
        <v>185</v>
      </c>
      <c r="N99" s="53" t="s">
        <v>50</v>
      </c>
      <c r="O99" s="53" t="s">
        <v>400</v>
      </c>
      <c r="P99" s="53" t="s">
        <v>403</v>
      </c>
      <c r="Q99" s="59" t="s">
        <v>731</v>
      </c>
      <c r="R99" s="22" t="s">
        <v>41</v>
      </c>
      <c r="S99" s="53" t="s">
        <v>131</v>
      </c>
      <c r="T99" s="53" t="s">
        <v>131</v>
      </c>
      <c r="U99" s="53" t="s">
        <v>131</v>
      </c>
      <c r="V99" s="53" t="s">
        <v>131</v>
      </c>
      <c r="W99" s="53" t="s">
        <v>131</v>
      </c>
      <c r="X99" s="53"/>
      <c r="Y99" s="19">
        <v>7</v>
      </c>
      <c r="Z99" s="19">
        <v>7</v>
      </c>
      <c r="AA99" s="54">
        <v>23000000</v>
      </c>
      <c r="AB99" s="68">
        <v>0.15</v>
      </c>
      <c r="AC99" s="67">
        <v>2.3000000000000001E-4</v>
      </c>
      <c r="AD99" s="23"/>
      <c r="AE99" s="23"/>
      <c r="AF99" s="23"/>
      <c r="AG99" s="23"/>
      <c r="AH99" s="23"/>
      <c r="AI99" s="23"/>
      <c r="AJ99" s="23"/>
      <c r="AK99" s="23"/>
      <c r="AL99" s="19" t="s">
        <v>949</v>
      </c>
      <c r="AM99" s="19">
        <v>1</v>
      </c>
      <c r="AN99" s="22">
        <f t="shared" si="21"/>
        <v>45679</v>
      </c>
      <c r="AO99" s="19" t="s">
        <v>948</v>
      </c>
      <c r="AP99" s="23"/>
      <c r="AQ99" s="23"/>
      <c r="AR99" s="4"/>
      <c r="AS99" s="4"/>
    </row>
    <row r="100" spans="1:45" s="5" customFormat="1" ht="54" customHeight="1">
      <c r="A100" s="19">
        <v>98</v>
      </c>
      <c r="B100" s="53" t="s">
        <v>775</v>
      </c>
      <c r="C100" s="53" t="s">
        <v>836</v>
      </c>
      <c r="D100" s="37" t="s">
        <v>131</v>
      </c>
      <c r="E100" s="37" t="s">
        <v>837</v>
      </c>
      <c r="F100" s="53" t="s">
        <v>776</v>
      </c>
      <c r="G100" s="36" t="s">
        <v>860</v>
      </c>
      <c r="H100" s="36" t="s">
        <v>861</v>
      </c>
      <c r="I100" s="19">
        <v>6</v>
      </c>
      <c r="J100" s="19" t="s">
        <v>131</v>
      </c>
      <c r="K100" s="53" t="s">
        <v>777</v>
      </c>
      <c r="L100" s="19" t="s">
        <v>49</v>
      </c>
      <c r="M100" s="19" t="s">
        <v>368</v>
      </c>
      <c r="N100" s="53" t="s">
        <v>50</v>
      </c>
      <c r="O100" s="53" t="s">
        <v>400</v>
      </c>
      <c r="P100" s="53" t="s">
        <v>52</v>
      </c>
      <c r="Q100" s="53" t="s">
        <v>766</v>
      </c>
      <c r="R100" s="22" t="s">
        <v>41</v>
      </c>
      <c r="S100" s="56" t="s">
        <v>680</v>
      </c>
      <c r="T100" s="56" t="s">
        <v>680</v>
      </c>
      <c r="U100" s="56" t="s">
        <v>778</v>
      </c>
      <c r="V100" s="56" t="s">
        <v>779</v>
      </c>
      <c r="W100" s="53" t="s">
        <v>780</v>
      </c>
      <c r="X100" s="53" t="s">
        <v>873</v>
      </c>
      <c r="Y100" s="19">
        <v>18</v>
      </c>
      <c r="Z100" s="19">
        <v>60</v>
      </c>
      <c r="AA100" s="54">
        <v>1808826174</v>
      </c>
      <c r="AB100" s="68">
        <v>0.09</v>
      </c>
      <c r="AC100" s="67">
        <v>1.7999999999999999E-2</v>
      </c>
      <c r="AD100" s="19" t="s">
        <v>939</v>
      </c>
      <c r="AE100" s="19">
        <v>1</v>
      </c>
      <c r="AF100" s="22">
        <f>AD100+14</f>
        <v>45573</v>
      </c>
      <c r="AG100" s="19" t="s">
        <v>959</v>
      </c>
      <c r="AH100" s="19" t="s">
        <v>956</v>
      </c>
      <c r="AI100" s="19">
        <v>1</v>
      </c>
      <c r="AJ100" s="22">
        <f>AH100+14</f>
        <v>45647</v>
      </c>
      <c r="AK100" s="19" t="s">
        <v>958</v>
      </c>
      <c r="AL100" s="19" t="s">
        <v>887</v>
      </c>
      <c r="AM100" s="19">
        <v>1</v>
      </c>
      <c r="AN100" s="22">
        <f t="shared" si="21"/>
        <v>45687</v>
      </c>
      <c r="AO100" s="19" t="s">
        <v>957</v>
      </c>
      <c r="AP100" s="23"/>
      <c r="AQ100" s="23"/>
      <c r="AR100" s="4"/>
      <c r="AS100" s="4"/>
    </row>
    <row r="101" spans="1:45" s="5" customFormat="1" ht="54" customHeight="1">
      <c r="A101" s="19">
        <v>99</v>
      </c>
      <c r="B101" s="53" t="s">
        <v>781</v>
      </c>
      <c r="C101" s="53" t="s">
        <v>782</v>
      </c>
      <c r="D101" s="37" t="s">
        <v>131</v>
      </c>
      <c r="E101" s="37" t="s">
        <v>131</v>
      </c>
      <c r="F101" s="53" t="s">
        <v>98</v>
      </c>
      <c r="G101" s="36" t="s">
        <v>860</v>
      </c>
      <c r="H101" s="36" t="s">
        <v>861</v>
      </c>
      <c r="I101" s="19">
        <v>1</v>
      </c>
      <c r="J101" s="36" t="s">
        <v>131</v>
      </c>
      <c r="K101" s="53" t="s">
        <v>783</v>
      </c>
      <c r="L101" s="19" t="s">
        <v>49</v>
      </c>
      <c r="M101" s="19" t="s">
        <v>185</v>
      </c>
      <c r="N101" s="53" t="s">
        <v>50</v>
      </c>
      <c r="O101" s="53" t="s">
        <v>400</v>
      </c>
      <c r="P101" s="53" t="s">
        <v>403</v>
      </c>
      <c r="Q101" s="53" t="s">
        <v>766</v>
      </c>
      <c r="R101" s="22" t="s">
        <v>41</v>
      </c>
      <c r="S101" s="53" t="s">
        <v>131</v>
      </c>
      <c r="T101" s="53" t="s">
        <v>131</v>
      </c>
      <c r="U101" s="53" t="s">
        <v>131</v>
      </c>
      <c r="V101" s="53" t="s">
        <v>131</v>
      </c>
      <c r="W101" s="53" t="s">
        <v>131</v>
      </c>
      <c r="X101" s="53"/>
      <c r="Y101" s="19">
        <v>10</v>
      </c>
      <c r="Z101" s="19">
        <v>19</v>
      </c>
      <c r="AA101" s="54">
        <v>111400000</v>
      </c>
      <c r="AB101" s="68">
        <v>0.57999999999999996</v>
      </c>
      <c r="AC101" s="67">
        <v>1.1100000000000001E-3</v>
      </c>
      <c r="AD101" s="19" t="s">
        <v>943</v>
      </c>
      <c r="AE101" s="19">
        <v>1</v>
      </c>
      <c r="AF101" s="22">
        <f>AD101+14</f>
        <v>45670</v>
      </c>
      <c r="AG101" s="19" t="s">
        <v>943</v>
      </c>
      <c r="AH101" s="22"/>
      <c r="AI101" s="19"/>
      <c r="AJ101" s="22"/>
      <c r="AK101" s="22"/>
      <c r="AL101" s="19" t="s">
        <v>887</v>
      </c>
      <c r="AM101" s="19">
        <v>1</v>
      </c>
      <c r="AN101" s="22">
        <f t="shared" si="21"/>
        <v>45687</v>
      </c>
      <c r="AO101" s="19" t="s">
        <v>887</v>
      </c>
      <c r="AP101" s="23"/>
      <c r="AQ101" s="23"/>
      <c r="AR101" s="4"/>
      <c r="AS101" s="4"/>
    </row>
    <row r="102" spans="1:45" s="5" customFormat="1" ht="54" customHeight="1">
      <c r="A102" s="19">
        <v>100</v>
      </c>
      <c r="B102" s="53" t="s">
        <v>647</v>
      </c>
      <c r="C102" s="53" t="s">
        <v>124</v>
      </c>
      <c r="D102" s="63" t="s">
        <v>797</v>
      </c>
      <c r="E102" s="37" t="s">
        <v>798</v>
      </c>
      <c r="F102" s="53" t="s">
        <v>75</v>
      </c>
      <c r="G102" s="36" t="s">
        <v>860</v>
      </c>
      <c r="H102" s="36" t="s">
        <v>861</v>
      </c>
      <c r="I102" s="19">
        <v>6</v>
      </c>
      <c r="J102" s="36" t="s">
        <v>131</v>
      </c>
      <c r="K102" s="53" t="s">
        <v>458</v>
      </c>
      <c r="L102" s="19" t="s">
        <v>86</v>
      </c>
      <c r="M102" s="19" t="s">
        <v>185</v>
      </c>
      <c r="N102" s="53" t="s">
        <v>50</v>
      </c>
      <c r="O102" s="53" t="s">
        <v>400</v>
      </c>
      <c r="P102" s="53" t="s">
        <v>403</v>
      </c>
      <c r="Q102" s="53" t="s">
        <v>766</v>
      </c>
      <c r="R102" s="22" t="s">
        <v>41</v>
      </c>
      <c r="S102" s="53" t="s">
        <v>131</v>
      </c>
      <c r="T102" s="53" t="s">
        <v>131</v>
      </c>
      <c r="U102" s="53" t="s">
        <v>131</v>
      </c>
      <c r="V102" s="53" t="s">
        <v>131</v>
      </c>
      <c r="W102" s="53" t="s">
        <v>131</v>
      </c>
      <c r="X102" s="53"/>
      <c r="Y102" s="53" t="s">
        <v>131</v>
      </c>
      <c r="Z102" s="53" t="s">
        <v>131</v>
      </c>
      <c r="AA102" s="54">
        <v>55000000</v>
      </c>
      <c r="AB102" s="68">
        <v>0.05</v>
      </c>
      <c r="AC102" s="67">
        <v>5.5000000000000003E-4</v>
      </c>
      <c r="AD102" s="23"/>
      <c r="AE102" s="23"/>
      <c r="AF102" s="23"/>
      <c r="AG102" s="23"/>
      <c r="AH102" s="23"/>
      <c r="AI102" s="23"/>
      <c r="AJ102" s="23"/>
      <c r="AK102" s="23"/>
      <c r="AL102" s="19" t="s">
        <v>887</v>
      </c>
      <c r="AM102" s="19">
        <v>1</v>
      </c>
      <c r="AN102" s="22">
        <f t="shared" si="21"/>
        <v>45687</v>
      </c>
      <c r="AO102" s="19" t="s">
        <v>918</v>
      </c>
      <c r="AP102" s="23"/>
      <c r="AQ102" s="23"/>
      <c r="AR102" s="4"/>
      <c r="AS102" s="4"/>
    </row>
    <row r="103" spans="1:45" s="5" customFormat="1" ht="54" customHeight="1">
      <c r="A103" s="19"/>
      <c r="B103" s="19"/>
      <c r="C103" s="23"/>
      <c r="D103" s="24"/>
      <c r="E103" s="25"/>
      <c r="F103" s="19"/>
      <c r="G103" s="23"/>
      <c r="H103" s="23"/>
      <c r="I103" s="23"/>
      <c r="J103" s="23"/>
      <c r="K103" s="19"/>
      <c r="L103" s="19"/>
      <c r="M103" s="23"/>
      <c r="N103" s="23"/>
      <c r="O103" s="23"/>
      <c r="P103" s="23"/>
      <c r="Q103" s="30"/>
      <c r="R103" s="22"/>
      <c r="S103" s="31"/>
      <c r="T103" s="31"/>
      <c r="U103" s="31"/>
      <c r="V103" s="31"/>
      <c r="W103" s="31"/>
      <c r="X103" s="53"/>
      <c r="Y103" s="19"/>
      <c r="Z103" s="19"/>
      <c r="AA103" s="40"/>
      <c r="AB103" s="40"/>
      <c r="AC103" s="69"/>
      <c r="AD103" s="23"/>
      <c r="AE103" s="23"/>
      <c r="AF103" s="23"/>
      <c r="AG103" s="23"/>
      <c r="AH103" s="23"/>
      <c r="AI103" s="23"/>
      <c r="AJ103" s="23"/>
      <c r="AK103" s="23"/>
      <c r="AL103" s="19"/>
      <c r="AM103" s="23"/>
      <c r="AN103" s="22"/>
      <c r="AO103" s="19"/>
      <c r="AP103" s="23"/>
      <c r="AQ103" s="23"/>
      <c r="AR103" s="4"/>
      <c r="AS103" s="4"/>
    </row>
    <row r="104" spans="1:45" s="5" customFormat="1" ht="54" customHeight="1">
      <c r="A104" s="19"/>
      <c r="B104" s="19"/>
      <c r="C104" s="23"/>
      <c r="D104" s="24"/>
      <c r="E104" s="25"/>
      <c r="F104" s="19"/>
      <c r="G104" s="23"/>
      <c r="H104" s="23"/>
      <c r="I104" s="23"/>
      <c r="J104" s="23"/>
      <c r="K104" s="19"/>
      <c r="L104" s="19"/>
      <c r="M104" s="23"/>
      <c r="N104" s="23"/>
      <c r="O104" s="23"/>
      <c r="P104" s="23"/>
      <c r="Q104" s="30"/>
      <c r="R104" s="22"/>
      <c r="S104" s="31"/>
      <c r="T104" s="31"/>
      <c r="U104" s="31"/>
      <c r="V104" s="31"/>
      <c r="W104" s="31"/>
      <c r="X104" s="53"/>
      <c r="Y104" s="19"/>
      <c r="Z104" s="19"/>
      <c r="AA104" s="40"/>
      <c r="AB104" s="40"/>
      <c r="AC104" s="40"/>
      <c r="AD104" s="23"/>
      <c r="AE104" s="23"/>
      <c r="AF104" s="23"/>
      <c r="AG104" s="23"/>
      <c r="AH104" s="23"/>
      <c r="AI104" s="23"/>
      <c r="AJ104" s="23"/>
      <c r="AK104" s="23"/>
      <c r="AL104" s="19"/>
      <c r="AM104" s="23"/>
      <c r="AN104" s="22"/>
      <c r="AO104" s="19"/>
      <c r="AP104" s="23"/>
      <c r="AQ104" s="23"/>
      <c r="AR104" s="4"/>
      <c r="AS104" s="4"/>
    </row>
    <row r="105" spans="1:45" s="5" customFormat="1" ht="54" customHeight="1">
      <c r="A105" s="19"/>
      <c r="B105" s="19"/>
      <c r="C105" s="23"/>
      <c r="D105" s="24"/>
      <c r="E105" s="25"/>
      <c r="F105" s="19"/>
      <c r="G105" s="23"/>
      <c r="H105" s="23"/>
      <c r="I105" s="23"/>
      <c r="J105" s="23"/>
      <c r="K105" s="19"/>
      <c r="L105" s="19"/>
      <c r="M105" s="23"/>
      <c r="N105" s="23"/>
      <c r="O105" s="23"/>
      <c r="P105" s="23"/>
      <c r="Q105" s="30"/>
      <c r="R105" s="22"/>
      <c r="S105" s="31"/>
      <c r="T105" s="31"/>
      <c r="U105" s="31"/>
      <c r="V105" s="31"/>
      <c r="W105" s="31"/>
      <c r="X105" s="53"/>
      <c r="Y105" s="19"/>
      <c r="Z105" s="19"/>
      <c r="AA105" s="40"/>
      <c r="AB105" s="40"/>
      <c r="AC105" s="40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2"/>
      <c r="AO105" s="23"/>
      <c r="AP105" s="23"/>
      <c r="AQ105" s="23"/>
      <c r="AR105" s="4"/>
      <c r="AS105" s="4"/>
    </row>
    <row r="106" spans="1:45" s="5" customFormat="1" ht="54" customHeight="1">
      <c r="A106" s="19"/>
      <c r="B106" s="19"/>
      <c r="C106" s="23"/>
      <c r="D106" s="24"/>
      <c r="E106" s="25"/>
      <c r="F106" s="19"/>
      <c r="G106" s="23"/>
      <c r="H106" s="23"/>
      <c r="I106" s="23"/>
      <c r="J106" s="23"/>
      <c r="K106" s="19"/>
      <c r="L106" s="19"/>
      <c r="M106" s="23"/>
      <c r="N106" s="23"/>
      <c r="O106" s="23"/>
      <c r="P106" s="23"/>
      <c r="Q106" s="30"/>
      <c r="R106" s="22"/>
      <c r="S106" s="31"/>
      <c r="T106" s="31"/>
      <c r="U106" s="31"/>
      <c r="V106" s="31"/>
      <c r="W106" s="31"/>
      <c r="X106" s="53"/>
      <c r="Y106" s="19"/>
      <c r="Z106" s="19"/>
      <c r="AA106" s="40"/>
      <c r="AB106" s="40"/>
      <c r="AC106" s="40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2"/>
      <c r="AO106" s="23"/>
      <c r="AP106" s="23"/>
      <c r="AQ106" s="23"/>
      <c r="AR106" s="4"/>
      <c r="AS106" s="4"/>
    </row>
    <row r="107" spans="1:45" s="5" customFormat="1" ht="54" customHeight="1">
      <c r="A107" s="19"/>
      <c r="B107" s="19"/>
      <c r="C107" s="23"/>
      <c r="D107" s="24"/>
      <c r="E107" s="25"/>
      <c r="F107" s="19"/>
      <c r="G107" s="23"/>
      <c r="H107" s="23"/>
      <c r="I107" s="23"/>
      <c r="J107" s="23"/>
      <c r="K107" s="19"/>
      <c r="L107" s="19"/>
      <c r="M107" s="23"/>
      <c r="N107" s="23"/>
      <c r="O107" s="23"/>
      <c r="P107" s="23"/>
      <c r="Q107" s="30"/>
      <c r="R107" s="22"/>
      <c r="S107" s="31"/>
      <c r="T107" s="31"/>
      <c r="U107" s="31"/>
      <c r="V107" s="31"/>
      <c r="W107" s="31"/>
      <c r="X107" s="53"/>
      <c r="Y107" s="19"/>
      <c r="Z107" s="19"/>
      <c r="AA107" s="40"/>
      <c r="AB107" s="40"/>
      <c r="AC107" s="40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2"/>
      <c r="AO107" s="23"/>
      <c r="AP107" s="23"/>
      <c r="AQ107" s="23"/>
      <c r="AR107" s="4"/>
      <c r="AS107" s="4"/>
    </row>
  </sheetData>
  <autoFilter ref="A2:AS102" xr:uid="{C27844B9-66B6-433E-AEFC-8EC7854A0A42}">
    <filterColumn colId="24" showButton="0"/>
    <filterColumn colId="31" showButton="0"/>
    <filterColumn colId="35" showButton="0"/>
    <filterColumn colId="39" showButton="0"/>
  </autoFilter>
  <mergeCells count="43">
    <mergeCell ref="AN2:AO2"/>
    <mergeCell ref="AF2:AG2"/>
    <mergeCell ref="AH2:AH3"/>
    <mergeCell ref="AI2:AI3"/>
    <mergeCell ref="AJ2:AK2"/>
    <mergeCell ref="AL2:AL3"/>
    <mergeCell ref="AM2:AM3"/>
    <mergeCell ref="M2:M3"/>
    <mergeCell ref="N2:N3"/>
    <mergeCell ref="O2:O3"/>
    <mergeCell ref="AE2:AE3"/>
    <mergeCell ref="Q2:Q3"/>
    <mergeCell ref="R2:R3"/>
    <mergeCell ref="S2:S3"/>
    <mergeCell ref="T2:T3"/>
    <mergeCell ref="U2:U3"/>
    <mergeCell ref="V2:V3"/>
    <mergeCell ref="W2:W3"/>
    <mergeCell ref="X2:X3"/>
    <mergeCell ref="Y2:Z2"/>
    <mergeCell ref="AA2:AA3"/>
    <mergeCell ref="AD2:AD3"/>
    <mergeCell ref="H2:H3"/>
    <mergeCell ref="I2:I3"/>
    <mergeCell ref="J2:J3"/>
    <mergeCell ref="K2:K3"/>
    <mergeCell ref="L2:L3"/>
    <mergeCell ref="AQ1:AQ3"/>
    <mergeCell ref="A2:A3"/>
    <mergeCell ref="B2:B3"/>
    <mergeCell ref="C2:C3"/>
    <mergeCell ref="D2:D3"/>
    <mergeCell ref="AB2:AB3"/>
    <mergeCell ref="AC2:AC3"/>
    <mergeCell ref="A1:J1"/>
    <mergeCell ref="K1:R1"/>
    <mergeCell ref="S1:AA1"/>
    <mergeCell ref="AD1:AO1"/>
    <mergeCell ref="AP1:AP3"/>
    <mergeCell ref="P2:P3"/>
    <mergeCell ref="E2:E3"/>
    <mergeCell ref="F2:F3"/>
    <mergeCell ref="G2:G3"/>
  </mergeCells>
  <phoneticPr fontId="11" type="noConversion"/>
  <hyperlinks>
    <hyperlink ref="D5" r:id="rId1" xr:uid="{FEDE08DE-2348-4FCF-A378-E09E4B8C9C57}"/>
    <hyperlink ref="D6" r:id="rId2" xr:uid="{D97FB7E2-39FA-46F9-8559-9FA41266276F}"/>
    <hyperlink ref="D9" r:id="rId3" xr:uid="{E08B024B-3AD2-480F-9D89-0F8D64652E37}"/>
    <hyperlink ref="D11" r:id="rId4" xr:uid="{DB746171-44DC-45E7-AE04-1E636E5761C3}"/>
    <hyperlink ref="D15" r:id="rId5" xr:uid="{7696744F-095C-4A25-B82B-E2AF84B438F5}"/>
    <hyperlink ref="D16" r:id="rId6" xr:uid="{57368808-BAEB-4BE3-826E-516C1B526CF1}"/>
    <hyperlink ref="D17" r:id="rId7" xr:uid="{88F5FF81-4838-4BB0-8931-2A75BD1288AD}"/>
    <hyperlink ref="D18" r:id="rId8" xr:uid="{B92C1550-F668-4E2D-BEB5-CD3FFD8CAE62}"/>
    <hyperlink ref="D19" r:id="rId9" xr:uid="{89792C09-EC6B-40CC-A65B-53215AA51A9A}"/>
    <hyperlink ref="D20" r:id="rId10" xr:uid="{376D9E55-1817-4823-8497-B87C9D9F8B86}"/>
    <hyperlink ref="D27" r:id="rId11" xr:uid="{707C4A02-BAF6-4D4C-BA1B-3F624764551B}"/>
    <hyperlink ref="D29" r:id="rId12" xr:uid="{92AED2D9-F678-46FA-B474-D0CE4D72262C}"/>
    <hyperlink ref="D30" r:id="rId13" xr:uid="{BEE34D5A-5F14-4DC4-992D-F75E36A66A94}"/>
    <hyperlink ref="D31" r:id="rId14" xr:uid="{3120B2AE-6D77-427C-AD8E-DDE9DBAABF19}"/>
    <hyperlink ref="D32" r:id="rId15" xr:uid="{4D17810A-1747-493A-90F0-10D054965646}"/>
    <hyperlink ref="D33" r:id="rId16" xr:uid="{D941D339-31CA-4EFD-87A8-09ECC64EEF60}"/>
    <hyperlink ref="D34" r:id="rId17" xr:uid="{26D85255-E4E5-4E2B-A024-F29C9B3724A7}"/>
    <hyperlink ref="D35" r:id="rId18" xr:uid="{785BABB8-1D36-4411-B3F0-2992586477F9}"/>
    <hyperlink ref="D36" r:id="rId19" xr:uid="{2CE30F80-EA6C-417C-A06E-44C9BCEFCEA0}"/>
    <hyperlink ref="D39" r:id="rId20" xr:uid="{F869B7CE-3B3E-46B2-A6C6-3B771D8AA7C2}"/>
    <hyperlink ref="D40" r:id="rId21" xr:uid="{2974B74C-F889-487B-9407-C1344FE9D162}"/>
    <hyperlink ref="D42" r:id="rId22" xr:uid="{07145896-B347-42B0-8798-6CDDC1C1B6F0}"/>
    <hyperlink ref="D43" r:id="rId23" xr:uid="{D08639C1-7A97-4BE6-A7F8-C543EB17398F}"/>
    <hyperlink ref="D46" r:id="rId24" xr:uid="{9092D558-0811-4FB7-BB46-2388C026BC31}"/>
    <hyperlink ref="D47" r:id="rId25" xr:uid="{236EDEEB-E6D8-404B-A786-E9BBA8A8B0D4}"/>
    <hyperlink ref="D48" r:id="rId26" xr:uid="{26A1D7DB-76FB-450B-99BB-4EB8F4B59551}"/>
    <hyperlink ref="D50" r:id="rId27" xr:uid="{19AE203B-F0A8-4F6D-AA2A-7421133F2A6F}"/>
    <hyperlink ref="D52" r:id="rId28" xr:uid="{FE2253CB-98C1-4C04-985C-F7CC162AC24C}"/>
    <hyperlink ref="D60" r:id="rId29" xr:uid="{7FE5A405-BE9A-4F77-82C3-CBB1B0219F47}"/>
    <hyperlink ref="D61" r:id="rId30" xr:uid="{882C325B-11D4-41B2-8288-4BC593FDA165}"/>
    <hyperlink ref="D62" r:id="rId31" xr:uid="{D2050ECB-670F-4ED7-B8F5-856FDC2A9367}"/>
    <hyperlink ref="D64" r:id="rId32" xr:uid="{9B636EFB-FC8D-471B-B580-C12D91ECC1AF}"/>
    <hyperlink ref="D67" r:id="rId33" xr:uid="{33B05DEF-E762-46EE-9BEC-F02A8C951120}"/>
    <hyperlink ref="D70" r:id="rId34" xr:uid="{0700B719-D393-43C5-B454-98E767FDB459}"/>
    <hyperlink ref="D71" r:id="rId35" xr:uid="{3685A94C-6CDF-4113-9EBC-59C33F6FEF42}"/>
    <hyperlink ref="D72" r:id="rId36" xr:uid="{822002E8-E934-4573-8859-BE09517AF5DC}"/>
    <hyperlink ref="D74" r:id="rId37" xr:uid="{4BC99337-7A7A-4205-B9DD-53F9FBCA732F}"/>
    <hyperlink ref="D73" r:id="rId38" xr:uid="{C931C305-EE82-4407-B99A-CB5C3B11363F}"/>
    <hyperlink ref="D75" r:id="rId39" xr:uid="{C64B09FF-EDD0-47A5-B309-AA15F8CE8EF5}"/>
    <hyperlink ref="D77" r:id="rId40" xr:uid="{60F8A7D0-AA5E-4DFC-9CC6-46303DE6F77D}"/>
    <hyperlink ref="D78" r:id="rId41" xr:uid="{C76B649C-EE56-4C2F-A6E8-D63D0BA8F11E}"/>
    <hyperlink ref="D79" r:id="rId42" xr:uid="{AB542184-0E62-4258-A5D5-E4464209E4BE}"/>
    <hyperlink ref="D80" r:id="rId43" xr:uid="{883B31C1-3FA5-4E0C-873B-A8E1B8FA0FEC}"/>
    <hyperlink ref="D82" r:id="rId44" xr:uid="{C0B54804-0573-4802-ACE8-875E1795DC13}"/>
    <hyperlink ref="D86" r:id="rId45" xr:uid="{40E0D393-DDA1-4AF0-A79D-C3CBE24F8566}"/>
    <hyperlink ref="D87" r:id="rId46" xr:uid="{E8012CAF-5E2E-4DAE-A645-B2426DCE953F}"/>
    <hyperlink ref="D88" r:id="rId47" xr:uid="{D7F9842E-32FC-42A4-B31E-2530DC70E64B}"/>
    <hyperlink ref="D91" r:id="rId48" xr:uid="{00F4D89B-F6B8-4EF0-B4CF-92E6D552593E}"/>
    <hyperlink ref="D92" r:id="rId49" xr:uid="{19DAF95E-C43A-4CC7-9E85-42F8E27AC0A7}"/>
    <hyperlink ref="D94" r:id="rId50" xr:uid="{8AEB5872-4F43-4E3D-A747-6A5381301FFB}"/>
    <hyperlink ref="D102" r:id="rId51" xr:uid="{535D670A-C524-4133-ADAB-BAAC0556C270}"/>
  </hyperlinks>
  <pageMargins left="0.7" right="0.7" top="0.75" bottom="0.75" header="0.3" footer="0.3"/>
  <pageSetup paperSize="9" scale="16" orientation="portrait" horizontalDpi="360" verticalDpi="360" r:id="rId52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2</vt:i4>
      </vt:variant>
    </vt:vector>
  </HeadingPairs>
  <TitlesOfParts>
    <vt:vector size="4" baseType="lpstr">
      <vt:lpstr>DATA MASTER 2025</vt:lpstr>
      <vt:lpstr>DATA MASTER 2024</vt:lpstr>
      <vt:lpstr>'DATA MASTER 2024'!Print_Area</vt:lpstr>
      <vt:lpstr>'DATA MASTER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 HARTONO ASUS</dc:creator>
  <cp:lastModifiedBy>Guido Okenawa</cp:lastModifiedBy>
  <dcterms:created xsi:type="dcterms:W3CDTF">2015-06-05T18:17:20Z</dcterms:created>
  <dcterms:modified xsi:type="dcterms:W3CDTF">2026-03-07T02:11:42Z</dcterms:modified>
</cp:coreProperties>
</file>