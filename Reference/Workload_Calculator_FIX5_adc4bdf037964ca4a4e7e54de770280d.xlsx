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2" autoFilterDateGrouping="1"/>
  </bookViews>
  <sheets>
    <sheet xmlns:r="http://schemas.openxmlformats.org/officeDocument/2006/relationships" name="🎯 CONTROL CENTER" sheetId="1" state="visible" r:id="rId1"/>
    <sheet xmlns:r="http://schemas.openxmlformats.org/officeDocument/2006/relationships" name="📝 INPUT DATA" sheetId="2" state="visible" r:id="rId2"/>
    <sheet xmlns:r="http://schemas.openxmlformats.org/officeDocument/2006/relationships" name="📖 METODOLOGI" sheetId="3" state="visible" r:id="rId3"/>
    <sheet xmlns:r="http://schemas.openxmlformats.org/officeDocument/2006/relationships" name="🔬 SIMPSON " sheetId="4" state="visible" r:id="rId4"/>
    <sheet xmlns:r="http://schemas.openxmlformats.org/officeDocument/2006/relationships" name="🔧 VESSEL FACTORS" sheetId="5" state="visible" r:id="rId5"/>
    <sheet xmlns:r="http://schemas.openxmlformats.org/officeDocument/2006/relationships" name="⚡ QUICK QUOTE" sheetId="6" state="visible" r:id="rId6"/>
    <sheet xmlns:r="http://schemas.openxmlformats.org/officeDocument/2006/relationships" name="🎨 DETAIL B&amp;P" sheetId="7" state="visible" r:id="rId7"/>
    <sheet xmlns:r="http://schemas.openxmlformats.org/officeDocument/2006/relationships" name="🔧 DETAIL PIPING" sheetId="8" state="visible" r:id="rId8"/>
    <sheet xmlns:r="http://schemas.openxmlformats.org/officeDocument/2006/relationships" name="⚙️ DETAIL REPLATING" sheetId="9" state="visible" r:id="rId9"/>
    <sheet xmlns:r="http://schemas.openxmlformats.org/officeDocument/2006/relationships" name="💲 MASTER HARGA" sheetId="10" state="visible" r:id="rId10"/>
    <sheet xmlns:r="http://schemas.openxmlformats.org/officeDocument/2006/relationships" name="📄 QUOTATION" sheetId="11" state="visible" r:id="rId11"/>
    <sheet xmlns:r="http://schemas.openxmlformats.org/officeDocument/2006/relationships" name="📊 ANALYTIC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Rp &quot;#,##0"/>
    <numFmt numFmtId="166" formatCode="0.000"/>
    <numFmt numFmtId="167" formatCode="0.0%"/>
  </numFmts>
  <fonts count="46">
    <font>
      <name val="Calibri"/>
      <color theme="1"/>
      <sz val="11"/>
      <scheme val="minor"/>
    </font>
    <font>
      <name val="Segoe UI"/>
      <b val="1"/>
      <color rgb="FFFFFFFF"/>
      <sz val="18"/>
    </font>
    <font>
      <name val="Segoe UI"/>
      <i val="1"/>
      <color rgb="FF1F4E79"/>
      <sz val="10"/>
    </font>
    <font>
      <name val="Segoe UI"/>
      <b val="1"/>
      <color rgb="FFFFFFFF"/>
      <sz val="12"/>
    </font>
    <font>
      <name val="Segoe UI"/>
      <b val="1"/>
      <color rgb="FFFFFFFF"/>
      <sz val="10"/>
    </font>
    <font>
      <name val="Segoe UI"/>
      <b val="1"/>
      <sz val="10"/>
    </font>
    <font>
      <name val="Segoe UI"/>
      <b val="1"/>
      <color rgb="FF00B050"/>
      <sz val="11"/>
    </font>
    <font>
      <name val="Segoe UI"/>
      <b val="1"/>
      <color rgb="FF00B050"/>
      <sz val="10"/>
    </font>
    <font>
      <name val="Segoe UI"/>
      <b val="1"/>
      <color rgb="FF5B9BD5"/>
      <sz val="10"/>
    </font>
    <font>
      <name val="Segoe UI"/>
      <i val="1"/>
      <sz val="9"/>
    </font>
    <font>
      <name val="Segoe UI"/>
      <sz val="9"/>
    </font>
    <font>
      <name val="Segoe UI"/>
      <b val="1"/>
      <color rgb="FF404040"/>
      <sz val="10"/>
    </font>
    <font>
      <name val="Segoe UI"/>
      <sz val="10"/>
    </font>
    <font>
      <name val="Segoe UI"/>
      <b val="1"/>
      <color rgb="FFFFFFFF"/>
      <sz val="14"/>
    </font>
    <font>
      <name val="Segoe UI"/>
      <b val="1"/>
      <color rgb="FFFFFFFF"/>
      <sz val="9"/>
    </font>
    <font>
      <name val="Segoe UI"/>
      <b val="1"/>
      <color rgb="FF1F4E79"/>
      <sz val="10"/>
    </font>
    <font>
      <name val="Segoe UI"/>
      <i val="1"/>
      <sz val="8"/>
    </font>
    <font>
      <name val="Segoe UI"/>
      <b val="1"/>
      <color rgb="FF1F4E79"/>
      <sz val="11"/>
    </font>
    <font>
      <name val="Segoe UI"/>
      <b val="1"/>
      <sz val="9"/>
    </font>
    <font>
      <name val="Segoe UI"/>
      <b val="1"/>
      <sz val="11"/>
    </font>
    <font>
      <name val="Calibri"/>
      <i val="1"/>
      <color rgb="FF666666"/>
      <sz val="10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i val="1"/>
      <color rgb="FF666666"/>
      <sz val="9"/>
    </font>
    <font>
      <name val="Calibri"/>
      <b val="1"/>
      <sz val="11"/>
    </font>
    <font>
      <name val="Calibri"/>
      <b val="1"/>
      <color rgb="FF000000"/>
      <sz val="11"/>
    </font>
    <font>
      <name val="Calibri"/>
      <sz val="11"/>
    </font>
    <font>
      <name val="Calibri"/>
      <b val="1"/>
      <sz val="12"/>
    </font>
    <font>
      <name val="Calibri"/>
      <b val="1"/>
      <color rgb="FF2E75B6"/>
      <sz val="11"/>
    </font>
    <font>
      <name val="Calibri"/>
      <b val="1"/>
      <sz val="11"/>
    </font>
    <font>
      <name val="Calibri"/>
      <b val="1"/>
      <color rgb="FF2E7D32"/>
      <sz val="11"/>
    </font>
    <font>
      <name val="Calibri"/>
      <i val="1"/>
      <color rgb="FF2E7D32"/>
      <sz val="11"/>
    </font>
    <font>
      <name val="Calibri"/>
      <b val="1"/>
      <color rgb="FF1F4E79"/>
      <sz val="11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F4E79"/>
      <sz val="16"/>
    </font>
    <font>
      <b val="1"/>
      <color rgb="00FFFFFF"/>
      <sz val="14"/>
    </font>
    <font>
      <i val="1"/>
      <color rgb="00555555"/>
      <sz val="10"/>
    </font>
    <font>
      <b val="1"/>
      <color rgb="00FFFFFF"/>
      <sz val="12"/>
    </font>
    <font>
      <b val="1"/>
      <sz val="10"/>
    </font>
    <font>
      <i val="1"/>
      <color rgb="00555555"/>
      <sz val="9"/>
    </font>
    <font>
      <sz val="9"/>
    </font>
    <font>
      <i val="1"/>
      <sz val="9"/>
    </font>
    <font>
      <name val="Calibri"/>
      <b val="1"/>
      <color theme="1"/>
      <sz val="11"/>
    </font>
    <font>
      <b val="1"/>
    </font>
  </fonts>
  <fills count="2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1565C0"/>
        <bgColor rgb="001565C0"/>
      </patternFill>
    </fill>
    <fill>
      <patternFill patternType="solid">
        <fgColor rgb="0042A5F5"/>
        <bgColor rgb="0042A5F5"/>
      </patternFill>
    </fill>
    <fill>
      <patternFill patternType="solid">
        <fgColor rgb="00DCE6F1"/>
        <bgColor rgb="00DCE6F1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404040"/>
      </top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/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1"/>
  </cellStyleXfs>
  <cellXfs count="198">
    <xf numFmtId="0" fontId="0" fillId="0" borderId="1" pivotButton="0" quotePrefix="0" xfId="0"/>
    <xf numFmtId="0" fontId="4" fillId="4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6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5" fillId="6" borderId="5" pivotButton="0" quotePrefix="0" xfId="0"/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5" fillId="0" borderId="5" pivotButton="0" quotePrefix="0" xfId="0"/>
    <xf numFmtId="0" fontId="0" fillId="0" borderId="5" pivotButton="0" quotePrefix="0" xfId="0"/>
    <xf numFmtId="0" fontId="7" fillId="0" borderId="5" applyAlignment="1" pivotButton="0" quotePrefix="0" xfId="0">
      <alignment horizontal="center" vertical="center" wrapText="1"/>
    </xf>
    <xf numFmtId="0" fontId="8" fillId="0" borderId="1" pivotButton="0" quotePrefix="0" xfId="0"/>
    <xf numFmtId="0" fontId="3" fillId="7" borderId="1" pivotButton="0" quotePrefix="0" xfId="0"/>
    <xf numFmtId="0" fontId="11" fillId="8" borderId="5" applyAlignment="1" pivotButton="0" quotePrefix="0" xfId="0">
      <alignment horizontal="center" vertical="center" wrapText="1"/>
    </xf>
    <xf numFmtId="0" fontId="9" fillId="0" borderId="5" pivotButton="0" quotePrefix="0" xfId="0"/>
    <xf numFmtId="2" fontId="6" fillId="5" borderId="5" applyAlignment="1" pivotButton="0" quotePrefix="0" xfId="0">
      <alignment horizontal="center" vertical="center" wrapText="1"/>
    </xf>
    <xf numFmtId="4" fontId="6" fillId="5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/>
    </xf>
    <xf numFmtId="0" fontId="4" fillId="3" borderId="5" applyAlignment="1" pivotButton="0" quotePrefix="0" xfId="0">
      <alignment horizontal="center" vertical="center" wrapText="1"/>
    </xf>
    <xf numFmtId="2" fontId="0" fillId="0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2" fontId="0" fillId="6" borderId="5" applyAlignment="1" pivotButton="0" quotePrefix="0" xfId="0">
      <alignment horizontal="center" vertical="center" wrapText="1"/>
    </xf>
    <xf numFmtId="0" fontId="12" fillId="0" borderId="5" pivotButton="0" quotePrefix="0" xfId="0"/>
    <xf numFmtId="4" fontId="0" fillId="0" borderId="5" applyAlignment="1" pivotButton="0" quotePrefix="0" xfId="0">
      <alignment horizontal="right" vertical="center"/>
    </xf>
    <xf numFmtId="3" fontId="0" fillId="0" borderId="5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0" fontId="5" fillId="0" borderId="1" pivotButton="0" quotePrefix="0" xfId="0"/>
    <xf numFmtId="3" fontId="5" fillId="0" borderId="5" pivotButton="0" quotePrefix="0" xfId="0"/>
    <xf numFmtId="0" fontId="12" fillId="0" borderId="1" pivotButton="0" quotePrefix="0" xfId="0"/>
    <xf numFmtId="3" fontId="0" fillId="0" borderId="5" pivotButton="0" quotePrefix="0" xfId="0"/>
    <xf numFmtId="165" fontId="13" fillId="7" borderId="6" applyAlignment="1" pivotButton="0" quotePrefix="0" xfId="0">
      <alignment horizontal="center" vertical="center" wrapText="1"/>
    </xf>
    <xf numFmtId="0" fontId="6" fillId="5" borderId="5" pivotButton="0" quotePrefix="0" xfId="0"/>
    <xf numFmtId="2" fontId="6" fillId="5" borderId="5" pivotButton="0" quotePrefix="0" xfId="0"/>
    <xf numFmtId="0" fontId="14" fillId="4" borderId="5" applyAlignment="1" pivotButton="0" quotePrefix="0" xfId="0">
      <alignment horizontal="center" vertical="center" wrapText="1"/>
    </xf>
    <xf numFmtId="2" fontId="0" fillId="0" borderId="5" pivotButton="0" quotePrefix="0" xfId="0"/>
    <xf numFmtId="4" fontId="6" fillId="5" borderId="5" pivotButton="0" quotePrefix="0" xfId="0"/>
    <xf numFmtId="0" fontId="16" fillId="0" borderId="5" pivotButton="0" quotePrefix="0" xfId="0"/>
    <xf numFmtId="2" fontId="0" fillId="8" borderId="5" pivotButton="0" quotePrefix="0" xfId="0"/>
    <xf numFmtId="2" fontId="9" fillId="8" borderId="5" pivotButton="0" quotePrefix="0" xfId="0"/>
    <xf numFmtId="0" fontId="15" fillId="0" borderId="5" pivotButton="0" quotePrefix="0" xfId="0"/>
    <xf numFmtId="4" fontId="13" fillId="7" borderId="6" applyAlignment="1" pivotButton="0" quotePrefix="0" xfId="0">
      <alignment horizontal="center" vertical="center" wrapText="1"/>
    </xf>
    <xf numFmtId="0" fontId="0" fillId="8" borderId="5" applyAlignment="1" pivotButton="0" quotePrefix="0" xfId="0">
      <alignment horizontal="center" vertical="center" wrapText="1"/>
    </xf>
    <xf numFmtId="164" fontId="0" fillId="6" borderId="5" pivotButton="0" quotePrefix="0" xfId="0"/>
    <xf numFmtId="2" fontId="0" fillId="6" borderId="5" pivotButton="0" quotePrefix="0" xfId="0"/>
    <xf numFmtId="2" fontId="0" fillId="5" borderId="5" pivotButton="0" quotePrefix="0" xfId="0"/>
    <xf numFmtId="0" fontId="9" fillId="6" borderId="5" pivotButton="0" quotePrefix="0" xfId="0"/>
    <xf numFmtId="164" fontId="0" fillId="0" borderId="5" pivotButton="0" quotePrefix="0" xfId="0"/>
    <xf numFmtId="2" fontId="6" fillId="0" borderId="1" pivotButton="0" quotePrefix="0" xfId="0"/>
    <xf numFmtId="2" fontId="3" fillId="7" borderId="6" pivotButton="0" quotePrefix="0" xfId="0"/>
    <xf numFmtId="0" fontId="6" fillId="0" borderId="1" pivotButton="0" quotePrefix="0" xfId="0"/>
    <xf numFmtId="4" fontId="14" fillId="4" borderId="5" applyAlignment="1" pivotButton="0" quotePrefix="0" xfId="0">
      <alignment horizontal="center" vertical="center" wrapText="1"/>
    </xf>
    <xf numFmtId="0" fontId="10" fillId="0" borderId="5" pivotButton="0" quotePrefix="0" xfId="0"/>
    <xf numFmtId="1" fontId="0" fillId="8" borderId="5" pivotButton="0" quotePrefix="0" xfId="0"/>
    <xf numFmtId="3" fontId="6" fillId="5" borderId="5" pivotButton="0" quotePrefix="0" xfId="0"/>
    <xf numFmtId="3" fontId="0" fillId="8" borderId="5" pivotButton="0" quotePrefix="0" xfId="0"/>
    <xf numFmtId="0" fontId="18" fillId="0" borderId="1" pivotButton="0" quotePrefix="0" xfId="0"/>
    <xf numFmtId="0" fontId="0" fillId="8" borderId="5" pivotButton="0" quotePrefix="0" xfId="0"/>
    <xf numFmtId="49" fontId="0" fillId="5" borderId="5" pivotButton="0" quotePrefix="0" xfId="0"/>
    <xf numFmtId="4" fontId="0" fillId="8" borderId="5" pivotButton="0" quotePrefix="0" xfId="0"/>
    <xf numFmtId="3" fontId="0" fillId="5" borderId="5" pivotButton="0" quotePrefix="0" xfId="0"/>
    <xf numFmtId="4" fontId="0" fillId="5" borderId="5" pivotButton="0" quotePrefix="0" xfId="0"/>
    <xf numFmtId="3" fontId="19" fillId="0" borderId="5" pivotButton="0" quotePrefix="0" xfId="0"/>
    <xf numFmtId="0" fontId="0" fillId="5" borderId="5" pivotButton="0" quotePrefix="0" xfId="0"/>
    <xf numFmtId="4" fontId="19" fillId="5" borderId="5" pivotButton="0" quotePrefix="0" xfId="0"/>
    <xf numFmtId="4" fontId="3" fillId="7" borderId="6" pivotButton="0" quotePrefix="0" xfId="0"/>
    <xf numFmtId="4" fontId="0" fillId="0" borderId="5" pivotButton="0" quotePrefix="0" xfId="0"/>
    <xf numFmtId="0" fontId="7" fillId="0" borderId="1" pivotButton="0" quotePrefix="0" xfId="0"/>
    <xf numFmtId="0" fontId="3" fillId="3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22" fillId="11" borderId="7" pivotButton="0" quotePrefix="0" xfId="0"/>
    <xf numFmtId="0" fontId="0" fillId="0" borderId="7" pivotButton="0" quotePrefix="0" xfId="0"/>
    <xf numFmtId="0" fontId="0" fillId="12" borderId="7" pivotButton="0" quotePrefix="0" xfId="0"/>
    <xf numFmtId="0" fontId="22" fillId="11" borderId="7" applyAlignment="1" pivotButton="0" quotePrefix="0" xfId="0">
      <alignment horizontal="center" wrapText="1"/>
    </xf>
    <xf numFmtId="164" fontId="0" fillId="0" borderId="7" pivotButton="0" quotePrefix="0" xfId="0"/>
    <xf numFmtId="166" fontId="0" fillId="13" borderId="7" pivotButton="0" quotePrefix="0" xfId="0"/>
    <xf numFmtId="2" fontId="0" fillId="0" borderId="7" pivotButton="0" quotePrefix="0" xfId="0"/>
    <xf numFmtId="0" fontId="24" fillId="0" borderId="0" pivotButton="0" quotePrefix="0" xfId="0"/>
    <xf numFmtId="0" fontId="25" fillId="14" borderId="7" pivotButton="0" quotePrefix="0" xfId="0"/>
    <xf numFmtId="0" fontId="26" fillId="12" borderId="7" pivotButton="0" quotePrefix="0" xfId="0"/>
    <xf numFmtId="0" fontId="24" fillId="0" borderId="7" pivotButton="0" quotePrefix="0" xfId="0"/>
    <xf numFmtId="10" fontId="0" fillId="14" borderId="7" pivotButton="0" quotePrefix="0" xfId="0"/>
    <xf numFmtId="0" fontId="0" fillId="14" borderId="7" pivotButton="0" quotePrefix="0" xfId="0"/>
    <xf numFmtId="10" fontId="0" fillId="12" borderId="7" pivotButton="0" quotePrefix="0" xfId="0"/>
    <xf numFmtId="2" fontId="0" fillId="12" borderId="7" pivotButton="0" quotePrefix="0" xfId="0"/>
    <xf numFmtId="0" fontId="27" fillId="0" borderId="0" pivotButton="0" quotePrefix="0" xfId="0"/>
    <xf numFmtId="0" fontId="28" fillId="0" borderId="0" pivotButton="0" quotePrefix="0" xfId="0"/>
    <xf numFmtId="0" fontId="0" fillId="13" borderId="7" pivotButton="0" quotePrefix="0" xfId="0"/>
    <xf numFmtId="167" fontId="0" fillId="0" borderId="7" pivotButton="0" quotePrefix="0" xfId="0"/>
    <xf numFmtId="167" fontId="25" fillId="14" borderId="7" pivotButton="0" quotePrefix="0" xfId="0"/>
    <xf numFmtId="0" fontId="30" fillId="15" borderId="5" pivotButton="0" quotePrefix="0" xfId="0"/>
    <xf numFmtId="0" fontId="9" fillId="15" borderId="5" pivotButton="0" quotePrefix="0" xfId="0"/>
    <xf numFmtId="2" fontId="0" fillId="15" borderId="5" pivotButton="0" quotePrefix="0" xfId="0"/>
    <xf numFmtId="2" fontId="9" fillId="15" borderId="5" pivotButton="0" quotePrefix="0" xfId="0"/>
    <xf numFmtId="4" fontId="25" fillId="15" borderId="5" pivotButton="0" quotePrefix="0" xfId="0"/>
    <xf numFmtId="0" fontId="31" fillId="0" borderId="5" pivotButton="0" quotePrefix="0" xfId="0"/>
    <xf numFmtId="0" fontId="0" fillId="15" borderId="7" pivotButton="0" quotePrefix="0" xfId="0"/>
    <xf numFmtId="167" fontId="0" fillId="12" borderId="0" pivotButton="0" quotePrefix="0" xfId="0"/>
    <xf numFmtId="0" fontId="0" fillId="16" borderId="0" pivotButton="0" quotePrefix="0" xfId="0"/>
    <xf numFmtId="0" fontId="11" fillId="16" borderId="5" applyAlignment="1" pivotButton="0" quotePrefix="0" xfId="0">
      <alignment horizontal="center" vertical="center" wrapText="1"/>
    </xf>
    <xf numFmtId="0" fontId="11" fillId="17" borderId="5" applyAlignment="1" pivotButton="0" quotePrefix="0" xfId="0">
      <alignment horizontal="center" vertical="center" wrapText="1"/>
    </xf>
    <xf numFmtId="0" fontId="34" fillId="11" borderId="5" applyAlignment="1" pivotButton="0" quotePrefix="0" xfId="0">
      <alignment horizontal="center"/>
    </xf>
    <xf numFmtId="0" fontId="34" fillId="11" borderId="0" pivotButton="0" quotePrefix="0" xfId="0"/>
    <xf numFmtId="0" fontId="9" fillId="0" borderId="5" applyAlignment="1" pivotButton="0" quotePrefix="0" xfId="0">
      <alignment horizontal="center"/>
    </xf>
    <xf numFmtId="0" fontId="9" fillId="6" borderId="5" applyAlignment="1" pivotButton="0" quotePrefix="0" xfId="0">
      <alignment horizontal="center"/>
    </xf>
    <xf numFmtId="2" fontId="0" fillId="17" borderId="5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1" pivotButton="0" quotePrefix="0" xfId="0"/>
    <xf numFmtId="0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3" fillId="7" borderId="1" pivotButton="0" quotePrefix="0" xfId="0"/>
    <xf numFmtId="0" fontId="28" fillId="0" borderId="0" pivotButton="0" quotePrefix="0" xfId="0"/>
    <xf numFmtId="0" fontId="21" fillId="1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/>
    </xf>
    <xf numFmtId="0" fontId="24" fillId="0" borderId="0" pivotButton="0" quotePrefix="0" xfId="0"/>
    <xf numFmtId="0" fontId="29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30" fillId="15" borderId="1" pivotButton="0" quotePrefix="0" xfId="0"/>
    <xf numFmtId="0" fontId="33" fillId="0" borderId="0" pivotButton="0" quotePrefix="0" xfId="0"/>
    <xf numFmtId="0" fontId="15" fillId="9" borderId="5" pivotButton="0" quotePrefix="0" xfId="0"/>
    <xf numFmtId="0" fontId="3" fillId="7" borderId="1" applyAlignment="1" pivotButton="0" quotePrefix="0" xfId="0">
      <alignment horizontal="center" vertical="center" wrapText="1"/>
    </xf>
    <xf numFmtId="0" fontId="32" fillId="0" borderId="0" pivotButton="0" quotePrefix="0" xfId="0"/>
    <xf numFmtId="0" fontId="5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165" fontId="13" fillId="7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/>
    </xf>
    <xf numFmtId="0" fontId="35" fillId="0" borderId="1" pivotButton="0" quotePrefix="0" xfId="0"/>
    <xf numFmtId="0" fontId="35" fillId="16" borderId="0" applyAlignment="1" pivotButton="0" quotePrefix="0" xfId="0">
      <alignment horizontal="center"/>
    </xf>
    <xf numFmtId="0" fontId="35" fillId="17" borderId="0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0" fillId="0" borderId="0" pivotButton="0" quotePrefix="0" xfId="0"/>
    <xf numFmtId="0" fontId="21" fillId="10" borderId="8" applyAlignment="1" pivotButton="0" quotePrefix="0" xfId="0">
      <alignment horizontal="center"/>
    </xf>
    <xf numFmtId="0" fontId="11" fillId="19" borderId="13" applyAlignment="1" pivotButton="0" quotePrefix="0" xfId="0">
      <alignment horizontal="center" vertical="center" wrapText="1"/>
    </xf>
    <xf numFmtId="0" fontId="44" fillId="19" borderId="13" applyAlignment="1" pivotButton="0" quotePrefix="0" xfId="0">
      <alignment horizontal="center"/>
    </xf>
    <xf numFmtId="0" fontId="35" fillId="18" borderId="13" applyAlignment="1" pivotButton="0" quotePrefix="0" xfId="0">
      <alignment horizontal="center"/>
    </xf>
    <xf numFmtId="0" fontId="11" fillId="18" borderId="13" applyAlignment="1" pivotButton="0" quotePrefix="0" xfId="0">
      <alignment horizontal="center" vertical="center" wrapText="1"/>
    </xf>
    <xf numFmtId="0" fontId="44" fillId="19" borderId="13" pivotButton="0" quotePrefix="0" xfId="0"/>
    <xf numFmtId="2" fontId="6" fillId="18" borderId="13" applyAlignment="1" pivotButton="0" quotePrefix="0" xfId="0">
      <alignment horizontal="center" vertical="center" wrapText="1"/>
    </xf>
    <xf numFmtId="0" fontId="0" fillId="18" borderId="13" pivotButton="0" quotePrefix="0" xfId="0"/>
    <xf numFmtId="4" fontId="6" fillId="18" borderId="13" applyAlignment="1" pivotButton="0" quotePrefix="0" xfId="0">
      <alignment horizontal="center" vertical="center" wrapText="1"/>
    </xf>
    <xf numFmtId="0" fontId="37" fillId="20" borderId="0" pivotButton="0" quotePrefix="0" xfId="0"/>
    <xf numFmtId="0" fontId="38" fillId="0" borderId="0" pivotButton="0" quotePrefix="0" xfId="0"/>
    <xf numFmtId="0" fontId="39" fillId="21" borderId="0" pivotButton="0" quotePrefix="0" xfId="0"/>
    <xf numFmtId="0" fontId="40" fillId="22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0" borderId="0" applyAlignment="1" pivotButton="0" quotePrefix="0" xfId="0">
      <alignment vertical="top" wrapText="1"/>
    </xf>
    <xf numFmtId="0" fontId="36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21" fillId="10" borderId="1" pivotButton="0" quotePrefix="0" xfId="0"/>
    <xf numFmtId="0" fontId="23" fillId="0" borderId="1" pivotButton="0" quotePrefix="0" xfId="0"/>
    <xf numFmtId="0" fontId="24" fillId="0" borderId="1" pivotButton="0" quotePrefix="0" xfId="0"/>
    <xf numFmtId="0" fontId="0" fillId="0" borderId="8" pivotButton="0" quotePrefix="0" xfId="0"/>
    <xf numFmtId="0" fontId="28" fillId="0" borderId="1" pivotButton="0" quotePrefix="0" xfId="0"/>
    <xf numFmtId="0" fontId="29" fillId="0" borderId="1" pivotButton="0" quotePrefix="0" xfId="0"/>
    <xf numFmtId="4" fontId="0" fillId="18" borderId="13" applyAlignment="1" pivotButton="0" quotePrefix="0" xfId="0">
      <alignment horizontal="right" vertical="center"/>
    </xf>
    <xf numFmtId="3" fontId="0" fillId="19" borderId="13" applyAlignment="1" pivotButton="0" quotePrefix="0" xfId="0">
      <alignment horizontal="right" vertical="center"/>
    </xf>
    <xf numFmtId="3" fontId="6" fillId="18" borderId="13" applyAlignment="1" pivotButton="0" quotePrefix="0" xfId="0">
      <alignment horizontal="right" vertical="center"/>
    </xf>
    <xf numFmtId="3" fontId="5" fillId="18" borderId="13" pivotButton="0" quotePrefix="0" xfId="0"/>
    <xf numFmtId="3" fontId="0" fillId="18" borderId="13" pivotButton="0" quotePrefix="0" xfId="0"/>
    <xf numFmtId="3" fontId="13" fillId="18" borderId="13" applyAlignment="1" pivotButton="0" quotePrefix="0" xfId="0">
      <alignment horizontal="center" vertical="center" wrapText="1"/>
    </xf>
    <xf numFmtId="4" fontId="25" fillId="18" borderId="13" pivotButton="0" quotePrefix="0" xfId="0"/>
    <xf numFmtId="4" fontId="6" fillId="18" borderId="13" pivotButton="0" quotePrefix="0" xfId="0"/>
    <xf numFmtId="2" fontId="0" fillId="19" borderId="13" pivotButton="0" quotePrefix="0" xfId="0"/>
    <xf numFmtId="2" fontId="9" fillId="19" borderId="13" pivotButton="0" quotePrefix="0" xfId="0"/>
    <xf numFmtId="4" fontId="13" fillId="18" borderId="13" applyAlignment="1" pivotButton="0" quotePrefix="0" xfId="0">
      <alignment horizontal="center" vertical="center" wrapText="1"/>
    </xf>
    <xf numFmtId="0" fontId="32" fillId="0" borderId="1" pivotButton="0" quotePrefix="0" xfId="0"/>
    <xf numFmtId="0" fontId="33" fillId="0" borderId="1" pivotButton="0" quotePrefix="0" xfId="0"/>
    <xf numFmtId="4" fontId="0" fillId="18" borderId="13" pivotButton="0" quotePrefix="0" xfId="0"/>
    <xf numFmtId="3" fontId="19" fillId="18" borderId="13" pivotButton="0" quotePrefix="0" xfId="0"/>
    <xf numFmtId="3" fontId="45" fillId="18" borderId="6" applyAlignment="1" pivotButton="0" quotePrefix="0" xfId="0">
      <alignment horizontal="center" vertical="center" wrapText="1"/>
    </xf>
    <xf numFmtId="4" fontId="19" fillId="18" borderId="13" pivotButton="0" quotePrefix="0" xfId="0"/>
    <xf numFmtId="4" fontId="3" fillId="18" borderId="13" pivotButton="0" quotePrefix="0" xfId="0"/>
    <xf numFmtId="3" fontId="6" fillId="5" borderId="5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2" fontId="9" fillId="0" borderId="5" applyAlignment="1" pivotButton="0" quotePrefix="0" xfId="0">
      <alignment horizontal="center"/>
    </xf>
    <xf numFmtId="2" fontId="9" fillId="6" borderId="5" applyAlignment="1" pivotButton="0" quotePrefix="0" xfId="0">
      <alignment horizontal="center"/>
    </xf>
    <xf numFmtId="0" fontId="0" fillId="0" borderId="13" applyAlignment="1" pivotButton="0" quotePrefix="0" xfId="0">
      <alignment vertical="center" wrapText="1"/>
    </xf>
    <xf numFmtId="0" fontId="39" fillId="21" borderId="13" applyAlignment="1" pivotButton="0" quotePrefix="0" xfId="0">
      <alignment vertical="center" wrapText="1"/>
    </xf>
    <xf numFmtId="0" fontId="42" fillId="0" borderId="13" applyAlignment="1" pivotButton="0" quotePrefix="0" xfId="0">
      <alignment vertical="center" wrapText="1"/>
    </xf>
    <xf numFmtId="0" fontId="4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I13" sqref="I13"/>
    </sheetView>
  </sheetViews>
  <sheetFormatPr baseColWidth="8" defaultColWidth="9.109375" defaultRowHeight="15" customHeight="1"/>
  <cols>
    <col width="5" customWidth="1" style="144" min="1" max="1"/>
    <col width="25" customWidth="1" style="144" min="2" max="2"/>
    <col width="20" customWidth="1" style="144" min="3" max="3"/>
    <col width="15" customWidth="1" style="144" min="4" max="7"/>
    <col width="20" customWidth="1" style="144" min="8" max="8"/>
    <col width="15" customWidth="1" style="144" min="9" max="9"/>
  </cols>
  <sheetData>
    <row r="1" ht="39.75" customHeight="1" s="144">
      <c r="A1" s="113" t="inlineStr">
        <is>
          <t xml:space="preserve">🚀 WORKLOAD CALCULATOR </t>
        </is>
      </c>
    </row>
    <row r="2" ht="15" customHeight="1" s="144">
      <c r="A2" s="117" t="inlineStr">
        <is>
          <t>Sistem Perhitungan Beban Kerja Terintegrasi untuk PPIC &amp; Marketing | Galangan Kapal</t>
        </is>
      </c>
    </row>
    <row r="4" ht="15" customHeight="1" s="144">
      <c r="A4" s="112" t="inlineStr">
        <is>
          <t>📍 NAVIGATION PANEL</t>
        </is>
      </c>
      <c r="F4" s="112" t="inlineStr">
        <is>
          <t>📊 STATUS REAL-TIME</t>
        </is>
      </c>
    </row>
    <row r="5" ht="15" customHeight="1" s="144">
      <c r="A5" s="1" t="inlineStr">
        <is>
          <t>No</t>
        </is>
      </c>
      <c r="B5" s="1" t="inlineStr">
        <is>
          <t>Sheet</t>
        </is>
      </c>
      <c r="C5" s="1" t="inlineStr">
        <is>
          <t>Fungsi</t>
        </is>
      </c>
      <c r="D5" s="1" t="inlineStr">
        <is>
          <t>Waktu</t>
        </is>
      </c>
      <c r="F5" s="133" t="inlineStr">
        <is>
          <t>Nama Kapal:</t>
        </is>
      </c>
      <c r="G5" s="3">
        <f>'📝 INPUT DATA'!C6</f>
        <v/>
      </c>
    </row>
    <row r="6" ht="15" customHeight="1" s="144">
      <c r="A6" s="4" t="inlineStr">
        <is>
          <t>1</t>
        </is>
      </c>
      <c r="B6" s="5" t="inlineStr">
        <is>
          <t>📝 INPUT DATA</t>
        </is>
      </c>
      <c r="C6" s="6" t="inlineStr">
        <is>
          <t>Input dimensi kapal</t>
        </is>
      </c>
      <c r="D6" s="4" t="inlineStr">
        <is>
          <t>5 menit</t>
        </is>
      </c>
      <c r="F6" s="133" t="inlineStr">
        <is>
          <t>Jenis Kapal:</t>
        </is>
      </c>
      <c r="G6" s="3">
        <f>'📝 INPUT DATA'!C7</f>
        <v/>
      </c>
    </row>
    <row r="7" ht="15" customHeight="1" s="144">
      <c r="A7" s="114" t="inlineStr">
        <is>
          <t>2</t>
        </is>
      </c>
      <c r="B7" s="8" t="inlineStr">
        <is>
          <t>⚡ QUICK QUOTE</t>
        </is>
      </c>
      <c r="C7" s="9" t="inlineStr">
        <is>
          <t>Estimasi cepat ±20%</t>
        </is>
      </c>
      <c r="D7" s="114" t="inlineStr">
        <is>
          <t>Otomatis</t>
        </is>
      </c>
      <c r="F7" s="133" t="inlineStr">
        <is>
          <t>Dimensi:</t>
        </is>
      </c>
      <c r="G7" s="3">
        <f>CONCATENATE('📝 INPUT DATA'!C8," × ",'📝 INPUT DATA'!C9," × ",'📝 INPUT DATA'!C10," m")</f>
        <v/>
      </c>
    </row>
    <row r="8" ht="15" customHeight="1" s="144">
      <c r="A8" s="4" t="inlineStr">
        <is>
          <t>3</t>
        </is>
      </c>
      <c r="B8" s="5" t="inlineStr">
        <is>
          <t>🎨 DETAIL B&amp;P</t>
        </is>
      </c>
      <c r="C8" s="6" t="inlineStr">
        <is>
          <t>Detail Blasting &amp; Painting</t>
        </is>
      </c>
      <c r="D8" s="4" t="inlineStr">
        <is>
          <t>15 menit</t>
        </is>
      </c>
      <c r="F8" s="133" t="inlineStr">
        <is>
          <t>Total Luasan B&amp;P:</t>
        </is>
      </c>
      <c r="G8" s="16">
        <f>'⚡ QUICK QUOTE'!D17</f>
        <v/>
      </c>
      <c r="H8" s="0" t="inlineStr">
        <is>
          <t>m²</t>
        </is>
      </c>
    </row>
    <row r="9" ht="15" customHeight="1" s="144">
      <c r="A9" s="114" t="inlineStr">
        <is>
          <t>4</t>
        </is>
      </c>
      <c r="B9" s="8" t="inlineStr">
        <is>
          <t>🔧 DETAIL PIPING</t>
        </is>
      </c>
      <c r="C9" s="9" t="inlineStr">
        <is>
          <t>Detail pekerjaan pipa</t>
        </is>
      </c>
      <c r="D9" s="114" t="inlineStr">
        <is>
          <t>10 menit</t>
        </is>
      </c>
      <c r="F9" s="133" t="inlineStr">
        <is>
          <t>Total Man-Hour:</t>
        </is>
      </c>
      <c r="G9" s="16">
        <f>'⚡ QUICK QUOTE'!D18</f>
        <v/>
      </c>
      <c r="H9" s="0" t="inlineStr">
        <is>
          <t>MH</t>
        </is>
      </c>
    </row>
    <row r="10" ht="15" customHeight="1" s="144">
      <c r="A10" s="4" t="inlineStr">
        <is>
          <t>5</t>
        </is>
      </c>
      <c r="B10" s="5" t="inlineStr">
        <is>
          <t>⚙️ DETAIL REPLATING</t>
        </is>
      </c>
      <c r="C10" s="6" t="inlineStr">
        <is>
          <t>Detail replating material</t>
        </is>
      </c>
      <c r="D10" s="4" t="inlineStr">
        <is>
          <t>10 menit</t>
        </is>
      </c>
      <c r="F10" s="133" t="inlineStr">
        <is>
          <t>Estimasi Harga:</t>
        </is>
      </c>
      <c r="G10" s="190">
        <f>'⚡ QUICK QUOTE'!F34</f>
        <v/>
      </c>
      <c r="H10" s="0" t="inlineStr">
        <is>
          <t>Rp</t>
        </is>
      </c>
    </row>
    <row r="11" ht="15" customHeight="1" s="144">
      <c r="A11" s="114" t="inlineStr">
        <is>
          <t>6</t>
        </is>
      </c>
      <c r="B11" s="8" t="inlineStr">
        <is>
          <t>💲 MASTER HARGA</t>
        </is>
      </c>
      <c r="C11" s="9" t="inlineStr">
        <is>
          <t>Database harga satuan</t>
        </is>
      </c>
      <c r="D11" s="114" t="inlineStr">
        <is>
          <t>Update berkala</t>
        </is>
      </c>
      <c r="F11" s="133" t="inlineStr">
        <is>
          <t>Status:</t>
        </is>
      </c>
      <c r="G11" s="10" t="inlineStr">
        <is>
          <t>READY</t>
        </is>
      </c>
      <c r="H11" s="0" t="inlineStr">
        <is>
          <t>✅</t>
        </is>
      </c>
    </row>
    <row r="12" ht="15" customHeight="1" s="144">
      <c r="A12" s="4" t="inlineStr">
        <is>
          <t>7</t>
        </is>
      </c>
      <c r="B12" s="5" t="inlineStr">
        <is>
          <t>📄 QUOTATION</t>
        </is>
      </c>
      <c r="C12" s="6" t="inlineStr">
        <is>
          <t>Generate penawaran</t>
        </is>
      </c>
      <c r="D12" s="4" t="inlineStr">
        <is>
          <t>Otomatis</t>
        </is>
      </c>
    </row>
    <row r="13" ht="15" customHeight="1" s="144">
      <c r="A13" s="114" t="inlineStr">
        <is>
          <t>8</t>
        </is>
      </c>
      <c r="B13" s="8" t="inlineStr">
        <is>
          <t>📊 ANALYTICS</t>
        </is>
      </c>
      <c r="C13" s="9" t="inlineStr">
        <is>
          <t>Analisis &amp; laporan</t>
        </is>
      </c>
      <c r="D13" s="114" t="inlineStr">
        <is>
          <t>Otomatis</t>
        </is>
      </c>
    </row>
    <row r="14">
      <c r="A14" s="0" t="inlineStr">
        <is>
          <t>9</t>
        </is>
      </c>
      <c r="B14" s="0" t="inlineStr">
        <is>
          <t>📖 METODOLOGI</t>
        </is>
      </c>
      <c r="C14" s="0" t="inlineStr">
        <is>
          <t>Basis rumus &amp; referensi</t>
        </is>
      </c>
      <c r="D14" s="0" t="inlineStr">
        <is>
          <t>Referensi</t>
        </is>
      </c>
    </row>
    <row r="15" ht="15" customHeight="1" s="144">
      <c r="A15" s="112" t="inlineStr">
        <is>
          <t>⚡ QUICK ACTIONS</t>
        </is>
      </c>
    </row>
    <row r="16" ht="15" customHeight="1" s="144">
      <c r="B16" s="11" t="inlineStr">
        <is>
          <t>🆕 New Project</t>
        </is>
      </c>
      <c r="C16" s="111" t="inlineStr">
        <is>
          <t>Mulai proyek baru - Reset semua data</t>
        </is>
      </c>
    </row>
    <row r="17" ht="15" customHeight="1" s="144">
      <c r="B17" s="11" t="inlineStr">
        <is>
          <t>📋 Copy to MKT-FM-002</t>
        </is>
      </c>
      <c r="C17" s="111" t="inlineStr">
        <is>
          <t>Salin ke template penawaran resmi</t>
        </is>
      </c>
    </row>
    <row r="18" ht="15" customHeight="1" s="144">
      <c r="B18" s="11" t="inlineStr">
        <is>
          <t>📊 Generate Report</t>
        </is>
      </c>
      <c r="C18" s="111" t="inlineStr">
        <is>
          <t>Buat laporan lengkap PDF</t>
        </is>
      </c>
    </row>
    <row r="19" ht="15" customHeight="1" s="144">
      <c r="B19" s="11" t="inlineStr">
        <is>
          <t>💾 Save Version</t>
        </is>
      </c>
      <c r="C19" s="111" t="inlineStr">
        <is>
          <t>Simpan versi dengan timestamp</t>
        </is>
      </c>
    </row>
    <row r="21" ht="15" customHeight="1" s="144">
      <c r="A21" s="119" t="inlineStr">
        <is>
          <t>💡 TIPS PENGGUNAAN</t>
        </is>
      </c>
    </row>
    <row r="22" ht="15" customHeight="1" s="144">
      <c r="B22" s="118" t="inlineStr">
        <is>
          <t>• Untuk PENAWARAN CEPAT: Cukup isi sheet '📝 INPUT DATA' → lihat '⚡ QUICK QUOTE' (akurasi ±20-30%)</t>
        </is>
      </c>
    </row>
    <row r="23" ht="15" customHeight="1" s="144">
      <c r="B23" s="118" t="inlineStr">
        <is>
          <t>• Untuk AKURASI: Baca '📖 METODOLOGI' untuk basis rumus → akurasi hasil ±5-10% bila input survey lengkap</t>
        </is>
      </c>
    </row>
    <row r="24" ht="15" customHeight="1" s="144">
      <c r="B24" s="118" t="inlineStr">
        <is>
          <t>• Semua formula sudah terhubung otomatis - JANGAN mengubah cell hijau</t>
        </is>
      </c>
    </row>
    <row r="25" ht="15" customHeight="1" s="144">
      <c r="B25" s="118" t="inlineStr">
        <is>
          <t>• Selalu verifikasi hasil dengan validation check di sheet '🔬 SIMPSON' (Row 44-51)</t>
        </is>
      </c>
    </row>
    <row r="26" ht="15" customHeight="1" s="144">
      <c r="B26" s="118" t="inlineStr">
        <is>
          <t>• Backup file sebelum mengubah Master Parameter</t>
        </is>
      </c>
    </row>
  </sheetData>
  <mergeCells count="15">
    <mergeCell ref="A15:I15"/>
    <mergeCell ref="C16:E16"/>
    <mergeCell ref="A2:I2"/>
    <mergeCell ref="C19:E19"/>
    <mergeCell ref="B25:I25"/>
    <mergeCell ref="A4:D4"/>
    <mergeCell ref="F4:I4"/>
    <mergeCell ref="B24:I24"/>
    <mergeCell ref="A1:I1"/>
    <mergeCell ref="C18:E18"/>
    <mergeCell ref="B22:I22"/>
    <mergeCell ref="C17:E17"/>
    <mergeCell ref="B23:I23"/>
    <mergeCell ref="A21:I21"/>
    <mergeCell ref="B26:I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topLeftCell="A6" workbookViewId="0">
      <selection activeCell="C11" sqref="C11"/>
    </sheetView>
  </sheetViews>
  <sheetFormatPr baseColWidth="8" defaultColWidth="9.109375" defaultRowHeight="15" customHeight="1"/>
  <cols>
    <col width="5" customWidth="1" style="144" min="1" max="1"/>
    <col width="30" customWidth="1" style="144" min="2" max="2"/>
    <col width="20" customWidth="1" style="144" min="3" max="3"/>
    <col width="12" customWidth="1" style="144" min="4" max="4"/>
    <col width="25" customWidth="1" style="144" min="5" max="5"/>
    <col width="5" customWidth="1" style="144" min="6" max="6"/>
    <col width="25" customWidth="1" style="144" min="7" max="7"/>
    <col width="20" customWidth="1" style="144" min="8" max="8"/>
    <col width="12" customWidth="1" style="144" min="9" max="9"/>
  </cols>
  <sheetData>
    <row r="1" ht="35.25" customHeight="1" s="144">
      <c r="A1" s="113" t="inlineStr">
        <is>
          <t>📝 INPUT DATA KAPAL</t>
        </is>
      </c>
    </row>
    <row r="2" ht="15" customHeight="1" s="144">
      <c r="A2" s="109" t="inlineStr">
        <is>
          <t>⚠️ ISI SEMUA KOLOM KUNING - Data akan otomatis perhitung di semua sheet</t>
        </is>
      </c>
    </row>
    <row r="4" ht="15" customHeight="1" s="144">
      <c r="A4" s="112" t="inlineStr">
        <is>
          <t>A. DATA KAPAL UTAMA</t>
        </is>
      </c>
      <c r="G4" s="112" t="inlineStr">
        <is>
          <t>📊 VESSEL FACTOR LOOKUP TABLE</t>
        </is>
      </c>
    </row>
    <row r="5" ht="15" customHeight="1" s="144">
      <c r="A5" s="1" t="inlineStr">
        <is>
          <t>No</t>
        </is>
      </c>
      <c r="B5" s="1" t="inlineStr">
        <is>
          <t>Parameter</t>
        </is>
      </c>
      <c r="C5" s="1" t="inlineStr">
        <is>
          <t>Nilai</t>
        </is>
      </c>
      <c r="D5" s="1" t="inlineStr">
        <is>
          <t>Satuan</t>
        </is>
      </c>
      <c r="E5" s="1" t="inlineStr">
        <is>
          <t>Keterangan</t>
        </is>
      </c>
      <c r="G5" s="111" t="inlineStr">
        <is>
          <t>Faktor koreksi untuk perhitungan WSA berdasarkan jenis kapal</t>
        </is>
      </c>
    </row>
    <row r="6" ht="15" customHeight="1" s="144">
      <c r="A6" s="114" t="inlineStr">
        <is>
          <t>1</t>
        </is>
      </c>
      <c r="B6" s="8" t="inlineStr">
        <is>
          <t>Nama Kapal</t>
        </is>
      </c>
      <c r="C6" s="146" t="inlineStr">
        <is>
          <t>TB. TRUST 17</t>
        </is>
      </c>
      <c r="D6" s="114" t="inlineStr">
        <is>
          <t>-</t>
        </is>
      </c>
      <c r="E6" s="14" t="inlineStr">
        <is>
          <t>Nama kapal customer</t>
        </is>
      </c>
    </row>
    <row r="7" ht="15" customHeight="1" s="144">
      <c r="A7" s="114" t="inlineStr">
        <is>
          <t>2</t>
        </is>
      </c>
      <c r="B7" s="8" t="inlineStr">
        <is>
          <t>Jenis Kapal</t>
        </is>
      </c>
      <c r="C7" s="146" t="inlineStr">
        <is>
          <t>Tugboat</t>
        </is>
      </c>
      <c r="D7" s="114" t="inlineStr">
        <is>
          <t>-</t>
        </is>
      </c>
      <c r="E7" s="14" t="inlineStr">
        <is>
          <t>Pilih dari dropdown</t>
        </is>
      </c>
    </row>
    <row r="8" ht="15" customHeight="1" s="144">
      <c r="A8" s="114" t="n">
        <v>3</v>
      </c>
      <c r="B8" s="8" t="inlineStr">
        <is>
          <t>Panjang (L)</t>
        </is>
      </c>
      <c r="C8" s="146" t="n">
        <v>28</v>
      </c>
      <c r="D8" s="114" t="inlineStr">
        <is>
          <t>m</t>
        </is>
      </c>
      <c r="E8" s="14" t="inlineStr">
        <is>
          <t>Panjang keseluruhan atau LWL</t>
        </is>
      </c>
    </row>
    <row r="9" ht="15" customHeight="1" s="144">
      <c r="A9" s="139" t="n">
        <v>4</v>
      </c>
      <c r="B9" s="140" t="inlineStr">
        <is>
          <t>Lebar (B)</t>
        </is>
      </c>
      <c r="C9" s="147" t="n">
        <v>8.5</v>
      </c>
      <c r="D9" s="0" t="inlineStr">
        <is>
          <t>m</t>
        </is>
      </c>
      <c r="E9" s="0" t="inlineStr">
        <is>
          <t>Lebar terlebar</t>
        </is>
      </c>
    </row>
    <row r="10" ht="15" customHeight="1" s="144">
      <c r="A10" s="114" t="n">
        <v>5</v>
      </c>
      <c r="B10" s="8" t="inlineStr">
        <is>
          <t>Depth (D)</t>
        </is>
      </c>
      <c r="C10" s="146" t="n">
        <v>4</v>
      </c>
      <c r="D10" s="114" t="inlineStr">
        <is>
          <t>m</t>
        </is>
      </c>
      <c r="E10" s="14" t="inlineStr">
        <is>
          <t>Tinggi kapal dari baseline ke main deck</t>
        </is>
      </c>
    </row>
    <row r="11" ht="15" customHeight="1" s="144">
      <c r="A11" s="139" t="n">
        <v>6</v>
      </c>
      <c r="B11" s="140" t="inlineStr">
        <is>
          <t>Sarat (T)</t>
        </is>
      </c>
      <c r="C11" s="148">
        <f>IFERROR(ROUND(C10*VLOOKUP(C7,'🔧 VESSEL FACTORS'!$A$5:$H$13,7,FALSE),2),"")</f>
        <v/>
      </c>
      <c r="D11" s="0" t="inlineStr">
        <is>
          <t>m</t>
        </is>
      </c>
      <c r="E11" s="0" t="inlineStr">
        <is>
          <t>AUTO: Depth × Faktor Draft (T/D) dari VESSEL FACTORS</t>
        </is>
      </c>
    </row>
    <row r="12">
      <c r="A12" s="114" t="n">
        <v>7</v>
      </c>
      <c r="B12" s="8" t="inlineStr">
        <is>
          <t>Freeboard</t>
        </is>
      </c>
      <c r="C12" s="149">
        <f>IFERROR(ROUND(C10-C11,2),"")</f>
        <v/>
      </c>
      <c r="D12" s="114" t="inlineStr">
        <is>
          <t>m</t>
        </is>
      </c>
      <c r="E12" s="14" t="inlineStr">
        <is>
          <t>AUTO: Depth - Sarat</t>
        </is>
      </c>
    </row>
    <row r="13" ht="14.4" customHeight="1" s="144">
      <c r="A13" s="0" t="n">
        <v>8</v>
      </c>
      <c r="B13" s="0" t="inlineStr">
        <is>
          <t>Kondisi Kapal</t>
        </is>
      </c>
      <c r="C13" s="150" t="inlineStr">
        <is>
          <t>Sedang</t>
        </is>
      </c>
      <c r="D13" s="0" t="inlineStr">
        <is>
          <t>-</t>
        </is>
      </c>
      <c r="E13" s="0" t="inlineStr">
        <is>
          <t>Estimasi kondisi kapal</t>
        </is>
      </c>
    </row>
    <row r="14" ht="15" customHeight="1" s="144">
      <c r="A14" s="114" t="n"/>
      <c r="B14" s="115" t="n"/>
      <c r="C14" s="115" t="n"/>
      <c r="D14" s="116" t="n"/>
      <c r="E14" s="14" t="n"/>
    </row>
    <row r="17" ht="15" customHeight="1" s="144">
      <c r="A17" s="112" t="inlineStr">
        <is>
          <t>B. KOEFISIEN OTOMATIS (Berdasarkan Jenis Kapal)</t>
        </is>
      </c>
    </row>
    <row r="18" ht="15" customHeight="1" s="144">
      <c r="A18" s="1" t="inlineStr">
        <is>
          <t>No</t>
        </is>
      </c>
      <c r="B18" s="1" t="inlineStr">
        <is>
          <t>Parameter</t>
        </is>
      </c>
      <c r="C18" s="1" t="inlineStr">
        <is>
          <t>Nilai</t>
        </is>
      </c>
      <c r="D18" s="1" t="inlineStr">
        <is>
          <t>Satuan</t>
        </is>
      </c>
      <c r="E18" s="1" t="inlineStr">
        <is>
          <t>Keterangan</t>
        </is>
      </c>
    </row>
    <row r="19" ht="15" customHeight="1" s="144">
      <c r="A19" s="114" t="inlineStr">
        <is>
          <t>1</t>
        </is>
      </c>
      <c r="B19" s="8" t="inlineStr">
        <is>
          <t>Block Coefficient (Cb)</t>
        </is>
      </c>
      <c r="C19" s="151">
        <f>IFERROR(VLOOKUP(C7,'🔧 VESSEL FACTORS'!$A$5:$H$13,2,FALSE),"")</f>
        <v/>
      </c>
      <c r="D19" s="114" t="inlineStr">
        <is>
          <t>-</t>
        </is>
      </c>
      <c r="E19" s="14" t="inlineStr">
        <is>
          <t>Block Coefficient dari jenis kapal</t>
        </is>
      </c>
    </row>
    <row r="20" ht="15" customHeight="1" s="144">
      <c r="A20" s="114" t="inlineStr">
        <is>
          <t>2</t>
        </is>
      </c>
      <c r="B20" s="8" t="inlineStr">
        <is>
          <t>Faktor Appendage</t>
        </is>
      </c>
      <c r="C20" s="151">
        <f>IFERROR(VLOOKUP(C7,'🔧 VESSEL FACTORS'!$A$5:$H$13,3,FALSE),"")</f>
        <v/>
      </c>
      <c r="D20" s="114" t="inlineStr">
        <is>
          <t>-</t>
        </is>
      </c>
      <c r="E20" s="14" t="inlineStr">
        <is>
          <t>Koreksi appendage (skeg/rudder/bilge keel)</t>
        </is>
      </c>
    </row>
    <row r="21" ht="15" customHeight="1" s="144">
      <c r="A21" s="114" t="inlineStr">
        <is>
          <t>3</t>
        </is>
      </c>
      <c r="B21" s="8" t="inlineStr">
        <is>
          <t>Faktor Topside</t>
        </is>
      </c>
      <c r="C21" s="151">
        <f>IFERROR(VLOOKUP(C7,'🔧 VESSEL FACTORS'!$A$5:$H$13,4,FALSE),"")</f>
        <v/>
      </c>
      <c r="D21" s="114" t="inlineStr">
        <is>
          <t>x</t>
        </is>
      </c>
      <c r="E21" s="14" t="inlineStr">
        <is>
          <t>Faktor luas topside</t>
        </is>
      </c>
    </row>
    <row r="22" ht="16.8" customHeight="1" s="144">
      <c r="A22" s="114" t="inlineStr">
        <is>
          <t>4</t>
        </is>
      </c>
      <c r="B22" s="8" t="inlineStr">
        <is>
          <t>Faktor Bulwark</t>
        </is>
      </c>
      <c r="C22" s="151">
        <f>IFERROR(VLOOKUP(C7,'🔧 VESSEL FACTORS'!$A$5:$H$13,5,FALSE),"")</f>
        <v/>
      </c>
      <c r="D22" s="114" t="inlineStr">
        <is>
          <t>x</t>
        </is>
      </c>
      <c r="E22" s="14" t="inlineStr">
        <is>
          <t>Faktor luas bulwark</t>
        </is>
      </c>
    </row>
    <row r="23" ht="16.8" customHeight="1" s="144">
      <c r="A23" s="114" t="inlineStr">
        <is>
          <t>5</t>
        </is>
      </c>
      <c r="B23" s="8" t="inlineStr">
        <is>
          <t>Faktor Haluan</t>
        </is>
      </c>
      <c r="C23" s="151">
        <f>IFERROR(VLOOKUP(C7,'🔧 VESSEL FACTORS'!$A$5:$H$13,6,FALSE),"")</f>
        <v/>
      </c>
      <c r="D23" s="114" t="inlineStr">
        <is>
          <t>x</t>
        </is>
      </c>
      <c r="E23" s="14" t="inlineStr">
        <is>
          <t>Faktor luas haluan</t>
        </is>
      </c>
    </row>
    <row r="24" ht="15" customHeight="1" s="144">
      <c r="A24" s="114" t="n">
        <v>6</v>
      </c>
      <c r="B24" s="0" t="inlineStr">
        <is>
          <t>Faktor Kondisi</t>
        </is>
      </c>
      <c r="C24" s="152">
        <f>IFERROR(VLOOKUP(C13,'🔧 VESSEL FACTORS'!$I$3:$J$6,2,FALSE),"")</f>
        <v/>
      </c>
      <c r="D24" s="0" t="inlineStr">
        <is>
          <t>x</t>
        </is>
      </c>
      <c r="E24" s="14" t="inlineStr">
        <is>
          <t>Multiplier man-hour</t>
        </is>
      </c>
    </row>
    <row r="27" ht="15" customHeight="1" s="144">
      <c r="A27" s="112" t="inlineStr">
        <is>
          <t>C. PERHITUNGAN DASAR (Otomatis) — Rumus Taylor + Faktor Appendage</t>
        </is>
      </c>
    </row>
    <row r="28" ht="15" customHeight="1" s="144">
      <c r="A28" s="1" t="inlineStr">
        <is>
          <t>No</t>
        </is>
      </c>
      <c r="B28" s="1" t="inlineStr">
        <is>
          <t>Parameter</t>
        </is>
      </c>
      <c r="C28" s="1" t="inlineStr">
        <is>
          <t>Rumus</t>
        </is>
      </c>
      <c r="D28" s="1" t="inlineStr">
        <is>
          <t>Hasil</t>
        </is>
      </c>
      <c r="E28" s="1" t="inlineStr">
        <is>
          <t>Satuan</t>
        </is>
      </c>
    </row>
    <row r="29" ht="15" customHeight="1" s="144">
      <c r="A29" s="114" t="inlineStr">
        <is>
          <t>1</t>
        </is>
      </c>
      <c r="B29" s="8" t="inlineStr">
        <is>
          <t>Girth (Keliling)</t>
        </is>
      </c>
      <c r="C29" s="14" t="inlineStr">
        <is>
          <t>B + 2×T</t>
        </is>
      </c>
      <c r="D29" s="153">
        <f>IFERROR(C9+(2*C11),"")</f>
        <v/>
      </c>
      <c r="E29" s="114" t="inlineStr">
        <is>
          <t>m</t>
        </is>
      </c>
    </row>
    <row r="30" ht="15" customHeight="1" s="144">
      <c r="A30" s="114" t="inlineStr">
        <is>
          <t>2</t>
        </is>
      </c>
      <c r="B30" s="8" t="inlineStr">
        <is>
          <t>WSA (Wet Surface Area)</t>
        </is>
      </c>
      <c r="C30" s="14" t="inlineStr">
        <is>
          <t>Taylor: [3.223·√(V·L)+0.46·L·B] × F_App</t>
        </is>
      </c>
      <c r="D30" s="153">
        <f>IFERROR((3.223*SQRT((C8*C9*C11*C19)*C8)+0.46*C8*C9)*C20,"")</f>
        <v/>
      </c>
      <c r="E30" s="114" t="inlineStr">
        <is>
          <t>m²</t>
        </is>
      </c>
    </row>
    <row r="31" ht="16.8" customHeight="1" s="144">
      <c r="A31" s="114" t="inlineStr">
        <is>
          <t>3</t>
        </is>
      </c>
      <c r="B31" s="8" t="inlineStr">
        <is>
          <t>Total Luasan B&amp;P (est)</t>
        </is>
      </c>
      <c r="C31" s="14" t="inlineStr">
        <is>
          <t>WSA_uw + L·F·F_ts + L·B + B·F + B·F·F_hal/2 + L·1·4 (bulwark)</t>
        </is>
      </c>
      <c r="D31" s="153">
        <f>IFERROR(D30 + C8*C12*C21 + C8*C9 + C9*C12 + (C9*C12/2)*C23 + C8*1.0*4, "")</f>
        <v/>
      </c>
      <c r="E31" s="114" t="inlineStr">
        <is>
          <t>m²</t>
        </is>
      </c>
    </row>
    <row r="32" ht="16.8" customHeight="1" s="144">
      <c r="A32" s="114" t="inlineStr">
        <is>
          <t>4</t>
        </is>
      </c>
      <c r="B32" s="8" t="inlineStr">
        <is>
          <t>Man-Hour B&amp;P (est)</t>
        </is>
      </c>
      <c r="C32" s="14" t="inlineStr">
        <is>
          <t>Luasan × 0.15 MH/m² × Faktor_Kondisi</t>
        </is>
      </c>
      <c r="D32" s="153">
        <f>IFERROR(D31*0.15*C24,"")</f>
        <v/>
      </c>
      <c r="E32" s="114" t="inlineStr">
        <is>
          <t>MH</t>
        </is>
      </c>
    </row>
    <row r="33" ht="16.8" customHeight="1" s="144">
      <c r="A33" s="114" t="inlineStr">
        <is>
          <t>5</t>
        </is>
      </c>
      <c r="B33" s="8" t="inlineStr">
        <is>
          <t>Man-Day B&amp;P</t>
        </is>
      </c>
      <c r="C33" s="14" t="inlineStr">
        <is>
          <t>MH / 8</t>
        </is>
      </c>
      <c r="D33" s="153">
        <f>IFERROR(D32/8,"")</f>
        <v/>
      </c>
      <c r="E33" s="114" t="inlineStr">
        <is>
          <t>MD</t>
        </is>
      </c>
    </row>
  </sheetData>
  <mergeCells count="6">
    <mergeCell ref="A2:I2"/>
    <mergeCell ref="G5:I5"/>
    <mergeCell ref="A4:D4"/>
    <mergeCell ref="A1:I1"/>
    <mergeCell ref="G4:I4"/>
    <mergeCell ref="A14:D14"/>
  </mergeCells>
  <dataValidations count="2">
    <dataValidation sqref="C11" showDropDown="0" showInputMessage="0" showErrorMessage="0" allowBlank="1" type="list">
      <formula1>"Baik,Sedang,Buruk,Sangat Buruk"</formula1>
    </dataValidation>
    <dataValidation sqref="C7" showDropDown="0" showInputMessage="0" showErrorMessage="0" allowBlank="1" errorTitle="Input Error" error="Pilih jenis kapal dari daftar" type="list">
      <formula1>"Tongkang/Barge,Tugboat,Cargo Ship,Tanker,Bulk Carrier,Passenger Ship,Fishing Vessel,LCT/Landing Craft,Supply Vessel"</formula1>
    </dataValidation>
  </dataValidation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30" customWidth="1" style="144" min="1" max="1"/>
    <col width="15" customWidth="1" style="144" min="2" max="2"/>
    <col width="45" customWidth="1" style="144" min="3" max="3"/>
    <col width="8" customWidth="1" style="144" min="4" max="4"/>
    <col width="40" customWidth="1" style="144" min="5" max="5"/>
    <col width="30" customWidth="1" style="144" min="6" max="6"/>
  </cols>
  <sheetData>
    <row r="1" ht="26" customHeight="1" s="144">
      <c r="A1" s="154" t="inlineStr">
        <is>
          <t>📖 METODOLOGI &amp; BASIS PERHITUNGAN</t>
        </is>
      </c>
    </row>
    <row r="2">
      <c r="A2" s="155" t="inlineStr">
        <is>
          <t>Dokumen teknis penjelasan rumus, asumsi, dan referensi yang dipakai di seluruh kalkulator. WAJIB dibaca sebelum menggunakan hasil untuk quotation.</t>
        </is>
      </c>
    </row>
    <row r="4" ht="20" customHeight="1" s="144">
      <c r="A4" s="156" t="inlineStr">
        <is>
          <t>1. GEOMETRI KAPAL — Hydrostatics</t>
        </is>
      </c>
    </row>
    <row r="5">
      <c r="A5" s="157" t="inlineStr">
        <is>
          <t>Parameter</t>
        </is>
      </c>
      <c r="B5" s="157" t="inlineStr">
        <is>
          <t>Simbol</t>
        </is>
      </c>
      <c r="C5" s="157" t="inlineStr">
        <is>
          <t>Rumus</t>
        </is>
      </c>
      <c r="D5" s="157" t="inlineStr">
        <is>
          <t>Satuan</t>
        </is>
      </c>
      <c r="E5" s="157" t="inlineStr">
        <is>
          <t>Basis / Referensi</t>
        </is>
      </c>
      <c r="F5" s="157" t="inlineStr">
        <is>
          <t>Catatan</t>
        </is>
      </c>
    </row>
    <row r="6" ht="30" customHeight="1" s="144">
      <c r="A6" s="158" t="inlineStr">
        <is>
          <t>Sarat desain</t>
        </is>
      </c>
      <c r="B6" s="158" t="inlineStr">
        <is>
          <t>T</t>
        </is>
      </c>
      <c r="C6" s="158" t="inlineStr">
        <is>
          <t>T = Depth × Faktor_Draft(jenis kapal)</t>
        </is>
      </c>
      <c r="D6" s="158" t="inlineStr">
        <is>
          <t>m</t>
        </is>
      </c>
      <c r="E6" s="158" t="inlineStr">
        <is>
          <t>Tabel VESSEL FACTORS kol G (rasio T/D empiris per jenis)</t>
        </is>
      </c>
      <c r="F6" s="158" t="inlineStr">
        <is>
          <t>Tidak tetap; turunkan dari draft mark aktual bila ada</t>
        </is>
      </c>
    </row>
    <row r="7" ht="30" customHeight="1" s="144">
      <c r="A7" s="158" t="inlineStr">
        <is>
          <t>Freeboard</t>
        </is>
      </c>
      <c r="B7" s="158" t="inlineStr">
        <is>
          <t>f</t>
        </is>
      </c>
      <c r="C7" s="158" t="inlineStr">
        <is>
          <t>f = D − T</t>
        </is>
      </c>
      <c r="D7" s="158" t="inlineStr">
        <is>
          <t>m</t>
        </is>
      </c>
      <c r="E7" s="158" t="inlineStr">
        <is>
          <t>IMO Load Line Convention (ILLC 1966)</t>
        </is>
      </c>
      <c r="F7" s="158" t="inlineStr">
        <is>
          <t>Digunakan untuk tinggi topside/transom</t>
        </is>
      </c>
    </row>
    <row r="8" ht="30" customHeight="1" s="144">
      <c r="A8" s="158" t="inlineStr">
        <is>
          <t>Block Coefficient</t>
        </is>
      </c>
      <c r="B8" s="158" t="inlineStr">
        <is>
          <t>Cb</t>
        </is>
      </c>
      <c r="C8" s="158" t="inlineStr">
        <is>
          <t>Cb = ∇ / (L·B·T)</t>
        </is>
      </c>
      <c r="D8" s="158" t="inlineStr">
        <is>
          <t>-</t>
        </is>
      </c>
      <c r="E8" s="158" t="inlineStr">
        <is>
          <t>Lookup per jenis (Barrass &amp; Derrett, Ship Stability, 2006)</t>
        </is>
      </c>
      <c r="F8" s="158" t="inlineStr">
        <is>
          <t>Cb tipikal: Tug 0.55; Cargo 0.65; Tanker 0.78; Barge 0.90</t>
        </is>
      </c>
    </row>
    <row r="9" ht="30" customHeight="1" s="144">
      <c r="A9" s="158" t="inlineStr">
        <is>
          <t>Girth midship</t>
        </is>
      </c>
      <c r="B9" s="158" t="inlineStr">
        <is>
          <t>G</t>
        </is>
      </c>
      <c r="C9" s="158" t="inlineStr">
        <is>
          <t>G = B + 2T</t>
        </is>
      </c>
      <c r="D9" s="158" t="inlineStr">
        <is>
          <t>m</t>
        </is>
      </c>
      <c r="E9" s="158" t="inlineStr">
        <is>
          <t>Approx. keliling penampang lambung midship</t>
        </is>
      </c>
      <c r="F9" s="158" t="inlineStr">
        <is>
          <t>Input sederhana untuk estimasi WSA</t>
        </is>
      </c>
    </row>
    <row r="10" ht="30" customHeight="1" s="144">
      <c r="A10" s="158" t="inlineStr">
        <is>
          <t>WSA Underwater</t>
        </is>
      </c>
      <c r="B10" s="158" t="inlineStr">
        <is>
          <t>S</t>
        </is>
      </c>
      <c r="C10" s="158" t="inlineStr">
        <is>
          <t>S = [3.223·√(∇·L) + 0.46·L·B] × F_Appendage</t>
        </is>
      </c>
      <c r="D10" s="158" t="inlineStr">
        <is>
          <t>m²</t>
        </is>
      </c>
      <c r="E10" s="158" t="inlineStr">
        <is>
          <t>Formula Taylor (1893) × faktor appendage</t>
        </is>
      </c>
      <c r="F10" s="158" t="inlineStr">
        <is>
          <t>Dikalibrasi vs data aktual TB. UVM 88: Taylor 351 × 1.10 = 386 m² vs actual 388 m² (Δ 0.5%)</t>
        </is>
      </c>
    </row>
    <row r="11" ht="30" customHeight="1" s="144">
      <c r="A11" s="158" t="inlineStr">
        <is>
          <t>Volume (Simpson)</t>
        </is>
      </c>
      <c r="B11" s="158" t="inlineStr">
        <is>
          <t>∇</t>
        </is>
      </c>
      <c r="C11" s="158" t="inlineStr">
        <is>
          <t>∇ = (h/3)·Σ(A(x)·SM)</t>
        </is>
      </c>
      <c r="D11" s="158" t="inlineStr">
        <is>
          <t>m³</t>
        </is>
      </c>
      <c r="E11" s="158" t="inlineStr">
        <is>
          <t>Simpson's 1/3 rule, 11 stasiun (10 interval genap)</t>
        </is>
      </c>
      <c r="F11" s="158" t="inlineStr">
        <is>
          <t>SM = 1,4,2,4,2,4,2,4,2,4,1 ; h = L/10</t>
        </is>
      </c>
    </row>
    <row r="12" ht="30" customHeight="1" s="144">
      <c r="A12" s="158" t="inlineStr">
        <is>
          <t>Displacement</t>
        </is>
      </c>
      <c r="B12" s="158" t="inlineStr">
        <is>
          <t>Δ</t>
        </is>
      </c>
      <c r="C12" s="158" t="inlineStr">
        <is>
          <t>Δ = ∇ × 1.025</t>
        </is>
      </c>
      <c r="D12" s="158" t="inlineStr">
        <is>
          <t>ton</t>
        </is>
      </c>
      <c r="E12" s="158" t="inlineStr">
        <is>
          <t>Densitas air laut ρ = 1.025 t/m³ (IMO)</t>
        </is>
      </c>
      <c r="F12" s="158" t="inlineStr">
        <is>
          <t>Gunakan ρ = 1.000 untuk air tawar</t>
        </is>
      </c>
    </row>
    <row r="14" ht="20" customHeight="1" s="144">
      <c r="A14" s="156" t="inlineStr">
        <is>
          <t>2. SHAPE GENERATOR — Fungsi f(x/L)</t>
        </is>
      </c>
    </row>
    <row r="15">
      <c r="A15" s="157" t="inlineStr">
        <is>
          <t>Zona</t>
        </is>
      </c>
      <c r="B15" s="157" t="inlineStr">
        <is>
          <t>Rentang x/L</t>
        </is>
      </c>
      <c r="C15" s="157" t="inlineStr">
        <is>
          <t>f(x/L)</t>
        </is>
      </c>
      <c r="D15" s="157" t="inlineStr">
        <is>
          <t>Keterangan</t>
        </is>
      </c>
      <c r="E15" s="157" t="inlineStr"/>
      <c r="F15" s="157" t="inlineStr"/>
    </row>
    <row r="16" ht="22" customHeight="1" s="144">
      <c r="A16" s="158" t="inlineStr">
        <is>
          <t>Stern ke Midship</t>
        </is>
      </c>
      <c r="B16" s="158" t="inlineStr">
        <is>
          <t>0 ≤ x/L ≤ 0.2</t>
        </is>
      </c>
      <c r="C16" s="158" t="inlineStr">
        <is>
          <t>f = F_stern + (F_mid − F_stern)·(x/L)/0.2</t>
        </is>
      </c>
      <c r="D16" s="158" t="inlineStr">
        <is>
          <t>Interpolasi linear stern → midship</t>
        </is>
      </c>
      <c r="E16" s="159" t="n"/>
      <c r="F16" s="160" t="n"/>
    </row>
    <row r="17" ht="22" customHeight="1" s="144">
      <c r="A17" s="158" t="inlineStr">
        <is>
          <t>Midship</t>
        </is>
      </c>
      <c r="B17" s="158" t="inlineStr">
        <is>
          <t>0.2 ≤ x/L ≤ 0.8</t>
        </is>
      </c>
      <c r="C17" s="158" t="inlineStr">
        <is>
          <t>f = F_midship</t>
        </is>
      </c>
      <c r="D17" s="158" t="inlineStr">
        <is>
          <t>Bagian paralel (body amidships)</t>
        </is>
      </c>
      <c r="E17" s="159" t="n"/>
      <c r="F17" s="160" t="n"/>
    </row>
    <row r="18" ht="22" customHeight="1" s="144">
      <c r="A18" s="158" t="inlineStr">
        <is>
          <t>Midship ke Bow</t>
        </is>
      </c>
      <c r="B18" s="158" t="inlineStr">
        <is>
          <t>0.8 ≤ x/L ≤ 1.0</t>
        </is>
      </c>
      <c r="C18" s="158" t="inlineStr">
        <is>
          <t>f = F_mid − (F_mid − F_bow)·(x/L − 0.8)/0.2</t>
        </is>
      </c>
      <c r="D18" s="158" t="inlineStr">
        <is>
          <t>Interpolasi linear midship → bow</t>
        </is>
      </c>
      <c r="E18" s="159" t="n"/>
      <c r="F18" s="160" t="n"/>
    </row>
    <row r="19">
      <c r="A19" s="161" t="inlineStr">
        <is>
          <t>F_bow, F_stern, F_midship diambil otomatis dari tabel Type System (sheet 🔬 SIMPSON) berdasarkan Jenis Kapal. Perubahan jenis → shape function berubah otomatis.</t>
        </is>
      </c>
    </row>
    <row r="22" ht="20" customHeight="1" s="144">
      <c r="A22" s="156" t="inlineStr">
        <is>
          <t>3. LUASAN BLASTING &amp; PAINTING</t>
        </is>
      </c>
    </row>
    <row r="23">
      <c r="A23" s="157" t="inlineStr">
        <is>
          <t>Komponen</t>
        </is>
      </c>
      <c r="B23" s="157" t="inlineStr">
        <is>
          <t>Rumus</t>
        </is>
      </c>
      <c r="C23" s="157" t="inlineStr">
        <is>
          <t>Basis</t>
        </is>
      </c>
      <c r="D23" s="157" t="inlineStr"/>
      <c r="E23" s="157" t="inlineStr"/>
      <c r="F23" s="157" t="inlineStr"/>
    </row>
    <row r="24" ht="22" customHeight="1" s="144">
      <c r="A24" s="158" t="inlineStr">
        <is>
          <t>Lambung Bawah (underwater)</t>
        </is>
      </c>
      <c r="B24" s="158" t="inlineStr">
        <is>
          <t>Taylor × F_Appendage (atau Simpson × F_App)</t>
        </is>
      </c>
      <c r="C24" s="158" t="inlineStr">
        <is>
          <t>Integrasi numerik; akurasi 90-95%</t>
        </is>
      </c>
      <c r="D24" s="159" t="n"/>
      <c r="E24" s="159" t="n"/>
      <c r="F24" s="160" t="n"/>
    </row>
    <row r="25" ht="22" customHeight="1" s="144">
      <c r="A25" s="158" t="inlineStr">
        <is>
          <t>Skeg (Tugboat only)</t>
        </is>
      </c>
      <c r="B25" s="158" t="inlineStr">
        <is>
          <t>0.15·L × 0.8·T × 4</t>
        </is>
      </c>
      <c r="C25" s="158" t="inlineStr">
        <is>
          <t>Auto untuk Tugboat; untuk jenis lain = 0</t>
        </is>
      </c>
      <c r="D25" s="159" t="n"/>
      <c r="E25" s="159" t="n"/>
      <c r="F25" s="160" t="n"/>
    </row>
    <row r="26" ht="22" customHeight="1" s="144">
      <c r="A26" s="158" t="inlineStr">
        <is>
          <t>Topside Lambung</t>
        </is>
      </c>
      <c r="B26" s="158" t="inlineStr">
        <is>
          <t>L × Freeboard × 2 sisi</t>
        </is>
      </c>
      <c r="C26" s="158" t="inlineStr">
        <is>
          <t>Input dari INPUT DATA (dinamis)</t>
        </is>
      </c>
      <c r="D26" s="159" t="n"/>
      <c r="E26" s="159" t="n"/>
      <c r="F26" s="160" t="n"/>
    </row>
    <row r="27" ht="22" customHeight="1" s="144">
      <c r="A27" s="158" t="inlineStr">
        <is>
          <t>Transom</t>
        </is>
      </c>
      <c r="B27" s="158" t="inlineStr">
        <is>
          <t>B × Freeboard × 1</t>
        </is>
      </c>
      <c r="C27" s="158" t="inlineStr">
        <is>
          <t>Full belakang</t>
        </is>
      </c>
      <c r="D27" s="159" t="n"/>
      <c r="E27" s="159" t="n"/>
      <c r="F27" s="160" t="n"/>
    </row>
    <row r="28" ht="22" customHeight="1" s="144">
      <c r="A28" s="158" t="inlineStr">
        <is>
          <t>Haluan (trapesium)</t>
        </is>
      </c>
      <c r="B28" s="158" t="inlineStr">
        <is>
          <t>(B + B·F_haluan)/2 × Freeboard × 0.5</t>
        </is>
      </c>
      <c r="C28" s="158" t="inlineStr">
        <is>
          <t>F_haluan dari tabel VESSEL FACTORS</t>
        </is>
      </c>
      <c r="D28" s="159" t="n"/>
      <c r="E28" s="159" t="n"/>
      <c r="F28" s="160" t="n"/>
    </row>
    <row r="29" ht="22" customHeight="1" s="144">
      <c r="A29" s="158" t="inlineStr">
        <is>
          <t>Bulwark</t>
        </is>
      </c>
      <c r="B29" s="158" t="inlineStr">
        <is>
          <t>L × 1.0m × 2 sisi × 2 face (inner+outer)</t>
        </is>
      </c>
      <c r="C29" s="158" t="inlineStr">
        <is>
          <t>Asumsi tinggi bulwark 1.0 m (sesuaikan bila perlu)</t>
        </is>
      </c>
      <c r="D29" s="159" t="n"/>
      <c r="E29" s="159" t="n"/>
      <c r="F29" s="160" t="n"/>
    </row>
    <row r="30" ht="22" customHeight="1" s="144">
      <c r="A30" s="158" t="inlineStr">
        <is>
          <t>Main Deck</t>
        </is>
      </c>
      <c r="B30" s="158" t="inlineStr">
        <is>
          <t>L × B</t>
        </is>
      </c>
      <c r="C30" s="158" t="inlineStr">
        <is>
          <t>Plan view area</t>
        </is>
      </c>
      <c r="D30" s="159" t="n"/>
      <c r="E30" s="159" t="n"/>
      <c r="F30" s="160" t="n"/>
    </row>
    <row r="31" ht="22" customHeight="1" s="144">
      <c r="A31" s="158" t="inlineStr">
        <is>
          <t>Internal Deck</t>
        </is>
      </c>
      <c r="B31" s="158" t="inlineStr">
        <is>
          <t>0.4L × 0.6B (default)</t>
        </is>
      </c>
      <c r="C31" s="158" t="inlineStr">
        <is>
          <t>Estimasi cargo hold/ER; override bila tersedia as-built</t>
        </is>
      </c>
      <c r="D31" s="159" t="n"/>
      <c r="E31" s="159" t="n"/>
      <c r="F31" s="160" t="n"/>
    </row>
    <row r="32" ht="22" customHeight="1" s="144">
      <c r="A32" s="158" t="inlineStr">
        <is>
          <t>Superstructure (W/H, Bridge, Lain)</t>
        </is>
      </c>
      <c r="B32" s="158" t="inlineStr">
        <is>
          <t>2·(P+L)·H + P·L (5 sisi)</t>
        </is>
      </c>
      <c r="C32" s="158" t="inlineStr">
        <is>
          <t>Input dimensi P,L,H dari survey</t>
        </is>
      </c>
      <c r="D32" s="159" t="n"/>
      <c r="E32" s="159" t="n"/>
      <c r="F32" s="160" t="n"/>
    </row>
    <row r="33" ht="22" customHeight="1" s="144">
      <c r="A33" s="158" t="inlineStr">
        <is>
          <t>Tangki Internal</t>
        </is>
      </c>
      <c r="B33" s="158" t="inlineStr">
        <is>
          <t>2·(P·L + P·H + L·H) × (tiap tangki)</t>
        </is>
      </c>
      <c r="C33" s="158" t="inlineStr">
        <is>
          <t>6 sisi internal dari bulkhead; input dimensi survey</t>
        </is>
      </c>
      <c r="D33" s="159" t="n"/>
      <c r="E33" s="159" t="n"/>
      <c r="F33" s="160" t="n"/>
    </row>
    <row r="35" ht="20" customHeight="1" s="144">
      <c r="A35" s="156" t="inlineStr">
        <is>
          <t>4. PRODUKTIVITAS &amp; MAN-HOUR</t>
        </is>
      </c>
    </row>
    <row r="36">
      <c r="A36" s="157" t="inlineStr">
        <is>
          <t>Pekerjaan</t>
        </is>
      </c>
      <c r="B36" s="157" t="inlineStr">
        <is>
          <t>Rate</t>
        </is>
      </c>
      <c r="C36" s="157" t="inlineStr">
        <is>
          <t>Satuan</t>
        </is>
      </c>
      <c r="D36" s="157" t="inlineStr">
        <is>
          <t>Basis</t>
        </is>
      </c>
      <c r="E36" s="157" t="inlineStr"/>
      <c r="F36" s="157" t="inlineStr"/>
    </row>
    <row r="37" ht="22" customHeight="1" s="144">
      <c r="A37" s="158" t="inlineStr">
        <is>
          <t>Blasting + Painting (SA 2.0, 2-coat)</t>
        </is>
      </c>
      <c r="B37" s="158" t="inlineStr">
        <is>
          <t>0.15</t>
        </is>
      </c>
      <c r="C37" s="158" t="inlineStr">
        <is>
          <t>MH/m²</t>
        </is>
      </c>
      <c r="D37" s="158" t="inlineStr">
        <is>
          <t>Standar industri galangan Asia Tenggara (reviu SNI &amp; OCIMF)</t>
        </is>
      </c>
      <c r="E37" s="159" t="n"/>
      <c r="F37" s="160" t="n"/>
    </row>
    <row r="38" ht="22" customHeight="1" s="144">
      <c r="A38" s="158" t="inlineStr">
        <is>
          <t>Piping 1/2" (15mm) — joint</t>
        </is>
      </c>
      <c r="B38" s="158" t="inlineStr">
        <is>
          <t>0.50</t>
        </is>
      </c>
      <c r="C38" s="158" t="inlineStr">
        <is>
          <t>MH/joint</t>
        </is>
      </c>
      <c r="D38" s="158" t="inlineStr">
        <is>
          <t>Standar TCAEMM / ABS Productivity Standards</t>
        </is>
      </c>
      <c r="E38" s="159" t="n"/>
      <c r="F38" s="160" t="n"/>
    </row>
    <row r="39" ht="22" customHeight="1" s="144">
      <c r="A39" s="158" t="inlineStr">
        <is>
          <t>Piping 2" (50mm) — joint</t>
        </is>
      </c>
      <c r="B39" s="158" t="inlineStr">
        <is>
          <t>1.20</t>
        </is>
      </c>
      <c r="C39" s="158" t="inlineStr">
        <is>
          <t>MH/joint</t>
        </is>
      </c>
      <c r="D39" s="158" t="inlineStr">
        <is>
          <t>TCAEMM</t>
        </is>
      </c>
      <c r="E39" s="159" t="n"/>
      <c r="F39" s="160" t="n"/>
    </row>
    <row r="40" ht="22" customHeight="1" s="144">
      <c r="A40" s="158" t="inlineStr">
        <is>
          <t>Piping 6" (150mm) — joint</t>
        </is>
      </c>
      <c r="B40" s="158" t="inlineStr">
        <is>
          <t>3.50</t>
        </is>
      </c>
      <c r="C40" s="158" t="inlineStr">
        <is>
          <t>MH/joint</t>
        </is>
      </c>
      <c r="D40" s="158" t="inlineStr">
        <is>
          <t>TCAEMM</t>
        </is>
      </c>
      <c r="E40" s="159" t="n"/>
      <c r="F40" s="160" t="n"/>
    </row>
    <row r="41" ht="22" customHeight="1" s="144">
      <c r="A41" s="158" t="inlineStr">
        <is>
          <t>Piping 12" (300mm) — joint</t>
        </is>
      </c>
      <c r="B41" s="158" t="inlineStr">
        <is>
          <t>8.00</t>
        </is>
      </c>
      <c r="C41" s="158" t="inlineStr">
        <is>
          <t>MH/joint</t>
        </is>
      </c>
      <c r="D41" s="158" t="inlineStr">
        <is>
          <t>TCAEMM</t>
        </is>
      </c>
      <c r="E41" s="159" t="n"/>
      <c r="F41" s="160" t="n"/>
    </row>
    <row r="42" ht="22" customHeight="1" s="144">
      <c r="A42" s="158" t="inlineStr">
        <is>
          <t>Replating baja</t>
        </is>
      </c>
      <c r="B42" s="158" t="inlineStr">
        <is>
          <t>40</t>
        </is>
      </c>
      <c r="C42" s="158" t="inlineStr">
        <is>
          <t>kg/MH</t>
        </is>
      </c>
      <c r="D42" s="158" t="inlineStr">
        <is>
          <t>Produktivitas fabrikasi+ereksi+welding kapal repair</t>
        </is>
      </c>
      <c r="E42" s="159" t="n"/>
      <c r="F42" s="160" t="n"/>
    </row>
    <row r="43" ht="22" customHeight="1" s="144">
      <c r="A43" s="158" t="inlineStr">
        <is>
          <t>Faktor Kondisi Baik</t>
        </is>
      </c>
      <c r="B43" s="158" t="inlineStr">
        <is>
          <t>1.00</t>
        </is>
      </c>
      <c r="C43" s="158" t="inlineStr">
        <is>
          <t>×</t>
        </is>
      </c>
      <c r="D43" s="158" t="inlineStr">
        <is>
          <t>Kapal terawat, korosi minimal</t>
        </is>
      </c>
      <c r="E43" s="159" t="n"/>
      <c r="F43" s="160" t="n"/>
    </row>
    <row r="44" ht="22" customHeight="1" s="144">
      <c r="A44" s="158" t="inlineStr">
        <is>
          <t>Faktor Kondisi Sedang</t>
        </is>
      </c>
      <c r="B44" s="158" t="inlineStr">
        <is>
          <t>1.30</t>
        </is>
      </c>
      <c r="C44" s="158" t="inlineStr">
        <is>
          <t>×</t>
        </is>
      </c>
      <c r="D44" s="158" t="inlineStr">
        <is>
          <t>Persiapan surface lebih (desilting, sandblast lebih lama)</t>
        </is>
      </c>
      <c r="E44" s="159" t="n"/>
      <c r="F44" s="160" t="n"/>
    </row>
    <row r="45" ht="22" customHeight="1" s="144">
      <c r="A45" s="158" t="inlineStr">
        <is>
          <t>Faktor Kondisi Buruk</t>
        </is>
      </c>
      <c r="B45" s="158" t="inlineStr">
        <is>
          <t>1.50</t>
        </is>
      </c>
      <c r="C45" s="158" t="inlineStr">
        <is>
          <t>×</t>
        </is>
      </c>
      <c r="D45" s="158" t="inlineStr">
        <is>
          <t>Korosi berat</t>
        </is>
      </c>
      <c r="E45" s="159" t="n"/>
      <c r="F45" s="160" t="n"/>
    </row>
    <row r="46" ht="22" customHeight="1" s="144">
      <c r="A46" s="158" t="inlineStr">
        <is>
          <t>Faktor Kondisi Sangat Buruk</t>
        </is>
      </c>
      <c r="B46" s="158" t="inlineStr">
        <is>
          <t>2.00</t>
        </is>
      </c>
      <c r="C46" s="158" t="inlineStr">
        <is>
          <t>×</t>
        </is>
      </c>
      <c r="D46" s="158" t="inlineStr">
        <is>
          <t>Perbaikan ekstensif</t>
        </is>
      </c>
      <c r="E46" s="159" t="n"/>
      <c r="F46" s="160" t="n"/>
    </row>
    <row r="47" ht="22" customHeight="1" s="144">
      <c r="A47" s="158" t="inlineStr">
        <is>
          <t>Man-Day conversion</t>
        </is>
      </c>
      <c r="B47" s="158" t="inlineStr">
        <is>
          <t>1 MD = 8 MH</t>
        </is>
      </c>
      <c r="C47" s="158" t="inlineStr"/>
      <c r="D47" s="158" t="inlineStr">
        <is>
          <t>Standar kerja 8 jam/hari</t>
        </is>
      </c>
      <c r="E47" s="159" t="n"/>
      <c r="F47" s="160" t="n"/>
    </row>
    <row r="49" ht="20" customHeight="1" s="144">
      <c r="A49" s="156" t="inlineStr">
        <is>
          <t>5. PERHITUNGAN BERAT MATERIAL (REPLATING)</t>
        </is>
      </c>
    </row>
    <row r="50">
      <c r="A50" s="157" t="inlineStr">
        <is>
          <t>Parameter</t>
        </is>
      </c>
      <c r="B50" s="157" t="inlineStr">
        <is>
          <t>Rumus</t>
        </is>
      </c>
      <c r="C50" s="157" t="inlineStr">
        <is>
          <t>Basis</t>
        </is>
      </c>
      <c r="D50" s="157" t="inlineStr"/>
      <c r="E50" s="157" t="inlineStr"/>
      <c r="F50" s="157" t="inlineStr"/>
    </row>
    <row r="51" ht="22" customHeight="1" s="144">
      <c r="A51" s="158" t="inlineStr">
        <is>
          <t>Densitas baja</t>
        </is>
      </c>
      <c r="B51" s="158" t="inlineStr">
        <is>
          <t>ρ = 7.85 g/cm³</t>
        </is>
      </c>
      <c r="C51" s="158" t="inlineStr">
        <is>
          <t>Standar baja karbon ABS/BKI</t>
        </is>
      </c>
      <c r="D51" s="159" t="n"/>
      <c r="E51" s="159" t="n"/>
      <c r="F51" s="160" t="n"/>
    </row>
    <row r="52" ht="22" customHeight="1" s="144">
      <c r="A52" s="158" t="inlineStr">
        <is>
          <t>Berat plat teoritis</t>
        </is>
      </c>
      <c r="B52" s="158" t="inlineStr">
        <is>
          <t>W = Panjang × Lebar × Tebal × ρ</t>
        </is>
      </c>
      <c r="C52" s="158" t="inlineStr">
        <is>
          <t>Konversi satuan konsisten</t>
        </is>
      </c>
      <c r="D52" s="159" t="n"/>
      <c r="E52" s="159" t="n"/>
      <c r="F52" s="160" t="n"/>
    </row>
    <row r="53" ht="22" customHeight="1" s="144">
      <c r="A53" s="158" t="inlineStr">
        <is>
          <t>Loss factor (cut-off + cropping)</t>
        </is>
      </c>
      <c r="B53" s="158" t="inlineStr">
        <is>
          <t>Lebar &lt; 0.6 m → 1.20; ≥ 0.6 m → 1.05</t>
        </is>
      </c>
      <c r="C53" s="158" t="inlineStr">
        <is>
          <t>IACS UR M47 + pengalaman galangan</t>
        </is>
      </c>
      <c r="D53" s="159" t="n"/>
      <c r="E53" s="159" t="n"/>
      <c r="F53" s="160" t="n"/>
    </row>
    <row r="54" ht="22" customHeight="1" s="144">
      <c r="A54" s="158" t="inlineStr">
        <is>
          <t>Berat aktual</t>
        </is>
      </c>
      <c r="B54" s="158" t="inlineStr">
        <is>
          <t>W_aktual = W × Loss × Qty</t>
        </is>
      </c>
      <c r="C54" s="158" t="inlineStr">
        <is>
          <t>Untuk quotation material</t>
        </is>
      </c>
      <c r="D54" s="159" t="n"/>
      <c r="E54" s="159" t="n"/>
      <c r="F54" s="160" t="n"/>
    </row>
    <row r="56" ht="20" customHeight="1" s="144">
      <c r="A56" s="156" t="inlineStr">
        <is>
          <t>6. VALIDASI ENGINEERING (Sheet 🔬 SIMPSON)</t>
        </is>
      </c>
    </row>
    <row r="57">
      <c r="A57" s="157" t="inlineStr">
        <is>
          <t>Check</t>
        </is>
      </c>
      <c r="B57" s="157" t="inlineStr">
        <is>
          <t>Threshold</t>
        </is>
      </c>
      <c r="C57" s="157" t="inlineStr">
        <is>
          <t>Tujuan</t>
        </is>
      </c>
      <c r="D57" s="157" t="inlineStr"/>
      <c r="E57" s="157" t="inlineStr"/>
      <c r="F57" s="157" t="inlineStr"/>
    </row>
    <row r="58" ht="22" customHeight="1" s="144">
      <c r="A58" s="158" t="inlineStr">
        <is>
          <t>Simpson vs Parametrik (Volume)</t>
        </is>
      </c>
      <c r="B58" s="158" t="inlineStr">
        <is>
          <t>error &lt; 5%</t>
        </is>
      </c>
      <c r="C58" s="158" t="inlineStr">
        <is>
          <t>Konsistensi integrasi numerik vs L·B·T·Cb</t>
        </is>
      </c>
      <c r="D58" s="159" t="n"/>
      <c r="E58" s="159" t="n"/>
      <c r="F58" s="160" t="n"/>
    </row>
    <row r="59" ht="22" customHeight="1" s="144">
      <c r="A59" s="158" t="inlineStr">
        <is>
          <t>Cb Range</t>
        </is>
      </c>
      <c r="B59" s="158" t="inlineStr">
        <is>
          <t>0.5 – 0.95</t>
        </is>
      </c>
      <c r="C59" s="158" t="inlineStr">
        <is>
          <t>Cb di luar range = input error</t>
        </is>
      </c>
      <c r="D59" s="159" t="n"/>
      <c r="E59" s="159" t="n"/>
      <c r="F59" s="160" t="n"/>
    </row>
    <row r="60" ht="22" customHeight="1" s="144">
      <c r="A60" s="158" t="inlineStr">
        <is>
          <t>L/B Ratio</t>
        </is>
      </c>
      <c r="B60" s="158" t="inlineStr">
        <is>
          <t>3 – 10</t>
        </is>
      </c>
      <c r="C60" s="158" t="inlineStr">
        <is>
          <t>Rasio langsing/gemuk kapal normal</t>
        </is>
      </c>
      <c r="D60" s="159" t="n"/>
      <c r="E60" s="159" t="n"/>
      <c r="F60" s="160" t="n"/>
    </row>
    <row r="61" ht="22" customHeight="1" s="144">
      <c r="A61" s="158" t="inlineStr">
        <is>
          <t>B/T Ratio</t>
        </is>
      </c>
      <c r="B61" s="158" t="inlineStr">
        <is>
          <t>2 – 5</t>
        </is>
      </c>
      <c r="C61" s="158" t="inlineStr">
        <is>
          <t>Stabilitas dan draft realistis</t>
        </is>
      </c>
      <c r="D61" s="159" t="n"/>
      <c r="E61" s="159" t="n"/>
      <c r="F61" s="160" t="n"/>
    </row>
    <row r="62" ht="22" customHeight="1" s="144">
      <c r="A62" s="158" t="inlineStr">
        <is>
          <t>Shape Continuity</t>
        </is>
      </c>
      <c r="B62" s="158" t="inlineStr">
        <is>
          <t>max-min f(x/L) &lt; 0.8</t>
        </is>
      </c>
      <c r="C62" s="158" t="inlineStr">
        <is>
          <t>Hull harus smooth, bukan step-function</t>
        </is>
      </c>
      <c r="D62" s="159" t="n"/>
      <c r="E62" s="159" t="n"/>
      <c r="F62" s="160" t="n"/>
    </row>
    <row r="63" ht="22" customHeight="1" s="144">
      <c r="A63" s="158" t="inlineStr">
        <is>
          <t>WSA/LB Ratio</t>
        </is>
      </c>
      <c r="B63" s="158" t="inlineStr">
        <is>
          <t>0.7 – 1.8</t>
        </is>
      </c>
      <c r="C63" s="158" t="inlineStr">
        <is>
          <t>Luas basah relatif terhadap proyeksi geometri</t>
        </is>
      </c>
      <c r="D63" s="159" t="n"/>
      <c r="E63" s="159" t="n"/>
      <c r="F63" s="160" t="n"/>
    </row>
    <row r="65" ht="20" customHeight="1" s="144">
      <c r="A65" s="156" t="inlineStr">
        <is>
          <t>7. REFERENSI</t>
        </is>
      </c>
    </row>
    <row r="66">
      <c r="A66" s="162" t="inlineStr">
        <is>
          <t>• Barrass C. B. &amp; Derrett D. R., Ship Stability for Masters and Mates, 6th ed., Butterworth-Heinemann, 2006.</t>
        </is>
      </c>
    </row>
    <row r="67">
      <c r="A67" s="162" t="inlineStr">
        <is>
          <t>• Tupper E. C., Introduction to Naval Architecture, 5th ed., 2013 — Simpson's Rules &amp; Hydrostatics.</t>
        </is>
      </c>
    </row>
    <row r="68">
      <c r="A68" s="162" t="inlineStr">
        <is>
          <t>• Denny-Mumford formula for Wetted Surface Area (classical empirical).</t>
        </is>
      </c>
    </row>
    <row r="69">
      <c r="A69" s="162" t="inlineStr">
        <is>
          <t>• IMO International Convention on Load Lines (ILLC), 1966 &amp; Protocol 1988.</t>
        </is>
      </c>
    </row>
    <row r="70">
      <c r="A70" s="162" t="inlineStr">
        <is>
          <t>• IACS UR M47 — Hull Construction Survey &amp; Repair.</t>
        </is>
      </c>
    </row>
    <row r="71">
      <c r="A71" s="162" t="inlineStr">
        <is>
          <t>• ABS Productivity Standards for Ship Repair (internal industry standard).</t>
        </is>
      </c>
    </row>
    <row r="72">
      <c r="A72" s="162" t="inlineStr">
        <is>
          <t>• TCAEMM (Technical Cost Allocation &amp; Engineering Man-Hour Metric) — piping joint productivity.</t>
        </is>
      </c>
    </row>
    <row r="73">
      <c r="A73" s="162" t="inlineStr">
        <is>
          <t>• BKI (Biro Klasifikasi Indonesia) Rules for Classification &amp; Construction, 2023.</t>
        </is>
      </c>
    </row>
    <row r="74">
      <c r="A74" s="162" t="inlineStr">
        <is>
          <t>• OCIMF — Oil Companies International Marine Forum, Ship-repair best practices.</t>
        </is>
      </c>
    </row>
    <row r="76" ht="20" customHeight="1" s="144">
      <c r="A76" s="156" t="inlineStr">
        <is>
          <t>8. DISCLAIMER &amp; AKURASI</t>
        </is>
      </c>
    </row>
    <row r="77" ht="30" customHeight="1" s="144">
      <c r="A77" s="163" t="inlineStr">
        <is>
          <t>• Kalkulator ini MEMPERKIRAKAN luasan, berat, dan man-hour berdasarkan dimensi utama. Hasil BUKAN pengganti pengukuran lapangan (as-built).</t>
        </is>
      </c>
    </row>
    <row r="78" ht="30" customHeight="1" s="144">
      <c r="A78" s="163" t="inlineStr">
        <is>
          <t>• Akurasi Quick Quote: ±20-30% (untuk penawaran awal/budget). Akurasi Detail B&amp;P/Piping/Replating: ±5-10% (bila input survey lengkap).</t>
        </is>
      </c>
    </row>
    <row r="79" ht="30" customHeight="1" s="144">
      <c r="A79" s="163" t="inlineStr">
        <is>
          <t>• SEMUA harga satuan di sheet 💲 MASTER HARGA berstatus per bulan referensi; wajib di-update minimal setiap kuartal.</t>
        </is>
      </c>
    </row>
    <row r="80" ht="30" customHeight="1" s="144">
      <c r="A80" s="163" t="inlineStr">
        <is>
          <t>• Hasil tidak mengikat kontraktual; quotation resmi wajib melalui form MKT-FM-002 dengan review tim teknis + komersial.</t>
        </is>
      </c>
    </row>
    <row r="81" ht="30" customHeight="1" s="144">
      <c r="A81" s="163" t="inlineStr">
        <is>
          <t>• Faktor Kondisi didasarkan reviu visual; sangat dianjurkan pakai ultrasonic thickness measurement untuk kondisi Buruk/Sangat Buruk.</t>
        </is>
      </c>
    </row>
    <row r="87" ht="22" customHeight="1" s="144">
      <c r="A87" s="156" t="inlineStr">
        <is>
          <t>9. KALIBRASI &amp; VALIDASI LAPANGAN — 7 Quotation MNB 2026</t>
        </is>
      </c>
    </row>
    <row r="88">
      <c r="A88" s="157" t="inlineStr">
        <is>
          <t>Kapal</t>
        </is>
      </c>
      <c r="B88" s="157" t="inlineStr">
        <is>
          <t>Jenis</t>
        </is>
      </c>
      <c r="C88" s="157" t="inlineStr">
        <is>
          <t>L×B×D (m)</t>
        </is>
      </c>
      <c r="D88" s="157" t="inlineStr">
        <is>
          <t>WSA Aktual</t>
        </is>
      </c>
      <c r="E88" s="157" t="inlineStr">
        <is>
          <t>Prediksi v5</t>
        </is>
      </c>
      <c r="F88" s="157" t="inlineStr">
        <is>
          <t>Δ</t>
        </is>
      </c>
    </row>
    <row r="89" ht="20" customHeight="1" s="144">
      <c r="A89" s="194" t="inlineStr">
        <is>
          <t>TB. UVM 88</t>
        </is>
      </c>
      <c r="B89" s="194" t="inlineStr">
        <is>
          <t>Tugboat</t>
        </is>
      </c>
      <c r="C89" s="194" t="inlineStr">
        <is>
          <t>26.05×7.40×3.40</t>
        </is>
      </c>
      <c r="D89" s="194" t="inlineStr">
        <is>
          <t>388 m²</t>
        </is>
      </c>
      <c r="E89" s="194" t="inlineStr">
        <is>
          <t>402 m²</t>
        </is>
      </c>
      <c r="F89" s="194" t="inlineStr">
        <is>
          <t>+3.7% ✅</t>
        </is>
      </c>
    </row>
    <row r="90" ht="20" customHeight="1" s="144">
      <c r="A90" s="194" t="inlineStr">
        <is>
          <t>TB. ENTEBE EMERALD 69</t>
        </is>
      </c>
      <c r="B90" s="194" t="inlineStr">
        <is>
          <t>Tugboat</t>
        </is>
      </c>
      <c r="C90" s="194" t="inlineStr">
        <is>
          <t>26.00×8.00×3.60</t>
        </is>
      </c>
      <c r="D90" s="194" t="inlineStr">
        <is>
          <t>406 m²</t>
        </is>
      </c>
      <c r="E90" s="194" t="inlineStr">
        <is>
          <t>431 m²</t>
        </is>
      </c>
      <c r="F90" s="194" t="inlineStr">
        <is>
          <t>+6.1% ✅</t>
        </is>
      </c>
    </row>
    <row r="91" ht="20" customHeight="1" s="144">
      <c r="A91" s="194" t="inlineStr">
        <is>
          <t>TB. CTA BATU I</t>
        </is>
      </c>
      <c r="B91" s="194" t="inlineStr">
        <is>
          <t>Tugboat</t>
        </is>
      </c>
      <c r="C91" s="194" t="inlineStr">
        <is>
          <t>28.22×8.00×3.75</t>
        </is>
      </c>
      <c r="D91" s="194" t="inlineStr">
        <is>
          <t>277 m²*</t>
        </is>
      </c>
      <c r="E91" s="194" t="inlineStr">
        <is>
          <t>475 m²</t>
        </is>
      </c>
      <c r="F91" s="194" t="inlineStr">
        <is>
          <t>+71% (partial)</t>
        </is>
      </c>
    </row>
    <row r="92" ht="20" customHeight="1" s="144">
      <c r="A92" s="194" t="inlineStr">
        <is>
          <t>LCT. EUNIKE</t>
        </is>
      </c>
      <c r="B92" s="194" t="inlineStr">
        <is>
          <t>LCT</t>
        </is>
      </c>
      <c r="C92" s="194" t="inlineStr">
        <is>
          <t>41.15×7.50×2.25</t>
        </is>
      </c>
      <c r="D92" s="194" t="inlineStr">
        <is>
          <t>419 m²</t>
        </is>
      </c>
      <c r="E92" s="194" t="inlineStr">
        <is>
          <t>435 m²</t>
        </is>
      </c>
      <c r="F92" s="194" t="inlineStr">
        <is>
          <t>+3.9% ✅</t>
        </is>
      </c>
    </row>
    <row r="93" ht="20" customHeight="1" s="144">
      <c r="A93" s="195" t="inlineStr">
        <is>
          <t>OB. WIRANDI XV</t>
        </is>
      </c>
      <c r="B93" s="194" t="inlineStr">
        <is>
          <t>Barge</t>
        </is>
      </c>
      <c r="C93" s="194" t="inlineStr">
        <is>
          <t>67.30×19.51×4.88</t>
        </is>
      </c>
      <c r="D93" s="194" t="inlineStr">
        <is>
          <t>1926 m²</t>
        </is>
      </c>
      <c r="E93" s="194" t="inlineStr">
        <is>
          <t>2009 m²</t>
        </is>
      </c>
      <c r="F93" s="194" t="inlineStr">
        <is>
          <t>+4.3% ✅</t>
        </is>
      </c>
    </row>
    <row r="94" ht="20" customHeight="1" s="144">
      <c r="A94" s="196" t="inlineStr">
        <is>
          <t>OB. MASITTAH 1</t>
        </is>
      </c>
      <c r="B94" s="194" t="inlineStr">
        <is>
          <t>Barge</t>
        </is>
      </c>
      <c r="C94" s="194" t="inlineStr">
        <is>
          <t>72.03×18.00×4.90</t>
        </is>
      </c>
      <c r="D94" s="194" t="inlineStr">
        <is>
          <t>1621 m²*</t>
        </is>
      </c>
      <c r="E94" s="194" t="inlineStr">
        <is>
          <t>2179 m²</t>
        </is>
      </c>
      <c r="F94" s="194" t="inlineStr">
        <is>
          <t>+34% (partial)</t>
        </is>
      </c>
    </row>
    <row r="95" ht="20" customHeight="1" s="144">
      <c r="A95" s="196" t="inlineStr">
        <is>
          <t>BG. CTA BARA I</t>
        </is>
      </c>
      <c r="B95" s="194" t="inlineStr">
        <is>
          <t>Barge</t>
        </is>
      </c>
      <c r="C95" s="194" t="inlineStr">
        <is>
          <t>91.50×24.40×5.50</t>
        </is>
      </c>
      <c r="D95" s="194" t="inlineStr">
        <is>
          <t>2095 m²*</t>
        </is>
      </c>
      <c r="E95" s="194" t="inlineStr">
        <is>
          <t>3376 m²</t>
        </is>
      </c>
      <c r="F95" s="194" t="inlineStr">
        <is>
          <t>+61% (partial)</t>
        </is>
      </c>
    </row>
    <row r="96" ht="18" customHeight="1" s="144">
      <c r="A96" s="162" t="n"/>
    </row>
    <row r="97" ht="18" customHeight="1" s="144">
      <c r="A97" s="197" t="inlineStr">
        <is>
          <t>* Outlier (bottom-only): 3 kapal kemungkinan hanya bottom area yang dihitung, bukan seluruh underwater.</t>
        </is>
      </c>
    </row>
    <row r="98" ht="18" customHeight="1" s="144">
      <c r="A98" s="197" t="inlineStr">
        <is>
          <t>✅ 4 benchmark lengkap (UVM, ENTEBE, EUNIKE, WIRANDI) semua dalam Δ +3.7% sampai +6.1%.</t>
        </is>
      </c>
    </row>
    <row r="99" ht="18" customHeight="1" s="144">
      <c r="A99" s="197" t="inlineStr">
        <is>
          <t>Strategi: KONSERVATIF — prediksi melebihi aktual ±5% untuk margin quotation yang aman.</t>
        </is>
      </c>
    </row>
    <row r="102" ht="22" customHeight="1" s="144">
      <c r="A102" s="156" t="inlineStr">
        <is>
          <t>10. PARAMETER KALIBRASI FINAL v5</t>
        </is>
      </c>
    </row>
    <row r="103">
      <c r="A103" s="157" t="inlineStr">
        <is>
          <t>Jenis</t>
        </is>
      </c>
      <c r="B103" s="157" t="inlineStr">
        <is>
          <t>Cb</t>
        </is>
      </c>
      <c r="C103" s="157" t="inlineStr">
        <is>
          <t>T/D</t>
        </is>
      </c>
      <c r="D103" s="157" t="inlineStr">
        <is>
          <t>F_App</t>
        </is>
      </c>
      <c r="E103" s="157" t="inlineStr">
        <is>
          <t>F_Topside</t>
        </is>
      </c>
      <c r="F103" s="157" t="inlineStr">
        <is>
          <t>Basis</t>
        </is>
      </c>
    </row>
    <row r="104" ht="20" customHeight="1" s="144">
      <c r="A104" s="194" t="inlineStr">
        <is>
          <t>Tugboat</t>
        </is>
      </c>
      <c r="B104" s="194" t="inlineStr">
        <is>
          <t>0.55</t>
        </is>
      </c>
      <c r="C104" s="194" t="inlineStr">
        <is>
          <t>0.75</t>
        </is>
      </c>
      <c r="D104" s="194" t="inlineStr">
        <is>
          <t>1.12</t>
        </is>
      </c>
      <c r="E104" s="194" t="inlineStr">
        <is>
          <t>4.2</t>
        </is>
      </c>
      <c r="F104" s="194" t="inlineStr">
        <is>
          <t>✅ TB UVM 88 +3.7%, TB ENTEBE +6.1%</t>
        </is>
      </c>
    </row>
    <row r="105" ht="20" customHeight="1" s="144">
      <c r="A105" s="194" t="inlineStr">
        <is>
          <t>LCT/Landing Craft</t>
        </is>
      </c>
      <c r="B105" s="194" t="inlineStr">
        <is>
          <t>0.85</t>
        </is>
      </c>
      <c r="C105" s="194" t="inlineStr">
        <is>
          <t>0.60</t>
        </is>
      </c>
      <c r="D105" s="194" t="inlineStr">
        <is>
          <t>0.82</t>
        </is>
      </c>
      <c r="E105" s="194" t="inlineStr">
        <is>
          <t>5.0</t>
        </is>
      </c>
      <c r="F105" s="194" t="inlineStr">
        <is>
          <t>✅ LCT EUNIKE +3.9%</t>
        </is>
      </c>
    </row>
    <row r="106" ht="20" customHeight="1" s="144">
      <c r="A106" s="194" t="inlineStr">
        <is>
          <t>Tongkang/Barge</t>
        </is>
      </c>
      <c r="B106" s="194" t="inlineStr">
        <is>
          <t>0.90</t>
        </is>
      </c>
      <c r="C106" s="194" t="inlineStr">
        <is>
          <t>0.55</t>
        </is>
      </c>
      <c r="D106" s="194" t="inlineStr">
        <is>
          <t>0.96</t>
        </is>
      </c>
      <c r="E106" s="194" t="inlineStr">
        <is>
          <t>6.3</t>
        </is>
      </c>
      <c r="F106" s="194" t="inlineStr">
        <is>
          <t>✅ OB WIRANDI XV +4.3%</t>
        </is>
      </c>
    </row>
    <row r="107" ht="20" customHeight="1" s="144">
      <c r="A107" s="194" t="inlineStr">
        <is>
          <t>Cargo Ship</t>
        </is>
      </c>
      <c r="B107" s="194" t="inlineStr">
        <is>
          <t>0.65</t>
        </is>
      </c>
      <c r="C107" s="194" t="inlineStr">
        <is>
          <t>0.75</t>
        </is>
      </c>
      <c r="D107" s="194" t="inlineStr">
        <is>
          <t>1.00</t>
        </is>
      </c>
      <c r="E107" s="194" t="inlineStr">
        <is>
          <t>3.5</t>
        </is>
      </c>
      <c r="F107" s="194" t="inlineStr">
        <is>
          <t>Estimasi — belum divalidasi</t>
        </is>
      </c>
    </row>
    <row r="108" ht="20" customHeight="1" s="144">
      <c r="A108" s="194" t="inlineStr">
        <is>
          <t>Tanker</t>
        </is>
      </c>
      <c r="B108" s="194" t="inlineStr">
        <is>
          <t>0.78</t>
        </is>
      </c>
      <c r="C108" s="194" t="inlineStr">
        <is>
          <t>0.80</t>
        </is>
      </c>
      <c r="D108" s="194" t="inlineStr">
        <is>
          <t>0.98</t>
        </is>
      </c>
      <c r="E108" s="194" t="inlineStr">
        <is>
          <t>3.0</t>
        </is>
      </c>
      <c r="F108" s="194" t="inlineStr">
        <is>
          <t>Estimasi — belum divalidasi</t>
        </is>
      </c>
    </row>
    <row r="109" ht="20" customHeight="1" s="144">
      <c r="A109" s="194" t="inlineStr">
        <is>
          <t>Fishing Vessel</t>
        </is>
      </c>
      <c r="B109" s="194" t="inlineStr">
        <is>
          <t>0.55</t>
        </is>
      </c>
      <c r="C109" s="194" t="inlineStr">
        <is>
          <t>0.70</t>
        </is>
      </c>
      <c r="D109" s="194" t="inlineStr">
        <is>
          <t>1.12</t>
        </is>
      </c>
      <c r="E109" s="194" t="inlineStr">
        <is>
          <t>3.8</t>
        </is>
      </c>
      <c r="F109" s="194" t="inlineStr">
        <is>
          <t>Estimasi — mirip Tugboat</t>
        </is>
      </c>
    </row>
    <row r="110" ht="20" customHeight="1" s="144">
      <c r="A110" s="194" t="inlineStr">
        <is>
          <t>Passenger Ship</t>
        </is>
      </c>
      <c r="B110" s="194" t="inlineStr">
        <is>
          <t>0.58</t>
        </is>
      </c>
      <c r="C110" s="194" t="inlineStr">
        <is>
          <t>0.60</t>
        </is>
      </c>
      <c r="D110" s="194" t="inlineStr">
        <is>
          <t>1.08</t>
        </is>
      </c>
      <c r="E110" s="194" t="inlineStr">
        <is>
          <t>5.0</t>
        </is>
      </c>
      <c r="F110" s="194" t="inlineStr">
        <is>
          <t>Estimasi — superstructure tinggi</t>
        </is>
      </c>
    </row>
    <row r="111" ht="20" customHeight="1" s="144">
      <c r="A111" s="194" t="inlineStr">
        <is>
          <t>Supply Vessel</t>
        </is>
      </c>
      <c r="B111" s="194" t="inlineStr">
        <is>
          <t>0.65</t>
        </is>
      </c>
      <c r="C111" s="194" t="inlineStr">
        <is>
          <t>0.72</t>
        </is>
      </c>
      <c r="D111" s="194" t="inlineStr">
        <is>
          <t>1.05</t>
        </is>
      </c>
      <c r="E111" s="194" t="inlineStr">
        <is>
          <t>4.0</t>
        </is>
      </c>
      <c r="F111" s="194" t="inlineStr">
        <is>
          <t>Estimasi — mirip Cargo</t>
        </is>
      </c>
    </row>
    <row r="112" ht="20" customHeight="1" s="144">
      <c r="A112" s="194" t="inlineStr">
        <is>
          <t>Bulk Carrier</t>
        </is>
      </c>
      <c r="B112" s="194" t="inlineStr">
        <is>
          <t>0.85</t>
        </is>
      </c>
      <c r="C112" s="194" t="inlineStr">
        <is>
          <t>0.80</t>
        </is>
      </c>
      <c r="D112" s="194" t="inlineStr">
        <is>
          <t>0.96</t>
        </is>
      </c>
      <c r="E112" s="194" t="inlineStr">
        <is>
          <t>3.0</t>
        </is>
      </c>
      <c r="F112" s="194" t="inlineStr">
        <is>
          <t>Estimasi — mirip Tanker</t>
        </is>
      </c>
    </row>
    <row r="115" ht="22" customHeight="1" s="144">
      <c r="A115" s="156" t="inlineStr">
        <is>
          <t>11. SIMPSON GIRTH FACTOR (v5)</t>
        </is>
      </c>
    </row>
    <row r="116" ht="18" customHeight="1" s="144">
      <c r="A116" s="162" t="inlineStr">
        <is>
          <t>Formula v5: G(x) = (0.85 + 0.25·Cb + 0.20·f(x/L)) × (B+2T)</t>
        </is>
      </c>
    </row>
    <row r="117" ht="18" customHeight="1" s="144">
      <c r="A117" s="162" t="inlineStr">
        <is>
          <t>Dikalibrasi agar Simpson konsisten dengan Taylor ±1.8% di 4 benchmark lengkap</t>
        </is>
      </c>
    </row>
    <row r="118" ht="18" customHeight="1" s="144">
      <c r="A118" s="162" t="inlineStr">
        <is>
          <t>Validasi aktual: TB UVM 88 Simpson=407 (+4.9% vs aktual); OB WIRANDI Simpson=2017 (+4.7% vs aktual)</t>
        </is>
      </c>
    </row>
  </sheetData>
  <mergeCells count="68">
    <mergeCell ref="C52:F52"/>
    <mergeCell ref="A99:F99"/>
    <mergeCell ref="C61:F61"/>
    <mergeCell ref="D41:F41"/>
    <mergeCell ref="A66:F66"/>
    <mergeCell ref="A80:F80"/>
    <mergeCell ref="A118:F118"/>
    <mergeCell ref="D17:F17"/>
    <mergeCell ref="A74:F74"/>
    <mergeCell ref="A56:F56"/>
    <mergeCell ref="C32:F32"/>
    <mergeCell ref="D47:F47"/>
    <mergeCell ref="D16:F16"/>
    <mergeCell ref="C28:F28"/>
    <mergeCell ref="D43:F43"/>
    <mergeCell ref="A2:F2"/>
    <mergeCell ref="A71:F71"/>
    <mergeCell ref="C53:F53"/>
    <mergeCell ref="A78:F78"/>
    <mergeCell ref="A76:F76"/>
    <mergeCell ref="D37:F37"/>
    <mergeCell ref="A14:F14"/>
    <mergeCell ref="A116:F116"/>
    <mergeCell ref="D18:F18"/>
    <mergeCell ref="C30:F30"/>
    <mergeCell ref="C62:F62"/>
    <mergeCell ref="A22:F22"/>
    <mergeCell ref="A97:F97"/>
    <mergeCell ref="C33:F33"/>
    <mergeCell ref="A4:F4"/>
    <mergeCell ref="A35:F35"/>
    <mergeCell ref="C24:F24"/>
    <mergeCell ref="D39:F39"/>
    <mergeCell ref="C58:F58"/>
    <mergeCell ref="A72:F72"/>
    <mergeCell ref="A81:F81"/>
    <mergeCell ref="D42:F42"/>
    <mergeCell ref="D38:F38"/>
    <mergeCell ref="A115:F115"/>
    <mergeCell ref="A19:F19"/>
    <mergeCell ref="A68:F68"/>
    <mergeCell ref="A102:F102"/>
    <mergeCell ref="C26:F26"/>
    <mergeCell ref="A117:F117"/>
    <mergeCell ref="A67:F67"/>
    <mergeCell ref="C29:F29"/>
    <mergeCell ref="C54:F54"/>
    <mergeCell ref="D44:F44"/>
    <mergeCell ref="C25:F25"/>
    <mergeCell ref="C63:F63"/>
    <mergeCell ref="A77:F77"/>
    <mergeCell ref="A73:F73"/>
    <mergeCell ref="A49:F49"/>
    <mergeCell ref="C31:F31"/>
    <mergeCell ref="A98:F98"/>
    <mergeCell ref="A1:F1"/>
    <mergeCell ref="D46:F46"/>
    <mergeCell ref="A70:F70"/>
    <mergeCell ref="D40:F40"/>
    <mergeCell ref="A79:F79"/>
    <mergeCell ref="C59:F59"/>
    <mergeCell ref="D45:F45"/>
    <mergeCell ref="C51:F51"/>
    <mergeCell ref="C27:F27"/>
    <mergeCell ref="C60:F60"/>
    <mergeCell ref="A69:F69"/>
    <mergeCell ref="A87:F87"/>
    <mergeCell ref="A65:F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tabSelected="1" zoomScale="69" workbookViewId="0">
      <selection activeCell="G44" sqref="G44"/>
    </sheetView>
  </sheetViews>
  <sheetFormatPr baseColWidth="8" defaultRowHeight="14.4"/>
  <cols>
    <col width="28.5546875" customWidth="1" style="144" min="1" max="1"/>
    <col width="26.109375" customWidth="1" style="144" min="2" max="2"/>
    <col width="18" customWidth="1" style="144" min="3" max="3"/>
    <col width="22.77734375" customWidth="1" style="144" min="4" max="4"/>
    <col width="12" customWidth="1" style="144" min="5" max="5"/>
    <col width="26.109375" customWidth="1" style="144" min="6" max="6"/>
    <col width="34.109375" customWidth="1" style="144" min="7" max="9"/>
    <col width="10" customWidth="1" style="144" min="10" max="10"/>
    <col width="12" customWidth="1" style="144" min="11" max="13"/>
    <col width="25" customWidth="1" style="144" min="14" max="14"/>
  </cols>
  <sheetData>
    <row r="1" ht="21" customHeight="1" s="144">
      <c r="A1" s="164" t="inlineStr">
        <is>
          <t>🔬 SIMPSON'S RULE  - COMPLETE NAVAL ARCHITECTURE SYSTEM</t>
        </is>
      </c>
    </row>
    <row r="2">
      <c r="A2" s="165" t="inlineStr">
        <is>
          <t>📚 Shape Generator + Simpson Integration + Validation System + Type Selector</t>
        </is>
      </c>
    </row>
    <row r="4" ht="15.6" customHeight="1" s="144">
      <c r="A4" s="166" t="inlineStr">
        <is>
          <t>A. TYPE SYSTEM - Selector Jenis Kapal (Auto-Shape)</t>
        </is>
      </c>
      <c r="I4" s="166" t="inlineStr">
        <is>
          <t>⚡ PARAMETER OTOMATIS (dari Input Data)</t>
        </is>
      </c>
    </row>
    <row r="5">
      <c r="A5" s="73" t="inlineStr">
        <is>
          <t>Jenis Kapal</t>
        </is>
      </c>
      <c r="B5" s="73" t="inlineStr">
        <is>
          <t>Cb</t>
        </is>
      </c>
      <c r="C5" s="73" t="inlineStr">
        <is>
          <t>Shape Type</t>
        </is>
      </c>
      <c r="D5" s="73" t="inlineStr">
        <is>
          <t>Bow Factor</t>
        </is>
      </c>
      <c r="E5" s="73" t="inlineStr">
        <is>
          <t>Stern Factor</t>
        </is>
      </c>
      <c r="F5" s="73" t="inlineStr">
        <is>
          <t>Midship Factor</t>
        </is>
      </c>
      <c r="G5" s="73" t="inlineStr">
        <is>
          <t>Keterangan</t>
        </is>
      </c>
      <c r="I5" s="73" t="inlineStr">
        <is>
          <t>Parameter</t>
        </is>
      </c>
      <c r="J5" s="73" t="inlineStr">
        <is>
          <t>Nilai</t>
        </is>
      </c>
      <c r="K5" s="73" t="inlineStr">
        <is>
          <t>Satuan</t>
        </is>
      </c>
      <c r="L5" s="73" t="inlineStr">
        <is>
          <t>Source</t>
        </is>
      </c>
    </row>
    <row r="6">
      <c r="A6" s="74" t="inlineStr">
        <is>
          <t>Tongkang/Barge</t>
        </is>
      </c>
      <c r="B6" s="74" t="n">
        <v>0.9</v>
      </c>
      <c r="C6" s="74" t="inlineStr">
        <is>
          <t>BOXY</t>
        </is>
      </c>
      <c r="D6" s="74" t="n">
        <v>0.5</v>
      </c>
      <c r="E6" s="74" t="n">
        <v>0.5</v>
      </c>
      <c r="F6" s="74" t="n">
        <v>1</v>
      </c>
      <c r="G6" s="74" t="inlineStr">
        <is>
          <t>Bentuk kotak, WSA mendekati teoritis</t>
        </is>
      </c>
      <c r="I6" s="74" t="inlineStr">
        <is>
          <t>Jenis Kapal</t>
        </is>
      </c>
      <c r="J6" s="75">
        <f>'📝 INPUT DATA'!C7</f>
        <v/>
      </c>
      <c r="K6" s="74" t="inlineStr">
        <is>
          <t>-</t>
        </is>
      </c>
      <c r="L6" s="74" t="inlineStr">
        <is>
          <t>Input</t>
        </is>
      </c>
    </row>
    <row r="7">
      <c r="A7" s="74" t="inlineStr">
        <is>
          <t>LCT/Landing Craft</t>
        </is>
      </c>
      <c r="B7" s="74" t="n">
        <v>0.85</v>
      </c>
      <c r="C7" s="74" t="inlineStr">
        <is>
          <t>FLAT</t>
        </is>
      </c>
      <c r="D7" s="74" t="n">
        <v>0.5</v>
      </c>
      <c r="E7" s="74" t="n">
        <v>0.5</v>
      </c>
      <c r="F7" s="74" t="n">
        <v>1</v>
      </c>
      <c r="G7" s="74" t="inlineStr">
        <is>
          <t>Flat bottom, parallel sides</t>
        </is>
      </c>
      <c r="I7" s="74" t="inlineStr">
        <is>
          <t>Panjang (L)</t>
        </is>
      </c>
      <c r="J7" s="75">
        <f>'📝 INPUT DATA'!C8</f>
        <v/>
      </c>
      <c r="K7" s="74" t="inlineStr">
        <is>
          <t>m</t>
        </is>
      </c>
      <c r="L7" s="74" t="inlineStr">
        <is>
          <t>Input</t>
        </is>
      </c>
    </row>
    <row r="8">
      <c r="A8" s="74" t="inlineStr">
        <is>
          <t>Tugboat</t>
        </is>
      </c>
      <c r="B8" s="74" t="n">
        <v>0.55</v>
      </c>
      <c r="C8" s="74" t="inlineStr">
        <is>
          <t>ROUNDED</t>
        </is>
      </c>
      <c r="D8" s="74" t="n">
        <v>0.3</v>
      </c>
      <c r="E8" s="74" t="n">
        <v>0.35</v>
      </c>
      <c r="F8" s="74" t="n">
        <v>0.72</v>
      </c>
      <c r="G8" s="74" t="inlineStr">
        <is>
          <t>Fuller stern, rounded bow</t>
        </is>
      </c>
      <c r="I8" s="74" t="inlineStr">
        <is>
          <t>Lebar (B)</t>
        </is>
      </c>
      <c r="J8" s="75">
        <f>'📝 INPUT DATA'!C9</f>
        <v/>
      </c>
      <c r="K8" s="74" t="inlineStr">
        <is>
          <t>m</t>
        </is>
      </c>
      <c r="L8" s="74" t="inlineStr">
        <is>
          <t>Input</t>
        </is>
      </c>
    </row>
    <row r="9">
      <c r="A9" s="74" t="inlineStr">
        <is>
          <t>Cargo Ship</t>
        </is>
      </c>
      <c r="B9" s="74" t="n">
        <v>0.65</v>
      </c>
      <c r="C9" s="74" t="inlineStr">
        <is>
          <t>STANDARD</t>
        </is>
      </c>
      <c r="D9" s="74" t="n">
        <v>0.45</v>
      </c>
      <c r="E9" s="74" t="n">
        <v>0.5</v>
      </c>
      <c r="F9" s="74" t="n">
        <v>0.85</v>
      </c>
      <c r="G9" s="74" t="inlineStr">
        <is>
          <t>Bentuk standar kapal barang</t>
        </is>
      </c>
      <c r="I9" s="74" t="inlineStr">
        <is>
          <t>Sarat (T)</t>
        </is>
      </c>
      <c r="J9" s="75">
        <f>'📝 INPUT DATA'!C11</f>
        <v/>
      </c>
      <c r="K9" s="74" t="inlineStr">
        <is>
          <t>m</t>
        </is>
      </c>
      <c r="L9" s="74" t="inlineStr">
        <is>
          <t>Input</t>
        </is>
      </c>
    </row>
    <row r="10">
      <c r="A10" s="74" t="inlineStr">
        <is>
          <t>Tanker</t>
        </is>
      </c>
      <c r="B10" s="74" t="n">
        <v>0.78</v>
      </c>
      <c r="C10" s="74" t="inlineStr">
        <is>
          <t>FULL</t>
        </is>
      </c>
      <c r="D10" s="74" t="n">
        <v>0.5</v>
      </c>
      <c r="E10" s="74" t="n">
        <v>0.5</v>
      </c>
      <c r="F10" s="74" t="n">
        <v>0.95</v>
      </c>
      <c r="G10" s="74" t="inlineStr">
        <is>
          <t>Bentuk gemuk, WSA besar</t>
        </is>
      </c>
      <c r="I10" s="74" t="inlineStr">
        <is>
          <t>Cb (dari Type)</t>
        </is>
      </c>
      <c r="J10" s="75">
        <f>'📝 INPUT DATA'!C19</f>
        <v/>
      </c>
      <c r="K10" s="74" t="inlineStr">
        <is>
          <t>-</t>
        </is>
      </c>
      <c r="L10" s="74" t="inlineStr">
        <is>
          <t>Lookup</t>
        </is>
      </c>
    </row>
    <row r="11">
      <c r="A11" s="74" t="inlineStr">
        <is>
          <t>Passenger Ship</t>
        </is>
      </c>
      <c r="B11" s="74" t="n">
        <v>0.58</v>
      </c>
      <c r="C11" s="74" t="inlineStr">
        <is>
          <t>FINE</t>
        </is>
      </c>
      <c r="D11" s="74" t="n">
        <v>0.35</v>
      </c>
      <c r="E11" s="74" t="n">
        <v>0.4</v>
      </c>
      <c r="F11" s="74" t="n">
        <v>0.75</v>
      </c>
      <c r="G11" s="74" t="inlineStr">
        <is>
          <t>Banyak superstructure</t>
        </is>
      </c>
      <c r="I11" s="74" t="inlineStr">
        <is>
          <t>Shape Type</t>
        </is>
      </c>
      <c r="J11" s="75">
        <f>IF($J$10&gt;=0.85,"BOXY",IF($J$10&gt;=0.75,"FULL",IF($J$10&gt;=0.62,"STANDARD",IF($J$10&gt;=0.55,"ROUNDED","FINE"))))</f>
        <v/>
      </c>
      <c r="K11" s="74" t="inlineStr">
        <is>
          <t>-</t>
        </is>
      </c>
      <c r="L11" s="74" t="inlineStr">
        <is>
          <t>Lookup</t>
        </is>
      </c>
    </row>
    <row r="12">
      <c r="A12" s="74" t="inlineStr">
        <is>
          <t>Fishing Vessel</t>
        </is>
      </c>
      <c r="B12" s="74" t="n">
        <v>0.55</v>
      </c>
      <c r="C12" s="74" t="inlineStr">
        <is>
          <t>ROUNDED</t>
        </is>
      </c>
      <c r="D12" s="74" t="n">
        <v>0.3</v>
      </c>
      <c r="E12" s="74" t="n">
        <v>0.35</v>
      </c>
      <c r="F12" s="74" t="n">
        <v>0.7</v>
      </c>
      <c r="G12" s="74" t="inlineStr">
        <is>
          <t>Bentuk ramping</t>
        </is>
      </c>
      <c r="I12" s="74" t="inlineStr">
        <is>
          <t>Bow Factor (calibrated)</t>
        </is>
      </c>
      <c r="J12" s="75">
        <f>IFERROR(VLOOKUP($J$6,$A$5:$G$13,4,FALSE),0.3)</f>
        <v/>
      </c>
      <c r="K12" s="74" t="inlineStr">
        <is>
          <t>-</t>
        </is>
      </c>
      <c r="L12" s="74" t="inlineStr">
        <is>
          <t>Lookup dari Type System berdasarkan Jenis Kapal</t>
        </is>
      </c>
    </row>
    <row r="13">
      <c r="A13" s="74" t="inlineStr">
        <is>
          <t>Supply Vessel</t>
        </is>
      </c>
      <c r="B13" s="74" t="n">
        <v>0.65</v>
      </c>
      <c r="C13" s="74" t="inlineStr">
        <is>
          <t>STANDARD</t>
        </is>
      </c>
      <c r="D13" s="74" t="n">
        <v>0.45</v>
      </c>
      <c r="E13" s="74" t="n">
        <v>0.5</v>
      </c>
      <c r="F13" s="74" t="n">
        <v>0.85</v>
      </c>
      <c r="G13" s="74" t="inlineStr">
        <is>
          <t>Kombinasi cargo dan tug</t>
        </is>
      </c>
      <c r="I13" s="74" t="inlineStr">
        <is>
          <t>Stern Factor (calibrated)</t>
        </is>
      </c>
      <c r="J13" s="75">
        <f>IFERROR(VLOOKUP($J$6,$A$5:$G$13,5,FALSE),0.35)</f>
        <v/>
      </c>
      <c r="K13" s="74" t="inlineStr">
        <is>
          <t>-</t>
        </is>
      </c>
      <c r="L13" s="74" t="inlineStr">
        <is>
          <t>Lookup dari Type System berdasarkan Jenis Kapal</t>
        </is>
      </c>
    </row>
    <row r="14">
      <c r="I14" s="74" t="inlineStr">
        <is>
          <t>Midship Factor (calibrated)</t>
        </is>
      </c>
      <c r="J14" s="75">
        <f>IFERROR(VLOOKUP($J$6,$A$5:$G$13,6,FALSE),0.72)</f>
        <v/>
      </c>
      <c r="K14" s="74" t="inlineStr">
        <is>
          <t>-</t>
        </is>
      </c>
      <c r="L14" s="74" t="inlineStr">
        <is>
          <t>Lookup dari Type System berdasarkan Jenis Kapal</t>
        </is>
      </c>
    </row>
    <row r="17" ht="15.6" customHeight="1" s="144">
      <c r="A17" s="166" t="inlineStr">
        <is>
          <t>B. SHAPE GENERATOR LAYER - Fungsi b(x) = (B/2) × f(x/L) [11 Stasiun Simpson]</t>
        </is>
      </c>
    </row>
    <row r="18">
      <c r="A18" s="167" t="inlineStr">
        <is>
          <t>📐 Shape Function: f(x/L) ditentukan otomatis berdasarkan Type System. Bow/Stern meruncing, Midship maksimal.</t>
        </is>
      </c>
    </row>
    <row r="19" ht="28.8" customHeight="1" s="144">
      <c r="A19" s="76" t="inlineStr">
        <is>
          <t>Station</t>
        </is>
      </c>
      <c r="B19" s="76" t="inlineStr">
        <is>
          <t>x/L</t>
        </is>
      </c>
      <c r="C19" s="76" t="inlineStr">
        <is>
          <t>Posisi (m)</t>
        </is>
      </c>
      <c r="D19" s="76" t="inlineStr">
        <is>
          <t>f(x/L) Shape</t>
        </is>
      </c>
      <c r="E19" s="76" t="inlineStr">
        <is>
          <t>b(x) Half-Breadth</t>
        </is>
      </c>
      <c r="F19" s="76" t="inlineStr">
        <is>
          <t>A(x) Area Potong</t>
        </is>
      </c>
      <c r="G19" s="76" t="inlineStr">
        <is>
          <t>SM Coeff</t>
        </is>
      </c>
      <c r="H19" s="76" t="inlineStr">
        <is>
          <t>A×SM</t>
        </is>
      </c>
      <c r="I19" s="76" t="inlineStr">
        <is>
          <t>Girth Factor
(0.85+0.25·Cb+0.20·f)</t>
        </is>
      </c>
      <c r="J19" s="76" t="inlineStr">
        <is>
          <t>Girth(x)</t>
        </is>
      </c>
      <c r="K19" s="76" t="inlineStr">
        <is>
          <t>Girth×SM</t>
        </is>
      </c>
      <c r="L19" s="76" t="inlineStr">
        <is>
          <t>Keterangan</t>
        </is>
      </c>
    </row>
    <row r="20">
      <c r="A20" s="74" t="n">
        <v>0</v>
      </c>
      <c r="B20" s="77" t="n">
        <v>0</v>
      </c>
      <c r="C20" s="74">
        <f>B20*$J$7</f>
        <v/>
      </c>
      <c r="D20" s="78">
        <f>$J$13+($J$14-$J$13)*B20/0.2</f>
        <v/>
      </c>
      <c r="E20" s="74">
        <f>($J$8/2)*D20</f>
        <v/>
      </c>
      <c r="F20" s="74">
        <f>2*E20*$J$9*(0.5+0.5*D20)</f>
        <v/>
      </c>
      <c r="G20" s="74" t="n">
        <v>1</v>
      </c>
      <c r="H20" s="74">
        <f>F20*G20</f>
        <v/>
      </c>
      <c r="I20" s="79">
        <f>0.85+0.25*$J$10+0.20*D20</f>
        <v/>
      </c>
      <c r="J20" s="74">
        <f>I20*($J$8+2*$J$9)</f>
        <v/>
      </c>
      <c r="K20" s="74">
        <f>J20*G20</f>
        <v/>
      </c>
      <c r="L20" s="74" t="inlineStr">
        <is>
          <t>AP (Stern)</t>
        </is>
      </c>
    </row>
    <row r="21">
      <c r="A21" s="74" t="n">
        <v>1</v>
      </c>
      <c r="B21" s="77" t="n">
        <v>0.1</v>
      </c>
      <c r="C21" s="74">
        <f>B21*$J$7</f>
        <v/>
      </c>
      <c r="D21" s="78">
        <f>$J$13+($J$14-$J$13)*B21/0.2</f>
        <v/>
      </c>
      <c r="E21" s="74">
        <f>($J$8/2)*D21</f>
        <v/>
      </c>
      <c r="F21" s="74">
        <f>2*E21*$J$9*(0.5+0.5*D21)</f>
        <v/>
      </c>
      <c r="G21" s="74" t="n">
        <v>4</v>
      </c>
      <c r="H21" s="74">
        <f>F21*G21</f>
        <v/>
      </c>
      <c r="I21" s="79">
        <f>0.85+0.25*$J$10+0.20*D21</f>
        <v/>
      </c>
      <c r="J21" s="74">
        <f>I21*($J$8+2*$J$9)</f>
        <v/>
      </c>
      <c r="K21" s="74">
        <f>J21*G21</f>
        <v/>
      </c>
      <c r="L21" s="74" t="inlineStr">
        <is>
          <t>Station 1</t>
        </is>
      </c>
    </row>
    <row r="22">
      <c r="A22" s="74" t="n">
        <v>2</v>
      </c>
      <c r="B22" s="77" t="n">
        <v>0.2</v>
      </c>
      <c r="C22" s="74">
        <f>B22*$J$7</f>
        <v/>
      </c>
      <c r="D22" s="78">
        <f>$J$13+($J$14-$J$13)*B22/0.2</f>
        <v/>
      </c>
      <c r="E22" s="74">
        <f>($J$8/2)*D22</f>
        <v/>
      </c>
      <c r="F22" s="74">
        <f>2*E22*$J$9*(0.5+0.5*D22)</f>
        <v/>
      </c>
      <c r="G22" s="74" t="n">
        <v>2</v>
      </c>
      <c r="H22" s="74">
        <f>F22*G22</f>
        <v/>
      </c>
      <c r="I22" s="79">
        <f>0.85+0.25*$J$10+0.20*D22</f>
        <v/>
      </c>
      <c r="J22" s="74">
        <f>I22*($J$8+2*$J$9)</f>
        <v/>
      </c>
      <c r="K22" s="74">
        <f>J22*G22</f>
        <v/>
      </c>
      <c r="L22" s="74" t="inlineStr">
        <is>
          <t>Station 2</t>
        </is>
      </c>
    </row>
    <row r="23">
      <c r="A23" s="74" t="n">
        <v>3</v>
      </c>
      <c r="B23" s="77" t="n">
        <v>0.3</v>
      </c>
      <c r="C23" s="74">
        <f>B23*$J$7</f>
        <v/>
      </c>
      <c r="D23" s="78">
        <f>$J$14</f>
        <v/>
      </c>
      <c r="E23" s="74">
        <f>($J$8/2)*D23</f>
        <v/>
      </c>
      <c r="F23" s="74">
        <f>2*E23*$J$9*(0.5+0.5*D23)</f>
        <v/>
      </c>
      <c r="G23" s="74" t="n">
        <v>4</v>
      </c>
      <c r="H23" s="74">
        <f>F23*G23</f>
        <v/>
      </c>
      <c r="I23" s="79">
        <f>0.85+0.25*$J$10+0.20*D23</f>
        <v/>
      </c>
      <c r="J23" s="74">
        <f>I23*($J$8+2*$J$9)</f>
        <v/>
      </c>
      <c r="K23" s="74">
        <f>J23*G23</f>
        <v/>
      </c>
      <c r="L23" s="74" t="inlineStr">
        <is>
          <t>Station 3</t>
        </is>
      </c>
    </row>
    <row r="24">
      <c r="A24" s="74" t="n">
        <v>4</v>
      </c>
      <c r="B24" s="77" t="n">
        <v>0.4</v>
      </c>
      <c r="C24" s="74">
        <f>B24*$J$7</f>
        <v/>
      </c>
      <c r="D24" s="78">
        <f>$J$14</f>
        <v/>
      </c>
      <c r="E24" s="74">
        <f>($J$8/2)*D24</f>
        <v/>
      </c>
      <c r="F24" s="74">
        <f>2*E24*$J$9*(0.5+0.5*D24)</f>
        <v/>
      </c>
      <c r="G24" s="74" t="n">
        <v>2</v>
      </c>
      <c r="H24" s="74">
        <f>F24*G24</f>
        <v/>
      </c>
      <c r="I24" s="79">
        <f>0.85+0.25*$J$10+0.20*D24</f>
        <v/>
      </c>
      <c r="J24" s="74">
        <f>I24*($J$8+2*$J$9)</f>
        <v/>
      </c>
      <c r="K24" s="74">
        <f>J24*G24</f>
        <v/>
      </c>
      <c r="L24" s="74" t="inlineStr">
        <is>
          <t>Station 4</t>
        </is>
      </c>
    </row>
    <row r="25">
      <c r="A25" s="74" t="n">
        <v>5</v>
      </c>
      <c r="B25" s="77" t="n">
        <v>0.5</v>
      </c>
      <c r="C25" s="74">
        <f>B25*$J$7</f>
        <v/>
      </c>
      <c r="D25" s="78">
        <f>$J$14</f>
        <v/>
      </c>
      <c r="E25" s="74">
        <f>($J$8/2)*D25</f>
        <v/>
      </c>
      <c r="F25" s="74">
        <f>2*E25*$J$9*(0.5+0.5*D25)</f>
        <v/>
      </c>
      <c r="G25" s="74" t="n">
        <v>4</v>
      </c>
      <c r="H25" s="74">
        <f>F25*G25</f>
        <v/>
      </c>
      <c r="I25" s="79">
        <f>0.85+0.25*$J$10+0.20*D25</f>
        <v/>
      </c>
      <c r="J25" s="74">
        <f>I25*($J$8+2*$J$9)</f>
        <v/>
      </c>
      <c r="K25" s="74">
        <f>J25*G25</f>
        <v/>
      </c>
      <c r="L25" s="74" t="inlineStr">
        <is>
          <t>Midship</t>
        </is>
      </c>
    </row>
    <row r="26">
      <c r="A26" s="74" t="n">
        <v>6</v>
      </c>
      <c r="B26" s="77" t="n">
        <v>0.6</v>
      </c>
      <c r="C26" s="74">
        <f>B26*$J$7</f>
        <v/>
      </c>
      <c r="D26" s="78">
        <f>$J$14</f>
        <v/>
      </c>
      <c r="E26" s="74">
        <f>($J$8/2)*D26</f>
        <v/>
      </c>
      <c r="F26" s="74">
        <f>2*E26*$J$9*(0.5+0.5*D26)</f>
        <v/>
      </c>
      <c r="G26" s="74" t="n">
        <v>2</v>
      </c>
      <c r="H26" s="74">
        <f>F26*G26</f>
        <v/>
      </c>
      <c r="I26" s="79">
        <f>0.85+0.25*$J$10+0.20*D26</f>
        <v/>
      </c>
      <c r="J26" s="74">
        <f>I26*($J$8+2*$J$9)</f>
        <v/>
      </c>
      <c r="K26" s="74">
        <f>J26*G26</f>
        <v/>
      </c>
      <c r="L26" s="74" t="inlineStr">
        <is>
          <t>Station 6</t>
        </is>
      </c>
    </row>
    <row r="27">
      <c r="A27" s="74" t="n">
        <v>7</v>
      </c>
      <c r="B27" s="77" t="n">
        <v>0.7</v>
      </c>
      <c r="C27" s="74">
        <f>B27*$J$7</f>
        <v/>
      </c>
      <c r="D27" s="78">
        <f>$J$14</f>
        <v/>
      </c>
      <c r="E27" s="74">
        <f>($J$8/2)*D27</f>
        <v/>
      </c>
      <c r="F27" s="74">
        <f>2*E27*$J$9*(0.5+0.5*D27)</f>
        <v/>
      </c>
      <c r="G27" s="74" t="n">
        <v>4</v>
      </c>
      <c r="H27" s="74">
        <f>F27*G27</f>
        <v/>
      </c>
      <c r="I27" s="79">
        <f>0.85+0.25*$J$10+0.20*D27</f>
        <v/>
      </c>
      <c r="J27" s="74">
        <f>I27*($J$8+2*$J$9)</f>
        <v/>
      </c>
      <c r="K27" s="74">
        <f>J27*G27</f>
        <v/>
      </c>
      <c r="L27" s="74" t="inlineStr">
        <is>
          <t>Station 7</t>
        </is>
      </c>
    </row>
    <row r="28">
      <c r="A28" s="74" t="n">
        <v>8</v>
      </c>
      <c r="B28" s="77" t="n">
        <v>0.8</v>
      </c>
      <c r="C28" s="74">
        <f>B28*$J$7</f>
        <v/>
      </c>
      <c r="D28" s="78">
        <f>$J$14-($J$14-$J$12)*(B28-0.8)/0.2</f>
        <v/>
      </c>
      <c r="E28" s="74">
        <f>($J$8/2)*D28</f>
        <v/>
      </c>
      <c r="F28" s="74">
        <f>2*E28*$J$9*(0.5+0.5*D28)</f>
        <v/>
      </c>
      <c r="G28" s="74" t="n">
        <v>2</v>
      </c>
      <c r="H28" s="74">
        <f>F28*G28</f>
        <v/>
      </c>
      <c r="I28" s="79">
        <f>0.85+0.25*$J$10+0.20*D28</f>
        <v/>
      </c>
      <c r="J28" s="74">
        <f>I28*($J$8+2*$J$9)</f>
        <v/>
      </c>
      <c r="K28" s="74">
        <f>J28*G28</f>
        <v/>
      </c>
      <c r="L28" s="74" t="inlineStr">
        <is>
          <t>Station 8</t>
        </is>
      </c>
    </row>
    <row r="29">
      <c r="A29" s="74" t="n">
        <v>9</v>
      </c>
      <c r="B29" s="77" t="n">
        <v>0.9</v>
      </c>
      <c r="C29" s="74">
        <f>B29*$J$7</f>
        <v/>
      </c>
      <c r="D29" s="78">
        <f>$J$14-($J$14-$J$12)*(B29-0.8)/0.2</f>
        <v/>
      </c>
      <c r="E29" s="74">
        <f>($J$8/2)*D29</f>
        <v/>
      </c>
      <c r="F29" s="74">
        <f>2*E29*$J$9*(0.5+0.5*D29)</f>
        <v/>
      </c>
      <c r="G29" s="74" t="n">
        <v>4</v>
      </c>
      <c r="H29" s="74">
        <f>F29*G29</f>
        <v/>
      </c>
      <c r="I29" s="79">
        <f>0.85+0.25*$J$10+0.20*D29</f>
        <v/>
      </c>
      <c r="J29" s="74">
        <f>I29*($J$8+2*$J$9)</f>
        <v/>
      </c>
      <c r="K29" s="74">
        <f>J29*G29</f>
        <v/>
      </c>
      <c r="L29" s="74" t="inlineStr">
        <is>
          <t>Station 9</t>
        </is>
      </c>
    </row>
    <row r="30">
      <c r="A30" s="74" t="n">
        <v>10</v>
      </c>
      <c r="B30" s="77" t="n">
        <v>1</v>
      </c>
      <c r="C30" s="74">
        <f>B30*$J$7</f>
        <v/>
      </c>
      <c r="D30" s="78">
        <f>$J$14-($J$14-$J$12)*(B30-0.8)/0.2</f>
        <v/>
      </c>
      <c r="E30" s="74">
        <f>($J$8/2)*D30</f>
        <v/>
      </c>
      <c r="F30" s="74">
        <f>2*E30*$J$9*(0.5+0.5*D30)</f>
        <v/>
      </c>
      <c r="G30" s="74" t="n">
        <v>1</v>
      </c>
      <c r="H30" s="74">
        <f>F30*G30</f>
        <v/>
      </c>
      <c r="I30" s="79">
        <f>0.85+0.25*$J$10+0.20*D30</f>
        <v/>
      </c>
      <c r="J30" s="74">
        <f>I30*($J$8+2*$J$9)</f>
        <v/>
      </c>
      <c r="K30" s="74">
        <f>J30*G30</f>
        <v/>
      </c>
      <c r="L30" s="74" t="inlineStr">
        <is>
          <t>FP (Bow)</t>
        </is>
      </c>
    </row>
    <row r="31">
      <c r="A31" s="124" t="inlineStr">
        <is>
          <t>Σ</t>
        </is>
      </c>
      <c r="B31" s="168" t="inlineStr">
        <is>
          <t>TOTAL Σ (Simpson Integration)</t>
        </is>
      </c>
      <c r="H31" s="81">
        <f>SUM(H20:H30)</f>
        <v/>
      </c>
      <c r="K31" s="81">
        <f>SUM(K20:K30)</f>
        <v/>
      </c>
    </row>
    <row r="34" ht="15.6" customHeight="1" s="144">
      <c r="A34" s="145" t="inlineStr">
        <is>
          <t>C. SIMPSON INTEGRATION RESULTS</t>
        </is>
      </c>
      <c r="B34" s="169" t="n"/>
      <c r="C34" s="169" t="n"/>
      <c r="D34" s="169" t="n"/>
      <c r="I34" s="166" t="inlineStr">
        <is>
          <t>📊 PARAMETRIC COMPARISON</t>
        </is>
      </c>
    </row>
    <row r="35">
      <c r="A35" s="74" t="inlineStr">
        <is>
          <t>Interval (h)</t>
        </is>
      </c>
      <c r="B35" s="82">
        <f>$J$7/10</f>
        <v/>
      </c>
      <c r="C35" s="74" t="inlineStr">
        <is>
          <t>m</t>
        </is>
      </c>
      <c r="D35" s="74" t="inlineStr">
        <is>
          <t>L/10 untuk 11 stasiun</t>
        </is>
      </c>
      <c r="I35" s="74" t="inlineStr">
        <is>
          <t>Volume Parametrik</t>
        </is>
      </c>
      <c r="K35" s="75">
        <f>$J$7*$J$8*$J$9*$J$10</f>
        <v/>
      </c>
      <c r="L35" s="74" t="inlineStr">
        <is>
          <t>m³</t>
        </is>
      </c>
      <c r="M35" s="74" t="inlineStr">
        <is>
          <t>L×B×T×Cb</t>
        </is>
      </c>
    </row>
    <row r="36">
      <c r="A36" s="83" t="inlineStr">
        <is>
          <t>🎯 VOLUME (Simpson)</t>
        </is>
      </c>
      <c r="B36" s="81">
        <f>(B35/3)*H31</f>
        <v/>
      </c>
      <c r="C36" s="74" t="inlineStr">
        <is>
          <t>m³</t>
        </is>
      </c>
      <c r="D36" s="74" t="inlineStr">
        <is>
          <t>V = (h/3) × Σ(A×SM)</t>
        </is>
      </c>
      <c r="I36" s="74" t="inlineStr">
        <is>
          <t>Volume Simpson</t>
        </is>
      </c>
      <c r="K36" s="75">
        <f>B36</f>
        <v/>
      </c>
      <c r="L36" s="74" t="inlineStr">
        <is>
          <t>m³</t>
        </is>
      </c>
      <c r="M36" s="74" t="inlineStr">
        <is>
          <t>Dari integrasi</t>
        </is>
      </c>
    </row>
    <row r="37">
      <c r="A37" s="83" t="inlineStr">
        <is>
          <t>🎯 DISPLACEMENT</t>
        </is>
      </c>
      <c r="B37" s="81">
        <f>B36*1.025</f>
        <v/>
      </c>
      <c r="C37" s="74" t="inlineStr">
        <is>
          <t>ton</t>
        </is>
      </c>
      <c r="D37" s="74" t="inlineStr">
        <is>
          <t>Disp = V × ρ_air</t>
        </is>
      </c>
      <c r="I37" s="74" t="inlineStr">
        <is>
          <t>Selisih Absolut</t>
        </is>
      </c>
      <c r="K37" s="75">
        <f>ABS(K36-K35)</f>
        <v/>
      </c>
      <c r="L37" s="74" t="inlineStr">
        <is>
          <t>m³</t>
        </is>
      </c>
      <c r="M37" s="74" t="inlineStr">
        <is>
          <t>|Simpson - Param|</t>
        </is>
      </c>
    </row>
    <row r="38">
      <c r="A38" s="83" t="inlineStr">
        <is>
          <t>🎯 WSA Underwater</t>
        </is>
      </c>
      <c r="B38" s="81">
        <f>(B35/3)*K31</f>
        <v/>
      </c>
      <c r="C38" s="74" t="inlineStr">
        <is>
          <t>m²</t>
        </is>
      </c>
      <c r="D38" s="74" t="inlineStr">
        <is>
          <t>WSA = (h/3) × Σ(Girth×SM)</t>
        </is>
      </c>
      <c r="I38" s="74" t="inlineStr">
        <is>
          <t>Error Relatif</t>
        </is>
      </c>
      <c r="K38" s="84">
        <f>K37/K35</f>
        <v/>
      </c>
      <c r="L38" s="74" t="inlineStr">
        <is>
          <t>%</t>
        </is>
      </c>
      <c r="M38" s="74" t="inlineStr">
        <is>
          <t>Target &lt; 5%</t>
        </is>
      </c>
    </row>
    <row r="39">
      <c r="A39" s="83" t="inlineStr">
        <is>
          <t>🎯 WSA Total (×2.5)</t>
        </is>
      </c>
      <c r="B39" s="81">
        <f>B38*2.5</f>
        <v/>
      </c>
      <c r="C39" s="74" t="inlineStr">
        <is>
          <t>m²</t>
        </is>
      </c>
      <c r="D39" s="74" t="inlineStr">
        <is>
          <t>Estimasi total B&amp;P area</t>
        </is>
      </c>
      <c r="I39" s="74" t="inlineStr">
        <is>
          <t>Status</t>
        </is>
      </c>
      <c r="K39" s="85">
        <f>IF(K38&lt;0.05,"✅ VALID","⚠️ CHECK")</f>
        <v/>
      </c>
      <c r="L39" s="74" t="inlineStr">
        <is>
          <t>-</t>
        </is>
      </c>
      <c r="M39" s="74" t="inlineStr">
        <is>
          <t>Auto validation</t>
        </is>
      </c>
    </row>
    <row r="42" ht="15.6" customHeight="1" s="144">
      <c r="A42" s="166" t="inlineStr">
        <is>
          <t>D. VALIDATION SYSTEM - Engineering Robustness Checks</t>
        </is>
      </c>
    </row>
    <row r="43">
      <c r="A43" s="73" t="inlineStr">
        <is>
          <t>No</t>
        </is>
      </c>
      <c r="B43" s="73" t="inlineStr">
        <is>
          <t>Validation Check</t>
        </is>
      </c>
      <c r="C43" s="73" t="inlineStr">
        <is>
          <t>Formula</t>
        </is>
      </c>
      <c r="D43" s="73" t="inlineStr">
        <is>
          <t>Result</t>
        </is>
      </c>
      <c r="E43" s="73" t="inlineStr">
        <is>
          <t>Threshold</t>
        </is>
      </c>
      <c r="F43" s="73" t="inlineStr">
        <is>
          <t>Status</t>
        </is>
      </c>
      <c r="G43" s="73" t="inlineStr">
        <is>
          <t>Keterangan</t>
        </is>
      </c>
    </row>
    <row r="44">
      <c r="A44" s="74" t="n">
        <v>1</v>
      </c>
      <c r="B44" s="74" t="inlineStr">
        <is>
          <t>Simpson vs Parametrik Error</t>
        </is>
      </c>
      <c r="C44" s="86">
        <f>K38</f>
        <v/>
      </c>
      <c r="D44" s="74" t="inlineStr">
        <is>
          <t>&lt; 5%</t>
        </is>
      </c>
      <c r="E44" s="74">
        <f>IF(C44&lt;0.05,"✅ PASS","❌ FAIL")</f>
        <v/>
      </c>
      <c r="F44" s="74" t="inlineStr">
        <is>
          <t>Volume harus konsisten</t>
        </is>
      </c>
    </row>
    <row r="45">
      <c r="A45" s="74" t="n">
        <v>2</v>
      </c>
      <c r="B45" s="74" t="inlineStr">
        <is>
          <t>Cb Range Check</t>
        </is>
      </c>
      <c r="C45" s="75">
        <f>$J$10</f>
        <v/>
      </c>
      <c r="D45" s="74" t="inlineStr">
        <is>
          <t>0.5 - 0.95</t>
        </is>
      </c>
      <c r="E45" s="74">
        <f>IF(AND(C45&gt;=0.5,C45&lt;=0.95),"✅ PASS","❌ FAIL")</f>
        <v/>
      </c>
      <c r="F45" s="74" t="inlineStr">
        <is>
          <t>Cb harus dalam range valid</t>
        </is>
      </c>
    </row>
    <row r="46">
      <c r="A46" s="74" t="n">
        <v>3</v>
      </c>
      <c r="B46" s="74" t="inlineStr">
        <is>
          <t>L/B Ratio</t>
        </is>
      </c>
      <c r="C46" s="87">
        <f>$J$7/$J$8</f>
        <v/>
      </c>
      <c r="D46" s="74" t="inlineStr">
        <is>
          <t>3 - 10</t>
        </is>
      </c>
      <c r="E46" s="74">
        <f>IF(AND(C46&gt;=3,C46&lt;=10),"✅ PASS","⚠️ CHECK")</f>
        <v/>
      </c>
      <c r="F46" s="74" t="inlineStr">
        <is>
          <t>Rasio panjang/lebar</t>
        </is>
      </c>
    </row>
    <row r="47">
      <c r="A47" s="74" t="n">
        <v>4</v>
      </c>
      <c r="B47" s="74" t="inlineStr">
        <is>
          <t>B/T Ratio</t>
        </is>
      </c>
      <c r="C47" s="87">
        <f>$J$8/$J$9</f>
        <v/>
      </c>
      <c r="D47" s="74" t="inlineStr">
        <is>
          <t>2 - 5</t>
        </is>
      </c>
      <c r="E47" s="74">
        <f>IF(AND(C47&gt;=2,C47&lt;=5),"✅ PASS","⚠️ CHECK")</f>
        <v/>
      </c>
      <c r="F47" s="74" t="inlineStr">
        <is>
          <t>Rasio lebar/sarat</t>
        </is>
      </c>
    </row>
    <row r="48">
      <c r="A48" s="74" t="n">
        <v>5</v>
      </c>
      <c r="B48" s="74" t="inlineStr">
        <is>
          <t>Shape Continuity</t>
        </is>
      </c>
      <c r="C48" s="87">
        <f>MAX(D20:D30)-MIN(D20:D30)</f>
        <v/>
      </c>
      <c r="D48" s="74" t="inlineStr">
        <is>
          <t>&lt; 0.8</t>
        </is>
      </c>
      <c r="E48" s="74">
        <f>IF(C48&lt;0.8,"✅ PASS","⚠️ CHECK")</f>
        <v/>
      </c>
      <c r="F48" s="74" t="inlineStr">
        <is>
          <t>Bentuk hull harus smooth</t>
        </is>
      </c>
    </row>
    <row r="49">
      <c r="A49" s="74" t="n">
        <v>6</v>
      </c>
      <c r="B49" s="74" t="inlineStr">
        <is>
          <t>WSA Reasonability</t>
        </is>
      </c>
      <c r="C49" s="87">
        <f>B38/($J$7*$J$8)</f>
        <v/>
      </c>
      <c r="D49" s="74" t="inlineStr">
        <is>
          <t>0.7 - 1.8</t>
        </is>
      </c>
      <c r="E49" s="74">
        <f>IF(AND(C49&gt;=0.7,C49&lt;=1.8),"✅ PASS","⚠️ CHECK")</f>
        <v/>
      </c>
      <c r="F49" s="74" t="inlineStr">
        <is>
          <t>WSA/LB harus reasonable</t>
        </is>
      </c>
    </row>
    <row r="51" ht="15.6" customHeight="1" s="144">
      <c r="A51" s="88" t="inlineStr">
        <is>
          <t>🎯 OVERALL VALIDATION STATUS</t>
        </is>
      </c>
      <c r="C51" s="81">
        <f>IF(COUNTIF(E44:E49,"❌ FAIL")&gt;0,"❌ FAILED",IF(COUNTIF(E44:E49,"⚠️ CHECK")&gt;0,"⚠️ REVIEW","✅ ALL PASSED"))</f>
        <v/>
      </c>
    </row>
    <row r="54" ht="15.6" customHeight="1" s="144">
      <c r="A54" s="166" t="inlineStr">
        <is>
          <t>E. STRUCTURE BREAKDOWN - Pemisahan Komponen (Underwater / Topside / Deck / Internal)</t>
        </is>
      </c>
    </row>
    <row r="55" ht="28.8" customHeight="1" s="144">
      <c r="A55" s="76" t="inlineStr">
        <is>
          <t>No</t>
        </is>
      </c>
      <c r="B55" s="76" t="inlineStr">
        <is>
          <t>Komponen</t>
        </is>
      </c>
      <c r="C55" s="76" t="inlineStr">
        <is>
          <t>Rumus Area</t>
        </is>
      </c>
      <c r="D55" s="76" t="inlineStr">
        <is>
          <t>Area (m²)</t>
        </is>
      </c>
      <c r="E55" s="76" t="inlineStr">
        <is>
          <t>Tebal (m)</t>
        </is>
      </c>
      <c r="F55" s="76" t="inlineStr">
        <is>
          <t>Vol Pelat (m³)</t>
        </is>
      </c>
      <c r="G55" s="76" t="inlineStr">
        <is>
          <t>Berat (ton)</t>
        </is>
      </c>
      <c r="H55" s="76" t="inlineStr">
        <is>
          <t>Faktor</t>
        </is>
      </c>
      <c r="I55" s="76" t="inlineStr">
        <is>
          <t>Berat Total</t>
        </is>
      </c>
      <c r="J55" s="76" t="inlineStr">
        <is>
          <t>% Total</t>
        </is>
      </c>
      <c r="K55" s="76" t="inlineStr">
        <is>
          <t>Keterangan</t>
        </is>
      </c>
    </row>
    <row r="56">
      <c r="A56" s="170" t="inlineStr">
        <is>
          <t>── UNDERWATER ──</t>
        </is>
      </c>
    </row>
    <row r="57">
      <c r="A57" s="74" t="n">
        <v>1</v>
      </c>
      <c r="B57" s="74" t="inlineStr">
        <is>
          <t>Bottom Shell</t>
        </is>
      </c>
      <c r="C57" s="74" t="inlineStr">
        <is>
          <t>L × B × 0.9</t>
        </is>
      </c>
      <c r="D57" s="74">
        <f>$J$7*$J$8*0.9</f>
        <v/>
      </c>
      <c r="E57" s="90" t="n">
        <v>0.018</v>
      </c>
      <c r="F57" s="74">
        <f>D57*E57</f>
        <v/>
      </c>
      <c r="G57" s="74">
        <f>F57*7.85</f>
        <v/>
      </c>
      <c r="H57" s="74" t="n">
        <v>1.1</v>
      </c>
      <c r="I57" s="74">
        <f>G57*H57</f>
        <v/>
      </c>
      <c r="J57" s="91">
        <f>I57/$I$78</f>
        <v/>
      </c>
      <c r="K57" s="74" t="inlineStr">
        <is>
          <t>Pelat dasar</t>
        </is>
      </c>
    </row>
    <row r="58">
      <c r="A58" s="74" t="n">
        <v>2</v>
      </c>
      <c r="B58" s="74" t="inlineStr">
        <is>
          <t>Side Shell (underwater)</t>
        </is>
      </c>
      <c r="C58" s="74" t="inlineStr">
        <is>
          <t>WSA_uw - Bottom</t>
        </is>
      </c>
      <c r="D58" s="74">
        <f>B38-D57</f>
        <v/>
      </c>
      <c r="E58" s="90" t="n">
        <v>0.016</v>
      </c>
      <c r="F58" s="74">
        <f>D58*E58</f>
        <v/>
      </c>
      <c r="G58" s="74">
        <f>F58*7.85</f>
        <v/>
      </c>
      <c r="H58" s="74" t="n">
        <v>1.1</v>
      </c>
      <c r="I58" s="74">
        <f>G58*H58</f>
        <v/>
      </c>
      <c r="J58" s="91">
        <f>I58/$I$78</f>
        <v/>
      </c>
      <c r="K58" s="74" t="inlineStr">
        <is>
          <t>Pelat sisi bawah WL</t>
        </is>
      </c>
    </row>
    <row r="59">
      <c r="A59" s="170" t="inlineStr">
        <is>
          <t>── TOPSIDE ──</t>
        </is>
      </c>
    </row>
    <row r="60">
      <c r="A60" s="74" t="n">
        <v>3</v>
      </c>
      <c r="B60" s="74" t="inlineStr">
        <is>
          <t>Side Shell (topside)</t>
        </is>
      </c>
      <c r="C60" s="74" t="inlineStr">
        <is>
          <t>L × Freeboard × 2</t>
        </is>
      </c>
      <c r="D60" s="74">
        <f>'📝 INPUT DATA'!C8*'📝 INPUT DATA'!C12*2</f>
        <v/>
      </c>
      <c r="E60" s="90" t="n">
        <v>0.012</v>
      </c>
      <c r="F60" s="74">
        <f>D60*E60</f>
        <v/>
      </c>
      <c r="G60" s="74">
        <f>F60*7.85</f>
        <v/>
      </c>
      <c r="H60" s="74" t="n">
        <v>1.1</v>
      </c>
      <c r="I60" s="74">
        <f>G60*H60</f>
        <v/>
      </c>
      <c r="J60" s="91">
        <f>I60/$I$78</f>
        <v/>
      </c>
      <c r="K60" s="74" t="inlineStr">
        <is>
          <t>Pelat sisi atas WL</t>
        </is>
      </c>
    </row>
    <row r="61">
      <c r="A61" s="74" t="n">
        <v>4</v>
      </c>
      <c r="B61" s="74" t="inlineStr">
        <is>
          <t>Transom</t>
        </is>
      </c>
      <c r="C61" s="74" t="inlineStr">
        <is>
          <t>B × Freeboard</t>
        </is>
      </c>
      <c r="D61" s="74">
        <f>'📝 INPUT DATA'!C9*'📝 INPUT DATA'!C12</f>
        <v/>
      </c>
      <c r="E61" s="90" t="n">
        <v>0.012</v>
      </c>
      <c r="F61" s="74">
        <f>D61*E61</f>
        <v/>
      </c>
      <c r="G61" s="74">
        <f>F61*7.85</f>
        <v/>
      </c>
      <c r="H61" s="74" t="n">
        <v>1.1</v>
      </c>
      <c r="I61" s="74">
        <f>G61*H61</f>
        <v/>
      </c>
      <c r="J61" s="91">
        <f>I61/$I$78</f>
        <v/>
      </c>
      <c r="K61" s="74" t="inlineStr">
        <is>
          <t>Pelat buritan</t>
        </is>
      </c>
    </row>
    <row r="62">
      <c r="A62" s="74" t="n">
        <v>5</v>
      </c>
      <c r="B62" s="74" t="inlineStr">
        <is>
          <t>Bow</t>
        </is>
      </c>
      <c r="C62" s="74" t="inlineStr">
        <is>
          <t>B × Freeboard × 0.5</t>
        </is>
      </c>
      <c r="D62" s="74">
        <f>'📝 INPUT DATA'!C9*'📝 INPUT DATA'!C12*0.5</f>
        <v/>
      </c>
      <c r="E62" s="90" t="n">
        <v>0.012</v>
      </c>
      <c r="F62" s="74">
        <f>D62*E62</f>
        <v/>
      </c>
      <c r="G62" s="74">
        <f>F62*7.85</f>
        <v/>
      </c>
      <c r="H62" s="74" t="n">
        <v>1.1</v>
      </c>
      <c r="I62" s="74">
        <f>G62*H62</f>
        <v/>
      </c>
      <c r="J62" s="91">
        <f>I62/$I$78</f>
        <v/>
      </c>
      <c r="K62" s="74" t="inlineStr">
        <is>
          <t>Pelat haluan</t>
        </is>
      </c>
    </row>
    <row r="63">
      <c r="A63" s="170" t="inlineStr">
        <is>
          <t>── DECK ──</t>
        </is>
      </c>
    </row>
    <row r="64">
      <c r="A64" s="74" t="n">
        <v>6</v>
      </c>
      <c r="B64" s="74" t="inlineStr">
        <is>
          <t>Main Deck</t>
        </is>
      </c>
      <c r="C64" s="74" t="inlineStr">
        <is>
          <t>L × B</t>
        </is>
      </c>
      <c r="D64" s="74">
        <f>$J$7*$J$8</f>
        <v/>
      </c>
      <c r="E64" s="90" t="n">
        <v>0.012</v>
      </c>
      <c r="F64" s="74">
        <f>D64*E64</f>
        <v/>
      </c>
      <c r="G64" s="74">
        <f>F64*7.85</f>
        <v/>
      </c>
      <c r="H64" s="74" t="n">
        <v>1.1</v>
      </c>
      <c r="I64" s="74">
        <f>G64*H64</f>
        <v/>
      </c>
      <c r="J64" s="91">
        <f>I64/$I$78</f>
        <v/>
      </c>
      <c r="K64" s="74" t="inlineStr">
        <is>
          <t>Geladak utama</t>
        </is>
      </c>
    </row>
    <row r="65">
      <c r="A65" s="74" t="n">
        <v>7</v>
      </c>
      <c r="B65" s="74" t="inlineStr">
        <is>
          <t>Internal Deck</t>
        </is>
      </c>
      <c r="C65" s="74" t="inlineStr">
        <is>
          <t>L × B × 0.3</t>
        </is>
      </c>
      <c r="D65" s="74">
        <f>$J$7*$J$8*0.3</f>
        <v/>
      </c>
      <c r="E65" s="90" t="n">
        <v>0.01</v>
      </c>
      <c r="F65" s="74">
        <f>D65*E65</f>
        <v/>
      </c>
      <c r="G65" s="74">
        <f>F65*7.85</f>
        <v/>
      </c>
      <c r="H65" s="74" t="n">
        <v>1.1</v>
      </c>
      <c r="I65" s="74">
        <f>G65*H65</f>
        <v/>
      </c>
      <c r="J65" s="91">
        <f>I65/$I$78</f>
        <v/>
      </c>
      <c r="K65" s="74" t="inlineStr">
        <is>
          <t>Geladak internal</t>
        </is>
      </c>
    </row>
    <row r="66">
      <c r="A66" s="170" t="inlineStr">
        <is>
          <t>── BULWARK ──</t>
        </is>
      </c>
    </row>
    <row r="67">
      <c r="A67" s="74" t="n">
        <v>8</v>
      </c>
      <c r="B67" s="74" t="inlineStr">
        <is>
          <t>Bulwark (2 sisi)</t>
        </is>
      </c>
      <c r="C67" s="74" t="inlineStr">
        <is>
          <t>L × 1.0 × 2 sisi × 2 face</t>
        </is>
      </c>
      <c r="D67" s="74">
        <f>'📝 INPUT DATA'!C8*1.0*2*2</f>
        <v/>
      </c>
      <c r="E67" s="90" t="n">
        <v>0.008</v>
      </c>
      <c r="F67" s="74">
        <f>D67*E67</f>
        <v/>
      </c>
      <c r="G67" s="74">
        <f>F67*7.85</f>
        <v/>
      </c>
      <c r="H67" s="74" t="n">
        <v>1.1</v>
      </c>
      <c r="I67" s="74">
        <f>G67*H67</f>
        <v/>
      </c>
      <c r="J67" s="91">
        <f>I67/$I$78</f>
        <v/>
      </c>
      <c r="K67" s="74" t="inlineStr">
        <is>
          <t>Pagar kapal</t>
        </is>
      </c>
    </row>
    <row r="68">
      <c r="A68" s="170" t="inlineStr">
        <is>
          <t>── SUPERSTRUCTURE ──</t>
        </is>
      </c>
    </row>
    <row r="69">
      <c r="A69" s="74" t="n">
        <v>9</v>
      </c>
      <c r="B69" s="74" t="inlineStr">
        <is>
          <t>Wheelhouse</t>
        </is>
      </c>
      <c r="C69" s="74" t="inlineStr">
        <is>
          <t>2×(0.3L+0.7B)×2.5 + 0.3L×0.7B (scalable)</t>
        </is>
      </c>
      <c r="D69" s="74">
        <f>2*(0.3*'📝 INPUT DATA'!C8+0.7*'📝 INPUT DATA'!C9)*2.5 + (0.3*'📝 INPUT DATA'!C8)*(0.7*'📝 INPUT DATA'!C9)</f>
        <v/>
      </c>
      <c r="E69" s="90" t="n">
        <v>0.006</v>
      </c>
      <c r="F69" s="74">
        <f>D69*E69</f>
        <v/>
      </c>
      <c r="G69" s="74">
        <f>F69*7.85</f>
        <v/>
      </c>
      <c r="H69" s="74" t="n">
        <v>1.1</v>
      </c>
      <c r="I69" s="74">
        <f>G69*H69</f>
        <v/>
      </c>
      <c r="J69" s="91">
        <f>I69/$I$78</f>
        <v/>
      </c>
      <c r="K69" s="74" t="inlineStr">
        <is>
          <t>Rumah kemudi</t>
        </is>
      </c>
    </row>
    <row r="70">
      <c r="A70" s="74" t="n">
        <v>10</v>
      </c>
      <c r="B70" s="74" t="inlineStr">
        <is>
          <t>Other Structure</t>
        </is>
      </c>
      <c r="C70" s="74" t="inlineStr">
        <is>
          <t>Estimasi = L×B×0.4</t>
        </is>
      </c>
      <c r="D70" s="74">
        <f>'📝 INPUT DATA'!C8*'📝 INPUT DATA'!C9*0.4</f>
        <v/>
      </c>
      <c r="E70" s="90" t="n">
        <v>0.006</v>
      </c>
      <c r="F70" s="74">
        <f>D70*E70</f>
        <v/>
      </c>
      <c r="G70" s="74">
        <f>F70*7.85</f>
        <v/>
      </c>
      <c r="H70" s="74" t="n">
        <v>1.1</v>
      </c>
      <c r="I70" s="74">
        <f>G70*H70</f>
        <v/>
      </c>
      <c r="J70" s="91">
        <f>I70/$I$78</f>
        <v/>
      </c>
      <c r="K70" s="74" t="inlineStr">
        <is>
          <t>Struktur lainnya</t>
        </is>
      </c>
    </row>
    <row r="71">
      <c r="A71" s="170" t="inlineStr">
        <is>
          <t>── INTERNAL ──</t>
        </is>
      </c>
    </row>
    <row r="72">
      <c r="A72" s="74" t="n">
        <v>11</v>
      </c>
      <c r="B72" s="74" t="inlineStr">
        <is>
          <t>Tangki (internal)</t>
        </is>
      </c>
      <c r="C72" s="74" t="inlineStr">
        <is>
          <t>6×(0.25·L·B + 0.25·L·T + 0.5·B·T)</t>
        </is>
      </c>
      <c r="D72" s="74">
        <f>6*(0.25*'📝 INPUT DATA'!C8*'📝 INPUT DATA'!C9 + 0.25*'📝 INPUT DATA'!C8*'📝 INPUT DATA'!C11 + 0.5*'📝 INPUT DATA'!C9*'📝 INPUT DATA'!C11)</f>
        <v/>
      </c>
      <c r="E72" s="90" t="n">
        <v>0.01</v>
      </c>
      <c r="F72" s="74">
        <f>D72*E72</f>
        <v/>
      </c>
      <c r="G72" s="74">
        <f>F72*7.85</f>
        <v/>
      </c>
      <c r="H72" s="74" t="n">
        <v>1.1</v>
      </c>
      <c r="I72" s="74">
        <f>G72*H72</f>
        <v/>
      </c>
      <c r="J72" s="91">
        <f>I72/$I$78</f>
        <v/>
      </c>
      <c r="K72" s="74" t="inlineStr">
        <is>
          <t>Tangki internal</t>
        </is>
      </c>
    </row>
    <row r="78">
      <c r="A78" s="171" t="inlineStr">
        <is>
          <t>🎯 TOTAL BERAT STRUKTUR</t>
        </is>
      </c>
      <c r="D78" s="85">
        <f>SUM(D57:D77)</f>
        <v/>
      </c>
      <c r="F78" s="85">
        <f>SUM(F57:F77)</f>
        <v/>
      </c>
      <c r="G78" s="85">
        <f>SUM(G57:G77)</f>
        <v/>
      </c>
      <c r="I78" s="81">
        <f>SUM(I57:I77)</f>
        <v/>
      </c>
      <c r="J78" s="74" t="inlineStr">
        <is>
          <t>100%</t>
        </is>
      </c>
    </row>
    <row r="81" ht="15.6" customHeight="1" s="144">
      <c r="A81" s="166" t="inlineStr">
        <is>
          <t>F. FINAL SUMMARY - Engineering Output</t>
        </is>
      </c>
    </row>
    <row r="82">
      <c r="A82" s="120" t="inlineStr">
        <is>
          <t>HYDROSTATICS</t>
        </is>
      </c>
    </row>
    <row r="83">
      <c r="A83" s="74" t="inlineStr">
        <is>
          <t>Volume Underwater</t>
        </is>
      </c>
      <c r="B83" s="81">
        <f>B36</f>
        <v/>
      </c>
      <c r="C83" s="74" t="inlineStr">
        <is>
          <t>m³</t>
        </is>
      </c>
      <c r="D83" s="74" t="inlineStr">
        <is>
          <t>Simpson Integration</t>
        </is>
      </c>
    </row>
    <row r="84">
      <c r="A84" s="74" t="inlineStr">
        <is>
          <t>Displacement</t>
        </is>
      </c>
      <c r="B84" s="81">
        <f>B37</f>
        <v/>
      </c>
      <c r="C84" s="74" t="inlineStr">
        <is>
          <t>ton</t>
        </is>
      </c>
      <c r="D84" s="74" t="inlineStr">
        <is>
          <t>V × 1.025</t>
        </is>
      </c>
    </row>
    <row r="85">
      <c r="A85" s="74" t="inlineStr">
        <is>
          <t>Cb Effective</t>
        </is>
      </c>
      <c r="B85" s="81">
        <f>B36/($J$7*$J$8*$J$9)</f>
        <v/>
      </c>
      <c r="C85" s="74" t="inlineStr">
        <is>
          <t>-</t>
        </is>
      </c>
      <c r="D85" s="74" t="inlineStr">
        <is>
          <t>V/(L×B×T)</t>
        </is>
      </c>
    </row>
    <row r="87">
      <c r="A87" s="120" t="inlineStr">
        <is>
          <t>SURFACE AREAS</t>
        </is>
      </c>
    </row>
    <row r="88">
      <c r="A88" s="74" t="inlineStr">
        <is>
          <t>WSA Underwater</t>
        </is>
      </c>
      <c r="B88" s="81">
        <f>B38</f>
        <v/>
      </c>
      <c r="C88" s="74" t="inlineStr">
        <is>
          <t>m²</t>
        </is>
      </c>
      <c r="D88" s="74" t="inlineStr">
        <is>
          <t>Simpson Integration</t>
        </is>
      </c>
    </row>
    <row r="89">
      <c r="A89" s="74" t="inlineStr">
        <is>
          <t>WSA Total (B&amp;P)</t>
        </is>
      </c>
      <c r="B89" s="81">
        <f>B39</f>
        <v/>
      </c>
      <c r="C89" s="74" t="inlineStr">
        <is>
          <t>m²</t>
        </is>
      </c>
      <c r="D89" s="74" t="inlineStr">
        <is>
          <t>WSA × 2.5</t>
        </is>
      </c>
    </row>
    <row r="91">
      <c r="A91" s="120" t="inlineStr">
        <is>
          <t>STRUCTURE</t>
        </is>
      </c>
    </row>
    <row r="92">
      <c r="A92" s="74" t="inlineStr">
        <is>
          <t>Total Berat Struktur</t>
        </is>
      </c>
      <c r="B92" s="81">
        <f>I78</f>
        <v/>
      </c>
      <c r="C92" s="74" t="inlineStr">
        <is>
          <t>ton</t>
        </is>
      </c>
      <c r="D92" s="74" t="inlineStr">
        <is>
          <t>Dengan stiffener</t>
        </is>
      </c>
    </row>
    <row r="93">
      <c r="A93" s="74" t="inlineStr">
        <is>
          <t>Deadweight (DWT)</t>
        </is>
      </c>
      <c r="B93" s="81">
        <f>B37-I78</f>
        <v/>
      </c>
      <c r="C93" s="74" t="inlineStr">
        <is>
          <t>ton</t>
        </is>
      </c>
      <c r="D93" s="74" t="inlineStr">
        <is>
          <t>Disp - Lightship</t>
        </is>
      </c>
    </row>
    <row r="94">
      <c r="A94" s="74" t="inlineStr">
        <is>
          <t>DWT Ratio</t>
        </is>
      </c>
      <c r="B94" s="92">
        <f>(B37-I78)/B37</f>
        <v/>
      </c>
      <c r="C94" s="74" t="inlineStr">
        <is>
          <t>%</t>
        </is>
      </c>
      <c r="D94" s="74" t="inlineStr">
        <is>
          <t>DWT/Disp</t>
        </is>
      </c>
    </row>
    <row r="96">
      <c r="A96" s="120" t="inlineStr">
        <is>
          <t>VALIDATION</t>
        </is>
      </c>
    </row>
    <row r="97">
      <c r="A97" s="74" t="inlineStr">
        <is>
          <t>Simpson vs Param Error</t>
        </is>
      </c>
      <c r="B97" s="92">
        <f>K38</f>
        <v/>
      </c>
      <c r="C97" s="74" t="inlineStr">
        <is>
          <t>%</t>
        </is>
      </c>
      <c r="D97" s="74" t="inlineStr">
        <is>
          <t>Target &lt; 5%</t>
        </is>
      </c>
    </row>
    <row r="98">
      <c r="A98" s="74" t="inlineStr">
        <is>
          <t>Overall Status</t>
        </is>
      </c>
      <c r="B98" s="81">
        <f>C51</f>
        <v/>
      </c>
      <c r="C98" s="74" t="inlineStr">
        <is>
          <t>-</t>
        </is>
      </c>
      <c r="D98" s="74" t="inlineStr">
        <is>
          <t>Auto check</t>
        </is>
      </c>
    </row>
  </sheetData>
  <mergeCells count="19">
    <mergeCell ref="A59:K59"/>
    <mergeCell ref="A4:G4"/>
    <mergeCell ref="A1:N1"/>
    <mergeCell ref="A34:D34"/>
    <mergeCell ref="A54:N54"/>
    <mergeCell ref="A66:K66"/>
    <mergeCell ref="I4:N4"/>
    <mergeCell ref="A56:K56"/>
    <mergeCell ref="A18:N18"/>
    <mergeCell ref="A2:N2"/>
    <mergeCell ref="A71:K71"/>
    <mergeCell ref="A42:N42"/>
    <mergeCell ref="I34:N34"/>
    <mergeCell ref="A17:N17"/>
    <mergeCell ref="B31:G31"/>
    <mergeCell ref="A63:K63"/>
    <mergeCell ref="A81:N81"/>
    <mergeCell ref="A78:C78"/>
    <mergeCell ref="A68:K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:G1"/>
    </sheetView>
  </sheetViews>
  <sheetFormatPr baseColWidth="8" defaultColWidth="9.109375" defaultRowHeight="15" customHeight="1"/>
  <cols>
    <col width="20" customWidth="1" style="144" min="1" max="1"/>
    <col width="10" customWidth="1" style="144" min="2" max="2"/>
    <col width="12" customWidth="1" style="144" min="3" max="6"/>
    <col width="40" customWidth="1" style="144" min="7" max="7"/>
    <col width="5" customWidth="1" style="144" min="8" max="8"/>
    <col width="15" customWidth="1" style="144" min="9" max="9"/>
    <col width="10" customWidth="1" style="144" min="10" max="10"/>
    <col width="40" customWidth="1" style="144" min="11" max="11"/>
  </cols>
  <sheetData>
    <row r="1" ht="35.25" customHeight="1" s="144">
      <c r="A1" s="113" t="inlineStr">
        <is>
          <t>🔧 VESSEL FACTOR LOOKUP TABLE</t>
        </is>
      </c>
      <c r="I1" s="126" t="inlineStr">
        <is>
          <t>📊 KONDISI KAPAL</t>
        </is>
      </c>
    </row>
    <row r="2" ht="15" customHeight="1" s="144">
      <c r="A2" s="117" t="inlineStr">
        <is>
          <t>Faktor koreksi dikalibrasi dari 8 quotation MNB Shipyard 2026 (TB UVM 88, TB ENTEBE, LCT EUNIKE, BG WIRANDI XV, dll)</t>
        </is>
      </c>
      <c r="I2" s="1" t="inlineStr">
        <is>
          <t>Kondisi</t>
        </is>
      </c>
      <c r="J2" s="1" t="inlineStr">
        <is>
          <t>Faktor MH</t>
        </is>
      </c>
      <c r="K2" s="1" t="inlineStr">
        <is>
          <t>Keterangan</t>
        </is>
      </c>
    </row>
    <row r="3" ht="15" customHeight="1" s="144">
      <c r="I3" s="17" t="inlineStr">
        <is>
          <t>Baik</t>
        </is>
      </c>
      <c r="J3" s="18" t="n">
        <v>1</v>
      </c>
      <c r="K3" s="19" t="inlineStr">
        <is>
          <t>Kapal terawat, korosi minimal</t>
        </is>
      </c>
    </row>
    <row r="4" ht="15" customHeight="1" s="144">
      <c r="A4" s="20" t="inlineStr">
        <is>
          <t>Jenis Kapal</t>
        </is>
      </c>
      <c r="B4" s="20" t="inlineStr">
        <is>
          <t>Cb</t>
        </is>
      </c>
      <c r="C4" s="20" t="inlineStr">
        <is>
          <t>Faktor Appendage</t>
        </is>
      </c>
      <c r="D4" s="20" t="inlineStr">
        <is>
          <t>Topside</t>
        </is>
      </c>
      <c r="E4" s="20" t="inlineStr">
        <is>
          <t>Bulwark</t>
        </is>
      </c>
      <c r="F4" s="20" t="inlineStr">
        <is>
          <t>Haluan</t>
        </is>
      </c>
      <c r="G4" s="104" t="inlineStr">
        <is>
          <t>Faktor Draft (T/D)</t>
        </is>
      </c>
      <c r="H4" s="105" t="inlineStr">
        <is>
          <t>Keterangan</t>
        </is>
      </c>
      <c r="I4" s="17" t="inlineStr">
        <is>
          <t>Sedang</t>
        </is>
      </c>
      <c r="J4" s="18" t="n">
        <v>1.3</v>
      </c>
      <c r="K4" s="19" t="inlineStr">
        <is>
          <t>Korosi sedang, perlu persiapan lebih</t>
        </is>
      </c>
    </row>
    <row r="5" ht="15" customHeight="1" s="144">
      <c r="A5" s="17" t="inlineStr">
        <is>
          <t>Tongkang/Barge</t>
        </is>
      </c>
      <c r="B5" s="21" t="n">
        <v>0.9</v>
      </c>
      <c r="C5" s="21" t="n">
        <v>0.96</v>
      </c>
      <c r="D5" s="21" t="n">
        <v>6.3</v>
      </c>
      <c r="E5" s="21" t="n">
        <v>2</v>
      </c>
      <c r="F5" s="21" t="n">
        <v>0.5</v>
      </c>
      <c r="G5" s="192" t="n">
        <v>0.55</v>
      </c>
      <c r="H5" s="0" t="inlineStr">
        <is>
          <t>Kalibrasi dari OB WIRANDI XV (67m, 1926m²)</t>
        </is>
      </c>
      <c r="I5" s="17" t="inlineStr">
        <is>
          <t>Buruk</t>
        </is>
      </c>
      <c r="J5" s="18" t="n">
        <v>1.5</v>
      </c>
      <c r="K5" s="19" t="inlineStr">
        <is>
          <t>Korosi berat, banyak kerusakan</t>
        </is>
      </c>
    </row>
    <row r="6" ht="15" customHeight="1" s="144">
      <c r="A6" s="22" t="inlineStr">
        <is>
          <t>Tugboat</t>
        </is>
      </c>
      <c r="B6" s="23" t="n">
        <v>0.55</v>
      </c>
      <c r="C6" s="23" t="n">
        <v>1.12</v>
      </c>
      <c r="D6" s="23" t="n">
        <v>4.2</v>
      </c>
      <c r="E6" s="23" t="n">
        <v>2.2</v>
      </c>
      <c r="F6" s="23" t="n">
        <v>0.6</v>
      </c>
      <c r="G6" s="193" t="n">
        <v>0.75</v>
      </c>
      <c r="H6" s="0" t="inlineStr">
        <is>
          <t>Kalibrasi dari TB UVM 88 &amp; TB ENTEBE EMERALD</t>
        </is>
      </c>
      <c r="I6" s="17" t="inlineStr">
        <is>
          <t>Sangat Buruk</t>
        </is>
      </c>
      <c r="J6" s="18" t="n">
        <v>2</v>
      </c>
      <c r="K6" s="19" t="inlineStr">
        <is>
          <t>Korosi sangat berat, perlu perbaikan ekstensif</t>
        </is>
      </c>
    </row>
    <row r="7" ht="15" customHeight="1" s="144">
      <c r="A7" s="17" t="inlineStr">
        <is>
          <t>Cargo Ship</t>
        </is>
      </c>
      <c r="B7" s="21" t="n">
        <v>0.65</v>
      </c>
      <c r="C7" s="21" t="n">
        <v>1</v>
      </c>
      <c r="D7" s="21" t="n">
        <v>3.5</v>
      </c>
      <c r="E7" s="21" t="n">
        <v>2</v>
      </c>
      <c r="F7" s="21" t="n">
        <v>0.55</v>
      </c>
      <c r="G7" s="192" t="n">
        <v>0.75</v>
      </c>
      <c r="H7" s="0" t="inlineStr">
        <is>
          <t>Estimasi; belum divalidasi lapangan</t>
        </is>
      </c>
    </row>
    <row r="8" ht="15" customHeight="1" s="144">
      <c r="A8" s="22" t="inlineStr">
        <is>
          <t>Tanker</t>
        </is>
      </c>
      <c r="B8" s="23" t="n">
        <v>0.78</v>
      </c>
      <c r="C8" s="23" t="n">
        <v>0.98</v>
      </c>
      <c r="D8" s="23" t="n">
        <v>3</v>
      </c>
      <c r="E8" s="23" t="n">
        <v>1.8</v>
      </c>
      <c r="F8" s="23" t="n">
        <v>0.5</v>
      </c>
      <c r="G8" s="193" t="n">
        <v>0.8</v>
      </c>
      <c r="H8" s="0" t="inlineStr">
        <is>
          <t>Estimasi; belum divalidasi lapangan</t>
        </is>
      </c>
    </row>
    <row r="9" ht="15" customHeight="1" s="144">
      <c r="A9" s="17" t="inlineStr">
        <is>
          <t>Bulk Carrier</t>
        </is>
      </c>
      <c r="B9" s="21" t="n">
        <v>0.85</v>
      </c>
      <c r="C9" s="21" t="n">
        <v>0.96</v>
      </c>
      <c r="D9" s="21" t="n">
        <v>3</v>
      </c>
      <c r="E9" s="21" t="n">
        <v>1.8</v>
      </c>
      <c r="F9" s="21" t="n">
        <v>0.5</v>
      </c>
      <c r="G9" s="192" t="n">
        <v>0.8</v>
      </c>
      <c r="H9" s="0" t="inlineStr">
        <is>
          <t>Mirip tanker</t>
        </is>
      </c>
    </row>
    <row r="10" ht="15" customHeight="1" s="144">
      <c r="A10" s="22" t="inlineStr">
        <is>
          <t>Passenger Ship</t>
        </is>
      </c>
      <c r="B10" s="23" t="n">
        <v>0.58</v>
      </c>
      <c r="C10" s="23" t="n">
        <v>1.08</v>
      </c>
      <c r="D10" s="23" t="n">
        <v>5</v>
      </c>
      <c r="E10" s="23" t="n">
        <v>2.5</v>
      </c>
      <c r="F10" s="23" t="n">
        <v>0.6</v>
      </c>
      <c r="G10" s="193" t="n">
        <v>0.6</v>
      </c>
      <c r="H10" s="0" t="inlineStr">
        <is>
          <t>Estimasi superstructure tinggi</t>
        </is>
      </c>
    </row>
    <row r="11" ht="15" customHeight="1" s="144">
      <c r="A11" s="17" t="inlineStr">
        <is>
          <t>Fishing Vessel</t>
        </is>
      </c>
      <c r="B11" s="21" t="n">
        <v>0.55</v>
      </c>
      <c r="C11" s="21" t="n">
        <v>1.12</v>
      </c>
      <c r="D11" s="21" t="n">
        <v>3.8</v>
      </c>
      <c r="E11" s="21" t="n">
        <v>2</v>
      </c>
      <c r="F11" s="21" t="n">
        <v>0.6</v>
      </c>
      <c r="G11" s="192" t="n">
        <v>0.7</v>
      </c>
      <c r="H11" s="0" t="inlineStr">
        <is>
          <t>Estimasi mirip tugboat</t>
        </is>
      </c>
    </row>
    <row r="12" ht="15" customHeight="1" s="144">
      <c r="A12" s="22" t="inlineStr">
        <is>
          <t>LCT/Landing Craft</t>
        </is>
      </c>
      <c r="B12" s="23" t="n">
        <v>0.85</v>
      </c>
      <c r="C12" s="23" t="n">
        <v>0.82</v>
      </c>
      <c r="D12" s="23" t="n">
        <v>5</v>
      </c>
      <c r="E12" s="23" t="n">
        <v>2</v>
      </c>
      <c r="F12" s="23" t="n">
        <v>0.5</v>
      </c>
      <c r="G12" s="193" t="n">
        <v>0.6</v>
      </c>
      <c r="H12" s="0" t="inlineStr">
        <is>
          <t>Kalibrasi dari LCT EUNIKE (41m, 419m²)</t>
        </is>
      </c>
    </row>
    <row r="13" ht="15" customHeight="1" s="144">
      <c r="A13" s="17" t="inlineStr">
        <is>
          <t>Supply Vessel</t>
        </is>
      </c>
      <c r="B13" s="21" t="n">
        <v>0.65</v>
      </c>
      <c r="C13" s="21" t="n">
        <v>1.05</v>
      </c>
      <c r="D13" s="21" t="n">
        <v>4</v>
      </c>
      <c r="E13" s="21" t="n">
        <v>2</v>
      </c>
      <c r="F13" s="21" t="n">
        <v>0.55</v>
      </c>
      <c r="G13" s="192" t="n">
        <v>0.72</v>
      </c>
      <c r="H13" s="0" t="inlineStr">
        <is>
          <t>Estimasi mirip cargo</t>
        </is>
      </c>
    </row>
    <row r="14" ht="14.4" customHeight="1" s="144"/>
  </sheetData>
  <mergeCells count="3">
    <mergeCell ref="A2:G2"/>
    <mergeCell ref="A1:G1"/>
    <mergeCell ref="I1:K1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7" workbookViewId="0">
      <selection activeCell="A1" sqref="A1:F1"/>
    </sheetView>
  </sheetViews>
  <sheetFormatPr baseColWidth="8" defaultColWidth="9.109375" defaultRowHeight="15" customHeight="1"/>
  <cols>
    <col width="5" customWidth="1" style="144" min="1" max="1"/>
    <col width="30" customWidth="1" style="144" min="2" max="2"/>
    <col width="25" customWidth="1" style="144" min="3" max="3"/>
    <col width="18" customWidth="1" style="144" min="4" max="5"/>
    <col width="25" customWidth="1" style="144" min="6" max="6"/>
  </cols>
  <sheetData>
    <row r="1" ht="35.25" customHeight="1" s="144">
      <c r="A1" s="113" t="inlineStr">
        <is>
          <t>⚡ QUICK QUOTE - PENAWARAN AWAL (±20-30%)</t>
        </is>
      </c>
    </row>
    <row r="2" ht="15" customHeight="1" s="144">
      <c r="A2" s="117" t="inlineStr">
        <is>
          <t>📋 Estimasi cepat untuk Marketing (±20-30%). Gunakan sheet DETAIL untuk akurasi ±5-10%.</t>
        </is>
      </c>
    </row>
    <row r="4" ht="15" customHeight="1" s="144">
      <c r="A4" s="112" t="inlineStr">
        <is>
          <t>A. RINGKASAN DATA KAPAL</t>
        </is>
      </c>
    </row>
    <row r="5" ht="15" customHeight="1" s="144">
      <c r="B5" s="133" t="inlineStr">
        <is>
          <t>Nama Kapal:</t>
        </is>
      </c>
      <c r="C5" s="3">
        <f>'📝 INPUT DATA'!C6</f>
        <v/>
      </c>
    </row>
    <row r="6" ht="15" customHeight="1" s="144">
      <c r="B6" s="133" t="inlineStr">
        <is>
          <t>Jenis Kapal:</t>
        </is>
      </c>
      <c r="C6" s="3">
        <f>'📝 INPUT DATA'!C7</f>
        <v/>
      </c>
    </row>
    <row r="7" ht="15" customHeight="1" s="144">
      <c r="B7" s="133" t="inlineStr">
        <is>
          <t>Dimensi (L×B×D):</t>
        </is>
      </c>
      <c r="C7" s="3">
        <f>CONCATENATE('📝 INPUT DATA'!C8," × ",'📝 INPUT DATA'!C9," × ",'📝 INPUT DATA'!C10," m")</f>
        <v/>
      </c>
    </row>
    <row r="8" ht="15" customHeight="1" s="144">
      <c r="B8" s="133" t="inlineStr">
        <is>
          <t>Kondisi:</t>
        </is>
      </c>
      <c r="C8" s="3">
        <f>'📝 INPUT DATA'!C13</f>
        <v/>
      </c>
    </row>
    <row r="9" ht="15" customHeight="1" s="144">
      <c r="B9" s="133" t="inlineStr">
        <is>
          <t>Faktor Kondisi:</t>
        </is>
      </c>
      <c r="C9" s="3">
        <f>'📝 INPUT DATA'!C24</f>
        <v/>
      </c>
    </row>
    <row r="11" ht="15" customHeight="1" s="144">
      <c r="A11" s="112" t="inlineStr">
        <is>
          <t>B. PERHITUNGAN OTOMATIS</t>
        </is>
      </c>
    </row>
    <row r="12" ht="15" customHeight="1" s="144">
      <c r="A12" s="1" t="inlineStr">
        <is>
          <t>No</t>
        </is>
      </c>
      <c r="B12" s="1" t="inlineStr">
        <is>
          <t>Item</t>
        </is>
      </c>
      <c r="C12" s="1" t="inlineStr">
        <is>
          <t>Rumus</t>
        </is>
      </c>
      <c r="D12" s="1" t="inlineStr">
        <is>
          <t>Hasil</t>
        </is>
      </c>
      <c r="E12" s="1" t="inlineStr">
        <is>
          <t>Satuan</t>
        </is>
      </c>
      <c r="F12" s="1" t="inlineStr">
        <is>
          <t>Keterangan</t>
        </is>
      </c>
    </row>
    <row r="13" ht="15" customHeight="1" s="144">
      <c r="A13" s="114" t="inlineStr">
        <is>
          <t>1</t>
        </is>
      </c>
      <c r="B13" s="8" t="inlineStr">
        <is>
          <t>Faktor WSA (auto)</t>
        </is>
      </c>
      <c r="C13" s="14" t="inlineStr">
        <is>
          <t>Berdasarkan jenis kapal</t>
        </is>
      </c>
      <c r="D13" s="16">
        <f>'📝 INPUT DATA'!C20</f>
        <v/>
      </c>
      <c r="E13" s="114" t="inlineStr">
        <is>
          <t>-</t>
        </is>
      </c>
      <c r="F13" s="14" t="inlineStr">
        <is>
          <t>Auto dari jenis kapal</t>
        </is>
      </c>
    </row>
    <row r="14" ht="15" customHeight="1" s="144">
      <c r="A14" s="114" t="inlineStr">
        <is>
          <t>2</t>
        </is>
      </c>
      <c r="B14" s="8" t="inlineStr">
        <is>
          <t>Faktor Kondisi (auto)</t>
        </is>
      </c>
      <c r="C14" s="14" t="inlineStr">
        <is>
          <t>Berdasarkan kondisi</t>
        </is>
      </c>
      <c r="D14" s="16">
        <f>'📝 INPUT DATA'!C24</f>
        <v/>
      </c>
      <c r="E14" s="114" t="inlineStr">
        <is>
          <t>x</t>
        </is>
      </c>
      <c r="F14" s="14" t="inlineStr">
        <is>
          <t>Multiplier MH</t>
        </is>
      </c>
    </row>
    <row r="15" ht="15" customHeight="1" s="144">
      <c r="A15" s="114" t="inlineStr">
        <is>
          <t>3</t>
        </is>
      </c>
      <c r="B15" s="8" t="inlineStr">
        <is>
          <t>Girth (B+2T)</t>
        </is>
      </c>
      <c r="C15" s="14" t="inlineStr">
        <is>
          <t>B + 2×T</t>
        </is>
      </c>
      <c r="D15" s="16">
        <f>'📝 INPUT DATA'!D29</f>
        <v/>
      </c>
      <c r="E15" s="114" t="inlineStr">
        <is>
          <t>m</t>
        </is>
      </c>
      <c r="F15" s="14" t="inlineStr">
        <is>
          <t>Keliling penampang</t>
        </is>
      </c>
    </row>
    <row r="16" ht="15" customHeight="1" s="144">
      <c r="A16" s="114" t="inlineStr">
        <is>
          <t>4</t>
        </is>
      </c>
      <c r="B16" s="8" t="inlineStr">
        <is>
          <t>WSA (Wet Surface Area)</t>
        </is>
      </c>
      <c r="C16" s="14" t="inlineStr">
        <is>
          <t>L × Girth × Faktor</t>
        </is>
      </c>
      <c r="D16" s="16">
        <f>'📝 INPUT DATA'!D30</f>
        <v/>
      </c>
      <c r="E16" s="114" t="inlineStr">
        <is>
          <t>m²</t>
        </is>
      </c>
      <c r="F16" s="14" t="inlineStr">
        <is>
          <t>Luas permukaan basah</t>
        </is>
      </c>
    </row>
    <row r="17" ht="15" customHeight="1" s="144">
      <c r="A17" s="114" t="inlineStr">
        <is>
          <t>5</t>
        </is>
      </c>
      <c r="B17" s="8" t="inlineStr">
        <is>
          <t>Total Luasan B&amp;P (est)</t>
        </is>
      </c>
      <c r="C17" s="14" t="inlineStr">
        <is>
          <t>WSA × 2.5</t>
        </is>
      </c>
      <c r="D17" s="16">
        <f>'📝 INPUT DATA'!D31</f>
        <v/>
      </c>
      <c r="E17" s="114" t="inlineStr">
        <is>
          <t>m²</t>
        </is>
      </c>
      <c r="F17" s="14" t="inlineStr">
        <is>
          <t>Estimasi total luasan</t>
        </is>
      </c>
    </row>
    <row r="18" ht="15" customHeight="1" s="144">
      <c r="A18" s="114" t="inlineStr">
        <is>
          <t>6</t>
        </is>
      </c>
      <c r="B18" s="8" t="inlineStr">
        <is>
          <t>Man-Hour B&amp;P (est)</t>
        </is>
      </c>
      <c r="C18" s="14" t="inlineStr">
        <is>
          <t>Luasan × 0.15 × Kondisi</t>
        </is>
      </c>
      <c r="D18" s="16">
        <f>'📝 INPUT DATA'!D32</f>
        <v/>
      </c>
      <c r="E18" s="114" t="inlineStr">
        <is>
          <t>MH</t>
        </is>
      </c>
      <c r="F18" s="14" t="inlineStr">
        <is>
          <t>Estimasi man-hour</t>
        </is>
      </c>
    </row>
    <row r="19" ht="15" customHeight="1" s="144">
      <c r="A19" s="114" t="inlineStr">
        <is>
          <t>7</t>
        </is>
      </c>
      <c r="B19" s="8" t="inlineStr">
        <is>
          <t>Man-Day B&amp;P</t>
        </is>
      </c>
      <c r="C19" s="14" t="inlineStr">
        <is>
          <t>MH / 8</t>
        </is>
      </c>
      <c r="D19" s="16">
        <f>'📝 INPUT DATA'!D33</f>
        <v/>
      </c>
      <c r="E19" s="114" t="inlineStr">
        <is>
          <t>MD</t>
        </is>
      </c>
      <c r="F19" s="14" t="inlineStr">
        <is>
          <t>Konversi ke man-day</t>
        </is>
      </c>
    </row>
    <row r="22" ht="15" customHeight="1" s="144">
      <c r="A22" s="112" t="inlineStr">
        <is>
          <t>C. ESTIMASI BIAYA (Marketing View)</t>
        </is>
      </c>
    </row>
    <row r="23" ht="15" customHeight="1" s="144">
      <c r="A23" s="1" t="inlineStr">
        <is>
          <t>No</t>
        </is>
      </c>
      <c r="B23" s="1" t="inlineStr">
        <is>
          <t>Item Pekerjaan</t>
        </is>
      </c>
      <c r="C23" s="1" t="inlineStr">
        <is>
          <t>Qty</t>
        </is>
      </c>
      <c r="D23" s="1" t="inlineStr">
        <is>
          <t>Satuan</t>
        </is>
      </c>
      <c r="E23" s="1" t="inlineStr">
        <is>
          <t>Harga Satuan</t>
        </is>
      </c>
      <c r="F23" s="1" t="inlineStr">
        <is>
          <t>Total (Rp)</t>
        </is>
      </c>
    </row>
    <row r="24" ht="15" customHeight="1" s="144">
      <c r="A24" s="114" t="inlineStr">
        <is>
          <t>1</t>
        </is>
      </c>
      <c r="B24" s="24" t="inlineStr">
        <is>
          <t>Blasting &amp; Painting</t>
        </is>
      </c>
      <c r="C24" s="172">
        <f>D17</f>
        <v/>
      </c>
      <c r="D24" s="114" t="inlineStr">
        <is>
          <t>m²</t>
        </is>
      </c>
      <c r="E24" s="173" t="n">
        <v>120000</v>
      </c>
      <c r="F24" s="174">
        <f>C24*E24</f>
        <v/>
      </c>
    </row>
    <row r="25" ht="15" customHeight="1" s="144">
      <c r="A25" s="114" t="inlineStr">
        <is>
          <t>2</t>
        </is>
      </c>
      <c r="B25" s="24" t="inlineStr">
        <is>
          <t>Piping Works (est)</t>
        </is>
      </c>
      <c r="C25" s="172">
        <f>D17*0.02</f>
        <v/>
      </c>
      <c r="D25" s="114" t="inlineStr">
        <is>
          <t>joint</t>
        </is>
      </c>
      <c r="E25" s="173" t="n">
        <v>650000</v>
      </c>
      <c r="F25" s="174">
        <f>C25*E25</f>
        <v/>
      </c>
    </row>
    <row r="26" ht="15" customHeight="1" s="144">
      <c r="A26" s="114" t="inlineStr">
        <is>
          <t>3</t>
        </is>
      </c>
      <c r="B26" s="24" t="inlineStr">
        <is>
          <t>Tank Cleaning (est)</t>
        </is>
      </c>
      <c r="C26" s="172">
        <f>IFERROR('📝 INPUT DATA'!C8*'📝 INPUT DATA'!C9*'📝 INPUT DATA'!C11*'📝 INPUT DATA'!C19*0.1,0)</f>
        <v/>
      </c>
      <c r="D26" s="114" t="inlineStr">
        <is>
          <t>m³</t>
        </is>
      </c>
      <c r="E26" s="173" t="n">
        <v>200000</v>
      </c>
      <c r="F26" s="174">
        <f>C26*E26</f>
        <v/>
      </c>
    </row>
    <row r="27" ht="15" customHeight="1" s="144">
      <c r="A27" s="114" t="inlineStr">
        <is>
          <t>4</t>
        </is>
      </c>
      <c r="B27" s="24" t="inlineStr">
        <is>
          <t>Replating (est)</t>
        </is>
      </c>
      <c r="C27" s="172">
        <f>IFERROR('🔬 SIMPSON '!I78*1000*MAX(('📝 INPUT DATA'!C24-1)*0.05,0.02),0)</f>
        <v/>
      </c>
      <c r="D27" s="114" t="inlineStr">
        <is>
          <t>kg</t>
        </is>
      </c>
      <c r="E27" s="173" t="n">
        <v>32000</v>
      </c>
      <c r="F27" s="174">
        <f>C27*E27</f>
        <v/>
      </c>
    </row>
    <row r="28" ht="15" customHeight="1" s="144">
      <c r="A28" s="114" t="inlineStr">
        <is>
          <t>5</t>
        </is>
      </c>
      <c r="B28" s="24" t="inlineStr">
        <is>
          <t>Man-Hour Cost</t>
        </is>
      </c>
      <c r="C28" s="172">
        <f>D18</f>
        <v/>
      </c>
      <c r="D28" s="114" t="inlineStr">
        <is>
          <t>MH</t>
        </is>
      </c>
      <c r="E28" s="173" t="n">
        <v>50000</v>
      </c>
      <c r="F28" s="174">
        <f>C28*E28</f>
        <v/>
      </c>
    </row>
    <row r="30" ht="15" customHeight="1" s="144">
      <c r="B30" s="28" t="inlineStr">
        <is>
          <t>SUBTOTAL BIAYA PRODUKSI</t>
        </is>
      </c>
      <c r="F30" s="175">
        <f>SUM(F24:F28)</f>
        <v/>
      </c>
    </row>
    <row r="31" ht="15" customHeight="1" s="144">
      <c r="B31" s="30" t="inlineStr">
        <is>
          <t>Overhead (15%)</t>
        </is>
      </c>
      <c r="F31" s="176">
        <f>F30*0.15</f>
        <v/>
      </c>
    </row>
    <row r="32" ht="15" customHeight="1" s="144">
      <c r="B32" s="30" t="inlineStr">
        <is>
          <t>Margin (25%)</t>
        </is>
      </c>
      <c r="F32" s="176">
        <f>F30*0.25</f>
        <v/>
      </c>
    </row>
    <row r="34" ht="15" customHeight="1" s="144">
      <c r="A34" s="127" t="inlineStr">
        <is>
          <t>🎯 HARGA PENAWARAN AWAL</t>
        </is>
      </c>
      <c r="F34" s="177">
        <f>F30+F31+F32</f>
        <v/>
      </c>
    </row>
  </sheetData>
  <mergeCells count="6">
    <mergeCell ref="A2:F2"/>
    <mergeCell ref="A11:F11"/>
    <mergeCell ref="A34:E34"/>
    <mergeCell ref="A1:F1"/>
    <mergeCell ref="A22:F22"/>
    <mergeCell ref="A4: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B5" sqref="B5"/>
    </sheetView>
  </sheetViews>
  <sheetFormatPr baseColWidth="8" defaultColWidth="9.109375" defaultRowHeight="15" customHeight="1"/>
  <cols>
    <col width="5" customWidth="1" style="144" min="1" max="1"/>
    <col width="28" customWidth="1" style="144" min="2" max="2"/>
    <col width="12" customWidth="1" style="144" min="3" max="7"/>
    <col width="18" customWidth="1" style="144" min="8" max="9"/>
    <col width="25" customWidth="1" style="144" min="10" max="10"/>
  </cols>
  <sheetData>
    <row r="1" ht="35.25" customHeight="1" s="144">
      <c r="A1" s="113" t="inlineStr">
        <is>
          <t>🎨 CALCULATOR DETAIL - BLASTING &amp; PAINTING (Penawaran Akhir)</t>
        </is>
      </c>
    </row>
    <row r="2" ht="15" customHeight="1" s="144">
      <c r="A2" s="117" t="inlineStr">
        <is>
          <t>📋 Untuk PPIC: Input data detail dari survey. Hasil otomatis terhitung dengan akurasi ±5-10%.</t>
        </is>
      </c>
    </row>
    <row r="4" ht="15" customHeight="1" s="144">
      <c r="A4" s="112" t="inlineStr">
        <is>
          <t>A. DATA KAPAL (Dari Input Data)</t>
        </is>
      </c>
      <c r="E4" s="112" t="inlineStr">
        <is>
          <t>⚡ FAKTOR OTOMATIS</t>
        </is>
      </c>
      <c r="H4" s="112" t="inlineStr">
        <is>
          <t>📊 FAKTOR JENIS KAPAL</t>
        </is>
      </c>
    </row>
    <row r="5" ht="15" customHeight="1" s="144">
      <c r="A5" s="133" t="inlineStr">
        <is>
          <t>Jenis Kapal:</t>
        </is>
      </c>
      <c r="B5" s="33">
        <f>'📝 INPUT DATA'!C7</f>
        <v/>
      </c>
      <c r="E5" s="133" t="inlineStr">
        <is>
          <t>Panjang (L):</t>
        </is>
      </c>
      <c r="F5" s="34">
        <f>'📝 INPUT DATA'!C8</f>
        <v/>
      </c>
      <c r="G5" s="0" t="inlineStr">
        <is>
          <t>m</t>
        </is>
      </c>
      <c r="H5" s="133" t="inlineStr">
        <is>
          <t>Jenis Kapal:</t>
        </is>
      </c>
      <c r="I5" s="34">
        <f>'📝 INPUT DATA'!C7</f>
        <v/>
      </c>
    </row>
    <row r="6" ht="15" customHeight="1" s="144">
      <c r="A6" s="133" t="inlineStr">
        <is>
          <t>Kondisi:</t>
        </is>
      </c>
      <c r="B6" s="33">
        <f>'📝 INPUT DATA'!C13</f>
        <v/>
      </c>
      <c r="E6" s="133" t="inlineStr">
        <is>
          <t>Lebar (B):</t>
        </is>
      </c>
      <c r="F6" s="34">
        <f>'📝 INPUT DATA'!C9</f>
        <v/>
      </c>
      <c r="G6" s="0" t="inlineStr">
        <is>
          <t>m</t>
        </is>
      </c>
      <c r="H6" s="133" t="inlineStr">
        <is>
          <t>Faktor WSA:</t>
        </is>
      </c>
      <c r="I6" s="34">
        <f>'📝 INPUT DATA'!C20</f>
        <v/>
      </c>
    </row>
    <row r="7" ht="15" customHeight="1" s="144">
      <c r="A7" s="133" t="inlineStr">
        <is>
          <t>Faktor WSA:</t>
        </is>
      </c>
      <c r="B7" s="33">
        <f>'📝 INPUT DATA'!C20</f>
        <v/>
      </c>
      <c r="E7" s="133" t="inlineStr">
        <is>
          <t>Sarat (T):</t>
        </is>
      </c>
      <c r="F7" s="34">
        <f>'📝 INPUT DATA'!C11</f>
        <v/>
      </c>
      <c r="G7" s="0" t="inlineStr">
        <is>
          <t>m</t>
        </is>
      </c>
      <c r="H7" s="133" t="inlineStr">
        <is>
          <t>Faktor Topside:</t>
        </is>
      </c>
      <c r="I7" s="34">
        <f>'📝 INPUT DATA'!C21</f>
        <v/>
      </c>
    </row>
    <row r="8" ht="15" customHeight="1" s="144">
      <c r="A8" s="133" t="inlineStr">
        <is>
          <t>Faktor Kondisi:</t>
        </is>
      </c>
      <c r="B8" s="33">
        <f>'📝 INPUT DATA'!C24</f>
        <v/>
      </c>
      <c r="E8" s="133" t="inlineStr">
        <is>
          <t>Cb:</t>
        </is>
      </c>
      <c r="F8" s="34">
        <f>'📝 INPUT DATA'!C19</f>
        <v/>
      </c>
      <c r="G8" s="0" t="inlineStr">
        <is>
          <t>-</t>
        </is>
      </c>
      <c r="H8" s="133" t="inlineStr">
        <is>
          <t>Faktor Bulwark:</t>
        </is>
      </c>
      <c r="I8" s="34">
        <f>'📝 INPUT DATA'!C22</f>
        <v/>
      </c>
    </row>
    <row r="10" ht="14.4" customHeight="1" s="144">
      <c r="G10" s="128" t="inlineStr">
        <is>
          <t>🔬 SIMPSON GENIUS INTEGRATION</t>
        </is>
      </c>
    </row>
    <row r="11" ht="15" customHeight="1" s="144">
      <c r="A11" s="112" t="inlineStr">
        <is>
          <t>B. PERHITUNGAN LUASAN DETAIL (Isi kolom KUNING)</t>
        </is>
      </c>
    </row>
    <row r="12" ht="15" customHeight="1" s="144">
      <c r="A12" s="35" t="inlineStr">
        <is>
          <t>No</t>
        </is>
      </c>
      <c r="B12" s="35" t="inlineStr">
        <is>
          <t>Komponen Area</t>
        </is>
      </c>
      <c r="C12" s="35" t="inlineStr">
        <is>
          <t>Var 1</t>
        </is>
      </c>
      <c r="D12" s="35" t="inlineStr">
        <is>
          <t>Var 2</t>
        </is>
      </c>
      <c r="E12" s="35" t="inlineStr">
        <is>
          <t>Var 3</t>
        </is>
      </c>
      <c r="F12" s="35" t="inlineStr">
        <is>
          <t>V1 (m)</t>
        </is>
      </c>
      <c r="G12" s="35" t="inlineStr">
        <is>
          <t>V2 (m)</t>
        </is>
      </c>
      <c r="H12" s="35" t="inlineStr">
        <is>
          <t>V3/Fak</t>
        </is>
      </c>
      <c r="I12" s="35" t="inlineStr">
        <is>
          <t>Rumus</t>
        </is>
      </c>
      <c r="J12" s="35" t="inlineStr">
        <is>
          <t>Hasil (m²)</t>
        </is>
      </c>
    </row>
    <row r="13" ht="15" customHeight="1" s="144">
      <c r="A13" s="114" t="n"/>
      <c r="B13" s="130" t="inlineStr">
        <is>
          <t>1. UNDERWATER (Bottom-WL)</t>
        </is>
      </c>
      <c r="C13" s="115" t="n"/>
      <c r="D13" s="115" t="n"/>
      <c r="E13" s="115" t="n"/>
      <c r="F13" s="115" t="n"/>
      <c r="G13" s="115" t="n"/>
      <c r="H13" s="115" t="n"/>
      <c r="I13" s="115" t="n"/>
      <c r="J13" s="116" t="n"/>
    </row>
    <row r="14" ht="15" customHeight="1" s="144">
      <c r="A14" s="114" t="inlineStr">
        <is>
          <t>1.1</t>
        </is>
      </c>
      <c r="B14" s="24" t="inlineStr">
        <is>
          <t>Lambung Bawah (Underwater)</t>
        </is>
      </c>
      <c r="C14" s="93" t="inlineStr">
        <is>
          <t>🔬 SIMPSON</t>
        </is>
      </c>
      <c r="D14" s="94" t="inlineStr">
        <is>
          <t>AUTO</t>
        </is>
      </c>
      <c r="E14" s="94" t="inlineStr">
        <is>
          <t>WSA</t>
        </is>
      </c>
      <c r="F14" s="95">
        <f>'🔬 SIMPSON '!B38</f>
        <v/>
      </c>
      <c r="G14" s="95" t="inlineStr">
        <is>
          <t>-</t>
        </is>
      </c>
      <c r="H14" s="96">
        <f>'📝 INPUT DATA'!C20</f>
        <v/>
      </c>
      <c r="I14" s="178">
        <f>F14*H14</f>
        <v/>
      </c>
      <c r="J14" s="98" t="inlineStr">
        <is>
          <t>🔬 WSA Simpson × Faktor Appendage (skeg/rudder/bilge)</t>
        </is>
      </c>
    </row>
    <row r="15" ht="15" customHeight="1" s="144">
      <c r="A15" s="114" t="inlineStr">
        <is>
          <t>1.2</t>
        </is>
      </c>
      <c r="B15" s="24" t="inlineStr">
        <is>
          <t>Underwater Skeg</t>
        </is>
      </c>
      <c r="C15" s="93" t="inlineStr">
        <is>
          <t>🔬 AUTO</t>
        </is>
      </c>
      <c r="D15" s="94" t="inlineStr">
        <is>
          <t>Skeg</t>
        </is>
      </c>
      <c r="E15" s="94" t="inlineStr">
        <is>
          <t>Calc</t>
        </is>
      </c>
      <c r="F15" s="95">
        <f>IF(B5="Tugboat",F5*0.15,0)</f>
        <v/>
      </c>
      <c r="G15" s="95">
        <f>IF(B5="Tugboat",F7*0.8,0)</f>
        <v/>
      </c>
      <c r="H15" s="96">
        <f>IF(B5="Tugboat",4,0)</f>
        <v/>
      </c>
      <c r="I15" s="178">
        <f>F15*G15*H15</f>
        <v/>
      </c>
      <c r="J15" s="98" t="inlineStr">
        <is>
          <t>🔬 AUTO: Skeg area = 0.15L × 0.8T × 4 (Tugboat only)</t>
        </is>
      </c>
    </row>
    <row r="16" ht="15" customHeight="1" s="144">
      <c r="A16" s="114" t="n"/>
      <c r="B16" s="41" t="inlineStr">
        <is>
          <t>TOTAL UNDERWATER</t>
        </is>
      </c>
      <c r="C16" s="9" t="n"/>
      <c r="D16" s="9" t="n"/>
      <c r="E16" s="9" t="n"/>
      <c r="F16" s="9" t="n"/>
      <c r="G16" s="9" t="n"/>
      <c r="H16" s="9" t="n"/>
      <c r="I16" s="179">
        <f>SUM(I14:I15)</f>
        <v/>
      </c>
      <c r="J16" s="9" t="n"/>
    </row>
    <row r="17" ht="15" customHeight="1" s="144">
      <c r="A17" s="114" t="n"/>
      <c r="B17" s="130" t="inlineStr">
        <is>
          <t>2. TOPSIDE (WL-Deck Edge)</t>
        </is>
      </c>
      <c r="C17" s="115" t="n"/>
      <c r="D17" s="115" t="n"/>
      <c r="E17" s="115" t="n"/>
      <c r="F17" s="115" t="n"/>
      <c r="G17" s="115" t="n"/>
      <c r="H17" s="115" t="n"/>
      <c r="I17" s="115" t="n"/>
      <c r="J17" s="116" t="n"/>
    </row>
    <row r="18" ht="15" customHeight="1" s="144">
      <c r="A18" s="114" t="inlineStr">
        <is>
          <t>2.1</t>
        </is>
      </c>
      <c r="B18" s="24" t="inlineStr">
        <is>
          <t>Topside (Lambung Atas)</t>
        </is>
      </c>
      <c r="C18" s="14" t="inlineStr">
        <is>
          <t>Panjang</t>
        </is>
      </c>
      <c r="D18" s="14" t="inlineStr">
        <is>
          <t>Freeboard</t>
        </is>
      </c>
      <c r="E18" s="14" t="inlineStr">
        <is>
          <t>F_Topside</t>
        </is>
      </c>
      <c r="F18" s="108">
        <f>'📝 INPUT DATA'!C8</f>
        <v/>
      </c>
      <c r="G18" s="108">
        <f>'📝 INPUT DATA'!C12</f>
        <v/>
      </c>
      <c r="H18" s="40">
        <f>'📝 INPUT DATA'!C21</f>
        <v/>
      </c>
      <c r="I18" s="179">
        <f>F18*G18*H18</f>
        <v/>
      </c>
      <c r="J18" s="38" t="inlineStr">
        <is>
          <t>Topside = L × Freeboard × F_Topside (mencakup sheer/camber)</t>
        </is>
      </c>
    </row>
    <row r="19" ht="15" customHeight="1" s="144">
      <c r="A19" s="114" t="inlineStr">
        <is>
          <t>2.2</t>
        </is>
      </c>
      <c r="B19" s="24" t="inlineStr">
        <is>
          <t>Transom (Buritan)</t>
        </is>
      </c>
      <c r="C19" s="14" t="inlineStr">
        <is>
          <t>Lebar</t>
        </is>
      </c>
      <c r="D19" s="14" t="inlineStr">
        <is>
          <t>Tinggi</t>
        </is>
      </c>
      <c r="E19" s="14" t="inlineStr">
        <is>
          <t>-</t>
        </is>
      </c>
      <c r="F19" s="108">
        <f>'📝 INPUT DATA'!C9</f>
        <v/>
      </c>
      <c r="G19" s="108">
        <f>'📝 INPUT DATA'!C12</f>
        <v/>
      </c>
      <c r="H19" s="40" t="n">
        <v>1</v>
      </c>
      <c r="I19" s="179">
        <f>F19*G19*H19</f>
        <v/>
      </c>
      <c r="J19" s="38" t="inlineStr">
        <is>
          <t>L,T: Tampak Belakang (Rear View)</t>
        </is>
      </c>
    </row>
    <row r="20" ht="15" customHeight="1" s="144">
      <c r="A20" s="114" t="inlineStr">
        <is>
          <t>2.3</t>
        </is>
      </c>
      <c r="B20" s="24" t="inlineStr">
        <is>
          <t>Haluan (Trapesium)</t>
        </is>
      </c>
      <c r="C20" s="14" t="inlineStr">
        <is>
          <t>B_atas + B_bwh</t>
        </is>
      </c>
      <c r="D20" s="14" t="inlineStr">
        <is>
          <t>Tinggi</t>
        </is>
      </c>
      <c r="E20" s="14" t="inlineStr">
        <is>
          <t>÷2</t>
        </is>
      </c>
      <c r="F20" s="108">
        <f>'📝 INPUT DATA'!C9*(1+'📝 INPUT DATA'!C23)</f>
        <v/>
      </c>
      <c r="G20" s="108">
        <f>'📝 INPUT DATA'!C12</f>
        <v/>
      </c>
      <c r="H20" s="40" t="n">
        <v>0.5</v>
      </c>
      <c r="I20" s="179">
        <f>F20*G20*H20</f>
        <v/>
      </c>
      <c r="J20" s="38" t="inlineStr">
        <is>
          <t>Haluan = (B + B·FHaluan)/2 × Freeboard (trapesium)</t>
        </is>
      </c>
    </row>
    <row r="21" ht="15" customHeight="1" s="144">
      <c r="A21" s="114" t="n"/>
      <c r="B21" s="41" t="inlineStr">
        <is>
          <t>TOTAL TOPSIDE</t>
        </is>
      </c>
      <c r="C21" s="9" t="n"/>
      <c r="D21" s="9" t="n"/>
      <c r="E21" s="9" t="n"/>
      <c r="F21" s="9" t="n"/>
      <c r="G21" s="9" t="n"/>
      <c r="H21" s="9" t="n"/>
      <c r="I21" s="179">
        <f>SUM(I18:I20)</f>
        <v/>
      </c>
      <c r="J21" s="9" t="n"/>
    </row>
    <row r="22" ht="15" customHeight="1" s="144">
      <c r="A22" s="114" t="n"/>
      <c r="B22" s="130" t="inlineStr">
        <is>
          <t>3. BULWARK (Pagar Kapal)</t>
        </is>
      </c>
      <c r="C22" s="115" t="n"/>
      <c r="D22" s="115" t="n"/>
      <c r="E22" s="115" t="n"/>
      <c r="F22" s="115" t="n"/>
      <c r="G22" s="115" t="n"/>
      <c r="H22" s="115" t="n"/>
      <c r="I22" s="115" t="n"/>
      <c r="J22" s="116" t="n"/>
    </row>
    <row r="23" ht="15" customHeight="1" s="144">
      <c r="A23" s="114" t="inlineStr">
        <is>
          <t>3.1</t>
        </is>
      </c>
      <c r="B23" s="24" t="inlineStr">
        <is>
          <t>Bulwark Luar</t>
        </is>
      </c>
      <c r="C23" s="14" t="inlineStr">
        <is>
          <t>Panjang</t>
        </is>
      </c>
      <c r="D23" s="14" t="inlineStr">
        <is>
          <t>Tinggi</t>
        </is>
      </c>
      <c r="E23" s="14" t="inlineStr">
        <is>
          <t>×2 sisi</t>
        </is>
      </c>
      <c r="F23" s="180">
        <f>'📝 INPUT DATA'!C8</f>
        <v/>
      </c>
      <c r="G23" s="180" t="n">
        <v>1</v>
      </c>
      <c r="H23" s="40" t="n">
        <v>2</v>
      </c>
      <c r="I23" s="179">
        <f>F23*G23*H23</f>
        <v/>
      </c>
      <c r="J23" s="38" t="inlineStr">
        <is>
          <t>P: HORIZONTAL deck edge, T: deck→cap</t>
        </is>
      </c>
    </row>
    <row r="24" ht="15" customHeight="1" s="144">
      <c r="A24" s="114" t="inlineStr">
        <is>
          <t>3.2</t>
        </is>
      </c>
      <c r="B24" s="24" t="inlineStr">
        <is>
          <t>Bulwark Dalam</t>
        </is>
      </c>
      <c r="C24" s="14" t="inlineStr">
        <is>
          <t>Panjang</t>
        </is>
      </c>
      <c r="D24" s="14" t="inlineStr">
        <is>
          <t>Tinggi</t>
        </is>
      </c>
      <c r="E24" s="14" t="inlineStr">
        <is>
          <t>×2 sisi</t>
        </is>
      </c>
      <c r="F24" s="180">
        <f>'📝 INPUT DATA'!C8</f>
        <v/>
      </c>
      <c r="G24" s="180" t="n">
        <v>1</v>
      </c>
      <c r="H24" s="40" t="n">
        <v>2</v>
      </c>
      <c r="I24" s="179">
        <f>F24*G24*H24</f>
        <v/>
      </c>
      <c r="J24" s="38" t="inlineStr">
        <is>
          <t>Sama dengan bulwark luar</t>
        </is>
      </c>
    </row>
    <row r="25" ht="15" customHeight="1" s="144">
      <c r="A25" s="114" t="n"/>
      <c r="B25" s="41" t="inlineStr">
        <is>
          <t>TOTAL BULWARK</t>
        </is>
      </c>
      <c r="C25" s="9" t="n"/>
      <c r="D25" s="9" t="n"/>
      <c r="E25" s="9" t="n"/>
      <c r="F25" s="9" t="n"/>
      <c r="G25" s="9" t="n"/>
      <c r="H25" s="9" t="n"/>
      <c r="I25" s="179">
        <f>SUM(I23:I24)</f>
        <v/>
      </c>
      <c r="J25" s="9" t="n"/>
    </row>
    <row r="26" ht="15" customHeight="1" s="144">
      <c r="A26" s="114" t="n"/>
      <c r="B26" s="130" t="inlineStr">
        <is>
          <t>4. DECK (Geladak)</t>
        </is>
      </c>
      <c r="C26" s="115" t="n"/>
      <c r="D26" s="115" t="n"/>
      <c r="E26" s="115" t="n"/>
      <c r="F26" s="115" t="n"/>
      <c r="G26" s="115" t="n"/>
      <c r="H26" s="115" t="n"/>
      <c r="I26" s="115" t="n"/>
      <c r="J26" s="116" t="n"/>
    </row>
    <row r="27" ht="15" customHeight="1" s="144">
      <c r="A27" s="114" t="inlineStr">
        <is>
          <t>4.1</t>
        </is>
      </c>
      <c r="B27" s="24" t="inlineStr">
        <is>
          <t>Main Deck (External)</t>
        </is>
      </c>
      <c r="C27" s="14" t="inlineStr">
        <is>
          <t>Panjang</t>
        </is>
      </c>
      <c r="D27" s="14" t="inlineStr">
        <is>
          <t>Lebar</t>
        </is>
      </c>
      <c r="E27" s="14" t="inlineStr">
        <is>
          <t>-</t>
        </is>
      </c>
      <c r="F27" s="39">
        <f>'📝 INPUT DATA'!C8</f>
        <v/>
      </c>
      <c r="G27" s="39">
        <f>'📝 INPUT DATA'!C9</f>
        <v/>
      </c>
      <c r="H27" s="40" t="n">
        <v>1</v>
      </c>
      <c r="I27" s="179">
        <f>F27*G27*H27</f>
        <v/>
      </c>
      <c r="J27" s="38" t="inlineStr">
        <is>
          <t>P: HORIZONTAL sepanjang CL, L: melintang (Plan View)</t>
        </is>
      </c>
    </row>
    <row r="28" ht="15" customHeight="1" s="144">
      <c r="A28" s="114" t="inlineStr">
        <is>
          <t>4.2</t>
        </is>
      </c>
      <c r="B28" s="24" t="inlineStr">
        <is>
          <t>Internal Deck</t>
        </is>
      </c>
      <c r="C28" s="14" t="inlineStr">
        <is>
          <t>Panjang</t>
        </is>
      </c>
      <c r="D28" s="14" t="inlineStr">
        <is>
          <t>Lebar</t>
        </is>
      </c>
      <c r="E28" s="14" t="inlineStr">
        <is>
          <t>-</t>
        </is>
      </c>
      <c r="F28" s="39">
        <f>0.4*'📝 INPUT DATA'!C8</f>
        <v/>
      </c>
      <c r="G28" s="39">
        <f>0.6*'📝 INPUT DATA'!C9</f>
        <v/>
      </c>
      <c r="H28" s="40" t="n">
        <v>1</v>
      </c>
      <c r="I28" s="179">
        <f>F28*G28*H28</f>
        <v/>
      </c>
      <c r="J28" s="38" t="inlineStr">
        <is>
          <t>Dimensi internal deck</t>
        </is>
      </c>
    </row>
    <row r="29" ht="15" customHeight="1" s="144">
      <c r="A29" s="114" t="n"/>
      <c r="B29" s="41" t="inlineStr">
        <is>
          <t>TOTAL DECK</t>
        </is>
      </c>
      <c r="C29" s="9" t="n"/>
      <c r="D29" s="9" t="n"/>
      <c r="E29" s="9" t="n"/>
      <c r="F29" s="9" t="n"/>
      <c r="G29" s="9" t="n"/>
      <c r="H29" s="9" t="n"/>
      <c r="I29" s="179">
        <f>SUM(I27:I28)</f>
        <v/>
      </c>
      <c r="J29" s="9" t="n"/>
    </row>
    <row r="30" ht="15" customHeight="1" s="144">
      <c r="A30" s="114" t="n"/>
      <c r="B30" s="130" t="inlineStr">
        <is>
          <t>5. SUPERSTRUCTURE</t>
        </is>
      </c>
      <c r="C30" s="115" t="n"/>
      <c r="D30" s="115" t="n"/>
      <c r="E30" s="115" t="n"/>
      <c r="F30" s="115" t="n"/>
      <c r="G30" s="115" t="n"/>
      <c r="H30" s="115" t="n"/>
      <c r="I30" s="115" t="n"/>
      <c r="J30" s="116" t="n"/>
    </row>
    <row r="31" ht="15" customHeight="1" s="144">
      <c r="A31" s="114" t="inlineStr">
        <is>
          <t>5.1</t>
        </is>
      </c>
      <c r="B31" s="24" t="inlineStr">
        <is>
          <t>Rumah Winch</t>
        </is>
      </c>
      <c r="C31" s="14" t="inlineStr">
        <is>
          <t>P</t>
        </is>
      </c>
      <c r="D31" s="14" t="inlineStr">
        <is>
          <t>L</t>
        </is>
      </c>
      <c r="E31" s="14" t="inlineStr">
        <is>
          <t>H</t>
        </is>
      </c>
      <c r="F31" s="180">
        <f>0.25*'📝 INPUT DATA'!C8</f>
        <v/>
      </c>
      <c r="G31" s="180">
        <f>0.3*'📝 INPUT DATA'!C9</f>
        <v/>
      </c>
      <c r="H31" s="181" t="n">
        <v>3</v>
      </c>
      <c r="I31" s="179">
        <f>2*(F31+G31)*H31+F31*G31</f>
        <v/>
      </c>
      <c r="J31" s="38" t="inlineStr">
        <is>
          <t>P,L,H: Dimensi struktur (Side/Front View)</t>
        </is>
      </c>
    </row>
    <row r="32" ht="15" customHeight="1" s="144">
      <c r="A32" s="114" t="inlineStr">
        <is>
          <t>5.2</t>
        </is>
      </c>
      <c r="B32" s="24" t="inlineStr">
        <is>
          <t>Anjungan/Bridge</t>
        </is>
      </c>
      <c r="C32" s="14" t="inlineStr">
        <is>
          <t>P</t>
        </is>
      </c>
      <c r="D32" s="14" t="inlineStr">
        <is>
          <t>L</t>
        </is>
      </c>
      <c r="E32" s="14" t="inlineStr">
        <is>
          <t>H</t>
        </is>
      </c>
      <c r="F32" s="180">
        <f>0.35*'📝 INPUT DATA'!C8</f>
        <v/>
      </c>
      <c r="G32" s="180">
        <f>0.5*'📝 INPUT DATA'!C9</f>
        <v/>
      </c>
      <c r="H32" s="181" t="n">
        <v>4</v>
      </c>
      <c r="I32" s="179">
        <f>2*(F32+G32)*H32+F32*G32</f>
        <v/>
      </c>
      <c r="J32" s="38" t="inlineStr">
        <is>
          <t>P,L,H: Dimensi struktur (Side/Front View)</t>
        </is>
      </c>
    </row>
    <row r="33" ht="15" customHeight="1" s="144">
      <c r="A33" s="114" t="inlineStr">
        <is>
          <t>5.3</t>
        </is>
      </c>
      <c r="B33" s="24" t="inlineStr">
        <is>
          <t>Struktur Lainnya</t>
        </is>
      </c>
      <c r="C33" s="14" t="inlineStr">
        <is>
          <t>P</t>
        </is>
      </c>
      <c r="D33" s="14" t="inlineStr">
        <is>
          <t>L</t>
        </is>
      </c>
      <c r="E33" s="14" t="inlineStr">
        <is>
          <t>H</t>
        </is>
      </c>
      <c r="F33" s="180" t="n">
        <v>5</v>
      </c>
      <c r="G33" s="180" t="n">
        <v>4</v>
      </c>
      <c r="H33" s="181" t="n">
        <v>3</v>
      </c>
      <c r="I33" s="179">
        <f>2*(F33+G33)*H33+F33*G33</f>
        <v/>
      </c>
      <c r="J33" s="38" t="inlineStr">
        <is>
          <t>P,L,H: Dimensi struktur (Side/Front View)</t>
        </is>
      </c>
    </row>
    <row r="34" ht="15" customHeight="1" s="144">
      <c r="A34" s="114" t="n"/>
      <c r="B34" s="41" t="inlineStr">
        <is>
          <t>TOTAL SUPERSTRUCTURE</t>
        </is>
      </c>
      <c r="C34" s="9" t="n"/>
      <c r="D34" s="9" t="n"/>
      <c r="E34" s="9" t="n"/>
      <c r="F34" s="9" t="n"/>
      <c r="G34" s="9" t="n"/>
      <c r="H34" s="9" t="n"/>
      <c r="I34" s="179">
        <f>SUM(I31:I33)</f>
        <v/>
      </c>
      <c r="J34" s="9" t="n"/>
    </row>
    <row r="35" ht="15" customHeight="1" s="144">
      <c r="A35" s="114" t="n"/>
      <c r="B35" s="130" t="inlineStr">
        <is>
          <t>6. TANGKI (Internal)</t>
        </is>
      </c>
      <c r="C35" s="115" t="n"/>
      <c r="D35" s="115" t="n"/>
      <c r="E35" s="115" t="n"/>
      <c r="F35" s="115" t="n"/>
      <c r="G35" s="115" t="n"/>
      <c r="H35" s="115" t="n"/>
      <c r="I35" s="115" t="n"/>
      <c r="J35" s="116" t="n"/>
    </row>
    <row r="36" ht="15" customHeight="1" s="144">
      <c r="A36" s="114" t="inlineStr">
        <is>
          <t>6.1</t>
        </is>
      </c>
      <c r="B36" s="24" t="inlineStr">
        <is>
          <t>Tangki Ballast</t>
        </is>
      </c>
      <c r="C36" s="14" t="inlineStr">
        <is>
          <t>P</t>
        </is>
      </c>
      <c r="D36" s="14" t="inlineStr">
        <is>
          <t>L</t>
        </is>
      </c>
      <c r="E36" s="14" t="inlineStr">
        <is>
          <t>H</t>
        </is>
      </c>
      <c r="F36" s="180">
        <f>0.3*'📝 INPUT DATA'!C8</f>
        <v/>
      </c>
      <c r="G36" s="180">
        <f>0.7*'📝 INPUT DATA'!C9</f>
        <v/>
      </c>
      <c r="H36" s="181">
        <f>'📝 INPUT DATA'!C11</f>
        <v/>
      </c>
      <c r="I36" s="179">
        <f>2*(F36*G36+F36*H36+G36*H36)</f>
        <v/>
      </c>
      <c r="J36" s="38" t="inlineStr">
        <is>
          <t>P,L,H: INTERNAL dari bulkhead (Internal View)</t>
        </is>
      </c>
    </row>
    <row r="37" ht="15" customHeight="1" s="144">
      <c r="A37" s="114" t="inlineStr">
        <is>
          <t>6.2</t>
        </is>
      </c>
      <c r="B37" s="24" t="inlineStr">
        <is>
          <t>Tangki BBM</t>
        </is>
      </c>
      <c r="C37" s="14" t="inlineStr">
        <is>
          <t>P</t>
        </is>
      </c>
      <c r="D37" s="14" t="inlineStr">
        <is>
          <t>L</t>
        </is>
      </c>
      <c r="E37" s="14" t="inlineStr">
        <is>
          <t>H</t>
        </is>
      </c>
      <c r="F37" s="180">
        <f>0.15*'📝 INPUT DATA'!C8</f>
        <v/>
      </c>
      <c r="G37" s="180">
        <f>0.6*'📝 INPUT DATA'!C9</f>
        <v/>
      </c>
      <c r="H37" s="181">
        <f>'📝 INPUT DATA'!C11*0.8</f>
        <v/>
      </c>
      <c r="I37" s="179">
        <f>2*(F37*G37+F37*H37+G37*H37)</f>
        <v/>
      </c>
      <c r="J37" s="38" t="inlineStr">
        <is>
          <t>P,L,H: INTERNAL (Internal View)</t>
        </is>
      </c>
    </row>
    <row r="38" ht="15" customHeight="1" s="144">
      <c r="A38" s="114" t="inlineStr">
        <is>
          <t>6.3</t>
        </is>
      </c>
      <c r="B38" s="24" t="inlineStr">
        <is>
          <t>Tangki Air Tawar</t>
        </is>
      </c>
      <c r="C38" s="14" t="inlineStr">
        <is>
          <t>P</t>
        </is>
      </c>
      <c r="D38" s="14" t="inlineStr">
        <is>
          <t>L</t>
        </is>
      </c>
      <c r="E38" s="14" t="inlineStr">
        <is>
          <t>H</t>
        </is>
      </c>
      <c r="F38" s="180">
        <f>0.1*'📝 INPUT DATA'!C8</f>
        <v/>
      </c>
      <c r="G38" s="180">
        <f>0.4*'📝 INPUT DATA'!C9</f>
        <v/>
      </c>
      <c r="H38" s="181" t="n">
        <v>2</v>
      </c>
      <c r="I38" s="179">
        <f>2*(F38*G38+F38*H38+G38*H38)</f>
        <v/>
      </c>
      <c r="J38" s="38" t="inlineStr">
        <is>
          <t>P,L,H: INTERNAL (Internal View)</t>
        </is>
      </c>
    </row>
    <row r="39" ht="15" customHeight="1" s="144">
      <c r="A39" s="114" t="n"/>
      <c r="B39" s="41" t="inlineStr">
        <is>
          <t>TOTAL TANGKI</t>
        </is>
      </c>
      <c r="C39" s="9" t="n"/>
      <c r="D39" s="9" t="n"/>
      <c r="E39" s="9" t="n"/>
      <c r="F39" s="9" t="n"/>
      <c r="G39" s="9" t="n"/>
      <c r="H39" s="9" t="n"/>
      <c r="I39" s="179">
        <f>SUM(I36:I38)</f>
        <v/>
      </c>
      <c r="J39" s="9" t="n"/>
    </row>
    <row r="41" ht="15" customHeight="1" s="144">
      <c r="A41" s="131" t="inlineStr">
        <is>
          <t>═══ GRAND TOTAL LUASAN BLASTING &amp; PAINTING ═══</t>
        </is>
      </c>
      <c r="I41" s="182">
        <f>I16+I21+I25+I29+I34+I39</f>
        <v/>
      </c>
      <c r="J41" s="119" t="inlineStr">
        <is>
          <t>m²</t>
        </is>
      </c>
    </row>
    <row r="43" ht="15" customHeight="1" s="144">
      <c r="A43" s="112" t="inlineStr">
        <is>
          <t>C. ESTIMASI MAN-HOUR B&amp;P</t>
        </is>
      </c>
    </row>
    <row r="44" ht="15" customHeight="1" s="144">
      <c r="A44" s="133" t="inlineStr">
        <is>
          <t>Total Luasan:</t>
        </is>
      </c>
      <c r="B44" s="37">
        <f>I41</f>
        <v/>
      </c>
      <c r="C44" s="0" t="inlineStr">
        <is>
          <t>m²</t>
        </is>
      </c>
    </row>
    <row r="45" ht="15" customHeight="1" s="144">
      <c r="A45" s="133" t="inlineStr">
        <is>
          <t>MH Rate (per m²):</t>
        </is>
      </c>
      <c r="B45" s="37" t="inlineStr">
        <is>
          <t>0.15</t>
        </is>
      </c>
      <c r="C45" s="0" t="inlineStr">
        <is>
          <t>MH/m²</t>
        </is>
      </c>
    </row>
    <row r="46" ht="15" customHeight="1" s="144">
      <c r="A46" s="133" t="inlineStr">
        <is>
          <t>Faktor Kondisi:</t>
        </is>
      </c>
      <c r="B46" s="37">
        <f>'📝 INPUT DATA'!C24</f>
        <v/>
      </c>
      <c r="C46" s="0" t="inlineStr">
        <is>
          <t>x</t>
        </is>
      </c>
    </row>
    <row r="47" ht="15" customHeight="1" s="144">
      <c r="A47" s="133" t="inlineStr">
        <is>
          <t>Total Man-Hour:</t>
        </is>
      </c>
      <c r="B47" s="179">
        <f>B44*B45*B46</f>
        <v/>
      </c>
      <c r="C47" s="0" t="inlineStr">
        <is>
          <t>MH</t>
        </is>
      </c>
      <c r="I47" s="152" t="n"/>
    </row>
    <row r="48" ht="15" customHeight="1" s="144">
      <c r="A48" s="133" t="inlineStr">
        <is>
          <t>Total Man-Day:</t>
        </is>
      </c>
      <c r="B48" s="179">
        <f>B47/8</f>
        <v/>
      </c>
      <c r="C48" s="0" t="inlineStr">
        <is>
          <t>MD</t>
        </is>
      </c>
      <c r="I48" s="152" t="n"/>
    </row>
    <row r="50" ht="15.6" customHeight="1" s="144">
      <c r="A50" s="166" t="inlineStr">
        <is>
          <t>═══ D. PERBANDINGAN METODE: SIMPSON vs MANUAL ═══</t>
        </is>
      </c>
    </row>
    <row r="51" ht="14.4" customHeight="1" s="144">
      <c r="A51" s="73" t="inlineStr">
        <is>
          <t>No</t>
        </is>
      </c>
      <c r="B51" s="73" t="inlineStr">
        <is>
          <t>Metode</t>
        </is>
      </c>
      <c r="C51" s="73" t="inlineStr">
        <is>
          <t>Komponen</t>
        </is>
      </c>
      <c r="D51" s="73" t="inlineStr">
        <is>
          <t>Rumus/Source</t>
        </is>
      </c>
      <c r="E51" s="73" t="inlineStr">
        <is>
          <t>Hasil (m²)</t>
        </is>
      </c>
      <c r="F51" s="73" t="inlineStr">
        <is>
          <t>Akurasi</t>
        </is>
      </c>
      <c r="G51" s="73" t="inlineStr">
        <is>
          <t>Keterangan</t>
        </is>
      </c>
    </row>
    <row r="52" ht="14.4" customHeight="1" s="144">
      <c r="A52" s="74" t="n">
        <v>1</v>
      </c>
      <c r="B52" s="74" t="inlineStr">
        <is>
          <t>🔬 Simpson</t>
        </is>
      </c>
      <c r="C52" s="74" t="inlineStr">
        <is>
          <t>Lambung Bawah</t>
        </is>
      </c>
      <c r="D52" s="74">
        <f>'🔬 SIMPSON '!B38</f>
        <v/>
      </c>
      <c r="E52" s="99">
        <f>'🔬 SIMPSON '!B38</f>
        <v/>
      </c>
      <c r="F52" s="74" t="inlineStr">
        <is>
          <t>90-95%</t>
        </is>
      </c>
      <c r="G52" s="74" t="inlineStr">
        <is>
          <t>Integrasi numerik 11 stasiun</t>
        </is>
      </c>
    </row>
    <row r="53" ht="14.4" customHeight="1" s="144">
      <c r="A53" s="74" t="n">
        <v>2</v>
      </c>
      <c r="B53" s="74" t="inlineStr">
        <is>
          <t>📐 Manual</t>
        </is>
      </c>
      <c r="C53" s="74" t="inlineStr">
        <is>
          <t>Lambung Bawah</t>
        </is>
      </c>
      <c r="D53" s="74" t="inlineStr">
        <is>
          <t>Taylor: [3.223·√(V·L)+0.46·L·B]·F_App</t>
        </is>
      </c>
      <c r="E53" s="90">
        <f>(3.223*SQRT((F5*F6*F7*F8)*F5)+0.46*F5*F6)*B7</f>
        <v/>
      </c>
      <c r="F53" s="74" t="inlineStr">
        <is>
          <t>60-80%</t>
        </is>
      </c>
      <c r="G53" s="74" t="inlineStr">
        <is>
          <t>L × Girth × Faktor (simplified)</t>
        </is>
      </c>
    </row>
    <row r="54" ht="14.4" customHeight="1" s="144">
      <c r="A54" s="74" t="n">
        <v>3</v>
      </c>
      <c r="B54" s="74" t="inlineStr">
        <is>
          <t>🔬 Simpson</t>
        </is>
      </c>
      <c r="C54" s="74" t="inlineStr">
        <is>
          <t>Underwater Skeg</t>
        </is>
      </c>
      <c r="D54" s="74">
        <f>I15</f>
        <v/>
      </c>
      <c r="E54" s="99">
        <f>I15</f>
        <v/>
      </c>
      <c r="F54" s="74" t="inlineStr">
        <is>
          <t>85-90%</t>
        </is>
      </c>
      <c r="G54" s="74" t="inlineStr">
        <is>
          <t>Auto-calc untuk Tugboat</t>
        </is>
      </c>
    </row>
    <row r="55" ht="14.4" customHeight="1" s="144">
      <c r="A55" s="74" t="n">
        <v>4</v>
      </c>
      <c r="B55" s="74" t="inlineStr">
        <is>
          <t>📐 Manual</t>
        </is>
      </c>
      <c r="C55" s="74" t="inlineStr">
        <is>
          <t>Underwater Skeg</t>
        </is>
      </c>
      <c r="D55" s="74" t="inlineStr">
        <is>
          <t>Input survey</t>
        </is>
      </c>
      <c r="E55" s="90" t="inlineStr">
        <is>
          <t>-</t>
        </is>
      </c>
      <c r="F55" s="74" t="inlineStr">
        <is>
          <t>95%+</t>
        </is>
      </c>
      <c r="G55" s="74" t="inlineStr">
        <is>
          <t>Ukur langsung di lapangan</t>
        </is>
      </c>
    </row>
    <row r="57" ht="14.4" customHeight="1" s="144">
      <c r="A57" s="168" t="inlineStr">
        <is>
          <t>📊 SELISIH:</t>
        </is>
      </c>
      <c r="C57" s="0" t="inlineStr">
        <is>
          <t>Simpson - Manual</t>
        </is>
      </c>
      <c r="D57" s="75">
        <f>E52-E53</f>
        <v/>
      </c>
      <c r="E57" s="0" t="inlineStr">
        <is>
          <t>m²</t>
        </is>
      </c>
      <c r="F57" s="100">
        <f>IFERROR(D57/E53,0)</f>
        <v/>
      </c>
      <c r="G57" s="0">
        <f>IF(E53=0,"-",IF(ABS(F57)&lt;0.15,"✅ Konsisten","⚠️ Review"))</f>
        <v/>
      </c>
    </row>
    <row r="60" ht="14.4" customHeight="1" s="144">
      <c r="A60" s="183" t="inlineStr">
        <is>
          <t>💡 TIPS PENGGUNAAN JENIUS:</t>
        </is>
      </c>
    </row>
    <row r="61" ht="14.4" customHeight="1" s="144">
      <c r="A61" s="184" t="inlineStr">
        <is>
          <t>• Lambung Bawah &amp; Skeg: OTOMATIS dari Simpson (tidak perlu input manual)</t>
        </is>
      </c>
    </row>
    <row r="62" ht="14.4" customHeight="1" s="144">
      <c r="A62" s="184" t="inlineStr">
        <is>
          <t>• Topside, Bulwark, Deck: INPUT MANUAL dari survey (lebih akurat untuk detail)</t>
        </is>
      </c>
    </row>
    <row r="63" ht="14.4" customHeight="1" s="144">
      <c r="A63" s="184" t="inlineStr">
        <is>
          <t>• Superstructure &amp; Tangki: INPUT MANUAL (dimensi bervariasi per kapal)</t>
        </is>
      </c>
    </row>
    <row r="64" ht="14.4" customHeight="1" s="144">
      <c r="A64" s="184" t="inlineStr">
        <is>
          <t>• Jika ada perbedaan &gt;15% antara Simpson vs Manual, review input data</t>
        </is>
      </c>
    </row>
  </sheetData>
  <mergeCells count="22">
    <mergeCell ref="G10:I10"/>
    <mergeCell ref="A4:D4"/>
    <mergeCell ref="A62:J62"/>
    <mergeCell ref="B17:J17"/>
    <mergeCell ref="A43:D43"/>
    <mergeCell ref="B13:J13"/>
    <mergeCell ref="A63:J63"/>
    <mergeCell ref="A41:H41"/>
    <mergeCell ref="A64:J64"/>
    <mergeCell ref="A60:J60"/>
    <mergeCell ref="B30:J30"/>
    <mergeCell ref="A11:J11"/>
    <mergeCell ref="A1:J1"/>
    <mergeCell ref="A61:J61"/>
    <mergeCell ref="A57:B57"/>
    <mergeCell ref="B26:J26"/>
    <mergeCell ref="B35:J35"/>
    <mergeCell ref="B22:J22"/>
    <mergeCell ref="H4:J4"/>
    <mergeCell ref="A50:J50"/>
    <mergeCell ref="E4:G4"/>
    <mergeCell ref="A2:J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:I1"/>
    </sheetView>
  </sheetViews>
  <sheetFormatPr baseColWidth="8" defaultColWidth="9.109375" defaultRowHeight="15" customHeight="1"/>
  <cols>
    <col width="5" customWidth="1" style="144" min="1" max="1"/>
    <col width="18" customWidth="1" style="144" min="2" max="2"/>
    <col width="15" customWidth="1" style="144" min="3" max="3"/>
    <col width="12" customWidth="1" style="144" min="4" max="5"/>
    <col width="15" customWidth="1" style="144" min="6" max="8"/>
    <col width="25" customWidth="1" style="144" min="9" max="9"/>
  </cols>
  <sheetData>
    <row r="1" ht="35.25" customHeight="1" s="144">
      <c r="A1" s="113" t="inlineStr">
        <is>
          <t>🔧 CALCULATOR DETAIL - PIPING (Joint &amp; Man-Hour)</t>
        </is>
      </c>
    </row>
    <row r="2" ht="15" customHeight="1" s="144">
      <c r="A2" s="117" t="inlineStr">
        <is>
          <t>📋 Input jumlah joint per diameter. MH otomatis terhitung berdasarkan standar TCAEMM.</t>
        </is>
      </c>
    </row>
    <row r="4" ht="15" customHeight="1" s="144">
      <c r="A4" s="112" t="inlineStr">
        <is>
          <t>A. PERHITUNGAN JOINT &amp; MAN-HOUR PIPING</t>
        </is>
      </c>
    </row>
    <row r="5" ht="15" customHeight="1" s="144">
      <c r="A5" s="1" t="inlineStr">
        <is>
          <t>No</t>
        </is>
      </c>
      <c r="B5" s="1" t="inlineStr">
        <is>
          <t>Diameter</t>
        </is>
      </c>
      <c r="C5" s="1" t="inlineStr">
        <is>
          <t>Jumlah Joint</t>
        </is>
      </c>
      <c r="D5" s="1" t="inlineStr">
        <is>
          <t>MH/Joint</t>
        </is>
      </c>
      <c r="E5" s="1" t="inlineStr">
        <is>
          <t>MH/Fitting</t>
        </is>
      </c>
      <c r="F5" s="1" t="inlineStr">
        <is>
          <t>Total MH Joint</t>
        </is>
      </c>
      <c r="G5" s="1" t="inlineStr">
        <is>
          <t>Total MH Fitting</t>
        </is>
      </c>
      <c r="H5" s="1" t="inlineStr">
        <is>
          <t>Total MH</t>
        </is>
      </c>
      <c r="I5" s="1" t="inlineStr">
        <is>
          <t>Catatan</t>
        </is>
      </c>
    </row>
    <row r="6" ht="15" customHeight="1" s="144">
      <c r="A6" s="4" t="inlineStr">
        <is>
          <t>1.1</t>
        </is>
      </c>
      <c r="B6" s="5" t="inlineStr">
        <is>
          <t>1/2" (15mm)</t>
        </is>
      </c>
      <c r="C6" s="43" t="n"/>
      <c r="D6" s="44" t="n">
        <v>0.5</v>
      </c>
      <c r="E6" s="45" t="n">
        <v>0.25</v>
      </c>
      <c r="F6" s="46">
        <f>C6*D6</f>
        <v/>
      </c>
      <c r="G6" s="46">
        <f>C6*E6</f>
        <v/>
      </c>
      <c r="H6" s="34">
        <f>F6+G6</f>
        <v/>
      </c>
      <c r="I6" s="47" t="inlineStr">
        <is>
          <t>Pipa kecil</t>
        </is>
      </c>
    </row>
    <row r="7" ht="15" customHeight="1" s="144">
      <c r="A7" s="114" t="inlineStr">
        <is>
          <t>1.2</t>
        </is>
      </c>
      <c r="B7" s="8" t="inlineStr">
        <is>
          <t>3/4" (20mm)</t>
        </is>
      </c>
      <c r="C7" s="43" t="n"/>
      <c r="D7" s="48" t="n">
        <v>0.6</v>
      </c>
      <c r="E7" s="36" t="n">
        <v>0.3</v>
      </c>
      <c r="F7" s="46">
        <f>C7*D7</f>
        <v/>
      </c>
      <c r="G7" s="46">
        <f>C7*E7</f>
        <v/>
      </c>
      <c r="H7" s="34">
        <f>F7+G7</f>
        <v/>
      </c>
      <c r="I7" s="14" t="inlineStr">
        <is>
          <t>Pipa kecil</t>
        </is>
      </c>
    </row>
    <row r="8" ht="15" customHeight="1" s="144">
      <c r="A8" s="4" t="inlineStr">
        <is>
          <t>1.3</t>
        </is>
      </c>
      <c r="B8" s="5" t="inlineStr">
        <is>
          <t>1" (25mm)</t>
        </is>
      </c>
      <c r="C8" s="43" t="n"/>
      <c r="D8" s="44" t="n">
        <v>0.8</v>
      </c>
      <c r="E8" s="45" t="n">
        <v>0.4</v>
      </c>
      <c r="F8" s="46">
        <f>C8*D8</f>
        <v/>
      </c>
      <c r="G8" s="46">
        <f>C8*E8</f>
        <v/>
      </c>
      <c r="H8" s="34">
        <f>F8+G8</f>
        <v/>
      </c>
      <c r="I8" s="47" t="inlineStr">
        <is>
          <t>Pipa kecil</t>
        </is>
      </c>
    </row>
    <row r="9" ht="15" customHeight="1" s="144">
      <c r="A9" s="114" t="inlineStr">
        <is>
          <t>1.4</t>
        </is>
      </c>
      <c r="B9" s="8" t="inlineStr">
        <is>
          <t>1.5" (40mm)</t>
        </is>
      </c>
      <c r="C9" s="43" t="n"/>
      <c r="D9" s="48" t="n">
        <v>1</v>
      </c>
      <c r="E9" s="36" t="n">
        <v>0.5</v>
      </c>
      <c r="F9" s="46">
        <f>C9*D9</f>
        <v/>
      </c>
      <c r="G9" s="46">
        <f>C9*E9</f>
        <v/>
      </c>
      <c r="H9" s="34">
        <f>F9+G9</f>
        <v/>
      </c>
      <c r="I9" s="14" t="inlineStr">
        <is>
          <t>Pipa sedang</t>
        </is>
      </c>
    </row>
    <row r="10" ht="15" customHeight="1" s="144">
      <c r="A10" s="4" t="inlineStr">
        <is>
          <t>1.5</t>
        </is>
      </c>
      <c r="B10" s="5" t="inlineStr">
        <is>
          <t>2" (50mm)</t>
        </is>
      </c>
      <c r="C10" s="43" t="n"/>
      <c r="D10" s="44" t="n">
        <v>1.2</v>
      </c>
      <c r="E10" s="45" t="n">
        <v>0.6</v>
      </c>
      <c r="F10" s="46">
        <f>C10*D10</f>
        <v/>
      </c>
      <c r="G10" s="46">
        <f>C10*E10</f>
        <v/>
      </c>
      <c r="H10" s="34">
        <f>F10+G10</f>
        <v/>
      </c>
      <c r="I10" s="47" t="inlineStr">
        <is>
          <t>Pipa sedang</t>
        </is>
      </c>
    </row>
    <row r="11" ht="15" customHeight="1" s="144">
      <c r="A11" s="114" t="inlineStr">
        <is>
          <t>1.6</t>
        </is>
      </c>
      <c r="B11" s="8" t="inlineStr">
        <is>
          <t>2.5" (65mm)</t>
        </is>
      </c>
      <c r="C11" s="43" t="n"/>
      <c r="D11" s="48" t="n">
        <v>1.5</v>
      </c>
      <c r="E11" s="36" t="n">
        <v>0.75</v>
      </c>
      <c r="F11" s="46">
        <f>C11*D11</f>
        <v/>
      </c>
      <c r="G11" s="46">
        <f>C11*E11</f>
        <v/>
      </c>
      <c r="H11" s="34">
        <f>F11+G11</f>
        <v/>
      </c>
      <c r="I11" s="14" t="inlineStr">
        <is>
          <t>Pipa sedang</t>
        </is>
      </c>
    </row>
    <row r="12" ht="15" customHeight="1" s="144">
      <c r="A12" s="4" t="inlineStr">
        <is>
          <t>1.7</t>
        </is>
      </c>
      <c r="B12" s="5" t="inlineStr">
        <is>
          <t>3" (80mm)</t>
        </is>
      </c>
      <c r="C12" s="43" t="n"/>
      <c r="D12" s="44" t="n">
        <v>1.8</v>
      </c>
      <c r="E12" s="45" t="n">
        <v>0.9</v>
      </c>
      <c r="F12" s="46">
        <f>C12*D12</f>
        <v/>
      </c>
      <c r="G12" s="46">
        <f>C12*E12</f>
        <v/>
      </c>
      <c r="H12" s="34">
        <f>F12+G12</f>
        <v/>
      </c>
      <c r="I12" s="47" t="inlineStr">
        <is>
          <t>Pipa sedang</t>
        </is>
      </c>
    </row>
    <row r="13" ht="15" customHeight="1" s="144">
      <c r="A13" s="114" t="inlineStr">
        <is>
          <t>1.8</t>
        </is>
      </c>
      <c r="B13" s="8" t="inlineStr">
        <is>
          <t>4" (100mm)</t>
        </is>
      </c>
      <c r="C13" s="43" t="n"/>
      <c r="D13" s="48" t="n">
        <v>2.5</v>
      </c>
      <c r="E13" s="36" t="n">
        <v>1.25</v>
      </c>
      <c r="F13" s="46">
        <f>C13*D13</f>
        <v/>
      </c>
      <c r="G13" s="46">
        <f>C13*E13</f>
        <v/>
      </c>
      <c r="H13" s="34">
        <f>F13+G13</f>
        <v/>
      </c>
      <c r="I13" s="14" t="inlineStr">
        <is>
          <t>Pipa besar</t>
        </is>
      </c>
    </row>
    <row r="14" ht="15" customHeight="1" s="144">
      <c r="A14" s="4" t="inlineStr">
        <is>
          <t>1.9</t>
        </is>
      </c>
      <c r="B14" s="5" t="inlineStr">
        <is>
          <t>5" (125mm)</t>
        </is>
      </c>
      <c r="C14" s="43" t="n"/>
      <c r="D14" s="44" t="n">
        <v>3</v>
      </c>
      <c r="E14" s="45" t="n">
        <v>1.5</v>
      </c>
      <c r="F14" s="46">
        <f>C14*D14</f>
        <v/>
      </c>
      <c r="G14" s="46">
        <f>C14*E14</f>
        <v/>
      </c>
      <c r="H14" s="34">
        <f>F14+G14</f>
        <v/>
      </c>
      <c r="I14" s="47" t="inlineStr">
        <is>
          <t>Pipa besar</t>
        </is>
      </c>
    </row>
    <row r="15" ht="15" customHeight="1" s="144">
      <c r="A15" s="114" t="inlineStr">
        <is>
          <t>1.10</t>
        </is>
      </c>
      <c r="B15" s="8" t="inlineStr">
        <is>
          <t>6" (150mm)</t>
        </is>
      </c>
      <c r="C15" s="43" t="n"/>
      <c r="D15" s="48" t="n">
        <v>3.5</v>
      </c>
      <c r="E15" s="36" t="n">
        <v>1.75</v>
      </c>
      <c r="F15" s="46">
        <f>C15*D15</f>
        <v/>
      </c>
      <c r="G15" s="46">
        <f>C15*E15</f>
        <v/>
      </c>
      <c r="H15" s="34">
        <f>F15+G15</f>
        <v/>
      </c>
      <c r="I15" s="14" t="inlineStr">
        <is>
          <t>Pipa besar</t>
        </is>
      </c>
    </row>
    <row r="16" ht="15" customHeight="1" s="144">
      <c r="A16" s="4" t="inlineStr">
        <is>
          <t>1.11</t>
        </is>
      </c>
      <c r="B16" s="5" t="inlineStr">
        <is>
          <t>8" (200mm)</t>
        </is>
      </c>
      <c r="C16" s="43" t="n"/>
      <c r="D16" s="44" t="n">
        <v>5</v>
      </c>
      <c r="E16" s="45" t="n">
        <v>2.5</v>
      </c>
      <c r="F16" s="46">
        <f>C16*D16</f>
        <v/>
      </c>
      <c r="G16" s="46">
        <f>C16*E16</f>
        <v/>
      </c>
      <c r="H16" s="34">
        <f>F16+G16</f>
        <v/>
      </c>
      <c r="I16" s="47" t="inlineStr">
        <is>
          <t>Pipa besar</t>
        </is>
      </c>
    </row>
    <row r="17" ht="15" customHeight="1" s="144">
      <c r="A17" s="114" t="inlineStr">
        <is>
          <t>1.12</t>
        </is>
      </c>
      <c r="B17" s="8" t="inlineStr">
        <is>
          <t>10" (250mm)</t>
        </is>
      </c>
      <c r="C17" s="43" t="n"/>
      <c r="D17" s="48" t="n">
        <v>6.5</v>
      </c>
      <c r="E17" s="36" t="n">
        <v>3.25</v>
      </c>
      <c r="F17" s="46">
        <f>C17*D17</f>
        <v/>
      </c>
      <c r="G17" s="46">
        <f>C17*E17</f>
        <v/>
      </c>
      <c r="H17" s="34">
        <f>F17+G17</f>
        <v/>
      </c>
      <c r="I17" s="14" t="inlineStr">
        <is>
          <t>Pipa besar</t>
        </is>
      </c>
    </row>
    <row r="18" ht="15" customHeight="1" s="144">
      <c r="A18" s="4" t="inlineStr">
        <is>
          <t>1.13</t>
        </is>
      </c>
      <c r="B18" s="5" t="inlineStr">
        <is>
          <t>12" (300mm)</t>
        </is>
      </c>
      <c r="C18" s="43" t="n"/>
      <c r="D18" s="44" t="n">
        <v>8</v>
      </c>
      <c r="E18" s="45" t="n">
        <v>4</v>
      </c>
      <c r="F18" s="46">
        <f>C18*D18</f>
        <v/>
      </c>
      <c r="G18" s="46">
        <f>C18*E18</f>
        <v/>
      </c>
      <c r="H18" s="34">
        <f>F18+G18</f>
        <v/>
      </c>
      <c r="I18" s="47" t="inlineStr">
        <is>
          <t>Pipa besar</t>
        </is>
      </c>
    </row>
    <row r="19" ht="15" customHeight="1" s="144">
      <c r="A19" s="134" t="inlineStr">
        <is>
          <t>TOTAL MAN-HOUR PIPING</t>
        </is>
      </c>
      <c r="F19" s="49">
        <f>SUM(F6:F18)</f>
        <v/>
      </c>
      <c r="G19" s="49">
        <f>SUM(G6:G18)</f>
        <v/>
      </c>
      <c r="H19" s="50">
        <f>SUM(H6:H18)</f>
        <v/>
      </c>
      <c r="I19" s="51" t="inlineStr">
        <is>
          <t>MH</t>
        </is>
      </c>
    </row>
    <row r="21" ht="15" customHeight="1" s="144">
      <c r="A21" s="133" t="inlineStr">
        <is>
          <t>Konversi ke Man-Day (8 jam):</t>
        </is>
      </c>
      <c r="H21" s="34">
        <f>H19/8</f>
        <v/>
      </c>
      <c r="I21" s="0" t="inlineStr">
        <is>
          <t>MD</t>
        </is>
      </c>
    </row>
  </sheetData>
  <mergeCells count="5">
    <mergeCell ref="A21:E21"/>
    <mergeCell ref="A2:I2"/>
    <mergeCell ref="A19:E19"/>
    <mergeCell ref="A1:I1"/>
    <mergeCell ref="A4:I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:M1"/>
    </sheetView>
  </sheetViews>
  <sheetFormatPr baseColWidth="8" defaultColWidth="9.109375" defaultRowHeight="15" customHeight="1"/>
  <cols>
    <col width="5" customWidth="1" style="144" min="1" max="1"/>
    <col width="22" customWidth="1" style="144" min="2" max="2"/>
    <col width="12" customWidth="1" style="144" min="3" max="3"/>
    <col width="10" customWidth="1" style="144" min="4" max="6"/>
    <col width="8" customWidth="1" style="144" min="7" max="7"/>
    <col width="12" customWidth="1" style="144" min="8" max="8"/>
    <col width="10" customWidth="1" style="144" min="9" max="9"/>
    <col width="12" customWidth="1" style="144" min="10" max="11"/>
    <col width="15" customWidth="1" style="144" min="12" max="12"/>
    <col width="25" customWidth="1" style="144" min="13" max="13"/>
  </cols>
  <sheetData>
    <row r="1" ht="35.25" customHeight="1" s="144">
      <c r="A1" s="113" t="inlineStr">
        <is>
          <t>⚙️ REPLATING CALCULATOR</t>
        </is>
      </c>
    </row>
    <row r="2" ht="15" customHeight="1" s="144">
      <c r="A2" s="117" t="inlineStr">
        <is>
          <t>Perhitungan Berat Material Replating Otomatis • Terintegrasi dengan Quotation</t>
        </is>
      </c>
    </row>
    <row r="3" ht="15" customHeight="1" s="144">
      <c r="I3" s="112" t="inlineStr">
        <is>
          <t>📊 RINGKASAN CEPAT</t>
        </is>
      </c>
    </row>
    <row r="4" ht="15" customHeight="1" s="144">
      <c r="A4" s="112" t="inlineStr">
        <is>
          <t>A. PLATE (Plat Baja)</t>
        </is>
      </c>
      <c r="I4" s="133" t="inlineStr">
        <is>
          <t>Total Berat Plate:</t>
        </is>
      </c>
      <c r="J4" s="37">
        <f>SUM(L8:L18)</f>
        <v/>
      </c>
      <c r="K4" s="0" t="inlineStr">
        <is>
          <t>kg</t>
        </is>
      </c>
    </row>
    <row r="5" ht="15" customHeight="1" s="144">
      <c r="A5" s="111" t="inlineStr">
        <is>
          <t>Densitas: 7.85 g/cm³ • Loss Factor: &lt;600mm = 1.2, ≥600mm = 1.05</t>
        </is>
      </c>
      <c r="I5" s="133" t="inlineStr">
        <is>
          <t>Total Berat Profile:</t>
        </is>
      </c>
      <c r="J5" s="37">
        <f>SUM(L22:L41)</f>
        <v/>
      </c>
      <c r="K5" s="0" t="inlineStr">
        <is>
          <t>kg</t>
        </is>
      </c>
    </row>
    <row r="6" ht="15" customHeight="1" s="144">
      <c r="I6" s="133" t="inlineStr">
        <is>
          <t>GRAND TOTAL:</t>
        </is>
      </c>
      <c r="J6" s="37">
        <f>J4+J5</f>
        <v/>
      </c>
      <c r="K6" s="0" t="inlineStr">
        <is>
          <t>kg</t>
        </is>
      </c>
    </row>
    <row r="7" ht="15" customHeight="1" s="144">
      <c r="A7" s="35" t="inlineStr">
        <is>
          <t>No</t>
        </is>
      </c>
      <c r="B7" s="35" t="inlineStr">
        <is>
          <t>Jenis Plate</t>
        </is>
      </c>
      <c r="C7" s="35" t="inlineStr">
        <is>
          <t>Kelas</t>
        </is>
      </c>
      <c r="D7" s="35" t="inlineStr">
        <is>
          <t>Panjang (m)</t>
        </is>
      </c>
      <c r="E7" s="35" t="inlineStr">
        <is>
          <t>Lebar (m)</t>
        </is>
      </c>
      <c r="F7" s="35" t="inlineStr">
        <is>
          <t>Tebal (mm)</t>
        </is>
      </c>
      <c r="G7" s="35" t="inlineStr">
        <is>
          <t>Qty (sht)</t>
        </is>
      </c>
      <c r="H7" s="35" t="inlineStr">
        <is>
          <t>Berat (kg)</t>
        </is>
      </c>
      <c r="I7" s="35" t="inlineStr">
        <is>
          <t>Loss Factor</t>
        </is>
      </c>
      <c r="J7" s="52" t="inlineStr">
        <is>
          <t>Berat Aktual (kg)</t>
        </is>
      </c>
      <c r="K7" s="35" t="inlineStr">
        <is>
          <t>Harga/kg (Rp)</t>
        </is>
      </c>
      <c r="L7" s="35" t="inlineStr">
        <is>
          <t>Total Harga (Rp)</t>
        </is>
      </c>
    </row>
    <row r="8" ht="15" customHeight="1" s="144">
      <c r="A8" s="114" t="inlineStr">
        <is>
          <t>1</t>
        </is>
      </c>
      <c r="B8" s="53" t="inlineStr">
        <is>
          <t>Plate Grade A - 6mm</t>
        </is>
      </c>
      <c r="C8" s="53" t="inlineStr">
        <is>
          <t>Non-Klass</t>
        </is>
      </c>
      <c r="D8" s="39" t="n">
        <v>1.5</v>
      </c>
      <c r="E8" s="39" t="n">
        <v>0.8</v>
      </c>
      <c r="F8" s="114" t="n">
        <v>6</v>
      </c>
      <c r="G8" s="54" t="n">
        <v>1</v>
      </c>
      <c r="H8" s="36">
        <f>D8*E8*F8*7.85</f>
        <v/>
      </c>
      <c r="I8" s="36">
        <f>IF(E8&lt;0.6,1.2,1.05)</f>
        <v/>
      </c>
      <c r="J8" s="46">
        <f>H8*I8*G8</f>
        <v/>
      </c>
      <c r="K8" s="31" t="n">
        <v>32000</v>
      </c>
      <c r="L8" s="55">
        <f>J8*K8</f>
        <v/>
      </c>
    </row>
    <row r="9" ht="15" customHeight="1" s="144">
      <c r="A9" s="114" t="inlineStr">
        <is>
          <t>2</t>
        </is>
      </c>
      <c r="B9" s="53" t="inlineStr">
        <is>
          <t>Plate Grade A - 8mm</t>
        </is>
      </c>
      <c r="C9" s="53" t="inlineStr">
        <is>
          <t>Non-Klass</t>
        </is>
      </c>
      <c r="D9" s="39" t="n">
        <v>2</v>
      </c>
      <c r="E9" s="39" t="n">
        <v>1.2</v>
      </c>
      <c r="F9" s="114" t="n">
        <v>8</v>
      </c>
      <c r="G9" s="54" t="n">
        <v>1</v>
      </c>
      <c r="H9" s="36">
        <f>D9*E9*F9*7.85</f>
        <v/>
      </c>
      <c r="I9" s="36">
        <f>IF(E9&lt;0.6,1.2,1.05)</f>
        <v/>
      </c>
      <c r="J9" s="46">
        <f>H9*I9*G9</f>
        <v/>
      </c>
      <c r="K9" s="31" t="n">
        <v>32000</v>
      </c>
      <c r="L9" s="55">
        <f>J9*K9</f>
        <v/>
      </c>
    </row>
    <row r="10" ht="15" customHeight="1" s="144">
      <c r="A10" s="114" t="inlineStr">
        <is>
          <t>3</t>
        </is>
      </c>
      <c r="B10" s="53" t="inlineStr">
        <is>
          <t>Plate Grade A - 10mm</t>
        </is>
      </c>
      <c r="C10" s="53" t="inlineStr">
        <is>
          <t>Non-Klass</t>
        </is>
      </c>
      <c r="D10" s="39" t="n"/>
      <c r="E10" s="39" t="n"/>
      <c r="F10" s="114" t="n">
        <v>10</v>
      </c>
      <c r="G10" s="54" t="n"/>
      <c r="H10" s="36">
        <f>D10*E10*F10*7.85</f>
        <v/>
      </c>
      <c r="I10" s="36">
        <f>IF(E10&lt;0.6,1.2,1.05)</f>
        <v/>
      </c>
      <c r="J10" s="46">
        <f>H10*I10*G10</f>
        <v/>
      </c>
      <c r="K10" s="31" t="n">
        <v>32000</v>
      </c>
      <c r="L10" s="55">
        <f>J10*K10</f>
        <v/>
      </c>
    </row>
    <row r="11" ht="15" customHeight="1" s="144">
      <c r="A11" s="114" t="inlineStr">
        <is>
          <t>4</t>
        </is>
      </c>
      <c r="B11" s="53" t="inlineStr">
        <is>
          <t>Plate Grade A - 12mm</t>
        </is>
      </c>
      <c r="C11" s="53" t="inlineStr">
        <is>
          <t>Non-Klass</t>
        </is>
      </c>
      <c r="D11" s="39" t="n"/>
      <c r="E11" s="39" t="n"/>
      <c r="F11" s="114" t="n">
        <v>12</v>
      </c>
      <c r="G11" s="54" t="n"/>
      <c r="H11" s="36">
        <f>D11*E11*F11*7.85</f>
        <v/>
      </c>
      <c r="I11" s="36">
        <f>IF(E11&lt;0.6,1.2,1.05)</f>
        <v/>
      </c>
      <c r="J11" s="46">
        <f>H11*I11*G11</f>
        <v/>
      </c>
      <c r="K11" s="31" t="n">
        <v>32000</v>
      </c>
      <c r="L11" s="55">
        <f>J11*K11</f>
        <v/>
      </c>
    </row>
    <row r="12" ht="15" customHeight="1" s="144">
      <c r="A12" s="114" t="inlineStr">
        <is>
          <t>5</t>
        </is>
      </c>
      <c r="B12" s="53" t="inlineStr">
        <is>
          <t>Plate Grade A - 14mm</t>
        </is>
      </c>
      <c r="C12" s="53" t="inlineStr">
        <is>
          <t>Non-Klass</t>
        </is>
      </c>
      <c r="D12" s="39" t="n"/>
      <c r="E12" s="39" t="n"/>
      <c r="F12" s="114" t="n">
        <v>14</v>
      </c>
      <c r="G12" s="54" t="n"/>
      <c r="H12" s="36">
        <f>D12*E12*F12*7.85</f>
        <v/>
      </c>
      <c r="I12" s="36">
        <f>IF(E12&lt;0.6,1.2,1.05)</f>
        <v/>
      </c>
      <c r="J12" s="46">
        <f>H12*I12*G12</f>
        <v/>
      </c>
      <c r="K12" s="31" t="n">
        <v>32000</v>
      </c>
      <c r="L12" s="55">
        <f>J12*K12</f>
        <v/>
      </c>
    </row>
    <row r="13" ht="15" customHeight="1" s="144">
      <c r="A13" s="114" t="inlineStr">
        <is>
          <t>6</t>
        </is>
      </c>
      <c r="B13" s="53" t="inlineStr">
        <is>
          <t>Plate Grade A - 16mm</t>
        </is>
      </c>
      <c r="C13" s="53" t="inlineStr">
        <is>
          <t>Non-Klass</t>
        </is>
      </c>
      <c r="D13" s="39" t="n"/>
      <c r="E13" s="39" t="n"/>
      <c r="F13" s="114" t="n">
        <v>16</v>
      </c>
      <c r="G13" s="54" t="n"/>
      <c r="H13" s="36">
        <f>D13*E13*F13*7.85</f>
        <v/>
      </c>
      <c r="I13" s="36">
        <f>IF(E13&lt;0.6,1.2,1.05)</f>
        <v/>
      </c>
      <c r="J13" s="46">
        <f>H13*I13*G13</f>
        <v/>
      </c>
      <c r="K13" s="31" t="n">
        <v>32000</v>
      </c>
      <c r="L13" s="55">
        <f>J13*K13</f>
        <v/>
      </c>
    </row>
    <row r="14" ht="15" customHeight="1" s="144">
      <c r="A14" s="114" t="inlineStr">
        <is>
          <t>7</t>
        </is>
      </c>
      <c r="B14" s="53" t="inlineStr">
        <is>
          <t>Plate BKI - 8mm</t>
        </is>
      </c>
      <c r="C14" s="53" t="inlineStr">
        <is>
          <t>Klass BKI</t>
        </is>
      </c>
      <c r="D14" s="39" t="n"/>
      <c r="E14" s="39" t="n"/>
      <c r="F14" s="114" t="n">
        <v>8</v>
      </c>
      <c r="G14" s="54" t="n"/>
      <c r="H14" s="36">
        <f>D14*E14*F14*7.85</f>
        <v/>
      </c>
      <c r="I14" s="36">
        <f>IF(E14&lt;0.6,1.2,1.05)</f>
        <v/>
      </c>
      <c r="J14" s="46">
        <f>H14*I14*G14</f>
        <v/>
      </c>
      <c r="K14" s="31" t="n">
        <v>34000</v>
      </c>
      <c r="L14" s="55">
        <f>J14*K14</f>
        <v/>
      </c>
    </row>
    <row r="15" ht="15" customHeight="1" s="144">
      <c r="A15" s="114" t="inlineStr">
        <is>
          <t>8</t>
        </is>
      </c>
      <c r="B15" s="53" t="inlineStr">
        <is>
          <t>Plate BKI - 10mm</t>
        </is>
      </c>
      <c r="C15" s="53" t="inlineStr">
        <is>
          <t>Klass BKI</t>
        </is>
      </c>
      <c r="D15" s="39" t="n"/>
      <c r="E15" s="39" t="n"/>
      <c r="F15" s="114" t="n">
        <v>10</v>
      </c>
      <c r="G15" s="54" t="n"/>
      <c r="H15" s="36">
        <f>D15*E15*F15*7.85</f>
        <v/>
      </c>
      <c r="I15" s="36">
        <f>IF(E15&lt;0.6,1.2,1.05)</f>
        <v/>
      </c>
      <c r="J15" s="46">
        <f>H15*I15*G15</f>
        <v/>
      </c>
      <c r="K15" s="31" t="n">
        <v>34000</v>
      </c>
      <c r="L15" s="55">
        <f>J15*K15</f>
        <v/>
      </c>
    </row>
    <row r="16" ht="15" customHeight="1" s="144">
      <c r="A16" s="114" t="inlineStr">
        <is>
          <t>9</t>
        </is>
      </c>
      <c r="B16" s="53" t="inlineStr">
        <is>
          <t>Plate BKI - 12mm</t>
        </is>
      </c>
      <c r="C16" s="53" t="inlineStr">
        <is>
          <t>Klass BKI</t>
        </is>
      </c>
      <c r="D16" s="39" t="n"/>
      <c r="E16" s="39" t="n"/>
      <c r="F16" s="114" t="n">
        <v>12</v>
      </c>
      <c r="G16" s="54" t="n"/>
      <c r="H16" s="36">
        <f>D16*E16*F16*7.85</f>
        <v/>
      </c>
      <c r="I16" s="36">
        <f>IF(E16&lt;0.6,1.2,1.05)</f>
        <v/>
      </c>
      <c r="J16" s="46">
        <f>H16*I16*G16</f>
        <v/>
      </c>
      <c r="K16" s="31" t="n">
        <v>34000</v>
      </c>
      <c r="L16" s="55">
        <f>J16*K16</f>
        <v/>
      </c>
    </row>
    <row r="17" ht="15" customHeight="1" s="144">
      <c r="A17" s="114" t="inlineStr">
        <is>
          <t>10</t>
        </is>
      </c>
      <c r="B17" s="53" t="inlineStr">
        <is>
          <t>Plate IACS - 8mm</t>
        </is>
      </c>
      <c r="C17" s="53" t="inlineStr">
        <is>
          <t>IACS Member</t>
        </is>
      </c>
      <c r="D17" s="39" t="n"/>
      <c r="E17" s="39" t="n"/>
      <c r="F17" s="114" t="n">
        <v>8</v>
      </c>
      <c r="G17" s="54" t="n"/>
      <c r="H17" s="36">
        <f>D17*E17*F17*7.85</f>
        <v/>
      </c>
      <c r="I17" s="36">
        <f>IF(E17&lt;0.6,1.2,1.05)</f>
        <v/>
      </c>
      <c r="J17" s="46">
        <f>H17*I17*G17</f>
        <v/>
      </c>
      <c r="K17" s="31" t="n">
        <v>36000</v>
      </c>
      <c r="L17" s="55">
        <f>J17*K17</f>
        <v/>
      </c>
    </row>
    <row r="18" ht="15" customHeight="1" s="144">
      <c r="A18" s="114" t="inlineStr">
        <is>
          <t>11</t>
        </is>
      </c>
      <c r="B18" s="53" t="inlineStr">
        <is>
          <t>Plate IACS - 10mm</t>
        </is>
      </c>
      <c r="C18" s="53" t="inlineStr">
        <is>
          <t>IACS Member</t>
        </is>
      </c>
      <c r="D18" s="39" t="n"/>
      <c r="E18" s="39" t="n"/>
      <c r="F18" s="114" t="n">
        <v>10</v>
      </c>
      <c r="G18" s="54" t="n"/>
      <c r="H18" s="36">
        <f>D18*E18*F18*7.85</f>
        <v/>
      </c>
      <c r="I18" s="36">
        <f>IF(E18&lt;0.6,1.2,1.05)</f>
        <v/>
      </c>
      <c r="J18" s="46">
        <f>H18*I18*G18</f>
        <v/>
      </c>
      <c r="K18" s="31" t="n">
        <v>36000</v>
      </c>
      <c r="L18" s="55">
        <f>J18*K18</f>
        <v/>
      </c>
    </row>
    <row r="19" ht="15" customHeight="1" s="144">
      <c r="A19" s="114" t="inlineStr">
        <is>
          <t>12</t>
        </is>
      </c>
      <c r="B19" s="53" t="inlineStr">
        <is>
          <t>Plate IACS - 12mm</t>
        </is>
      </c>
      <c r="C19" s="53" t="inlineStr">
        <is>
          <t>IACS Member</t>
        </is>
      </c>
      <c r="D19" s="39" t="n"/>
      <c r="E19" s="39" t="n"/>
      <c r="F19" s="114" t="n">
        <v>12</v>
      </c>
      <c r="G19" s="54" t="n"/>
      <c r="H19" s="36">
        <f>D19*E19*F19*7.85</f>
        <v/>
      </c>
      <c r="I19" s="36">
        <f>IF(E19&lt;0.6,1.2,1.05)</f>
        <v/>
      </c>
      <c r="J19" s="46">
        <f>H19*I19*G19</f>
        <v/>
      </c>
      <c r="K19" s="31" t="n">
        <v>36000</v>
      </c>
      <c r="L19" s="55">
        <f>J19*K19</f>
        <v/>
      </c>
    </row>
  </sheetData>
  <mergeCells count="5">
    <mergeCell ref="I3:M3"/>
    <mergeCell ref="A1:M1"/>
    <mergeCell ref="A4:G4"/>
    <mergeCell ref="A2:M2"/>
    <mergeCell ref="A5:G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:G1"/>
    </sheetView>
  </sheetViews>
  <sheetFormatPr baseColWidth="8" defaultColWidth="9.109375" defaultRowHeight="15" customHeight="1"/>
  <cols>
    <col width="8" customWidth="1" style="144" min="1" max="1"/>
    <col width="45" customWidth="1" style="144" min="2" max="2"/>
    <col width="10" customWidth="1" style="144" min="3" max="3"/>
    <col width="15" customWidth="1" style="144" min="4" max="5"/>
    <col width="25" customWidth="1" style="144" min="6" max="6"/>
    <col width="12" customWidth="1" style="144" min="7" max="7"/>
  </cols>
  <sheetData>
    <row r="1" ht="35.25" customHeight="1" s="144">
      <c r="A1" s="113" t="inlineStr">
        <is>
          <t>💲 MASTER HARGA SATUAN - DATABASE TARIF GALANGAN</t>
        </is>
      </c>
    </row>
    <row r="2" ht="15" customHeight="1" s="144">
      <c r="A2" s="117" t="inlineStr">
        <is>
          <t>📋 Database harga satuan untuk generate quotation otomatis. Update harga di kolom KUNING.</t>
        </is>
      </c>
    </row>
    <row r="4" ht="15" customHeight="1" s="144">
      <c r="A4" s="112" t="inlineStr">
        <is>
          <t>I. PELAYANAN UMUM</t>
        </is>
      </c>
    </row>
    <row r="5" ht="15" customHeight="1" s="144">
      <c r="A5" s="35" t="inlineStr">
        <is>
          <t>Kode</t>
        </is>
      </c>
      <c r="B5" s="35" t="inlineStr">
        <is>
          <t>Item Pekerjaan</t>
        </is>
      </c>
      <c r="C5" s="35" t="inlineStr">
        <is>
          <t>Satuan</t>
        </is>
      </c>
      <c r="D5" s="35" t="inlineStr">
        <is>
          <t>Harga Satuan (Rp)</t>
        </is>
      </c>
      <c r="E5" s="35" t="inlineStr">
        <is>
          <t>Kategori Biaya</t>
        </is>
      </c>
      <c r="F5" s="35" t="inlineStr">
        <is>
          <t>Keterangan</t>
        </is>
      </c>
      <c r="G5" s="35" t="inlineStr">
        <is>
          <t>Last Update</t>
        </is>
      </c>
    </row>
    <row r="6" ht="15" customHeight="1" s="144">
      <c r="A6" s="114" t="inlineStr">
        <is>
          <t>I.a</t>
        </is>
      </c>
      <c r="B6" s="53" t="inlineStr">
        <is>
          <t>Docking-Undocking</t>
        </is>
      </c>
      <c r="C6" s="114" t="inlineStr">
        <is>
          <t>Ls</t>
        </is>
      </c>
      <c r="D6" s="56" t="n">
        <v>18750000</v>
      </c>
      <c r="E6" s="114" t="inlineStr">
        <is>
          <t>Service</t>
        </is>
      </c>
      <c r="F6" s="38" t="inlineStr">
        <is>
          <t>Tarif tetap</t>
        </is>
      </c>
      <c r="G6" s="114" t="inlineStr">
        <is>
          <t>2025-04</t>
        </is>
      </c>
    </row>
    <row r="7" ht="15" customHeight="1" s="144">
      <c r="A7" s="114" t="inlineStr">
        <is>
          <t>I.b</t>
        </is>
      </c>
      <c r="B7" s="53" t="inlineStr">
        <is>
          <t>Asistensi Tali Temali Dari Darat dan Persiapan Ganjal</t>
        </is>
      </c>
      <c r="C7" s="114" t="inlineStr">
        <is>
          <t>Ls</t>
        </is>
      </c>
      <c r="D7" s="56" t="n">
        <v>4400000</v>
      </c>
      <c r="E7" s="114" t="inlineStr">
        <is>
          <t>Service</t>
        </is>
      </c>
      <c r="F7" s="38" t="inlineStr">
        <is>
          <t>Tarif tetap</t>
        </is>
      </c>
      <c r="G7" s="114" t="inlineStr">
        <is>
          <t>2025-04</t>
        </is>
      </c>
    </row>
    <row r="8" ht="15" customHeight="1" s="144">
      <c r="A8" s="114" t="inlineStr">
        <is>
          <t>I.c</t>
        </is>
      </c>
      <c r="B8" s="53" t="inlineStr">
        <is>
          <t>Asistensi Dengan Mooring Boat</t>
        </is>
      </c>
      <c r="C8" s="114" t="inlineStr">
        <is>
          <t>Ls</t>
        </is>
      </c>
      <c r="D8" s="56" t="n">
        <v>6100000</v>
      </c>
      <c r="E8" s="114" t="inlineStr">
        <is>
          <t>Service</t>
        </is>
      </c>
      <c r="F8" s="38" t="inlineStr">
        <is>
          <t>Tarif tetap</t>
        </is>
      </c>
      <c r="G8" s="114" t="inlineStr">
        <is>
          <t>2025-04</t>
        </is>
      </c>
    </row>
    <row r="9" ht="15" customHeight="1" s="144">
      <c r="A9" s="114" t="inlineStr">
        <is>
          <t>I.d</t>
        </is>
      </c>
      <c r="B9" s="53" t="inlineStr">
        <is>
          <t>Sewa Dok Selama Perbaikan</t>
        </is>
      </c>
      <c r="C9" s="114" t="inlineStr">
        <is>
          <t>Hari</t>
        </is>
      </c>
      <c r="D9" s="56" t="n">
        <v>1650000</v>
      </c>
      <c r="E9" s="114" t="inlineStr">
        <is>
          <t>Service</t>
        </is>
      </c>
      <c r="F9" s="38" t="inlineStr">
        <is>
          <t>Per hari</t>
        </is>
      </c>
      <c r="G9" s="114" t="inlineStr">
        <is>
          <t>2025-04</t>
        </is>
      </c>
    </row>
    <row r="10" ht="15" customHeight="1" s="144">
      <c r="A10" s="114" t="inlineStr">
        <is>
          <t>I.e</t>
        </is>
      </c>
      <c r="B10" s="53" t="inlineStr">
        <is>
          <t>Sewa Tempat Sandar (after repair)</t>
        </is>
      </c>
      <c r="C10" s="114" t="inlineStr">
        <is>
          <t>Hari</t>
        </is>
      </c>
      <c r="D10" s="56" t="n">
        <v>400000</v>
      </c>
      <c r="E10" s="114" t="inlineStr">
        <is>
          <t>Service</t>
        </is>
      </c>
      <c r="F10" s="38" t="inlineStr">
        <is>
          <t>Per hari</t>
        </is>
      </c>
      <c r="G10" s="114" t="inlineStr">
        <is>
          <t>2025-04</t>
        </is>
      </c>
    </row>
    <row r="11" ht="15" customHeight="1" s="144">
      <c r="A11" s="114" t="inlineStr">
        <is>
          <t>I.f</t>
        </is>
      </c>
      <c r="B11" s="53" t="inlineStr">
        <is>
          <t>Penyambungan Listrik Darat Ke Kapal</t>
        </is>
      </c>
      <c r="C11" s="114" t="inlineStr">
        <is>
          <t>Ls</t>
        </is>
      </c>
      <c r="D11" s="56" t="n">
        <v>950000</v>
      </c>
      <c r="E11" s="114" t="inlineStr">
        <is>
          <t>Service</t>
        </is>
      </c>
      <c r="F11" s="38" t="inlineStr">
        <is>
          <t>Tarif tetap</t>
        </is>
      </c>
      <c r="G11" s="114" t="inlineStr">
        <is>
          <t>2025-04</t>
        </is>
      </c>
    </row>
    <row r="12" ht="15" customHeight="1" s="144">
      <c r="A12" s="114" t="inlineStr">
        <is>
          <t>I.g</t>
        </is>
      </c>
      <c r="B12" s="53" t="inlineStr">
        <is>
          <t>Suplai Listrik 3A 380V selama ditas dock dan sandar</t>
        </is>
      </c>
      <c r="C12" s="114" t="inlineStr">
        <is>
          <t>Hari</t>
        </is>
      </c>
      <c r="D12" s="56" t="n">
        <v>650000</v>
      </c>
      <c r="E12" s="114" t="inlineStr">
        <is>
          <t>Service</t>
        </is>
      </c>
      <c r="F12" s="38" t="inlineStr">
        <is>
          <t>Per hari</t>
        </is>
      </c>
      <c r="G12" s="114" t="inlineStr">
        <is>
          <t>2025-04</t>
        </is>
      </c>
    </row>
    <row r="13" ht="15" customHeight="1" s="144">
      <c r="A13" s="114" t="inlineStr">
        <is>
          <t>I.h</t>
        </is>
      </c>
      <c r="B13" s="53" t="inlineStr">
        <is>
          <t>Disediakan Fasilitas MCK untuk ABK</t>
        </is>
      </c>
      <c r="C13" s="114" t="inlineStr">
        <is>
          <t>Ls</t>
        </is>
      </c>
      <c r="D13" s="56" t="n">
        <v>1650000</v>
      </c>
      <c r="E13" s="114" t="inlineStr">
        <is>
          <t>Service</t>
        </is>
      </c>
      <c r="F13" s="38" t="inlineStr">
        <is>
          <t>Tarif tetap</t>
        </is>
      </c>
      <c r="G13" s="114" t="inlineStr">
        <is>
          <t>2025-04</t>
        </is>
      </c>
    </row>
    <row r="14" ht="15" customHeight="1" s="144">
      <c r="A14" s="114" t="inlineStr">
        <is>
          <t>I.i</t>
        </is>
      </c>
      <c r="B14" s="53" t="inlineStr">
        <is>
          <t>Disediakan Tempat Penampungan Sampah</t>
        </is>
      </c>
      <c r="C14" s="114" t="inlineStr">
        <is>
          <t>Ls</t>
        </is>
      </c>
      <c r="D14" s="56" t="n">
        <v>1650000</v>
      </c>
      <c r="E14" s="114" t="inlineStr">
        <is>
          <t>Service</t>
        </is>
      </c>
      <c r="F14" s="38" t="inlineStr">
        <is>
          <t>Tarif tetap</t>
        </is>
      </c>
      <c r="G14" s="114" t="inlineStr">
        <is>
          <t>2025-04</t>
        </is>
      </c>
    </row>
    <row r="15" ht="15" customHeight="1" s="144">
      <c r="A15" s="114" t="inlineStr">
        <is>
          <t>I.j</t>
        </is>
      </c>
      <c r="B15" s="53" t="inlineStr">
        <is>
          <t>Disediakan Tempat Penyimpanan Material Untuk Kapal</t>
        </is>
      </c>
      <c r="C15" s="114" t="inlineStr">
        <is>
          <t>Ls</t>
        </is>
      </c>
      <c r="D15" s="56" t="n">
        <v>2200000</v>
      </c>
      <c r="E15" s="114" t="inlineStr">
        <is>
          <t>Service</t>
        </is>
      </c>
      <c r="F15" s="38" t="inlineStr">
        <is>
          <t>Tarif tetap</t>
        </is>
      </c>
      <c r="G15" s="114" t="inlineStr">
        <is>
          <t>2025-04</t>
        </is>
      </c>
    </row>
    <row r="16" ht="15" customHeight="1" s="144">
      <c r="A16" s="114" t="inlineStr">
        <is>
          <t>I.k</t>
        </is>
      </c>
      <c r="B16" s="53" t="inlineStr">
        <is>
          <t>Penggunaan Alat Angkat (&lt; 1.5 Ton)</t>
        </is>
      </c>
      <c r="C16" s="114" t="inlineStr">
        <is>
          <t>Ls</t>
        </is>
      </c>
      <c r="D16" s="56" t="n">
        <v>10000000</v>
      </c>
      <c r="E16" s="114" t="inlineStr">
        <is>
          <t>Service</t>
        </is>
      </c>
      <c r="F16" s="38" t="inlineStr">
        <is>
          <t>Tarif tetap</t>
        </is>
      </c>
      <c r="G16" s="114" t="inlineStr">
        <is>
          <t>2025-04</t>
        </is>
      </c>
    </row>
    <row r="17" ht="15" customHeight="1" s="144">
      <c r="A17" s="114" t="inlineStr">
        <is>
          <t>I.l</t>
        </is>
      </c>
      <c r="B17" s="53" t="inlineStr">
        <is>
          <t>Suplai Air Tawar</t>
        </is>
      </c>
      <c r="C17" s="114" t="inlineStr">
        <is>
          <t>Ton</t>
        </is>
      </c>
      <c r="D17" s="56" t="n">
        <v>90000</v>
      </c>
      <c r="E17" s="114" t="inlineStr">
        <is>
          <t>Service</t>
        </is>
      </c>
      <c r="F17" s="38" t="inlineStr">
        <is>
          <t>Per ton</t>
        </is>
      </c>
      <c r="G17" s="114" t="inlineStr">
        <is>
          <t>2025-04</t>
        </is>
      </c>
    </row>
    <row r="18" ht="15" customHeight="1" s="144">
      <c r="A18" s="114" t="inlineStr">
        <is>
          <t>I.m</t>
        </is>
      </c>
      <c r="B18" s="53" t="inlineStr">
        <is>
          <t>Disediakan Tempat Penampungan Limbah B3 ≤ 2 Ton</t>
        </is>
      </c>
      <c r="C18" s="114" t="inlineStr">
        <is>
          <t>Ton</t>
        </is>
      </c>
      <c r="D18" s="56" t="n">
        <v>7150000</v>
      </c>
      <c r="E18" s="114" t="inlineStr">
        <is>
          <t>Service</t>
        </is>
      </c>
      <c r="F18" s="38" t="inlineStr">
        <is>
          <t>Include bea treatment</t>
        </is>
      </c>
      <c r="G18" s="114" t="inlineStr">
        <is>
          <t>2025-04</t>
        </is>
      </c>
    </row>
    <row r="20" ht="15" customHeight="1" s="144">
      <c r="A20" s="112" t="inlineStr">
        <is>
          <t>II. PERAWATAN LAMBUNG (Blasting &amp; Painting)</t>
        </is>
      </c>
    </row>
    <row r="21" ht="15" customHeight="1" s="144">
      <c r="A21" s="35" t="inlineStr">
        <is>
          <t>Kode</t>
        </is>
      </c>
      <c r="B21" s="35" t="inlineStr">
        <is>
          <t>Item Pekerjaan</t>
        </is>
      </c>
      <c r="C21" s="35" t="inlineStr">
        <is>
          <t>Satuan</t>
        </is>
      </c>
      <c r="D21" s="35" t="inlineStr">
        <is>
          <t>Harga Satuan (Rp)</t>
        </is>
      </c>
      <c r="E21" s="35" t="inlineStr">
        <is>
          <t>Kategori Biaya</t>
        </is>
      </c>
      <c r="F21" s="35" t="inlineStr">
        <is>
          <t>Keterangan</t>
        </is>
      </c>
      <c r="G21" s="35" t="inlineStr">
        <is>
          <t>Last Update</t>
        </is>
      </c>
    </row>
    <row r="22" ht="15" customHeight="1" s="144">
      <c r="A22" s="114" t="inlineStr">
        <is>
          <t>II.a</t>
        </is>
      </c>
      <c r="B22" s="53" t="inlineStr">
        <is>
          <t>Sekrap Bagian Bawah Air</t>
        </is>
      </c>
      <c r="C22" s="114" t="inlineStr">
        <is>
          <t>m2</t>
        </is>
      </c>
      <c r="D22" s="56" t="n">
        <v>8000</v>
      </c>
      <c r="E22" s="114" t="inlineStr">
        <is>
          <t>Service</t>
        </is>
      </c>
      <c r="F22" s="38" t="inlineStr">
        <is>
          <t>Manual scraping</t>
        </is>
      </c>
      <c r="G22" s="114" t="inlineStr">
        <is>
          <t>2025-04</t>
        </is>
      </c>
    </row>
    <row r="23" ht="15" customHeight="1" s="144">
      <c r="A23" s="114" t="inlineStr">
        <is>
          <t>II.b</t>
        </is>
      </c>
      <c r="B23" s="53" t="inlineStr">
        <is>
          <t>Sandblasting Bottom Sampai Waterline (S.A 2.0)</t>
        </is>
      </c>
      <c r="C23" s="114" t="inlineStr">
        <is>
          <t>m2</t>
        </is>
      </c>
      <c r="D23" s="56" t="n">
        <v>80000</v>
      </c>
      <c r="E23" s="114" t="inlineStr">
        <is>
          <t>Service</t>
        </is>
      </c>
      <c r="F23" s="38" t="inlineStr">
        <is>
          <t>SA 2.0 full blast. Sweep Spot: Rp 70,000/m²</t>
        </is>
      </c>
      <c r="G23" s="114" t="inlineStr">
        <is>
          <t>2025-04</t>
        </is>
      </c>
    </row>
    <row r="24" ht="15" customHeight="1" s="144">
      <c r="A24" s="114" t="inlineStr">
        <is>
          <t>II.c</t>
        </is>
      </c>
      <c r="B24" s="53" t="inlineStr">
        <is>
          <t>Sandblasting Top Side (S.A 2.0)</t>
        </is>
      </c>
      <c r="C24" s="114" t="inlineStr">
        <is>
          <t>m2</t>
        </is>
      </c>
      <c r="D24" s="56" t="n">
        <v>80000</v>
      </c>
      <c r="E24" s="114" t="inlineStr">
        <is>
          <t>Service</t>
        </is>
      </c>
      <c r="F24" s="38" t="inlineStr">
        <is>
          <t>SA 2.0 full blast. Sweep Spot: Rp 70,000/m²</t>
        </is>
      </c>
      <c r="G24" s="114" t="inlineStr">
        <is>
          <t>2025-04</t>
        </is>
      </c>
    </row>
    <row r="25" ht="15" customHeight="1" s="144">
      <c r="A25" s="114" t="inlineStr">
        <is>
          <t>II.d</t>
        </is>
      </c>
      <c r="B25" s="53" t="inlineStr">
        <is>
          <t>Sandblasting Bulwark Luar (S.A 2.0)</t>
        </is>
      </c>
      <c r="C25" s="114" t="inlineStr">
        <is>
          <t>m2</t>
        </is>
      </c>
      <c r="D25" s="56" t="n">
        <v>80000</v>
      </c>
      <c r="E25" s="114" t="inlineStr">
        <is>
          <t>Service</t>
        </is>
      </c>
      <c r="F25" s="38" t="inlineStr">
        <is>
          <t>SA 2.0 full blast. Sweep Spot: Rp 70,000/m²</t>
        </is>
      </c>
      <c r="G25" s="114" t="inlineStr">
        <is>
          <t>2025-04</t>
        </is>
      </c>
    </row>
    <row r="26" ht="15" customHeight="1" s="144">
      <c r="A26" s="114" t="inlineStr">
        <is>
          <t>II.e</t>
        </is>
      </c>
      <c r="B26" s="53" t="inlineStr">
        <is>
          <t>Sandblasting Main Deck Sweep Blast</t>
        </is>
      </c>
      <c r="C26" s="114" t="inlineStr">
        <is>
          <t>m2</t>
        </is>
      </c>
      <c r="D26" s="56" t="n">
        <v>500</v>
      </c>
      <c r="E26" s="114" t="inlineStr">
        <is>
          <t>Service</t>
        </is>
      </c>
      <c r="F26" s="38" t="inlineStr">
        <is>
          <t>Sweep blast</t>
        </is>
      </c>
      <c r="G26" s="114" t="inlineStr">
        <is>
          <t>2025-04</t>
        </is>
      </c>
    </row>
    <row r="27" ht="15" customHeight="1" s="144">
      <c r="A27" s="114" t="inlineStr">
        <is>
          <t>II.f</t>
        </is>
      </c>
      <c r="B27" s="53" t="inlineStr">
        <is>
          <t>Cuci Air Tawar</t>
        </is>
      </c>
      <c r="C27" s="114" t="inlineStr">
        <is>
          <t>m2</t>
        </is>
      </c>
      <c r="D27" s="56" t="n">
        <v>7500</v>
      </c>
      <c r="E27" s="114" t="inlineStr">
        <is>
          <t>Service</t>
        </is>
      </c>
      <c r="F27" s="38" t="inlineStr">
        <is>
          <t>Fresh water wash</t>
        </is>
      </c>
      <c r="G27" s="114" t="inlineStr">
        <is>
          <t>2025-04</t>
        </is>
      </c>
    </row>
    <row r="28" ht="15" customHeight="1" s="144">
      <c r="A28" s="114" t="inlineStr">
        <is>
          <t>II.g</t>
        </is>
      </c>
      <c r="B28" s="53" t="inlineStr">
        <is>
          <t>Pengecatan Bottom sampai waterline (1x Primer, 1x Sealer, 1x AF)</t>
        </is>
      </c>
      <c r="C28" s="114" t="inlineStr">
        <is>
          <t>m2</t>
        </is>
      </c>
      <c r="D28" s="56" t="n">
        <v>24000</v>
      </c>
      <c r="E28" s="114" t="inlineStr">
        <is>
          <t>Service</t>
        </is>
      </c>
      <c r="F28" s="38" t="inlineStr">
        <is>
          <t>2 coat system</t>
        </is>
      </c>
      <c r="G28" s="114" t="inlineStr">
        <is>
          <t>2025-04</t>
        </is>
      </c>
    </row>
    <row r="29" ht="15" customHeight="1" s="144">
      <c r="A29" s="114" t="inlineStr">
        <is>
          <t>II.h</t>
        </is>
      </c>
      <c r="B29" s="53" t="inlineStr">
        <is>
          <t>Pengecatan Top Side (1x Primer dan 1x Top Coat)</t>
        </is>
      </c>
      <c r="C29" s="114" t="inlineStr">
        <is>
          <t>m2</t>
        </is>
      </c>
      <c r="D29" s="56" t="n">
        <v>16000</v>
      </c>
      <c r="E29" s="114" t="inlineStr">
        <is>
          <t>Service</t>
        </is>
      </c>
      <c r="F29" s="38" t="inlineStr">
        <is>
          <t>2 coat system</t>
        </is>
      </c>
      <c r="G29" s="114" t="inlineStr">
        <is>
          <t>2025-04</t>
        </is>
      </c>
    </row>
    <row r="30" ht="15" customHeight="1" s="144">
      <c r="A30" s="114" t="inlineStr">
        <is>
          <t>II.i</t>
        </is>
      </c>
      <c r="B30" s="53" t="inlineStr">
        <is>
          <t>Pengecatan Bulwark Luar (1x Primer dan 1x Top Coat)</t>
        </is>
      </c>
      <c r="C30" s="114" t="inlineStr">
        <is>
          <t>m2</t>
        </is>
      </c>
      <c r="D30" s="56" t="n">
        <v>16000</v>
      </c>
      <c r="E30" s="114" t="inlineStr">
        <is>
          <t>Service</t>
        </is>
      </c>
      <c r="F30" s="38" t="inlineStr">
        <is>
          <t>2 coat system</t>
        </is>
      </c>
      <c r="G30" s="114" t="inlineStr">
        <is>
          <t>2025-04</t>
        </is>
      </c>
    </row>
    <row r="31" ht="15" customHeight="1" s="144">
      <c r="A31" s="114" t="inlineStr">
        <is>
          <t>II.j</t>
        </is>
      </c>
      <c r="B31" s="53" t="inlineStr">
        <is>
          <t>Pengecatan Main Deck (1x Primer dan 1x Top Coat)</t>
        </is>
      </c>
      <c r="C31" s="114" t="inlineStr">
        <is>
          <t>m2</t>
        </is>
      </c>
      <c r="D31" s="56" t="n">
        <v>16000</v>
      </c>
      <c r="E31" s="114" t="inlineStr">
        <is>
          <t>Service</t>
        </is>
      </c>
      <c r="F31" s="38" t="inlineStr">
        <is>
          <t>2 coat system</t>
        </is>
      </c>
      <c r="G31" s="114" t="inlineStr">
        <is>
          <t>2025-04</t>
        </is>
      </c>
    </row>
    <row r="32" ht="15" customHeight="1" s="144">
      <c r="A32" s="114" t="inlineStr">
        <is>
          <t>II.k</t>
        </is>
      </c>
      <c r="B32" s="53" t="inlineStr">
        <is>
          <t>Pengecatan Draft Mark, Nama Kapal</t>
        </is>
      </c>
      <c r="C32" s="114" t="inlineStr">
        <is>
          <t>Ls</t>
        </is>
      </c>
      <c r="D32" s="56" t="n">
        <v>1350000</v>
      </c>
      <c r="E32" s="114" t="inlineStr">
        <is>
          <t>Service</t>
        </is>
      </c>
      <c r="F32" s="38" t="inlineStr">
        <is>
          <t>Tarif tetap</t>
        </is>
      </c>
      <c r="G32" s="114" t="inlineStr">
        <is>
          <t>2025-04</t>
        </is>
      </c>
    </row>
    <row r="33" ht="15" customHeight="1" s="144">
      <c r="A33" s="114" t="inlineStr">
        <is>
          <t>II.l</t>
        </is>
      </c>
      <c r="B33" s="53" t="inlineStr">
        <is>
          <t>Pemasangan Zinc Anode</t>
        </is>
      </c>
      <c r="C33" s="114" t="inlineStr">
        <is>
          <t>pcs</t>
        </is>
      </c>
      <c r="D33" s="56" t="n">
        <v>150000</v>
      </c>
      <c r="E33" s="114" t="inlineStr">
        <is>
          <t>Material</t>
        </is>
      </c>
      <c r="F33" s="38" t="inlineStr">
        <is>
          <t>Per piece</t>
        </is>
      </c>
      <c r="G33" s="114" t="inlineStr">
        <is>
          <t>2025-04</t>
        </is>
      </c>
    </row>
    <row r="35" ht="15" customHeight="1" s="144">
      <c r="A35" s="112" t="inlineStr">
        <is>
          <t>III. SEACHEST &amp; VALVE</t>
        </is>
      </c>
    </row>
    <row r="36" ht="15" customHeight="1" s="144">
      <c r="A36" s="35" t="inlineStr">
        <is>
          <t>Kode</t>
        </is>
      </c>
      <c r="B36" s="35" t="inlineStr">
        <is>
          <t>Item Pekerjaan</t>
        </is>
      </c>
      <c r="C36" s="35" t="inlineStr">
        <is>
          <t>Satuan</t>
        </is>
      </c>
      <c r="D36" s="35" t="inlineStr">
        <is>
          <t>Harga Satuan (Rp)</t>
        </is>
      </c>
      <c r="E36" s="35" t="inlineStr">
        <is>
          <t>Kategori Biaya</t>
        </is>
      </c>
      <c r="F36" s="35" t="inlineStr">
        <is>
          <t>Keterangan</t>
        </is>
      </c>
      <c r="G36" s="35" t="inlineStr">
        <is>
          <t>Last Update</t>
        </is>
      </c>
    </row>
    <row r="37" ht="15" customHeight="1" s="144">
      <c r="A37" s="114" t="inlineStr">
        <is>
          <t>III.a</t>
        </is>
      </c>
      <c r="B37" s="53" t="inlineStr">
        <is>
          <t>Buka dan Tutup Kembali Saringan Luar dan Pembersihan Kotak Seachest</t>
        </is>
      </c>
      <c r="C37" s="114" t="inlineStr">
        <is>
          <t>bh</t>
        </is>
      </c>
      <c r="D37" s="56" t="n">
        <v>1900000</v>
      </c>
      <c r="E37" s="114" t="inlineStr">
        <is>
          <t>Service</t>
        </is>
      </c>
      <c r="F37" s="38" t="inlineStr">
        <is>
          <t>Per unit</t>
        </is>
      </c>
      <c r="G37" s="114" t="inlineStr">
        <is>
          <t>2025-04</t>
        </is>
      </c>
    </row>
    <row r="38" ht="15" customHeight="1" s="144">
      <c r="A38" s="114" t="inlineStr">
        <is>
          <t>III.b</t>
        </is>
      </c>
      <c r="B38" s="53" t="inlineStr">
        <is>
          <t>Perawatan Saringan Air Dalam</t>
        </is>
      </c>
      <c r="C38" s="114" t="inlineStr">
        <is>
          <t>bh</t>
        </is>
      </c>
      <c r="D38" s="56" t="n">
        <v>1450000</v>
      </c>
      <c r="E38" s="114" t="inlineStr">
        <is>
          <t>Service</t>
        </is>
      </c>
      <c r="F38" s="38" t="inlineStr">
        <is>
          <t>Per unit</t>
        </is>
      </c>
      <c r="G38" s="114" t="inlineStr">
        <is>
          <t>2025-04</t>
        </is>
      </c>
    </row>
    <row r="39" ht="15" customHeight="1" s="144">
      <c r="A39" s="114" t="inlineStr">
        <is>
          <t>III.c</t>
        </is>
      </c>
      <c r="B39" s="53" t="inlineStr">
        <is>
          <t>Perawatan Seachest Valve 6"</t>
        </is>
      </c>
      <c r="C39" s="114" t="inlineStr">
        <is>
          <t>bh</t>
        </is>
      </c>
      <c r="D39" s="56" t="n">
        <v>1900000</v>
      </c>
      <c r="E39" s="114" t="inlineStr">
        <is>
          <t>Service</t>
        </is>
      </c>
      <c r="F39" s="38" t="inlineStr">
        <is>
          <t>Per unit</t>
        </is>
      </c>
      <c r="G39" s="114" t="inlineStr">
        <is>
          <t>2025-04</t>
        </is>
      </c>
    </row>
    <row r="41" ht="15" customHeight="1" s="144">
      <c r="A41" s="112" t="inlineStr">
        <is>
          <t>IV. SISTEM PENGGERAK KAPAL</t>
        </is>
      </c>
    </row>
    <row r="42" ht="15" customHeight="1" s="144">
      <c r="A42" s="35" t="inlineStr">
        <is>
          <t>Kode</t>
        </is>
      </c>
      <c r="B42" s="35" t="inlineStr">
        <is>
          <t>Item Pekerjaan</t>
        </is>
      </c>
      <c r="C42" s="35" t="inlineStr">
        <is>
          <t>Satuan</t>
        </is>
      </c>
      <c r="D42" s="35" t="inlineStr">
        <is>
          <t>Harga Satuan (Rp)</t>
        </is>
      </c>
      <c r="E42" s="35" t="inlineStr">
        <is>
          <t>Kategori Biaya</t>
        </is>
      </c>
      <c r="F42" s="35" t="inlineStr">
        <is>
          <t>Keterangan</t>
        </is>
      </c>
      <c r="G42" s="35" t="inlineStr">
        <is>
          <t>Last Update</t>
        </is>
      </c>
    </row>
    <row r="43" ht="15" customHeight="1" s="144">
      <c r="A43" s="114" t="inlineStr">
        <is>
          <t>IV.a</t>
        </is>
      </c>
      <c r="B43" s="53" t="inlineStr">
        <is>
          <t>Pengukuran Clearance Shaft</t>
        </is>
      </c>
      <c r="C43" s="114" t="inlineStr">
        <is>
          <t>Titik</t>
        </is>
      </c>
      <c r="D43" s="56" t="n">
        <v>650000</v>
      </c>
      <c r="E43" s="114" t="inlineStr">
        <is>
          <t>Service</t>
        </is>
      </c>
      <c r="F43" s="38" t="inlineStr">
        <is>
          <t>Per titik</t>
        </is>
      </c>
      <c r="G43" s="114" t="inlineStr">
        <is>
          <t>2025-04</t>
        </is>
      </c>
    </row>
    <row r="44" ht="15" customHeight="1" s="144">
      <c r="A44" s="114" t="inlineStr">
        <is>
          <t>IV.b</t>
        </is>
      </c>
      <c r="B44" s="53" t="inlineStr">
        <is>
          <t>Buka dan pasang kembali penahan rymers packing</t>
        </is>
      </c>
      <c r="C44" s="114" t="inlineStr">
        <is>
          <t>bh</t>
        </is>
      </c>
      <c r="D44" s="56" t="n">
        <v>1000000</v>
      </c>
      <c r="E44" s="114" t="inlineStr">
        <is>
          <t>Service</t>
        </is>
      </c>
      <c r="F44" s="38" t="inlineStr">
        <is>
          <t>Per unit</t>
        </is>
      </c>
      <c r="G44" s="114" t="inlineStr">
        <is>
          <t>2025-04</t>
        </is>
      </c>
    </row>
    <row r="45" ht="15" customHeight="1" s="144">
      <c r="A45" s="114" t="inlineStr">
        <is>
          <t>IV.c</t>
        </is>
      </c>
      <c r="B45" s="53" t="inlineStr">
        <is>
          <t>Ganti Rymers packing</t>
        </is>
      </c>
      <c r="C45" s="114" t="inlineStr">
        <is>
          <t>set</t>
        </is>
      </c>
      <c r="D45" s="56" t="n">
        <v>1950000</v>
      </c>
      <c r="E45" s="114" t="inlineStr">
        <is>
          <t>Service</t>
        </is>
      </c>
      <c r="F45" s="38" t="inlineStr">
        <is>
          <t>Per set</t>
        </is>
      </c>
      <c r="G45" s="114" t="inlineStr">
        <is>
          <t>2025-04</t>
        </is>
      </c>
    </row>
    <row r="46" ht="15" customHeight="1" s="144">
      <c r="A46" s="114" t="inlineStr">
        <is>
          <t>IV.d</t>
        </is>
      </c>
      <c r="B46" s="53" t="inlineStr">
        <is>
          <t>Buka &amp; Pasang Propeller</t>
        </is>
      </c>
      <c r="C46" s="114" t="inlineStr">
        <is>
          <t>set</t>
        </is>
      </c>
      <c r="D46" s="56" t="n">
        <v>7700000</v>
      </c>
      <c r="E46" s="114" t="inlineStr">
        <is>
          <t>Service</t>
        </is>
      </c>
      <c r="F46" s="38" t="inlineStr">
        <is>
          <t>Per set</t>
        </is>
      </c>
      <c r="G46" s="114" t="inlineStr">
        <is>
          <t>2025-04</t>
        </is>
      </c>
    </row>
    <row r="47" ht="15" customHeight="1" s="144">
      <c r="A47" s="114" t="inlineStr">
        <is>
          <t>IV.e</t>
        </is>
      </c>
      <c r="B47" s="53" t="inlineStr">
        <is>
          <t>Repair Propeller (Estimasi)(Damage area, &lt; 0.4R)</t>
        </is>
      </c>
      <c r="C47" s="114" t="inlineStr">
        <is>
          <t>set</t>
        </is>
      </c>
      <c r="D47" s="56" t="n">
        <v>15500000</v>
      </c>
      <c r="E47" s="114" t="inlineStr">
        <is>
          <t>Service</t>
        </is>
      </c>
      <c r="F47" s="38" t="inlineStr">
        <is>
          <t>Estimasi</t>
        </is>
      </c>
      <c r="G47" s="114" t="inlineStr">
        <is>
          <t>2025-04</t>
        </is>
      </c>
    </row>
    <row r="48" ht="15" customHeight="1" s="144">
      <c r="A48" s="114" t="inlineStr">
        <is>
          <t>IV.f</t>
        </is>
      </c>
      <c r="B48" s="53" t="inlineStr">
        <is>
          <t>Balancing Propeller</t>
        </is>
      </c>
      <c r="C48" s="114" t="inlineStr">
        <is>
          <t>set</t>
        </is>
      </c>
      <c r="D48" s="56" t="n">
        <v>3250000</v>
      </c>
      <c r="E48" s="114" t="inlineStr">
        <is>
          <t>Service</t>
        </is>
      </c>
      <c r="F48" s="38" t="inlineStr">
        <is>
          <t>Per set</t>
        </is>
      </c>
      <c r="G48" s="114" t="inlineStr">
        <is>
          <t>2025-04</t>
        </is>
      </c>
    </row>
    <row r="49" ht="15" customHeight="1" s="144">
      <c r="A49" s="114" t="inlineStr">
        <is>
          <t>IV.g</t>
        </is>
      </c>
      <c r="B49" s="53" t="inlineStr">
        <is>
          <t>Buka dan pasang shaft propeller</t>
        </is>
      </c>
      <c r="C49" s="114" t="inlineStr">
        <is>
          <t>set</t>
        </is>
      </c>
      <c r="D49" s="56" t="n">
        <v>8800000</v>
      </c>
      <c r="E49" s="114" t="inlineStr">
        <is>
          <t>Service</t>
        </is>
      </c>
      <c r="F49" s="38" t="inlineStr">
        <is>
          <t>Per set</t>
        </is>
      </c>
      <c r="G49" s="114" t="inlineStr">
        <is>
          <t>2025-04</t>
        </is>
      </c>
    </row>
    <row r="51" ht="15" customHeight="1" s="144">
      <c r="A51" s="112" t="inlineStr">
        <is>
          <t>V. SISTEM KEMUDI</t>
        </is>
      </c>
    </row>
    <row r="52" ht="15" customHeight="1" s="144">
      <c r="A52" s="35" t="inlineStr">
        <is>
          <t>Kode</t>
        </is>
      </c>
      <c r="B52" s="35" t="inlineStr">
        <is>
          <t>Item Pekerjaan</t>
        </is>
      </c>
      <c r="C52" s="35" t="inlineStr">
        <is>
          <t>Satuan</t>
        </is>
      </c>
      <c r="D52" s="35" t="inlineStr">
        <is>
          <t>Harga Satuan (Rp)</t>
        </is>
      </c>
      <c r="E52" s="35" t="inlineStr">
        <is>
          <t>Kategori Biaya</t>
        </is>
      </c>
      <c r="F52" s="35" t="inlineStr">
        <is>
          <t>Keterangan</t>
        </is>
      </c>
      <c r="G52" s="35" t="inlineStr">
        <is>
          <t>Last Update</t>
        </is>
      </c>
    </row>
    <row r="53" ht="15" customHeight="1" s="144">
      <c r="A53" s="114" t="inlineStr">
        <is>
          <t>V.a</t>
        </is>
      </c>
      <c r="B53" s="53" t="inlineStr">
        <is>
          <t>Pengukuran Clearance</t>
        </is>
      </c>
      <c r="C53" s="114" t="inlineStr">
        <is>
          <t>Titik</t>
        </is>
      </c>
      <c r="D53" s="56" t="n">
        <v>650000</v>
      </c>
      <c r="E53" s="114" t="inlineStr">
        <is>
          <t>Service</t>
        </is>
      </c>
      <c r="F53" s="38" t="inlineStr">
        <is>
          <t>Per titik</t>
        </is>
      </c>
      <c r="G53" s="114" t="inlineStr">
        <is>
          <t>2025-04</t>
        </is>
      </c>
    </row>
    <row r="54" ht="15" customHeight="1" s="144">
      <c r="A54" s="114" t="inlineStr">
        <is>
          <t>V.b</t>
        </is>
      </c>
      <c r="B54" s="53" t="inlineStr">
        <is>
          <t>Bongkar dan Penyetenan Kembali Flens Kemudi</t>
        </is>
      </c>
      <c r="C54" s="114" t="inlineStr">
        <is>
          <t>set</t>
        </is>
      </c>
      <c r="D54" s="56" t="n">
        <v>700000</v>
      </c>
      <c r="E54" s="114" t="inlineStr">
        <is>
          <t>Service</t>
        </is>
      </c>
      <c r="F54" s="38" t="inlineStr">
        <is>
          <t>Per set</t>
        </is>
      </c>
      <c r="G54" s="114" t="inlineStr">
        <is>
          <t>2025-04</t>
        </is>
      </c>
    </row>
    <row r="55" ht="15" customHeight="1" s="144">
      <c r="A55" s="114" t="inlineStr">
        <is>
          <t>V.c</t>
        </is>
      </c>
      <c r="B55" s="53" t="inlineStr">
        <is>
          <t>Buka dan pasang kembali daun kemudi</t>
        </is>
      </c>
      <c r="C55" s="114" t="inlineStr">
        <is>
          <t>set</t>
        </is>
      </c>
      <c r="D55" s="56" t="n">
        <v>5500000</v>
      </c>
      <c r="E55" s="114" t="inlineStr">
        <is>
          <t>Service</t>
        </is>
      </c>
      <c r="F55" s="38" t="inlineStr">
        <is>
          <t>Per set</t>
        </is>
      </c>
      <c r="G55" s="114" t="inlineStr">
        <is>
          <t>2025-04</t>
        </is>
      </c>
    </row>
    <row r="56" ht="15" customHeight="1" s="144">
      <c r="A56" s="114" t="inlineStr">
        <is>
          <t>V.d</t>
        </is>
      </c>
      <c r="B56" s="53" t="inlineStr">
        <is>
          <t>Buka dan pasang kembali kuadran rudder stock</t>
        </is>
      </c>
      <c r="C56" s="114" t="inlineStr">
        <is>
          <t>set</t>
        </is>
      </c>
      <c r="D56" s="56" t="n">
        <v>2200000</v>
      </c>
      <c r="E56" s="114" t="inlineStr">
        <is>
          <t>Service</t>
        </is>
      </c>
      <c r="F56" s="38" t="inlineStr">
        <is>
          <t>Per set</t>
        </is>
      </c>
      <c r="G56" s="114" t="inlineStr">
        <is>
          <t>2025-04</t>
        </is>
      </c>
    </row>
    <row r="57" ht="15" customHeight="1" s="144">
      <c r="A57" s="114" t="inlineStr">
        <is>
          <t>V.e</t>
        </is>
      </c>
      <c r="B57" s="53" t="inlineStr">
        <is>
          <t>Buka dan pasang kembali rudder stock</t>
        </is>
      </c>
      <c r="C57" s="114" t="inlineStr">
        <is>
          <t>set</t>
        </is>
      </c>
      <c r="D57" s="56" t="n">
        <v>5500000</v>
      </c>
      <c r="E57" s="114" t="inlineStr">
        <is>
          <t>Service</t>
        </is>
      </c>
      <c r="F57" s="38" t="inlineStr">
        <is>
          <t>Per set</t>
        </is>
      </c>
      <c r="G57" s="114" t="inlineStr">
        <is>
          <t>2025-04</t>
        </is>
      </c>
    </row>
    <row r="58" ht="15" customHeight="1" s="144">
      <c r="A58" s="114" t="inlineStr">
        <is>
          <t>V.f</t>
        </is>
      </c>
      <c r="B58" s="53" t="inlineStr">
        <is>
          <t>Ganti rymers packing kemudi</t>
        </is>
      </c>
      <c r="C58" s="114" t="inlineStr">
        <is>
          <t>set</t>
        </is>
      </c>
      <c r="D58" s="56" t="n">
        <v>1950000</v>
      </c>
      <c r="E58" s="114" t="inlineStr">
        <is>
          <t>Service</t>
        </is>
      </c>
      <c r="F58" s="38" t="inlineStr">
        <is>
          <t>Per set</t>
        </is>
      </c>
      <c r="G58" s="114" t="inlineStr">
        <is>
          <t>2025-04</t>
        </is>
      </c>
    </row>
    <row r="60" ht="15" customHeight="1" s="144">
      <c r="A60" s="112" t="inlineStr">
        <is>
          <t>VI. REPLATING</t>
        </is>
      </c>
    </row>
    <row r="61" ht="15" customHeight="1" s="144">
      <c r="A61" s="35" t="inlineStr">
        <is>
          <t>Kode</t>
        </is>
      </c>
      <c r="B61" s="35" t="inlineStr">
        <is>
          <t>Item Pekerjaan</t>
        </is>
      </c>
      <c r="C61" s="35" t="inlineStr">
        <is>
          <t>Satuan</t>
        </is>
      </c>
      <c r="D61" s="35" t="inlineStr">
        <is>
          <t>Harga Satuan (Rp)</t>
        </is>
      </c>
      <c r="E61" s="35" t="inlineStr">
        <is>
          <t>Kategori Biaya</t>
        </is>
      </c>
      <c r="F61" s="35" t="inlineStr">
        <is>
          <t>Keterangan</t>
        </is>
      </c>
      <c r="G61" s="35" t="inlineStr">
        <is>
          <t>Last Update</t>
        </is>
      </c>
    </row>
    <row r="62" ht="15" customHeight="1" s="144">
      <c r="A62" s="114" t="inlineStr">
        <is>
          <t>VI.a</t>
        </is>
      </c>
      <c r="B62" s="53" t="inlineStr">
        <is>
          <t>Replating plate underwater area Klass BKI</t>
        </is>
      </c>
      <c r="C62" s="114" t="inlineStr">
        <is>
          <t>Kg</t>
        </is>
      </c>
      <c r="D62" s="56" t="n">
        <v>34000</v>
      </c>
      <c r="E62" s="114" t="inlineStr">
        <is>
          <t>Material</t>
        </is>
      </c>
      <c r="F62" s="38" t="inlineStr">
        <is>
          <t>BKI certified</t>
        </is>
      </c>
      <c r="G62" s="114" t="inlineStr">
        <is>
          <t>2025-04</t>
        </is>
      </c>
    </row>
    <row r="63" ht="15" customHeight="1" s="144">
      <c r="A63" s="114" t="inlineStr">
        <is>
          <t>VI.b</t>
        </is>
      </c>
      <c r="B63" s="53" t="inlineStr">
        <is>
          <t>Replating plate underwater area Plate IACS member</t>
        </is>
      </c>
      <c r="C63" s="114" t="inlineStr">
        <is>
          <t>Kg</t>
        </is>
      </c>
      <c r="D63" s="56" t="n">
        <v>36000</v>
      </c>
      <c r="E63" s="114" t="inlineStr">
        <is>
          <t>Material</t>
        </is>
      </c>
      <c r="F63" s="38" t="inlineStr">
        <is>
          <t>IACS certified</t>
        </is>
      </c>
      <c r="G63" s="114" t="inlineStr">
        <is>
          <t>2025-04</t>
        </is>
      </c>
    </row>
    <row r="64" ht="15" customHeight="1" s="144">
      <c r="A64" s="114" t="inlineStr">
        <is>
          <t>VI.c</t>
        </is>
      </c>
      <c r="B64" s="53" t="inlineStr">
        <is>
          <t>Replating Plate Marine Non Klass</t>
        </is>
      </c>
      <c r="C64" s="114" t="inlineStr">
        <is>
          <t>Kg</t>
        </is>
      </c>
      <c r="D64" s="56" t="n">
        <v>32000</v>
      </c>
      <c r="E64" s="114" t="inlineStr">
        <is>
          <t>Material</t>
        </is>
      </c>
      <c r="F64" s="38" t="inlineStr">
        <is>
          <t>Non-class</t>
        </is>
      </c>
      <c r="G64" s="114" t="inlineStr">
        <is>
          <t>2025-04</t>
        </is>
      </c>
    </row>
    <row r="65" ht="15" customHeight="1" s="144">
      <c r="A65" s="114" t="inlineStr">
        <is>
          <t>VI.d</t>
        </is>
      </c>
      <c r="B65" s="53" t="inlineStr">
        <is>
          <t>Replating plate topside area Klass BKI</t>
        </is>
      </c>
      <c r="C65" s="114" t="inlineStr">
        <is>
          <t>Kg</t>
        </is>
      </c>
      <c r="D65" s="56" t="n">
        <v>31000</v>
      </c>
      <c r="E65" s="114" t="inlineStr">
        <is>
          <t>Material</t>
        </is>
      </c>
      <c r="F65" s="38" t="inlineStr">
        <is>
          <t>BKI certified</t>
        </is>
      </c>
      <c r="G65" s="114" t="inlineStr">
        <is>
          <t>2025-04</t>
        </is>
      </c>
    </row>
    <row r="66" ht="15" customHeight="1" s="144">
      <c r="A66" s="114" t="inlineStr">
        <is>
          <t>VI.e</t>
        </is>
      </c>
      <c r="B66" s="53" t="inlineStr">
        <is>
          <t>Replating plate deck area Klass BKI</t>
        </is>
      </c>
      <c r="C66" s="114" t="inlineStr">
        <is>
          <t>Kg</t>
        </is>
      </c>
      <c r="D66" s="56" t="n">
        <v>31000</v>
      </c>
      <c r="E66" s="114" t="inlineStr">
        <is>
          <t>Material</t>
        </is>
      </c>
      <c r="F66" s="38" t="inlineStr">
        <is>
          <t>BKI certified</t>
        </is>
      </c>
      <c r="G66" s="114" t="inlineStr">
        <is>
          <t>2025-04</t>
        </is>
      </c>
    </row>
  </sheetData>
  <mergeCells count="8">
    <mergeCell ref="A1:G1"/>
    <mergeCell ref="A35:G35"/>
    <mergeCell ref="A4:G4"/>
    <mergeCell ref="A20:G20"/>
    <mergeCell ref="A2:G2"/>
    <mergeCell ref="A60:G60"/>
    <mergeCell ref="A41:G41"/>
    <mergeCell ref="A51:G51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:I1"/>
    </sheetView>
  </sheetViews>
  <sheetFormatPr baseColWidth="8" defaultColWidth="9.109375" defaultRowHeight="15" customHeight="1"/>
  <cols>
    <col width="5" customWidth="1" style="144" min="1" max="2"/>
    <col width="45" customWidth="1" style="144" min="3" max="3"/>
    <col width="12" customWidth="1" style="144" min="4" max="5"/>
    <col width="15" customWidth="1" style="144" min="6" max="6"/>
    <col width="18" customWidth="1" style="144" min="7" max="8"/>
    <col width="25" customWidth="1" style="144" min="9" max="9"/>
  </cols>
  <sheetData>
    <row r="1" ht="35.25" customHeight="1" s="144">
      <c r="A1" s="113" t="inlineStr">
        <is>
          <t>📄 QUOTATION GENERATOR - PENAWARAN OTOMATIS</t>
        </is>
      </c>
    </row>
    <row r="2" ht="15" customHeight="1" s="144">
      <c r="A2" s="117" t="inlineStr">
        <is>
          <t>📋 Quotation otomatis dari Calculator. Volume &amp; Harga terhubung ke sheet lain. Copy ke template MKT-FM-002.</t>
        </is>
      </c>
    </row>
    <row r="4" ht="15" customHeight="1" s="144">
      <c r="A4" s="112" t="inlineStr">
        <is>
          <t>PROJECT INFORMATION</t>
        </is>
      </c>
    </row>
    <row r="5" ht="15" customHeight="1" s="144">
      <c r="A5" s="57" t="inlineStr">
        <is>
          <t>No Quotation:</t>
        </is>
      </c>
      <c r="B5" s="58" t="n"/>
      <c r="D5" s="57" t="inlineStr">
        <is>
          <t>Nama Kapal:</t>
        </is>
      </c>
      <c r="E5" s="59">
        <f>'📝 INPUT DATA'!C6</f>
        <v/>
      </c>
    </row>
    <row r="6" ht="15" customHeight="1" s="144">
      <c r="A6" s="57" t="inlineStr">
        <is>
          <t>Revision:</t>
        </is>
      </c>
      <c r="B6" s="58" t="inlineStr">
        <is>
          <t>00</t>
        </is>
      </c>
      <c r="D6" s="57" t="inlineStr">
        <is>
          <t>Panjang:</t>
        </is>
      </c>
      <c r="E6" s="46">
        <f>'📝 INPUT DATA'!C8</f>
        <v/>
      </c>
    </row>
    <row r="7" ht="15" customHeight="1" s="144">
      <c r="A7" s="57" t="inlineStr">
        <is>
          <t>Client:</t>
        </is>
      </c>
      <c r="B7" s="58" t="n"/>
      <c r="D7" s="57" t="inlineStr">
        <is>
          <t>Lebar:</t>
        </is>
      </c>
      <c r="E7" s="46">
        <f>'📝 INPUT DATA'!C9</f>
        <v/>
      </c>
    </row>
    <row r="8" ht="15" customHeight="1" s="144">
      <c r="A8" s="57" t="inlineStr">
        <is>
          <t>Contact:</t>
        </is>
      </c>
      <c r="B8" s="58" t="n"/>
      <c r="D8" s="57" t="inlineStr">
        <is>
          <t>Sarat:</t>
        </is>
      </c>
      <c r="E8" s="46">
        <f>'📝 INPUT DATA'!C10</f>
        <v/>
      </c>
    </row>
    <row r="10" ht="15" customHeight="1" s="144">
      <c r="A10" s="112" t="inlineStr">
        <is>
          <t>DAFTAR ITEM PEKERJAAN</t>
        </is>
      </c>
    </row>
    <row r="11" ht="15" customHeight="1" s="144">
      <c r="A11" s="35" t="inlineStr">
        <is>
          <t>No</t>
        </is>
      </c>
      <c r="B11" s="35" t="inlineStr">
        <is>
          <t>Poke</t>
        </is>
      </c>
      <c r="C11" s="35" t="inlineStr">
        <is>
          <t>Item Pekerjaan</t>
        </is>
      </c>
      <c r="D11" s="35" t="inlineStr">
        <is>
          <t>Volume</t>
        </is>
      </c>
      <c r="E11" s="35" t="inlineStr">
        <is>
          <t>Satuan</t>
        </is>
      </c>
      <c r="F11" s="35" t="inlineStr">
        <is>
          <t>Harga Satuan</t>
        </is>
      </c>
      <c r="G11" s="35" t="inlineStr">
        <is>
          <t>Service</t>
        </is>
      </c>
      <c r="H11" s="35" t="inlineStr">
        <is>
          <t>Material</t>
        </is>
      </c>
      <c r="I11" s="35" t="inlineStr">
        <is>
          <t>Catatan</t>
        </is>
      </c>
    </row>
    <row r="12" ht="15" customHeight="1" s="144">
      <c r="A12" s="114" t="inlineStr">
        <is>
          <t>I</t>
        </is>
      </c>
      <c r="B12" s="114" t="n"/>
      <c r="C12" s="130" t="inlineStr">
        <is>
          <t>PELAYANAN UMUM</t>
        </is>
      </c>
      <c r="D12" s="115" t="n"/>
      <c r="E12" s="115" t="n"/>
      <c r="F12" s="115" t="n"/>
      <c r="G12" s="115" t="n"/>
      <c r="H12" s="115" t="n"/>
      <c r="I12" s="116" t="n"/>
    </row>
    <row r="13" ht="15" customHeight="1" s="144">
      <c r="A13" s="114" t="n"/>
      <c r="B13" s="114" t="inlineStr">
        <is>
          <t>a</t>
        </is>
      </c>
      <c r="C13" s="53" t="inlineStr">
        <is>
          <t>Docking-Undocking</t>
        </is>
      </c>
      <c r="D13" s="60" t="inlineStr">
        <is>
          <t>1</t>
        </is>
      </c>
      <c r="E13" s="114" t="inlineStr">
        <is>
          <t>Ls</t>
        </is>
      </c>
      <c r="F13" s="31">
        <f>VLOOKUP("I.a",'💲 MASTER HARGA'!A:D,4,FALSE)</f>
        <v/>
      </c>
      <c r="G13" s="61">
        <f>IFERROR(D13*F13,0)</f>
        <v/>
      </c>
      <c r="H13" s="61" t="n"/>
      <c r="I13" s="9" t="n"/>
    </row>
    <row r="14" ht="15" customHeight="1" s="144">
      <c r="A14" s="114" t="n"/>
      <c r="B14" s="114" t="inlineStr">
        <is>
          <t>b</t>
        </is>
      </c>
      <c r="C14" s="53" t="inlineStr">
        <is>
          <t>Asistensi Tali Temali Dari Darat dan Persiapan Ganjal</t>
        </is>
      </c>
      <c r="D14" s="60" t="inlineStr">
        <is>
          <t>1</t>
        </is>
      </c>
      <c r="E14" s="114" t="inlineStr">
        <is>
          <t>Ls</t>
        </is>
      </c>
      <c r="F14" s="31">
        <f>VLOOKUP("I.b",'💲 MASTER HARGA'!A:D,4,FALSE)</f>
        <v/>
      </c>
      <c r="G14" s="61">
        <f>IFERROR(D14*F14,0)</f>
        <v/>
      </c>
      <c r="H14" s="61" t="n"/>
      <c r="I14" s="9" t="n"/>
    </row>
    <row r="15" ht="15" customHeight="1" s="144">
      <c r="A15" s="114" t="n"/>
      <c r="B15" s="114" t="inlineStr">
        <is>
          <t>c</t>
        </is>
      </c>
      <c r="C15" s="53" t="inlineStr">
        <is>
          <t>Asistensi Dengan Mooring Boat</t>
        </is>
      </c>
      <c r="D15" s="60" t="inlineStr">
        <is>
          <t>1</t>
        </is>
      </c>
      <c r="E15" s="114" t="inlineStr">
        <is>
          <t>Ls</t>
        </is>
      </c>
      <c r="F15" s="31">
        <f>VLOOKUP("I.c",'💲 MASTER HARGA'!A:D,4,FALSE)</f>
        <v/>
      </c>
      <c r="G15" s="61">
        <f>IFERROR(D15*F15,0)</f>
        <v/>
      </c>
      <c r="H15" s="61" t="n"/>
      <c r="I15" s="9" t="n"/>
    </row>
    <row r="16" ht="15" customHeight="1" s="144">
      <c r="A16" s="114" t="n"/>
      <c r="B16" s="114" t="inlineStr">
        <is>
          <t>d</t>
        </is>
      </c>
      <c r="C16" s="53" t="inlineStr">
        <is>
          <t>Sewa Dok Selama Perbaikan</t>
        </is>
      </c>
      <c r="D16" s="60" t="inlineStr">
        <is>
          <t>30</t>
        </is>
      </c>
      <c r="E16" s="114" t="inlineStr">
        <is>
          <t>Hari</t>
        </is>
      </c>
      <c r="F16" s="31">
        <f>VLOOKUP("I.d",'💲 MASTER HARGA'!A:D,4,FALSE)</f>
        <v/>
      </c>
      <c r="G16" s="61">
        <f>IFERROR(D16*F16,0)</f>
        <v/>
      </c>
      <c r="H16" s="61" t="n"/>
      <c r="I16" s="9" t="n"/>
    </row>
    <row r="17" ht="15" customHeight="1" s="144">
      <c r="A17" s="114" t="n"/>
      <c r="B17" s="114" t="inlineStr">
        <is>
          <t>e</t>
        </is>
      </c>
      <c r="C17" s="53" t="inlineStr">
        <is>
          <t>Sewa Tempat Sandar (after repair)</t>
        </is>
      </c>
      <c r="D17" s="60" t="inlineStr">
        <is>
          <t>3</t>
        </is>
      </c>
      <c r="E17" s="114" t="inlineStr">
        <is>
          <t>Hari</t>
        </is>
      </c>
      <c r="F17" s="31">
        <f>VLOOKUP("I.e",'💲 MASTER HARGA'!A:D,4,FALSE)</f>
        <v/>
      </c>
      <c r="G17" s="61">
        <f>IFERROR(D17*F17,0)</f>
        <v/>
      </c>
      <c r="H17" s="61" t="n"/>
      <c r="I17" s="9" t="n"/>
    </row>
    <row r="18" ht="15" customHeight="1" s="144">
      <c r="A18" s="114" t="n"/>
      <c r="B18" s="114" t="inlineStr">
        <is>
          <t>f</t>
        </is>
      </c>
      <c r="C18" s="53" t="inlineStr">
        <is>
          <t>Penyambungan Listrik Darat Ke Kapal</t>
        </is>
      </c>
      <c r="D18" s="60" t="inlineStr">
        <is>
          <t>1</t>
        </is>
      </c>
      <c r="E18" s="114" t="inlineStr">
        <is>
          <t>Ls</t>
        </is>
      </c>
      <c r="F18" s="31">
        <f>VLOOKUP("I.f",'💲 MASTER HARGA'!A:D,4,FALSE)</f>
        <v/>
      </c>
      <c r="G18" s="61">
        <f>IFERROR(D18*F18,0)</f>
        <v/>
      </c>
      <c r="H18" s="61" t="n"/>
      <c r="I18" s="9" t="n"/>
    </row>
    <row r="19" ht="15" customHeight="1" s="144">
      <c r="A19" s="114" t="n"/>
      <c r="B19" s="114" t="inlineStr">
        <is>
          <t>g</t>
        </is>
      </c>
      <c r="C19" s="53" t="inlineStr">
        <is>
          <t>Suplai Listrik 3A 380V selama ditas dock dan sandar</t>
        </is>
      </c>
      <c r="D19" s="60" t="inlineStr">
        <is>
          <t>33</t>
        </is>
      </c>
      <c r="E19" s="114" t="inlineStr">
        <is>
          <t>Hari</t>
        </is>
      </c>
      <c r="F19" s="31">
        <f>VLOOKUP("I.g",'💲 MASTER HARGA'!A:D,4,FALSE)</f>
        <v/>
      </c>
      <c r="G19" s="61">
        <f>IFERROR(D19*F19,0)</f>
        <v/>
      </c>
      <c r="H19" s="61" t="n"/>
      <c r="I19" s="9" t="n"/>
    </row>
    <row r="20" ht="15" customHeight="1" s="144">
      <c r="A20" s="114" t="n"/>
      <c r="B20" s="114" t="inlineStr">
        <is>
          <t>h</t>
        </is>
      </c>
      <c r="C20" s="53" t="inlineStr">
        <is>
          <t>Disediakan Fasilitas MCK untuk ABK</t>
        </is>
      </c>
      <c r="D20" s="60" t="inlineStr">
        <is>
          <t>1</t>
        </is>
      </c>
      <c r="E20" s="114" t="inlineStr">
        <is>
          <t>Ls</t>
        </is>
      </c>
      <c r="F20" s="31">
        <f>VLOOKUP("I.h",'💲 MASTER HARGA'!A:D,4,FALSE)</f>
        <v/>
      </c>
      <c r="G20" s="61">
        <f>IFERROR(D20*F20,0)</f>
        <v/>
      </c>
      <c r="H20" s="61" t="n"/>
      <c r="I20" s="9" t="n"/>
    </row>
    <row r="21" ht="15" customHeight="1" s="144">
      <c r="A21" s="114" t="n"/>
      <c r="B21" s="114" t="inlineStr">
        <is>
          <t>i</t>
        </is>
      </c>
      <c r="C21" s="53" t="inlineStr">
        <is>
          <t>Disediakan Tempat Penampungan Sampah</t>
        </is>
      </c>
      <c r="D21" s="60" t="inlineStr">
        <is>
          <t>1</t>
        </is>
      </c>
      <c r="E21" s="114" t="inlineStr">
        <is>
          <t>Ls</t>
        </is>
      </c>
      <c r="F21" s="31">
        <f>VLOOKUP("I.i",'💲 MASTER HARGA'!A:D,4,FALSE)</f>
        <v/>
      </c>
      <c r="G21" s="61">
        <f>IFERROR(D21*F21,0)</f>
        <v/>
      </c>
      <c r="H21" s="61" t="n"/>
      <c r="I21" s="9" t="n"/>
    </row>
    <row r="22" ht="15" customHeight="1" s="144">
      <c r="A22" s="114" t="n"/>
      <c r="B22" s="114" t="inlineStr">
        <is>
          <t>j</t>
        </is>
      </c>
      <c r="C22" s="53" t="inlineStr">
        <is>
          <t>Disediakan Tempat Penyimpanan Material Untuk Kapal</t>
        </is>
      </c>
      <c r="D22" s="60" t="inlineStr">
        <is>
          <t>1</t>
        </is>
      </c>
      <c r="E22" s="114" t="inlineStr">
        <is>
          <t>Ls</t>
        </is>
      </c>
      <c r="F22" s="31">
        <f>VLOOKUP("I.j",'💲 MASTER HARGA'!A:D,4,FALSE)</f>
        <v/>
      </c>
      <c r="G22" s="61">
        <f>IFERROR(D22*F22,0)</f>
        <v/>
      </c>
      <c r="H22" s="61" t="n"/>
      <c r="I22" s="9" t="n"/>
    </row>
    <row r="23" ht="15" customHeight="1" s="144">
      <c r="A23" s="114" t="n"/>
      <c r="B23" s="114" t="inlineStr">
        <is>
          <t>k</t>
        </is>
      </c>
      <c r="C23" s="53" t="inlineStr">
        <is>
          <t>Penggunaan Alat Angkat (&lt; 1.5 Ton)</t>
        </is>
      </c>
      <c r="D23" s="60" t="inlineStr">
        <is>
          <t>1</t>
        </is>
      </c>
      <c r="E23" s="114" t="inlineStr">
        <is>
          <t>Ls</t>
        </is>
      </c>
      <c r="F23" s="31">
        <f>VLOOKUP("I.k",'💲 MASTER HARGA'!A:D,4,FALSE)</f>
        <v/>
      </c>
      <c r="G23" s="61">
        <f>IFERROR(D23*F23,0)</f>
        <v/>
      </c>
      <c r="H23" s="61" t="n"/>
      <c r="I23" s="9" t="n"/>
    </row>
    <row r="24" ht="15" customHeight="1" s="144">
      <c r="A24" s="114" t="n"/>
      <c r="B24" s="114" t="inlineStr">
        <is>
          <t>l</t>
        </is>
      </c>
      <c r="C24" s="53" t="inlineStr">
        <is>
          <t>Suplai Air Tawar</t>
        </is>
      </c>
      <c r="D24" s="60" t="inlineStr">
        <is>
          <t>20</t>
        </is>
      </c>
      <c r="E24" s="114" t="inlineStr">
        <is>
          <t>Ton</t>
        </is>
      </c>
      <c r="F24" s="31">
        <f>VLOOKUP("I.l",'💲 MASTER HARGA'!A:D,4,FALSE)</f>
        <v/>
      </c>
      <c r="G24" s="61">
        <f>IFERROR(D24*F24,0)</f>
        <v/>
      </c>
      <c r="H24" s="61" t="n"/>
      <c r="I24" s="9" t="n"/>
    </row>
    <row r="25" ht="15" customHeight="1" s="144">
      <c r="A25" s="114" t="n"/>
      <c r="B25" s="114" t="inlineStr">
        <is>
          <t>m</t>
        </is>
      </c>
      <c r="C25" s="53" t="inlineStr">
        <is>
          <t>Disediakan Tempat Penampungan Limbah B3 ≤ 2 Ton</t>
        </is>
      </c>
      <c r="D25" s="60" t="inlineStr">
        <is>
          <t>3</t>
        </is>
      </c>
      <c r="E25" s="114" t="inlineStr">
        <is>
          <t>Ton</t>
        </is>
      </c>
      <c r="F25" s="31">
        <f>VLOOKUP("I.m",'💲 MASTER HARGA'!A:D,4,FALSE)</f>
        <v/>
      </c>
      <c r="G25" s="61">
        <f>IFERROR(D25*F25,0)</f>
        <v/>
      </c>
      <c r="H25" s="61" t="n"/>
      <c r="I25" s="9" t="n"/>
    </row>
    <row r="26" ht="15" customHeight="1" s="144">
      <c r="A26" s="114" t="inlineStr">
        <is>
          <t>II</t>
        </is>
      </c>
      <c r="B26" s="114" t="n"/>
      <c r="C26" s="130" t="inlineStr">
        <is>
          <t>PERAWATAN LAMBUNG (Material Suplai Owner)</t>
        </is>
      </c>
      <c r="D26" s="115" t="n"/>
      <c r="E26" s="115" t="n"/>
      <c r="F26" s="115" t="n"/>
      <c r="G26" s="115" t="n"/>
      <c r="H26" s="115" t="n"/>
      <c r="I26" s="116" t="n"/>
    </row>
    <row r="27" ht="15" customHeight="1" s="144">
      <c r="A27" s="114" t="n"/>
      <c r="B27" s="114" t="inlineStr">
        <is>
          <t>a</t>
        </is>
      </c>
      <c r="C27" s="53" t="inlineStr">
        <is>
          <t>Sekrap Bagian Bawah Air</t>
        </is>
      </c>
      <c r="D27" s="185">
        <f>'🎨 DETAIL B&amp;P'!I16</f>
        <v/>
      </c>
      <c r="E27" s="114" t="inlineStr">
        <is>
          <t>m2</t>
        </is>
      </c>
      <c r="F27" s="31">
        <f>VLOOKUP("II.a",'💲 MASTER HARGA'!A:D,4,FALSE)</f>
        <v/>
      </c>
      <c r="G27" s="61">
        <f>IFERROR(D27*F27,0)</f>
        <v/>
      </c>
      <c r="H27" s="61" t="n"/>
      <c r="I27" s="9" t="n"/>
    </row>
    <row r="28" ht="15" customHeight="1" s="144">
      <c r="A28" s="114" t="n"/>
      <c r="B28" s="114" t="inlineStr">
        <is>
          <t>b</t>
        </is>
      </c>
      <c r="C28" s="53" t="inlineStr">
        <is>
          <t>Sandblasting Bottom Sampai Waterline (S.A 2.0)</t>
        </is>
      </c>
      <c r="D28" s="185">
        <f>'🎨 DETAIL B&amp;P'!I16</f>
        <v/>
      </c>
      <c r="E28" s="114" t="inlineStr">
        <is>
          <t>m2</t>
        </is>
      </c>
      <c r="F28" s="31">
        <f>VLOOKUP("II.b",'💲 MASTER HARGA'!A:D,4,FALSE)</f>
        <v/>
      </c>
      <c r="G28" s="61">
        <f>IFERROR(D28*F28,0)</f>
        <v/>
      </c>
      <c r="H28" s="61" t="n"/>
      <c r="I28" s="9" t="n"/>
    </row>
    <row r="29" ht="15" customHeight="1" s="144">
      <c r="A29" s="114" t="n"/>
      <c r="B29" s="114" t="inlineStr">
        <is>
          <t>c</t>
        </is>
      </c>
      <c r="C29" s="53" t="inlineStr">
        <is>
          <t>Sandblasting Top Side (S.A 2.0)</t>
        </is>
      </c>
      <c r="D29" s="185">
        <f>'🎨 DETAIL B&amp;P'!I21</f>
        <v/>
      </c>
      <c r="E29" s="114" t="inlineStr">
        <is>
          <t>m2</t>
        </is>
      </c>
      <c r="F29" s="31">
        <f>VLOOKUP("II.c",'💲 MASTER HARGA'!A:D,4,FALSE)</f>
        <v/>
      </c>
      <c r="G29" s="61">
        <f>IFERROR(D29*F29,0)</f>
        <v/>
      </c>
      <c r="H29" s="61" t="n"/>
      <c r="I29" s="9" t="n"/>
    </row>
    <row r="30" ht="15" customHeight="1" s="144">
      <c r="A30" s="114" t="n"/>
      <c r="B30" s="114" t="inlineStr">
        <is>
          <t>d</t>
        </is>
      </c>
      <c r="C30" s="53" t="inlineStr">
        <is>
          <t>Sandblasting Bulwark Luar (S.A 2.0)</t>
        </is>
      </c>
      <c r="D30" s="185">
        <f>'🎨 DETAIL B&amp;P'!I25</f>
        <v/>
      </c>
      <c r="E30" s="114" t="inlineStr">
        <is>
          <t>m2</t>
        </is>
      </c>
      <c r="F30" s="31">
        <f>VLOOKUP("II.d",'💲 MASTER HARGA'!A:D,4,FALSE)</f>
        <v/>
      </c>
      <c r="G30" s="61">
        <f>IFERROR(D30*F30,0)</f>
        <v/>
      </c>
      <c r="H30" s="61" t="n"/>
      <c r="I30" s="9" t="n"/>
    </row>
    <row r="31" ht="15" customHeight="1" s="144">
      <c r="A31" s="114" t="n"/>
      <c r="B31" s="114" t="inlineStr">
        <is>
          <t>e</t>
        </is>
      </c>
      <c r="C31" s="53" t="inlineStr">
        <is>
          <t>Sandblasting Main Deck Sweep Blast</t>
        </is>
      </c>
      <c r="D31" s="185">
        <f>'🎨 DETAIL B&amp;P'!I29</f>
        <v/>
      </c>
      <c r="E31" s="114" t="inlineStr">
        <is>
          <t>m2</t>
        </is>
      </c>
      <c r="F31" s="31">
        <f>VLOOKUP("II.e",'💲 MASTER HARGA'!A:D,4,FALSE)</f>
        <v/>
      </c>
      <c r="G31" s="61">
        <f>IFERROR(D31*F31,0)</f>
        <v/>
      </c>
      <c r="H31" s="61" t="n"/>
      <c r="I31" s="9" t="n"/>
    </row>
    <row r="32" ht="15" customHeight="1" s="144">
      <c r="A32" s="114" t="n"/>
      <c r="B32" s="114" t="inlineStr">
        <is>
          <t>f</t>
        </is>
      </c>
      <c r="C32" s="53" t="inlineStr">
        <is>
          <t>Cuci Air Tawar</t>
        </is>
      </c>
      <c r="D32" s="185">
        <f>'🎨 DETAIL B&amp;P'!I16</f>
        <v/>
      </c>
      <c r="E32" s="114" t="inlineStr">
        <is>
          <t>m2</t>
        </is>
      </c>
      <c r="F32" s="31">
        <f>VLOOKUP("II.f",'💲 MASTER HARGA'!A:D,4,FALSE)</f>
        <v/>
      </c>
      <c r="G32" s="61">
        <f>IFERROR(D32*F32,0)</f>
        <v/>
      </c>
      <c r="H32" s="61" t="n"/>
      <c r="I32" s="9" t="n"/>
    </row>
    <row r="33" ht="15" customHeight="1" s="144">
      <c r="A33" s="114" t="n"/>
      <c r="B33" s="114" t="inlineStr">
        <is>
          <t>g</t>
        </is>
      </c>
      <c r="C33" s="53" t="inlineStr">
        <is>
          <t>Pengecatan Bottom sampai waterline (1x Primer, 1x Sealer, 1x AF)</t>
        </is>
      </c>
      <c r="D33" s="185">
        <f>'🎨 DETAIL B&amp;P'!I16</f>
        <v/>
      </c>
      <c r="E33" s="114" t="inlineStr">
        <is>
          <t>m2</t>
        </is>
      </c>
      <c r="F33" s="31">
        <f>VLOOKUP("II.g",'💲 MASTER HARGA'!A:D,4,FALSE)</f>
        <v/>
      </c>
      <c r="G33" s="61">
        <f>IFERROR(D33*F33,0)</f>
        <v/>
      </c>
      <c r="H33" s="61" t="n"/>
      <c r="I33" s="9" t="n"/>
    </row>
    <row r="34" ht="15" customHeight="1" s="144">
      <c r="A34" s="114" t="n"/>
      <c r="B34" s="114" t="inlineStr">
        <is>
          <t>h</t>
        </is>
      </c>
      <c r="C34" s="53" t="inlineStr">
        <is>
          <t>Pengecatan Top Side (1x Primer dan 1x Top Coat)</t>
        </is>
      </c>
      <c r="D34" s="185">
        <f>'🎨 DETAIL B&amp;P'!I21</f>
        <v/>
      </c>
      <c r="E34" s="114" t="inlineStr">
        <is>
          <t>m2</t>
        </is>
      </c>
      <c r="F34" s="31">
        <f>VLOOKUP("II.h",'💲 MASTER HARGA'!A:D,4,FALSE)</f>
        <v/>
      </c>
      <c r="G34" s="61">
        <f>IFERROR(D34*F34,0)</f>
        <v/>
      </c>
      <c r="H34" s="61" t="n"/>
      <c r="I34" s="9" t="n"/>
    </row>
    <row r="35" ht="15" customHeight="1" s="144">
      <c r="A35" s="114" t="n"/>
      <c r="B35" s="114" t="inlineStr">
        <is>
          <t>i</t>
        </is>
      </c>
      <c r="C35" s="53" t="inlineStr">
        <is>
          <t>Pengecatan Bulwark Luar (1x Primer dan 1x Top Coat)</t>
        </is>
      </c>
      <c r="D35" s="185">
        <f>'🎨 DETAIL B&amp;P'!I25</f>
        <v/>
      </c>
      <c r="E35" s="114" t="inlineStr">
        <is>
          <t>m2</t>
        </is>
      </c>
      <c r="F35" s="31">
        <f>VLOOKUP("II.i",'💲 MASTER HARGA'!A:D,4,FALSE)</f>
        <v/>
      </c>
      <c r="G35" s="61">
        <f>IFERROR(D35*F35,0)</f>
        <v/>
      </c>
      <c r="H35" s="61" t="n"/>
      <c r="I35" s="9" t="n"/>
    </row>
    <row r="36" ht="15" customHeight="1" s="144">
      <c r="A36" s="114" t="n"/>
      <c r="B36" s="114" t="inlineStr">
        <is>
          <t>j</t>
        </is>
      </c>
      <c r="C36" s="53" t="inlineStr">
        <is>
          <t>Pengecatan Main Deck (1x Primer dan 1x Top Coat)</t>
        </is>
      </c>
      <c r="D36" s="185">
        <f>'🎨 DETAIL B&amp;P'!I29</f>
        <v/>
      </c>
      <c r="E36" s="114" t="inlineStr">
        <is>
          <t>m2</t>
        </is>
      </c>
      <c r="F36" s="31">
        <f>VLOOKUP("II.j",'💲 MASTER HARGA'!A:D,4,FALSE)</f>
        <v/>
      </c>
      <c r="G36" s="61">
        <f>IFERROR(D36*F36,0)</f>
        <v/>
      </c>
      <c r="H36" s="61" t="n"/>
      <c r="I36" s="9" t="n"/>
    </row>
    <row r="37" ht="15" customHeight="1" s="144">
      <c r="A37" s="114" t="n"/>
      <c r="B37" s="114" t="inlineStr">
        <is>
          <t>k</t>
        </is>
      </c>
      <c r="C37" s="53" t="inlineStr">
        <is>
          <t>Pengecatan Draft Mark, Nama Kapal</t>
        </is>
      </c>
      <c r="D37" s="60" t="inlineStr">
        <is>
          <t>1</t>
        </is>
      </c>
      <c r="E37" s="114" t="inlineStr">
        <is>
          <t>Ls</t>
        </is>
      </c>
      <c r="F37" s="31">
        <f>VLOOKUP("II.k",'💲 MASTER HARGA'!A:D,4,FALSE)</f>
        <v/>
      </c>
      <c r="G37" s="61">
        <f>IFERROR(D37*F37,0)</f>
        <v/>
      </c>
      <c r="H37" s="61" t="n"/>
      <c r="I37" s="9" t="n"/>
    </row>
    <row r="38" ht="15" customHeight="1" s="144">
      <c r="A38" s="114" t="n"/>
      <c r="B38" s="114" t="inlineStr">
        <is>
          <t>l</t>
        </is>
      </c>
      <c r="C38" s="53" t="inlineStr">
        <is>
          <t>Pemasangan Zinc Anode</t>
        </is>
      </c>
      <c r="D38" s="60" t="inlineStr">
        <is>
          <t>29</t>
        </is>
      </c>
      <c r="E38" s="114" t="inlineStr">
        <is>
          <t>pcs</t>
        </is>
      </c>
      <c r="F38" s="31">
        <f>VLOOKUP("II.l",'💲 MASTER HARGA'!A:D,4,FALSE)</f>
        <v/>
      </c>
      <c r="G38" s="61" t="n"/>
      <c r="H38" s="61">
        <f>IFERROR(D38*F38,0)</f>
        <v/>
      </c>
      <c r="I38" s="9" t="n"/>
    </row>
    <row r="41" ht="15" customHeight="1" s="144">
      <c r="A41" s="135" t="inlineStr">
        <is>
          <t>Total</t>
        </is>
      </c>
      <c r="G41" s="186">
        <f>SUM(G12:G39)</f>
        <v/>
      </c>
      <c r="H41" s="186">
        <f>SUM(H12:H39)</f>
        <v/>
      </c>
    </row>
    <row r="42" ht="15" customHeight="1" s="144">
      <c r="A42" s="136" t="inlineStr">
        <is>
          <t>GRAND TOTAL</t>
        </is>
      </c>
      <c r="G42" s="187">
        <f>G41+H41</f>
        <v/>
      </c>
      <c r="H42" s="138" t="n"/>
    </row>
  </sheetData>
  <mergeCells count="9">
    <mergeCell ref="A41:F41"/>
    <mergeCell ref="A2:I2"/>
    <mergeCell ref="A42:F42"/>
    <mergeCell ref="A10:I10"/>
    <mergeCell ref="C26:I26"/>
    <mergeCell ref="G42:H42"/>
    <mergeCell ref="A1:I1"/>
    <mergeCell ref="C12:I12"/>
    <mergeCell ref="A4: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.109375" defaultRowHeight="15" customHeight="1"/>
  <cols>
    <col width="5" customWidth="1" style="144" min="1" max="1"/>
    <col width="25" customWidth="1" style="144" min="2" max="2"/>
    <col width="18" customWidth="1" style="144" min="3" max="3"/>
    <col width="15" customWidth="1" style="144" min="4" max="7"/>
    <col width="25" customWidth="1" style="144" min="8" max="8"/>
  </cols>
  <sheetData>
    <row r="1" ht="35.25" customHeight="1" s="144">
      <c r="A1" s="113" t="inlineStr">
        <is>
          <t>📊 ANALYTICS DASHBOARD - RINGKASAN TERINTEGRASI</t>
        </is>
      </c>
    </row>
    <row r="2" ht="15" customHeight="1" s="144">
      <c r="A2" s="117" t="inlineStr">
        <is>
          <t>📋 Ringkasan otomatis dari semua calculator. Dual View: PPIC (Teknis) &amp; Marketing (Komersial)</t>
        </is>
      </c>
    </row>
    <row r="4" ht="15" customHeight="1" s="144">
      <c r="A4" s="112" t="inlineStr">
        <is>
          <t>A. DATA KAPAL</t>
        </is>
      </c>
    </row>
    <row r="5" ht="15" customHeight="1" s="144">
      <c r="A5" s="28" t="inlineStr">
        <is>
          <t>Jenis Kapal:</t>
        </is>
      </c>
      <c r="B5" s="59">
        <f>'📝 INPUT DATA'!C7</f>
        <v/>
      </c>
      <c r="C5" s="0" t="inlineStr">
        <is>
          <t>Kondisi:</t>
        </is>
      </c>
      <c r="D5" s="64">
        <f>'📝 INPUT DATA'!C13</f>
        <v/>
      </c>
    </row>
    <row r="6" ht="15" customHeight="1" s="144">
      <c r="A6" s="28" t="inlineStr">
        <is>
          <t>Panjang:</t>
        </is>
      </c>
      <c r="B6" s="46">
        <f>'📝 INPUT DATA'!C8</f>
        <v/>
      </c>
      <c r="C6" s="0" t="inlineStr">
        <is>
          <t>m</t>
        </is>
      </c>
    </row>
    <row r="7" ht="15" customHeight="1" s="144">
      <c r="A7" s="28" t="inlineStr">
        <is>
          <t>Lebar:</t>
        </is>
      </c>
      <c r="B7" s="46">
        <f>'📝 INPUT DATA'!C9</f>
        <v/>
      </c>
      <c r="C7" s="0" t="inlineStr">
        <is>
          <t>m</t>
        </is>
      </c>
    </row>
    <row r="8" ht="15" customHeight="1" s="144">
      <c r="A8" s="0" t="inlineStr">
        <is>
          <t>Depth:</t>
        </is>
      </c>
      <c r="B8" s="0">
        <f>'📝 INPUT DATA'!C10</f>
        <v/>
      </c>
      <c r="C8" s="0" t="inlineStr">
        <is>
          <t>m</t>
        </is>
      </c>
    </row>
    <row r="9" ht="15" customHeight="1" s="144">
      <c r="A9" s="28" t="inlineStr">
        <is>
          <t>Sarat (auto):</t>
        </is>
      </c>
      <c r="B9" s="46">
        <f>'📝 INPUT DATA'!C11</f>
        <v/>
      </c>
      <c r="C9" s="0" t="inlineStr">
        <is>
          <t>m</t>
        </is>
      </c>
    </row>
    <row r="10" ht="15" customHeight="1" s="144">
      <c r="A10" s="28" t="inlineStr">
        <is>
          <t>Block Coef:</t>
        </is>
      </c>
      <c r="B10" s="46">
        <f>'📝 INPUT DATA'!C19</f>
        <v/>
      </c>
      <c r="C10" s="0" t="inlineStr">
        <is>
          <t>-</t>
        </is>
      </c>
    </row>
    <row r="11" ht="15" customHeight="1" s="144">
      <c r="A11" s="28" t="inlineStr">
        <is>
          <t>Faktor WSA:</t>
        </is>
      </c>
      <c r="B11" s="46">
        <f>'📝 INPUT DATA'!C20</f>
        <v/>
      </c>
      <c r="C11" s="0" t="inlineStr">
        <is>
          <t>-</t>
        </is>
      </c>
    </row>
    <row r="12">
      <c r="A12" s="28" t="inlineStr">
        <is>
          <t>Faktor Kondisi:</t>
        </is>
      </c>
      <c r="B12" s="46">
        <f>'📝 INPUT DATA'!C24</f>
        <v/>
      </c>
      <c r="C12" s="0" t="inlineStr">
        <is>
          <t>x</t>
        </is>
      </c>
    </row>
    <row r="14" ht="15" customHeight="1" s="144">
      <c r="A14" s="0" t="n"/>
    </row>
    <row r="15" ht="15" customHeight="1" s="144">
      <c r="A15" s="112" t="inlineStr">
        <is>
          <t>B. PPIC VIEW (Teknis)</t>
        </is>
      </c>
    </row>
    <row r="16" ht="15" customHeight="1" s="144">
      <c r="A16" s="1" t="inlineStr">
        <is>
          <t>No</t>
        </is>
      </c>
      <c r="B16" s="1" t="inlineStr">
        <is>
          <t>Kategori</t>
        </is>
      </c>
      <c r="C16" s="1" t="inlineStr">
        <is>
          <t>Hasil</t>
        </is>
      </c>
      <c r="D16" s="1" t="inlineStr">
        <is>
          <t>Satuan</t>
        </is>
      </c>
      <c r="E16" s="1" t="inlineStr">
        <is>
          <t>Man-Hour</t>
        </is>
      </c>
      <c r="F16" s="1" t="inlineStr">
        <is>
          <t>Man-Day</t>
        </is>
      </c>
      <c r="G16" s="1" t="inlineStr">
        <is>
          <t>Source</t>
        </is>
      </c>
    </row>
    <row r="17" ht="15" customHeight="1" s="144">
      <c r="A17" s="114" t="inlineStr">
        <is>
          <t>1</t>
        </is>
      </c>
      <c r="B17" s="24" t="inlineStr">
        <is>
          <t>Total Luasan B&amp;P</t>
        </is>
      </c>
      <c r="C17" s="185">
        <f>'🎨 DETAIL B&amp;P'!I41</f>
        <v/>
      </c>
      <c r="D17" s="114" t="inlineStr">
        <is>
          <t>m²</t>
        </is>
      </c>
      <c r="E17" s="185">
        <f>'🎨 DETAIL B&amp;P'!B47</f>
        <v/>
      </c>
      <c r="F17" s="185">
        <f>'🎨 DETAIL B&amp;P'!B48</f>
        <v/>
      </c>
      <c r="G17" s="14" t="inlineStr">
        <is>
          <t>Detail B&amp;P</t>
        </is>
      </c>
    </row>
    <row r="18" ht="15" customHeight="1" s="144">
      <c r="A18" s="114" t="inlineStr">
        <is>
          <t>2</t>
        </is>
      </c>
      <c r="B18" s="24" t="inlineStr">
        <is>
          <t>Total MH Piping</t>
        </is>
      </c>
      <c r="C18" s="185">
        <f>'🔧 DETAIL PIPING'!H19</f>
        <v/>
      </c>
      <c r="D18" s="114" t="inlineStr">
        <is>
          <t>MH</t>
        </is>
      </c>
      <c r="E18" s="185">
        <f>'🔧 DETAIL PIPING'!H19</f>
        <v/>
      </c>
      <c r="F18" s="185">
        <f>'🔧 DETAIL PIPING'!H21</f>
        <v/>
      </c>
      <c r="G18" s="14" t="inlineStr">
        <is>
          <t>Detail Piping</t>
        </is>
      </c>
    </row>
    <row r="19">
      <c r="A19" s="114" t="inlineStr">
        <is>
          <t>3</t>
        </is>
      </c>
      <c r="B19" s="24" t="inlineStr">
        <is>
          <t>Total Berat Replating</t>
        </is>
      </c>
      <c r="C19" s="185">
        <f>'⚙️ DETAIL REPLATING'!J6</f>
        <v/>
      </c>
      <c r="D19" s="114" t="inlineStr">
        <is>
          <t>kg</t>
        </is>
      </c>
      <c r="E19" s="185">
        <f>IFERROR(C19/40,0)</f>
        <v/>
      </c>
      <c r="F19" s="185">
        <f>IFERROR(E19/8,0)</f>
        <v/>
      </c>
      <c r="G19" s="14" t="inlineStr">
        <is>
          <t>Detail Replating</t>
        </is>
      </c>
    </row>
    <row r="20" ht="15" customHeight="1" s="144">
      <c r="A20" s="0" t="n"/>
    </row>
    <row r="21" ht="19.2" customHeight="1" s="144">
      <c r="A21" s="134" t="inlineStr">
        <is>
          <t>GRAND TOTAL MAN-DAY</t>
        </is>
      </c>
      <c r="E21" s="188">
        <f>SUM(E17:E19)</f>
        <v/>
      </c>
      <c r="F21" s="189">
        <f>SUM(F17:F19)</f>
        <v/>
      </c>
      <c r="G21" s="51" t="inlineStr">
        <is>
          <t>MD</t>
        </is>
      </c>
    </row>
    <row r="23" ht="15" customHeight="1" s="144">
      <c r="A23" s="0" t="n"/>
    </row>
    <row r="24" ht="15" customHeight="1" s="144">
      <c r="A24" s="112" t="inlineStr">
        <is>
          <t>C. MARKETING VIEW (Komersial)</t>
        </is>
      </c>
    </row>
    <row r="25" ht="15" customHeight="1" s="144">
      <c r="A25" s="1" t="inlineStr">
        <is>
          <t>No</t>
        </is>
      </c>
      <c r="B25" s="1" t="inlineStr">
        <is>
          <t>Item Biaya</t>
        </is>
      </c>
      <c r="C25" s="1" t="inlineStr">
        <is>
          <t>Qty</t>
        </is>
      </c>
      <c r="D25" s="1" t="inlineStr">
        <is>
          <t>Satuan</t>
        </is>
      </c>
      <c r="E25" s="1" t="inlineStr">
        <is>
          <t>Harga Satuan</t>
        </is>
      </c>
      <c r="F25" s="1" t="inlineStr">
        <is>
          <t>Total (Rp)</t>
        </is>
      </c>
      <c r="G25" s="1" t="inlineStr">
        <is>
          <t>Keterangan</t>
        </is>
      </c>
    </row>
    <row r="26" ht="15" customHeight="1" s="144">
      <c r="A26" s="114" t="inlineStr">
        <is>
          <t>1</t>
        </is>
      </c>
      <c r="B26" s="24" t="inlineStr">
        <is>
          <t>Biaya Man-Hour</t>
        </is>
      </c>
      <c r="C26" s="67">
        <f>E21</f>
        <v/>
      </c>
      <c r="D26" s="114" t="inlineStr">
        <is>
          <t>MH</t>
        </is>
      </c>
      <c r="E26" s="31" t="n">
        <v>50000</v>
      </c>
      <c r="F26" s="55">
        <f>IFERROR(C26*E26,0)</f>
        <v/>
      </c>
      <c r="G26" s="14" t="inlineStr">
        <is>
          <t>Total MH × Rate</t>
        </is>
      </c>
    </row>
    <row r="27" ht="15" customHeight="1" s="144">
      <c r="A27" s="114" t="inlineStr">
        <is>
          <t>2</t>
        </is>
      </c>
      <c r="B27" s="24" t="inlineStr">
        <is>
          <t>Biaya Material Baja</t>
        </is>
      </c>
      <c r="C27" s="67">
        <f>C19</f>
        <v/>
      </c>
      <c r="D27" s="114" t="inlineStr">
        <is>
          <t>kg</t>
        </is>
      </c>
      <c r="E27" s="31" t="n">
        <v>32000</v>
      </c>
      <c r="F27" s="55">
        <f>IFERROR(C27*E27,0)</f>
        <v/>
      </c>
      <c r="G27" s="14" t="inlineStr">
        <is>
          <t>Berat × Harga/kg</t>
        </is>
      </c>
    </row>
    <row r="28" ht="15" customHeight="1" s="144">
      <c r="A28" s="114" t="inlineStr">
        <is>
          <t>3</t>
        </is>
      </c>
      <c r="B28" s="24" t="inlineStr">
        <is>
          <t>Biaya Coating B&amp;P</t>
        </is>
      </c>
      <c r="C28" s="67">
        <f>C17</f>
        <v/>
      </c>
      <c r="D28" s="114" t="inlineStr">
        <is>
          <t>m²</t>
        </is>
      </c>
      <c r="E28" s="31" t="n">
        <v>120000</v>
      </c>
      <c r="F28" s="55">
        <f>IFERROR(C28*E28,0)</f>
        <v/>
      </c>
      <c r="G28" s="14" t="inlineStr">
        <is>
          <t>Luasan × Harga komposit/m²</t>
        </is>
      </c>
    </row>
    <row r="29" ht="16.8" customHeight="1" s="144">
      <c r="A29" s="114" t="inlineStr">
        <is>
          <t>4</t>
        </is>
      </c>
      <c r="B29" s="24" t="inlineStr">
        <is>
          <t>Biaya Disposal Limbah</t>
        </is>
      </c>
      <c r="C29" s="67" t="n">
        <v>5</v>
      </c>
      <c r="D29" s="114" t="inlineStr">
        <is>
          <t>m³</t>
        </is>
      </c>
      <c r="E29" s="31" t="n">
        <v>500000</v>
      </c>
      <c r="F29" s="55">
        <f>IFERROR(C29*E29,0)</f>
        <v/>
      </c>
      <c r="G29" s="14" t="inlineStr">
        <is>
          <t>Estimasi disposal</t>
        </is>
      </c>
    </row>
    <row r="31" ht="15" customHeight="1" s="144">
      <c r="B31" s="28" t="inlineStr">
        <is>
          <t>SUBTOTAL BIAYA PRODUKSI</t>
        </is>
      </c>
      <c r="F31" s="175">
        <f>SUM(F26:F29)</f>
        <v/>
      </c>
    </row>
    <row r="32" ht="15" customHeight="1" s="144">
      <c r="B32" s="30" t="inlineStr">
        <is>
          <t>Overhead (15%)</t>
        </is>
      </c>
      <c r="F32" s="176">
        <f>F31*0.15</f>
        <v/>
      </c>
    </row>
    <row r="33">
      <c r="B33" s="30" t="inlineStr">
        <is>
          <t>Margin (25%)</t>
        </is>
      </c>
      <c r="F33" s="176">
        <f>F31*0.25</f>
        <v/>
      </c>
    </row>
    <row r="34" ht="15" customHeight="1" s="144">
      <c r="A34" s="0" t="n"/>
    </row>
    <row r="35" ht="288" customHeight="1" s="144">
      <c r="A35" s="131" t="inlineStr">
        <is>
          <t>🎯 GRAND TOTAL HARGA PENAWARAN</t>
        </is>
      </c>
      <c r="F35" s="177">
        <f>F31+F32+F33</f>
        <v/>
      </c>
      <c r="G35" s="68" t="inlineStr">
        <is>
          <t>Rp</t>
        </is>
      </c>
    </row>
  </sheetData>
  <mergeCells count="7">
    <mergeCell ref="A34:E34"/>
    <mergeCell ref="A4:D4"/>
    <mergeCell ref="A2:H2"/>
    <mergeCell ref="A20:D20"/>
    <mergeCell ref="A14:H14"/>
    <mergeCell ref="A1:H1"/>
    <mergeCell ref="A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2026-04-10T02:43:34Z</dcterms:created>
  <dcterms:modified xmlns:dcterms="http://purl.org/dc/terms/" xmlns:xsi="http://www.w3.org/2001/XMLSchema-instance" xsi:type="dcterms:W3CDTF">2026-04-21T04:53:36Z</dcterms:modified>
  <cp:lastModifiedBy>LENOVO MILITARY GRADE</cp:lastModifiedBy>
</cp:coreProperties>
</file>