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 showInkAnnotation="0" codeName="ThisWorkbook" autoCompressPictures="0"/>
  <mc:AlternateContent xmlns:mc="http://schemas.openxmlformats.org/markup-compatibility/2006">
    <mc:Choice Requires="x15">
      <x15ac:absPath xmlns:x15ac="http://schemas.microsoft.com/office/spreadsheetml/2010/11/ac" url="H:\Shared drives\HO-A.1 MANAGEMENT REPRESENTATIF\TUGAS\MARKETING JUAN\"/>
    </mc:Choice>
  </mc:AlternateContent>
  <xr:revisionPtr revIDLastSave="0" documentId="13_ncr:1_{6718AF62-745B-4BD4-90A2-8CEAACBCD71E}" xr6:coauthVersionLast="47" xr6:coauthVersionMax="47" xr10:uidLastSave="{00000000-0000-0000-0000-000000000000}"/>
  <bookViews>
    <workbookView xWindow="-110" yWindow="-110" windowWidth="19420" windowHeight="10300" tabRatio="500" xr2:uid="{00000000-000D-0000-FFFF-FFFF00000000}"/>
  </bookViews>
  <sheets>
    <sheet name="Rincian Biaya rev.02" sheetId="44" r:id="rId1"/>
  </sheets>
  <definedNames>
    <definedName name="_xlnm.Print_Area" localSheetId="0">'Rincian Biaya rev.02'!$B$2:$L$1099</definedName>
    <definedName name="_xlnm.Print_Titles" localSheetId="0">'Rincian Biaya rev.02'!$2:$19</definedName>
  </definedNames>
  <calcPr calcId="191029"/>
  <fileRecoveryPr autoRecover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K1034" i="44" l="1"/>
  <c r="L1085" i="44"/>
  <c r="K1032" i="44"/>
  <c r="K1031" i="44"/>
  <c r="K1030" i="44"/>
  <c r="K1085" i="44" s="1"/>
  <c r="L1012" i="44"/>
  <c r="L1011" i="44"/>
  <c r="L1010" i="44"/>
  <c r="L1009" i="44"/>
  <c r="L1008" i="44"/>
  <c r="L1007" i="44"/>
  <c r="L1006" i="44"/>
  <c r="L1005" i="44"/>
  <c r="L1004" i="44"/>
  <c r="L1003" i="44"/>
  <c r="L1002" i="44"/>
  <c r="L1001" i="44"/>
  <c r="L1000" i="44"/>
  <c r="L999" i="44"/>
  <c r="L998" i="44"/>
  <c r="L997" i="44"/>
  <c r="L996" i="44"/>
  <c r="L995" i="44"/>
  <c r="L994" i="44"/>
  <c r="L993" i="44"/>
  <c r="L992" i="44"/>
  <c r="L991" i="44"/>
  <c r="L990" i="44"/>
  <c r="L989" i="44"/>
  <c r="L984" i="44"/>
  <c r="L983" i="44"/>
  <c r="L982" i="44"/>
  <c r="L978" i="44"/>
  <c r="K968" i="44"/>
  <c r="K963" i="44"/>
  <c r="K1014" i="44" s="1"/>
  <c r="L958" i="44"/>
  <c r="L1014" i="44" s="1"/>
  <c r="L936" i="44"/>
  <c r="L931" i="44"/>
  <c r="L928" i="44"/>
  <c r="L927" i="44"/>
  <c r="L926" i="44"/>
  <c r="L924" i="44"/>
  <c r="L923" i="44"/>
  <c r="L922" i="44"/>
  <c r="L915" i="44"/>
  <c r="L913" i="44"/>
  <c r="L912" i="44"/>
  <c r="L911" i="44"/>
  <c r="L909" i="44"/>
  <c r="L908" i="44"/>
  <c r="L907" i="44"/>
  <c r="L942" i="44" s="1"/>
  <c r="K900" i="44"/>
  <c r="K895" i="44"/>
  <c r="K942" i="44" s="1"/>
  <c r="K890" i="44"/>
  <c r="K885" i="44"/>
  <c r="L870" i="44"/>
  <c r="K864" i="44"/>
  <c r="K859" i="44"/>
  <c r="K854" i="44"/>
  <c r="K849" i="44"/>
  <c r="K844" i="44"/>
  <c r="K834" i="44"/>
  <c r="K827" i="44"/>
  <c r="K820" i="44"/>
  <c r="K870" i="44" s="1"/>
  <c r="K813" i="44"/>
  <c r="L798" i="44"/>
  <c r="K790" i="44"/>
  <c r="K783" i="44"/>
  <c r="K776" i="44"/>
  <c r="K769" i="44"/>
  <c r="K762" i="44"/>
  <c r="K755" i="44"/>
  <c r="K748" i="44"/>
  <c r="K741" i="44"/>
  <c r="K798" i="44" s="1"/>
  <c r="K716" i="44"/>
  <c r="K709" i="44"/>
  <c r="K702" i="44"/>
  <c r="K695" i="44"/>
  <c r="K688" i="44"/>
  <c r="K681" i="44"/>
  <c r="K726" i="44" s="1"/>
  <c r="L676" i="44"/>
  <c r="L726" i="44" s="1"/>
  <c r="L674" i="44"/>
  <c r="L648" i="44"/>
  <c r="K646" i="44"/>
  <c r="L645" i="44"/>
  <c r="K644" i="44"/>
  <c r="L639" i="44"/>
  <c r="L637" i="44"/>
  <c r="L636" i="44"/>
  <c r="L635" i="44"/>
  <c r="L634" i="44"/>
  <c r="L633" i="44"/>
  <c r="L632" i="44"/>
  <c r="L631" i="44"/>
  <c r="K630" i="44"/>
  <c r="L629" i="44"/>
  <c r="L628" i="44"/>
  <c r="L627" i="44"/>
  <c r="L626" i="44"/>
  <c r="L625" i="44"/>
  <c r="L624" i="44"/>
  <c r="K623" i="44"/>
  <c r="L622" i="44"/>
  <c r="L621" i="44"/>
  <c r="L620" i="44"/>
  <c r="L619" i="44"/>
  <c r="L618" i="44"/>
  <c r="L617" i="44"/>
  <c r="L616" i="44"/>
  <c r="L615" i="44"/>
  <c r="K614" i="44"/>
  <c r="K654" i="44" s="1"/>
  <c r="L613" i="44"/>
  <c r="L612" i="44"/>
  <c r="L611" i="44"/>
  <c r="L610" i="44"/>
  <c r="L609" i="44"/>
  <c r="L608" i="44"/>
  <c r="K607" i="44"/>
  <c r="L606" i="44"/>
  <c r="L605" i="44"/>
  <c r="L604" i="44"/>
  <c r="L603" i="44"/>
  <c r="L602" i="44"/>
  <c r="L601" i="44"/>
  <c r="L600" i="44"/>
  <c r="K599" i="44"/>
  <c r="L598" i="44"/>
  <c r="L597" i="44"/>
  <c r="L654" i="44" s="1"/>
  <c r="L580" i="44"/>
  <c r="L579" i="44"/>
  <c r="K578" i="44"/>
  <c r="L577" i="44"/>
  <c r="L576" i="44"/>
  <c r="L575" i="44"/>
  <c r="L574" i="44"/>
  <c r="K573" i="44"/>
  <c r="L572" i="44"/>
  <c r="L571" i="44"/>
  <c r="L570" i="44"/>
  <c r="L569" i="44"/>
  <c r="L568" i="44"/>
  <c r="L567" i="44"/>
  <c r="L566" i="44"/>
  <c r="L565" i="44"/>
  <c r="L564" i="44"/>
  <c r="L563" i="44"/>
  <c r="K562" i="44"/>
  <c r="L561" i="44"/>
  <c r="L560" i="44"/>
  <c r="L559" i="44"/>
  <c r="L558" i="44"/>
  <c r="K557" i="44"/>
  <c r="L556" i="44"/>
  <c r="L555" i="44"/>
  <c r="L554" i="44"/>
  <c r="L553" i="44"/>
  <c r="K552" i="44"/>
  <c r="L551" i="44"/>
  <c r="L550" i="44"/>
  <c r="L549" i="44"/>
  <c r="L548" i="44"/>
  <c r="L547" i="44"/>
  <c r="K546" i="44"/>
  <c r="L545" i="44"/>
  <c r="L544" i="44"/>
  <c r="L543" i="44"/>
  <c r="K542" i="44"/>
  <c r="L541" i="44"/>
  <c r="L540" i="44"/>
  <c r="L539" i="44"/>
  <c r="L538" i="44"/>
  <c r="K537" i="44"/>
  <c r="L536" i="44"/>
  <c r="L535" i="44"/>
  <c r="L534" i="44"/>
  <c r="L533" i="44"/>
  <c r="K532" i="44"/>
  <c r="L531" i="44"/>
  <c r="L530" i="44"/>
  <c r="L529" i="44"/>
  <c r="L528" i="44"/>
  <c r="K527" i="44"/>
  <c r="K582" i="44" s="1"/>
  <c r="L526" i="44"/>
  <c r="L525" i="44"/>
  <c r="L582" i="44" s="1"/>
  <c r="L507" i="44"/>
  <c r="L506" i="44"/>
  <c r="K505" i="44"/>
  <c r="L504" i="44"/>
  <c r="L503" i="44"/>
  <c r="L502" i="44"/>
  <c r="L501" i="44"/>
  <c r="K500" i="44"/>
  <c r="L499" i="44"/>
  <c r="L498" i="44"/>
  <c r="L497" i="44"/>
  <c r="L496" i="44"/>
  <c r="L495" i="44"/>
  <c r="K494" i="44"/>
  <c r="L493" i="44"/>
  <c r="L492" i="44"/>
  <c r="L491" i="44"/>
  <c r="L490" i="44"/>
  <c r="K489" i="44"/>
  <c r="L488" i="44"/>
  <c r="L487" i="44"/>
  <c r="L486" i="44"/>
  <c r="L485" i="44"/>
  <c r="L484" i="44"/>
  <c r="K483" i="44"/>
  <c r="L482" i="44"/>
  <c r="L481" i="44"/>
  <c r="L480" i="44"/>
  <c r="L479" i="44"/>
  <c r="L478" i="44"/>
  <c r="K477" i="44"/>
  <c r="L476" i="44"/>
  <c r="L475" i="44"/>
  <c r="L474" i="44"/>
  <c r="K473" i="44"/>
  <c r="L472" i="44"/>
  <c r="L471" i="44"/>
  <c r="L470" i="44"/>
  <c r="L469" i="44"/>
  <c r="K468" i="44"/>
  <c r="K510" i="44" s="1"/>
  <c r="L467" i="44"/>
  <c r="L466" i="44"/>
  <c r="L465" i="44"/>
  <c r="L464" i="44"/>
  <c r="K463" i="44"/>
  <c r="L462" i="44"/>
  <c r="L461" i="44"/>
  <c r="L460" i="44"/>
  <c r="L459" i="44"/>
  <c r="K458" i="44"/>
  <c r="L457" i="44"/>
  <c r="L456" i="44"/>
  <c r="L510" i="44" s="1"/>
  <c r="L455" i="44"/>
  <c r="L454" i="44"/>
  <c r="K453" i="44"/>
  <c r="L435" i="44"/>
  <c r="L434" i="44"/>
  <c r="L433" i="44"/>
  <c r="L432" i="44"/>
  <c r="K431" i="44"/>
  <c r="L430" i="44"/>
  <c r="L429" i="44"/>
  <c r="L428" i="44"/>
  <c r="L427" i="44"/>
  <c r="K426" i="44"/>
  <c r="L425" i="44"/>
  <c r="L424" i="44"/>
  <c r="L423" i="44"/>
  <c r="L422" i="44"/>
  <c r="K421" i="44"/>
  <c r="L420" i="44"/>
  <c r="L419" i="44"/>
  <c r="L418" i="44"/>
  <c r="L417" i="44"/>
  <c r="K416" i="44"/>
  <c r="L413" i="44"/>
  <c r="L412" i="44"/>
  <c r="K411" i="44"/>
  <c r="L409" i="44"/>
  <c r="L408" i="44"/>
  <c r="L407" i="44"/>
  <c r="L406" i="44"/>
  <c r="L405" i="44"/>
  <c r="K404" i="44"/>
  <c r="L403" i="44"/>
  <c r="L402" i="44"/>
  <c r="L401" i="44"/>
  <c r="L400" i="44"/>
  <c r="L399" i="44"/>
  <c r="K398" i="44"/>
  <c r="L396" i="44"/>
  <c r="L395" i="44"/>
  <c r="L394" i="44"/>
  <c r="L393" i="44"/>
  <c r="L392" i="44"/>
  <c r="K391" i="44"/>
  <c r="L390" i="44"/>
  <c r="L389" i="44"/>
  <c r="L438" i="44" s="1"/>
  <c r="L388" i="44"/>
  <c r="L387" i="44"/>
  <c r="L386" i="44"/>
  <c r="K385" i="44"/>
  <c r="K438" i="44" s="1"/>
  <c r="L383" i="44"/>
  <c r="L382" i="44"/>
  <c r="L381" i="44"/>
  <c r="L364" i="44"/>
  <c r="L363" i="44"/>
  <c r="L362" i="44"/>
  <c r="K361" i="44"/>
  <c r="L360" i="44"/>
  <c r="L359" i="44"/>
  <c r="L358" i="44"/>
  <c r="L357" i="44"/>
  <c r="L356" i="44"/>
  <c r="L355" i="44"/>
  <c r="L354" i="44"/>
  <c r="L353" i="44"/>
  <c r="K352" i="44"/>
  <c r="L351" i="44"/>
  <c r="L350" i="44"/>
  <c r="L349" i="44"/>
  <c r="L348" i="44"/>
  <c r="K347" i="44"/>
  <c r="L346" i="44"/>
  <c r="L345" i="44"/>
  <c r="L344" i="44"/>
  <c r="L343" i="44"/>
  <c r="K342" i="44"/>
  <c r="L341" i="44"/>
  <c r="L340" i="44"/>
  <c r="L339" i="44"/>
  <c r="L338" i="44"/>
  <c r="L337" i="44"/>
  <c r="L336" i="44"/>
  <c r="L335" i="44"/>
  <c r="L334" i="44"/>
  <c r="L333" i="44"/>
  <c r="L332" i="44"/>
  <c r="L331" i="44"/>
  <c r="L330" i="44"/>
  <c r="K329" i="44"/>
  <c r="L328" i="44"/>
  <c r="L327" i="44"/>
  <c r="K326" i="44"/>
  <c r="L324" i="44"/>
  <c r="L323" i="44"/>
  <c r="L322" i="44"/>
  <c r="L321" i="44"/>
  <c r="L320" i="44"/>
  <c r="L319" i="44"/>
  <c r="L318" i="44"/>
  <c r="K317" i="44"/>
  <c r="L316" i="44"/>
  <c r="L315" i="44"/>
  <c r="L314" i="44"/>
  <c r="L313" i="44"/>
  <c r="L366" i="44" s="1"/>
  <c r="L312" i="44"/>
  <c r="L311" i="44"/>
  <c r="L310" i="44"/>
  <c r="K309" i="44"/>
  <c r="K366" i="44" s="1"/>
  <c r="L293" i="44"/>
  <c r="L292" i="44"/>
  <c r="L291" i="44"/>
  <c r="L290" i="44"/>
  <c r="L289" i="44"/>
  <c r="L288" i="44"/>
  <c r="L287" i="44"/>
  <c r="L286" i="44"/>
  <c r="K285" i="44"/>
  <c r="L284" i="44"/>
  <c r="L283" i="44"/>
  <c r="L282" i="44"/>
  <c r="L281" i="44"/>
  <c r="L280" i="44"/>
  <c r="L279" i="44"/>
  <c r="L278" i="44"/>
  <c r="K277" i="44"/>
  <c r="L276" i="44"/>
  <c r="L275" i="44"/>
  <c r="L274" i="44"/>
  <c r="L273" i="44"/>
  <c r="L272" i="44"/>
  <c r="L271" i="44"/>
  <c r="L270" i="44"/>
  <c r="L269" i="44"/>
  <c r="L268" i="44"/>
  <c r="L267" i="44"/>
  <c r="L266" i="44"/>
  <c r="K265" i="44"/>
  <c r="L263" i="44"/>
  <c r="L262" i="44"/>
  <c r="L261" i="44"/>
  <c r="L260" i="44"/>
  <c r="L259" i="44"/>
  <c r="L258" i="44"/>
  <c r="L257" i="44"/>
  <c r="L256" i="44"/>
  <c r="L255" i="44"/>
  <c r="L254" i="44"/>
  <c r="L253" i="44"/>
  <c r="K252" i="44"/>
  <c r="L250" i="44"/>
  <c r="L249" i="44"/>
  <c r="L248" i="44"/>
  <c r="L247" i="44"/>
  <c r="L246" i="44"/>
  <c r="L245" i="44"/>
  <c r="L244" i="44"/>
  <c r="L243" i="44"/>
  <c r="L242" i="44"/>
  <c r="L241" i="44"/>
  <c r="L240" i="44"/>
  <c r="L294" i="44" s="1"/>
  <c r="K239" i="44"/>
  <c r="K294" i="44" s="1"/>
  <c r="L215" i="44"/>
  <c r="L214" i="44"/>
  <c r="L213" i="44"/>
  <c r="L212" i="44"/>
  <c r="L211" i="44"/>
  <c r="L210" i="44"/>
  <c r="L209" i="44"/>
  <c r="L207" i="44"/>
  <c r="L206" i="44"/>
  <c r="L205" i="44"/>
  <c r="L204" i="44"/>
  <c r="L203" i="44"/>
  <c r="L202" i="44"/>
  <c r="L201" i="44"/>
  <c r="L200" i="44"/>
  <c r="L198" i="44"/>
  <c r="L196" i="44"/>
  <c r="H194" i="44"/>
  <c r="L194" i="44" s="1"/>
  <c r="L193" i="44"/>
  <c r="L192" i="44"/>
  <c r="L191" i="44"/>
  <c r="L190" i="44"/>
  <c r="L189" i="44"/>
  <c r="L188" i="44"/>
  <c r="L187" i="44"/>
  <c r="L186" i="44"/>
  <c r="L185" i="44"/>
  <c r="L184" i="44"/>
  <c r="L183" i="44"/>
  <c r="L182" i="44"/>
  <c r="L222" i="44" s="1"/>
  <c r="L181" i="44"/>
  <c r="L180" i="44"/>
  <c r="L176" i="44"/>
  <c r="K172" i="44"/>
  <c r="K169" i="44"/>
  <c r="K167" i="44"/>
  <c r="K222" i="44" s="1"/>
  <c r="K147" i="44"/>
  <c r="L141" i="44"/>
  <c r="L136" i="44"/>
  <c r="L131" i="44"/>
  <c r="L128" i="44"/>
  <c r="L126" i="44"/>
  <c r="L125" i="44"/>
  <c r="L124" i="44"/>
  <c r="L123" i="44"/>
  <c r="L122" i="44"/>
  <c r="L121" i="44"/>
  <c r="L120" i="44"/>
  <c r="L119" i="44"/>
  <c r="L118" i="44"/>
  <c r="L116" i="44"/>
  <c r="L115" i="44"/>
  <c r="L114" i="44"/>
  <c r="L113" i="44"/>
  <c r="L109" i="44"/>
  <c r="L107" i="44"/>
  <c r="L105" i="44"/>
  <c r="L103" i="44"/>
  <c r="L101" i="44"/>
  <c r="L150" i="44" s="1"/>
  <c r="K98" i="44"/>
  <c r="K150" i="44" s="1"/>
  <c r="K96" i="44"/>
  <c r="K94" i="44"/>
  <c r="K93" i="44"/>
  <c r="K75" i="44"/>
  <c r="K74" i="44"/>
  <c r="K73" i="44"/>
  <c r="K72" i="44"/>
  <c r="K70" i="44"/>
  <c r="K69" i="44"/>
  <c r="K67" i="44"/>
  <c r="K66" i="44"/>
  <c r="K65" i="44"/>
  <c r="K64" i="44"/>
  <c r="K63" i="44"/>
  <c r="K62" i="44"/>
  <c r="K60" i="44"/>
  <c r="K59" i="44"/>
  <c r="K58" i="44"/>
  <c r="K57" i="44"/>
  <c r="K56" i="44"/>
  <c r="K55" i="44"/>
  <c r="L54" i="44"/>
  <c r="K53" i="44"/>
  <c r="K52" i="44"/>
  <c r="K51" i="44"/>
  <c r="K49" i="44"/>
  <c r="K47" i="44"/>
  <c r="K46" i="44"/>
  <c r="K45" i="44"/>
  <c r="K44" i="44"/>
  <c r="K43" i="44"/>
  <c r="K42" i="44"/>
  <c r="K41" i="44"/>
  <c r="K40" i="44"/>
  <c r="K39" i="44"/>
  <c r="K38" i="44"/>
  <c r="K36" i="44"/>
  <c r="K35" i="44"/>
  <c r="K34" i="44"/>
  <c r="K33" i="44"/>
  <c r="K32" i="44"/>
  <c r="K31" i="44"/>
  <c r="K30" i="44"/>
  <c r="K29" i="44"/>
  <c r="K28" i="44"/>
  <c r="K27" i="44"/>
  <c r="K26" i="44"/>
  <c r="K25" i="44"/>
  <c r="K24" i="44"/>
  <c r="K23" i="44"/>
  <c r="K22" i="44"/>
  <c r="K21" i="44"/>
  <c r="K78" i="44" s="1"/>
  <c r="L20" i="44"/>
  <c r="L78" i="44" s="1"/>
  <c r="L1086" i="44" l="1"/>
  <c r="K1086" i="44"/>
</calcChain>
</file>

<file path=xl/sharedStrings.xml><?xml version="1.0" encoding="utf-8"?>
<sst xmlns="http://schemas.openxmlformats.org/spreadsheetml/2006/main" count="2242" uniqueCount="526">
  <si>
    <t>No</t>
  </si>
  <si>
    <t>Item</t>
  </si>
  <si>
    <t>Volume</t>
  </si>
  <si>
    <t>Unit Price</t>
  </si>
  <si>
    <t>Client</t>
  </si>
  <si>
    <t>Contact</t>
  </si>
  <si>
    <t>Note :</t>
  </si>
  <si>
    <t>Cara pembayaran :</t>
  </si>
  <si>
    <t xml:space="preserve">Total   </t>
  </si>
  <si>
    <t>Say   :</t>
  </si>
  <si>
    <t>PELAYANAN UMUM</t>
  </si>
  <si>
    <t>PERLENGKAPAN DECK</t>
  </si>
  <si>
    <t>Service</t>
  </si>
  <si>
    <t>Material</t>
  </si>
  <si>
    <t>DETAIL OF DOCKING AND REPAIR COST</t>
  </si>
  <si>
    <t>Rincian Biaya Docking Dan Perbaikan</t>
  </si>
  <si>
    <t>: All</t>
  </si>
  <si>
    <t>PT. Meranti Nusa Bahari</t>
  </si>
  <si>
    <t>Project Information</t>
  </si>
  <si>
    <t>Name</t>
  </si>
  <si>
    <t>Length</t>
  </si>
  <si>
    <t>Breadth</t>
  </si>
  <si>
    <t>Depth</t>
  </si>
  <si>
    <t>Klass</t>
  </si>
  <si>
    <t>Type</t>
  </si>
  <si>
    <t>Aditya Agung H.</t>
  </si>
  <si>
    <t>General Manager</t>
  </si>
  <si>
    <t>Balikpapan, 04 Februari 2025</t>
  </si>
  <si>
    <t>: 17/FIN/MKT-MNB/III/2025</t>
  </si>
  <si>
    <t>:  27.36 Meter</t>
  </si>
  <si>
    <t>:     8.00 Meter</t>
  </si>
  <si>
    <t>:     3.70 Meter</t>
  </si>
  <si>
    <t>:  RINA</t>
  </si>
  <si>
    <t>I</t>
  </si>
  <si>
    <t>a</t>
  </si>
  <si>
    <t>Docking-Undocking</t>
  </si>
  <si>
    <t>Ls</t>
  </si>
  <si>
    <t>b</t>
  </si>
  <si>
    <t>Asistensi Tali Temali Dari Darat dan Persiapan Ganjal</t>
  </si>
  <si>
    <t>c</t>
  </si>
  <si>
    <t>Asistensi Dengan Mooring Boat</t>
  </si>
  <si>
    <t>d</t>
  </si>
  <si>
    <t>Hari</t>
  </si>
  <si>
    <t>e</t>
  </si>
  <si>
    <t>f</t>
  </si>
  <si>
    <t>Penyambungan Listrik Darat Ke Kapal</t>
  </si>
  <si>
    <t>g</t>
  </si>
  <si>
    <t>Suplai Listrik  16A 380V selama diatas dock dan sandar</t>
  </si>
  <si>
    <t>h</t>
  </si>
  <si>
    <t xml:space="preserve">Disediakan Fasilitas MCK untuk ABK </t>
  </si>
  <si>
    <t>i</t>
  </si>
  <si>
    <t>Disediakan Tempat Penampungan Sampah</t>
  </si>
  <si>
    <t>j</t>
  </si>
  <si>
    <t>Disediakan Tempat Penyimpanan Material Untuk Kapal</t>
  </si>
  <si>
    <t>k</t>
  </si>
  <si>
    <t>Penggunaan Alat Angkat ( &lt; 1.5 Ton )</t>
  </si>
  <si>
    <t>l</t>
  </si>
  <si>
    <t>Suplai Air Tawar</t>
  </si>
  <si>
    <t>Ton</t>
  </si>
  <si>
    <t>m</t>
  </si>
  <si>
    <t>n</t>
  </si>
  <si>
    <t>Security guard ( 2 Shift)</t>
  </si>
  <si>
    <t>hari</t>
  </si>
  <si>
    <t>o</t>
  </si>
  <si>
    <t>Safety watchman during drydock</t>
  </si>
  <si>
    <t>p</t>
  </si>
  <si>
    <t>Penyediaan APAR selama diatas dock</t>
  </si>
  <si>
    <t>II</t>
  </si>
  <si>
    <t>PERAWATAN LAMBUNG (Material Suplai Owner)</t>
  </si>
  <si>
    <t>Sekrap Bagian Bawah Air</t>
  </si>
  <si>
    <t>m2</t>
  </si>
  <si>
    <t>Sandblasting Bottom Sampai Waterline (S.A 2.0)</t>
  </si>
  <si>
    <t>Sandblasting Top Side (S.A 2.0)</t>
  </si>
  <si>
    <t>Sandblasting Bulwark luar (S.A 2.0)</t>
  </si>
  <si>
    <t>Cuci Air Tawar</t>
  </si>
  <si>
    <t>Pengecetan Bottom sampai waterline (1x Primer, 1x Sealer dan 1x Anti Fouling)</t>
  </si>
  <si>
    <t>Pengecetan Top Side (1x Primer dan 1x Top Coat)</t>
  </si>
  <si>
    <t>Pengecetan Bulwark Luar dan dalam (1x Primer dan 1x Top Coat)</t>
  </si>
  <si>
    <t>Pengecatan Draft Mark, Nama Kapal</t>
  </si>
  <si>
    <t>Pemasangan Zinc Anode</t>
  </si>
  <si>
    <t>pcs</t>
  </si>
  <si>
    <t>III</t>
  </si>
  <si>
    <t>SEACHEST AND VALVE</t>
  </si>
  <si>
    <t>Buka dan Tutup Kembali Saringan Luar Dan Pembersihan Kotak Seachest</t>
  </si>
  <si>
    <t>bh</t>
  </si>
  <si>
    <t>-</t>
  </si>
  <si>
    <t>IV</t>
  </si>
  <si>
    <t>SISTEM PENGGERAK KAPAL</t>
  </si>
  <si>
    <t>Pengukuran Clearance Shaft</t>
  </si>
  <si>
    <t>Titik</t>
  </si>
  <si>
    <t>Buka dan pasang kembali penahan rymers packing</t>
  </si>
  <si>
    <t>Buka &amp; Pasang Propeller</t>
  </si>
  <si>
    <t>set</t>
  </si>
  <si>
    <t>Repair Propeller  (Estimasi)(Damage area, &lt; 0,4R)</t>
  </si>
  <si>
    <t>Baling - baling dibersihkan dan dipolish kembali</t>
  </si>
  <si>
    <t>Balancing Propeller</t>
  </si>
  <si>
    <t>Buka dan pasang shaft propeller</t>
  </si>
  <si>
    <t>Shaft dibersihkan dan dipolish kembali</t>
  </si>
  <si>
    <t>Buka dan pasang kembali flangedisc coupling gearbox</t>
  </si>
  <si>
    <t>Dial check shaft propeller dan dibuatkan record</t>
  </si>
  <si>
    <t>q</t>
  </si>
  <si>
    <t>r</t>
  </si>
  <si>
    <t>s</t>
  </si>
  <si>
    <t>t</t>
  </si>
  <si>
    <t>u</t>
  </si>
  <si>
    <t>v</t>
  </si>
  <si>
    <t>w</t>
  </si>
  <si>
    <t>x</t>
  </si>
  <si>
    <t>V</t>
  </si>
  <si>
    <t>SISTEM KEMUDI</t>
  </si>
  <si>
    <t>Pengukuran Clearance</t>
  </si>
  <si>
    <t>Bongkar dan Penyemenan Kembali Flens Kemudi</t>
  </si>
  <si>
    <t>Buka dan pasang kembali daun kemudi</t>
  </si>
  <si>
    <t>Buka dan pasang kembali kuadran rudder stock</t>
  </si>
  <si>
    <t>Buka dan pasang kembali rudder stock</t>
  </si>
  <si>
    <t>Buka dan pasang kembali Jumping Colar</t>
  </si>
  <si>
    <t>VI</t>
  </si>
  <si>
    <t>Kg</t>
  </si>
  <si>
    <t>Meter</t>
  </si>
  <si>
    <t>VII</t>
  </si>
  <si>
    <t xml:space="preserve">PERLENGKAPAN LAMBUNG </t>
  </si>
  <si>
    <t>VIII</t>
  </si>
  <si>
    <t>JANGKAR DAN PERLENGKAPANNYA (cat rantai dan jangkar disupplai owner)</t>
  </si>
  <si>
    <t>Jangkar dan rantainya  diturunkan dan Dan dinaikkan Kembali (diatur ulang)</t>
  </si>
  <si>
    <t>segel</t>
  </si>
  <si>
    <t>Sandblasting Rantai Jangkar (PS &amp; SB)</t>
  </si>
  <si>
    <t>Segel</t>
  </si>
  <si>
    <t>Sandblasting Jangkar (PS &amp; SB)</t>
  </si>
  <si>
    <t>Pengecatan Rantai Jangkar (PS &amp; SB)</t>
  </si>
  <si>
    <t>Pengecetan jangkar (PS &amp; SB)</t>
  </si>
  <si>
    <t>Pengukuran rantai jangkar</t>
  </si>
  <si>
    <t>IX</t>
  </si>
  <si>
    <t>LAPORAN PENGEDOKAN</t>
  </si>
  <si>
    <t>Dibuatkan laporan pengedokan dan gambar bukaan kulit sesuai posisi replating</t>
  </si>
  <si>
    <t>X</t>
  </si>
  <si>
    <t>KAMAR MESIN</t>
  </si>
  <si>
    <t>Cleaning Got Kamar Mesin</t>
  </si>
  <si>
    <t>Perpipaan di atas deck</t>
  </si>
  <si>
    <t>joint</t>
  </si>
  <si>
    <t>mm</t>
  </si>
  <si>
    <t>Bolder</t>
  </si>
  <si>
    <t>Single Bolder NO.1 PS</t>
  </si>
  <si>
    <t>Single Bolder NO.2 SB</t>
  </si>
  <si>
    <t>Double Bolder FP</t>
  </si>
  <si>
    <t>Bulwark</t>
  </si>
  <si>
    <t>Bulwark PS</t>
  </si>
  <si>
    <t>Bulwark SB</t>
  </si>
  <si>
    <t>Fire Box</t>
  </si>
  <si>
    <t>Firebox PS</t>
  </si>
  <si>
    <t>Manhole</t>
  </si>
  <si>
    <t>Towing hook</t>
  </si>
  <si>
    <t>Service pelancaran quick release</t>
  </si>
  <si>
    <t>Pcs</t>
  </si>
  <si>
    <t>XIII</t>
  </si>
  <si>
    <t>CARPENTRY</t>
  </si>
  <si>
    <t>Accomodation Ceiling</t>
  </si>
  <si>
    <t>JR Rev. 00 Actualization (23/10/24)</t>
  </si>
  <si>
    <t>Perawatan Seachest Valve 6"</t>
  </si>
  <si>
    <t>Ganti Rymers packing</t>
  </si>
  <si>
    <t>PERLENGKAPAN LAMBUNG</t>
  </si>
  <si>
    <t>Rekondisi dudukan pusher</t>
  </si>
  <si>
    <t>Rekondisi housing rubber fender AP PS</t>
  </si>
  <si>
    <t>Rekondisi housing rubber fender AP SB</t>
  </si>
  <si>
    <t>Rekondisi housing rubber fender FP PS</t>
  </si>
  <si>
    <t>Rekondisi housing rubber fender FP SB</t>
  </si>
  <si>
    <t>Rekondisi kupingan dapra</t>
  </si>
  <si>
    <t>Set</t>
  </si>
  <si>
    <t>IV.1</t>
  </si>
  <si>
    <t>Rekondisi Pipa Cooler ME PS</t>
  </si>
  <si>
    <t>Pipa S/C to pump</t>
  </si>
  <si>
    <t>IV.2</t>
  </si>
  <si>
    <t>Rekondisi Pipa Cooler ME SB</t>
  </si>
  <si>
    <t>IV.3</t>
  </si>
  <si>
    <t>Rekondisi Pipa Cooler AE PS</t>
  </si>
  <si>
    <t>Pipa pump to cooler</t>
  </si>
  <si>
    <t>Flange custom | Plate (A) thickness 12 mm | 120 X 100 mm</t>
  </si>
  <si>
    <t>Pipa cooler to OVB</t>
  </si>
  <si>
    <t>IV.4</t>
  </si>
  <si>
    <t>Rekondisi Pipa Cooler AE SB</t>
  </si>
  <si>
    <t>Pipa paralel cooler AE</t>
  </si>
  <si>
    <t>IV.5</t>
  </si>
  <si>
    <t>Rekondisi Pipa Cooler Gearbox PS</t>
  </si>
  <si>
    <t>Pipa pump to gearbox</t>
  </si>
  <si>
    <t>Pipa gearbox to heat exchanger</t>
  </si>
  <si>
    <t>IV.6</t>
  </si>
  <si>
    <t>Rekondisi Pipa Cooler Gearbox SB</t>
  </si>
  <si>
    <t>V.1</t>
  </si>
  <si>
    <t>Rekondisi pipa AVH no 1 PS</t>
  </si>
  <si>
    <t>Rekondisi pipa AVH no 2 PS</t>
  </si>
  <si>
    <t>Rekondisi pipa AVH no 3 PS</t>
  </si>
  <si>
    <t>Rekondisi pipa AVH no 4 PS</t>
  </si>
  <si>
    <t>Rekondisi pipa AVH no 5 PS</t>
  </si>
  <si>
    <t>Rekondisi pipa AVH no 10 PS</t>
  </si>
  <si>
    <t>Rekondisi pipa AVH no 11 PS</t>
  </si>
  <si>
    <t>V.2</t>
  </si>
  <si>
    <t>Acess</t>
  </si>
  <si>
    <t>Rekondisi tangga forcastle to navigation deck</t>
  </si>
  <si>
    <t>V.3</t>
  </si>
  <si>
    <t>Towing &amp; mooring equipment</t>
  </si>
  <si>
    <t>Rekondisi pipa safety towing SB</t>
  </si>
  <si>
    <t>V.4</t>
  </si>
  <si>
    <t>Perlengkapan deck lain</t>
  </si>
  <si>
    <t>Rekondisi dudukan lampu navigasi PS</t>
  </si>
  <si>
    <t>Bongkar pasang lampu navigasi</t>
  </si>
  <si>
    <t>Rekondisi cover hawse pipe PS</t>
  </si>
  <si>
    <t>Rekondisi cover hawse pipe SB</t>
  </si>
  <si>
    <t>JR Rev. 00 Material revision based on survey (23/10/24)</t>
  </si>
  <si>
    <t>Service AVH Lube oil SB, AVH uk. 2 1/2" 5K, FC</t>
  </si>
  <si>
    <t>JR Rev. 00 Initial Survey Join with OS (23/10/24)</t>
  </si>
  <si>
    <t>SEACHSET DAN VALVE</t>
  </si>
  <si>
    <t>Service valve OVB AE PS (Globe valve 2" 5K)</t>
  </si>
  <si>
    <t>Service valve OVB AE SB (Globe valve 2" 5K)</t>
  </si>
  <si>
    <t>Service valve S/C ME PS (Globe valve 3" 5K)</t>
  </si>
  <si>
    <t>Service valve S/C ME SB (Globe valve 3" 5K)</t>
  </si>
  <si>
    <t>Service valve S/C AE PS (Globe valve 1 1/2" 5K)</t>
  </si>
  <si>
    <t>Service valve S/C AE SB (Globe valve 1 1/2" 5K)</t>
  </si>
  <si>
    <t>Service valve bunker F/O (Gate valve 3" 5K)</t>
  </si>
  <si>
    <t>REPLATTING</t>
  </si>
  <si>
    <t>II.1</t>
  </si>
  <si>
    <t>Corner</t>
  </si>
  <si>
    <t>Corner AP PS</t>
  </si>
  <si>
    <t>Corner AP SB</t>
  </si>
  <si>
    <t>Fabrikasi ring pusher</t>
  </si>
  <si>
    <t>Rekondisi anchor pocket PS</t>
  </si>
  <si>
    <t>Rekondisi anchor pocket SB</t>
  </si>
  <si>
    <t>Rekondisi pipa pompa tambur</t>
  </si>
  <si>
    <t>Rekondisi pipa filling F/W PS</t>
  </si>
  <si>
    <t>Rekondisi small hatch steering room</t>
  </si>
  <si>
    <t>Rekondisi small hatch engine room</t>
  </si>
  <si>
    <t>JR Rev. 01 Additional Work Req by OS &amp; Additional by Engineer (21/01/25)</t>
  </si>
  <si>
    <t>Service valve OVB ME PS (Globe valve 3" 5K)</t>
  </si>
  <si>
    <t>Service valve OVB ME SB (Globe valve 3" 5K)</t>
  </si>
  <si>
    <t>Rekondisi pipa AVH no 1 SB</t>
  </si>
  <si>
    <t>Rekondisi pipa AVH no 2 SB</t>
  </si>
  <si>
    <t>Rekondisi pipa gooseneck no 2 PS</t>
  </si>
  <si>
    <t>Rekondisi pipa manifold hydrant no 1</t>
  </si>
  <si>
    <t>Rekondisi pipa manifold hydrant no 2</t>
  </si>
  <si>
    <t>JR Rev. 02 Additional by Engineer (23/01/25)</t>
  </si>
  <si>
    <t>I.1</t>
  </si>
  <si>
    <t>Deckhouse</t>
  </si>
  <si>
    <t>Dinding deckhouse PS</t>
  </si>
  <si>
    <t>Internal</t>
  </si>
  <si>
    <t>Corner PS</t>
  </si>
  <si>
    <t>JR Rev. 05 Additional by OS (12/03/25)</t>
  </si>
  <si>
    <t>Rekondisi lantai kamar mesin</t>
  </si>
  <si>
    <t>SISTEM PENGGERAK</t>
  </si>
  <si>
    <t>Alignment propulsion system PS &amp; SB</t>
  </si>
  <si>
    <t xml:space="preserve">Grand Total   </t>
  </si>
  <si>
    <t>Sewa Dok Selama Perbaikan (12 Jan-4 maret 2025)</t>
  </si>
  <si>
    <t>Sewa Tempat Sandar (after repair) (5 Maret - 22 April)</t>
  </si>
  <si>
    <t>Disediakan Tempat Penampungan Limbah B3 ≤ 2 Ton (include bea Treatment)</t>
  </si>
  <si>
    <t>Bongkar dan Pasang kembali ban dapra (acsess untuk blasting bulwark luar), @94 pcs</t>
  </si>
  <si>
    <t>Bongkar dan pasang kembali ban pusher (acsess untuk blasting), @1 pcs</t>
  </si>
  <si>
    <t>X.1</t>
  </si>
  <si>
    <t>Lengan bolder | Roundbar size. 2" | 630 mm</t>
  </si>
  <si>
    <t>Single Bolder NO.2 PS</t>
  </si>
  <si>
    <t>Lengan bolder | Roundbar size. 2" | 640 mm</t>
  </si>
  <si>
    <t>Single Bolder NO.1 SB</t>
  </si>
  <si>
    <t>Lengan bolder | Roundbar size. 2" | 1500 mm</t>
  </si>
  <si>
    <t>X.2</t>
  </si>
  <si>
    <t>ST  26/27-end, Top | Plate (A) thickness 10 mm | 1140 X 130 mm</t>
  </si>
  <si>
    <t>ST  22/23-25/26, Face | Plate (A) thickness 10 mm | 2200 X 80 mm</t>
  </si>
  <si>
    <t>ST  10/11-17/18, Face | Plate (A) thickness 10 mm | 8290 X 80 mm</t>
  </si>
  <si>
    <t>ST  10/11-17/18, Top | Plate (A) thickness 10 mm | 1570 X 140 mm</t>
  </si>
  <si>
    <t>ST 2-3 | Plate (A) thickness 10 mm | 550 X 230 mm</t>
  </si>
  <si>
    <t>ST 2-3, Top | Plate (A) thickness 10 mm | 1160 X 130 mm</t>
  </si>
  <si>
    <t>ST 2-3, Face | Plate (A) thickness 10 mm | 1160 X 80 mm</t>
  </si>
  <si>
    <t>ST 7/8-10/11, Top | Plate (A) thickness 10 mm | 2460 X 130 mm</t>
  </si>
  <si>
    <t>ST 7/8-10/11, Face | Plate (A) thickness 10 mm | 2750 X 80 mm</t>
  </si>
  <si>
    <t>ST 12/13-17/18, Face | Plate (A) thickness 10 mm | 5820 X 80 mm</t>
  </si>
  <si>
    <t>Corner bulwark plate | Plate (A) thickness 8 mm | 2110 X 1000 mm</t>
  </si>
  <si>
    <t>Face bulwark plate | Plate (A) thickness 8 mm | 730 X 160 mm</t>
  </si>
  <si>
    <t>Corner bulwark stay | Angle bar unequal size. 400 x 100 x 10 mm | 960 mm</t>
  </si>
  <si>
    <t>X.3</t>
  </si>
  <si>
    <t>Bracket | Flat bar size. 1 1/2" x 8 mm | 130 mm @ 3sht</t>
  </si>
  <si>
    <t>X.4</t>
  </si>
  <si>
    <t>Manhole FW tank PS</t>
  </si>
  <si>
    <t>Cover | Plate (A) thickness 10 mm | 570 X 760 mm</t>
  </si>
  <si>
    <t>Handle | Roundbar size. 3/4" | 350 mm</t>
  </si>
  <si>
    <t>Manhole FW tank SB</t>
  </si>
  <si>
    <t>Manhole FP tank</t>
  </si>
  <si>
    <t>Handle | Halfed chain galvanized size. 5/8" @2 Pcs</t>
  </si>
  <si>
    <t xml:space="preserve"> | B/N SS size. 3/4" X 2" @24 pcs</t>
  </si>
  <si>
    <t>Perawatan Saringan Air Dalam PS</t>
  </si>
  <si>
    <t xml:space="preserve"> | Plate (Perforated SS) thickness 3 mm | 260 X 400 mm</t>
  </si>
  <si>
    <t>Perawatan Saringan Air Dalam SB</t>
  </si>
  <si>
    <t xml:space="preserve"> | Plate (Perforated SS) thickness 3 mm | 350 X 400 mm</t>
  </si>
  <si>
    <t xml:space="preserve"> | Reinforced rubber packing size. 3mm | 300 X 200 mm @ 1 pcs</t>
  </si>
  <si>
    <t xml:space="preserve"> | Rames packing white size. 3/8" | 1000 mm @ 1 pcs</t>
  </si>
  <si>
    <t xml:space="preserve"> | Rames packing white size. 1" | 5000 mm @ 1 pcs</t>
  </si>
  <si>
    <t>Atas | Plate (A) thickness 12 mm | 750 X 150 mm</t>
  </si>
  <si>
    <t>Bawah | Plate (A) thickness 12 mm | 750 X 750 mm</t>
  </si>
  <si>
    <t>Kiri | Plate (A) thickness 12 mm | 700 X 600 mm</t>
  </si>
  <si>
    <t>Kanan | Plate (A) thickness 12 mm | 700 X 450 mm</t>
  </si>
  <si>
    <t>Kiri-Bawah | Plate (A) thickness 12 mm | 700 X 800 mm</t>
  </si>
  <si>
    <t>Kiri-Atas | Plate (A) thickness 12 mm | 750 X 900 mm</t>
  </si>
  <si>
    <t>Kanan-Bawah | Plate (A) thickness 12 mm | 700 X 600 mm</t>
  </si>
  <si>
    <t>Kanan-Atas | Plate (A) thickness 12 mm | 650 X 650 mm</t>
  </si>
  <si>
    <t>Depan | Plate (A) thickness 12 mm | 1750 X 1530 mm</t>
  </si>
  <si>
    <t>Vertical mainframe | Plate (A) thickness 12 mm | 1050 X 1750 mm</t>
  </si>
  <si>
    <t>Horizontal mainframe | Plate (A) thickness 12 mm | 650 X 820 mm</t>
  </si>
  <si>
    <t>Horizontal mainframe | Plate (A) thickness 12 mm | 650 X 850 mm</t>
  </si>
  <si>
    <t>Slot weld pads | Plate (A) thickness 12 mm | 200 X 80 mm @ 4 sht</t>
  </si>
  <si>
    <t>Bracket | Plate (A) thickness 12 mm | 1530 X 700 mm</t>
  </si>
  <si>
    <t>Bracket | Plate (A) thickness 12 mm | 1460 X 200 mm @2sht</t>
  </si>
  <si>
    <t xml:space="preserve"> | Swing bolt galvanized size. 5/8" x 4" @5 pcs</t>
  </si>
  <si>
    <t>Doubling | Plate (A) thickness 25 mm | 3930 X 270 mm</t>
  </si>
  <si>
    <t>Doubling | Plate (A) thickness 25 mm | 3450 X 260 mm</t>
  </si>
  <si>
    <t>Atas | Plate (A) thickness 10 mm | 5080 X 280 mm</t>
  </si>
  <si>
    <t>Bawah | Plate (A) thickness 10 mm | 5080 X 280 mm</t>
  </si>
  <si>
    <t>End fender housing | Plate (A) thickness 10 mm | 800 X 250 mm @ 2 sht</t>
  </si>
  <si>
    <t>End fender housing | Plate (A) thickness 10 mm | 920 X 420 mm</t>
  </si>
  <si>
    <t>Bracket atas | Plate (A) thickness 12 mm | 280 X 200 mm @ 8 sht</t>
  </si>
  <si>
    <t>Bracket bawah | Plate (A) thickness 12 mm | 280 X 200 mm @ 8 sht</t>
  </si>
  <si>
    <t>Pad eye atas | Plate (A) thickness 12 mm | 90 X 90 mm @ 17 sht</t>
  </si>
  <si>
    <t>Pad eye bawah | Plate (A) thickness 12 mm | 90 X 90 mm @ 17 sht</t>
  </si>
  <si>
    <t>Atas | Plate (A) thickness 10 mm | 4200 X 280 mm</t>
  </si>
  <si>
    <t>Bawah | Plate (A) thickness 10 mm | 4200 X 280 mm</t>
  </si>
  <si>
    <t>Bracket atas | Plate (A) thickness 12 mm | 280 X 200 mm @ 7 sht</t>
  </si>
  <si>
    <t>Bracket bawah | Plate (A) thickness 12 mm | 280 X 200 mm @ 7 sht</t>
  </si>
  <si>
    <t>Pad eye | Plate (A) thickness 12 mm | 130 X 80 mm @ 46 sht</t>
  </si>
  <si>
    <t>X.5</t>
  </si>
  <si>
    <t xml:space="preserve"> | Pipe galvanized size. 3" Sch 80</t>
  </si>
  <si>
    <t xml:space="preserve"> | Pipe galvanized size. 2 1/2" Sch 80</t>
  </si>
  <si>
    <t xml:space="preserve"> | Elbow galvanized size. 3" Sch. 80</t>
  </si>
  <si>
    <t xml:space="preserve"> | Flange plate size. 3" 5K</t>
  </si>
  <si>
    <t>Flange custom | Plate (A) thickness 12 mm | 130 X 130 mm @ 2 sht</t>
  </si>
  <si>
    <t xml:space="preserve"> | Rubber hose HP size. 3"</t>
  </si>
  <si>
    <t xml:space="preserve"> | Clamp HD size. 3 1/4"</t>
  </si>
  <si>
    <t xml:space="preserve"> | Rubber packing size. 5mm | 180 X 180 mm</t>
  </si>
  <si>
    <t xml:space="preserve"> | Rubber packing size. 5mm | 130 X 130 mm</t>
  </si>
  <si>
    <t xml:space="preserve"> | B/N galvanized size. 14mm X 50mm</t>
  </si>
  <si>
    <t xml:space="preserve"> | B/N galvanized size. 12mm X 50mm</t>
  </si>
  <si>
    <t>Flange custom | Plate (A) thickness 10 mm | 130 X 130 mm @ 2 sht</t>
  </si>
  <si>
    <t xml:space="preserve"> | B/N galvanized size. 10mm X 40mm</t>
  </si>
  <si>
    <t xml:space="preserve"> | Pipe galvanized size. 2" Sch 80</t>
  </si>
  <si>
    <t xml:space="preserve"> | Pipe galvanized size. 1 1/2" Sch 80</t>
  </si>
  <si>
    <t xml:space="preserve"> | Elbow galvanized size. 2" Sch. 80</t>
  </si>
  <si>
    <t xml:space="preserve"> | Elbow galvanized size. 1 1/2" Sch. 80</t>
  </si>
  <si>
    <t xml:space="preserve"> | Flange plate size. 2" 5K</t>
  </si>
  <si>
    <t xml:space="preserve"> | Flange plate size. 1 1/2" 5K</t>
  </si>
  <si>
    <t xml:space="preserve"> | Reducer galvanized size. 2" X 1/2" Sch 80</t>
  </si>
  <si>
    <t xml:space="preserve"> | Rubber hose HP size. 2"</t>
  </si>
  <si>
    <t xml:space="preserve"> | Clamp hose size. 2 1/2"</t>
  </si>
  <si>
    <t xml:space="preserve"> | Pipe galvanized size. 1" Sch 80</t>
  </si>
  <si>
    <t>Flange custom | Plate (A) thickness 12 mm | 100 X 80 mm</t>
  </si>
  <si>
    <t xml:space="preserve"> | Clamp HD size. 2 1/4"</t>
  </si>
  <si>
    <t xml:space="preserve"> | Rubber packing size. 5mm | 100 X 80 mm</t>
  </si>
  <si>
    <t xml:space="preserve"> | Rubber packing size. 5mm | 120 X 120 mm</t>
  </si>
  <si>
    <t>Pipa cooler to cooling jacket</t>
  </si>
  <si>
    <t xml:space="preserve"> | Rubber packing size. 5mm | 100 X 120 mm</t>
  </si>
  <si>
    <t>Pipa cooling jacket to cooler</t>
  </si>
  <si>
    <t xml:space="preserve"> | Flange plate size. 1 1/2" 10K</t>
  </si>
  <si>
    <t xml:space="preserve"> | Rubber packing size. 5mm | 140 X 140 mm</t>
  </si>
  <si>
    <t xml:space="preserve"> | U-bolt size. 1 1/2"</t>
  </si>
  <si>
    <t xml:space="preserve"> | Pipe galvanized size. 1 1/4" Sch 80</t>
  </si>
  <si>
    <t>Flange custom | Plate (A) thickness 12 mm | 120 X 120 mm</t>
  </si>
  <si>
    <t>Flange custom | Plate (A) thickness 12 mm | 100 X 100 mm</t>
  </si>
  <si>
    <t xml:space="preserve"> | Rubber packing size. 5mm | 100 X 100 mm</t>
  </si>
  <si>
    <t xml:space="preserve"> | Elbow galvanized size. 1" Sch. 80</t>
  </si>
  <si>
    <t xml:space="preserve"> | Rubber hose HP size. 1 1/4"</t>
  </si>
  <si>
    <t xml:space="preserve"> | Clamp hose size. 1 3/4"</t>
  </si>
  <si>
    <t xml:space="preserve"> | Rubber hose HP size. 1 1/2"</t>
  </si>
  <si>
    <t>IV.7</t>
  </si>
  <si>
    <t>Rekondisi Pipa Lain</t>
  </si>
  <si>
    <t>Pipa hydrant</t>
  </si>
  <si>
    <t xml:space="preserve"> | Pipe seamless size. 2 1/2" Sch 40</t>
  </si>
  <si>
    <t xml:space="preserve"> | Flange plate size. 2 1/2" 5K</t>
  </si>
  <si>
    <t xml:space="preserve"> | Rubber packing size. 5mm | 155 X 155 mm</t>
  </si>
  <si>
    <t>Rekondisi pipa AVH no 6 PS</t>
  </si>
  <si>
    <t>Rekondisi pipa AVH no 7 PS</t>
  </si>
  <si>
    <t>Rekondisi pipa AVH no 8 PS</t>
  </si>
  <si>
    <t xml:space="preserve"> | Reinforced rubber packing size. 3mm | 155 X 155 mm</t>
  </si>
  <si>
    <t>Rekondisi pipa AVH no 9 PS</t>
  </si>
  <si>
    <t xml:space="preserve"> | Elbow black size. 2 1/2" Sch. 40</t>
  </si>
  <si>
    <t>Rekondisi pipa AVH no 3 SB</t>
  </si>
  <si>
    <t>Rekondisi pipa AVH no 4 SB</t>
  </si>
  <si>
    <t>Rekondisi pipa AVH no 5 SB</t>
  </si>
  <si>
    <t>Rekondisi pipa AVH no 6 SB</t>
  </si>
  <si>
    <t>Rekondisi pipa AVH no 7 SB</t>
  </si>
  <si>
    <t>Rekondisi pipa AVH no 8 SB</t>
  </si>
  <si>
    <t>Rekondisi pipa gooseneck no 1 PS</t>
  </si>
  <si>
    <t xml:space="preserve"> | Pipe seamless size. 2" Sch 40</t>
  </si>
  <si>
    <t>Rekondisi pipa gooseneck no 1 SB</t>
  </si>
  <si>
    <t>Rekondisi pipa penguapan OWS</t>
  </si>
  <si>
    <t xml:space="preserve"> | Pipe seamless size. 1 1/2" Sch 40</t>
  </si>
  <si>
    <t xml:space="preserve"> | Elbow black size. 1 1/2" Sch. 40</t>
  </si>
  <si>
    <t>Flange custom | Plate (A) thickness 12 mm | 230 X 230 mm @ 2 sht</t>
  </si>
  <si>
    <t>Spill box | Plate (A) thickness 8 mm | 410 X 310 mm</t>
  </si>
  <si>
    <t>Spill box | Plate (A) thickness 8 mm | 400 X 200 mm @ 2 sht</t>
  </si>
  <si>
    <t>Spill box | Plate (A) thickness 8 mm | 300 X 200 mm @ 2 sht</t>
  </si>
  <si>
    <t>Spill box | B/N galvanized size. 14mm X 50mm</t>
  </si>
  <si>
    <t>y</t>
  </si>
  <si>
    <t>Rekondisi pipa filling F/W SB</t>
  </si>
  <si>
    <t>z</t>
  </si>
  <si>
    <t>Rekondisi pipa pengisian F/O SB</t>
  </si>
  <si>
    <t xml:space="preserve"> | Pipe seamless size. 3" Sch 40</t>
  </si>
  <si>
    <t xml:space="preserve"> | Elbow black size. 3" Sch. 40</t>
  </si>
  <si>
    <t>Spill box | Plate (A) thickness 8 mm | 460 X 300 mm</t>
  </si>
  <si>
    <t>Spill box | Plate (A) thickness 8 mm | 460 X 200 mm @ 2 sht</t>
  </si>
  <si>
    <t>Spill box | Pipe seamless size. 2" Sch 40</t>
  </si>
  <si>
    <t>aa</t>
  </si>
  <si>
    <t>Rekondisi pipa pengisian L/O SB</t>
  </si>
  <si>
    <t xml:space="preserve"> | Long nipple size. 1 1/2" Sch 40</t>
  </si>
  <si>
    <t xml:space="preserve"> | End cap galvanized size. 1 1/2"</t>
  </si>
  <si>
    <t>ab</t>
  </si>
  <si>
    <t xml:space="preserve"> | Rubber packing size. 5mm | 120 X 100 mm</t>
  </si>
  <si>
    <t>ac</t>
  </si>
  <si>
    <t xml:space="preserve"> | Pipe seamless size. 1" Sch 80</t>
  </si>
  <si>
    <t xml:space="preserve"> | Elbow black size. 1" Sch. 80</t>
  </si>
  <si>
    <t xml:space="preserve"> | Flange plate size. 1" 5K</t>
  </si>
  <si>
    <t xml:space="preserve"> | Rubber packing size. 5mm | 95 X 95 mm</t>
  </si>
  <si>
    <t xml:space="preserve"> | B/N galvanized size. 10mm X 50mm</t>
  </si>
  <si>
    <t xml:space="preserve"> | U-bolt size. 1"</t>
  </si>
  <si>
    <t>ad</t>
  </si>
  <si>
    <t>Support | Angle bar size. 60 x 60 x 6 mm | 270 mm</t>
  </si>
  <si>
    <t>Web | Plate (A) thickness 10 mm | 400 X 150 mm @ 2 sht</t>
  </si>
  <si>
    <t>Face | Plate (A) thickness 10 mm | 400 X 30 mm @ 2 sht</t>
  </si>
  <si>
    <t xml:space="preserve"> | Pipe seamless size. 6" Sch 80</t>
  </si>
  <si>
    <t>Bongkar pasang tanduk</t>
  </si>
  <si>
    <t>Sisi | Plate (A) thickness 10 mm | 850 X 630 mm</t>
  </si>
  <si>
    <t>Sisi | Plate (A) thickness 10 mm | 290 X 630 mm</t>
  </si>
  <si>
    <t>Sisi | Plate (A) thickness 10 mm | 120 X 560 mm</t>
  </si>
  <si>
    <t>Alas | Plate (A) thickness 10 mm | 850 X 290 mm</t>
  </si>
  <si>
    <t>Bracket (web) | Plate (A) thickness 10 mm | 430 X 100 mm @ 2 sht</t>
  </si>
  <si>
    <t>Bracket (face) | Plate (A) thickness 10 mm | 430 X 80 mm @ 2 sht</t>
  </si>
  <si>
    <t>Cover | Plate (A) thickness 10 mm | 460 X 400 mm</t>
  </si>
  <si>
    <t>Service AVH F/W no 1 PS, AVH uk. 2 1/2" 5K, FC</t>
  </si>
  <si>
    <t>Side cover | Plate (A) thickness 1 mm | 250 X 230 mm</t>
  </si>
  <si>
    <t>Top cover | Plate (A) thickness 1 mm | 100 X 100 mm</t>
  </si>
  <si>
    <t xml:space="preserve"> | Wiremesh size.  1mm | 250 X 200 mm</t>
  </si>
  <si>
    <t>Service AVH F/O PS no 1 PS (3" 5K, FC)</t>
  </si>
  <si>
    <t>Service AVH F/O PS no 2 PS (3" 5K, FC)</t>
  </si>
  <si>
    <t>Service AVH F/O PS no 3 PS (3" 5K, FC)</t>
  </si>
  <si>
    <t>Service AVH F/O PS no 4 PS (3" 5K, FC)</t>
  </si>
  <si>
    <t>Service AVH F/O PS no 5 PS (3" 5K, FC)</t>
  </si>
  <si>
    <t>Service AVH F/O PS no 6 PS (3" 5K, FC)</t>
  </si>
  <si>
    <t>Service AVH F/W PS no 2 PS (3" 5K, FC)</t>
  </si>
  <si>
    <t>Service AVH F/W PS no 3 PS (3" 5K, FC)</t>
  </si>
  <si>
    <t>Service AVH F/W PS no 4 PS (3" 5K, FC)</t>
  </si>
  <si>
    <t>Service AVH F/W no 1 SB (2 1/2" 5K FC)</t>
  </si>
  <si>
    <t>Service AVH F/O no 1 SB (3" 5K, FC)</t>
  </si>
  <si>
    <t>Service AVH F/O no 2 SB (3" 5K, FC)</t>
  </si>
  <si>
    <t>Service AVH F/O no 3 SB (3" 5K, FC)</t>
  </si>
  <si>
    <t>Service AVH F/W no 2 SB (2 1/2" 5K FC)</t>
  </si>
  <si>
    <t>Service AVH F/W no 3 SB (2 1/2" 5K FC)</t>
  </si>
  <si>
    <t>Service AVH F/W no 4 SB (2 1/2" 5K FC)</t>
  </si>
  <si>
    <t xml:space="preserve"> | Reinforced rubber packing size. 3mm | 200 X 200 mm</t>
  </si>
  <si>
    <t xml:space="preserve"> | Packing TBA size.3.2mm | 200 X 200 mm</t>
  </si>
  <si>
    <t xml:space="preserve"> | Plate (ABS) thickness 10 mm | 2240 X 1330 mm</t>
  </si>
  <si>
    <t xml:space="preserve"> | Plate (ABS) thickness 10 mm | 670 X 410 mm</t>
  </si>
  <si>
    <t>Fender | Plate (ABS) thickness 10 mm | 3930 X 270 mm</t>
  </si>
  <si>
    <t xml:space="preserve"> | Plate (ABS) thickness 10 mm | 2350 X 1340 mm</t>
  </si>
  <si>
    <t xml:space="preserve"> | Plate (ABS) thickness 10 mm | 870 X 400 mm</t>
  </si>
  <si>
    <t>Fender | Plate (ABS) thickness 10 mm | 3450 X 260 mm</t>
  </si>
  <si>
    <t>Doubling pads | Plate (A) thickness 12 mm | 160 X 80 mm @ 15 sht</t>
  </si>
  <si>
    <t>Face | Plate (A) thickness 12 mm | 490 X 490 mm</t>
  </si>
  <si>
    <t>Ring | Plate (A) thickness 12 mm | 900 X 450 mm @ 2 sht</t>
  </si>
  <si>
    <t>Doubling | Plate (ABS) thickness 10 mm | 1150 X 330 mm</t>
  </si>
  <si>
    <t>Doubling | Plate (ABS) thickness 10 mm | 900 X 900 mm</t>
  </si>
  <si>
    <t>Les | Roundbar size. 2" | 1420 mm @ 2 pcs</t>
  </si>
  <si>
    <t>Les luar | Flat bar size. 1 1/2" x 8 mm | 2600 mm</t>
  </si>
  <si>
    <t>Engsel | Plate (A) thickness 12 mm | 100 X 130 mm @ 4 sht</t>
  </si>
  <si>
    <t>Engsel | Plate (A) thickness 12 mm | 100 X 190 mm @ 2 sht</t>
  </si>
  <si>
    <t>Others</t>
  </si>
  <si>
    <t>Electrical bx canopy</t>
  </si>
  <si>
    <t xml:space="preserve"> | Plate (A) thickness 6 mm | 730 X 300 mm</t>
  </si>
  <si>
    <t xml:space="preserve">Service valve hydrant no 1 (Gate valve 1" 5K) </t>
  </si>
  <si>
    <t xml:space="preserve">Service valve hydrant no 2 (Gate valve 1" 5K) </t>
  </si>
  <si>
    <t>Doubling | Plate (ABS) thickness 10 mm | 3700 X 300 mm</t>
  </si>
  <si>
    <t>Frame | Angle bar size. 120 x 120 x 10 mm | 750 mm</t>
  </si>
  <si>
    <t>Frame | Angle bar size. 120 x 120 x 10 mm | 1250 mm</t>
  </si>
  <si>
    <t>Carling | Plate (A) thickness 8 mm | 550 X 70 mm</t>
  </si>
  <si>
    <t>Frame | Angle bar size. 100 x 100 x 10 mm | 1480 mm @ 2 pcs</t>
  </si>
  <si>
    <t>Frame | Angle bar size. 100 x 100 x 10 mm | 540 mm</t>
  </si>
  <si>
    <t>Frame | Angle bar size. 100 x 100 x 10 mm | 1400 mm</t>
  </si>
  <si>
    <t>Frame | Angle bar size. 100 x 100 x 10 mm | 300 mm</t>
  </si>
  <si>
    <t>Frame | Angle bar size. 100 x 100 x 10 mm | 580 mm @ 2 pcs</t>
  </si>
  <si>
    <t>Frame | Angle bar size. 100 x 100 x 10 mm | 1170 mm</t>
  </si>
  <si>
    <t>Frame | Angle bar size. 100 x 100 x 10 mm | 530 mm</t>
  </si>
  <si>
    <t>Frame | Angle bar size. 100 x 100 x 10 mm | 1410 mm</t>
  </si>
  <si>
    <t>Frame | Angle bar size. 100 x 100 x 10 mm | 1350 mm @ 2 pcs</t>
  </si>
  <si>
    <t>Frame | Angle bar size. 100 x 100 x 10 mm | 470 mm</t>
  </si>
  <si>
    <t>Frame | Angle bar size. 100 x 100 x 10 mm | 340 mm</t>
  </si>
  <si>
    <t>Frame | Angle bar size. 100 x 100 x 10 mm | 850 mm</t>
  </si>
  <si>
    <t>Frame | Angle bar size. 100 x 100 x 10 mm | 410 mm</t>
  </si>
  <si>
    <t>Plate floor | Plate (Checker) thickness 6 mm | 1980 X 610 mm</t>
  </si>
  <si>
    <t>Plate floor | Plate (Checker) thickness 6 mm | 450 X 240 mm</t>
  </si>
  <si>
    <t>Plate floor | Plate (Checker) thickness 6 mm | 910 X 590 mm</t>
  </si>
  <si>
    <t>Plate floor | Plate (Checker) thickness 6 mm | 1220 X 610 mm</t>
  </si>
  <si>
    <t>Plate floor | Plate (Checker) thickness 6 mm | 1230 X 400 mm</t>
  </si>
  <si>
    <t>Plate floor | Plate (Checker) thickness 6 mm | 180 X 250 mm</t>
  </si>
  <si>
    <t>Plate floor | Plate (Checker) thickness 6 mm | 360 X 230 mm</t>
  </si>
  <si>
    <t>Plate floor | Plate (Checker) thickness 6 mm | 1230 X 560 mm</t>
  </si>
  <si>
    <t>Plate floor | Plate (Checker) thickness 6 mm | 600 X 820 mm</t>
  </si>
  <si>
    <t>Plate floor | Plate (Checker) thickness 6 mm | 1200 X 550 mm</t>
  </si>
  <si>
    <t>Plate floor | Plate (Checker) thickness 6 mm | 620 X 450 mm</t>
  </si>
  <si>
    <r>
      <t xml:space="preserve"> | Flange plate size. 2 1/2" 5K </t>
    </r>
    <r>
      <rPr>
        <b/>
        <i/>
        <sz val="11"/>
        <rFont val="Arial"/>
        <family val="2"/>
      </rPr>
      <t>(material lama)</t>
    </r>
  </si>
  <si>
    <t xml:space="preserve"> | B/N SS size. 3/4" X 2" @2 pcs</t>
  </si>
  <si>
    <t xml:space="preserve"> | B/N galvanized size. 10mm X 60mm @2 pcs</t>
  </si>
  <si>
    <t>Cable sleeve | Pipe seamless size. 1 1/2" Sch 40 x 40mm</t>
  </si>
  <si>
    <t xml:space="preserve"> | B/N galvanized size. 6mm X 20mm @8 pcs</t>
  </si>
  <si>
    <t xml:space="preserve"> | B/N galvanized size. 12mm X 50mm@ 4 pcs</t>
  </si>
  <si>
    <t xml:space="preserve"> | B/N galvanized size. 12mm X 50mm @4 pcs</t>
  </si>
  <si>
    <t xml:space="preserve"> | Rames packing white size. 3/16" @500 mm</t>
  </si>
  <si>
    <t xml:space="preserve"> | Rubber packing size. 5mm | 180 X 180 mm @2 pcs</t>
  </si>
  <si>
    <t xml:space="preserve"> | B/N galvanized size. 14mm X 50mm @8 pcs</t>
  </si>
  <si>
    <t xml:space="preserve"> | Rubber packing size. 5mm | 130 X 130 mm @2 pcs</t>
  </si>
  <si>
    <t xml:space="preserve"> | Rames packing white size. 3/16" @500mm</t>
  </si>
  <si>
    <t xml:space="preserve"> | Rubber packing size. 5mm | 180 X 200 mm @2 pcs</t>
  </si>
  <si>
    <t xml:space="preserve"> | B/N galvanized size. 14mm X 50mm @8 Pcs</t>
  </si>
  <si>
    <t xml:space="preserve"> | Rubber packing size. 5mm | 120 X 120 mm @2 pcs</t>
  </si>
  <si>
    <t xml:space="preserve"> | Packing TBA size.3.2mm | 180 X 180 mm @2 pcs</t>
  </si>
  <si>
    <t xml:space="preserve"> | B/N HTB size. 3/4" X 2 1/2" @ 6 Pcs</t>
  </si>
  <si>
    <t>Sisi | Pipe seamless size. 10" Sch 120 x 180mm</t>
  </si>
  <si>
    <t>Engsel | B/N galvanized size. 14mm X 50mm @2 pcs</t>
  </si>
  <si>
    <t xml:space="preserve"> | Rames packing white size. 3/16" @1000mm</t>
  </si>
  <si>
    <t xml:space="preserve"> | Rubber packing size. 5mm | 100 X 100 mm @2 pcs</t>
  </si>
  <si>
    <t xml:space="preserve"> | B/N galvanized size. 10mm X 50mm @8 pcs</t>
  </si>
  <si>
    <r>
      <t xml:space="preserve">Chockfast main engine seat PS &amp; SB </t>
    </r>
    <r>
      <rPr>
        <b/>
        <i/>
        <sz val="11"/>
        <rFont val="Arial"/>
        <family val="2"/>
      </rPr>
      <t>(material by Owner)</t>
    </r>
  </si>
  <si>
    <r>
      <t xml:space="preserve">Chockfast gearbox seat PS &amp; SB </t>
    </r>
    <r>
      <rPr>
        <b/>
        <i/>
        <sz val="11"/>
        <rFont val="Arial"/>
        <family val="2"/>
      </rPr>
      <t>(Material by Owner)</t>
    </r>
  </si>
  <si>
    <t>Shallon &amp; KKM room Plafon</t>
  </si>
  <si>
    <t>Navigation Plafon</t>
  </si>
  <si>
    <t xml:space="preserve">Messroom plafon </t>
  </si>
  <si>
    <t>Hose hidraulic steering R4 ¾ (high press)</t>
  </si>
  <si>
    <t>Rubber watertight door 40x20mm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</si>
</sst>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43" formatCode="_-* #,##0.00_-;\-* #,##0.00_-;_-* &quot;-&quot;??_-;_-@_-"/>
    <numFmt numFmtId="164" formatCode="_(* #,##0.00_);_(* \(#,##0.00\);_(* &quot;-&quot;??_);_(@_)"/>
    <numFmt numFmtId="165" formatCode="_-&quot;IDR&quot;* #,##0_-;\-&quot;IDR&quot;* #,##0_-;_-&quot;IDR&quot;* &quot;-&quot;_-;_-@_-"/>
    <numFmt numFmtId="166" formatCode="_([$IDR]\ * #,##0_);_([$IDR]\ * \(#,##0\);_([$IDR]\ * &quot;-&quot;??_);_(@_)"/>
    <numFmt numFmtId="167" formatCode="_(&quot;IDR&quot;* #,##0_);_(&quot;IDR&quot;* \(#,##0\);_(&quot;IDR&quot;* &quot;-&quot;_);_(@_)"/>
    <numFmt numFmtId="168" formatCode="_-[$IDR]\ * #,##0.00_-;\-[$IDR]\ * #,##0.00_-;_-[$IDR]\ * &quot;-&quot;??_-;_-@_-"/>
    <numFmt numFmtId="169" formatCode="_([$IDR]\ * #,##0.00_);_([$IDR]\ * \(#,##0.00\);_([$IDR]\ * &quot;-&quot;??_);_(@_)"/>
    <numFmt numFmtId="170" formatCode="0.0"/>
    <numFmt numFmtId="171" formatCode="0.000"/>
    <numFmt numFmtId="172" formatCode="_-[$IDR]\ * #,##0_-;\-[$IDR]\ * #,##0_-;_-[$IDR]\ * &quot;-&quot;??_-;_-@_-"/>
  </numFmts>
  <fonts count="23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theme="1"/>
      <name val="Arial"/>
      <family val="2"/>
    </font>
    <font>
      <i/>
      <sz val="11"/>
      <color theme="1"/>
      <name val="Arial"/>
      <family val="2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  <font>
      <sz val="11"/>
      <color rgb="FF222222"/>
      <name val="Arial"/>
      <family val="2"/>
    </font>
    <font>
      <sz val="11"/>
      <name val="Arial"/>
      <family val="2"/>
    </font>
    <font>
      <sz val="11"/>
      <color rgb="FF000000"/>
      <name val="Arial"/>
      <family val="2"/>
    </font>
    <font>
      <u/>
      <sz val="11"/>
      <color theme="1"/>
      <name val="Arial"/>
      <family val="2"/>
    </font>
    <font>
      <b/>
      <sz val="11"/>
      <color theme="1"/>
      <name val="Arial"/>
      <family val="2"/>
    </font>
    <font>
      <b/>
      <sz val="14"/>
      <color theme="1"/>
      <name val="Arial"/>
      <family val="2"/>
    </font>
    <font>
      <b/>
      <u/>
      <sz val="11"/>
      <color theme="1"/>
      <name val="Arial"/>
      <family val="2"/>
    </font>
    <font>
      <b/>
      <sz val="11"/>
      <color rgb="FF000000"/>
      <name val="Arial"/>
      <family val="2"/>
    </font>
    <font>
      <b/>
      <sz val="11"/>
      <name val="Arial"/>
      <family val="2"/>
    </font>
    <font>
      <sz val="12"/>
      <color theme="1"/>
      <name val="Arial"/>
      <family val="2"/>
    </font>
    <font>
      <sz val="12"/>
      <color rgb="FF000000"/>
      <name val="Arial"/>
      <family val="2"/>
    </font>
    <font>
      <sz val="11"/>
      <name val="Calibri"/>
      <family val="2"/>
      <scheme val="minor"/>
    </font>
    <font>
      <b/>
      <sz val="12"/>
      <color theme="1"/>
      <name val="Arial"/>
      <family val="2"/>
    </font>
    <font>
      <sz val="12"/>
      <name val="Arial"/>
      <family val="2"/>
    </font>
    <font>
      <b/>
      <sz val="12"/>
      <name val="Arial"/>
      <family val="2"/>
    </font>
    <font>
      <sz val="11"/>
      <name val="Calibri"/>
      <family val="2"/>
    </font>
    <font>
      <b/>
      <i/>
      <sz val="11"/>
      <name val="Arial"/>
      <family val="2"/>
    </font>
  </fonts>
  <fills count="11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theme="0"/>
        <bgColor rgb="FF000000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theme="0"/>
      </patternFill>
    </fill>
    <fill>
      <patternFill patternType="solid">
        <fgColor theme="0"/>
        <bgColor rgb="FFFFFFFF"/>
      </patternFill>
    </fill>
    <fill>
      <patternFill patternType="solid">
        <fgColor rgb="FFFFFFFF"/>
        <bgColor indexed="64"/>
      </patternFill>
    </fill>
    <fill>
      <patternFill patternType="solid">
        <fgColor rgb="FFFFFFFF"/>
        <bgColor theme="0"/>
      </patternFill>
    </fill>
    <fill>
      <patternFill patternType="solid">
        <fgColor rgb="FFFFFFFF"/>
        <bgColor rgb="FFFFFFFF"/>
      </patternFill>
    </fill>
  </fills>
  <borders count="1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</borders>
  <cellStyleXfs count="128">
    <xf numFmtId="0" fontId="0" fillId="0" borderId="0"/>
    <xf numFmtId="165" fontId="1" fillId="0" borderId="0" applyFon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</cellStyleXfs>
  <cellXfs count="307">
    <xf numFmtId="0" fontId="0" fillId="0" borderId="0" xfId="0"/>
    <xf numFmtId="0" fontId="2" fillId="2" borderId="3" xfId="0" applyFont="1" applyFill="1" applyBorder="1"/>
    <xf numFmtId="0" fontId="2" fillId="2" borderId="8" xfId="0" applyFont="1" applyFill="1" applyBorder="1"/>
    <xf numFmtId="0" fontId="2" fillId="2" borderId="13" xfId="0" applyFont="1" applyFill="1" applyBorder="1"/>
    <xf numFmtId="0" fontId="2" fillId="2" borderId="14" xfId="0" applyFont="1" applyFill="1" applyBorder="1"/>
    <xf numFmtId="0" fontId="3" fillId="2" borderId="0" xfId="0" applyFont="1" applyFill="1"/>
    <xf numFmtId="0" fontId="6" fillId="0" borderId="0" xfId="0" applyFont="1"/>
    <xf numFmtId="165" fontId="2" fillId="2" borderId="1" xfId="1" applyFont="1" applyFill="1" applyBorder="1"/>
    <xf numFmtId="0" fontId="8" fillId="2" borderId="13" xfId="0" quotePrefix="1" applyFont="1" applyFill="1" applyBorder="1" applyAlignment="1">
      <alignment horizontal="left" vertical="center"/>
    </xf>
    <xf numFmtId="0" fontId="8" fillId="2" borderId="14" xfId="0" quotePrefix="1" applyFont="1" applyFill="1" applyBorder="1" applyAlignment="1">
      <alignment horizontal="center" vertical="center"/>
    </xf>
    <xf numFmtId="0" fontId="8" fillId="2" borderId="15" xfId="0" quotePrefix="1" applyFont="1" applyFill="1" applyBorder="1" applyAlignment="1">
      <alignment horizontal="center" vertical="center"/>
    </xf>
    <xf numFmtId="0" fontId="2" fillId="2" borderId="15" xfId="0" applyFont="1" applyFill="1" applyBorder="1" applyAlignment="1">
      <alignment horizontal="right"/>
    </xf>
    <xf numFmtId="0" fontId="2" fillId="2" borderId="15" xfId="0" applyFont="1" applyFill="1" applyBorder="1"/>
    <xf numFmtId="0" fontId="3" fillId="2" borderId="1" xfId="0" applyFont="1" applyFill="1" applyBorder="1" applyAlignment="1">
      <alignment horizontal="center"/>
    </xf>
    <xf numFmtId="165" fontId="0" fillId="0" borderId="0" xfId="0" applyNumberFormat="1"/>
    <xf numFmtId="0" fontId="0" fillId="2" borderId="5" xfId="0" applyFill="1" applyBorder="1"/>
    <xf numFmtId="0" fontId="0" fillId="2" borderId="6" xfId="0" applyFill="1" applyBorder="1"/>
    <xf numFmtId="0" fontId="11" fillId="2" borderId="0" xfId="0" applyFont="1" applyFill="1"/>
    <xf numFmtId="0" fontId="2" fillId="2" borderId="0" xfId="0" applyFont="1" applyFill="1"/>
    <xf numFmtId="0" fontId="2" fillId="2" borderId="4" xfId="0" applyFont="1" applyFill="1" applyBorder="1"/>
    <xf numFmtId="0" fontId="12" fillId="2" borderId="0" xfId="0" applyFont="1" applyFill="1"/>
    <xf numFmtId="0" fontId="2" fillId="2" borderId="9" xfId="0" applyFont="1" applyFill="1" applyBorder="1"/>
    <xf numFmtId="0" fontId="2" fillId="2" borderId="6" xfId="0" applyFont="1" applyFill="1" applyBorder="1"/>
    <xf numFmtId="0" fontId="0" fillId="0" borderId="1" xfId="0" applyBorder="1"/>
    <xf numFmtId="0" fontId="2" fillId="2" borderId="6" xfId="0" applyFont="1" applyFill="1" applyBorder="1" applyAlignment="1">
      <alignment horizontal="center"/>
    </xf>
    <xf numFmtId="0" fontId="2" fillId="2" borderId="0" xfId="0" applyFont="1" applyFill="1" applyAlignment="1">
      <alignment horizontal="center"/>
    </xf>
    <xf numFmtId="0" fontId="8" fillId="4" borderId="0" xfId="0" applyFont="1" applyFill="1"/>
    <xf numFmtId="0" fontId="8" fillId="4" borderId="0" xfId="0" applyFont="1" applyFill="1" applyAlignment="1">
      <alignment horizontal="center"/>
    </xf>
    <xf numFmtId="0" fontId="8" fillId="4" borderId="5" xfId="0" applyFont="1" applyFill="1" applyBorder="1" applyAlignment="1">
      <alignment horizontal="left"/>
    </xf>
    <xf numFmtId="166" fontId="8" fillId="4" borderId="11" xfId="0" applyNumberFormat="1" applyFont="1" applyFill="1" applyBorder="1" applyAlignment="1">
      <alignment vertical="center"/>
    </xf>
    <xf numFmtId="0" fontId="7" fillId="2" borderId="6" xfId="0" applyFont="1" applyFill="1" applyBorder="1"/>
    <xf numFmtId="0" fontId="11" fillId="2" borderId="0" xfId="0" applyFont="1" applyFill="1" applyAlignment="1">
      <alignment horizontal="left"/>
    </xf>
    <xf numFmtId="0" fontId="3" fillId="2" borderId="0" xfId="0" applyFont="1" applyFill="1" applyAlignment="1">
      <alignment horizontal="left"/>
    </xf>
    <xf numFmtId="0" fontId="0" fillId="0" borderId="0" xfId="0" applyAlignment="1">
      <alignment vertical="center"/>
    </xf>
    <xf numFmtId="0" fontId="0" fillId="2" borderId="0" xfId="0" applyFill="1"/>
    <xf numFmtId="0" fontId="3" fillId="2" borderId="15" xfId="0" applyFont="1" applyFill="1" applyBorder="1" applyAlignment="1">
      <alignment horizontal="center"/>
    </xf>
    <xf numFmtId="165" fontId="3" fillId="2" borderId="1" xfId="1" applyFont="1" applyFill="1" applyBorder="1" applyAlignment="1">
      <alignment horizontal="center"/>
    </xf>
    <xf numFmtId="0" fontId="2" fillId="2" borderId="2" xfId="0" applyFont="1" applyFill="1" applyBorder="1" applyAlignment="1">
      <alignment horizontal="left"/>
    </xf>
    <xf numFmtId="0" fontId="3" fillId="2" borderId="3" xfId="0" applyFont="1" applyFill="1" applyBorder="1"/>
    <xf numFmtId="20" fontId="8" fillId="4" borderId="5" xfId="0" applyNumberFormat="1" applyFont="1" applyFill="1" applyBorder="1" applyAlignment="1">
      <alignment horizontal="left"/>
    </xf>
    <xf numFmtId="0" fontId="9" fillId="2" borderId="0" xfId="0" applyFont="1" applyFill="1"/>
    <xf numFmtId="0" fontId="3" fillId="2" borderId="8" xfId="0" applyFont="1" applyFill="1" applyBorder="1"/>
    <xf numFmtId="0" fontId="2" fillId="2" borderId="0" xfId="0" applyFont="1" applyFill="1" applyAlignment="1">
      <alignment vertical="top"/>
    </xf>
    <xf numFmtId="0" fontId="7" fillId="2" borderId="10" xfId="0" applyFont="1" applyFill="1" applyBorder="1"/>
    <xf numFmtId="0" fontId="7" fillId="2" borderId="11" xfId="0" applyFont="1" applyFill="1" applyBorder="1"/>
    <xf numFmtId="0" fontId="2" fillId="2" borderId="5" xfId="0" applyFont="1" applyFill="1" applyBorder="1" applyAlignment="1">
      <alignment horizontal="left"/>
    </xf>
    <xf numFmtId="165" fontId="2" fillId="2" borderId="11" xfId="1" applyFont="1" applyFill="1" applyBorder="1"/>
    <xf numFmtId="0" fontId="8" fillId="2" borderId="5" xfId="0" quotePrefix="1" applyFont="1" applyFill="1" applyBorder="1" applyAlignment="1">
      <alignment horizontal="left" vertical="center"/>
    </xf>
    <xf numFmtId="0" fontId="8" fillId="2" borderId="0" xfId="0" quotePrefix="1" applyFont="1" applyFill="1" applyAlignment="1">
      <alignment horizontal="center" vertical="center"/>
    </xf>
    <xf numFmtId="0" fontId="8" fillId="2" borderId="6" xfId="0" quotePrefix="1" applyFont="1" applyFill="1" applyBorder="1" applyAlignment="1">
      <alignment horizontal="center" vertical="center"/>
    </xf>
    <xf numFmtId="166" fontId="8" fillId="3" borderId="11" xfId="0" applyNumberFormat="1" applyFont="1" applyFill="1" applyBorder="1" applyAlignment="1">
      <alignment vertical="center"/>
    </xf>
    <xf numFmtId="166" fontId="8" fillId="4" borderId="0" xfId="0" applyNumberFormat="1" applyFont="1" applyFill="1" applyAlignment="1">
      <alignment vertical="center"/>
    </xf>
    <xf numFmtId="165" fontId="2" fillId="2" borderId="6" xfId="1" applyFont="1" applyFill="1" applyBorder="1"/>
    <xf numFmtId="0" fontId="10" fillId="2" borderId="0" xfId="0" applyFont="1" applyFill="1"/>
    <xf numFmtId="0" fontId="13" fillId="2" borderId="5" xfId="0" quotePrefix="1" applyFont="1" applyFill="1" applyBorder="1" applyAlignment="1">
      <alignment horizontal="left" vertical="center"/>
    </xf>
    <xf numFmtId="0" fontId="13" fillId="2" borderId="0" xfId="0" quotePrefix="1" applyFont="1" applyFill="1" applyAlignment="1">
      <alignment horizontal="center" vertical="center"/>
    </xf>
    <xf numFmtId="0" fontId="13" fillId="2" borderId="6" xfId="0" quotePrefix="1" applyFont="1" applyFill="1" applyBorder="1" applyAlignment="1">
      <alignment horizontal="center" vertical="center"/>
    </xf>
    <xf numFmtId="165" fontId="2" fillId="2" borderId="15" xfId="1" applyFont="1" applyFill="1" applyBorder="1"/>
    <xf numFmtId="166" fontId="8" fillId="3" borderId="0" xfId="0" applyNumberFormat="1" applyFont="1" applyFill="1" applyAlignment="1">
      <alignment vertical="center"/>
    </xf>
    <xf numFmtId="0" fontId="8" fillId="3" borderId="6" xfId="0" applyFont="1" applyFill="1" applyBorder="1" applyAlignment="1">
      <alignment vertical="center"/>
    </xf>
    <xf numFmtId="0" fontId="2" fillId="2" borderId="5" xfId="0" applyFont="1" applyFill="1" applyBorder="1" applyAlignment="1">
      <alignment horizontal="center"/>
    </xf>
    <xf numFmtId="0" fontId="10" fillId="2" borderId="5" xfId="0" applyFont="1" applyFill="1" applyBorder="1" applyAlignment="1">
      <alignment horizontal="center"/>
    </xf>
    <xf numFmtId="0" fontId="10" fillId="2" borderId="0" xfId="0" applyFont="1" applyFill="1" applyAlignment="1">
      <alignment horizontal="center"/>
    </xf>
    <xf numFmtId="0" fontId="10" fillId="2" borderId="6" xfId="0" applyFont="1" applyFill="1" applyBorder="1" applyAlignment="1">
      <alignment horizontal="center"/>
    </xf>
    <xf numFmtId="167" fontId="8" fillId="3" borderId="11" xfId="0" applyNumberFormat="1" applyFont="1" applyFill="1" applyBorder="1"/>
    <xf numFmtId="167" fontId="8" fillId="4" borderId="11" xfId="0" applyNumberFormat="1" applyFont="1" applyFill="1" applyBorder="1"/>
    <xf numFmtId="0" fontId="7" fillId="3" borderId="0" xfId="0" applyFont="1" applyFill="1" applyAlignment="1">
      <alignment horizontal="right"/>
    </xf>
    <xf numFmtId="0" fontId="7" fillId="3" borderId="6" xfId="0" applyFont="1" applyFill="1" applyBorder="1" applyAlignment="1">
      <alignment vertical="center"/>
    </xf>
    <xf numFmtId="0" fontId="2" fillId="2" borderId="5" xfId="0" applyFont="1" applyFill="1" applyBorder="1"/>
    <xf numFmtId="0" fontId="8" fillId="3" borderId="5" xfId="0" applyFont="1" applyFill="1" applyBorder="1"/>
    <xf numFmtId="0" fontId="7" fillId="4" borderId="6" xfId="0" applyFont="1" applyFill="1" applyBorder="1" applyAlignment="1">
      <alignment horizontal="center"/>
    </xf>
    <xf numFmtId="0" fontId="7" fillId="4" borderId="0" xfId="0" applyFont="1" applyFill="1"/>
    <xf numFmtId="0" fontId="8" fillId="4" borderId="5" xfId="0" applyFont="1" applyFill="1" applyBorder="1"/>
    <xf numFmtId="0" fontId="8" fillId="4" borderId="6" xfId="0" applyFont="1" applyFill="1" applyBorder="1"/>
    <xf numFmtId="166" fontId="8" fillId="4" borderId="6" xfId="0" applyNumberFormat="1" applyFont="1" applyFill="1" applyBorder="1" applyAlignment="1">
      <alignment vertical="center"/>
    </xf>
    <xf numFmtId="165" fontId="8" fillId="3" borderId="11" xfId="1" applyFont="1" applyFill="1" applyBorder="1" applyAlignment="1">
      <alignment vertical="center"/>
    </xf>
    <xf numFmtId="0" fontId="7" fillId="4" borderId="5" xfId="0" applyFont="1" applyFill="1" applyBorder="1" applyAlignment="1">
      <alignment horizontal="center"/>
    </xf>
    <xf numFmtId="0" fontId="7" fillId="4" borderId="0" xfId="0" applyFont="1" applyFill="1" applyAlignment="1">
      <alignment horizontal="center"/>
    </xf>
    <xf numFmtId="0" fontId="7" fillId="4" borderId="6" xfId="0" applyFont="1" applyFill="1" applyBorder="1"/>
    <xf numFmtId="0" fontId="7" fillId="4" borderId="5" xfId="0" applyFont="1" applyFill="1" applyBorder="1"/>
    <xf numFmtId="0" fontId="14" fillId="3" borderId="5" xfId="0" applyFont="1" applyFill="1" applyBorder="1" applyAlignment="1">
      <alignment horizontal="center"/>
    </xf>
    <xf numFmtId="0" fontId="7" fillId="3" borderId="0" xfId="0" applyFont="1" applyFill="1" applyAlignment="1">
      <alignment horizontal="center"/>
    </xf>
    <xf numFmtId="0" fontId="7" fillId="3" borderId="6" xfId="0" applyFont="1" applyFill="1" applyBorder="1" applyAlignment="1">
      <alignment horizontal="center"/>
    </xf>
    <xf numFmtId="0" fontId="14" fillId="3" borderId="0" xfId="0" applyFont="1" applyFill="1"/>
    <xf numFmtId="0" fontId="7" fillId="3" borderId="0" xfId="0" applyFont="1" applyFill="1"/>
    <xf numFmtId="0" fontId="7" fillId="3" borderId="6" xfId="0" applyFont="1" applyFill="1" applyBorder="1"/>
    <xf numFmtId="0" fontId="7" fillId="3" borderId="5" xfId="0" applyFont="1" applyFill="1" applyBorder="1" applyAlignment="1">
      <alignment horizontal="center"/>
    </xf>
    <xf numFmtId="0" fontId="7" fillId="3" borderId="5" xfId="0" applyFont="1" applyFill="1" applyBorder="1"/>
    <xf numFmtId="0" fontId="14" fillId="3" borderId="5" xfId="0" applyFont="1" applyFill="1" applyBorder="1" applyAlignment="1">
      <alignment horizontal="left"/>
    </xf>
    <xf numFmtId="167" fontId="8" fillId="3" borderId="6" xfId="0" applyNumberFormat="1" applyFont="1" applyFill="1" applyBorder="1"/>
    <xf numFmtId="0" fontId="2" fillId="2" borderId="6" xfId="0" applyFont="1" applyFill="1" applyBorder="1" applyAlignment="1">
      <alignment horizontal="right"/>
    </xf>
    <xf numFmtId="0" fontId="7" fillId="3" borderId="5" xfId="0" applyFont="1" applyFill="1" applyBorder="1" applyAlignment="1">
      <alignment horizontal="right"/>
    </xf>
    <xf numFmtId="166" fontId="8" fillId="3" borderId="6" xfId="0" applyNumberFormat="1" applyFont="1" applyFill="1" applyBorder="1" applyAlignment="1">
      <alignment vertical="center"/>
    </xf>
    <xf numFmtId="167" fontId="8" fillId="3" borderId="0" xfId="0" applyNumberFormat="1" applyFont="1" applyFill="1"/>
    <xf numFmtId="165" fontId="8" fillId="4" borderId="11" xfId="1" applyFont="1" applyFill="1" applyBorder="1" applyAlignment="1">
      <alignment vertical="center"/>
    </xf>
    <xf numFmtId="0" fontId="2" fillId="6" borderId="17" xfId="0" applyFont="1" applyFill="1" applyBorder="1" applyAlignment="1">
      <alignment horizontal="center"/>
    </xf>
    <xf numFmtId="0" fontId="14" fillId="6" borderId="16" xfId="0" applyFont="1" applyFill="1" applyBorder="1" applyAlignment="1">
      <alignment horizontal="left" vertical="center"/>
    </xf>
    <xf numFmtId="0" fontId="7" fillId="6" borderId="0" xfId="0" applyFont="1" applyFill="1" applyAlignment="1">
      <alignment horizontal="center" vertical="center"/>
    </xf>
    <xf numFmtId="0" fontId="7" fillId="6" borderId="17" xfId="0" applyFont="1" applyFill="1" applyBorder="1" applyAlignment="1">
      <alignment horizontal="center" vertical="center"/>
    </xf>
    <xf numFmtId="0" fontId="14" fillId="6" borderId="0" xfId="0" applyFont="1" applyFill="1"/>
    <xf numFmtId="0" fontId="7" fillId="6" borderId="0" xfId="0" quotePrefix="1" applyFont="1" applyFill="1"/>
    <xf numFmtId="0" fontId="7" fillId="6" borderId="6" xfId="0" applyFont="1" applyFill="1" applyBorder="1"/>
    <xf numFmtId="1" fontId="7" fillId="7" borderId="0" xfId="0" applyNumberFormat="1" applyFont="1" applyFill="1"/>
    <xf numFmtId="0" fontId="7" fillId="7" borderId="17" xfId="0" applyFont="1" applyFill="1" applyBorder="1" applyAlignment="1">
      <alignment vertical="center"/>
    </xf>
    <xf numFmtId="0" fontId="7" fillId="2" borderId="0" xfId="0" applyFont="1" applyFill="1"/>
    <xf numFmtId="1" fontId="7" fillId="2" borderId="0" xfId="0" applyNumberFormat="1" applyFont="1" applyFill="1"/>
    <xf numFmtId="0" fontId="7" fillId="2" borderId="17" xfId="0" applyFont="1" applyFill="1" applyBorder="1" applyAlignment="1">
      <alignment vertical="center"/>
    </xf>
    <xf numFmtId="0" fontId="10" fillId="6" borderId="16" xfId="0" applyFont="1" applyFill="1" applyBorder="1" applyAlignment="1">
      <alignment horizontal="center"/>
    </xf>
    <xf numFmtId="0" fontId="2" fillId="6" borderId="0" xfId="0" applyFont="1" applyFill="1" applyAlignment="1">
      <alignment horizontal="center"/>
    </xf>
    <xf numFmtId="0" fontId="2" fillId="6" borderId="0" xfId="0" applyFont="1" applyFill="1"/>
    <xf numFmtId="0" fontId="2" fillId="6" borderId="6" xfId="0" applyFont="1" applyFill="1" applyBorder="1"/>
    <xf numFmtId="0" fontId="2" fillId="6" borderId="17" xfId="0" applyFont="1" applyFill="1" applyBorder="1"/>
    <xf numFmtId="0" fontId="7" fillId="2" borderId="6" xfId="0" applyFont="1" applyFill="1" applyBorder="1" applyAlignment="1">
      <alignment horizontal="center"/>
    </xf>
    <xf numFmtId="0" fontId="15" fillId="2" borderId="0" xfId="114" applyFont="1" applyFill="1"/>
    <xf numFmtId="168" fontId="0" fillId="2" borderId="0" xfId="0" applyNumberFormat="1" applyFill="1"/>
    <xf numFmtId="169" fontId="16" fillId="4" borderId="0" xfId="0" applyNumberFormat="1" applyFont="1" applyFill="1" applyAlignment="1">
      <alignment horizontal="left"/>
    </xf>
    <xf numFmtId="9" fontId="16" fillId="2" borderId="0" xfId="0" applyNumberFormat="1" applyFont="1" applyFill="1"/>
    <xf numFmtId="0" fontId="16" fillId="2" borderId="0" xfId="0" applyFont="1" applyFill="1"/>
    <xf numFmtId="0" fontId="16" fillId="4" borderId="0" xfId="0" applyFont="1" applyFill="1" applyAlignment="1">
      <alignment horizontal="left"/>
    </xf>
    <xf numFmtId="9" fontId="0" fillId="2" borderId="0" xfId="0" applyNumberFormat="1" applyFill="1"/>
    <xf numFmtId="0" fontId="10" fillId="6" borderId="16" xfId="0" applyFont="1" applyFill="1" applyBorder="1" applyAlignment="1">
      <alignment horizontal="left"/>
    </xf>
    <xf numFmtId="2" fontId="7" fillId="2" borderId="0" xfId="0" applyNumberFormat="1" applyFont="1" applyFill="1"/>
    <xf numFmtId="0" fontId="7" fillId="4" borderId="6" xfId="0" applyFont="1" applyFill="1" applyBorder="1" applyAlignment="1">
      <alignment vertical="center"/>
    </xf>
    <xf numFmtId="169" fontId="15" fillId="2" borderId="0" xfId="114" applyNumberFormat="1" applyFont="1" applyFill="1"/>
    <xf numFmtId="9" fontId="15" fillId="2" borderId="0" xfId="114" applyNumberFormat="1" applyFont="1" applyFill="1"/>
    <xf numFmtId="0" fontId="7" fillId="2" borderId="0" xfId="0" applyFont="1" applyFill="1" applyAlignment="1">
      <alignment horizontal="center"/>
    </xf>
    <xf numFmtId="0" fontId="17" fillId="2" borderId="0" xfId="0" applyFont="1" applyFill="1"/>
    <xf numFmtId="0" fontId="7" fillId="2" borderId="17" xfId="0" applyFont="1" applyFill="1" applyBorder="1"/>
    <xf numFmtId="0" fontId="15" fillId="0" borderId="0" xfId="114" applyFont="1"/>
    <xf numFmtId="0" fontId="2" fillId="2" borderId="11" xfId="114" applyFont="1" applyFill="1" applyBorder="1" applyAlignment="1">
      <alignment horizontal="left"/>
    </xf>
    <xf numFmtId="0" fontId="16" fillId="4" borderId="0" xfId="114" applyFont="1" applyFill="1" applyAlignment="1">
      <alignment horizontal="left"/>
    </xf>
    <xf numFmtId="0" fontId="16" fillId="2" borderId="0" xfId="114" applyFont="1" applyFill="1"/>
    <xf numFmtId="0" fontId="2" fillId="2" borderId="11" xfId="114" applyFont="1" applyFill="1" applyBorder="1"/>
    <xf numFmtId="0" fontId="19" fillId="0" borderId="0" xfId="0" applyFont="1"/>
    <xf numFmtId="169" fontId="19" fillId="0" borderId="0" xfId="0" applyNumberFormat="1" applyFont="1"/>
    <xf numFmtId="0" fontId="7" fillId="2" borderId="0" xfId="0" quotePrefix="1" applyFont="1" applyFill="1"/>
    <xf numFmtId="0" fontId="20" fillId="5" borderId="0" xfId="114" applyFont="1" applyFill="1" applyAlignment="1">
      <alignment vertical="center"/>
    </xf>
    <xf numFmtId="0" fontId="20" fillId="5" borderId="0" xfId="114" applyFont="1" applyFill="1"/>
    <xf numFmtId="0" fontId="14" fillId="5" borderId="0" xfId="114" applyFont="1" applyFill="1"/>
    <xf numFmtId="0" fontId="20" fillId="8" borderId="5" xfId="114" applyFont="1" applyFill="1" applyBorder="1"/>
    <xf numFmtId="0" fontId="20" fillId="8" borderId="0" xfId="114" applyFont="1" applyFill="1" applyAlignment="1">
      <alignment horizontal="center" vertical="center"/>
    </xf>
    <xf numFmtId="0" fontId="20" fillId="8" borderId="6" xfId="114" applyFont="1" applyFill="1" applyBorder="1" applyAlignment="1">
      <alignment horizontal="right"/>
    </xf>
    <xf numFmtId="0" fontId="20" fillId="8" borderId="0" xfId="114" applyFont="1" applyFill="1" applyAlignment="1">
      <alignment vertical="center"/>
    </xf>
    <xf numFmtId="0" fontId="20" fillId="8" borderId="0" xfId="114" applyFont="1" applyFill="1"/>
    <xf numFmtId="0" fontId="14" fillId="8" borderId="0" xfId="114" applyFont="1" applyFill="1"/>
    <xf numFmtId="2" fontId="20" fillId="8" borderId="5" xfId="114" applyNumberFormat="1" applyFont="1" applyFill="1" applyBorder="1" applyAlignment="1">
      <alignment vertical="center"/>
    </xf>
    <xf numFmtId="0" fontId="20" fillId="8" borderId="6" xfId="114" applyFont="1" applyFill="1" applyBorder="1" applyAlignment="1">
      <alignment vertical="center"/>
    </xf>
    <xf numFmtId="0" fontId="19" fillId="8" borderId="5" xfId="114" applyFont="1" applyFill="1" applyBorder="1"/>
    <xf numFmtId="0" fontId="19" fillId="8" borderId="0" xfId="114" applyFont="1" applyFill="1" applyAlignment="1">
      <alignment horizontal="center" vertical="center"/>
    </xf>
    <xf numFmtId="0" fontId="19" fillId="8" borderId="6" xfId="114" applyFont="1" applyFill="1" applyBorder="1" applyAlignment="1">
      <alignment horizontal="right"/>
    </xf>
    <xf numFmtId="0" fontId="19" fillId="8" borderId="0" xfId="114" applyFont="1" applyFill="1" applyAlignment="1">
      <alignment vertical="center"/>
    </xf>
    <xf numFmtId="0" fontId="19" fillId="8" borderId="0" xfId="114" applyFont="1" applyFill="1"/>
    <xf numFmtId="0" fontId="7" fillId="8" borderId="0" xfId="114" applyFont="1" applyFill="1"/>
    <xf numFmtId="1" fontId="19" fillId="8" borderId="5" xfId="114" applyNumberFormat="1" applyFont="1" applyFill="1" applyBorder="1" applyAlignment="1">
      <alignment vertical="center"/>
    </xf>
    <xf numFmtId="0" fontId="19" fillId="8" borderId="6" xfId="114" applyFont="1" applyFill="1" applyBorder="1" applyAlignment="1">
      <alignment vertical="center"/>
    </xf>
    <xf numFmtId="166" fontId="2" fillId="2" borderId="11" xfId="114" applyNumberFormat="1" applyFont="1" applyFill="1" applyBorder="1"/>
    <xf numFmtId="1" fontId="20" fillId="8" borderId="5" xfId="114" applyNumberFormat="1" applyFont="1" applyFill="1" applyBorder="1" applyAlignment="1">
      <alignment vertical="center"/>
    </xf>
    <xf numFmtId="2" fontId="19" fillId="8" borderId="5" xfId="114" applyNumberFormat="1" applyFont="1" applyFill="1" applyBorder="1" applyAlignment="1">
      <alignment vertical="center"/>
    </xf>
    <xf numFmtId="166" fontId="2" fillId="2" borderId="11" xfId="114" applyNumberFormat="1" applyFont="1" applyFill="1" applyBorder="1" applyAlignment="1">
      <alignment horizontal="left"/>
    </xf>
    <xf numFmtId="169" fontId="0" fillId="0" borderId="0" xfId="0" applyNumberFormat="1"/>
    <xf numFmtId="0" fontId="19" fillId="2" borderId="5" xfId="114" applyFont="1" applyFill="1" applyBorder="1"/>
    <xf numFmtId="0" fontId="19" fillId="2" borderId="0" xfId="114" applyFont="1" applyFill="1" applyAlignment="1">
      <alignment horizontal="center" vertical="center"/>
    </xf>
    <xf numFmtId="0" fontId="19" fillId="2" borderId="6" xfId="114" applyFont="1" applyFill="1" applyBorder="1" applyAlignment="1">
      <alignment horizontal="right"/>
    </xf>
    <xf numFmtId="0" fontId="19" fillId="2" borderId="0" xfId="114" applyFont="1" applyFill="1" applyAlignment="1">
      <alignment vertical="center"/>
    </xf>
    <xf numFmtId="0" fontId="19" fillId="2" borderId="0" xfId="114" applyFont="1" applyFill="1"/>
    <xf numFmtId="0" fontId="7" fillId="2" borderId="0" xfId="114" applyFont="1" applyFill="1"/>
    <xf numFmtId="1" fontId="19" fillId="2" borderId="5" xfId="114" applyNumberFormat="1" applyFont="1" applyFill="1" applyBorder="1" applyAlignment="1">
      <alignment vertical="center"/>
    </xf>
    <xf numFmtId="0" fontId="19" fillId="2" borderId="6" xfId="114" applyFont="1" applyFill="1" applyBorder="1" applyAlignment="1">
      <alignment vertical="center"/>
    </xf>
    <xf numFmtId="9" fontId="0" fillId="0" borderId="0" xfId="0" applyNumberFormat="1"/>
    <xf numFmtId="167" fontId="0" fillId="0" borderId="0" xfId="0" applyNumberFormat="1"/>
    <xf numFmtId="164" fontId="0" fillId="0" borderId="0" xfId="0" applyNumberFormat="1"/>
    <xf numFmtId="166" fontId="0" fillId="0" borderId="0" xfId="0" applyNumberFormat="1"/>
    <xf numFmtId="0" fontId="15" fillId="8" borderId="5" xfId="114" applyFont="1" applyFill="1" applyBorder="1"/>
    <xf numFmtId="0" fontId="15" fillId="8" borderId="0" xfId="114" applyFont="1" applyFill="1" applyAlignment="1">
      <alignment horizontal="center" vertical="center"/>
    </xf>
    <xf numFmtId="0" fontId="15" fillId="8" borderId="6" xfId="114" applyFont="1" applyFill="1" applyBorder="1" applyAlignment="1">
      <alignment horizontal="right"/>
    </xf>
    <xf numFmtId="0" fontId="15" fillId="8" borderId="0" xfId="114" applyFont="1" applyFill="1" applyAlignment="1">
      <alignment vertical="center"/>
    </xf>
    <xf numFmtId="0" fontId="15" fillId="8" borderId="0" xfId="114" applyFont="1" applyFill="1"/>
    <xf numFmtId="0" fontId="2" fillId="8" borderId="0" xfId="114" applyFont="1" applyFill="1"/>
    <xf numFmtId="1" fontId="15" fillId="8" borderId="5" xfId="114" applyNumberFormat="1" applyFont="1" applyFill="1" applyBorder="1" applyAlignment="1">
      <alignment vertical="center"/>
    </xf>
    <xf numFmtId="0" fontId="15" fillId="8" borderId="6" xfId="114" applyFont="1" applyFill="1" applyBorder="1" applyAlignment="1">
      <alignment vertical="center"/>
    </xf>
    <xf numFmtId="2" fontId="15" fillId="8" borderId="5" xfId="114" applyNumberFormat="1" applyFont="1" applyFill="1" applyBorder="1" applyAlignment="1">
      <alignment vertical="center"/>
    </xf>
    <xf numFmtId="0" fontId="20" fillId="2" borderId="5" xfId="114" applyFont="1" applyFill="1" applyBorder="1"/>
    <xf numFmtId="0" fontId="20" fillId="2" borderId="0" xfId="114" applyFont="1" applyFill="1" applyAlignment="1">
      <alignment horizontal="center" vertical="center"/>
    </xf>
    <xf numFmtId="0" fontId="20" fillId="2" borderId="6" xfId="114" applyFont="1" applyFill="1" applyBorder="1" applyAlignment="1">
      <alignment horizontal="right"/>
    </xf>
    <xf numFmtId="2" fontId="20" fillId="2" borderId="5" xfId="114" applyNumberFormat="1" applyFont="1" applyFill="1" applyBorder="1" applyAlignment="1">
      <alignment vertical="center"/>
    </xf>
    <xf numFmtId="0" fontId="20" fillId="2" borderId="6" xfId="114" applyFont="1" applyFill="1" applyBorder="1" applyAlignment="1">
      <alignment vertical="center"/>
    </xf>
    <xf numFmtId="0" fontId="19" fillId="2" borderId="0" xfId="0" applyFont="1" applyFill="1"/>
    <xf numFmtId="167" fontId="8" fillId="4" borderId="6" xfId="0" applyNumberFormat="1" applyFont="1" applyFill="1" applyBorder="1"/>
    <xf numFmtId="167" fontId="8" fillId="4" borderId="0" xfId="0" applyNumberFormat="1" applyFont="1" applyFill="1"/>
    <xf numFmtId="0" fontId="15" fillId="2" borderId="5" xfId="114" applyFont="1" applyFill="1" applyBorder="1"/>
    <xf numFmtId="0" fontId="15" fillId="2" borderId="0" xfId="114" applyFont="1" applyFill="1" applyAlignment="1">
      <alignment horizontal="center" vertical="center"/>
    </xf>
    <xf numFmtId="0" fontId="15" fillId="2" borderId="6" xfId="114" applyFont="1" applyFill="1" applyBorder="1" applyAlignment="1">
      <alignment horizontal="right"/>
    </xf>
    <xf numFmtId="1" fontId="15" fillId="2" borderId="5" xfId="114" applyNumberFormat="1" applyFont="1" applyFill="1" applyBorder="1" applyAlignment="1">
      <alignment vertical="center"/>
    </xf>
    <xf numFmtId="0" fontId="15" fillId="2" borderId="6" xfId="114" applyFont="1" applyFill="1" applyBorder="1" applyAlignment="1">
      <alignment vertical="center"/>
    </xf>
    <xf numFmtId="43" fontId="0" fillId="0" borderId="0" xfId="0" applyNumberFormat="1"/>
    <xf numFmtId="0" fontId="14" fillId="8" borderId="5" xfId="0" quotePrefix="1" applyFont="1" applyFill="1" applyBorder="1" applyAlignment="1">
      <alignment horizontal="left" vertical="center"/>
    </xf>
    <xf numFmtId="0" fontId="14" fillId="8" borderId="0" xfId="0" quotePrefix="1" applyFont="1" applyFill="1" applyAlignment="1">
      <alignment horizontal="center" vertical="center"/>
    </xf>
    <xf numFmtId="0" fontId="14" fillId="8" borderId="6" xfId="0" quotePrefix="1" applyFont="1" applyFill="1" applyBorder="1" applyAlignment="1">
      <alignment horizontal="center" vertical="center"/>
    </xf>
    <xf numFmtId="0" fontId="14" fillId="8" borderId="0" xfId="0" applyFont="1" applyFill="1"/>
    <xf numFmtId="0" fontId="14" fillId="8" borderId="5" xfId="0" applyFont="1" applyFill="1" applyBorder="1"/>
    <xf numFmtId="0" fontId="14" fillId="8" borderId="6" xfId="0" applyFont="1" applyFill="1" applyBorder="1"/>
    <xf numFmtId="0" fontId="7" fillId="8" borderId="5" xfId="0" quotePrefix="1" applyFont="1" applyFill="1" applyBorder="1" applyAlignment="1">
      <alignment horizontal="left" vertical="center"/>
    </xf>
    <xf numFmtId="0" fontId="7" fillId="8" borderId="0" xfId="0" quotePrefix="1" applyFont="1" applyFill="1" applyAlignment="1">
      <alignment horizontal="center" vertical="center"/>
    </xf>
    <xf numFmtId="0" fontId="7" fillId="8" borderId="6" xfId="0" quotePrefix="1" applyFont="1" applyFill="1" applyBorder="1" applyAlignment="1">
      <alignment horizontal="center" vertical="center"/>
    </xf>
    <xf numFmtId="0" fontId="7" fillId="8" borderId="0" xfId="0" applyFont="1" applyFill="1"/>
    <xf numFmtId="0" fontId="7" fillId="8" borderId="6" xfId="0" applyFont="1" applyFill="1" applyBorder="1"/>
    <xf numFmtId="0" fontId="7" fillId="8" borderId="6" xfId="0" applyFont="1" applyFill="1" applyBorder="1" applyAlignment="1">
      <alignment horizontal="center"/>
    </xf>
    <xf numFmtId="0" fontId="7" fillId="8" borderId="6" xfId="0" applyFont="1" applyFill="1" applyBorder="1" applyAlignment="1">
      <alignment vertical="center"/>
    </xf>
    <xf numFmtId="0" fontId="7" fillId="8" borderId="6" xfId="0" applyFont="1" applyFill="1" applyBorder="1" applyAlignment="1">
      <alignment horizontal="left"/>
    </xf>
    <xf numFmtId="0" fontId="7" fillId="8" borderId="5" xfId="0" applyFont="1" applyFill="1" applyBorder="1" applyAlignment="1">
      <alignment horizontal="center"/>
    </xf>
    <xf numFmtId="0" fontId="7" fillId="8" borderId="0" xfId="0" applyFont="1" applyFill="1" applyAlignment="1">
      <alignment horizontal="center"/>
    </xf>
    <xf numFmtId="0" fontId="14" fillId="8" borderId="5" xfId="0" applyFont="1" applyFill="1" applyBorder="1" applyAlignment="1">
      <alignment horizontal="center"/>
    </xf>
    <xf numFmtId="0" fontId="14" fillId="8" borderId="0" xfId="0" applyFont="1" applyFill="1" applyAlignment="1">
      <alignment horizontal="center"/>
    </xf>
    <xf numFmtId="0" fontId="14" fillId="8" borderId="6" xfId="0" applyFont="1" applyFill="1" applyBorder="1" applyAlignment="1">
      <alignment horizontal="center"/>
    </xf>
    <xf numFmtId="0" fontId="14" fillId="3" borderId="6" xfId="0" applyFont="1" applyFill="1" applyBorder="1" applyAlignment="1">
      <alignment vertical="center"/>
    </xf>
    <xf numFmtId="0" fontId="7" fillId="8" borderId="5" xfId="112" quotePrefix="1" applyFont="1" applyFill="1" applyBorder="1" applyAlignment="1">
      <alignment horizontal="left" vertical="center"/>
    </xf>
    <xf numFmtId="0" fontId="7" fillId="8" borderId="0" xfId="112" quotePrefix="1" applyFont="1" applyFill="1" applyAlignment="1">
      <alignment horizontal="center" vertical="center"/>
    </xf>
    <xf numFmtId="0" fontId="7" fillId="8" borderId="6" xfId="112" applyFont="1" applyFill="1" applyBorder="1" applyAlignment="1">
      <alignment horizontal="center"/>
    </xf>
    <xf numFmtId="0" fontId="7" fillId="8" borderId="0" xfId="0" applyFont="1" applyFill="1" applyAlignment="1">
      <alignment vertical="center"/>
    </xf>
    <xf numFmtId="0" fontId="7" fillId="9" borderId="16" xfId="0" applyFont="1" applyFill="1" applyBorder="1" applyAlignment="1">
      <alignment horizontal="center"/>
    </xf>
    <xf numFmtId="0" fontId="7" fillId="9" borderId="0" xfId="0" applyFont="1" applyFill="1" applyAlignment="1">
      <alignment horizontal="center" vertical="center"/>
    </xf>
    <xf numFmtId="0" fontId="7" fillId="9" borderId="17" xfId="0" applyFont="1" applyFill="1" applyBorder="1" applyAlignment="1">
      <alignment horizontal="center" vertical="center"/>
    </xf>
    <xf numFmtId="0" fontId="7" fillId="9" borderId="0" xfId="0" applyFont="1" applyFill="1"/>
    <xf numFmtId="1" fontId="7" fillId="8" borderId="0" xfId="0" applyNumberFormat="1" applyFont="1" applyFill="1"/>
    <xf numFmtId="0" fontId="7" fillId="8" borderId="17" xfId="0" applyFont="1" applyFill="1" applyBorder="1" applyAlignment="1">
      <alignment vertical="center"/>
    </xf>
    <xf numFmtId="0" fontId="7" fillId="9" borderId="16" xfId="0" applyFont="1" applyFill="1" applyBorder="1" applyAlignment="1">
      <alignment horizontal="left" vertical="center"/>
    </xf>
    <xf numFmtId="0" fontId="7" fillId="9" borderId="0" xfId="0" applyFont="1" applyFill="1" applyAlignment="1">
      <alignment horizontal="center"/>
    </xf>
    <xf numFmtId="0" fontId="7" fillId="9" borderId="17" xfId="0" applyFont="1" applyFill="1" applyBorder="1" applyAlignment="1">
      <alignment horizontal="center"/>
    </xf>
    <xf numFmtId="0" fontId="7" fillId="9" borderId="6" xfId="0" applyFont="1" applyFill="1" applyBorder="1"/>
    <xf numFmtId="0" fontId="7" fillId="9" borderId="17" xfId="0" applyFont="1" applyFill="1" applyBorder="1"/>
    <xf numFmtId="0" fontId="7" fillId="8" borderId="5" xfId="0" applyFont="1" applyFill="1" applyBorder="1" applyAlignment="1">
      <alignment horizontal="left" vertical="center"/>
    </xf>
    <xf numFmtId="0" fontId="7" fillId="8" borderId="0" xfId="0" applyFont="1" applyFill="1" applyAlignment="1">
      <alignment horizontal="center" vertical="center"/>
    </xf>
    <xf numFmtId="2" fontId="7" fillId="8" borderId="0" xfId="0" applyNumberFormat="1" applyFont="1" applyFill="1"/>
    <xf numFmtId="0" fontId="17" fillId="8" borderId="0" xfId="0" applyFont="1" applyFill="1"/>
    <xf numFmtId="2" fontId="7" fillId="9" borderId="0" xfId="0" applyNumberFormat="1" applyFont="1" applyFill="1"/>
    <xf numFmtId="170" fontId="7" fillId="9" borderId="0" xfId="0" applyNumberFormat="1" applyFont="1" applyFill="1"/>
    <xf numFmtId="0" fontId="7" fillId="9" borderId="16" xfId="0" applyFont="1" applyFill="1" applyBorder="1" applyAlignment="1">
      <alignment horizontal="left"/>
    </xf>
    <xf numFmtId="0" fontId="19" fillId="9" borderId="16" xfId="0" applyFont="1" applyFill="1" applyBorder="1" applyAlignment="1">
      <alignment horizontal="left"/>
    </xf>
    <xf numFmtId="0" fontId="19" fillId="9" borderId="0" xfId="0" applyFont="1" applyFill="1" applyAlignment="1">
      <alignment horizontal="center" vertical="center"/>
    </xf>
    <xf numFmtId="0" fontId="21" fillId="9" borderId="0" xfId="0" applyFont="1" applyFill="1"/>
    <xf numFmtId="0" fontId="7" fillId="9" borderId="17" xfId="0" applyFont="1" applyFill="1" applyBorder="1" applyAlignment="1">
      <alignment vertical="center"/>
    </xf>
    <xf numFmtId="0" fontId="7" fillId="8" borderId="17" xfId="0" applyFont="1" applyFill="1" applyBorder="1"/>
    <xf numFmtId="168" fontId="0" fillId="0" borderId="0" xfId="0" applyNumberFormat="1"/>
    <xf numFmtId="2" fontId="19" fillId="2" borderId="5" xfId="114" applyNumberFormat="1" applyFont="1" applyFill="1" applyBorder="1" applyAlignment="1">
      <alignment vertical="center"/>
    </xf>
    <xf numFmtId="0" fontId="20" fillId="2" borderId="0" xfId="114" applyFont="1" applyFill="1" applyAlignment="1">
      <alignment vertical="center"/>
    </xf>
    <xf numFmtId="0" fontId="20" fillId="2" borderId="0" xfId="114" applyFont="1" applyFill="1"/>
    <xf numFmtId="0" fontId="14" fillId="2" borderId="0" xfId="114" applyFont="1" applyFill="1"/>
    <xf numFmtId="1" fontId="7" fillId="8" borderId="5" xfId="0" applyNumberFormat="1" applyFont="1" applyFill="1" applyBorder="1"/>
    <xf numFmtId="0" fontId="7" fillId="8" borderId="16" xfId="0" applyFont="1" applyFill="1" applyBorder="1" applyAlignment="1">
      <alignment horizontal="center"/>
    </xf>
    <xf numFmtId="1" fontId="7" fillId="3" borderId="5" xfId="0" applyNumberFormat="1" applyFont="1" applyFill="1" applyBorder="1"/>
    <xf numFmtId="0" fontId="14" fillId="9" borderId="16" xfId="0" applyFont="1" applyFill="1" applyBorder="1" applyAlignment="1">
      <alignment horizontal="left"/>
    </xf>
    <xf numFmtId="0" fontId="14" fillId="9" borderId="0" xfId="0" applyFont="1" applyFill="1" applyAlignment="1">
      <alignment horizontal="center"/>
    </xf>
    <xf numFmtId="2" fontId="14" fillId="3" borderId="0" xfId="0" applyNumberFormat="1" applyFont="1" applyFill="1"/>
    <xf numFmtId="0" fontId="7" fillId="8" borderId="5" xfId="127" applyFont="1" applyFill="1" applyBorder="1"/>
    <xf numFmtId="0" fontId="7" fillId="8" borderId="0" xfId="127" applyFont="1" applyFill="1"/>
    <xf numFmtId="0" fontId="7" fillId="3" borderId="0" xfId="0" quotePrefix="1" applyFont="1" applyFill="1"/>
    <xf numFmtId="0" fontId="7" fillId="9" borderId="0" xfId="0" quotePrefix="1" applyFont="1" applyFill="1"/>
    <xf numFmtId="1" fontId="7" fillId="10" borderId="0" xfId="0" applyNumberFormat="1" applyFont="1" applyFill="1"/>
    <xf numFmtId="0" fontId="7" fillId="10" borderId="17" xfId="0" applyFont="1" applyFill="1" applyBorder="1" applyAlignment="1">
      <alignment vertical="center"/>
    </xf>
    <xf numFmtId="171" fontId="19" fillId="8" borderId="5" xfId="114" applyNumberFormat="1" applyFont="1" applyFill="1" applyBorder="1" applyAlignment="1">
      <alignment vertical="center"/>
    </xf>
    <xf numFmtId="0" fontId="7" fillId="8" borderId="0" xfId="114" applyFont="1" applyFill="1" applyAlignment="1">
      <alignment horizontal="center" vertical="center"/>
    </xf>
    <xf numFmtId="0" fontId="7" fillId="8" borderId="6" xfId="114" applyFont="1" applyFill="1" applyBorder="1" applyAlignment="1">
      <alignment horizontal="right"/>
    </xf>
    <xf numFmtId="0" fontId="7" fillId="8" borderId="0" xfId="114" applyFont="1" applyFill="1" applyAlignment="1">
      <alignment vertical="center"/>
    </xf>
    <xf numFmtId="1" fontId="7" fillId="8" borderId="5" xfId="114" applyNumberFormat="1" applyFont="1" applyFill="1" applyBorder="1" applyAlignment="1">
      <alignment vertical="center"/>
    </xf>
    <xf numFmtId="0" fontId="7" fillId="8" borderId="6" xfId="114" applyFont="1" applyFill="1" applyBorder="1" applyAlignment="1">
      <alignment vertical="center"/>
    </xf>
    <xf numFmtId="0" fontId="7" fillId="8" borderId="5" xfId="114" applyFont="1" applyFill="1" applyBorder="1"/>
    <xf numFmtId="171" fontId="7" fillId="8" borderId="5" xfId="114" applyNumberFormat="1" applyFont="1" applyFill="1" applyBorder="1" applyAlignment="1">
      <alignment vertical="center"/>
    </xf>
    <xf numFmtId="0" fontId="14" fillId="8" borderId="5" xfId="114" applyFont="1" applyFill="1" applyBorder="1"/>
    <xf numFmtId="0" fontId="14" fillId="8" borderId="0" xfId="114" applyFont="1" applyFill="1" applyAlignment="1">
      <alignment horizontal="center" vertical="center"/>
    </xf>
    <xf numFmtId="0" fontId="14" fillId="8" borderId="6" xfId="114" applyFont="1" applyFill="1" applyBorder="1" applyAlignment="1">
      <alignment horizontal="right"/>
    </xf>
    <xf numFmtId="0" fontId="14" fillId="8" borderId="0" xfId="114" applyFont="1" applyFill="1" applyAlignment="1">
      <alignment vertical="center"/>
    </xf>
    <xf numFmtId="1" fontId="14" fillId="8" borderId="5" xfId="114" applyNumberFormat="1" applyFont="1" applyFill="1" applyBorder="1" applyAlignment="1">
      <alignment vertical="center"/>
    </xf>
    <xf numFmtId="0" fontId="14" fillId="8" borderId="6" xfId="114" applyFont="1" applyFill="1" applyBorder="1" applyAlignment="1">
      <alignment vertical="center"/>
    </xf>
    <xf numFmtId="0" fontId="14" fillId="5" borderId="0" xfId="114" applyFont="1" applyFill="1" applyAlignment="1">
      <alignment vertical="center"/>
    </xf>
    <xf numFmtId="2" fontId="7" fillId="8" borderId="5" xfId="114" applyNumberFormat="1" applyFont="1" applyFill="1" applyBorder="1" applyAlignment="1">
      <alignment vertical="center"/>
    </xf>
    <xf numFmtId="0" fontId="8" fillId="4" borderId="6" xfId="0" applyFont="1" applyFill="1" applyBorder="1" applyAlignment="1">
      <alignment vertical="center"/>
    </xf>
    <xf numFmtId="0" fontId="18" fillId="2" borderId="0" xfId="114" applyFont="1" applyFill="1" applyAlignment="1">
      <alignment vertical="center"/>
    </xf>
    <xf numFmtId="0" fontId="18" fillId="2" borderId="0" xfId="114" applyFont="1" applyFill="1"/>
    <xf numFmtId="0" fontId="10" fillId="2" borderId="0" xfId="114" applyFont="1" applyFill="1"/>
    <xf numFmtId="1" fontId="20" fillId="2" borderId="5" xfId="114" applyNumberFormat="1" applyFont="1" applyFill="1" applyBorder="1" applyAlignment="1">
      <alignment vertical="center"/>
    </xf>
    <xf numFmtId="1" fontId="7" fillId="3" borderId="0" xfId="0" applyNumberFormat="1" applyFont="1" applyFill="1"/>
    <xf numFmtId="1" fontId="7" fillId="9" borderId="5" xfId="0" applyNumberFormat="1" applyFont="1" applyFill="1" applyBorder="1"/>
    <xf numFmtId="1" fontId="14" fillId="2" borderId="5" xfId="114" applyNumberFormat="1" applyFont="1" applyFill="1" applyBorder="1" applyAlignment="1">
      <alignment vertical="center"/>
    </xf>
    <xf numFmtId="0" fontId="14" fillId="2" borderId="6" xfId="114" applyFont="1" applyFill="1" applyBorder="1" applyAlignment="1">
      <alignment vertical="center"/>
    </xf>
    <xf numFmtId="0" fontId="14" fillId="2" borderId="5" xfId="114" applyFont="1" applyFill="1" applyBorder="1"/>
    <xf numFmtId="0" fontId="14" fillId="2" borderId="0" xfId="114" applyFont="1" applyFill="1" applyAlignment="1">
      <alignment horizontal="center" vertical="center"/>
    </xf>
    <xf numFmtId="0" fontId="14" fillId="2" borderId="6" xfId="114" applyFont="1" applyFill="1" applyBorder="1" applyAlignment="1">
      <alignment horizontal="right"/>
    </xf>
    <xf numFmtId="172" fontId="0" fillId="0" borderId="0" xfId="0" applyNumberFormat="1"/>
    <xf numFmtId="169" fontId="0" fillId="2" borderId="0" xfId="0" applyNumberFormat="1" applyFill="1"/>
    <xf numFmtId="0" fontId="2" fillId="2" borderId="0" xfId="0" applyFont="1" applyFill="1" applyAlignment="1">
      <alignment horizontal="center" vertical="top"/>
    </xf>
    <xf numFmtId="0" fontId="2" fillId="2" borderId="6" xfId="0" applyFont="1" applyFill="1" applyBorder="1" applyAlignment="1">
      <alignment horizontal="center" vertical="top"/>
    </xf>
    <xf numFmtId="49" fontId="2" fillId="2" borderId="0" xfId="0" quotePrefix="1" applyNumberFormat="1" applyFont="1" applyFill="1" applyAlignment="1">
      <alignment horizontal="left"/>
    </xf>
    <xf numFmtId="0" fontId="2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2" fillId="2" borderId="7" xfId="0" applyFont="1" applyFill="1" applyBorder="1" applyAlignment="1">
      <alignment horizontal="center" vertical="center"/>
    </xf>
    <xf numFmtId="0" fontId="2" fillId="2" borderId="8" xfId="0" applyFont="1" applyFill="1" applyBorder="1" applyAlignment="1">
      <alignment horizontal="center" vertical="center"/>
    </xf>
    <xf numFmtId="0" fontId="2" fillId="2" borderId="9" xfId="0" applyFont="1" applyFill="1" applyBorder="1" applyAlignment="1">
      <alignment horizontal="center" vertical="center"/>
    </xf>
    <xf numFmtId="0" fontId="2" fillId="2" borderId="10" xfId="0" applyFont="1" applyFill="1" applyBorder="1" applyAlignment="1">
      <alignment horizontal="center" vertical="center"/>
    </xf>
    <xf numFmtId="0" fontId="2" fillId="2" borderId="12" xfId="0" applyFont="1" applyFill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2" fillId="2" borderId="0" xfId="0" applyFont="1" applyFill="1" applyAlignment="1">
      <alignment horizontal="center" vertical="center"/>
    </xf>
    <xf numFmtId="0" fontId="2" fillId="2" borderId="6" xfId="0" applyFont="1" applyFill="1" applyBorder="1" applyAlignment="1">
      <alignment horizontal="center" vertical="center"/>
    </xf>
    <xf numFmtId="0" fontId="9" fillId="2" borderId="0" xfId="0" applyFont="1" applyFill="1" applyAlignment="1">
      <alignment horizontal="center"/>
    </xf>
    <xf numFmtId="0" fontId="9" fillId="2" borderId="6" xfId="0" applyFont="1" applyFill="1" applyBorder="1" applyAlignment="1">
      <alignment horizontal="center"/>
    </xf>
    <xf numFmtId="0" fontId="7" fillId="2" borderId="7" xfId="0" applyFont="1" applyFill="1" applyBorder="1" applyAlignment="1">
      <alignment horizontal="center" vertical="center"/>
    </xf>
    <xf numFmtId="0" fontId="7" fillId="2" borderId="8" xfId="0" applyFont="1" applyFill="1" applyBorder="1" applyAlignment="1">
      <alignment horizontal="center" vertical="center"/>
    </xf>
  </cellXfs>
  <cellStyles count="128">
    <cellStyle name="Currency [0]" xfId="1" builtinId="7"/>
    <cellStyle name="Followed Hyperlink" xfId="3" builtinId="9" hidden="1"/>
    <cellStyle name="Followed Hyperlink" xfId="5" builtinId="9" hidden="1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Followed Hyperlink" xfId="19" builtinId="9" hidden="1"/>
    <cellStyle name="Followed Hyperlink" xfId="21" builtinId="9" hidden="1"/>
    <cellStyle name="Followed Hyperlink" xfId="23" builtinId="9" hidden="1"/>
    <cellStyle name="Followed Hyperlink" xfId="25" builtinId="9" hidden="1"/>
    <cellStyle name="Followed Hyperlink" xfId="27" builtinId="9" hidden="1"/>
    <cellStyle name="Followed Hyperlink" xfId="29" builtinId="9" hidden="1"/>
    <cellStyle name="Followed Hyperlink" xfId="31" builtinId="9" hidden="1"/>
    <cellStyle name="Followed Hyperlink" xfId="33" builtinId="9" hidden="1"/>
    <cellStyle name="Followed Hyperlink" xfId="35" builtinId="9" hidden="1"/>
    <cellStyle name="Followed Hyperlink" xfId="37" builtinId="9" hidden="1"/>
    <cellStyle name="Followed Hyperlink" xfId="39" builtinId="9" hidden="1"/>
    <cellStyle name="Followed Hyperlink" xfId="41" builtinId="9" hidden="1"/>
    <cellStyle name="Followed Hyperlink" xfId="43" builtinId="9" hidden="1"/>
    <cellStyle name="Followed Hyperlink" xfId="45" builtinId="9" hidden="1"/>
    <cellStyle name="Followed Hyperlink" xfId="47" builtinId="9" hidden="1"/>
    <cellStyle name="Followed Hyperlink" xfId="49" builtinId="9" hidden="1"/>
    <cellStyle name="Followed Hyperlink" xfId="51" builtinId="9" hidden="1"/>
    <cellStyle name="Followed Hyperlink" xfId="53" builtinId="9" hidden="1"/>
    <cellStyle name="Followed Hyperlink" xfId="55" builtinId="9" hidden="1"/>
    <cellStyle name="Followed Hyperlink" xfId="57" builtinId="9" hidden="1"/>
    <cellStyle name="Followed Hyperlink" xfId="59" builtinId="9" hidden="1"/>
    <cellStyle name="Followed Hyperlink" xfId="61" builtinId="9" hidden="1"/>
    <cellStyle name="Followed Hyperlink" xfId="63" builtinId="9" hidden="1"/>
    <cellStyle name="Followed Hyperlink" xfId="65" builtinId="9" hidden="1"/>
    <cellStyle name="Followed Hyperlink" xfId="67" builtinId="9" hidden="1"/>
    <cellStyle name="Followed Hyperlink" xfId="69" builtinId="9" hidden="1"/>
    <cellStyle name="Followed Hyperlink" xfId="71" builtinId="9" hidden="1"/>
    <cellStyle name="Followed Hyperlink" xfId="73" builtinId="9" hidden="1"/>
    <cellStyle name="Followed Hyperlink" xfId="75" builtinId="9" hidden="1"/>
    <cellStyle name="Followed Hyperlink" xfId="77" builtinId="9" hidden="1"/>
    <cellStyle name="Followed Hyperlink" xfId="79" builtinId="9" hidden="1"/>
    <cellStyle name="Followed Hyperlink" xfId="81" builtinId="9" hidden="1"/>
    <cellStyle name="Followed Hyperlink" xfId="83" builtinId="9" hidden="1"/>
    <cellStyle name="Followed Hyperlink" xfId="85" builtinId="9" hidden="1"/>
    <cellStyle name="Followed Hyperlink" xfId="87" builtinId="9" hidden="1"/>
    <cellStyle name="Followed Hyperlink" xfId="89" builtinId="9" hidden="1"/>
    <cellStyle name="Followed Hyperlink" xfId="91" builtinId="9" hidden="1"/>
    <cellStyle name="Followed Hyperlink" xfId="93" builtinId="9" hidden="1"/>
    <cellStyle name="Followed Hyperlink" xfId="95" builtinId="9" hidden="1"/>
    <cellStyle name="Followed Hyperlink" xfId="97" builtinId="9" hidden="1"/>
    <cellStyle name="Followed Hyperlink" xfId="99" builtinId="9" hidden="1"/>
    <cellStyle name="Followed Hyperlink" xfId="101" builtinId="9" hidden="1"/>
    <cellStyle name="Followed Hyperlink" xfId="103" builtinId="9" hidden="1"/>
    <cellStyle name="Followed Hyperlink" xfId="105" builtinId="9" hidden="1"/>
    <cellStyle name="Followed Hyperlink" xfId="107" builtinId="9" hidden="1"/>
    <cellStyle name="Followed Hyperlink" xfId="109" builtinId="9" hidden="1"/>
    <cellStyle name="Followed Hyperlink" xfId="111" builtinId="9" hidden="1"/>
    <cellStyle name="Hyperlink" xfId="2" builtinId="8" hidden="1"/>
    <cellStyle name="Hyperlink" xfId="4" builtinId="8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Hyperlink" xfId="18" builtinId="8" hidden="1"/>
    <cellStyle name="Hyperlink" xfId="20" builtinId="8" hidden="1"/>
    <cellStyle name="Hyperlink" xfId="22" builtinId="8" hidden="1"/>
    <cellStyle name="Hyperlink" xfId="24" builtinId="8" hidden="1"/>
    <cellStyle name="Hyperlink" xfId="26" builtinId="8" hidden="1"/>
    <cellStyle name="Hyperlink" xfId="28" builtinId="8" hidden="1"/>
    <cellStyle name="Hyperlink" xfId="30" builtinId="8" hidden="1"/>
    <cellStyle name="Hyperlink" xfId="32" builtinId="8" hidden="1"/>
    <cellStyle name="Hyperlink" xfId="34" builtinId="8" hidden="1"/>
    <cellStyle name="Hyperlink" xfId="36" builtinId="8" hidden="1"/>
    <cellStyle name="Hyperlink" xfId="38" builtinId="8" hidden="1"/>
    <cellStyle name="Hyperlink" xfId="40" builtinId="8" hidden="1"/>
    <cellStyle name="Hyperlink" xfId="42" builtinId="8" hidden="1"/>
    <cellStyle name="Hyperlink" xfId="44" builtinId="8" hidden="1"/>
    <cellStyle name="Hyperlink" xfId="46" builtinId="8" hidden="1"/>
    <cellStyle name="Hyperlink" xfId="48" builtinId="8" hidden="1"/>
    <cellStyle name="Hyperlink" xfId="50" builtinId="8" hidden="1"/>
    <cellStyle name="Hyperlink" xfId="52" builtinId="8" hidden="1"/>
    <cellStyle name="Hyperlink" xfId="54" builtinId="8" hidden="1"/>
    <cellStyle name="Hyperlink" xfId="56" builtinId="8" hidden="1"/>
    <cellStyle name="Hyperlink" xfId="58" builtinId="8" hidden="1"/>
    <cellStyle name="Hyperlink" xfId="60" builtinId="8" hidden="1"/>
    <cellStyle name="Hyperlink" xfId="62" builtinId="8" hidden="1"/>
    <cellStyle name="Hyperlink" xfId="64" builtinId="8" hidden="1"/>
    <cellStyle name="Hyperlink" xfId="66" builtinId="8" hidden="1"/>
    <cellStyle name="Hyperlink" xfId="68" builtinId="8" hidden="1"/>
    <cellStyle name="Hyperlink" xfId="70" builtinId="8" hidden="1"/>
    <cellStyle name="Hyperlink" xfId="72" builtinId="8" hidden="1"/>
    <cellStyle name="Hyperlink" xfId="74" builtinId="8" hidden="1"/>
    <cellStyle name="Hyperlink" xfId="76" builtinId="8" hidden="1"/>
    <cellStyle name="Hyperlink" xfId="78" builtinId="8" hidden="1"/>
    <cellStyle name="Hyperlink" xfId="80" builtinId="8" hidden="1"/>
    <cellStyle name="Hyperlink" xfId="82" builtinId="8" hidden="1"/>
    <cellStyle name="Hyperlink" xfId="84" builtinId="8" hidden="1"/>
    <cellStyle name="Hyperlink" xfId="86" builtinId="8" hidden="1"/>
    <cellStyle name="Hyperlink" xfId="88" builtinId="8" hidden="1"/>
    <cellStyle name="Hyperlink" xfId="90" builtinId="8" hidden="1"/>
    <cellStyle name="Hyperlink" xfId="92" builtinId="8" hidden="1"/>
    <cellStyle name="Hyperlink" xfId="94" builtinId="8" hidden="1"/>
    <cellStyle name="Hyperlink" xfId="96" builtinId="8" hidden="1"/>
    <cellStyle name="Hyperlink" xfId="98" builtinId="8" hidden="1"/>
    <cellStyle name="Hyperlink" xfId="100" builtinId="8" hidden="1"/>
    <cellStyle name="Hyperlink" xfId="102" builtinId="8" hidden="1"/>
    <cellStyle name="Hyperlink" xfId="104" builtinId="8" hidden="1"/>
    <cellStyle name="Hyperlink" xfId="106" builtinId="8" hidden="1"/>
    <cellStyle name="Hyperlink" xfId="108" builtinId="8" hidden="1"/>
    <cellStyle name="Hyperlink" xfId="110" builtinId="8" hidden="1"/>
    <cellStyle name="Normal" xfId="0" builtinId="0"/>
    <cellStyle name="Normal 2" xfId="112" xr:uid="{00000000-0005-0000-0000-000070000000}"/>
    <cellStyle name="Normal 2 2" xfId="116" xr:uid="{00000000-0005-0000-0000-000071000000}"/>
    <cellStyle name="Normal 2 2 2" xfId="123" xr:uid="{00000000-0005-0000-0000-000072000000}"/>
    <cellStyle name="Normal 2 2 3" xfId="121" xr:uid="{00000000-0005-0000-0000-000073000000}"/>
    <cellStyle name="Normal 2 2 7" xfId="119" xr:uid="{00000000-0005-0000-0000-000074000000}"/>
    <cellStyle name="Normal 3" xfId="115" xr:uid="{00000000-0005-0000-0000-000075000000}"/>
    <cellStyle name="Normal 3 2" xfId="125" xr:uid="{00000000-0005-0000-0000-000076000000}"/>
    <cellStyle name="Normal 4 2 2 2" xfId="117" xr:uid="{00000000-0005-0000-0000-000077000000}"/>
    <cellStyle name="Normal 5 2 2" xfId="118" xr:uid="{00000000-0005-0000-0000-000078000000}"/>
    <cellStyle name="Normal 5 3" xfId="124" xr:uid="{00000000-0005-0000-0000-000079000000}"/>
    <cellStyle name="Normal 5 3 2" xfId="127" xr:uid="{7FDE27C9-2FF3-4CD4-B62C-4E776ABBBBC0}"/>
    <cellStyle name="Normal 6" xfId="113" xr:uid="{00000000-0005-0000-0000-00007A000000}"/>
    <cellStyle name="Normal 6 2" xfId="126" xr:uid="{00000000-0005-0000-0000-00007B000000}"/>
    <cellStyle name="Normal 6 3" xfId="120" xr:uid="{00000000-0005-0000-0000-00007C000000}"/>
    <cellStyle name="Normal 7 2" xfId="114" xr:uid="{00000000-0005-0000-0000-00007D000000}"/>
    <cellStyle name="Normal 8" xfId="122" xr:uid="{00000000-0005-0000-0000-00007E000000}"/>
  </cellStyles>
  <dxfs count="3">
    <dxf>
      <font>
        <b/>
        <i val="0"/>
        <strike val="0"/>
        <color rgb="FF000000"/>
      </font>
    </dxf>
    <dxf>
      <font>
        <b/>
        <i val="0"/>
        <strike val="0"/>
        <color rgb="FF000000"/>
      </font>
    </dxf>
    <dxf>
      <font>
        <b/>
        <i val="0"/>
        <strike val="0"/>
        <color rgb="FF000000"/>
      </font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3E4DCE-EC12-44D1-88DD-DACB8C459D54}">
  <sheetPr>
    <tabColor theme="3" tint="0.39997558519241921"/>
  </sheetPr>
  <dimension ref="B7:W1099"/>
  <sheetViews>
    <sheetView showGridLines="0" tabSelected="1" view="pageBreakPreview" topLeftCell="A1074" zoomScale="70" zoomScaleSheetLayoutView="70" workbookViewId="0">
      <selection activeCell="K11" sqref="K11"/>
    </sheetView>
  </sheetViews>
  <sheetFormatPr defaultColWidth="11" defaultRowHeight="15.5" x14ac:dyDescent="0.35"/>
  <cols>
    <col min="2" max="4" width="1.83203125" style="18" customWidth="1"/>
    <col min="5" max="5" width="3.08203125" style="18" customWidth="1"/>
    <col min="6" max="6" width="2.83203125" style="18" customWidth="1"/>
    <col min="7" max="7" width="70.58203125" style="18" customWidth="1"/>
    <col min="8" max="8" width="9.5" style="18" customWidth="1"/>
    <col min="9" max="9" width="6.33203125" style="18" customWidth="1"/>
    <col min="10" max="10" width="16" style="18" customWidth="1"/>
    <col min="11" max="11" width="18.83203125" style="18" customWidth="1"/>
    <col min="12" max="12" width="20.5" style="18" customWidth="1"/>
    <col min="13" max="13" width="18.33203125" customWidth="1"/>
    <col min="14" max="14" width="21.5" bestFit="1" customWidth="1"/>
  </cols>
  <sheetData>
    <row r="7" spans="2:13" ht="15" customHeight="1" x14ac:dyDescent="0.35"/>
    <row r="8" spans="2:13" ht="18" x14ac:dyDescent="0.4">
      <c r="B8" s="31" t="s">
        <v>14</v>
      </c>
      <c r="C8" s="17"/>
      <c r="D8" s="17"/>
    </row>
    <row r="9" spans="2:13" x14ac:dyDescent="0.35">
      <c r="B9" s="32" t="s">
        <v>15</v>
      </c>
      <c r="C9" s="5"/>
      <c r="D9" s="5"/>
      <c r="E9" s="5"/>
      <c r="F9" s="5"/>
      <c r="G9" s="5"/>
    </row>
    <row r="10" spans="2:13" x14ac:dyDescent="0.35">
      <c r="H10" s="20"/>
      <c r="I10" s="20"/>
      <c r="J10" s="20" t="s">
        <v>18</v>
      </c>
      <c r="L10" s="20"/>
      <c r="M10" s="18"/>
    </row>
    <row r="11" spans="2:13" x14ac:dyDescent="0.35">
      <c r="B11" s="18" t="s">
        <v>0</v>
      </c>
      <c r="F11" s="18" t="s">
        <v>28</v>
      </c>
      <c r="J11" s="18" t="s">
        <v>19</v>
      </c>
      <c r="M11" s="18"/>
    </row>
    <row r="12" spans="2:13" x14ac:dyDescent="0.35">
      <c r="B12" s="18" t="s">
        <v>24</v>
      </c>
      <c r="F12" s="18" t="s">
        <v>16</v>
      </c>
      <c r="J12" s="18" t="s">
        <v>20</v>
      </c>
      <c r="K12" s="18" t="s">
        <v>29</v>
      </c>
      <c r="M12" s="18"/>
    </row>
    <row r="13" spans="2:13" x14ac:dyDescent="0.35">
      <c r="B13" s="18" t="s">
        <v>4</v>
      </c>
      <c r="J13" s="18" t="s">
        <v>21</v>
      </c>
      <c r="K13" s="18" t="s">
        <v>30</v>
      </c>
      <c r="M13" s="18"/>
    </row>
    <row r="14" spans="2:13" x14ac:dyDescent="0.35">
      <c r="B14" s="18" t="s">
        <v>5</v>
      </c>
      <c r="J14" s="18" t="s">
        <v>22</v>
      </c>
      <c r="K14" s="18" t="s">
        <v>31</v>
      </c>
      <c r="M14" s="18"/>
    </row>
    <row r="15" spans="2:13" x14ac:dyDescent="0.35">
      <c r="F15" s="291"/>
      <c r="G15" s="291"/>
      <c r="J15" s="18" t="s">
        <v>23</v>
      </c>
      <c r="K15" s="18" t="s">
        <v>32</v>
      </c>
      <c r="M15" s="18"/>
    </row>
    <row r="16" spans="2:13" x14ac:dyDescent="0.35">
      <c r="F16" s="6"/>
    </row>
    <row r="18" spans="2:15" s="33" customFormat="1" ht="15" customHeight="1" x14ac:dyDescent="0.35">
      <c r="B18" s="292" t="s">
        <v>0</v>
      </c>
      <c r="C18" s="293"/>
      <c r="D18" s="294"/>
      <c r="E18" s="292" t="s">
        <v>1</v>
      </c>
      <c r="F18" s="293"/>
      <c r="G18" s="294"/>
      <c r="H18" s="292" t="s">
        <v>2</v>
      </c>
      <c r="I18" s="294"/>
      <c r="J18" s="298" t="s">
        <v>3</v>
      </c>
      <c r="K18" s="298" t="s">
        <v>12</v>
      </c>
      <c r="L18" s="298" t="s">
        <v>13</v>
      </c>
    </row>
    <row r="19" spans="2:15" s="33" customFormat="1" ht="15" customHeight="1" x14ac:dyDescent="0.35">
      <c r="B19" s="295"/>
      <c r="C19" s="296"/>
      <c r="D19" s="297"/>
      <c r="E19" s="295"/>
      <c r="F19" s="296"/>
      <c r="G19" s="297"/>
      <c r="H19" s="295"/>
      <c r="I19" s="297"/>
      <c r="J19" s="299"/>
      <c r="K19" s="299"/>
      <c r="L19" s="299"/>
    </row>
    <row r="20" spans="2:15" x14ac:dyDescent="0.35">
      <c r="B20" s="195" t="s">
        <v>33</v>
      </c>
      <c r="C20" s="196"/>
      <c r="D20" s="197"/>
      <c r="E20" s="198" t="s">
        <v>10</v>
      </c>
      <c r="F20" s="198"/>
      <c r="G20" s="198"/>
      <c r="H20" s="199"/>
      <c r="I20" s="200"/>
      <c r="J20" s="46"/>
      <c r="K20" s="52"/>
      <c r="L20" s="46" t="str">
        <f>IF(AND(ISBLANK(H20),ISBLANK(J20)),"",J20*H20)</f>
        <v/>
      </c>
    </row>
    <row r="21" spans="2:15" x14ac:dyDescent="0.35">
      <c r="B21" s="201"/>
      <c r="C21" s="202"/>
      <c r="D21" s="203" t="s">
        <v>34</v>
      </c>
      <c r="E21" s="204"/>
      <c r="F21" s="204" t="s">
        <v>35</v>
      </c>
      <c r="G21" s="205"/>
      <c r="H21" s="204">
        <v>1</v>
      </c>
      <c r="I21" s="205" t="s">
        <v>36</v>
      </c>
      <c r="J21" s="50">
        <v>17000000</v>
      </c>
      <c r="K21" s="58">
        <f>H21*J21</f>
        <v>17000000</v>
      </c>
      <c r="L21" s="46"/>
      <c r="M21" s="18"/>
      <c r="N21" s="300"/>
      <c r="O21" s="300"/>
    </row>
    <row r="22" spans="2:15" x14ac:dyDescent="0.35">
      <c r="B22" s="201"/>
      <c r="C22" s="202"/>
      <c r="D22" s="203" t="s">
        <v>37</v>
      </c>
      <c r="E22" s="204"/>
      <c r="F22" s="204" t="s">
        <v>38</v>
      </c>
      <c r="G22" s="205"/>
      <c r="H22" s="204">
        <v>1</v>
      </c>
      <c r="I22" s="205" t="s">
        <v>36</v>
      </c>
      <c r="J22" s="50">
        <v>4000000</v>
      </c>
      <c r="K22" s="58">
        <f t="shared" ref="K22:K60" si="0">H22*J22</f>
        <v>4000000</v>
      </c>
      <c r="L22" s="46"/>
      <c r="N22" s="23"/>
      <c r="O22" s="23"/>
    </row>
    <row r="23" spans="2:15" x14ac:dyDescent="0.35">
      <c r="B23" s="201"/>
      <c r="C23" s="202"/>
      <c r="D23" s="206" t="s">
        <v>39</v>
      </c>
      <c r="E23" s="204"/>
      <c r="F23" s="204" t="s">
        <v>40</v>
      </c>
      <c r="G23" s="205"/>
      <c r="H23" s="204">
        <v>1</v>
      </c>
      <c r="I23" s="205" t="s">
        <v>36</v>
      </c>
      <c r="J23" s="50">
        <v>5500000</v>
      </c>
      <c r="K23" s="58">
        <f t="shared" si="0"/>
        <v>5500000</v>
      </c>
      <c r="L23" s="46"/>
      <c r="N23" s="23"/>
      <c r="O23" s="23"/>
    </row>
    <row r="24" spans="2:15" x14ac:dyDescent="0.35">
      <c r="B24" s="201"/>
      <c r="C24" s="202"/>
      <c r="D24" s="206" t="s">
        <v>41</v>
      </c>
      <c r="E24" s="204"/>
      <c r="F24" s="204" t="s">
        <v>248</v>
      </c>
      <c r="G24" s="205"/>
      <c r="H24" s="204">
        <v>52</v>
      </c>
      <c r="I24" s="205" t="s">
        <v>42</v>
      </c>
      <c r="J24" s="50">
        <v>1500000</v>
      </c>
      <c r="K24" s="58">
        <f t="shared" si="0"/>
        <v>78000000</v>
      </c>
      <c r="L24" s="46"/>
      <c r="N24" s="23"/>
      <c r="O24" s="23"/>
    </row>
    <row r="25" spans="2:15" x14ac:dyDescent="0.35">
      <c r="B25" s="201"/>
      <c r="C25" s="202"/>
      <c r="D25" s="206" t="s">
        <v>43</v>
      </c>
      <c r="E25" s="204"/>
      <c r="F25" s="204" t="s">
        <v>249</v>
      </c>
      <c r="G25" s="205"/>
      <c r="H25" s="204">
        <v>50</v>
      </c>
      <c r="I25" s="207" t="s">
        <v>42</v>
      </c>
      <c r="J25" s="50">
        <v>350000</v>
      </c>
      <c r="K25" s="58">
        <f t="shared" si="0"/>
        <v>17500000</v>
      </c>
      <c r="L25" s="46"/>
      <c r="M25" s="18"/>
      <c r="N25" s="23"/>
      <c r="O25" s="23"/>
    </row>
    <row r="26" spans="2:15" x14ac:dyDescent="0.35">
      <c r="B26" s="201"/>
      <c r="C26" s="202"/>
      <c r="D26" s="206" t="s">
        <v>44</v>
      </c>
      <c r="E26" s="204"/>
      <c r="F26" s="204" t="s">
        <v>45</v>
      </c>
      <c r="G26" s="205"/>
      <c r="H26" s="204">
        <v>1</v>
      </c>
      <c r="I26" s="205" t="s">
        <v>36</v>
      </c>
      <c r="J26" s="50">
        <v>850000</v>
      </c>
      <c r="K26" s="58">
        <f t="shared" si="0"/>
        <v>850000</v>
      </c>
      <c r="L26" s="46"/>
      <c r="M26" s="18"/>
      <c r="N26" s="23"/>
      <c r="O26" s="23"/>
    </row>
    <row r="27" spans="2:15" x14ac:dyDescent="0.35">
      <c r="B27" s="201"/>
      <c r="C27" s="202"/>
      <c r="D27" s="206" t="s">
        <v>46</v>
      </c>
      <c r="E27" s="204"/>
      <c r="F27" s="204" t="s">
        <v>47</v>
      </c>
      <c r="G27" s="205"/>
      <c r="H27" s="204">
        <v>102</v>
      </c>
      <c r="I27" s="205" t="s">
        <v>42</v>
      </c>
      <c r="J27" s="50">
        <v>550000</v>
      </c>
      <c r="K27" s="58">
        <f t="shared" si="0"/>
        <v>56100000</v>
      </c>
      <c r="L27" s="46"/>
      <c r="M27" s="18"/>
      <c r="N27" s="23"/>
      <c r="O27" s="23"/>
    </row>
    <row r="28" spans="2:15" x14ac:dyDescent="0.35">
      <c r="B28" s="201"/>
      <c r="C28" s="202"/>
      <c r="D28" s="206" t="s">
        <v>48</v>
      </c>
      <c r="E28" s="204"/>
      <c r="F28" s="204" t="s">
        <v>49</v>
      </c>
      <c r="G28" s="205"/>
      <c r="H28" s="204">
        <v>1</v>
      </c>
      <c r="I28" s="205" t="s">
        <v>36</v>
      </c>
      <c r="J28" s="50">
        <v>1500000</v>
      </c>
      <c r="K28" s="58">
        <f t="shared" si="0"/>
        <v>1500000</v>
      </c>
      <c r="L28" s="46"/>
      <c r="M28" s="18"/>
      <c r="N28" s="23"/>
      <c r="O28" s="23"/>
    </row>
    <row r="29" spans="2:15" x14ac:dyDescent="0.35">
      <c r="B29" s="201"/>
      <c r="C29" s="202"/>
      <c r="D29" s="206" t="s">
        <v>50</v>
      </c>
      <c r="E29" s="204"/>
      <c r="F29" s="204" t="s">
        <v>51</v>
      </c>
      <c r="G29" s="205"/>
      <c r="H29" s="204">
        <v>1</v>
      </c>
      <c r="I29" s="205" t="s">
        <v>36</v>
      </c>
      <c r="J29" s="50">
        <v>1500000</v>
      </c>
      <c r="K29" s="58">
        <f t="shared" si="0"/>
        <v>1500000</v>
      </c>
      <c r="L29" s="46"/>
      <c r="M29" s="18"/>
      <c r="N29" s="23"/>
      <c r="O29" s="23"/>
    </row>
    <row r="30" spans="2:15" x14ac:dyDescent="0.35">
      <c r="B30" s="201"/>
      <c r="C30" s="202"/>
      <c r="D30" s="206" t="s">
        <v>52</v>
      </c>
      <c r="E30" s="204"/>
      <c r="F30" s="204" t="s">
        <v>53</v>
      </c>
      <c r="G30" s="205"/>
      <c r="H30" s="204">
        <v>1</v>
      </c>
      <c r="I30" s="208" t="s">
        <v>36</v>
      </c>
      <c r="J30" s="50">
        <v>2000000</v>
      </c>
      <c r="K30" s="58">
        <f t="shared" si="0"/>
        <v>2000000</v>
      </c>
      <c r="L30" s="46"/>
      <c r="M30" s="18"/>
      <c r="N30" s="23"/>
      <c r="O30" s="23"/>
    </row>
    <row r="31" spans="2:15" x14ac:dyDescent="0.35">
      <c r="B31" s="201"/>
      <c r="C31" s="202"/>
      <c r="D31" s="206" t="s">
        <v>54</v>
      </c>
      <c r="E31" s="204"/>
      <c r="F31" s="204" t="s">
        <v>55</v>
      </c>
      <c r="G31" s="205"/>
      <c r="H31" s="204">
        <v>1</v>
      </c>
      <c r="I31" s="208" t="s">
        <v>36</v>
      </c>
      <c r="J31" s="50">
        <v>9000000</v>
      </c>
      <c r="K31" s="58">
        <f t="shared" si="0"/>
        <v>9000000</v>
      </c>
      <c r="L31" s="46"/>
      <c r="M31" s="18"/>
      <c r="N31" s="23"/>
      <c r="O31" s="23"/>
    </row>
    <row r="32" spans="2:15" x14ac:dyDescent="0.35">
      <c r="B32" s="201"/>
      <c r="C32" s="202"/>
      <c r="D32" s="206" t="s">
        <v>56</v>
      </c>
      <c r="E32" s="204"/>
      <c r="F32" s="204" t="s">
        <v>57</v>
      </c>
      <c r="G32" s="205"/>
      <c r="H32" s="204">
        <v>271</v>
      </c>
      <c r="I32" s="205" t="s">
        <v>58</v>
      </c>
      <c r="J32" s="50">
        <v>80000</v>
      </c>
      <c r="K32" s="58">
        <f t="shared" si="0"/>
        <v>21680000</v>
      </c>
      <c r="L32" s="46"/>
      <c r="M32" s="18"/>
      <c r="N32" s="23"/>
      <c r="O32" s="23"/>
    </row>
    <row r="33" spans="2:15" x14ac:dyDescent="0.35">
      <c r="B33" s="201"/>
      <c r="C33" s="202"/>
      <c r="D33" s="206" t="s">
        <v>59</v>
      </c>
      <c r="E33" s="204"/>
      <c r="F33" s="204" t="s">
        <v>250</v>
      </c>
      <c r="G33" s="205"/>
      <c r="H33" s="204">
        <v>3.36</v>
      </c>
      <c r="I33" s="205" t="s">
        <v>58</v>
      </c>
      <c r="J33" s="50">
        <v>6500000</v>
      </c>
      <c r="K33" s="58">
        <f t="shared" si="0"/>
        <v>21840000</v>
      </c>
      <c r="L33" s="46"/>
      <c r="M33" s="18"/>
      <c r="N33" s="23"/>
      <c r="O33" s="23"/>
    </row>
    <row r="34" spans="2:15" x14ac:dyDescent="0.35">
      <c r="B34" s="201"/>
      <c r="C34" s="202"/>
      <c r="D34" s="203" t="s">
        <v>60</v>
      </c>
      <c r="E34" s="204"/>
      <c r="F34" s="204" t="s">
        <v>61</v>
      </c>
      <c r="G34" s="205"/>
      <c r="H34" s="204">
        <v>102</v>
      </c>
      <c r="I34" s="67" t="s">
        <v>62</v>
      </c>
      <c r="J34" s="50">
        <v>400000</v>
      </c>
      <c r="K34" s="58">
        <f t="shared" si="0"/>
        <v>40800000</v>
      </c>
      <c r="L34" s="46"/>
      <c r="M34" s="18"/>
      <c r="N34" s="23"/>
      <c r="O34" s="23"/>
    </row>
    <row r="35" spans="2:15" x14ac:dyDescent="0.35">
      <c r="B35" s="209"/>
      <c r="C35" s="210"/>
      <c r="D35" s="206" t="s">
        <v>63</v>
      </c>
      <c r="E35" s="204"/>
      <c r="F35" s="204" t="s">
        <v>64</v>
      </c>
      <c r="G35" s="205"/>
      <c r="H35" s="204">
        <v>52</v>
      </c>
      <c r="I35" s="67" t="s">
        <v>62</v>
      </c>
      <c r="J35" s="50">
        <v>400000</v>
      </c>
      <c r="K35" s="58">
        <f t="shared" si="0"/>
        <v>20800000</v>
      </c>
      <c r="L35" s="46"/>
      <c r="M35" s="18"/>
      <c r="N35" s="23"/>
      <c r="O35" s="23"/>
    </row>
    <row r="36" spans="2:15" x14ac:dyDescent="0.35">
      <c r="B36" s="209"/>
      <c r="C36" s="210"/>
      <c r="D36" s="206" t="s">
        <v>65</v>
      </c>
      <c r="E36" s="204"/>
      <c r="F36" s="204" t="s">
        <v>66</v>
      </c>
      <c r="G36" s="205"/>
      <c r="H36" s="204">
        <v>1</v>
      </c>
      <c r="I36" s="67" t="s">
        <v>36</v>
      </c>
      <c r="J36" s="50">
        <v>3500000</v>
      </c>
      <c r="K36" s="58">
        <f t="shared" si="0"/>
        <v>3500000</v>
      </c>
      <c r="L36" s="46"/>
      <c r="M36" s="18"/>
      <c r="N36" s="23"/>
      <c r="O36" s="23"/>
    </row>
    <row r="37" spans="2:15" x14ac:dyDescent="0.35">
      <c r="B37" s="211" t="s">
        <v>67</v>
      </c>
      <c r="C37" s="212"/>
      <c r="D37" s="213"/>
      <c r="E37" s="198" t="s">
        <v>68</v>
      </c>
      <c r="F37" s="198"/>
      <c r="G37" s="200"/>
      <c r="H37" s="198"/>
      <c r="I37" s="214"/>
      <c r="J37" s="50"/>
      <c r="K37" s="58"/>
      <c r="L37" s="46"/>
      <c r="M37" s="18"/>
      <c r="N37" s="23"/>
      <c r="O37" s="23"/>
    </row>
    <row r="38" spans="2:15" x14ac:dyDescent="0.35">
      <c r="B38" s="209"/>
      <c r="C38" s="210"/>
      <c r="D38" s="206" t="s">
        <v>34</v>
      </c>
      <c r="E38" s="204"/>
      <c r="F38" s="204" t="s">
        <v>69</v>
      </c>
      <c r="G38" s="205"/>
      <c r="H38" s="204">
        <v>427</v>
      </c>
      <c r="I38" s="67" t="s">
        <v>70</v>
      </c>
      <c r="J38" s="64">
        <v>7000</v>
      </c>
      <c r="K38" s="58">
        <f t="shared" si="0"/>
        <v>2989000</v>
      </c>
      <c r="L38" s="46"/>
      <c r="M38" s="18"/>
      <c r="N38" s="23"/>
      <c r="O38" s="23"/>
    </row>
    <row r="39" spans="2:15" x14ac:dyDescent="0.35">
      <c r="B39" s="209"/>
      <c r="C39" s="210"/>
      <c r="D39" s="206" t="s">
        <v>37</v>
      </c>
      <c r="E39" s="204"/>
      <c r="F39" s="204" t="s">
        <v>71</v>
      </c>
      <c r="G39" s="205"/>
      <c r="H39" s="204">
        <v>427</v>
      </c>
      <c r="I39" s="67" t="s">
        <v>70</v>
      </c>
      <c r="J39" s="65">
        <v>70000</v>
      </c>
      <c r="K39" s="58">
        <f t="shared" si="0"/>
        <v>29890000</v>
      </c>
      <c r="L39" s="46"/>
      <c r="M39" s="18"/>
      <c r="N39" s="23"/>
      <c r="O39" s="23"/>
    </row>
    <row r="40" spans="2:15" x14ac:dyDescent="0.35">
      <c r="B40" s="209"/>
      <c r="C40" s="210"/>
      <c r="D40" s="206" t="s">
        <v>39</v>
      </c>
      <c r="E40" s="204"/>
      <c r="F40" s="204" t="s">
        <v>72</v>
      </c>
      <c r="G40" s="205"/>
      <c r="H40" s="204">
        <v>111</v>
      </c>
      <c r="I40" s="67" t="s">
        <v>70</v>
      </c>
      <c r="J40" s="65">
        <v>70000</v>
      </c>
      <c r="K40" s="58">
        <f t="shared" si="0"/>
        <v>7770000</v>
      </c>
      <c r="L40" s="46"/>
      <c r="M40" s="18"/>
      <c r="N40" s="23"/>
      <c r="O40" s="23"/>
    </row>
    <row r="41" spans="2:15" x14ac:dyDescent="0.35">
      <c r="B41" s="209"/>
      <c r="C41" s="210"/>
      <c r="D41" s="206" t="s">
        <v>41</v>
      </c>
      <c r="E41" s="204"/>
      <c r="F41" s="204" t="s">
        <v>73</v>
      </c>
      <c r="G41" s="205"/>
      <c r="H41" s="204">
        <v>65</v>
      </c>
      <c r="I41" s="67" t="s">
        <v>70</v>
      </c>
      <c r="J41" s="65">
        <v>70000</v>
      </c>
      <c r="K41" s="58">
        <f t="shared" si="0"/>
        <v>4550000</v>
      </c>
      <c r="L41" s="46"/>
      <c r="M41" s="18"/>
      <c r="N41" s="23"/>
      <c r="O41" s="23"/>
    </row>
    <row r="42" spans="2:15" x14ac:dyDescent="0.35">
      <c r="B42" s="209"/>
      <c r="C42" s="210"/>
      <c r="D42" s="206" t="s">
        <v>43</v>
      </c>
      <c r="E42" s="204"/>
      <c r="F42" s="204" t="s">
        <v>74</v>
      </c>
      <c r="G42" s="205"/>
      <c r="H42" s="204">
        <v>603</v>
      </c>
      <c r="I42" s="67" t="s">
        <v>70</v>
      </c>
      <c r="J42" s="65">
        <v>6500</v>
      </c>
      <c r="K42" s="58">
        <f t="shared" si="0"/>
        <v>3919500</v>
      </c>
      <c r="L42" s="46"/>
      <c r="M42" s="18"/>
      <c r="N42" s="23"/>
      <c r="O42" s="23"/>
    </row>
    <row r="43" spans="2:15" x14ac:dyDescent="0.35">
      <c r="B43" s="209"/>
      <c r="C43" s="210"/>
      <c r="D43" s="206" t="s">
        <v>44</v>
      </c>
      <c r="E43" s="204"/>
      <c r="F43" s="204" t="s">
        <v>75</v>
      </c>
      <c r="G43" s="205"/>
      <c r="H43" s="204">
        <v>427</v>
      </c>
      <c r="I43" s="67" t="s">
        <v>70</v>
      </c>
      <c r="J43" s="65">
        <v>21000</v>
      </c>
      <c r="K43" s="58">
        <f t="shared" si="0"/>
        <v>8967000</v>
      </c>
      <c r="L43" s="46"/>
      <c r="M43" s="18"/>
      <c r="N43" s="23"/>
      <c r="O43" s="23"/>
    </row>
    <row r="44" spans="2:15" x14ac:dyDescent="0.35">
      <c r="B44" s="209"/>
      <c r="C44" s="210"/>
      <c r="D44" s="206" t="s">
        <v>46</v>
      </c>
      <c r="E44" s="204"/>
      <c r="F44" s="204" t="s">
        <v>76</v>
      </c>
      <c r="G44" s="205"/>
      <c r="H44" s="204">
        <v>111</v>
      </c>
      <c r="I44" s="205" t="s">
        <v>70</v>
      </c>
      <c r="J44" s="65">
        <v>14000</v>
      </c>
      <c r="K44" s="58">
        <f t="shared" si="0"/>
        <v>1554000</v>
      </c>
      <c r="L44" s="46"/>
      <c r="M44" s="18"/>
      <c r="N44" s="23"/>
      <c r="O44" s="23"/>
    </row>
    <row r="45" spans="2:15" x14ac:dyDescent="0.35">
      <c r="B45" s="209"/>
      <c r="C45" s="210"/>
      <c r="D45" s="206" t="s">
        <v>48</v>
      </c>
      <c r="E45" s="204"/>
      <c r="F45" s="204" t="s">
        <v>77</v>
      </c>
      <c r="G45" s="205"/>
      <c r="H45" s="84">
        <v>65</v>
      </c>
      <c r="I45" s="67" t="s">
        <v>70</v>
      </c>
      <c r="J45" s="29">
        <v>14000</v>
      </c>
      <c r="K45" s="58">
        <f t="shared" si="0"/>
        <v>910000</v>
      </c>
      <c r="L45" s="46"/>
      <c r="M45" s="18"/>
      <c r="N45" s="23"/>
      <c r="O45" s="23"/>
    </row>
    <row r="46" spans="2:15" x14ac:dyDescent="0.35">
      <c r="B46" s="209"/>
      <c r="C46" s="210"/>
      <c r="D46" s="206" t="s">
        <v>50</v>
      </c>
      <c r="E46" s="204"/>
      <c r="F46" s="204" t="s">
        <v>78</v>
      </c>
      <c r="G46" s="205"/>
      <c r="H46" s="66">
        <v>1</v>
      </c>
      <c r="I46" s="67" t="s">
        <v>36</v>
      </c>
      <c r="J46" s="29">
        <v>1200000</v>
      </c>
      <c r="K46" s="58">
        <f t="shared" si="0"/>
        <v>1200000</v>
      </c>
      <c r="L46" s="46"/>
      <c r="M46" s="18"/>
      <c r="N46" s="23"/>
      <c r="O46" s="23"/>
    </row>
    <row r="47" spans="2:15" x14ac:dyDescent="0.35">
      <c r="B47" s="201"/>
      <c r="C47" s="202"/>
      <c r="D47" s="206" t="s">
        <v>52</v>
      </c>
      <c r="E47" s="204"/>
      <c r="F47" s="204" t="s">
        <v>79</v>
      </c>
      <c r="G47" s="205"/>
      <c r="H47" s="84">
        <v>36</v>
      </c>
      <c r="I47" s="67" t="s">
        <v>80</v>
      </c>
      <c r="J47" s="29">
        <v>100000</v>
      </c>
      <c r="K47" s="58">
        <f t="shared" si="0"/>
        <v>3600000</v>
      </c>
      <c r="L47" s="46"/>
      <c r="M47" s="18"/>
      <c r="N47" s="23"/>
      <c r="O47" s="23"/>
    </row>
    <row r="48" spans="2:15" x14ac:dyDescent="0.35">
      <c r="B48" s="61" t="s">
        <v>81</v>
      </c>
      <c r="C48" s="62"/>
      <c r="D48" s="63"/>
      <c r="E48" s="53" t="s">
        <v>82</v>
      </c>
      <c r="G48" s="22"/>
      <c r="H48" s="68"/>
      <c r="I48" s="22"/>
      <c r="J48" s="29"/>
      <c r="K48" s="58"/>
      <c r="L48" s="46"/>
      <c r="M48" s="18"/>
      <c r="N48" s="23"/>
      <c r="O48" s="23"/>
    </row>
    <row r="49" spans="2:15" x14ac:dyDescent="0.35">
      <c r="B49" s="60"/>
      <c r="C49" s="25"/>
      <c r="D49" s="24" t="s">
        <v>34</v>
      </c>
      <c r="F49" s="18" t="s">
        <v>83</v>
      </c>
      <c r="G49" s="22"/>
      <c r="H49" s="69">
        <v>2</v>
      </c>
      <c r="I49" s="59" t="s">
        <v>84</v>
      </c>
      <c r="J49" s="50">
        <v>1700000</v>
      </c>
      <c r="K49" s="58">
        <f t="shared" si="0"/>
        <v>3400000</v>
      </c>
      <c r="L49" s="46"/>
      <c r="M49" s="18"/>
      <c r="N49" s="23"/>
      <c r="O49" s="23"/>
    </row>
    <row r="50" spans="2:15" x14ac:dyDescent="0.35">
      <c r="B50" s="61" t="s">
        <v>86</v>
      </c>
      <c r="C50" s="62"/>
      <c r="D50" s="63"/>
      <c r="E50" s="53" t="s">
        <v>87</v>
      </c>
      <c r="G50" s="22"/>
      <c r="H50" s="68"/>
      <c r="I50" s="22"/>
      <c r="J50" s="50"/>
      <c r="K50" s="58"/>
      <c r="L50" s="46"/>
      <c r="M50" s="18"/>
      <c r="N50" s="23"/>
      <c r="O50" s="23"/>
    </row>
    <row r="51" spans="2:15" x14ac:dyDescent="0.35">
      <c r="B51" s="60"/>
      <c r="C51" s="25"/>
      <c r="D51" s="24" t="s">
        <v>34</v>
      </c>
      <c r="F51" s="18" t="s">
        <v>88</v>
      </c>
      <c r="G51" s="22"/>
      <c r="H51" s="69">
        <v>4</v>
      </c>
      <c r="I51" s="59" t="s">
        <v>89</v>
      </c>
      <c r="J51" s="75">
        <v>550000</v>
      </c>
      <c r="K51" s="58">
        <f t="shared" si="0"/>
        <v>2200000</v>
      </c>
      <c r="L51" s="46"/>
      <c r="M51" s="18"/>
      <c r="N51" s="23"/>
      <c r="O51" s="23"/>
    </row>
    <row r="52" spans="2:15" x14ac:dyDescent="0.35">
      <c r="B52" s="60"/>
      <c r="C52" s="25"/>
      <c r="D52" s="24" t="s">
        <v>37</v>
      </c>
      <c r="F52" s="18" t="s">
        <v>90</v>
      </c>
      <c r="G52" s="22"/>
      <c r="H52" s="69">
        <v>2</v>
      </c>
      <c r="I52" s="59" t="s">
        <v>84</v>
      </c>
      <c r="J52" s="50">
        <v>900000</v>
      </c>
      <c r="K52" s="58">
        <f t="shared" si="0"/>
        <v>1800000</v>
      </c>
      <c r="L52" s="46"/>
      <c r="M52" s="18"/>
      <c r="N52" s="23"/>
      <c r="O52" s="23"/>
    </row>
    <row r="53" spans="2:15" x14ac:dyDescent="0.35">
      <c r="B53" s="76"/>
      <c r="C53" s="77"/>
      <c r="D53" s="70" t="s">
        <v>39</v>
      </c>
      <c r="E53" s="71"/>
      <c r="F53" s="71" t="s">
        <v>91</v>
      </c>
      <c r="G53" s="78"/>
      <c r="H53" s="79">
        <v>2</v>
      </c>
      <c r="I53" s="78" t="s">
        <v>92</v>
      </c>
      <c r="J53" s="29">
        <v>7000000</v>
      </c>
      <c r="K53" s="51">
        <f t="shared" si="0"/>
        <v>14000000</v>
      </c>
      <c r="L53" s="46"/>
      <c r="M53" s="18"/>
      <c r="N53" s="23"/>
      <c r="O53" s="23"/>
    </row>
    <row r="54" spans="2:15" x14ac:dyDescent="0.35">
      <c r="B54" s="47"/>
      <c r="C54" s="48"/>
      <c r="D54" s="70" t="s">
        <v>41</v>
      </c>
      <c r="E54" s="71"/>
      <c r="F54" s="18" t="s">
        <v>93</v>
      </c>
      <c r="G54" s="22"/>
      <c r="H54" s="72">
        <v>2</v>
      </c>
      <c r="I54" s="73" t="s">
        <v>92</v>
      </c>
      <c r="J54" s="74">
        <v>14000000</v>
      </c>
      <c r="K54" s="51"/>
      <c r="L54" s="46">
        <f>J54*H54</f>
        <v>28000000</v>
      </c>
      <c r="M54" s="18"/>
      <c r="N54" s="23"/>
      <c r="O54" s="23"/>
    </row>
    <row r="55" spans="2:15" x14ac:dyDescent="0.35">
      <c r="B55" s="76"/>
      <c r="C55" s="77"/>
      <c r="D55" s="70" t="s">
        <v>43</v>
      </c>
      <c r="E55" s="71"/>
      <c r="F55" s="71" t="s">
        <v>94</v>
      </c>
      <c r="G55" s="78"/>
      <c r="H55" s="79">
        <v>2</v>
      </c>
      <c r="I55" s="78" t="s">
        <v>92</v>
      </c>
      <c r="J55" s="29">
        <v>2750000</v>
      </c>
      <c r="K55" s="51">
        <f t="shared" ref="K55" si="1">H55*J55</f>
        <v>5500000</v>
      </c>
      <c r="L55" s="46"/>
      <c r="M55" s="18"/>
      <c r="N55" s="23"/>
      <c r="O55" s="23"/>
    </row>
    <row r="56" spans="2:15" x14ac:dyDescent="0.35">
      <c r="B56" s="76"/>
      <c r="C56" s="77"/>
      <c r="D56" s="70" t="s">
        <v>44</v>
      </c>
      <c r="E56" s="71"/>
      <c r="F56" s="71" t="s">
        <v>95</v>
      </c>
      <c r="G56" s="78"/>
      <c r="H56" s="79">
        <v>2</v>
      </c>
      <c r="I56" s="78" t="s">
        <v>92</v>
      </c>
      <c r="J56" s="29">
        <v>2750000</v>
      </c>
      <c r="K56" s="51">
        <f t="shared" si="0"/>
        <v>5500000</v>
      </c>
      <c r="L56" s="46"/>
      <c r="M56" s="18"/>
      <c r="N56" s="23"/>
      <c r="O56" s="23"/>
    </row>
    <row r="57" spans="2:15" x14ac:dyDescent="0.35">
      <c r="B57" s="80"/>
      <c r="C57" s="81"/>
      <c r="D57" s="82" t="s">
        <v>46</v>
      </c>
      <c r="E57" s="83"/>
      <c r="F57" s="84" t="s">
        <v>96</v>
      </c>
      <c r="G57" s="85"/>
      <c r="H57" s="69">
        <v>2</v>
      </c>
      <c r="I57" s="59" t="s">
        <v>92</v>
      </c>
      <c r="J57" s="75">
        <v>8000000</v>
      </c>
      <c r="K57" s="58">
        <f t="shared" si="0"/>
        <v>16000000</v>
      </c>
      <c r="L57" s="46"/>
      <c r="M57" s="18"/>
      <c r="N57" s="23"/>
      <c r="O57" s="23"/>
    </row>
    <row r="58" spans="2:15" x14ac:dyDescent="0.35">
      <c r="B58" s="76"/>
      <c r="C58" s="77"/>
      <c r="D58" s="70" t="s">
        <v>48</v>
      </c>
      <c r="E58" s="71"/>
      <c r="F58" s="71" t="s">
        <v>97</v>
      </c>
      <c r="G58" s="78"/>
      <c r="H58" s="79">
        <v>2</v>
      </c>
      <c r="I58" s="78" t="s">
        <v>92</v>
      </c>
      <c r="J58" s="29">
        <v>2750000</v>
      </c>
      <c r="K58" s="51">
        <f t="shared" si="0"/>
        <v>5500000</v>
      </c>
      <c r="L58" s="46"/>
      <c r="M58" s="18"/>
      <c r="N58" s="23"/>
      <c r="O58" s="23"/>
    </row>
    <row r="59" spans="2:15" x14ac:dyDescent="0.35">
      <c r="B59" s="86"/>
      <c r="C59" s="81"/>
      <c r="D59" s="82" t="s">
        <v>50</v>
      </c>
      <c r="E59" s="84"/>
      <c r="F59" s="84" t="s">
        <v>98</v>
      </c>
      <c r="G59" s="85"/>
      <c r="H59" s="87">
        <v>2</v>
      </c>
      <c r="I59" s="85" t="s">
        <v>92</v>
      </c>
      <c r="J59" s="50">
        <v>1700000</v>
      </c>
      <c r="K59" s="58">
        <f t="shared" si="0"/>
        <v>3400000</v>
      </c>
      <c r="L59" s="46"/>
      <c r="M59" s="18"/>
      <c r="N59" s="23"/>
      <c r="O59" s="23"/>
    </row>
    <row r="60" spans="2:15" x14ac:dyDescent="0.35">
      <c r="B60" s="88"/>
      <c r="C60" s="81"/>
      <c r="D60" s="82" t="s">
        <v>52</v>
      </c>
      <c r="E60" s="83"/>
      <c r="F60" s="84" t="s">
        <v>99</v>
      </c>
      <c r="G60" s="85"/>
      <c r="H60" s="87">
        <v>2</v>
      </c>
      <c r="I60" s="85" t="s">
        <v>92</v>
      </c>
      <c r="J60" s="50">
        <v>2000000</v>
      </c>
      <c r="K60" s="58">
        <f t="shared" si="0"/>
        <v>4000000</v>
      </c>
      <c r="L60" s="46"/>
      <c r="M60" s="18"/>
      <c r="N60" s="23"/>
      <c r="O60" s="23"/>
    </row>
    <row r="61" spans="2:15" x14ac:dyDescent="0.35">
      <c r="B61" s="54" t="s">
        <v>108</v>
      </c>
      <c r="C61" s="55"/>
      <c r="D61" s="56"/>
      <c r="E61" s="53" t="s">
        <v>109</v>
      </c>
      <c r="G61" s="22"/>
      <c r="I61" s="22"/>
      <c r="J61" s="89"/>
      <c r="K61" s="89"/>
      <c r="L61" s="46"/>
    </row>
    <row r="62" spans="2:15" x14ac:dyDescent="0.35">
      <c r="B62" s="47"/>
      <c r="C62" s="48"/>
      <c r="D62" s="90" t="s">
        <v>34</v>
      </c>
      <c r="E62" s="25"/>
      <c r="F62" s="18" t="s">
        <v>110</v>
      </c>
      <c r="G62" s="22"/>
      <c r="H62" s="91">
        <v>4</v>
      </c>
      <c r="I62" s="67" t="s">
        <v>89</v>
      </c>
      <c r="J62" s="46">
        <v>550000</v>
      </c>
      <c r="K62" s="58">
        <f>J62*H62</f>
        <v>2200000</v>
      </c>
      <c r="L62" s="46"/>
    </row>
    <row r="63" spans="2:15" x14ac:dyDescent="0.35">
      <c r="B63" s="47"/>
      <c r="C63" s="48"/>
      <c r="D63" s="90" t="s">
        <v>37</v>
      </c>
      <c r="E63" s="25"/>
      <c r="F63" s="18" t="s">
        <v>111</v>
      </c>
      <c r="G63" s="22"/>
      <c r="H63" s="87">
        <v>2</v>
      </c>
      <c r="I63" s="67" t="s">
        <v>92</v>
      </c>
      <c r="J63" s="46">
        <v>600000</v>
      </c>
      <c r="K63" s="58">
        <f t="shared" ref="K63:K67" si="2">J63*H63</f>
        <v>1200000</v>
      </c>
      <c r="L63" s="46"/>
    </row>
    <row r="64" spans="2:15" x14ac:dyDescent="0.35">
      <c r="B64" s="47"/>
      <c r="C64" s="48"/>
      <c r="D64" s="90" t="s">
        <v>39</v>
      </c>
      <c r="E64" s="25"/>
      <c r="F64" s="18" t="s">
        <v>112</v>
      </c>
      <c r="G64" s="22"/>
      <c r="H64" s="87">
        <v>2</v>
      </c>
      <c r="I64" s="67" t="s">
        <v>92</v>
      </c>
      <c r="J64" s="46">
        <v>5000000</v>
      </c>
      <c r="K64" s="58">
        <f t="shared" si="2"/>
        <v>10000000</v>
      </c>
      <c r="L64" s="46"/>
    </row>
    <row r="65" spans="2:23" x14ac:dyDescent="0.35">
      <c r="B65" s="47"/>
      <c r="C65" s="48"/>
      <c r="D65" s="90" t="s">
        <v>41</v>
      </c>
      <c r="E65" s="25"/>
      <c r="F65" s="18" t="s">
        <v>113</v>
      </c>
      <c r="G65" s="22"/>
      <c r="H65" s="87">
        <v>2</v>
      </c>
      <c r="I65" s="67" t="s">
        <v>92</v>
      </c>
      <c r="J65" s="46">
        <v>2000000</v>
      </c>
      <c r="K65" s="58">
        <f t="shared" si="2"/>
        <v>4000000</v>
      </c>
      <c r="L65" s="46"/>
    </row>
    <row r="66" spans="2:23" x14ac:dyDescent="0.35">
      <c r="B66" s="61"/>
      <c r="C66" s="62"/>
      <c r="D66" s="24" t="s">
        <v>43</v>
      </c>
      <c r="E66" s="53"/>
      <c r="F66" s="18" t="s">
        <v>114</v>
      </c>
      <c r="G66" s="22"/>
      <c r="H66" s="68">
        <v>2</v>
      </c>
      <c r="I66" s="22" t="s">
        <v>92</v>
      </c>
      <c r="J66" s="50">
        <v>5000000</v>
      </c>
      <c r="K66" s="58">
        <f t="shared" si="2"/>
        <v>10000000</v>
      </c>
      <c r="L66" s="46"/>
    </row>
    <row r="67" spans="2:23" s="34" customFormat="1" x14ac:dyDescent="0.35">
      <c r="B67" s="61"/>
      <c r="C67" s="62"/>
      <c r="D67" s="24" t="s">
        <v>44</v>
      </c>
      <c r="E67" s="53"/>
      <c r="F67" s="18" t="s">
        <v>115</v>
      </c>
      <c r="G67" s="22"/>
      <c r="H67" s="68">
        <v>2</v>
      </c>
      <c r="I67" s="22" t="s">
        <v>92</v>
      </c>
      <c r="J67" s="29">
        <v>2000000</v>
      </c>
      <c r="K67" s="51">
        <f t="shared" si="2"/>
        <v>4000000</v>
      </c>
      <c r="L67" s="46"/>
    </row>
    <row r="68" spans="2:23" x14ac:dyDescent="0.35">
      <c r="B68" s="88" t="s">
        <v>116</v>
      </c>
      <c r="C68" s="81"/>
      <c r="D68" s="82"/>
      <c r="E68" s="83" t="s">
        <v>120</v>
      </c>
      <c r="F68" s="84"/>
      <c r="G68" s="85"/>
      <c r="H68" s="87"/>
      <c r="I68" s="85"/>
      <c r="J68" s="92"/>
      <c r="K68" s="58"/>
      <c r="L68" s="46"/>
    </row>
    <row r="69" spans="2:23" x14ac:dyDescent="0.35">
      <c r="B69" s="47"/>
      <c r="C69" s="48"/>
      <c r="D69" s="90" t="s">
        <v>34</v>
      </c>
      <c r="E69" s="25"/>
      <c r="F69" s="18" t="s">
        <v>251</v>
      </c>
      <c r="G69" s="22"/>
      <c r="H69" s="87">
        <v>1</v>
      </c>
      <c r="I69" s="67" t="s">
        <v>36</v>
      </c>
      <c r="J69" s="46">
        <v>9500000</v>
      </c>
      <c r="K69" s="58">
        <f t="shared" ref="K69:K70" si="3">J69*H69</f>
        <v>9500000</v>
      </c>
      <c r="L69" s="46"/>
    </row>
    <row r="70" spans="2:23" x14ac:dyDescent="0.35">
      <c r="B70" s="47"/>
      <c r="C70" s="48"/>
      <c r="D70" s="90" t="s">
        <v>37</v>
      </c>
      <c r="E70" s="25"/>
      <c r="F70" s="18" t="s">
        <v>252</v>
      </c>
      <c r="G70" s="22"/>
      <c r="H70" s="87">
        <v>1</v>
      </c>
      <c r="I70" s="67" t="s">
        <v>36</v>
      </c>
      <c r="J70" s="46">
        <v>3000000</v>
      </c>
      <c r="K70" s="58">
        <f t="shared" si="3"/>
        <v>3000000</v>
      </c>
      <c r="L70" s="46"/>
    </row>
    <row r="71" spans="2:23" x14ac:dyDescent="0.35">
      <c r="B71" s="80" t="s">
        <v>119</v>
      </c>
      <c r="C71" s="81"/>
      <c r="D71" s="82"/>
      <c r="E71" s="83" t="s">
        <v>122</v>
      </c>
      <c r="F71" s="84"/>
      <c r="G71" s="85"/>
      <c r="H71" s="87"/>
      <c r="I71" s="22"/>
      <c r="J71" s="89"/>
      <c r="K71" s="89"/>
      <c r="L71" s="46"/>
    </row>
    <row r="72" spans="2:23" x14ac:dyDescent="0.35">
      <c r="B72" s="86"/>
      <c r="C72" s="81"/>
      <c r="D72" s="82" t="s">
        <v>34</v>
      </c>
      <c r="E72" s="84"/>
      <c r="F72" s="84" t="s">
        <v>123</v>
      </c>
      <c r="G72" s="85"/>
      <c r="H72" s="87">
        <v>9</v>
      </c>
      <c r="I72" s="85" t="s">
        <v>124</v>
      </c>
      <c r="J72" s="92">
        <v>500000</v>
      </c>
      <c r="K72" s="58">
        <f t="shared" ref="K72:K75" si="4">J72*H72</f>
        <v>4500000</v>
      </c>
      <c r="L72" s="46"/>
    </row>
    <row r="73" spans="2:23" x14ac:dyDescent="0.35">
      <c r="B73" s="86"/>
      <c r="C73" s="81"/>
      <c r="D73" s="82" t="s">
        <v>37</v>
      </c>
      <c r="E73" s="84"/>
      <c r="F73" s="84" t="s">
        <v>125</v>
      </c>
      <c r="G73" s="85"/>
      <c r="H73" s="87">
        <v>9</v>
      </c>
      <c r="I73" s="85" t="s">
        <v>126</v>
      </c>
      <c r="J73" s="92">
        <v>375000</v>
      </c>
      <c r="K73" s="58">
        <f t="shared" si="4"/>
        <v>3375000</v>
      </c>
      <c r="L73" s="46"/>
    </row>
    <row r="74" spans="2:23" x14ac:dyDescent="0.35">
      <c r="B74" s="86"/>
      <c r="C74" s="81"/>
      <c r="D74" s="82" t="s">
        <v>39</v>
      </c>
      <c r="E74" s="84"/>
      <c r="F74" s="84" t="s">
        <v>127</v>
      </c>
      <c r="G74" s="85"/>
      <c r="H74" s="87">
        <v>2</v>
      </c>
      <c r="I74" s="85" t="s">
        <v>92</v>
      </c>
      <c r="J74" s="92">
        <v>900000</v>
      </c>
      <c r="K74" s="58">
        <f t="shared" si="4"/>
        <v>1800000</v>
      </c>
      <c r="L74" s="46"/>
    </row>
    <row r="75" spans="2:23" x14ac:dyDescent="0.35">
      <c r="B75" s="86"/>
      <c r="C75" s="81"/>
      <c r="D75" s="82" t="s">
        <v>41</v>
      </c>
      <c r="E75" s="84"/>
      <c r="F75" s="84" t="s">
        <v>128</v>
      </c>
      <c r="G75" s="85"/>
      <c r="H75" s="87">
        <v>9</v>
      </c>
      <c r="I75" s="85" t="s">
        <v>126</v>
      </c>
      <c r="J75" s="92">
        <v>175000</v>
      </c>
      <c r="K75" s="58">
        <f t="shared" si="4"/>
        <v>1575000</v>
      </c>
      <c r="L75" s="46"/>
    </row>
    <row r="76" spans="2:23" x14ac:dyDescent="0.35">
      <c r="B76" s="47"/>
      <c r="C76" s="48"/>
      <c r="D76" s="24"/>
      <c r="G76" s="22"/>
      <c r="I76" s="22"/>
      <c r="J76" s="50"/>
      <c r="K76" s="29"/>
      <c r="L76" s="52"/>
      <c r="M76" s="18"/>
      <c r="N76" s="23"/>
      <c r="O76" s="23"/>
    </row>
    <row r="77" spans="2:23" x14ac:dyDescent="0.35">
      <c r="B77" s="47"/>
      <c r="C77" s="48"/>
      <c r="D77" s="24"/>
      <c r="G77" s="22"/>
      <c r="I77" s="22"/>
      <c r="J77" s="50"/>
      <c r="K77" s="29"/>
      <c r="L77" s="52"/>
      <c r="M77" s="18"/>
      <c r="N77" s="23"/>
      <c r="O77" s="23"/>
    </row>
    <row r="78" spans="2:23" x14ac:dyDescent="0.35">
      <c r="B78" s="8"/>
      <c r="C78" s="9"/>
      <c r="D78" s="10"/>
      <c r="E78" s="4"/>
      <c r="F78" s="4"/>
      <c r="G78" s="4"/>
      <c r="H78" s="1"/>
      <c r="I78" s="1"/>
      <c r="J78" s="11" t="s">
        <v>8</v>
      </c>
      <c r="K78" s="7">
        <f>SUM(K20:K77)</f>
        <v>483369500</v>
      </c>
      <c r="L78" s="7">
        <f>SUM(L20:L77)</f>
        <v>28000000</v>
      </c>
      <c r="M78" s="14"/>
      <c r="N78" s="15"/>
      <c r="O78" s="34"/>
      <c r="P78" s="34"/>
      <c r="Q78" s="34"/>
      <c r="R78" s="34"/>
      <c r="T78" s="34"/>
      <c r="U78" s="34"/>
      <c r="V78" s="34"/>
      <c r="W78" s="16"/>
    </row>
    <row r="79" spans="2:23" x14ac:dyDescent="0.35">
      <c r="B79" s="8"/>
      <c r="C79" s="9"/>
      <c r="D79" s="9"/>
      <c r="E79" s="4"/>
      <c r="F79" s="4"/>
      <c r="G79" s="4"/>
      <c r="H79" s="1"/>
      <c r="I79" s="1"/>
      <c r="J79" s="11"/>
      <c r="K79" s="35" t="s">
        <v>12</v>
      </c>
      <c r="L79" s="36" t="s">
        <v>13</v>
      </c>
      <c r="M79" s="14"/>
      <c r="N79" s="15"/>
      <c r="O79" s="34"/>
      <c r="P79" s="34"/>
      <c r="Q79" s="34"/>
      <c r="R79" s="34"/>
      <c r="T79" s="34"/>
      <c r="U79" s="34"/>
      <c r="V79" s="34"/>
      <c r="W79" s="16"/>
    </row>
    <row r="80" spans="2:23" x14ac:dyDescent="0.35">
      <c r="B80" s="3" t="s">
        <v>9</v>
      </c>
      <c r="C80" s="4"/>
      <c r="D80" s="4"/>
      <c r="E80" s="4"/>
      <c r="F80" s="4"/>
      <c r="G80" s="4"/>
      <c r="H80" s="1"/>
      <c r="I80" s="1"/>
      <c r="J80" s="12"/>
      <c r="K80" s="12"/>
      <c r="L80" s="13"/>
      <c r="N80" s="15"/>
      <c r="O80" s="34"/>
      <c r="P80" s="34"/>
      <c r="Q80" s="34"/>
      <c r="R80" s="34"/>
      <c r="T80" s="34"/>
      <c r="U80" s="34"/>
      <c r="V80" s="34"/>
      <c r="W80" s="16"/>
    </row>
    <row r="81" spans="2:13" x14ac:dyDescent="0.35">
      <c r="B81" s="37"/>
      <c r="C81" s="1"/>
      <c r="D81" s="1"/>
      <c r="E81" s="38"/>
      <c r="F81" s="38"/>
      <c r="G81" s="38"/>
      <c r="H81" s="1"/>
      <c r="I81" s="1"/>
      <c r="J81" s="1"/>
      <c r="K81" s="1"/>
      <c r="L81" s="19"/>
    </row>
    <row r="82" spans="2:13" x14ac:dyDescent="0.35">
      <c r="B82" s="28" t="s">
        <v>6</v>
      </c>
      <c r="C82" s="27"/>
      <c r="D82" s="27"/>
      <c r="E82" s="26"/>
      <c r="F82" s="26"/>
      <c r="G82" s="5"/>
      <c r="K82" s="301" t="s">
        <v>27</v>
      </c>
      <c r="L82" s="302"/>
    </row>
    <row r="83" spans="2:13" x14ac:dyDescent="0.35">
      <c r="B83" s="28">
        <v>1</v>
      </c>
      <c r="C83" s="27"/>
      <c r="D83" s="27"/>
      <c r="E83" s="26" t="s">
        <v>7</v>
      </c>
      <c r="F83" s="26"/>
      <c r="G83" s="5"/>
      <c r="K83" s="301" t="s">
        <v>17</v>
      </c>
      <c r="L83" s="302"/>
    </row>
    <row r="84" spans="2:13" x14ac:dyDescent="0.35">
      <c r="B84" s="39"/>
      <c r="C84" s="27"/>
      <c r="D84" s="27"/>
      <c r="E84" s="26"/>
      <c r="F84" s="26"/>
      <c r="G84" s="5"/>
      <c r="J84" s="25"/>
      <c r="K84" s="25"/>
      <c r="L84" s="24"/>
    </row>
    <row r="85" spans="2:13" x14ac:dyDescent="0.35">
      <c r="B85" s="28"/>
      <c r="C85" s="27"/>
      <c r="D85" s="27"/>
      <c r="E85" s="26"/>
      <c r="F85" s="26"/>
      <c r="G85" s="5"/>
      <c r="L85" s="22"/>
    </row>
    <row r="86" spans="2:13" x14ac:dyDescent="0.35">
      <c r="B86" s="45"/>
      <c r="E86" s="5"/>
      <c r="F86" s="5"/>
      <c r="G86" s="5"/>
      <c r="L86" s="22"/>
    </row>
    <row r="87" spans="2:13" x14ac:dyDescent="0.35">
      <c r="B87" s="45"/>
      <c r="E87" s="5"/>
      <c r="F87" s="5"/>
      <c r="G87" s="5"/>
      <c r="L87" s="22"/>
    </row>
    <row r="88" spans="2:13" x14ac:dyDescent="0.35">
      <c r="B88" s="45"/>
      <c r="E88" s="5"/>
      <c r="F88" s="5"/>
      <c r="G88" s="5"/>
      <c r="L88" s="22"/>
    </row>
    <row r="89" spans="2:13" x14ac:dyDescent="0.35">
      <c r="B89" s="45"/>
      <c r="E89" s="5"/>
      <c r="F89" s="5"/>
      <c r="G89" s="5"/>
      <c r="J89" s="40"/>
      <c r="K89" s="303" t="s">
        <v>25</v>
      </c>
      <c r="L89" s="304"/>
      <c r="M89" s="40"/>
    </row>
    <row r="90" spans="2:13" x14ac:dyDescent="0.35">
      <c r="B90" s="45"/>
      <c r="K90" s="289" t="s">
        <v>26</v>
      </c>
      <c r="L90" s="290"/>
      <c r="M90" s="42"/>
    </row>
    <row r="91" spans="2:13" x14ac:dyDescent="0.35">
      <c r="B91" s="305"/>
      <c r="C91" s="306"/>
      <c r="D91" s="306"/>
      <c r="E91" s="41"/>
      <c r="F91" s="41"/>
      <c r="G91" s="41"/>
      <c r="H91" s="2"/>
      <c r="I91" s="2"/>
      <c r="J91" s="2"/>
      <c r="K91" s="2"/>
      <c r="L91" s="21"/>
    </row>
    <row r="92" spans="2:13" x14ac:dyDescent="0.35">
      <c r="B92" s="47"/>
      <c r="C92" s="48"/>
      <c r="D92" s="49"/>
      <c r="G92" s="22"/>
      <c r="H92" s="1"/>
      <c r="I92" s="1"/>
      <c r="J92" s="43"/>
      <c r="K92" s="30"/>
      <c r="L92" s="44"/>
    </row>
    <row r="93" spans="2:13" x14ac:dyDescent="0.35">
      <c r="B93" s="86"/>
      <c r="C93" s="81"/>
      <c r="D93" s="82" t="s">
        <v>43</v>
      </c>
      <c r="E93" s="84"/>
      <c r="F93" s="84" t="s">
        <v>129</v>
      </c>
      <c r="G93" s="85"/>
      <c r="H93" s="87">
        <v>2</v>
      </c>
      <c r="I93" s="85" t="s">
        <v>92</v>
      </c>
      <c r="J93" s="92">
        <v>600000</v>
      </c>
      <c r="K93" s="58">
        <f t="shared" ref="K93:K94" si="5">J93*H93</f>
        <v>1200000</v>
      </c>
      <c r="L93" s="46"/>
    </row>
    <row r="94" spans="2:13" x14ac:dyDescent="0.35">
      <c r="B94" s="60"/>
      <c r="C94" s="25"/>
      <c r="D94" s="24" t="s">
        <v>44</v>
      </c>
      <c r="F94" s="71" t="s">
        <v>130</v>
      </c>
      <c r="G94" s="78"/>
      <c r="H94" s="79">
        <v>9</v>
      </c>
      <c r="I94" s="78" t="s">
        <v>124</v>
      </c>
      <c r="J94" s="74">
        <v>175000</v>
      </c>
      <c r="K94" s="58">
        <f t="shared" si="5"/>
        <v>1575000</v>
      </c>
      <c r="L94" s="46"/>
    </row>
    <row r="95" spans="2:13" x14ac:dyDescent="0.35">
      <c r="B95" s="61" t="s">
        <v>121</v>
      </c>
      <c r="C95" s="62"/>
      <c r="D95" s="63"/>
      <c r="E95" s="53" t="s">
        <v>132</v>
      </c>
      <c r="G95" s="22"/>
      <c r="H95" s="68"/>
      <c r="I95" s="22"/>
      <c r="J95" s="92"/>
      <c r="K95" s="89"/>
      <c r="L95" s="46"/>
    </row>
    <row r="96" spans="2:13" x14ac:dyDescent="0.35">
      <c r="B96" s="60"/>
      <c r="C96" s="25"/>
      <c r="D96" s="24" t="s">
        <v>34</v>
      </c>
      <c r="F96" s="18" t="s">
        <v>133</v>
      </c>
      <c r="G96" s="22"/>
      <c r="H96" s="68">
        <v>1</v>
      </c>
      <c r="I96" s="22" t="s">
        <v>36</v>
      </c>
      <c r="J96" s="92">
        <v>2000000</v>
      </c>
      <c r="K96" s="93">
        <f>J96*H96</f>
        <v>2000000</v>
      </c>
      <c r="L96" s="46"/>
    </row>
    <row r="97" spans="2:14" x14ac:dyDescent="0.35">
      <c r="B97" s="88" t="s">
        <v>131</v>
      </c>
      <c r="C97" s="81"/>
      <c r="D97" s="82"/>
      <c r="E97" s="83" t="s">
        <v>135</v>
      </c>
      <c r="F97" s="84"/>
      <c r="G97" s="85"/>
      <c r="H97" s="87"/>
      <c r="I97" s="85"/>
      <c r="J97" s="74"/>
      <c r="K97" s="51"/>
      <c r="L97" s="46"/>
    </row>
    <row r="98" spans="2:14" x14ac:dyDescent="0.35">
      <c r="B98" s="86"/>
      <c r="C98" s="81"/>
      <c r="D98" s="82" t="s">
        <v>34</v>
      </c>
      <c r="E98" s="84"/>
      <c r="F98" s="84" t="s">
        <v>136</v>
      </c>
      <c r="G98" s="85"/>
      <c r="H98" s="87">
        <v>1</v>
      </c>
      <c r="I98" s="85" t="s">
        <v>36</v>
      </c>
      <c r="J98" s="92">
        <v>7500000</v>
      </c>
      <c r="K98" s="58">
        <f t="shared" ref="K98" si="6">J98*H98</f>
        <v>7500000</v>
      </c>
      <c r="L98" s="46"/>
    </row>
    <row r="99" spans="2:14" x14ac:dyDescent="0.35">
      <c r="B99" s="88" t="s">
        <v>134</v>
      </c>
      <c r="C99" s="81"/>
      <c r="D99" s="82"/>
      <c r="E99" s="83" t="s">
        <v>11</v>
      </c>
      <c r="F99" s="84"/>
      <c r="G99" s="85"/>
      <c r="H99" s="87"/>
      <c r="I99" s="85"/>
      <c r="J99" s="74"/>
      <c r="K99" s="51"/>
      <c r="L99" s="46"/>
    </row>
    <row r="100" spans="2:14" s="34" customFormat="1" x14ac:dyDescent="0.35">
      <c r="B100" s="215"/>
      <c r="C100" s="216" t="s">
        <v>253</v>
      </c>
      <c r="D100" s="217"/>
      <c r="E100" s="218"/>
      <c r="F100" s="218" t="s">
        <v>140</v>
      </c>
      <c r="G100" s="207"/>
      <c r="H100" s="218"/>
      <c r="I100" s="207"/>
      <c r="J100" s="74"/>
      <c r="K100" s="51"/>
      <c r="L100" s="46"/>
    </row>
    <row r="101" spans="2:14" s="34" customFormat="1" x14ac:dyDescent="0.35">
      <c r="B101" s="219"/>
      <c r="C101" s="220"/>
      <c r="D101" s="221" t="s">
        <v>34</v>
      </c>
      <c r="E101" s="222"/>
      <c r="F101" s="204" t="s">
        <v>141</v>
      </c>
      <c r="G101" s="205"/>
      <c r="H101" s="223">
        <v>1</v>
      </c>
      <c r="I101" s="224" t="s">
        <v>92</v>
      </c>
      <c r="J101" s="74">
        <v>750000</v>
      </c>
      <c r="K101" s="51"/>
      <c r="L101" s="46">
        <f>J101*H101</f>
        <v>750000</v>
      </c>
    </row>
    <row r="102" spans="2:14" s="34" customFormat="1" x14ac:dyDescent="0.35">
      <c r="B102" s="225"/>
      <c r="C102" s="226"/>
      <c r="D102" s="227"/>
      <c r="E102" s="222"/>
      <c r="F102" s="204" t="s">
        <v>85</v>
      </c>
      <c r="G102" s="228" t="s">
        <v>254</v>
      </c>
      <c r="H102" s="234"/>
      <c r="I102" s="229"/>
      <c r="J102" s="74"/>
      <c r="K102" s="51"/>
      <c r="L102" s="46"/>
    </row>
    <row r="103" spans="2:14" s="34" customFormat="1" x14ac:dyDescent="0.35">
      <c r="B103" s="230"/>
      <c r="C103" s="231"/>
      <c r="D103" s="206" t="s">
        <v>37</v>
      </c>
      <c r="E103" s="209"/>
      <c r="F103" s="218" t="s">
        <v>255</v>
      </c>
      <c r="G103" s="207"/>
      <c r="H103" s="223">
        <v>1</v>
      </c>
      <c r="I103" s="205" t="s">
        <v>92</v>
      </c>
      <c r="J103" s="74">
        <v>750000</v>
      </c>
      <c r="K103" s="51"/>
      <c r="L103" s="46">
        <f>J103*H103</f>
        <v>750000</v>
      </c>
    </row>
    <row r="104" spans="2:14" s="34" customFormat="1" x14ac:dyDescent="0.35">
      <c r="B104" s="225"/>
      <c r="C104" s="226"/>
      <c r="D104" s="227"/>
      <c r="E104" s="222"/>
      <c r="F104" s="204" t="s">
        <v>85</v>
      </c>
      <c r="G104" s="228" t="s">
        <v>256</v>
      </c>
      <c r="H104" s="234"/>
      <c r="I104" s="229"/>
      <c r="J104" s="74"/>
      <c r="K104" s="51"/>
      <c r="L104" s="46"/>
    </row>
    <row r="105" spans="2:14" s="34" customFormat="1" x14ac:dyDescent="0.35">
      <c r="B105" s="219"/>
      <c r="C105" s="226"/>
      <c r="D105" s="227" t="s">
        <v>39</v>
      </c>
      <c r="E105" s="233"/>
      <c r="F105" s="204" t="s">
        <v>257</v>
      </c>
      <c r="G105" s="205"/>
      <c r="H105" s="223">
        <v>1</v>
      </c>
      <c r="I105" s="224" t="s">
        <v>92</v>
      </c>
      <c r="J105" s="74">
        <v>750000</v>
      </c>
      <c r="K105" s="51"/>
      <c r="L105" s="46">
        <f>J105*H105</f>
        <v>750000</v>
      </c>
    </row>
    <row r="106" spans="2:14" s="34" customFormat="1" x14ac:dyDescent="0.35">
      <c r="B106" s="225"/>
      <c r="C106" s="226"/>
      <c r="D106" s="227"/>
      <c r="E106" s="222"/>
      <c r="F106" s="204" t="s">
        <v>85</v>
      </c>
      <c r="G106" s="228" t="s">
        <v>256</v>
      </c>
      <c r="H106" s="234"/>
      <c r="I106" s="229"/>
      <c r="J106" s="74"/>
      <c r="K106" s="51"/>
      <c r="L106" s="46"/>
    </row>
    <row r="107" spans="2:14" s="34" customFormat="1" x14ac:dyDescent="0.35">
      <c r="B107" s="230"/>
      <c r="C107" s="231"/>
      <c r="D107" s="206" t="s">
        <v>41</v>
      </c>
      <c r="E107" s="209"/>
      <c r="F107" s="218" t="s">
        <v>142</v>
      </c>
      <c r="G107" s="207"/>
      <c r="H107" s="223">
        <v>1</v>
      </c>
      <c r="I107" s="205" t="s">
        <v>92</v>
      </c>
      <c r="J107" s="74">
        <v>750000</v>
      </c>
      <c r="K107" s="51"/>
      <c r="L107" s="46">
        <f>J107*H107</f>
        <v>750000</v>
      </c>
    </row>
    <row r="108" spans="2:14" s="34" customFormat="1" x14ac:dyDescent="0.35">
      <c r="B108" s="225"/>
      <c r="C108" s="226"/>
      <c r="D108" s="227"/>
      <c r="E108" s="222"/>
      <c r="F108" s="204" t="s">
        <v>85</v>
      </c>
      <c r="G108" s="228" t="s">
        <v>256</v>
      </c>
      <c r="H108" s="234"/>
      <c r="I108" s="229"/>
      <c r="J108" s="74"/>
      <c r="K108" s="51"/>
      <c r="L108" s="46"/>
      <c r="M108" s="114"/>
      <c r="N108" s="114"/>
    </row>
    <row r="109" spans="2:14" s="34" customFormat="1" x14ac:dyDescent="0.35">
      <c r="B109" s="230"/>
      <c r="C109" s="231"/>
      <c r="D109" s="206" t="s">
        <v>43</v>
      </c>
      <c r="E109" s="209"/>
      <c r="F109" s="218" t="s">
        <v>143</v>
      </c>
      <c r="G109" s="207"/>
      <c r="H109" s="223">
        <v>1</v>
      </c>
      <c r="I109" s="205" t="s">
        <v>92</v>
      </c>
      <c r="J109" s="74">
        <v>1250000</v>
      </c>
      <c r="K109" s="51"/>
      <c r="L109" s="46">
        <f>J109*H109</f>
        <v>1250000</v>
      </c>
    </row>
    <row r="110" spans="2:14" s="34" customFormat="1" x14ac:dyDescent="0.35">
      <c r="B110" s="219"/>
      <c r="C110" s="226"/>
      <c r="D110" s="227"/>
      <c r="E110" s="233"/>
      <c r="F110" s="204" t="s">
        <v>85</v>
      </c>
      <c r="G110" s="205" t="s">
        <v>258</v>
      </c>
      <c r="H110" s="223"/>
      <c r="I110" s="224"/>
      <c r="J110" s="74"/>
      <c r="K110" s="51"/>
      <c r="L110" s="46"/>
      <c r="M110" s="114"/>
      <c r="N110" s="114"/>
    </row>
    <row r="111" spans="2:14" s="34" customFormat="1" x14ac:dyDescent="0.35">
      <c r="B111" s="236"/>
      <c r="C111" s="226" t="s">
        <v>259</v>
      </c>
      <c r="D111" s="227"/>
      <c r="E111" s="222"/>
      <c r="F111" s="204" t="s">
        <v>144</v>
      </c>
      <c r="G111" s="228"/>
      <c r="H111" s="222"/>
      <c r="I111" s="229"/>
      <c r="J111" s="74"/>
      <c r="K111" s="51"/>
      <c r="L111" s="46"/>
    </row>
    <row r="112" spans="2:14" s="34" customFormat="1" x14ac:dyDescent="0.35">
      <c r="B112" s="209"/>
      <c r="C112" s="231"/>
      <c r="D112" s="206" t="s">
        <v>34</v>
      </c>
      <c r="E112" s="209"/>
      <c r="F112" s="204" t="s">
        <v>145</v>
      </c>
      <c r="G112" s="205"/>
      <c r="H112" s="232"/>
      <c r="I112" s="67"/>
      <c r="J112" s="74"/>
      <c r="K112" s="51"/>
      <c r="L112" s="46"/>
    </row>
    <row r="113" spans="2:12" s="34" customFormat="1" x14ac:dyDescent="0.35">
      <c r="B113" s="209"/>
      <c r="C113" s="231"/>
      <c r="D113" s="206"/>
      <c r="E113" s="209"/>
      <c r="F113" s="204" t="s">
        <v>85</v>
      </c>
      <c r="G113" s="205" t="s">
        <v>260</v>
      </c>
      <c r="H113" s="232">
        <v>13.960439999999998</v>
      </c>
      <c r="I113" s="67" t="s">
        <v>117</v>
      </c>
      <c r="J113" s="74">
        <v>29000</v>
      </c>
      <c r="K113" s="51"/>
      <c r="L113" s="46">
        <f t="shared" ref="L113:L116" si="7">J113*H113</f>
        <v>404852.75999999995</v>
      </c>
    </row>
    <row r="114" spans="2:12" s="34" customFormat="1" x14ac:dyDescent="0.35">
      <c r="B114" s="209"/>
      <c r="C114" s="231"/>
      <c r="D114" s="206"/>
      <c r="E114" s="209"/>
      <c r="F114" s="204" t="s">
        <v>85</v>
      </c>
      <c r="G114" s="205" t="s">
        <v>261</v>
      </c>
      <c r="H114" s="232">
        <v>16.579199999999997</v>
      </c>
      <c r="I114" s="67" t="s">
        <v>117</v>
      </c>
      <c r="J114" s="74">
        <v>29000</v>
      </c>
      <c r="K114" s="51"/>
      <c r="L114" s="46">
        <f t="shared" si="7"/>
        <v>480796.79999999993</v>
      </c>
    </row>
    <row r="115" spans="2:12" x14ac:dyDescent="0.35">
      <c r="B115" s="209"/>
      <c r="C115" s="231"/>
      <c r="D115" s="206"/>
      <c r="E115" s="209"/>
      <c r="F115" s="204" t="s">
        <v>85</v>
      </c>
      <c r="G115" s="205" t="s">
        <v>262</v>
      </c>
      <c r="H115" s="232">
        <v>62.473439999999989</v>
      </c>
      <c r="I115" s="67" t="s">
        <v>117</v>
      </c>
      <c r="J115" s="74">
        <v>29000</v>
      </c>
      <c r="K115" s="51"/>
      <c r="L115" s="46">
        <f t="shared" si="7"/>
        <v>1811729.7599999998</v>
      </c>
    </row>
    <row r="116" spans="2:12" x14ac:dyDescent="0.35">
      <c r="B116" s="209"/>
      <c r="C116" s="231"/>
      <c r="D116" s="206"/>
      <c r="E116" s="209"/>
      <c r="F116" s="204" t="s">
        <v>85</v>
      </c>
      <c r="G116" s="205" t="s">
        <v>263</v>
      </c>
      <c r="H116" s="232">
        <v>20.705159999999999</v>
      </c>
      <c r="I116" s="67" t="s">
        <v>117</v>
      </c>
      <c r="J116" s="74">
        <v>29000</v>
      </c>
      <c r="K116" s="51"/>
      <c r="L116" s="46">
        <f t="shared" si="7"/>
        <v>600449.64</v>
      </c>
    </row>
    <row r="117" spans="2:12" x14ac:dyDescent="0.35">
      <c r="B117" s="209"/>
      <c r="C117" s="231"/>
      <c r="D117" s="206" t="s">
        <v>37</v>
      </c>
      <c r="E117" s="209"/>
      <c r="F117" s="204" t="s">
        <v>146</v>
      </c>
      <c r="G117" s="205"/>
      <c r="H117" s="232"/>
      <c r="I117" s="67"/>
      <c r="J117" s="46"/>
      <c r="K117" s="58"/>
      <c r="L117" s="46"/>
    </row>
    <row r="118" spans="2:12" x14ac:dyDescent="0.35">
      <c r="B118" s="209"/>
      <c r="C118" s="231"/>
      <c r="D118" s="206"/>
      <c r="E118" s="209"/>
      <c r="F118" s="204" t="s">
        <v>85</v>
      </c>
      <c r="G118" s="205" t="s">
        <v>264</v>
      </c>
      <c r="H118" s="232">
        <v>11.916299999999998</v>
      </c>
      <c r="I118" s="67" t="s">
        <v>117</v>
      </c>
      <c r="J118" s="74">
        <v>29000</v>
      </c>
      <c r="K118" s="51"/>
      <c r="L118" s="46">
        <f t="shared" ref="L118:L126" si="8">J118*H118</f>
        <v>345572.69999999995</v>
      </c>
    </row>
    <row r="119" spans="2:12" x14ac:dyDescent="0.35">
      <c r="B119" s="209"/>
      <c r="C119" s="231"/>
      <c r="D119" s="206"/>
      <c r="E119" s="209"/>
      <c r="F119" s="204" t="s">
        <v>85</v>
      </c>
      <c r="G119" s="205" t="s">
        <v>265</v>
      </c>
      <c r="H119" s="232">
        <v>14.205359999999999</v>
      </c>
      <c r="I119" s="67" t="s">
        <v>117</v>
      </c>
      <c r="J119" s="74">
        <v>29000</v>
      </c>
      <c r="K119" s="51"/>
      <c r="L119" s="46">
        <f t="shared" si="8"/>
        <v>411955.43999999994</v>
      </c>
    </row>
    <row r="120" spans="2:12" x14ac:dyDescent="0.35">
      <c r="B120" s="209"/>
      <c r="C120" s="231"/>
      <c r="D120" s="206"/>
      <c r="E120" s="209"/>
      <c r="F120" s="204" t="s">
        <v>85</v>
      </c>
      <c r="G120" s="205" t="s">
        <v>266</v>
      </c>
      <c r="H120" s="232">
        <v>8.7417600000000011</v>
      </c>
      <c r="I120" s="67" t="s">
        <v>117</v>
      </c>
      <c r="J120" s="74">
        <v>29000</v>
      </c>
      <c r="K120" s="51"/>
      <c r="L120" s="46">
        <f t="shared" si="8"/>
        <v>253511.04000000004</v>
      </c>
    </row>
    <row r="121" spans="2:12" s="34" customFormat="1" x14ac:dyDescent="0.35">
      <c r="B121" s="236"/>
      <c r="C121" s="226"/>
      <c r="D121" s="227"/>
      <c r="E121" s="222"/>
      <c r="F121" s="204" t="s">
        <v>85</v>
      </c>
      <c r="G121" s="228" t="s">
        <v>267</v>
      </c>
      <c r="H121" s="234">
        <v>30.125160000000001</v>
      </c>
      <c r="I121" s="229" t="s">
        <v>117</v>
      </c>
      <c r="J121" s="74">
        <v>29000</v>
      </c>
      <c r="K121" s="51"/>
      <c r="L121" s="46">
        <f t="shared" si="8"/>
        <v>873629.64</v>
      </c>
    </row>
    <row r="122" spans="2:12" x14ac:dyDescent="0.35">
      <c r="B122" s="209"/>
      <c r="C122" s="231"/>
      <c r="D122" s="206"/>
      <c r="E122" s="209"/>
      <c r="F122" s="204" t="s">
        <v>85</v>
      </c>
      <c r="G122" s="205" t="s">
        <v>268</v>
      </c>
      <c r="H122" s="232">
        <v>20.724</v>
      </c>
      <c r="I122" s="67" t="s">
        <v>117</v>
      </c>
      <c r="J122" s="74">
        <v>29000</v>
      </c>
      <c r="K122" s="51"/>
      <c r="L122" s="46">
        <f t="shared" si="8"/>
        <v>600996</v>
      </c>
    </row>
    <row r="123" spans="2:12" x14ac:dyDescent="0.35">
      <c r="B123" s="209"/>
      <c r="C123" s="231"/>
      <c r="D123" s="206"/>
      <c r="E123" s="209"/>
      <c r="F123" s="204" t="s">
        <v>85</v>
      </c>
      <c r="G123" s="205" t="s">
        <v>269</v>
      </c>
      <c r="H123" s="232">
        <v>43.859519999999996</v>
      </c>
      <c r="I123" s="67" t="s">
        <v>117</v>
      </c>
      <c r="J123" s="74">
        <v>29000</v>
      </c>
      <c r="K123" s="51"/>
      <c r="L123" s="46">
        <f t="shared" si="8"/>
        <v>1271926.0799999998</v>
      </c>
    </row>
    <row r="124" spans="2:12" x14ac:dyDescent="0.35">
      <c r="B124" s="209"/>
      <c r="C124" s="231"/>
      <c r="D124" s="206"/>
      <c r="E124" s="209"/>
      <c r="F124" s="204" t="s">
        <v>85</v>
      </c>
      <c r="G124" s="205" t="s">
        <v>270</v>
      </c>
      <c r="H124" s="232">
        <v>132.50799999999998</v>
      </c>
      <c r="I124" s="67" t="s">
        <v>117</v>
      </c>
      <c r="J124" s="74">
        <v>29000</v>
      </c>
      <c r="K124" s="51"/>
      <c r="L124" s="46">
        <f t="shared" si="8"/>
        <v>3842731.9999999995</v>
      </c>
    </row>
    <row r="125" spans="2:12" x14ac:dyDescent="0.35">
      <c r="B125" s="236"/>
      <c r="C125" s="220"/>
      <c r="D125" s="221"/>
      <c r="E125" s="222"/>
      <c r="F125" s="204" t="s">
        <v>85</v>
      </c>
      <c r="G125" s="205" t="s">
        <v>271</v>
      </c>
      <c r="H125" s="232">
        <v>8.8020479999999992</v>
      </c>
      <c r="I125" s="224" t="s">
        <v>117</v>
      </c>
      <c r="J125" s="74">
        <v>29000</v>
      </c>
      <c r="K125" s="51"/>
      <c r="L125" s="46">
        <f t="shared" si="8"/>
        <v>255259.39199999996</v>
      </c>
    </row>
    <row r="126" spans="2:12" s="34" customFormat="1" x14ac:dyDescent="0.35">
      <c r="B126" s="236"/>
      <c r="C126" s="226"/>
      <c r="D126" s="227"/>
      <c r="E126" s="222"/>
      <c r="F126" s="204" t="s">
        <v>85</v>
      </c>
      <c r="G126" s="228" t="s">
        <v>272</v>
      </c>
      <c r="H126" s="235">
        <v>45.215999999999994</v>
      </c>
      <c r="I126" s="229" t="s">
        <v>117</v>
      </c>
      <c r="J126" s="74">
        <v>29000</v>
      </c>
      <c r="K126" s="51"/>
      <c r="L126" s="46">
        <f t="shared" si="8"/>
        <v>1311263.9999999998</v>
      </c>
    </row>
    <row r="127" spans="2:12" x14ac:dyDescent="0.35">
      <c r="B127" s="209"/>
      <c r="C127" s="231" t="s">
        <v>273</v>
      </c>
      <c r="D127" s="206"/>
      <c r="E127" s="209"/>
      <c r="F127" s="204" t="s">
        <v>147</v>
      </c>
      <c r="G127" s="205"/>
      <c r="H127" s="232"/>
      <c r="I127" s="67"/>
      <c r="J127" s="92"/>
      <c r="K127" s="58"/>
      <c r="L127" s="46"/>
    </row>
    <row r="128" spans="2:12" x14ac:dyDescent="0.35">
      <c r="B128" s="225"/>
      <c r="C128" s="220"/>
      <c r="D128" s="221" t="s">
        <v>34</v>
      </c>
      <c r="E128" s="222"/>
      <c r="F128" s="204" t="s">
        <v>148</v>
      </c>
      <c r="G128" s="205"/>
      <c r="H128" s="109">
        <v>1</v>
      </c>
      <c r="I128" s="111" t="s">
        <v>92</v>
      </c>
      <c r="J128" s="74">
        <v>750000</v>
      </c>
      <c r="K128" s="51"/>
      <c r="L128" s="46">
        <f>J128*H128</f>
        <v>750000</v>
      </c>
    </row>
    <row r="129" spans="2:14" x14ac:dyDescent="0.35">
      <c r="B129" s="236"/>
      <c r="C129" s="226"/>
      <c r="D129" s="206"/>
      <c r="E129" s="210"/>
      <c r="F129" s="204" t="s">
        <v>85</v>
      </c>
      <c r="G129" s="205" t="s">
        <v>274</v>
      </c>
      <c r="H129" s="232"/>
      <c r="I129" s="205"/>
      <c r="J129" s="46"/>
      <c r="K129" s="58"/>
      <c r="L129" s="46"/>
    </row>
    <row r="130" spans="2:14" x14ac:dyDescent="0.35">
      <c r="B130" s="209"/>
      <c r="C130" s="231" t="s">
        <v>275</v>
      </c>
      <c r="D130" s="206"/>
      <c r="E130" s="209"/>
      <c r="F130" s="204" t="s">
        <v>149</v>
      </c>
      <c r="G130" s="205"/>
      <c r="H130" s="232"/>
      <c r="I130" s="67"/>
      <c r="J130" s="89"/>
      <c r="K130" s="89"/>
      <c r="L130" s="46"/>
    </row>
    <row r="131" spans="2:14" x14ac:dyDescent="0.35">
      <c r="B131" s="236"/>
      <c r="C131" s="226"/>
      <c r="D131" s="206" t="s">
        <v>34</v>
      </c>
      <c r="E131" s="233"/>
      <c r="F131" s="204" t="s">
        <v>276</v>
      </c>
      <c r="G131" s="241"/>
      <c r="H131" s="109">
        <v>1</v>
      </c>
      <c r="I131" s="111" t="s">
        <v>92</v>
      </c>
      <c r="J131" s="74">
        <v>4100000</v>
      </c>
      <c r="K131" s="51"/>
      <c r="L131" s="46">
        <f>J131*H131</f>
        <v>4100000</v>
      </c>
    </row>
    <row r="132" spans="2:14" x14ac:dyDescent="0.35">
      <c r="B132" s="237"/>
      <c r="C132" s="238"/>
      <c r="D132" s="227"/>
      <c r="E132" s="222"/>
      <c r="F132" s="239" t="s">
        <v>85</v>
      </c>
      <c r="G132" s="229" t="s">
        <v>277</v>
      </c>
      <c r="H132" s="234"/>
      <c r="I132" s="240"/>
      <c r="J132" s="92"/>
      <c r="K132" s="58"/>
      <c r="L132" s="46"/>
      <c r="M132" s="242"/>
    </row>
    <row r="133" spans="2:14" x14ac:dyDescent="0.35">
      <c r="B133" s="237"/>
      <c r="C133" s="238"/>
      <c r="D133" s="227"/>
      <c r="E133" s="222"/>
      <c r="F133" s="239" t="s">
        <v>85</v>
      </c>
      <c r="G133" s="229" t="s">
        <v>278</v>
      </c>
      <c r="H133" s="234"/>
      <c r="I133" s="240"/>
      <c r="J133" s="92"/>
      <c r="K133" s="58"/>
      <c r="L133" s="46"/>
      <c r="M133" s="242"/>
    </row>
    <row r="134" spans="2:14" x14ac:dyDescent="0.35">
      <c r="B134" s="219"/>
      <c r="C134" s="220"/>
      <c r="D134" s="221"/>
      <c r="E134" s="222"/>
      <c r="F134" s="204" t="s">
        <v>85</v>
      </c>
      <c r="G134" s="205" t="s">
        <v>281</v>
      </c>
      <c r="H134" s="223"/>
      <c r="I134" s="224"/>
      <c r="J134" s="92"/>
      <c r="K134" s="58"/>
      <c r="L134" s="46"/>
      <c r="M134" s="242"/>
    </row>
    <row r="135" spans="2:14" x14ac:dyDescent="0.35">
      <c r="B135" s="225"/>
      <c r="C135" s="226"/>
      <c r="D135" s="227"/>
      <c r="E135" s="222"/>
      <c r="F135" s="204" t="s">
        <v>85</v>
      </c>
      <c r="G135" s="228" t="s">
        <v>282</v>
      </c>
      <c r="H135" s="222"/>
      <c r="I135" s="229"/>
      <c r="J135" s="92"/>
      <c r="K135" s="58"/>
      <c r="L135" s="46"/>
      <c r="M135" s="242"/>
      <c r="N135" s="242"/>
    </row>
    <row r="136" spans="2:14" x14ac:dyDescent="0.35">
      <c r="B136" s="236"/>
      <c r="C136" s="226"/>
      <c r="D136" s="206" t="s">
        <v>37</v>
      </c>
      <c r="E136" s="233"/>
      <c r="F136" s="204" t="s">
        <v>279</v>
      </c>
      <c r="G136" s="241"/>
      <c r="H136" s="109">
        <v>1</v>
      </c>
      <c r="I136" s="111" t="s">
        <v>92</v>
      </c>
      <c r="J136" s="74">
        <v>4100000</v>
      </c>
      <c r="K136" s="51"/>
      <c r="L136" s="46">
        <f>J136*H136</f>
        <v>4100000</v>
      </c>
    </row>
    <row r="137" spans="2:14" x14ac:dyDescent="0.35">
      <c r="B137" s="236"/>
      <c r="C137" s="226"/>
      <c r="D137" s="206"/>
      <c r="E137" s="233"/>
      <c r="F137" s="204" t="s">
        <v>85</v>
      </c>
      <c r="G137" s="241" t="s">
        <v>277</v>
      </c>
      <c r="H137" s="234"/>
      <c r="I137" s="224"/>
      <c r="J137" s="92"/>
      <c r="K137" s="89"/>
      <c r="L137" s="46"/>
      <c r="M137" s="242"/>
    </row>
    <row r="138" spans="2:14" x14ac:dyDescent="0.35">
      <c r="B138" s="236"/>
      <c r="C138" s="226"/>
      <c r="D138" s="206"/>
      <c r="E138" s="210"/>
      <c r="F138" s="204" t="s">
        <v>85</v>
      </c>
      <c r="G138" s="205" t="s">
        <v>278</v>
      </c>
      <c r="H138" s="232"/>
      <c r="I138" s="205"/>
      <c r="J138" s="92"/>
      <c r="K138" s="93"/>
      <c r="L138" s="46"/>
      <c r="M138" s="242"/>
    </row>
    <row r="139" spans="2:14" s="34" customFormat="1" x14ac:dyDescent="0.35">
      <c r="B139" s="225"/>
      <c r="C139" s="220"/>
      <c r="D139" s="221"/>
      <c r="E139" s="222"/>
      <c r="F139" s="204" t="s">
        <v>85</v>
      </c>
      <c r="G139" s="205" t="s">
        <v>281</v>
      </c>
      <c r="H139" s="223"/>
      <c r="I139" s="224"/>
      <c r="J139" s="92"/>
      <c r="K139" s="51"/>
      <c r="L139" s="46"/>
      <c r="M139" s="242"/>
      <c r="N139"/>
    </row>
    <row r="140" spans="2:14" s="34" customFormat="1" x14ac:dyDescent="0.35">
      <c r="B140" s="219"/>
      <c r="C140" s="226"/>
      <c r="D140" s="227"/>
      <c r="E140" s="222"/>
      <c r="F140" s="204" t="s">
        <v>85</v>
      </c>
      <c r="G140" s="228" t="s">
        <v>282</v>
      </c>
      <c r="H140" s="222"/>
      <c r="I140" s="229"/>
      <c r="J140" s="92"/>
      <c r="K140" s="94"/>
      <c r="L140" s="46"/>
      <c r="M140" s="242"/>
      <c r="N140" s="242"/>
    </row>
    <row r="141" spans="2:14" s="34" customFormat="1" x14ac:dyDescent="0.35">
      <c r="B141" s="225"/>
      <c r="C141" s="220"/>
      <c r="D141" s="221" t="s">
        <v>39</v>
      </c>
      <c r="E141" s="222"/>
      <c r="F141" s="204" t="s">
        <v>280</v>
      </c>
      <c r="G141" s="205"/>
      <c r="H141" s="109">
        <v>1</v>
      </c>
      <c r="I141" s="111" t="s">
        <v>92</v>
      </c>
      <c r="J141" s="74">
        <v>4100000</v>
      </c>
      <c r="K141" s="51"/>
      <c r="L141" s="46">
        <f>J141*H141</f>
        <v>4100000</v>
      </c>
    </row>
    <row r="142" spans="2:14" s="34" customFormat="1" x14ac:dyDescent="0.35">
      <c r="B142" s="219"/>
      <c r="C142" s="226"/>
      <c r="D142" s="227"/>
      <c r="E142" s="222"/>
      <c r="F142" s="204" t="s">
        <v>85</v>
      </c>
      <c r="G142" s="228" t="s">
        <v>277</v>
      </c>
      <c r="H142" s="234"/>
      <c r="I142" s="229"/>
      <c r="J142" s="92"/>
      <c r="K142" s="51"/>
      <c r="L142" s="46"/>
      <c r="M142" s="242"/>
      <c r="N142"/>
    </row>
    <row r="143" spans="2:14" s="34" customFormat="1" x14ac:dyDescent="0.35">
      <c r="B143" s="225"/>
      <c r="C143" s="220"/>
      <c r="D143" s="221"/>
      <c r="E143" s="222"/>
      <c r="F143" s="204" t="s">
        <v>85</v>
      </c>
      <c r="G143" s="205" t="s">
        <v>278</v>
      </c>
      <c r="H143" s="232"/>
      <c r="I143" s="224"/>
      <c r="J143" s="92"/>
      <c r="K143" s="51"/>
      <c r="L143" s="46"/>
      <c r="M143" s="242"/>
      <c r="N143"/>
    </row>
    <row r="144" spans="2:14" s="34" customFormat="1" x14ac:dyDescent="0.35">
      <c r="B144" s="219"/>
      <c r="C144" s="226"/>
      <c r="D144" s="227"/>
      <c r="E144" s="233"/>
      <c r="F144" s="204" t="s">
        <v>85</v>
      </c>
      <c r="G144" s="205" t="s">
        <v>281</v>
      </c>
      <c r="H144" s="223"/>
      <c r="I144" s="224"/>
      <c r="J144" s="92"/>
      <c r="K144" s="51"/>
      <c r="L144" s="46"/>
      <c r="M144" s="242"/>
      <c r="N144"/>
    </row>
    <row r="145" spans="2:14" x14ac:dyDescent="0.35">
      <c r="B145" s="219"/>
      <c r="C145" s="226"/>
      <c r="D145" s="227"/>
      <c r="E145" s="233"/>
      <c r="F145" s="204" t="s">
        <v>85</v>
      </c>
      <c r="G145" s="205" t="s">
        <v>282</v>
      </c>
      <c r="H145" s="223"/>
      <c r="I145" s="224"/>
      <c r="J145" s="92"/>
      <c r="K145" s="29"/>
      <c r="L145" s="52"/>
      <c r="M145" s="242"/>
      <c r="N145" s="242"/>
    </row>
    <row r="146" spans="2:14" x14ac:dyDescent="0.35">
      <c r="B146" s="209"/>
      <c r="C146" s="231" t="s">
        <v>321</v>
      </c>
      <c r="D146" s="206"/>
      <c r="E146" s="209"/>
      <c r="F146" s="204" t="s">
        <v>150</v>
      </c>
      <c r="G146" s="205"/>
      <c r="H146" s="223"/>
      <c r="I146" s="67"/>
      <c r="J146" s="50"/>
      <c r="K146" s="29"/>
      <c r="L146" s="52"/>
    </row>
    <row r="147" spans="2:14" x14ac:dyDescent="0.35">
      <c r="B147" s="209"/>
      <c r="C147" s="231"/>
      <c r="D147" s="206" t="s">
        <v>34</v>
      </c>
      <c r="E147" s="209"/>
      <c r="F147" s="204" t="s">
        <v>151</v>
      </c>
      <c r="G147" s="205"/>
      <c r="H147" s="223">
        <v>1</v>
      </c>
      <c r="I147" s="67" t="s">
        <v>36</v>
      </c>
      <c r="J147" s="65">
        <v>2500000</v>
      </c>
      <c r="K147" s="58">
        <f t="shared" ref="K147" si="9">J147*H147</f>
        <v>2500000</v>
      </c>
      <c r="L147" s="46"/>
    </row>
    <row r="148" spans="2:14" x14ac:dyDescent="0.35">
      <c r="B148" s="47"/>
      <c r="C148" s="48"/>
      <c r="D148" s="24"/>
      <c r="G148" s="22"/>
      <c r="I148" s="22"/>
      <c r="J148" s="50"/>
      <c r="K148" s="29"/>
      <c r="L148" s="52"/>
    </row>
    <row r="149" spans="2:14" x14ac:dyDescent="0.35">
      <c r="B149" s="47"/>
      <c r="C149" s="48"/>
      <c r="D149" s="24"/>
      <c r="G149" s="22"/>
      <c r="I149" s="22"/>
      <c r="J149" s="50"/>
      <c r="K149" s="29"/>
      <c r="L149" s="52"/>
    </row>
    <row r="150" spans="2:14" x14ac:dyDescent="0.35">
      <c r="B150" s="8"/>
      <c r="C150" s="9"/>
      <c r="D150" s="10"/>
      <c r="E150" s="4"/>
      <c r="F150" s="4"/>
      <c r="G150" s="4"/>
      <c r="H150" s="1"/>
      <c r="I150" s="1"/>
      <c r="J150" s="11" t="s">
        <v>8</v>
      </c>
      <c r="K150" s="7">
        <f>SUM(K92:K149)</f>
        <v>14775000</v>
      </c>
      <c r="L150" s="7">
        <f>SUM(L92:L149)</f>
        <v>29764675.252</v>
      </c>
    </row>
    <row r="151" spans="2:14" x14ac:dyDescent="0.35">
      <c r="B151" s="8"/>
      <c r="C151" s="9"/>
      <c r="D151" s="9"/>
      <c r="E151" s="4"/>
      <c r="F151" s="4"/>
      <c r="G151" s="4"/>
      <c r="H151" s="1"/>
      <c r="I151" s="1"/>
      <c r="J151" s="11"/>
      <c r="K151" s="35" t="s">
        <v>12</v>
      </c>
      <c r="L151" s="36" t="s">
        <v>13</v>
      </c>
    </row>
    <row r="152" spans="2:14" x14ac:dyDescent="0.35">
      <c r="B152" s="3" t="s">
        <v>9</v>
      </c>
      <c r="C152" s="4"/>
      <c r="D152" s="4"/>
      <c r="E152" s="4"/>
      <c r="F152" s="4"/>
      <c r="G152" s="4"/>
      <c r="H152" s="1"/>
      <c r="I152" s="1"/>
      <c r="J152" s="12"/>
      <c r="K152" s="12"/>
      <c r="L152" s="13"/>
    </row>
    <row r="153" spans="2:14" x14ac:dyDescent="0.35">
      <c r="B153" s="37"/>
      <c r="C153" s="1"/>
      <c r="D153" s="1"/>
      <c r="E153" s="38"/>
      <c r="F153" s="38"/>
      <c r="G153" s="38"/>
      <c r="H153" s="1"/>
      <c r="I153" s="1"/>
      <c r="J153" s="1"/>
      <c r="K153" s="1"/>
      <c r="L153" s="19"/>
    </row>
    <row r="154" spans="2:14" x14ac:dyDescent="0.35">
      <c r="B154" s="28" t="s">
        <v>6</v>
      </c>
      <c r="C154" s="27"/>
      <c r="D154" s="27"/>
      <c r="E154" s="26"/>
      <c r="F154" s="26"/>
      <c r="G154" s="5"/>
      <c r="K154" s="301" t="s">
        <v>27</v>
      </c>
      <c r="L154" s="302"/>
    </row>
    <row r="155" spans="2:14" x14ac:dyDescent="0.35">
      <c r="B155" s="28">
        <v>1</v>
      </c>
      <c r="C155" s="27"/>
      <c r="D155" s="27"/>
      <c r="E155" s="26" t="s">
        <v>7</v>
      </c>
      <c r="F155" s="26"/>
      <c r="G155" s="5"/>
      <c r="K155" s="301" t="s">
        <v>17</v>
      </c>
      <c r="L155" s="302"/>
    </row>
    <row r="156" spans="2:14" x14ac:dyDescent="0.35">
      <c r="B156" s="39"/>
      <c r="C156" s="27"/>
      <c r="D156" s="27"/>
      <c r="E156" s="26"/>
      <c r="F156" s="26"/>
      <c r="G156" s="5"/>
      <c r="J156" s="25"/>
      <c r="K156" s="25"/>
      <c r="L156" s="24"/>
    </row>
    <row r="157" spans="2:14" x14ac:dyDescent="0.35">
      <c r="B157" s="28"/>
      <c r="C157" s="27"/>
      <c r="D157" s="27"/>
      <c r="E157" s="26"/>
      <c r="F157" s="26"/>
      <c r="G157" s="5"/>
      <c r="L157" s="22"/>
    </row>
    <row r="158" spans="2:14" x14ac:dyDescent="0.35">
      <c r="B158" s="45"/>
      <c r="E158" s="5"/>
      <c r="F158" s="5"/>
      <c r="G158" s="5"/>
      <c r="L158" s="22"/>
    </row>
    <row r="159" spans="2:14" x14ac:dyDescent="0.35">
      <c r="B159" s="45"/>
      <c r="E159" s="5"/>
      <c r="F159" s="5"/>
      <c r="G159" s="5"/>
      <c r="L159" s="22"/>
    </row>
    <row r="160" spans="2:14" x14ac:dyDescent="0.35">
      <c r="B160" s="45"/>
      <c r="E160" s="5"/>
      <c r="F160" s="5"/>
      <c r="G160" s="5"/>
      <c r="L160" s="22"/>
    </row>
    <row r="161" spans="2:12" x14ac:dyDescent="0.35">
      <c r="B161" s="45"/>
      <c r="E161" s="5"/>
      <c r="F161" s="5"/>
      <c r="G161" s="5"/>
      <c r="J161" s="40"/>
      <c r="K161" s="303" t="s">
        <v>25</v>
      </c>
      <c r="L161" s="304"/>
    </row>
    <row r="162" spans="2:12" x14ac:dyDescent="0.35">
      <c r="B162" s="45"/>
      <c r="K162" s="289" t="s">
        <v>26</v>
      </c>
      <c r="L162" s="290"/>
    </row>
    <row r="163" spans="2:12" x14ac:dyDescent="0.35">
      <c r="B163" s="305"/>
      <c r="C163" s="306"/>
      <c r="D163" s="306"/>
      <c r="E163" s="41"/>
      <c r="F163" s="41"/>
      <c r="G163" s="41"/>
      <c r="H163" s="2"/>
      <c r="I163" s="2"/>
      <c r="J163" s="2"/>
      <c r="K163" s="2"/>
      <c r="L163" s="21"/>
    </row>
    <row r="164" spans="2:12" x14ac:dyDescent="0.35">
      <c r="B164" s="47"/>
      <c r="C164" s="48"/>
      <c r="D164" s="49"/>
      <c r="G164" s="22"/>
      <c r="H164" s="1"/>
      <c r="I164" s="1"/>
      <c r="J164" s="43"/>
      <c r="K164" s="30"/>
      <c r="L164" s="44"/>
    </row>
    <row r="165" spans="2:12" s="34" customFormat="1" x14ac:dyDescent="0.35">
      <c r="B165" s="181"/>
      <c r="C165" s="182"/>
      <c r="D165" s="183"/>
      <c r="E165" s="136"/>
      <c r="F165" s="137" t="s">
        <v>156</v>
      </c>
      <c r="G165" s="138"/>
      <c r="H165" s="184"/>
      <c r="I165" s="185"/>
      <c r="J165" s="74"/>
      <c r="K165" s="51"/>
      <c r="L165" s="46"/>
    </row>
    <row r="166" spans="2:12" s="34" customFormat="1" x14ac:dyDescent="0.35">
      <c r="B166" s="139" t="s">
        <v>33</v>
      </c>
      <c r="C166" s="140"/>
      <c r="D166" s="141"/>
      <c r="E166" s="142" t="s">
        <v>82</v>
      </c>
      <c r="F166" s="143"/>
      <c r="G166" s="144"/>
      <c r="H166" s="145"/>
      <c r="I166" s="146"/>
      <c r="J166" s="74"/>
      <c r="K166" s="51"/>
      <c r="L166" s="46"/>
    </row>
    <row r="167" spans="2:12" s="34" customFormat="1" x14ac:dyDescent="0.35">
      <c r="B167" s="160"/>
      <c r="C167" s="161"/>
      <c r="D167" s="162" t="s">
        <v>34</v>
      </c>
      <c r="E167" s="163"/>
      <c r="F167" s="164" t="s">
        <v>283</v>
      </c>
      <c r="G167" s="165"/>
      <c r="H167" s="166">
        <v>1</v>
      </c>
      <c r="I167" s="167" t="s">
        <v>92</v>
      </c>
      <c r="J167" s="74">
        <v>1300000</v>
      </c>
      <c r="K167" s="155">
        <f>J167*H167</f>
        <v>1300000</v>
      </c>
      <c r="L167" s="46"/>
    </row>
    <row r="168" spans="2:12" s="34" customFormat="1" x14ac:dyDescent="0.35">
      <c r="B168" s="160"/>
      <c r="C168" s="161"/>
      <c r="D168" s="162"/>
      <c r="E168" s="163"/>
      <c r="F168" s="164" t="s">
        <v>85</v>
      </c>
      <c r="G168" s="165" t="s">
        <v>284</v>
      </c>
      <c r="H168" s="243"/>
      <c r="I168" s="167"/>
      <c r="J168" s="74"/>
      <c r="K168" s="51"/>
      <c r="L168" s="46"/>
    </row>
    <row r="169" spans="2:12" s="34" customFormat="1" x14ac:dyDescent="0.35">
      <c r="B169" s="160"/>
      <c r="C169" s="161"/>
      <c r="D169" s="162" t="s">
        <v>37</v>
      </c>
      <c r="E169" s="163"/>
      <c r="F169" s="164" t="s">
        <v>285</v>
      </c>
      <c r="G169" s="165"/>
      <c r="H169" s="166">
        <v>1</v>
      </c>
      <c r="I169" s="167" t="s">
        <v>92</v>
      </c>
      <c r="J169" s="74">
        <v>1300000</v>
      </c>
      <c r="K169" s="155">
        <f>J169*H169</f>
        <v>1300000</v>
      </c>
      <c r="L169" s="46"/>
    </row>
    <row r="170" spans="2:12" s="34" customFormat="1" x14ac:dyDescent="0.35">
      <c r="B170" s="160"/>
      <c r="C170" s="161"/>
      <c r="D170" s="162"/>
      <c r="E170" s="163"/>
      <c r="F170" s="164" t="s">
        <v>85</v>
      </c>
      <c r="G170" s="165" t="s">
        <v>305</v>
      </c>
      <c r="H170" s="166"/>
      <c r="I170" s="167"/>
      <c r="J170" s="74"/>
      <c r="K170" s="51"/>
      <c r="L170" s="46"/>
    </row>
    <row r="171" spans="2:12" s="34" customFormat="1" x14ac:dyDescent="0.35">
      <c r="B171" s="160"/>
      <c r="C171" s="161"/>
      <c r="D171" s="162"/>
      <c r="E171" s="163"/>
      <c r="F171" s="164" t="s">
        <v>85</v>
      </c>
      <c r="G171" s="165" t="s">
        <v>286</v>
      </c>
      <c r="H171" s="243"/>
      <c r="I171" s="167"/>
      <c r="J171" s="74"/>
      <c r="K171" s="51"/>
      <c r="L171" s="46"/>
    </row>
    <row r="172" spans="2:12" s="34" customFormat="1" x14ac:dyDescent="0.35">
      <c r="B172" s="160"/>
      <c r="C172" s="161"/>
      <c r="D172" s="162" t="s">
        <v>39</v>
      </c>
      <c r="E172" s="163"/>
      <c r="F172" s="164" t="s">
        <v>157</v>
      </c>
      <c r="G172" s="165"/>
      <c r="H172" s="166">
        <v>2</v>
      </c>
      <c r="I172" s="167" t="s">
        <v>84</v>
      </c>
      <c r="J172" s="74">
        <v>1700000</v>
      </c>
      <c r="K172" s="51">
        <f>J172*H172</f>
        <v>3400000</v>
      </c>
      <c r="L172" s="46"/>
    </row>
    <row r="173" spans="2:12" s="34" customFormat="1" x14ac:dyDescent="0.35">
      <c r="B173" s="160"/>
      <c r="C173" s="161"/>
      <c r="D173" s="162"/>
      <c r="E173" s="163"/>
      <c r="F173" s="164" t="s">
        <v>85</v>
      </c>
      <c r="G173" s="165" t="s">
        <v>287</v>
      </c>
      <c r="H173" s="166"/>
      <c r="I173" s="167"/>
      <c r="J173" s="74"/>
      <c r="K173" s="51"/>
      <c r="L173" s="46"/>
    </row>
    <row r="174" spans="2:12" s="34" customFormat="1" x14ac:dyDescent="0.35">
      <c r="B174" s="160"/>
      <c r="C174" s="161"/>
      <c r="D174" s="162"/>
      <c r="E174" s="163"/>
      <c r="F174" s="164" t="s">
        <v>85</v>
      </c>
      <c r="G174" s="165" t="s">
        <v>288</v>
      </c>
      <c r="H174" s="166"/>
      <c r="I174" s="167"/>
      <c r="J174" s="74"/>
      <c r="K174" s="51"/>
      <c r="L174" s="46"/>
    </row>
    <row r="175" spans="2:12" s="34" customFormat="1" x14ac:dyDescent="0.35">
      <c r="B175" s="181" t="s">
        <v>67</v>
      </c>
      <c r="C175" s="182"/>
      <c r="D175" s="183"/>
      <c r="E175" s="244" t="s">
        <v>87</v>
      </c>
      <c r="F175" s="245"/>
      <c r="G175" s="246"/>
      <c r="H175" s="184"/>
      <c r="I175" s="185"/>
      <c r="J175" s="74"/>
      <c r="K175" s="51"/>
      <c r="L175" s="46"/>
    </row>
    <row r="176" spans="2:12" s="34" customFormat="1" x14ac:dyDescent="0.35">
      <c r="B176" s="160"/>
      <c r="C176" s="161"/>
      <c r="D176" s="162" t="s">
        <v>34</v>
      </c>
      <c r="E176" s="163"/>
      <c r="F176" s="164" t="s">
        <v>158</v>
      </c>
      <c r="G176" s="165"/>
      <c r="H176" s="166">
        <v>2</v>
      </c>
      <c r="I176" s="167" t="s">
        <v>92</v>
      </c>
      <c r="J176" s="74">
        <v>1750000</v>
      </c>
      <c r="K176" s="51"/>
      <c r="L176" s="46">
        <f>J176*H176</f>
        <v>3500000</v>
      </c>
    </row>
    <row r="177" spans="2:17" s="34" customFormat="1" x14ac:dyDescent="0.35">
      <c r="B177" s="160"/>
      <c r="C177" s="161"/>
      <c r="D177" s="162"/>
      <c r="E177" s="163"/>
      <c r="F177" s="164" t="s">
        <v>85</v>
      </c>
      <c r="G177" s="165" t="s">
        <v>289</v>
      </c>
      <c r="H177" s="166"/>
      <c r="I177" s="167"/>
      <c r="J177" s="74"/>
      <c r="K177" s="51"/>
      <c r="L177" s="46"/>
    </row>
    <row r="178" spans="2:17" s="34" customFormat="1" x14ac:dyDescent="0.35">
      <c r="B178" s="139" t="s">
        <v>81</v>
      </c>
      <c r="C178" s="140"/>
      <c r="D178" s="141"/>
      <c r="E178" s="142" t="s">
        <v>159</v>
      </c>
      <c r="F178" s="143"/>
      <c r="G178" s="144"/>
      <c r="H178" s="145"/>
      <c r="I178" s="146"/>
      <c r="J178" s="29"/>
      <c r="K178" s="51"/>
      <c r="L178" s="46"/>
    </row>
    <row r="179" spans="2:17" s="34" customFormat="1" x14ac:dyDescent="0.35">
      <c r="B179" s="147"/>
      <c r="C179" s="148"/>
      <c r="D179" s="149" t="s">
        <v>34</v>
      </c>
      <c r="E179" s="150"/>
      <c r="F179" s="151" t="s">
        <v>160</v>
      </c>
      <c r="G179" s="152"/>
      <c r="H179" s="157"/>
      <c r="I179" s="154"/>
      <c r="J179" s="74"/>
      <c r="K179" s="51"/>
      <c r="L179" s="46"/>
    </row>
    <row r="180" spans="2:17" s="34" customFormat="1" x14ac:dyDescent="0.35">
      <c r="B180" s="147"/>
      <c r="C180" s="148"/>
      <c r="D180" s="149"/>
      <c r="E180" s="150"/>
      <c r="F180" s="151" t="s">
        <v>85</v>
      </c>
      <c r="G180" s="152" t="s">
        <v>290</v>
      </c>
      <c r="H180" s="157">
        <v>12.716999999999997</v>
      </c>
      <c r="I180" s="154" t="s">
        <v>117</v>
      </c>
      <c r="J180" s="74">
        <v>29000</v>
      </c>
      <c r="K180" s="51"/>
      <c r="L180" s="46">
        <f t="shared" ref="L180:L194" si="10">J180*H180</f>
        <v>368792.99999999988</v>
      </c>
    </row>
    <row r="181" spans="2:17" s="113" customFormat="1" x14ac:dyDescent="0.35">
      <c r="B181" s="147"/>
      <c r="C181" s="148"/>
      <c r="D181" s="149"/>
      <c r="E181" s="150"/>
      <c r="F181" s="151" t="s">
        <v>85</v>
      </c>
      <c r="G181" s="152" t="s">
        <v>291</v>
      </c>
      <c r="H181" s="157">
        <v>52.98749999999999</v>
      </c>
      <c r="I181" s="154" t="s">
        <v>117</v>
      </c>
      <c r="J181" s="74">
        <v>29000</v>
      </c>
      <c r="K181" s="51"/>
      <c r="L181" s="46">
        <f t="shared" si="10"/>
        <v>1536637.4999999998</v>
      </c>
      <c r="M181" s="114"/>
      <c r="N181" s="115"/>
      <c r="O181" s="116"/>
      <c r="P181" s="117"/>
      <c r="Q181" s="117"/>
    </row>
    <row r="182" spans="2:17" s="34" customFormat="1" x14ac:dyDescent="0.35">
      <c r="B182" s="147"/>
      <c r="C182" s="148"/>
      <c r="D182" s="149"/>
      <c r="E182" s="150"/>
      <c r="F182" s="151" t="s">
        <v>85</v>
      </c>
      <c r="G182" s="152" t="s">
        <v>292</v>
      </c>
      <c r="H182" s="157">
        <v>47.47679999999999</v>
      </c>
      <c r="I182" s="154" t="s">
        <v>117</v>
      </c>
      <c r="J182" s="74">
        <v>29000</v>
      </c>
      <c r="K182" s="51"/>
      <c r="L182" s="46">
        <f t="shared" si="10"/>
        <v>1376827.1999999997</v>
      </c>
    </row>
    <row r="183" spans="2:17" s="113" customFormat="1" x14ac:dyDescent="0.35">
      <c r="B183" s="147"/>
      <c r="C183" s="148"/>
      <c r="D183" s="149"/>
      <c r="E183" s="150"/>
      <c r="F183" s="151" t="s">
        <v>85</v>
      </c>
      <c r="G183" s="152" t="s">
        <v>293</v>
      </c>
      <c r="H183" s="157">
        <v>35.607599999999991</v>
      </c>
      <c r="I183" s="154" t="s">
        <v>117</v>
      </c>
      <c r="J183" s="74">
        <v>29000</v>
      </c>
      <c r="K183" s="51"/>
      <c r="L183" s="46">
        <f t="shared" si="10"/>
        <v>1032620.3999999998</v>
      </c>
      <c r="M183" s="114"/>
      <c r="N183" s="118"/>
      <c r="O183" s="117"/>
      <c r="P183" s="117"/>
      <c r="Q183" s="117"/>
    </row>
    <row r="184" spans="2:17" s="34" customFormat="1" x14ac:dyDescent="0.35">
      <c r="B184" s="147"/>
      <c r="C184" s="148"/>
      <c r="D184" s="149"/>
      <c r="E184" s="150"/>
      <c r="F184" s="151" t="s">
        <v>85</v>
      </c>
      <c r="G184" s="152" t="s">
        <v>294</v>
      </c>
      <c r="H184" s="157">
        <v>52.751999999999988</v>
      </c>
      <c r="I184" s="154" t="s">
        <v>117</v>
      </c>
      <c r="J184" s="74">
        <v>29000</v>
      </c>
      <c r="K184" s="51"/>
      <c r="L184" s="46">
        <f t="shared" si="10"/>
        <v>1529807.9999999998</v>
      </c>
      <c r="M184" s="114"/>
      <c r="N184" s="115"/>
      <c r="O184" s="119"/>
    </row>
    <row r="185" spans="2:17" s="34" customFormat="1" x14ac:dyDescent="0.35">
      <c r="B185" s="147"/>
      <c r="C185" s="148"/>
      <c r="D185" s="149"/>
      <c r="E185" s="150"/>
      <c r="F185" s="151" t="s">
        <v>85</v>
      </c>
      <c r="G185" s="152" t="s">
        <v>295</v>
      </c>
      <c r="H185" s="157">
        <v>63.584999999999994</v>
      </c>
      <c r="I185" s="154" t="s">
        <v>117</v>
      </c>
      <c r="J185" s="74">
        <v>29000</v>
      </c>
      <c r="K185" s="51"/>
      <c r="L185" s="46">
        <f t="shared" si="10"/>
        <v>1843964.9999999998</v>
      </c>
    </row>
    <row r="186" spans="2:17" s="113" customFormat="1" x14ac:dyDescent="0.35">
      <c r="B186" s="147"/>
      <c r="C186" s="148"/>
      <c r="D186" s="149"/>
      <c r="E186" s="150"/>
      <c r="F186" s="151" t="s">
        <v>85</v>
      </c>
      <c r="G186" s="152" t="s">
        <v>296</v>
      </c>
      <c r="H186" s="157">
        <v>47.47679999999999</v>
      </c>
      <c r="I186" s="154" t="s">
        <v>117</v>
      </c>
      <c r="J186" s="74">
        <v>29000</v>
      </c>
      <c r="K186" s="51"/>
      <c r="L186" s="46">
        <f t="shared" si="10"/>
        <v>1376827.1999999997</v>
      </c>
      <c r="M186" s="114"/>
      <c r="N186" s="115"/>
      <c r="O186" s="116"/>
      <c r="P186" s="117"/>
      <c r="Q186" s="117"/>
    </row>
    <row r="187" spans="2:17" s="34" customFormat="1" x14ac:dyDescent="0.35">
      <c r="B187" s="147"/>
      <c r="C187" s="148"/>
      <c r="D187" s="149"/>
      <c r="E187" s="150"/>
      <c r="F187" s="151" t="s">
        <v>85</v>
      </c>
      <c r="G187" s="152" t="s">
        <v>297</v>
      </c>
      <c r="H187" s="157">
        <v>39.799499999999995</v>
      </c>
      <c r="I187" s="154" t="s">
        <v>117</v>
      </c>
      <c r="J187" s="74">
        <v>29000</v>
      </c>
      <c r="K187" s="51"/>
      <c r="L187" s="46">
        <f t="shared" si="10"/>
        <v>1154185.4999999998</v>
      </c>
    </row>
    <row r="188" spans="2:17" s="113" customFormat="1" x14ac:dyDescent="0.35">
      <c r="B188" s="147"/>
      <c r="C188" s="148"/>
      <c r="D188" s="149"/>
      <c r="E188" s="150"/>
      <c r="F188" s="151" t="s">
        <v>85</v>
      </c>
      <c r="G188" s="152" t="s">
        <v>298</v>
      </c>
      <c r="H188" s="157">
        <v>252.22049999999996</v>
      </c>
      <c r="I188" s="154" t="s">
        <v>117</v>
      </c>
      <c r="J188" s="74">
        <v>29000</v>
      </c>
      <c r="K188" s="51"/>
      <c r="L188" s="46">
        <f t="shared" si="10"/>
        <v>7314394.4999999991</v>
      </c>
      <c r="M188" s="114"/>
      <c r="N188" s="118"/>
      <c r="O188" s="117"/>
      <c r="P188" s="117"/>
      <c r="Q188" s="117"/>
    </row>
    <row r="189" spans="2:17" s="34" customFormat="1" x14ac:dyDescent="0.35">
      <c r="B189" s="147"/>
      <c r="C189" s="148"/>
      <c r="D189" s="149"/>
      <c r="E189" s="150"/>
      <c r="F189" s="151" t="s">
        <v>85</v>
      </c>
      <c r="G189" s="152" t="s">
        <v>299</v>
      </c>
      <c r="H189" s="157">
        <v>173.09249999999997</v>
      </c>
      <c r="I189" s="154" t="s">
        <v>117</v>
      </c>
      <c r="J189" s="74">
        <v>29000</v>
      </c>
      <c r="K189" s="51"/>
      <c r="L189" s="46">
        <f t="shared" si="10"/>
        <v>5019682.4999999991</v>
      </c>
      <c r="M189" s="114"/>
      <c r="N189" s="115"/>
      <c r="O189" s="119"/>
    </row>
    <row r="190" spans="2:17" s="34" customFormat="1" x14ac:dyDescent="0.35">
      <c r="B190" s="147"/>
      <c r="C190" s="148"/>
      <c r="D190" s="149"/>
      <c r="E190" s="150"/>
      <c r="F190" s="151" t="s">
        <v>85</v>
      </c>
      <c r="G190" s="152" t="s">
        <v>300</v>
      </c>
      <c r="H190" s="157">
        <v>50.208599999999997</v>
      </c>
      <c r="I190" s="154" t="s">
        <v>117</v>
      </c>
      <c r="J190" s="74">
        <v>29000</v>
      </c>
      <c r="K190" s="51"/>
      <c r="L190" s="46">
        <f t="shared" si="10"/>
        <v>1456049.4</v>
      </c>
    </row>
    <row r="191" spans="2:17" s="34" customFormat="1" x14ac:dyDescent="0.35">
      <c r="B191" s="147"/>
      <c r="C191" s="148"/>
      <c r="D191" s="149"/>
      <c r="E191" s="150"/>
      <c r="F191" s="151" t="s">
        <v>85</v>
      </c>
      <c r="G191" s="152" t="s">
        <v>301</v>
      </c>
      <c r="H191" s="157">
        <v>52.045499999999997</v>
      </c>
      <c r="I191" s="154" t="s">
        <v>117</v>
      </c>
      <c r="J191" s="74">
        <v>29000</v>
      </c>
      <c r="K191" s="51"/>
      <c r="L191" s="46">
        <f t="shared" si="10"/>
        <v>1509319.5</v>
      </c>
    </row>
    <row r="192" spans="2:17" s="113" customFormat="1" x14ac:dyDescent="0.35">
      <c r="B192" s="147"/>
      <c r="C192" s="148"/>
      <c r="D192" s="149"/>
      <c r="E192" s="150"/>
      <c r="F192" s="151" t="s">
        <v>85</v>
      </c>
      <c r="G192" s="152" t="s">
        <v>302</v>
      </c>
      <c r="H192" s="157">
        <v>7.2345599999999983</v>
      </c>
      <c r="I192" s="154" t="s">
        <v>117</v>
      </c>
      <c r="J192" s="74">
        <v>29000</v>
      </c>
      <c r="K192" s="51"/>
      <c r="L192" s="46">
        <f t="shared" si="10"/>
        <v>209802.23999999996</v>
      </c>
    </row>
    <row r="193" spans="2:15" s="113" customFormat="1" x14ac:dyDescent="0.35">
      <c r="B193" s="147"/>
      <c r="C193" s="148"/>
      <c r="D193" s="149"/>
      <c r="E193" s="150"/>
      <c r="F193" s="151" t="s">
        <v>85</v>
      </c>
      <c r="G193" s="152" t="s">
        <v>303</v>
      </c>
      <c r="H193" s="157">
        <v>100.88819999999998</v>
      </c>
      <c r="I193" s="154" t="s">
        <v>117</v>
      </c>
      <c r="J193" s="74">
        <v>29000</v>
      </c>
      <c r="K193" s="51"/>
      <c r="L193" s="46">
        <f t="shared" si="10"/>
        <v>2925757.7999999993</v>
      </c>
    </row>
    <row r="194" spans="2:15" s="113" customFormat="1" x14ac:dyDescent="0.35">
      <c r="B194" s="147"/>
      <c r="C194" s="148"/>
      <c r="D194" s="149"/>
      <c r="E194" s="150"/>
      <c r="F194" s="151" t="s">
        <v>85</v>
      </c>
      <c r="G194" s="152" t="s">
        <v>304</v>
      </c>
      <c r="H194" s="157">
        <f>33.00768*2</f>
        <v>66.015360000000001</v>
      </c>
      <c r="I194" s="154" t="s">
        <v>117</v>
      </c>
      <c r="J194" s="74">
        <v>29000</v>
      </c>
      <c r="K194" s="51"/>
      <c r="L194" s="46">
        <f t="shared" si="10"/>
        <v>1914445.44</v>
      </c>
    </row>
    <row r="195" spans="2:15" s="113" customFormat="1" x14ac:dyDescent="0.35">
      <c r="B195" s="147"/>
      <c r="C195" s="148"/>
      <c r="D195" s="149" t="s">
        <v>37</v>
      </c>
      <c r="E195" s="150"/>
      <c r="F195" s="151" t="s">
        <v>161</v>
      </c>
      <c r="G195" s="152"/>
      <c r="H195" s="153"/>
      <c r="I195" s="154"/>
      <c r="J195" s="74"/>
      <c r="K195" s="51"/>
      <c r="L195" s="46"/>
    </row>
    <row r="196" spans="2:15" s="113" customFormat="1" x14ac:dyDescent="0.35">
      <c r="B196" s="147"/>
      <c r="C196" s="148"/>
      <c r="D196" s="149"/>
      <c r="E196" s="150"/>
      <c r="F196" s="151" t="s">
        <v>85</v>
      </c>
      <c r="G196" s="152" t="s">
        <v>306</v>
      </c>
      <c r="H196" s="157">
        <v>249.88904999999994</v>
      </c>
      <c r="I196" s="154" t="s">
        <v>117</v>
      </c>
      <c r="J196" s="74">
        <v>29000</v>
      </c>
      <c r="K196" s="51"/>
      <c r="L196" s="46">
        <f t="shared" ref="L196" si="11">J196*H196</f>
        <v>7246782.4499999983</v>
      </c>
    </row>
    <row r="197" spans="2:15" s="113" customFormat="1" x14ac:dyDescent="0.35">
      <c r="B197" s="147"/>
      <c r="C197" s="148"/>
      <c r="D197" s="149" t="s">
        <v>39</v>
      </c>
      <c r="E197" s="150"/>
      <c r="F197" s="151" t="s">
        <v>162</v>
      </c>
      <c r="G197" s="152"/>
      <c r="H197" s="157"/>
      <c r="I197" s="154"/>
      <c r="J197" s="74"/>
      <c r="K197" s="51"/>
      <c r="L197" s="46"/>
    </row>
    <row r="198" spans="2:15" s="113" customFormat="1" x14ac:dyDescent="0.35">
      <c r="B198" s="147"/>
      <c r="C198" s="148"/>
      <c r="D198" s="149"/>
      <c r="E198" s="150"/>
      <c r="F198" s="151" t="s">
        <v>85</v>
      </c>
      <c r="G198" s="152" t="s">
        <v>307</v>
      </c>
      <c r="H198" s="157">
        <v>211.24349999999995</v>
      </c>
      <c r="I198" s="154" t="s">
        <v>117</v>
      </c>
      <c r="J198" s="74">
        <v>29000</v>
      </c>
      <c r="K198" s="51"/>
      <c r="L198" s="46">
        <f t="shared" ref="L198" si="12">J198*H198</f>
        <v>6126061.4999999991</v>
      </c>
    </row>
    <row r="199" spans="2:15" s="113" customFormat="1" x14ac:dyDescent="0.35">
      <c r="B199" s="147"/>
      <c r="C199" s="148"/>
      <c r="D199" s="149" t="s">
        <v>41</v>
      </c>
      <c r="E199" s="150"/>
      <c r="F199" s="151" t="s">
        <v>163</v>
      </c>
      <c r="G199" s="152"/>
      <c r="H199" s="157"/>
      <c r="I199" s="154"/>
      <c r="J199" s="74"/>
      <c r="K199" s="51"/>
      <c r="L199" s="46"/>
    </row>
    <row r="200" spans="2:15" s="113" customFormat="1" x14ac:dyDescent="0.35">
      <c r="B200" s="147"/>
      <c r="C200" s="148"/>
      <c r="D200" s="149"/>
      <c r="E200" s="150"/>
      <c r="F200" s="151" t="s">
        <v>85</v>
      </c>
      <c r="G200" s="152" t="s">
        <v>308</v>
      </c>
      <c r="H200" s="157">
        <v>133.99007999999998</v>
      </c>
      <c r="I200" s="154" t="s">
        <v>117</v>
      </c>
      <c r="J200" s="74">
        <v>29000</v>
      </c>
      <c r="K200" s="51"/>
      <c r="L200" s="46">
        <f t="shared" ref="L200:L207" si="13">J200*H200</f>
        <v>3885712.3199999994</v>
      </c>
    </row>
    <row r="201" spans="2:15" s="34" customFormat="1" x14ac:dyDescent="0.35">
      <c r="B201" s="147"/>
      <c r="C201" s="148"/>
      <c r="D201" s="149"/>
      <c r="E201" s="150"/>
      <c r="F201" s="151" t="s">
        <v>85</v>
      </c>
      <c r="G201" s="152" t="s">
        <v>309</v>
      </c>
      <c r="H201" s="157">
        <v>133.99007999999998</v>
      </c>
      <c r="I201" s="154" t="s">
        <v>117</v>
      </c>
      <c r="J201" s="74">
        <v>29000</v>
      </c>
      <c r="K201" s="51"/>
      <c r="L201" s="46">
        <f t="shared" si="13"/>
        <v>3885712.3199999994</v>
      </c>
    </row>
    <row r="202" spans="2:15" s="113" customFormat="1" x14ac:dyDescent="0.35">
      <c r="B202" s="147"/>
      <c r="C202" s="148"/>
      <c r="D202" s="149"/>
      <c r="E202" s="150"/>
      <c r="F202" s="151" t="s">
        <v>85</v>
      </c>
      <c r="G202" s="152" t="s">
        <v>310</v>
      </c>
      <c r="H202" s="157">
        <v>37.68</v>
      </c>
      <c r="I202" s="154" t="s">
        <v>117</v>
      </c>
      <c r="J202" s="74">
        <v>29000</v>
      </c>
      <c r="K202" s="51"/>
      <c r="L202" s="46">
        <f t="shared" si="13"/>
        <v>1092720</v>
      </c>
    </row>
    <row r="203" spans="2:15" s="113" customFormat="1" x14ac:dyDescent="0.35">
      <c r="B203" s="147"/>
      <c r="C203" s="148"/>
      <c r="D203" s="149"/>
      <c r="E203" s="150"/>
      <c r="F203" s="151" t="s">
        <v>85</v>
      </c>
      <c r="G203" s="152" t="s">
        <v>311</v>
      </c>
      <c r="H203" s="157">
        <v>36.398879999999991</v>
      </c>
      <c r="I203" s="154" t="s">
        <v>117</v>
      </c>
      <c r="J203" s="74">
        <v>29000</v>
      </c>
      <c r="K203" s="51"/>
      <c r="L203" s="46">
        <f t="shared" si="13"/>
        <v>1055567.5199999998</v>
      </c>
    </row>
    <row r="204" spans="2:15" s="113" customFormat="1" x14ac:dyDescent="0.35">
      <c r="B204" s="147"/>
      <c r="C204" s="148"/>
      <c r="D204" s="149"/>
      <c r="E204" s="150"/>
      <c r="F204" s="151" t="s">
        <v>85</v>
      </c>
      <c r="G204" s="152" t="s">
        <v>312</v>
      </c>
      <c r="H204" s="157">
        <v>50.641919999999992</v>
      </c>
      <c r="I204" s="154" t="s">
        <v>117</v>
      </c>
      <c r="J204" s="74">
        <v>29000</v>
      </c>
      <c r="K204" s="51"/>
      <c r="L204" s="46">
        <f t="shared" si="13"/>
        <v>1468615.6799999997</v>
      </c>
    </row>
    <row r="205" spans="2:15" s="113" customFormat="1" x14ac:dyDescent="0.35">
      <c r="B205" s="147"/>
      <c r="C205" s="148"/>
      <c r="D205" s="149"/>
      <c r="E205" s="150"/>
      <c r="F205" s="151" t="s">
        <v>85</v>
      </c>
      <c r="G205" s="152" t="s">
        <v>313</v>
      </c>
      <c r="H205" s="157">
        <v>50.641919999999992</v>
      </c>
      <c r="I205" s="154" t="s">
        <v>117</v>
      </c>
      <c r="J205" s="74">
        <v>29000</v>
      </c>
      <c r="K205" s="51"/>
      <c r="L205" s="46">
        <f t="shared" si="13"/>
        <v>1468615.6799999997</v>
      </c>
    </row>
    <row r="206" spans="2:15" s="34" customFormat="1" x14ac:dyDescent="0.35">
      <c r="B206" s="147"/>
      <c r="C206" s="148"/>
      <c r="D206" s="149"/>
      <c r="E206" s="150"/>
      <c r="F206" s="151" t="s">
        <v>85</v>
      </c>
      <c r="G206" s="152" t="s">
        <v>314</v>
      </c>
      <c r="H206" s="157">
        <v>15.565607999999997</v>
      </c>
      <c r="I206" s="154" t="s">
        <v>117</v>
      </c>
      <c r="J206" s="74">
        <v>29000</v>
      </c>
      <c r="K206" s="51"/>
      <c r="L206" s="46">
        <f t="shared" si="13"/>
        <v>451402.63199999993</v>
      </c>
    </row>
    <row r="207" spans="2:15" s="34" customFormat="1" x14ac:dyDescent="0.35">
      <c r="B207" s="147"/>
      <c r="C207" s="148"/>
      <c r="D207" s="149"/>
      <c r="E207" s="150"/>
      <c r="F207" s="151" t="s">
        <v>85</v>
      </c>
      <c r="G207" s="152" t="s">
        <v>315</v>
      </c>
      <c r="H207" s="157">
        <v>15.565607999999997</v>
      </c>
      <c r="I207" s="154" t="s">
        <v>117</v>
      </c>
      <c r="J207" s="74">
        <v>29000</v>
      </c>
      <c r="K207" s="51"/>
      <c r="L207" s="46">
        <f t="shared" si="13"/>
        <v>451402.63199999993</v>
      </c>
    </row>
    <row r="208" spans="2:15" s="113" customFormat="1" x14ac:dyDescent="0.35">
      <c r="B208" s="147"/>
      <c r="C208" s="148"/>
      <c r="D208" s="149" t="s">
        <v>43</v>
      </c>
      <c r="E208" s="150"/>
      <c r="F208" s="151" t="s">
        <v>164</v>
      </c>
      <c r="G208" s="152"/>
      <c r="H208" s="157"/>
      <c r="I208" s="154"/>
      <c r="J208" s="74"/>
      <c r="K208" s="51"/>
      <c r="L208" s="46"/>
      <c r="M208" s="123"/>
      <c r="N208" s="123"/>
      <c r="O208" s="124"/>
    </row>
    <row r="209" spans="2:15" s="34" customFormat="1" x14ac:dyDescent="0.35">
      <c r="B209" s="147"/>
      <c r="C209" s="148"/>
      <c r="D209" s="149"/>
      <c r="E209" s="150"/>
      <c r="F209" s="151" t="s">
        <v>85</v>
      </c>
      <c r="G209" s="152" t="s">
        <v>316</v>
      </c>
      <c r="H209" s="157">
        <v>110.7792</v>
      </c>
      <c r="I209" s="154" t="s">
        <v>117</v>
      </c>
      <c r="J209" s="74">
        <v>29000</v>
      </c>
      <c r="K209" s="51"/>
      <c r="L209" s="46">
        <f t="shared" ref="L209:L215" si="14">J209*H209</f>
        <v>3212596.8000000003</v>
      </c>
    </row>
    <row r="210" spans="2:15" s="34" customFormat="1" x14ac:dyDescent="0.35">
      <c r="B210" s="147"/>
      <c r="C210" s="148"/>
      <c r="D210" s="149"/>
      <c r="E210" s="150"/>
      <c r="F210" s="151" t="s">
        <v>85</v>
      </c>
      <c r="G210" s="152" t="s">
        <v>317</v>
      </c>
      <c r="H210" s="157">
        <v>110.7792</v>
      </c>
      <c r="I210" s="154" t="s">
        <v>117</v>
      </c>
      <c r="J210" s="74">
        <v>29000</v>
      </c>
      <c r="K210" s="51"/>
      <c r="L210" s="46">
        <f t="shared" si="14"/>
        <v>3212596.8000000003</v>
      </c>
      <c r="M210" s="114"/>
    </row>
    <row r="211" spans="2:15" s="34" customFormat="1" x14ac:dyDescent="0.35">
      <c r="B211" s="147"/>
      <c r="C211" s="148"/>
      <c r="D211" s="149"/>
      <c r="E211" s="150"/>
      <c r="F211" s="151" t="s">
        <v>85</v>
      </c>
      <c r="G211" s="152" t="s">
        <v>310</v>
      </c>
      <c r="H211" s="157">
        <v>37.68</v>
      </c>
      <c r="I211" s="154" t="s">
        <v>117</v>
      </c>
      <c r="J211" s="74">
        <v>29000</v>
      </c>
      <c r="K211" s="51"/>
      <c r="L211" s="46">
        <f t="shared" si="14"/>
        <v>1092720</v>
      </c>
      <c r="M211" s="114"/>
      <c r="N211" s="114"/>
    </row>
    <row r="212" spans="2:15" s="34" customFormat="1" x14ac:dyDescent="0.35">
      <c r="B212" s="147"/>
      <c r="C212" s="148"/>
      <c r="D212" s="149"/>
      <c r="E212" s="150"/>
      <c r="F212" s="151" t="s">
        <v>85</v>
      </c>
      <c r="G212" s="152" t="s">
        <v>311</v>
      </c>
      <c r="H212" s="157">
        <v>36.398879999999991</v>
      </c>
      <c r="I212" s="154" t="s">
        <v>117</v>
      </c>
      <c r="J212" s="74">
        <v>29000</v>
      </c>
      <c r="K212" s="51"/>
      <c r="L212" s="46">
        <f t="shared" si="14"/>
        <v>1055567.5199999998</v>
      </c>
      <c r="M212" s="114"/>
      <c r="N212" s="114"/>
      <c r="O212" s="119"/>
    </row>
    <row r="213" spans="2:15" s="34" customFormat="1" x14ac:dyDescent="0.35">
      <c r="B213" s="147"/>
      <c r="C213" s="148"/>
      <c r="D213" s="149"/>
      <c r="E213" s="150"/>
      <c r="F213" s="151" t="s">
        <v>85</v>
      </c>
      <c r="G213" s="152" t="s">
        <v>318</v>
      </c>
      <c r="H213" s="157">
        <v>44.311679999999996</v>
      </c>
      <c r="I213" s="154" t="s">
        <v>117</v>
      </c>
      <c r="J213" s="74">
        <v>29000</v>
      </c>
      <c r="K213" s="51"/>
      <c r="L213" s="46">
        <f t="shared" si="14"/>
        <v>1285038.72</v>
      </c>
      <c r="M213" s="114"/>
    </row>
    <row r="214" spans="2:15" s="34" customFormat="1" x14ac:dyDescent="0.35">
      <c r="B214" s="147"/>
      <c r="C214" s="148"/>
      <c r="D214" s="149"/>
      <c r="E214" s="150"/>
      <c r="F214" s="151" t="s">
        <v>85</v>
      </c>
      <c r="G214" s="152" t="s">
        <v>319</v>
      </c>
      <c r="H214" s="157">
        <v>44.311679999999996</v>
      </c>
      <c r="I214" s="154" t="s">
        <v>117</v>
      </c>
      <c r="J214" s="74">
        <v>29000</v>
      </c>
      <c r="K214" s="51"/>
      <c r="L214" s="46">
        <f t="shared" si="14"/>
        <v>1285038.72</v>
      </c>
      <c r="M214" s="114"/>
      <c r="N214" s="114"/>
    </row>
    <row r="215" spans="2:15" s="34" customFormat="1" x14ac:dyDescent="0.35">
      <c r="B215" s="147"/>
      <c r="C215" s="148"/>
      <c r="D215" s="149" t="s">
        <v>44</v>
      </c>
      <c r="E215" s="150"/>
      <c r="F215" s="151" t="s">
        <v>165</v>
      </c>
      <c r="G215" s="152"/>
      <c r="H215" s="153">
        <v>46</v>
      </c>
      <c r="I215" s="154" t="s">
        <v>166</v>
      </c>
      <c r="J215" s="74">
        <v>300000</v>
      </c>
      <c r="K215" s="51"/>
      <c r="L215" s="46">
        <f t="shared" si="14"/>
        <v>13800000</v>
      </c>
      <c r="M215" s="114"/>
      <c r="N215" s="114"/>
      <c r="O215" s="119"/>
    </row>
    <row r="216" spans="2:15" s="34" customFormat="1" x14ac:dyDescent="0.35">
      <c r="B216" s="147"/>
      <c r="C216" s="148"/>
      <c r="D216" s="149"/>
      <c r="E216" s="150"/>
      <c r="F216" s="151" t="s">
        <v>85</v>
      </c>
      <c r="G216" s="152" t="s">
        <v>320</v>
      </c>
      <c r="H216" s="157"/>
      <c r="I216" s="154"/>
      <c r="J216" s="74"/>
      <c r="K216" s="51"/>
      <c r="L216" s="46"/>
      <c r="M216" s="114"/>
    </row>
    <row r="217" spans="2:15" s="34" customFormat="1" x14ac:dyDescent="0.35">
      <c r="B217" s="120"/>
      <c r="C217" s="108"/>
      <c r="D217" s="112"/>
      <c r="E217" s="126"/>
      <c r="F217" s="104"/>
      <c r="G217" s="127"/>
      <c r="H217" s="121"/>
      <c r="I217" s="106"/>
      <c r="J217" s="74"/>
      <c r="K217" s="51"/>
      <c r="L217" s="46"/>
      <c r="M217" s="114"/>
      <c r="N217" s="114"/>
    </row>
    <row r="218" spans="2:15" s="34" customFormat="1" x14ac:dyDescent="0.35">
      <c r="B218" s="120"/>
      <c r="C218" s="108"/>
      <c r="D218" s="112"/>
      <c r="E218" s="125"/>
      <c r="F218" s="104"/>
      <c r="G218" s="30"/>
      <c r="H218" s="104"/>
      <c r="I218" s="30"/>
      <c r="J218" s="74"/>
      <c r="K218" s="51"/>
      <c r="L218" s="46"/>
      <c r="M218" s="114"/>
      <c r="N218" s="114"/>
      <c r="O218" s="119"/>
    </row>
    <row r="219" spans="2:15" x14ac:dyDescent="0.35">
      <c r="B219" s="47"/>
      <c r="C219" s="48"/>
      <c r="D219" s="24"/>
      <c r="G219" s="22"/>
      <c r="I219" s="22"/>
      <c r="J219" s="50"/>
      <c r="K219" s="29"/>
      <c r="L219" s="52"/>
    </row>
    <row r="220" spans="2:15" x14ac:dyDescent="0.35">
      <c r="B220" s="47"/>
      <c r="C220" s="48"/>
      <c r="D220" s="24"/>
      <c r="G220" s="22"/>
      <c r="I220" s="22"/>
      <c r="J220" s="50"/>
      <c r="K220" s="29"/>
      <c r="L220" s="52"/>
    </row>
    <row r="221" spans="2:15" x14ac:dyDescent="0.35">
      <c r="B221" s="47"/>
      <c r="C221" s="48"/>
      <c r="D221" s="24"/>
      <c r="G221" s="22"/>
      <c r="I221" s="22"/>
      <c r="J221" s="50"/>
      <c r="K221" s="29"/>
      <c r="L221" s="52"/>
    </row>
    <row r="222" spans="2:15" x14ac:dyDescent="0.35">
      <c r="B222" s="8"/>
      <c r="C222" s="9"/>
      <c r="D222" s="10"/>
      <c r="E222" s="4"/>
      <c r="F222" s="4"/>
      <c r="G222" s="4"/>
      <c r="H222" s="1"/>
      <c r="I222" s="1"/>
      <c r="J222" s="11" t="s">
        <v>8</v>
      </c>
      <c r="K222" s="7">
        <f>SUM(K164:K221)</f>
        <v>6000000</v>
      </c>
      <c r="L222" s="7">
        <f>SUM(L164:L221)</f>
        <v>86145266.473999977</v>
      </c>
    </row>
    <row r="223" spans="2:15" x14ac:dyDescent="0.35">
      <c r="B223" s="8"/>
      <c r="C223" s="9"/>
      <c r="D223" s="9"/>
      <c r="E223" s="4"/>
      <c r="F223" s="4"/>
      <c r="G223" s="4"/>
      <c r="H223" s="1"/>
      <c r="I223" s="1"/>
      <c r="J223" s="11"/>
      <c r="K223" s="35" t="s">
        <v>12</v>
      </c>
      <c r="L223" s="36" t="s">
        <v>13</v>
      </c>
    </row>
    <row r="224" spans="2:15" x14ac:dyDescent="0.35">
      <c r="B224" s="3" t="s">
        <v>9</v>
      </c>
      <c r="C224" s="4"/>
      <c r="D224" s="4"/>
      <c r="E224" s="4"/>
      <c r="F224" s="4"/>
      <c r="G224" s="4"/>
      <c r="H224" s="1"/>
      <c r="I224" s="1"/>
      <c r="J224" s="12"/>
      <c r="K224" s="12"/>
      <c r="L224" s="13"/>
    </row>
    <row r="225" spans="2:15" x14ac:dyDescent="0.35">
      <c r="B225" s="37"/>
      <c r="C225" s="1"/>
      <c r="D225" s="1"/>
      <c r="E225" s="38"/>
      <c r="F225" s="38"/>
      <c r="G225" s="38"/>
      <c r="H225" s="1"/>
      <c r="I225" s="1"/>
      <c r="J225" s="1"/>
      <c r="K225" s="1"/>
      <c r="L225" s="19"/>
    </row>
    <row r="226" spans="2:15" x14ac:dyDescent="0.35">
      <c r="B226" s="28" t="s">
        <v>6</v>
      </c>
      <c r="C226" s="27"/>
      <c r="D226" s="27"/>
      <c r="E226" s="26"/>
      <c r="F226" s="26"/>
      <c r="G226" s="5"/>
      <c r="K226" s="301" t="s">
        <v>27</v>
      </c>
      <c r="L226" s="302"/>
    </row>
    <row r="227" spans="2:15" x14ac:dyDescent="0.35">
      <c r="B227" s="28">
        <v>1</v>
      </c>
      <c r="C227" s="27"/>
      <c r="D227" s="27"/>
      <c r="E227" s="26" t="s">
        <v>7</v>
      </c>
      <c r="F227" s="26"/>
      <c r="G227" s="5"/>
      <c r="K227" s="301" t="s">
        <v>17</v>
      </c>
      <c r="L227" s="302"/>
    </row>
    <row r="228" spans="2:15" x14ac:dyDescent="0.35">
      <c r="B228" s="39"/>
      <c r="C228" s="27"/>
      <c r="D228" s="27"/>
      <c r="E228" s="26"/>
      <c r="F228" s="26"/>
      <c r="G228" s="5"/>
      <c r="J228" s="25"/>
      <c r="K228" s="25"/>
      <c r="L228" s="24"/>
    </row>
    <row r="229" spans="2:15" x14ac:dyDescent="0.35">
      <c r="B229" s="28"/>
      <c r="C229" s="27"/>
      <c r="D229" s="27"/>
      <c r="E229" s="26"/>
      <c r="F229" s="26"/>
      <c r="G229" s="5"/>
      <c r="L229" s="22"/>
    </row>
    <row r="230" spans="2:15" x14ac:dyDescent="0.35">
      <c r="B230" s="45"/>
      <c r="E230" s="5"/>
      <c r="F230" s="5"/>
      <c r="G230" s="5"/>
      <c r="L230" s="22"/>
    </row>
    <row r="231" spans="2:15" x14ac:dyDescent="0.35">
      <c r="B231" s="45"/>
      <c r="E231" s="5"/>
      <c r="F231" s="5"/>
      <c r="G231" s="5"/>
      <c r="L231" s="22"/>
    </row>
    <row r="232" spans="2:15" x14ac:dyDescent="0.35">
      <c r="B232" s="45"/>
      <c r="E232" s="5"/>
      <c r="F232" s="5"/>
      <c r="G232" s="5"/>
      <c r="L232" s="22"/>
    </row>
    <row r="233" spans="2:15" x14ac:dyDescent="0.35">
      <c r="B233" s="45"/>
      <c r="E233" s="5"/>
      <c r="F233" s="5"/>
      <c r="G233" s="5"/>
      <c r="J233" s="40"/>
      <c r="K233" s="303" t="s">
        <v>25</v>
      </c>
      <c r="L233" s="304"/>
    </row>
    <row r="234" spans="2:15" x14ac:dyDescent="0.35">
      <c r="B234" s="45"/>
      <c r="K234" s="289" t="s">
        <v>26</v>
      </c>
      <c r="L234" s="290"/>
    </row>
    <row r="235" spans="2:15" x14ac:dyDescent="0.35">
      <c r="B235" s="305"/>
      <c r="C235" s="306"/>
      <c r="D235" s="306"/>
      <c r="E235" s="41"/>
      <c r="F235" s="41"/>
      <c r="G235" s="41"/>
      <c r="H235" s="2"/>
      <c r="I235" s="2"/>
      <c r="J235" s="2"/>
      <c r="K235" s="2"/>
      <c r="L235" s="21"/>
    </row>
    <row r="236" spans="2:15" x14ac:dyDescent="0.35">
      <c r="B236" s="47"/>
      <c r="C236" s="48"/>
      <c r="D236" s="49"/>
      <c r="G236" s="22"/>
      <c r="H236" s="1"/>
      <c r="I236" s="1"/>
      <c r="J236" s="43"/>
      <c r="K236" s="30"/>
      <c r="L236" s="44"/>
    </row>
    <row r="237" spans="2:15" s="34" customFormat="1" x14ac:dyDescent="0.35">
      <c r="B237" s="139" t="s">
        <v>86</v>
      </c>
      <c r="C237" s="140"/>
      <c r="D237" s="141"/>
      <c r="E237" s="142" t="s">
        <v>135</v>
      </c>
      <c r="F237" s="143"/>
      <c r="G237" s="144"/>
      <c r="H237" s="156"/>
      <c r="I237" s="146"/>
      <c r="J237" s="74"/>
      <c r="K237" s="51"/>
      <c r="L237" s="46"/>
      <c r="M237" s="114"/>
    </row>
    <row r="238" spans="2:15" s="34" customFormat="1" x14ac:dyDescent="0.35">
      <c r="B238" s="147"/>
      <c r="C238" s="148" t="s">
        <v>167</v>
      </c>
      <c r="D238" s="149"/>
      <c r="E238" s="150"/>
      <c r="F238" s="151" t="s">
        <v>168</v>
      </c>
      <c r="G238" s="152"/>
      <c r="H238" s="153"/>
      <c r="I238" s="154"/>
      <c r="J238" s="74"/>
      <c r="K238" s="51"/>
      <c r="L238" s="46"/>
      <c r="M238" s="114"/>
      <c r="N238" s="114"/>
    </row>
    <row r="239" spans="2:15" s="34" customFormat="1" x14ac:dyDescent="0.35">
      <c r="B239" s="147"/>
      <c r="C239" s="148"/>
      <c r="D239" s="149" t="s">
        <v>34</v>
      </c>
      <c r="E239" s="150"/>
      <c r="F239" s="151" t="s">
        <v>169</v>
      </c>
      <c r="G239" s="152"/>
      <c r="H239" s="153">
        <v>28</v>
      </c>
      <c r="I239" s="154" t="s">
        <v>138</v>
      </c>
      <c r="J239" s="74">
        <v>270000</v>
      </c>
      <c r="K239" s="51">
        <f>J239*H239</f>
        <v>7560000</v>
      </c>
      <c r="L239" s="46"/>
      <c r="M239" s="114"/>
      <c r="N239" s="114"/>
      <c r="O239" s="119"/>
    </row>
    <row r="240" spans="2:15" s="34" customFormat="1" x14ac:dyDescent="0.35">
      <c r="B240" s="147"/>
      <c r="C240" s="148"/>
      <c r="D240" s="149"/>
      <c r="E240" s="150"/>
      <c r="F240" s="151" t="s">
        <v>85</v>
      </c>
      <c r="G240" s="152" t="s">
        <v>322</v>
      </c>
      <c r="H240" s="153">
        <v>4130</v>
      </c>
      <c r="I240" s="154" t="s">
        <v>139</v>
      </c>
      <c r="J240" s="74">
        <v>860</v>
      </c>
      <c r="K240" s="129"/>
      <c r="L240" s="46">
        <f>J240*H240</f>
        <v>3551800</v>
      </c>
      <c r="M240" s="114"/>
    </row>
    <row r="241" spans="2:17" s="34" customFormat="1" x14ac:dyDescent="0.35">
      <c r="B241" s="147"/>
      <c r="C241" s="148"/>
      <c r="D241" s="149"/>
      <c r="E241" s="150"/>
      <c r="F241" s="151" t="s">
        <v>85</v>
      </c>
      <c r="G241" s="152" t="s">
        <v>323</v>
      </c>
      <c r="H241" s="153">
        <v>190</v>
      </c>
      <c r="I241" s="154" t="s">
        <v>139</v>
      </c>
      <c r="J241" s="74">
        <v>787</v>
      </c>
      <c r="K241" s="129"/>
      <c r="L241" s="46">
        <f t="shared" ref="L241:L250" si="15">J241*H241</f>
        <v>149530</v>
      </c>
      <c r="M241" s="114"/>
      <c r="N241" s="114"/>
    </row>
    <row r="242" spans="2:17" s="34" customFormat="1" x14ac:dyDescent="0.35">
      <c r="B242" s="147"/>
      <c r="C242" s="148"/>
      <c r="D242" s="149"/>
      <c r="E242" s="150"/>
      <c r="F242" s="151" t="s">
        <v>85</v>
      </c>
      <c r="G242" s="152" t="s">
        <v>324</v>
      </c>
      <c r="H242" s="153">
        <v>4</v>
      </c>
      <c r="I242" s="154" t="s">
        <v>80</v>
      </c>
      <c r="J242" s="74">
        <v>535000</v>
      </c>
      <c r="K242" s="132"/>
      <c r="L242" s="46">
        <f t="shared" si="15"/>
        <v>2140000</v>
      </c>
      <c r="M242" s="114"/>
      <c r="N242" s="114"/>
      <c r="O242" s="119"/>
    </row>
    <row r="243" spans="2:17" s="34" customFormat="1" x14ac:dyDescent="0.35">
      <c r="B243" s="147"/>
      <c r="C243" s="148"/>
      <c r="D243" s="149"/>
      <c r="E243" s="150"/>
      <c r="F243" s="151" t="s">
        <v>85</v>
      </c>
      <c r="G243" s="152" t="s">
        <v>325</v>
      </c>
      <c r="H243" s="153">
        <v>6</v>
      </c>
      <c r="I243" s="154" t="s">
        <v>80</v>
      </c>
      <c r="J243" s="74">
        <v>215000</v>
      </c>
      <c r="K243" s="133"/>
      <c r="L243" s="46">
        <f t="shared" si="15"/>
        <v>1290000</v>
      </c>
    </row>
    <row r="244" spans="2:17" s="34" customFormat="1" x14ac:dyDescent="0.35">
      <c r="B244" s="147"/>
      <c r="C244" s="148"/>
      <c r="D244" s="149"/>
      <c r="E244" s="150"/>
      <c r="F244" s="151" t="s">
        <v>85</v>
      </c>
      <c r="G244" s="152" t="s">
        <v>326</v>
      </c>
      <c r="H244" s="153">
        <v>2</v>
      </c>
      <c r="I244" s="154" t="s">
        <v>80</v>
      </c>
      <c r="J244" s="74">
        <v>145000</v>
      </c>
      <c r="K244" s="51"/>
      <c r="L244" s="46">
        <f t="shared" si="15"/>
        <v>290000</v>
      </c>
    </row>
    <row r="245" spans="2:17" s="34" customFormat="1" x14ac:dyDescent="0.35">
      <c r="B245" s="147"/>
      <c r="C245" s="148"/>
      <c r="D245" s="149"/>
      <c r="E245" s="150"/>
      <c r="F245" s="151" t="s">
        <v>85</v>
      </c>
      <c r="G245" s="152" t="s">
        <v>327</v>
      </c>
      <c r="H245" s="153">
        <v>210</v>
      </c>
      <c r="I245" s="154" t="s">
        <v>139</v>
      </c>
      <c r="J245" s="74">
        <v>645</v>
      </c>
      <c r="K245" s="51"/>
      <c r="L245" s="46">
        <f t="shared" si="15"/>
        <v>135450</v>
      </c>
      <c r="M245" s="114"/>
      <c r="N245" s="114"/>
    </row>
    <row r="246" spans="2:17" s="34" customFormat="1" x14ac:dyDescent="0.35">
      <c r="B246" s="147"/>
      <c r="C246" s="148"/>
      <c r="D246" s="149"/>
      <c r="E246" s="150"/>
      <c r="F246" s="151" t="s">
        <v>85</v>
      </c>
      <c r="G246" s="152" t="s">
        <v>328</v>
      </c>
      <c r="H246" s="153">
        <v>2</v>
      </c>
      <c r="I246" s="154" t="s">
        <v>80</v>
      </c>
      <c r="J246" s="74">
        <v>125000</v>
      </c>
      <c r="K246" s="51"/>
      <c r="L246" s="46">
        <f t="shared" si="15"/>
        <v>250000</v>
      </c>
      <c r="M246" s="114"/>
      <c r="N246" s="114"/>
    </row>
    <row r="247" spans="2:17" s="128" customFormat="1" x14ac:dyDescent="0.35">
      <c r="B247" s="147"/>
      <c r="C247" s="148"/>
      <c r="D247" s="149"/>
      <c r="E247" s="150"/>
      <c r="F247" s="151" t="s">
        <v>85</v>
      </c>
      <c r="G247" s="152" t="s">
        <v>329</v>
      </c>
      <c r="H247" s="153">
        <v>3</v>
      </c>
      <c r="I247" s="154" t="s">
        <v>152</v>
      </c>
      <c r="J247" s="74">
        <v>35000</v>
      </c>
      <c r="K247" s="51"/>
      <c r="L247" s="46">
        <f t="shared" si="15"/>
        <v>105000</v>
      </c>
      <c r="M247" s="114"/>
    </row>
    <row r="248" spans="2:17" s="128" customFormat="1" x14ac:dyDescent="0.35">
      <c r="B248" s="147"/>
      <c r="C248" s="148"/>
      <c r="D248" s="149"/>
      <c r="E248" s="150"/>
      <c r="F248" s="151" t="s">
        <v>85</v>
      </c>
      <c r="G248" s="152" t="s">
        <v>330</v>
      </c>
      <c r="H248" s="153">
        <v>2</v>
      </c>
      <c r="I248" s="154" t="s">
        <v>152</v>
      </c>
      <c r="J248" s="74">
        <v>35000</v>
      </c>
      <c r="K248" s="51"/>
      <c r="L248" s="46">
        <f t="shared" si="15"/>
        <v>70000</v>
      </c>
      <c r="M248" s="114"/>
    </row>
    <row r="249" spans="2:17" s="34" customFormat="1" x14ac:dyDescent="0.35">
      <c r="B249" s="147"/>
      <c r="C249" s="148"/>
      <c r="D249" s="149"/>
      <c r="E249" s="150"/>
      <c r="F249" s="151" t="s">
        <v>85</v>
      </c>
      <c r="G249" s="152" t="s">
        <v>331</v>
      </c>
      <c r="H249" s="153">
        <v>16</v>
      </c>
      <c r="I249" s="154" t="s">
        <v>152</v>
      </c>
      <c r="J249" s="74">
        <v>35000</v>
      </c>
      <c r="K249" s="51"/>
      <c r="L249" s="46">
        <f t="shared" si="15"/>
        <v>560000</v>
      </c>
      <c r="M249" s="114"/>
      <c r="N249" s="114"/>
      <c r="O249" s="119"/>
    </row>
    <row r="250" spans="2:17" s="34" customFormat="1" x14ac:dyDescent="0.35">
      <c r="B250" s="147"/>
      <c r="C250" s="148"/>
      <c r="D250" s="149"/>
      <c r="E250" s="150"/>
      <c r="F250" s="151" t="s">
        <v>85</v>
      </c>
      <c r="G250" s="152" t="s">
        <v>332</v>
      </c>
      <c r="H250" s="153">
        <v>14</v>
      </c>
      <c r="I250" s="154" t="s">
        <v>152</v>
      </c>
      <c r="J250" s="74">
        <v>35000</v>
      </c>
      <c r="K250" s="51"/>
      <c r="L250" s="46">
        <f t="shared" si="15"/>
        <v>490000</v>
      </c>
    </row>
    <row r="251" spans="2:17" s="34" customFormat="1" x14ac:dyDescent="0.35">
      <c r="B251" s="147"/>
      <c r="C251" s="148" t="s">
        <v>170</v>
      </c>
      <c r="D251" s="149"/>
      <c r="E251" s="150"/>
      <c r="F251" s="151" t="s">
        <v>171</v>
      </c>
      <c r="G251" s="152"/>
      <c r="H251" s="153"/>
      <c r="I251" s="154"/>
      <c r="J251" s="74"/>
      <c r="K251" s="51"/>
      <c r="L251" s="46"/>
    </row>
    <row r="252" spans="2:17" s="113" customFormat="1" x14ac:dyDescent="0.35">
      <c r="B252" s="147"/>
      <c r="C252" s="148"/>
      <c r="D252" s="149" t="s">
        <v>34</v>
      </c>
      <c r="E252" s="150"/>
      <c r="F252" s="151" t="s">
        <v>169</v>
      </c>
      <c r="G252" s="152"/>
      <c r="H252" s="153">
        <v>27</v>
      </c>
      <c r="I252" s="154" t="s">
        <v>138</v>
      </c>
      <c r="J252" s="74">
        <v>270000</v>
      </c>
      <c r="K252" s="51">
        <f>J252*H252</f>
        <v>7290000</v>
      </c>
      <c r="L252" s="46"/>
      <c r="M252" s="123"/>
    </row>
    <row r="253" spans="2:17" s="128" customFormat="1" x14ac:dyDescent="0.35">
      <c r="B253" s="147"/>
      <c r="C253" s="148"/>
      <c r="D253" s="149"/>
      <c r="E253" s="150"/>
      <c r="F253" s="151" t="s">
        <v>85</v>
      </c>
      <c r="G253" s="152" t="s">
        <v>322</v>
      </c>
      <c r="H253" s="153">
        <v>5030</v>
      </c>
      <c r="I253" s="154" t="s">
        <v>139</v>
      </c>
      <c r="J253" s="74">
        <v>860</v>
      </c>
      <c r="K253" s="129"/>
      <c r="L253" s="46">
        <f>J253*H253</f>
        <v>4325800</v>
      </c>
      <c r="M253" s="123"/>
      <c r="N253" s="130"/>
      <c r="O253" s="131"/>
      <c r="P253" s="131"/>
      <c r="Q253" s="131"/>
    </row>
    <row r="254" spans="2:17" s="128" customFormat="1" x14ac:dyDescent="0.35">
      <c r="B254" s="147"/>
      <c r="C254" s="148"/>
      <c r="D254" s="149"/>
      <c r="E254" s="150"/>
      <c r="F254" s="151" t="s">
        <v>85</v>
      </c>
      <c r="G254" s="152" t="s">
        <v>323</v>
      </c>
      <c r="H254" s="153">
        <v>200</v>
      </c>
      <c r="I254" s="154" t="s">
        <v>139</v>
      </c>
      <c r="J254" s="74">
        <v>787</v>
      </c>
      <c r="K254" s="129"/>
      <c r="L254" s="46">
        <f t="shared" ref="L254:L263" si="16">J254*H254</f>
        <v>157400</v>
      </c>
      <c r="M254" s="123"/>
      <c r="N254" s="130"/>
      <c r="O254" s="131"/>
      <c r="P254" s="131"/>
      <c r="Q254" s="131"/>
    </row>
    <row r="255" spans="2:17" s="133" customFormat="1" x14ac:dyDescent="0.35">
      <c r="B255" s="147"/>
      <c r="C255" s="148"/>
      <c r="D255" s="149"/>
      <c r="E255" s="150"/>
      <c r="F255" s="151" t="s">
        <v>85</v>
      </c>
      <c r="G255" s="152" t="s">
        <v>324</v>
      </c>
      <c r="H255" s="153">
        <v>6</v>
      </c>
      <c r="I255" s="154" t="s">
        <v>80</v>
      </c>
      <c r="J255" s="74">
        <v>535000</v>
      </c>
      <c r="K255" s="132"/>
      <c r="L255" s="46">
        <f t="shared" si="16"/>
        <v>3210000</v>
      </c>
      <c r="M255" s="123"/>
      <c r="N255" s="134"/>
    </row>
    <row r="256" spans="2:17" s="34" customFormat="1" x14ac:dyDescent="0.35">
      <c r="B256" s="147"/>
      <c r="C256" s="148"/>
      <c r="D256" s="149"/>
      <c r="E256" s="150"/>
      <c r="F256" s="151" t="s">
        <v>85</v>
      </c>
      <c r="G256" s="152" t="s">
        <v>325</v>
      </c>
      <c r="H256" s="153">
        <v>5</v>
      </c>
      <c r="I256" s="154" t="s">
        <v>80</v>
      </c>
      <c r="J256" s="74">
        <v>215000</v>
      </c>
      <c r="K256" s="133"/>
      <c r="L256" s="46">
        <f t="shared" si="16"/>
        <v>1075000</v>
      </c>
    </row>
    <row r="257" spans="2:15" s="34" customFormat="1" x14ac:dyDescent="0.35">
      <c r="B257" s="147"/>
      <c r="C257" s="148"/>
      <c r="D257" s="149"/>
      <c r="E257" s="150"/>
      <c r="F257" s="151" t="s">
        <v>85</v>
      </c>
      <c r="G257" s="152" t="s">
        <v>333</v>
      </c>
      <c r="H257" s="153">
        <v>2</v>
      </c>
      <c r="I257" s="154" t="s">
        <v>80</v>
      </c>
      <c r="J257" s="74">
        <v>145000</v>
      </c>
      <c r="K257" s="51"/>
      <c r="L257" s="46">
        <f t="shared" si="16"/>
        <v>290000</v>
      </c>
    </row>
    <row r="258" spans="2:15" s="34" customFormat="1" x14ac:dyDescent="0.35">
      <c r="B258" s="147"/>
      <c r="C258" s="148"/>
      <c r="D258" s="149"/>
      <c r="E258" s="150"/>
      <c r="F258" s="151" t="s">
        <v>85</v>
      </c>
      <c r="G258" s="152" t="s">
        <v>327</v>
      </c>
      <c r="H258" s="153">
        <v>240</v>
      </c>
      <c r="I258" s="154" t="s">
        <v>139</v>
      </c>
      <c r="J258" s="74">
        <v>645</v>
      </c>
      <c r="K258" s="51"/>
      <c r="L258" s="46">
        <f t="shared" si="16"/>
        <v>154800</v>
      </c>
      <c r="M258" s="114"/>
      <c r="N258" s="114"/>
    </row>
    <row r="259" spans="2:15" s="34" customFormat="1" x14ac:dyDescent="0.35">
      <c r="B259" s="147"/>
      <c r="C259" s="148"/>
      <c r="D259" s="149"/>
      <c r="E259" s="150"/>
      <c r="F259" s="151" t="s">
        <v>85</v>
      </c>
      <c r="G259" s="152" t="s">
        <v>328</v>
      </c>
      <c r="H259" s="153">
        <v>2</v>
      </c>
      <c r="I259" s="154" t="s">
        <v>80</v>
      </c>
      <c r="J259" s="74">
        <v>125000</v>
      </c>
      <c r="K259" s="51"/>
      <c r="L259" s="46">
        <f t="shared" si="16"/>
        <v>250000</v>
      </c>
      <c r="M259" s="114"/>
      <c r="N259" s="114"/>
    </row>
    <row r="260" spans="2:15" s="34" customFormat="1" x14ac:dyDescent="0.35">
      <c r="B260" s="147"/>
      <c r="C260" s="148"/>
      <c r="D260" s="149"/>
      <c r="E260" s="150"/>
      <c r="F260" s="151" t="s">
        <v>85</v>
      </c>
      <c r="G260" s="152" t="s">
        <v>329</v>
      </c>
      <c r="H260" s="153">
        <v>5</v>
      </c>
      <c r="I260" s="154" t="s">
        <v>152</v>
      </c>
      <c r="J260" s="74">
        <v>35000</v>
      </c>
      <c r="K260" s="51"/>
      <c r="L260" s="46">
        <f t="shared" si="16"/>
        <v>175000</v>
      </c>
      <c r="M260" s="114"/>
      <c r="N260" s="114"/>
      <c r="O260" s="119"/>
    </row>
    <row r="261" spans="2:15" x14ac:dyDescent="0.35">
      <c r="B261" s="147"/>
      <c r="C261" s="148"/>
      <c r="D261" s="149"/>
      <c r="E261" s="150"/>
      <c r="F261" s="151" t="s">
        <v>85</v>
      </c>
      <c r="G261" s="152" t="s">
        <v>330</v>
      </c>
      <c r="H261" s="153">
        <v>2</v>
      </c>
      <c r="I261" s="154" t="s">
        <v>152</v>
      </c>
      <c r="J261" s="74">
        <v>35000</v>
      </c>
      <c r="K261" s="51"/>
      <c r="L261" s="46">
        <f t="shared" si="16"/>
        <v>70000</v>
      </c>
    </row>
    <row r="262" spans="2:15" x14ac:dyDescent="0.35">
      <c r="B262" s="147"/>
      <c r="C262" s="148"/>
      <c r="D262" s="149"/>
      <c r="E262" s="150"/>
      <c r="F262" s="151" t="s">
        <v>85</v>
      </c>
      <c r="G262" s="152" t="s">
        <v>331</v>
      </c>
      <c r="H262" s="153">
        <v>20</v>
      </c>
      <c r="I262" s="154" t="s">
        <v>152</v>
      </c>
      <c r="J262" s="74">
        <v>35000</v>
      </c>
      <c r="K262" s="51"/>
      <c r="L262" s="46">
        <f t="shared" si="16"/>
        <v>700000</v>
      </c>
    </row>
    <row r="263" spans="2:15" x14ac:dyDescent="0.35">
      <c r="B263" s="147"/>
      <c r="C263" s="148"/>
      <c r="D263" s="149"/>
      <c r="E263" s="150"/>
      <c r="F263" s="151" t="s">
        <v>85</v>
      </c>
      <c r="G263" s="152" t="s">
        <v>334</v>
      </c>
      <c r="H263" s="153">
        <v>4</v>
      </c>
      <c r="I263" s="154" t="s">
        <v>152</v>
      </c>
      <c r="J263" s="74">
        <v>35000</v>
      </c>
      <c r="K263" s="51"/>
      <c r="L263" s="46">
        <f t="shared" si="16"/>
        <v>140000</v>
      </c>
    </row>
    <row r="264" spans="2:15" x14ac:dyDescent="0.35">
      <c r="B264" s="147"/>
      <c r="C264" s="148" t="s">
        <v>172</v>
      </c>
      <c r="D264" s="149"/>
      <c r="E264" s="150"/>
      <c r="F264" s="151" t="s">
        <v>173</v>
      </c>
      <c r="G264" s="152"/>
      <c r="H264" s="153"/>
      <c r="I264" s="154"/>
      <c r="J264" s="65"/>
      <c r="K264" s="58"/>
      <c r="L264" s="46"/>
    </row>
    <row r="265" spans="2:15" x14ac:dyDescent="0.35">
      <c r="B265" s="147"/>
      <c r="C265" s="148"/>
      <c r="D265" s="149" t="s">
        <v>34</v>
      </c>
      <c r="E265" s="150"/>
      <c r="F265" s="151" t="s">
        <v>169</v>
      </c>
      <c r="G265" s="152"/>
      <c r="H265" s="153">
        <v>16</v>
      </c>
      <c r="I265" s="154" t="s">
        <v>138</v>
      </c>
      <c r="J265" s="74">
        <v>200000</v>
      </c>
      <c r="K265" s="51">
        <f>J265*H265</f>
        <v>3200000</v>
      </c>
      <c r="L265" s="46"/>
    </row>
    <row r="266" spans="2:15" s="34" customFormat="1" x14ac:dyDescent="0.35">
      <c r="B266" s="147"/>
      <c r="C266" s="148"/>
      <c r="D266" s="149"/>
      <c r="E266" s="150"/>
      <c r="F266" s="151" t="s">
        <v>85</v>
      </c>
      <c r="G266" s="152" t="s">
        <v>335</v>
      </c>
      <c r="H266" s="153">
        <v>1660</v>
      </c>
      <c r="I266" s="154" t="s">
        <v>139</v>
      </c>
      <c r="J266" s="65">
        <v>523</v>
      </c>
      <c r="K266" s="58"/>
      <c r="L266" s="46">
        <f t="shared" ref="L266:L276" si="17">J266*H266</f>
        <v>868180</v>
      </c>
      <c r="M266" s="114"/>
      <c r="N266" s="115"/>
      <c r="O266" s="119"/>
    </row>
    <row r="267" spans="2:15" s="34" customFormat="1" x14ac:dyDescent="0.35">
      <c r="B267" s="147"/>
      <c r="C267" s="148"/>
      <c r="D267" s="149"/>
      <c r="E267" s="150"/>
      <c r="F267" s="151" t="s">
        <v>85</v>
      </c>
      <c r="G267" s="152" t="s">
        <v>336</v>
      </c>
      <c r="H267" s="153">
        <v>1210</v>
      </c>
      <c r="I267" s="154" t="s">
        <v>139</v>
      </c>
      <c r="J267" s="74">
        <v>434</v>
      </c>
      <c r="K267" s="51"/>
      <c r="L267" s="46">
        <f t="shared" si="17"/>
        <v>525140</v>
      </c>
      <c r="M267" s="114"/>
      <c r="N267" s="115"/>
      <c r="O267" s="119"/>
    </row>
    <row r="268" spans="2:15" s="34" customFormat="1" x14ac:dyDescent="0.35">
      <c r="B268" s="160"/>
      <c r="C268" s="161"/>
      <c r="D268" s="162"/>
      <c r="E268" s="163"/>
      <c r="F268" s="164" t="s">
        <v>85</v>
      </c>
      <c r="G268" s="165" t="s">
        <v>337</v>
      </c>
      <c r="H268" s="166">
        <v>2</v>
      </c>
      <c r="I268" s="167" t="s">
        <v>80</v>
      </c>
      <c r="J268" s="74">
        <v>130000</v>
      </c>
      <c r="K268" s="51"/>
      <c r="L268" s="46">
        <f t="shared" si="17"/>
        <v>260000</v>
      </c>
      <c r="M268" s="114"/>
      <c r="N268" s="115"/>
      <c r="O268" s="119"/>
    </row>
    <row r="269" spans="2:15" x14ac:dyDescent="0.35">
      <c r="B269" s="147"/>
      <c r="C269" s="148"/>
      <c r="D269" s="149"/>
      <c r="E269" s="150"/>
      <c r="F269" s="151" t="s">
        <v>85</v>
      </c>
      <c r="G269" s="152" t="s">
        <v>338</v>
      </c>
      <c r="H269" s="153">
        <v>3</v>
      </c>
      <c r="I269" s="154" t="s">
        <v>80</v>
      </c>
      <c r="J269" s="74">
        <v>230000</v>
      </c>
      <c r="K269" s="51"/>
      <c r="L269" s="46">
        <f t="shared" si="17"/>
        <v>690000</v>
      </c>
    </row>
    <row r="270" spans="2:15" x14ac:dyDescent="0.35">
      <c r="B270" s="147"/>
      <c r="C270" s="148"/>
      <c r="D270" s="149"/>
      <c r="E270" s="150"/>
      <c r="F270" s="151" t="s">
        <v>85</v>
      </c>
      <c r="G270" s="152" t="s">
        <v>339</v>
      </c>
      <c r="H270" s="153">
        <v>1</v>
      </c>
      <c r="I270" s="154" t="s">
        <v>80</v>
      </c>
      <c r="J270" s="74">
        <v>195000</v>
      </c>
      <c r="K270" s="51"/>
      <c r="L270" s="46">
        <f t="shared" si="17"/>
        <v>195000</v>
      </c>
    </row>
    <row r="271" spans="2:15" s="113" customFormat="1" x14ac:dyDescent="0.35">
      <c r="B271" s="147"/>
      <c r="C271" s="148"/>
      <c r="D271" s="149"/>
      <c r="E271" s="150"/>
      <c r="F271" s="151" t="s">
        <v>85</v>
      </c>
      <c r="G271" s="152" t="s">
        <v>340</v>
      </c>
      <c r="H271" s="153">
        <v>2</v>
      </c>
      <c r="I271" s="154" t="s">
        <v>80</v>
      </c>
      <c r="J271" s="65">
        <v>165000</v>
      </c>
      <c r="K271" s="51"/>
      <c r="L271" s="46">
        <f t="shared" si="17"/>
        <v>330000</v>
      </c>
    </row>
    <row r="272" spans="2:15" s="113" customFormat="1" x14ac:dyDescent="0.35">
      <c r="B272" s="147"/>
      <c r="C272" s="148"/>
      <c r="D272" s="149"/>
      <c r="E272" s="150"/>
      <c r="F272" s="151" t="s">
        <v>85</v>
      </c>
      <c r="G272" s="152" t="s">
        <v>341</v>
      </c>
      <c r="H272" s="153">
        <v>1</v>
      </c>
      <c r="I272" s="154" t="s">
        <v>80</v>
      </c>
      <c r="J272" s="74">
        <v>180000</v>
      </c>
      <c r="K272" s="58"/>
      <c r="L272" s="46">
        <f t="shared" si="17"/>
        <v>180000</v>
      </c>
    </row>
    <row r="273" spans="2:12" s="113" customFormat="1" x14ac:dyDescent="0.35">
      <c r="B273" s="147"/>
      <c r="C273" s="148"/>
      <c r="D273" s="149"/>
      <c r="E273" s="150"/>
      <c r="F273" s="151" t="s">
        <v>85</v>
      </c>
      <c r="G273" s="152" t="s">
        <v>342</v>
      </c>
      <c r="H273" s="153">
        <v>170</v>
      </c>
      <c r="I273" s="154" t="s">
        <v>139</v>
      </c>
      <c r="J273" s="74">
        <v>498</v>
      </c>
      <c r="K273" s="51"/>
      <c r="L273" s="46">
        <f t="shared" si="17"/>
        <v>84660</v>
      </c>
    </row>
    <row r="274" spans="2:12" s="113" customFormat="1" x14ac:dyDescent="0.35">
      <c r="B274" s="160"/>
      <c r="C274" s="161"/>
      <c r="D274" s="162"/>
      <c r="E274" s="163"/>
      <c r="F274" s="164" t="s">
        <v>85</v>
      </c>
      <c r="G274" s="165" t="s">
        <v>343</v>
      </c>
      <c r="H274" s="166">
        <v>3</v>
      </c>
      <c r="I274" s="167" t="s">
        <v>80</v>
      </c>
      <c r="J274" s="74">
        <v>50000</v>
      </c>
      <c r="K274" s="51"/>
      <c r="L274" s="46">
        <f t="shared" si="17"/>
        <v>150000</v>
      </c>
    </row>
    <row r="275" spans="2:12" x14ac:dyDescent="0.35">
      <c r="B275" s="147"/>
      <c r="C275" s="148"/>
      <c r="D275" s="149"/>
      <c r="E275" s="150"/>
      <c r="F275" s="151" t="s">
        <v>85</v>
      </c>
      <c r="G275" s="152" t="s">
        <v>330</v>
      </c>
      <c r="H275" s="153">
        <v>1</v>
      </c>
      <c r="I275" s="154" t="s">
        <v>152</v>
      </c>
      <c r="J275" s="74">
        <v>35000</v>
      </c>
      <c r="K275" s="51"/>
      <c r="L275" s="46">
        <f t="shared" si="17"/>
        <v>35000</v>
      </c>
    </row>
    <row r="276" spans="2:12" s="113" customFormat="1" x14ac:dyDescent="0.35">
      <c r="B276" s="147"/>
      <c r="C276" s="148"/>
      <c r="D276" s="149"/>
      <c r="E276" s="150"/>
      <c r="F276" s="151" t="s">
        <v>85</v>
      </c>
      <c r="G276" s="152" t="s">
        <v>332</v>
      </c>
      <c r="H276" s="153">
        <v>8</v>
      </c>
      <c r="I276" s="154" t="s">
        <v>152</v>
      </c>
      <c r="J276" s="74">
        <v>35000</v>
      </c>
      <c r="K276" s="51"/>
      <c r="L276" s="46">
        <f t="shared" si="17"/>
        <v>280000</v>
      </c>
    </row>
    <row r="277" spans="2:12" s="113" customFormat="1" x14ac:dyDescent="0.35">
      <c r="B277" s="147"/>
      <c r="C277" s="148"/>
      <c r="D277" s="149" t="s">
        <v>37</v>
      </c>
      <c r="E277" s="150"/>
      <c r="F277" s="151" t="s">
        <v>174</v>
      </c>
      <c r="G277" s="152"/>
      <c r="H277" s="153">
        <v>8</v>
      </c>
      <c r="I277" s="154" t="s">
        <v>138</v>
      </c>
      <c r="J277" s="74">
        <v>150000</v>
      </c>
      <c r="K277" s="158">
        <f>J277*H277</f>
        <v>1200000</v>
      </c>
      <c r="L277" s="46"/>
    </row>
    <row r="278" spans="2:12" s="113" customFormat="1" x14ac:dyDescent="0.35">
      <c r="B278" s="147"/>
      <c r="C278" s="148"/>
      <c r="D278" s="149"/>
      <c r="E278" s="150"/>
      <c r="F278" s="151" t="s">
        <v>85</v>
      </c>
      <c r="G278" s="152" t="s">
        <v>336</v>
      </c>
      <c r="H278" s="153">
        <v>700</v>
      </c>
      <c r="I278" s="154" t="s">
        <v>139</v>
      </c>
      <c r="J278" s="74">
        <v>434</v>
      </c>
      <c r="K278" s="51"/>
      <c r="L278" s="46">
        <f t="shared" ref="L278:L284" si="18">J278*H278</f>
        <v>303800</v>
      </c>
    </row>
    <row r="279" spans="2:12" s="113" customFormat="1" x14ac:dyDescent="0.35">
      <c r="B279" s="147"/>
      <c r="C279" s="148"/>
      <c r="D279" s="149"/>
      <c r="E279" s="150"/>
      <c r="F279" s="151" t="s">
        <v>85</v>
      </c>
      <c r="G279" s="152" t="s">
        <v>344</v>
      </c>
      <c r="H279" s="153">
        <v>50</v>
      </c>
      <c r="I279" s="154" t="s">
        <v>139</v>
      </c>
      <c r="J279" s="74">
        <v>357</v>
      </c>
      <c r="K279" s="51"/>
      <c r="L279" s="46">
        <f t="shared" si="18"/>
        <v>17850</v>
      </c>
    </row>
    <row r="280" spans="2:12" x14ac:dyDescent="0.35">
      <c r="B280" s="147"/>
      <c r="C280" s="148"/>
      <c r="D280" s="149"/>
      <c r="E280" s="150"/>
      <c r="F280" s="151" t="s">
        <v>85</v>
      </c>
      <c r="G280" s="152" t="s">
        <v>338</v>
      </c>
      <c r="H280" s="153">
        <v>2</v>
      </c>
      <c r="I280" s="154" t="s">
        <v>80</v>
      </c>
      <c r="J280" s="74">
        <v>230000</v>
      </c>
      <c r="K280" s="132"/>
      <c r="L280" s="46">
        <f t="shared" si="18"/>
        <v>460000</v>
      </c>
    </row>
    <row r="281" spans="2:12" s="34" customFormat="1" x14ac:dyDescent="0.35">
      <c r="B281" s="147"/>
      <c r="C281" s="148"/>
      <c r="D281" s="149"/>
      <c r="E281" s="150"/>
      <c r="F281" s="151" t="s">
        <v>85</v>
      </c>
      <c r="G281" s="152" t="s">
        <v>345</v>
      </c>
      <c r="H281" s="153">
        <v>1</v>
      </c>
      <c r="I281" s="154" t="s">
        <v>152</v>
      </c>
      <c r="J281" s="74">
        <v>145000</v>
      </c>
      <c r="K281" s="51"/>
      <c r="L281" s="46">
        <f t="shared" si="18"/>
        <v>145000</v>
      </c>
    </row>
    <row r="282" spans="2:12" x14ac:dyDescent="0.35">
      <c r="B282" s="147"/>
      <c r="C282" s="148"/>
      <c r="D282" s="149"/>
      <c r="E282" s="150"/>
      <c r="F282" s="151" t="s">
        <v>85</v>
      </c>
      <c r="G282" s="152" t="s">
        <v>342</v>
      </c>
      <c r="H282" s="153">
        <v>160</v>
      </c>
      <c r="I282" s="154" t="s">
        <v>139</v>
      </c>
      <c r="J282" s="74">
        <v>498</v>
      </c>
      <c r="K282" s="51"/>
      <c r="L282" s="46">
        <f t="shared" si="18"/>
        <v>79680</v>
      </c>
    </row>
    <row r="283" spans="2:12" x14ac:dyDescent="0.35">
      <c r="B283" s="147"/>
      <c r="C283" s="148"/>
      <c r="D283" s="149"/>
      <c r="E283" s="150"/>
      <c r="F283" s="151" t="s">
        <v>85</v>
      </c>
      <c r="G283" s="152" t="s">
        <v>346</v>
      </c>
      <c r="H283" s="153">
        <v>2</v>
      </c>
      <c r="I283" s="154" t="s">
        <v>80</v>
      </c>
      <c r="J283" s="74">
        <v>120000</v>
      </c>
      <c r="K283" s="51"/>
      <c r="L283" s="46">
        <f t="shared" si="18"/>
        <v>240000</v>
      </c>
    </row>
    <row r="284" spans="2:12" x14ac:dyDescent="0.35">
      <c r="B284" s="147"/>
      <c r="C284" s="148"/>
      <c r="D284" s="149"/>
      <c r="E284" s="150"/>
      <c r="F284" s="151" t="s">
        <v>85</v>
      </c>
      <c r="G284" s="152" t="s">
        <v>347</v>
      </c>
      <c r="H284" s="153">
        <v>1</v>
      </c>
      <c r="I284" s="154" t="s">
        <v>152</v>
      </c>
      <c r="J284" s="74">
        <v>35000</v>
      </c>
      <c r="K284" s="51"/>
      <c r="L284" s="46">
        <f t="shared" si="18"/>
        <v>35000</v>
      </c>
    </row>
    <row r="285" spans="2:12" x14ac:dyDescent="0.35">
      <c r="B285" s="147"/>
      <c r="C285" s="148"/>
      <c r="D285" s="149" t="s">
        <v>39</v>
      </c>
      <c r="E285" s="150"/>
      <c r="F285" s="151" t="s">
        <v>176</v>
      </c>
      <c r="G285" s="152"/>
      <c r="H285" s="153">
        <v>3</v>
      </c>
      <c r="I285" s="154" t="s">
        <v>138</v>
      </c>
      <c r="J285" s="74">
        <v>150000</v>
      </c>
      <c r="K285" s="51">
        <f>J285*H285</f>
        <v>450000</v>
      </c>
      <c r="L285" s="46"/>
    </row>
    <row r="286" spans="2:12" x14ac:dyDescent="0.35">
      <c r="B286" s="147"/>
      <c r="C286" s="148"/>
      <c r="D286" s="149"/>
      <c r="E286" s="150"/>
      <c r="F286" s="151" t="s">
        <v>85</v>
      </c>
      <c r="G286" s="152" t="s">
        <v>336</v>
      </c>
      <c r="H286" s="153">
        <v>340</v>
      </c>
      <c r="I286" s="154" t="s">
        <v>139</v>
      </c>
      <c r="J286" s="74">
        <v>434</v>
      </c>
      <c r="K286" s="51"/>
      <c r="L286" s="46">
        <f t="shared" ref="L286:L293" si="19">J286*H286</f>
        <v>147560</v>
      </c>
    </row>
    <row r="287" spans="2:12" x14ac:dyDescent="0.35">
      <c r="B287" s="147"/>
      <c r="C287" s="148"/>
      <c r="D287" s="149"/>
      <c r="E287" s="150"/>
      <c r="F287" s="151" t="s">
        <v>85</v>
      </c>
      <c r="G287" s="152" t="s">
        <v>338</v>
      </c>
      <c r="H287" s="153">
        <v>1</v>
      </c>
      <c r="I287" s="154" t="s">
        <v>80</v>
      </c>
      <c r="J287" s="74">
        <v>230000</v>
      </c>
      <c r="K287" s="51"/>
      <c r="L287" s="46">
        <f t="shared" si="19"/>
        <v>230000</v>
      </c>
    </row>
    <row r="288" spans="2:12" x14ac:dyDescent="0.35">
      <c r="B288" s="147"/>
      <c r="C288" s="148"/>
      <c r="D288" s="149"/>
      <c r="E288" s="150"/>
      <c r="F288" s="151" t="s">
        <v>85</v>
      </c>
      <c r="G288" s="152" t="s">
        <v>340</v>
      </c>
      <c r="H288" s="153">
        <v>1</v>
      </c>
      <c r="I288" s="154" t="s">
        <v>80</v>
      </c>
      <c r="J288" s="74">
        <v>165000</v>
      </c>
      <c r="K288" s="51"/>
      <c r="L288" s="46">
        <f t="shared" si="19"/>
        <v>165000</v>
      </c>
    </row>
    <row r="289" spans="2:12" x14ac:dyDescent="0.35">
      <c r="B289" s="147"/>
      <c r="C289" s="148"/>
      <c r="D289" s="149"/>
      <c r="E289" s="150"/>
      <c r="F289" s="151" t="s">
        <v>85</v>
      </c>
      <c r="G289" s="152" t="s">
        <v>345</v>
      </c>
      <c r="H289" s="153">
        <v>1</v>
      </c>
      <c r="I289" s="154" t="s">
        <v>80</v>
      </c>
      <c r="J289" s="74">
        <v>145000</v>
      </c>
      <c r="K289" s="51"/>
      <c r="L289" s="46">
        <f t="shared" si="19"/>
        <v>145000</v>
      </c>
    </row>
    <row r="290" spans="2:12" x14ac:dyDescent="0.35">
      <c r="B290" s="147"/>
      <c r="C290" s="148"/>
      <c r="D290" s="149"/>
      <c r="E290" s="150"/>
      <c r="F290" s="151" t="s">
        <v>85</v>
      </c>
      <c r="G290" s="152" t="s">
        <v>342</v>
      </c>
      <c r="H290" s="153">
        <v>130</v>
      </c>
      <c r="I290" s="154" t="s">
        <v>139</v>
      </c>
      <c r="J290" s="74">
        <v>498</v>
      </c>
      <c r="K290" s="51"/>
      <c r="L290" s="46">
        <f t="shared" si="19"/>
        <v>64740</v>
      </c>
    </row>
    <row r="291" spans="2:12" s="34" customFormat="1" x14ac:dyDescent="0.35">
      <c r="B291" s="160"/>
      <c r="C291" s="161"/>
      <c r="D291" s="162"/>
      <c r="E291" s="163"/>
      <c r="F291" s="164" t="s">
        <v>85</v>
      </c>
      <c r="G291" s="165" t="s">
        <v>343</v>
      </c>
      <c r="H291" s="166">
        <v>4</v>
      </c>
      <c r="I291" s="167" t="s">
        <v>80</v>
      </c>
      <c r="J291" s="29">
        <v>50000</v>
      </c>
      <c r="K291" s="29"/>
      <c r="L291" s="52">
        <f t="shared" si="19"/>
        <v>200000</v>
      </c>
    </row>
    <row r="292" spans="2:12" x14ac:dyDescent="0.35">
      <c r="B292" s="147"/>
      <c r="C292" s="148"/>
      <c r="D292" s="149"/>
      <c r="E292" s="150"/>
      <c r="F292" s="151" t="s">
        <v>85</v>
      </c>
      <c r="G292" s="152" t="s">
        <v>348</v>
      </c>
      <c r="H292" s="153">
        <v>1</v>
      </c>
      <c r="I292" s="154" t="s">
        <v>152</v>
      </c>
      <c r="J292" s="74">
        <v>35000</v>
      </c>
      <c r="K292" s="51"/>
      <c r="L292" s="46">
        <f t="shared" si="19"/>
        <v>35000</v>
      </c>
    </row>
    <row r="293" spans="2:12" x14ac:dyDescent="0.35">
      <c r="B293" s="147"/>
      <c r="C293" s="148"/>
      <c r="D293" s="149"/>
      <c r="E293" s="150"/>
      <c r="F293" s="151" t="s">
        <v>85</v>
      </c>
      <c r="G293" s="152" t="s">
        <v>332</v>
      </c>
      <c r="H293" s="153">
        <v>4</v>
      </c>
      <c r="I293" s="154" t="s">
        <v>152</v>
      </c>
      <c r="J293" s="74">
        <v>35000</v>
      </c>
      <c r="K293" s="51"/>
      <c r="L293" s="46">
        <f t="shared" si="19"/>
        <v>140000</v>
      </c>
    </row>
    <row r="294" spans="2:12" x14ac:dyDescent="0.35">
      <c r="B294" s="8"/>
      <c r="C294" s="9"/>
      <c r="D294" s="10"/>
      <c r="E294" s="4"/>
      <c r="F294" s="4"/>
      <c r="G294" s="4"/>
      <c r="H294" s="1"/>
      <c r="I294" s="1"/>
      <c r="J294" s="11" t="s">
        <v>8</v>
      </c>
      <c r="K294" s="7">
        <f>SUM(K236:K293)</f>
        <v>19700000</v>
      </c>
      <c r="L294" s="7">
        <f>SUM(L236:L293)</f>
        <v>25586390</v>
      </c>
    </row>
    <row r="295" spans="2:12" x14ac:dyDescent="0.35">
      <c r="B295" s="8"/>
      <c r="C295" s="9"/>
      <c r="D295" s="9"/>
      <c r="E295" s="4"/>
      <c r="F295" s="4"/>
      <c r="G295" s="4"/>
      <c r="H295" s="1"/>
      <c r="I295" s="1"/>
      <c r="J295" s="11"/>
      <c r="K295" s="35" t="s">
        <v>12</v>
      </c>
      <c r="L295" s="36" t="s">
        <v>13</v>
      </c>
    </row>
    <row r="296" spans="2:12" x14ac:dyDescent="0.35">
      <c r="B296" s="3" t="s">
        <v>9</v>
      </c>
      <c r="C296" s="4"/>
      <c r="D296" s="4"/>
      <c r="E296" s="4"/>
      <c r="F296" s="4"/>
      <c r="G296" s="4"/>
      <c r="H296" s="1"/>
      <c r="I296" s="1"/>
      <c r="J296" s="12"/>
      <c r="K296" s="12"/>
      <c r="L296" s="13"/>
    </row>
    <row r="297" spans="2:12" x14ac:dyDescent="0.35">
      <c r="B297" s="37"/>
      <c r="C297" s="1"/>
      <c r="D297" s="1"/>
      <c r="E297" s="38"/>
      <c r="F297" s="38"/>
      <c r="G297" s="38"/>
      <c r="H297" s="1"/>
      <c r="I297" s="1"/>
      <c r="J297" s="1"/>
      <c r="K297" s="1"/>
      <c r="L297" s="19"/>
    </row>
    <row r="298" spans="2:12" x14ac:dyDescent="0.35">
      <c r="B298" s="28" t="s">
        <v>6</v>
      </c>
      <c r="C298" s="27"/>
      <c r="D298" s="27"/>
      <c r="E298" s="26"/>
      <c r="F298" s="26"/>
      <c r="G298" s="5"/>
      <c r="K298" s="301" t="s">
        <v>27</v>
      </c>
      <c r="L298" s="302"/>
    </row>
    <row r="299" spans="2:12" x14ac:dyDescent="0.35">
      <c r="B299" s="28">
        <v>1</v>
      </c>
      <c r="C299" s="27"/>
      <c r="D299" s="27"/>
      <c r="E299" s="26" t="s">
        <v>7</v>
      </c>
      <c r="F299" s="26"/>
      <c r="G299" s="5"/>
      <c r="K299" s="301" t="s">
        <v>17</v>
      </c>
      <c r="L299" s="302"/>
    </row>
    <row r="300" spans="2:12" x14ac:dyDescent="0.35">
      <c r="B300" s="39"/>
      <c r="C300" s="27"/>
      <c r="D300" s="27"/>
      <c r="E300" s="26"/>
      <c r="F300" s="26"/>
      <c r="G300" s="5"/>
      <c r="J300" s="25"/>
      <c r="K300" s="25"/>
      <c r="L300" s="24"/>
    </row>
    <row r="301" spans="2:12" x14ac:dyDescent="0.35">
      <c r="B301" s="28"/>
      <c r="C301" s="27"/>
      <c r="D301" s="27"/>
      <c r="E301" s="26"/>
      <c r="F301" s="26"/>
      <c r="G301" s="5"/>
      <c r="L301" s="22"/>
    </row>
    <row r="302" spans="2:12" x14ac:dyDescent="0.35">
      <c r="B302" s="45"/>
      <c r="E302" s="5"/>
      <c r="F302" s="5"/>
      <c r="G302" s="5"/>
      <c r="L302" s="22"/>
    </row>
    <row r="303" spans="2:12" x14ac:dyDescent="0.35">
      <c r="B303" s="45"/>
      <c r="E303" s="5"/>
      <c r="F303" s="5"/>
      <c r="G303" s="5"/>
      <c r="L303" s="22"/>
    </row>
    <row r="304" spans="2:12" x14ac:dyDescent="0.35">
      <c r="B304" s="45"/>
      <c r="E304" s="5"/>
      <c r="F304" s="5"/>
      <c r="G304" s="5"/>
      <c r="L304" s="22"/>
    </row>
    <row r="305" spans="2:17" x14ac:dyDescent="0.35">
      <c r="B305" s="45"/>
      <c r="E305" s="5"/>
      <c r="F305" s="5"/>
      <c r="G305" s="5"/>
      <c r="J305" s="40"/>
      <c r="K305" s="303" t="s">
        <v>25</v>
      </c>
      <c r="L305" s="304"/>
    </row>
    <row r="306" spans="2:17" x14ac:dyDescent="0.35">
      <c r="B306" s="45"/>
      <c r="K306" s="289" t="s">
        <v>26</v>
      </c>
      <c r="L306" s="290"/>
    </row>
    <row r="307" spans="2:17" x14ac:dyDescent="0.35">
      <c r="B307" s="305"/>
      <c r="C307" s="306"/>
      <c r="D307" s="306"/>
      <c r="E307" s="41"/>
      <c r="F307" s="41"/>
      <c r="G307" s="41"/>
      <c r="H307" s="2"/>
      <c r="I307" s="2"/>
      <c r="J307" s="2"/>
      <c r="K307" s="2"/>
      <c r="L307" s="21"/>
    </row>
    <row r="308" spans="2:17" x14ac:dyDescent="0.35">
      <c r="B308" s="47"/>
      <c r="C308" s="48"/>
      <c r="D308" s="49"/>
      <c r="G308" s="22"/>
      <c r="H308" s="1"/>
      <c r="I308" s="1"/>
      <c r="J308" s="43"/>
      <c r="K308" s="30"/>
      <c r="L308" s="44"/>
    </row>
    <row r="309" spans="2:17" s="128" customFormat="1" x14ac:dyDescent="0.35">
      <c r="B309" s="147"/>
      <c r="C309" s="148"/>
      <c r="D309" s="149" t="s">
        <v>41</v>
      </c>
      <c r="E309" s="150"/>
      <c r="F309" s="151" t="s">
        <v>349</v>
      </c>
      <c r="G309" s="152"/>
      <c r="H309" s="153">
        <v>7</v>
      </c>
      <c r="I309" s="154" t="s">
        <v>138</v>
      </c>
      <c r="J309" s="74">
        <v>150000</v>
      </c>
      <c r="K309" s="51">
        <f>J309*H309</f>
        <v>1050000</v>
      </c>
      <c r="L309" s="46"/>
      <c r="M309" s="123"/>
      <c r="N309" s="130"/>
      <c r="O309" s="131"/>
      <c r="P309" s="131"/>
      <c r="Q309" s="131"/>
    </row>
    <row r="310" spans="2:17" s="128" customFormat="1" x14ac:dyDescent="0.35">
      <c r="B310" s="147"/>
      <c r="C310" s="148"/>
      <c r="D310" s="149"/>
      <c r="E310" s="150"/>
      <c r="F310" s="151" t="s">
        <v>85</v>
      </c>
      <c r="G310" s="152" t="s">
        <v>336</v>
      </c>
      <c r="H310" s="153">
        <v>250</v>
      </c>
      <c r="I310" s="154" t="s">
        <v>139</v>
      </c>
      <c r="J310" s="74">
        <v>434</v>
      </c>
      <c r="K310" s="51"/>
      <c r="L310" s="46">
        <f t="shared" ref="L310:L316" si="20">J310*H310</f>
        <v>108500</v>
      </c>
      <c r="M310" s="123"/>
      <c r="N310" s="130"/>
      <c r="O310" s="131"/>
      <c r="P310" s="131"/>
      <c r="Q310" s="131"/>
    </row>
    <row r="311" spans="2:17" s="128" customFormat="1" x14ac:dyDescent="0.35">
      <c r="B311" s="147"/>
      <c r="C311" s="148"/>
      <c r="D311" s="149"/>
      <c r="E311" s="150"/>
      <c r="F311" s="151" t="s">
        <v>85</v>
      </c>
      <c r="G311" s="152" t="s">
        <v>338</v>
      </c>
      <c r="H311" s="153">
        <v>3</v>
      </c>
      <c r="I311" s="154" t="s">
        <v>80</v>
      </c>
      <c r="J311" s="74">
        <v>230000</v>
      </c>
      <c r="K311" s="51"/>
      <c r="L311" s="46">
        <f t="shared" si="20"/>
        <v>690000</v>
      </c>
      <c r="M311" s="123"/>
      <c r="N311" s="130"/>
      <c r="O311" s="131"/>
      <c r="P311" s="131"/>
      <c r="Q311" s="131"/>
    </row>
    <row r="312" spans="2:17" s="133" customFormat="1" x14ac:dyDescent="0.35">
      <c r="B312" s="147"/>
      <c r="C312" s="148"/>
      <c r="D312" s="149"/>
      <c r="E312" s="150"/>
      <c r="F312" s="151" t="s">
        <v>85</v>
      </c>
      <c r="G312" s="152" t="s">
        <v>345</v>
      </c>
      <c r="H312" s="153">
        <v>1</v>
      </c>
      <c r="I312" s="154" t="s">
        <v>80</v>
      </c>
      <c r="J312" s="74">
        <v>145000</v>
      </c>
      <c r="K312" s="51"/>
      <c r="L312" s="46">
        <f t="shared" si="20"/>
        <v>145000</v>
      </c>
      <c r="M312" s="123"/>
      <c r="N312" s="134"/>
    </row>
    <row r="313" spans="2:17" x14ac:dyDescent="0.35">
      <c r="B313" s="147"/>
      <c r="C313" s="148"/>
      <c r="D313" s="149"/>
      <c r="E313" s="150"/>
      <c r="F313" s="151" t="s">
        <v>85</v>
      </c>
      <c r="G313" s="152" t="s">
        <v>342</v>
      </c>
      <c r="H313" s="153">
        <v>100</v>
      </c>
      <c r="I313" s="154" t="s">
        <v>139</v>
      </c>
      <c r="J313" s="74">
        <v>498</v>
      </c>
      <c r="K313" s="51"/>
      <c r="L313" s="46">
        <f t="shared" si="20"/>
        <v>49800</v>
      </c>
    </row>
    <row r="314" spans="2:17" x14ac:dyDescent="0.35">
      <c r="B314" s="147"/>
      <c r="C314" s="148"/>
      <c r="D314" s="149"/>
      <c r="E314" s="150"/>
      <c r="F314" s="151" t="s">
        <v>85</v>
      </c>
      <c r="G314" s="152" t="s">
        <v>346</v>
      </c>
      <c r="H314" s="153">
        <v>2</v>
      </c>
      <c r="I314" s="154" t="s">
        <v>80</v>
      </c>
      <c r="J314" s="74">
        <v>120000</v>
      </c>
      <c r="K314" s="51"/>
      <c r="L314" s="46">
        <f t="shared" si="20"/>
        <v>240000</v>
      </c>
    </row>
    <row r="315" spans="2:17" x14ac:dyDescent="0.35">
      <c r="B315" s="147"/>
      <c r="C315" s="148"/>
      <c r="D315" s="149"/>
      <c r="E315" s="150"/>
      <c r="F315" s="151" t="s">
        <v>85</v>
      </c>
      <c r="G315" s="152" t="s">
        <v>350</v>
      </c>
      <c r="H315" s="153">
        <v>1</v>
      </c>
      <c r="I315" s="154" t="s">
        <v>152</v>
      </c>
      <c r="J315" s="74">
        <v>35000</v>
      </c>
      <c r="K315" s="51"/>
      <c r="L315" s="46">
        <f t="shared" si="20"/>
        <v>35000</v>
      </c>
    </row>
    <row r="316" spans="2:17" x14ac:dyDescent="0.35">
      <c r="B316" s="147"/>
      <c r="C316" s="148"/>
      <c r="D316" s="149"/>
      <c r="E316" s="150"/>
      <c r="F316" s="151" t="s">
        <v>85</v>
      </c>
      <c r="G316" s="152" t="s">
        <v>332</v>
      </c>
      <c r="H316" s="153">
        <v>4</v>
      </c>
      <c r="I316" s="154" t="s">
        <v>152</v>
      </c>
      <c r="J316" s="74">
        <v>35000</v>
      </c>
      <c r="K316" s="51"/>
      <c r="L316" s="46">
        <f t="shared" si="20"/>
        <v>140000</v>
      </c>
    </row>
    <row r="317" spans="2:17" x14ac:dyDescent="0.35">
      <c r="B317" s="147"/>
      <c r="C317" s="148"/>
      <c r="D317" s="149" t="s">
        <v>43</v>
      </c>
      <c r="E317" s="150"/>
      <c r="F317" s="151" t="s">
        <v>351</v>
      </c>
      <c r="G317" s="152"/>
      <c r="H317" s="153">
        <v>6</v>
      </c>
      <c r="I317" s="154" t="s">
        <v>138</v>
      </c>
      <c r="J317" s="74">
        <v>150000</v>
      </c>
      <c r="K317" s="51">
        <f>J317*H317</f>
        <v>900000</v>
      </c>
      <c r="L317" s="46"/>
    </row>
    <row r="318" spans="2:17" x14ac:dyDescent="0.35">
      <c r="B318" s="147"/>
      <c r="C318" s="148"/>
      <c r="D318" s="149"/>
      <c r="E318" s="150"/>
      <c r="F318" s="151" t="s">
        <v>85</v>
      </c>
      <c r="G318" s="152" t="s">
        <v>336</v>
      </c>
      <c r="H318" s="153">
        <v>330</v>
      </c>
      <c r="I318" s="154" t="s">
        <v>139</v>
      </c>
      <c r="J318" s="74">
        <v>434</v>
      </c>
      <c r="K318" s="51"/>
      <c r="L318" s="46">
        <f t="shared" ref="L318:L324" si="21">J318*H318</f>
        <v>143220</v>
      </c>
    </row>
    <row r="319" spans="2:17" x14ac:dyDescent="0.35">
      <c r="B319" s="147"/>
      <c r="C319" s="148"/>
      <c r="D319" s="149"/>
      <c r="E319" s="150"/>
      <c r="F319" s="151" t="s">
        <v>85</v>
      </c>
      <c r="G319" s="152" t="s">
        <v>338</v>
      </c>
      <c r="H319" s="153">
        <v>2</v>
      </c>
      <c r="I319" s="154" t="s">
        <v>80</v>
      </c>
      <c r="J319" s="74">
        <v>230000</v>
      </c>
      <c r="K319" s="51"/>
      <c r="L319" s="46">
        <f t="shared" si="21"/>
        <v>460000</v>
      </c>
    </row>
    <row r="320" spans="2:17" x14ac:dyDescent="0.35">
      <c r="B320" s="147"/>
      <c r="C320" s="148"/>
      <c r="D320" s="149"/>
      <c r="E320" s="150"/>
      <c r="F320" s="151" t="s">
        <v>85</v>
      </c>
      <c r="G320" s="152" t="s">
        <v>345</v>
      </c>
      <c r="H320" s="153">
        <v>1</v>
      </c>
      <c r="I320" s="154" t="s">
        <v>80</v>
      </c>
      <c r="J320" s="74">
        <v>145000</v>
      </c>
      <c r="K320" s="51"/>
      <c r="L320" s="46">
        <f t="shared" si="21"/>
        <v>145000</v>
      </c>
    </row>
    <row r="321" spans="2:12" x14ac:dyDescent="0.35">
      <c r="B321" s="147"/>
      <c r="C321" s="148"/>
      <c r="D321" s="149"/>
      <c r="E321" s="150"/>
      <c r="F321" s="151" t="s">
        <v>85</v>
      </c>
      <c r="G321" s="152" t="s">
        <v>342</v>
      </c>
      <c r="H321" s="153">
        <v>70</v>
      </c>
      <c r="I321" s="154" t="s">
        <v>139</v>
      </c>
      <c r="J321" s="74">
        <v>498</v>
      </c>
      <c r="K321" s="51"/>
      <c r="L321" s="46">
        <f t="shared" si="21"/>
        <v>34860</v>
      </c>
    </row>
    <row r="322" spans="2:12" x14ac:dyDescent="0.35">
      <c r="B322" s="147"/>
      <c r="C322" s="148"/>
      <c r="D322" s="149"/>
      <c r="E322" s="150"/>
      <c r="F322" s="151" t="s">
        <v>85</v>
      </c>
      <c r="G322" s="152" t="s">
        <v>346</v>
      </c>
      <c r="H322" s="153">
        <v>2</v>
      </c>
      <c r="I322" s="154" t="s">
        <v>80</v>
      </c>
      <c r="J322" s="74">
        <v>120000</v>
      </c>
      <c r="K322" s="51"/>
      <c r="L322" s="46">
        <f t="shared" si="21"/>
        <v>240000</v>
      </c>
    </row>
    <row r="323" spans="2:12" x14ac:dyDescent="0.35">
      <c r="B323" s="147"/>
      <c r="C323" s="148"/>
      <c r="D323" s="149"/>
      <c r="E323" s="150"/>
      <c r="F323" s="151" t="s">
        <v>85</v>
      </c>
      <c r="G323" s="152" t="s">
        <v>350</v>
      </c>
      <c r="H323" s="153">
        <v>1</v>
      </c>
      <c r="I323" s="154" t="s">
        <v>152</v>
      </c>
      <c r="J323" s="74">
        <v>35000</v>
      </c>
      <c r="K323" s="51"/>
      <c r="L323" s="46">
        <f t="shared" si="21"/>
        <v>35000</v>
      </c>
    </row>
    <row r="324" spans="2:12" x14ac:dyDescent="0.35">
      <c r="B324" s="147"/>
      <c r="C324" s="148"/>
      <c r="D324" s="149"/>
      <c r="E324" s="150"/>
      <c r="F324" s="151" t="s">
        <v>85</v>
      </c>
      <c r="G324" s="152" t="s">
        <v>332</v>
      </c>
      <c r="H324" s="153">
        <v>4</v>
      </c>
      <c r="I324" s="154" t="s">
        <v>152</v>
      </c>
      <c r="J324" s="74">
        <v>35000</v>
      </c>
      <c r="K324" s="51"/>
      <c r="L324" s="46">
        <f t="shared" si="21"/>
        <v>140000</v>
      </c>
    </row>
    <row r="325" spans="2:12" x14ac:dyDescent="0.35">
      <c r="B325" s="147"/>
      <c r="C325" s="148" t="s">
        <v>177</v>
      </c>
      <c r="D325" s="149"/>
      <c r="E325" s="150"/>
      <c r="F325" s="151" t="s">
        <v>178</v>
      </c>
      <c r="G325" s="152"/>
      <c r="H325" s="153"/>
      <c r="I325" s="154"/>
      <c r="J325" s="74"/>
      <c r="K325" s="51"/>
      <c r="L325" s="46"/>
    </row>
    <row r="326" spans="2:12" x14ac:dyDescent="0.35">
      <c r="B326" s="147"/>
      <c r="C326" s="148"/>
      <c r="D326" s="149" t="s">
        <v>34</v>
      </c>
      <c r="E326" s="150"/>
      <c r="F326" s="151" t="s">
        <v>179</v>
      </c>
      <c r="G326" s="152"/>
      <c r="H326" s="153">
        <v>3</v>
      </c>
      <c r="I326" s="154" t="s">
        <v>138</v>
      </c>
      <c r="J326" s="74">
        <v>200000</v>
      </c>
      <c r="K326" s="51">
        <f>J326*H326</f>
        <v>600000</v>
      </c>
      <c r="L326" s="46"/>
    </row>
    <row r="327" spans="2:12" x14ac:dyDescent="0.35">
      <c r="B327" s="147"/>
      <c r="C327" s="148"/>
      <c r="D327" s="149"/>
      <c r="E327" s="150"/>
      <c r="F327" s="151" t="s">
        <v>85</v>
      </c>
      <c r="G327" s="152" t="s">
        <v>335</v>
      </c>
      <c r="H327" s="153">
        <v>60</v>
      </c>
      <c r="I327" s="154" t="s">
        <v>139</v>
      </c>
      <c r="J327" s="65">
        <v>523</v>
      </c>
      <c r="K327" s="58"/>
      <c r="L327" s="46">
        <f t="shared" ref="L327:L328" si="22">J327*H327</f>
        <v>31380</v>
      </c>
    </row>
    <row r="328" spans="2:12" x14ac:dyDescent="0.35">
      <c r="B328" s="147"/>
      <c r="C328" s="148"/>
      <c r="D328" s="149"/>
      <c r="E328" s="150"/>
      <c r="F328" s="151" t="s">
        <v>85</v>
      </c>
      <c r="G328" s="152" t="s">
        <v>339</v>
      </c>
      <c r="H328" s="153">
        <v>1</v>
      </c>
      <c r="I328" s="154" t="s">
        <v>80</v>
      </c>
      <c r="J328" s="74">
        <v>195000</v>
      </c>
      <c r="K328" s="51"/>
      <c r="L328" s="46">
        <f t="shared" si="22"/>
        <v>195000</v>
      </c>
    </row>
    <row r="329" spans="2:12" x14ac:dyDescent="0.35">
      <c r="B329" s="147"/>
      <c r="C329" s="148"/>
      <c r="D329" s="149" t="s">
        <v>37</v>
      </c>
      <c r="E329" s="150"/>
      <c r="F329" s="151" t="s">
        <v>169</v>
      </c>
      <c r="G329" s="152"/>
      <c r="H329" s="153">
        <v>26</v>
      </c>
      <c r="I329" s="154" t="s">
        <v>138</v>
      </c>
      <c r="J329" s="74">
        <v>200000</v>
      </c>
      <c r="K329" s="51">
        <f>J329*H329</f>
        <v>5200000</v>
      </c>
      <c r="L329" s="46"/>
    </row>
    <row r="330" spans="2:12" x14ac:dyDescent="0.35">
      <c r="B330" s="147"/>
      <c r="C330" s="148"/>
      <c r="D330" s="149"/>
      <c r="E330" s="150"/>
      <c r="F330" s="151" t="s">
        <v>85</v>
      </c>
      <c r="G330" s="152" t="s">
        <v>335</v>
      </c>
      <c r="H330" s="153">
        <v>1600</v>
      </c>
      <c r="I330" s="154" t="s">
        <v>139</v>
      </c>
      <c r="J330" s="65">
        <v>523</v>
      </c>
      <c r="K330" s="58"/>
      <c r="L330" s="46">
        <f t="shared" ref="L330:L341" si="23">J330*H330</f>
        <v>836800</v>
      </c>
    </row>
    <row r="331" spans="2:12" x14ac:dyDescent="0.35">
      <c r="B331" s="147"/>
      <c r="C331" s="148"/>
      <c r="D331" s="149"/>
      <c r="E331" s="150"/>
      <c r="F331" s="151" t="s">
        <v>85</v>
      </c>
      <c r="G331" s="152" t="s">
        <v>336</v>
      </c>
      <c r="H331" s="153">
        <v>1860</v>
      </c>
      <c r="I331" s="154" t="s">
        <v>139</v>
      </c>
      <c r="J331" s="74">
        <v>434</v>
      </c>
      <c r="K331" s="51"/>
      <c r="L331" s="46">
        <f t="shared" si="23"/>
        <v>807240</v>
      </c>
    </row>
    <row r="332" spans="2:12" x14ac:dyDescent="0.35">
      <c r="B332" s="147"/>
      <c r="C332" s="148"/>
      <c r="D332" s="149"/>
      <c r="E332" s="150"/>
      <c r="F332" s="151" t="s">
        <v>85</v>
      </c>
      <c r="G332" s="152" t="s">
        <v>337</v>
      </c>
      <c r="H332" s="153">
        <v>6</v>
      </c>
      <c r="I332" s="154" t="s">
        <v>80</v>
      </c>
      <c r="J332" s="74">
        <v>280000</v>
      </c>
      <c r="K332" s="51"/>
      <c r="L332" s="46">
        <f t="shared" si="23"/>
        <v>1680000</v>
      </c>
    </row>
    <row r="333" spans="2:12" x14ac:dyDescent="0.35">
      <c r="B333" s="147"/>
      <c r="C333" s="148"/>
      <c r="D333" s="149"/>
      <c r="E333" s="150"/>
      <c r="F333" s="151" t="s">
        <v>85</v>
      </c>
      <c r="G333" s="152" t="s">
        <v>338</v>
      </c>
      <c r="H333" s="153">
        <v>4</v>
      </c>
      <c r="I333" s="154" t="s">
        <v>80</v>
      </c>
      <c r="J333" s="74">
        <v>230000</v>
      </c>
      <c r="K333" s="51"/>
      <c r="L333" s="46">
        <f t="shared" si="23"/>
        <v>920000</v>
      </c>
    </row>
    <row r="334" spans="2:12" x14ac:dyDescent="0.35">
      <c r="B334" s="147"/>
      <c r="C334" s="148"/>
      <c r="D334" s="149"/>
      <c r="E334" s="150"/>
      <c r="F334" s="151" t="s">
        <v>85</v>
      </c>
      <c r="G334" s="152" t="s">
        <v>352</v>
      </c>
      <c r="H334" s="153">
        <v>1</v>
      </c>
      <c r="I334" s="154" t="s">
        <v>80</v>
      </c>
      <c r="J334" s="74">
        <v>180000</v>
      </c>
      <c r="K334" s="58"/>
      <c r="L334" s="46">
        <f t="shared" si="23"/>
        <v>180000</v>
      </c>
    </row>
    <row r="335" spans="2:12" x14ac:dyDescent="0.35">
      <c r="B335" s="147"/>
      <c r="C335" s="148"/>
      <c r="D335" s="149"/>
      <c r="E335" s="150"/>
      <c r="F335" s="151" t="s">
        <v>85</v>
      </c>
      <c r="G335" s="152" t="s">
        <v>342</v>
      </c>
      <c r="H335" s="153">
        <v>250</v>
      </c>
      <c r="I335" s="154" t="s">
        <v>139</v>
      </c>
      <c r="J335" s="74">
        <v>498</v>
      </c>
      <c r="K335" s="51"/>
      <c r="L335" s="46">
        <f t="shared" si="23"/>
        <v>124500</v>
      </c>
    </row>
    <row r="336" spans="2:12" x14ac:dyDescent="0.35">
      <c r="B336" s="147"/>
      <c r="C336" s="148"/>
      <c r="D336" s="149"/>
      <c r="E336" s="150"/>
      <c r="F336" s="151" t="s">
        <v>85</v>
      </c>
      <c r="G336" s="152" t="s">
        <v>346</v>
      </c>
      <c r="H336" s="153">
        <v>4</v>
      </c>
      <c r="I336" s="154" t="s">
        <v>80</v>
      </c>
      <c r="J336" s="74">
        <v>120000</v>
      </c>
      <c r="K336" s="51"/>
      <c r="L336" s="46">
        <f t="shared" si="23"/>
        <v>480000</v>
      </c>
    </row>
    <row r="337" spans="2:12" x14ac:dyDescent="0.35">
      <c r="B337" s="147"/>
      <c r="C337" s="148"/>
      <c r="D337" s="149"/>
      <c r="E337" s="150"/>
      <c r="F337" s="151" t="s">
        <v>85</v>
      </c>
      <c r="G337" s="152" t="s">
        <v>348</v>
      </c>
      <c r="H337" s="153">
        <v>2</v>
      </c>
      <c r="I337" s="154" t="s">
        <v>152</v>
      </c>
      <c r="J337" s="74">
        <v>35000</v>
      </c>
      <c r="K337" s="51"/>
      <c r="L337" s="46">
        <f t="shared" si="23"/>
        <v>70000</v>
      </c>
    </row>
    <row r="338" spans="2:12" x14ac:dyDescent="0.35">
      <c r="B338" s="147"/>
      <c r="C338" s="148"/>
      <c r="D338" s="149"/>
      <c r="E338" s="150"/>
      <c r="F338" s="151" t="s">
        <v>85</v>
      </c>
      <c r="G338" s="152" t="s">
        <v>330</v>
      </c>
      <c r="H338" s="153">
        <v>3</v>
      </c>
      <c r="I338" s="154" t="s">
        <v>152</v>
      </c>
      <c r="J338" s="74">
        <v>35000</v>
      </c>
      <c r="K338" s="51"/>
      <c r="L338" s="46">
        <f t="shared" si="23"/>
        <v>105000</v>
      </c>
    </row>
    <row r="339" spans="2:12" x14ac:dyDescent="0.35">
      <c r="B339" s="147"/>
      <c r="C339" s="148"/>
      <c r="D339" s="149"/>
      <c r="E339" s="150"/>
      <c r="F339" s="151" t="s">
        <v>85</v>
      </c>
      <c r="G339" s="152" t="s">
        <v>353</v>
      </c>
      <c r="H339" s="153">
        <v>1</v>
      </c>
      <c r="I339" s="154" t="s">
        <v>152</v>
      </c>
      <c r="J339" s="74">
        <v>35000</v>
      </c>
      <c r="K339" s="51"/>
      <c r="L339" s="46">
        <f t="shared" si="23"/>
        <v>35000</v>
      </c>
    </row>
    <row r="340" spans="2:12" x14ac:dyDescent="0.35">
      <c r="B340" s="147"/>
      <c r="C340" s="148"/>
      <c r="D340" s="149"/>
      <c r="E340" s="150"/>
      <c r="F340" s="151" t="s">
        <v>85</v>
      </c>
      <c r="G340" s="152" t="s">
        <v>332</v>
      </c>
      <c r="H340" s="153">
        <v>16</v>
      </c>
      <c r="I340" s="154" t="s">
        <v>152</v>
      </c>
      <c r="J340" s="74">
        <v>35000</v>
      </c>
      <c r="K340" s="51"/>
      <c r="L340" s="46">
        <f t="shared" si="23"/>
        <v>560000</v>
      </c>
    </row>
    <row r="341" spans="2:12" x14ac:dyDescent="0.35">
      <c r="B341" s="147"/>
      <c r="C341" s="148"/>
      <c r="D341" s="149"/>
      <c r="E341" s="150"/>
      <c r="F341" s="151" t="s">
        <v>85</v>
      </c>
      <c r="G341" s="152" t="s">
        <v>354</v>
      </c>
      <c r="H341" s="153">
        <v>2</v>
      </c>
      <c r="I341" s="154" t="s">
        <v>80</v>
      </c>
      <c r="J341" s="74">
        <v>35000</v>
      </c>
      <c r="K341" s="51"/>
      <c r="L341" s="46">
        <f t="shared" si="23"/>
        <v>70000</v>
      </c>
    </row>
    <row r="342" spans="2:12" x14ac:dyDescent="0.35">
      <c r="B342" s="147"/>
      <c r="C342" s="148"/>
      <c r="D342" s="149" t="s">
        <v>39</v>
      </c>
      <c r="E342" s="150"/>
      <c r="F342" s="151" t="s">
        <v>174</v>
      </c>
      <c r="G342" s="152"/>
      <c r="H342" s="153">
        <v>6</v>
      </c>
      <c r="I342" s="154" t="s">
        <v>138</v>
      </c>
      <c r="J342" s="74">
        <v>150000</v>
      </c>
      <c r="K342" s="51">
        <f>J342*H342</f>
        <v>900000</v>
      </c>
      <c r="L342" s="46"/>
    </row>
    <row r="343" spans="2:12" x14ac:dyDescent="0.35">
      <c r="B343" s="147"/>
      <c r="C343" s="148"/>
      <c r="D343" s="149"/>
      <c r="E343" s="150"/>
      <c r="F343" s="151" t="s">
        <v>85</v>
      </c>
      <c r="G343" s="152" t="s">
        <v>336</v>
      </c>
      <c r="H343" s="153">
        <v>540</v>
      </c>
      <c r="I343" s="154" t="s">
        <v>139</v>
      </c>
      <c r="J343" s="74">
        <v>434</v>
      </c>
      <c r="K343" s="51"/>
      <c r="L343" s="46">
        <f t="shared" ref="L343:L346" si="24">J343*H343</f>
        <v>234360</v>
      </c>
    </row>
    <row r="344" spans="2:12" x14ac:dyDescent="0.35">
      <c r="B344" s="147"/>
      <c r="C344" s="148"/>
      <c r="D344" s="149"/>
      <c r="E344" s="150"/>
      <c r="F344" s="151" t="s">
        <v>85</v>
      </c>
      <c r="G344" s="152" t="s">
        <v>338</v>
      </c>
      <c r="H344" s="153">
        <v>1</v>
      </c>
      <c r="I344" s="154" t="s">
        <v>80</v>
      </c>
      <c r="J344" s="74">
        <v>230000</v>
      </c>
      <c r="K344" s="51"/>
      <c r="L344" s="46">
        <f t="shared" si="24"/>
        <v>230000</v>
      </c>
    </row>
    <row r="345" spans="2:12" x14ac:dyDescent="0.35">
      <c r="B345" s="147"/>
      <c r="C345" s="148"/>
      <c r="D345" s="149"/>
      <c r="E345" s="150"/>
      <c r="F345" s="151" t="s">
        <v>85</v>
      </c>
      <c r="G345" s="152" t="s">
        <v>345</v>
      </c>
      <c r="H345" s="153">
        <v>1</v>
      </c>
      <c r="I345" s="154" t="s">
        <v>80</v>
      </c>
      <c r="J345" s="74">
        <v>145000</v>
      </c>
      <c r="K345" s="51"/>
      <c r="L345" s="46">
        <f t="shared" si="24"/>
        <v>145000</v>
      </c>
    </row>
    <row r="346" spans="2:12" x14ac:dyDescent="0.35">
      <c r="B346" s="147"/>
      <c r="C346" s="148"/>
      <c r="D346" s="149"/>
      <c r="E346" s="150"/>
      <c r="F346" s="151" t="s">
        <v>85</v>
      </c>
      <c r="G346" s="152" t="s">
        <v>347</v>
      </c>
      <c r="H346" s="153">
        <v>1</v>
      </c>
      <c r="I346" s="154" t="s">
        <v>152</v>
      </c>
      <c r="J346" s="74">
        <v>35000</v>
      </c>
      <c r="K346" s="51"/>
      <c r="L346" s="46">
        <f t="shared" si="24"/>
        <v>35000</v>
      </c>
    </row>
    <row r="347" spans="2:12" x14ac:dyDescent="0.35">
      <c r="B347" s="147"/>
      <c r="C347" s="148"/>
      <c r="D347" s="149" t="s">
        <v>41</v>
      </c>
      <c r="E347" s="150"/>
      <c r="F347" s="151" t="s">
        <v>176</v>
      </c>
      <c r="G347" s="152"/>
      <c r="H347" s="153">
        <v>3</v>
      </c>
      <c r="I347" s="154" t="s">
        <v>138</v>
      </c>
      <c r="J347" s="74">
        <v>150000</v>
      </c>
      <c r="K347" s="51">
        <f>J347*H347</f>
        <v>450000</v>
      </c>
      <c r="L347" s="46"/>
    </row>
    <row r="348" spans="2:12" x14ac:dyDescent="0.35">
      <c r="B348" s="147"/>
      <c r="C348" s="148"/>
      <c r="D348" s="149"/>
      <c r="E348" s="150"/>
      <c r="F348" s="151" t="s">
        <v>85</v>
      </c>
      <c r="G348" s="152" t="s">
        <v>336</v>
      </c>
      <c r="H348" s="153">
        <v>160</v>
      </c>
      <c r="I348" s="154" t="s">
        <v>139</v>
      </c>
      <c r="J348" s="74">
        <v>434</v>
      </c>
      <c r="K348" s="51"/>
      <c r="L348" s="46">
        <f t="shared" ref="L348:L351" si="25">J348*H348</f>
        <v>69440</v>
      </c>
    </row>
    <row r="349" spans="2:12" x14ac:dyDescent="0.35">
      <c r="B349" s="147"/>
      <c r="C349" s="148"/>
      <c r="D349" s="149"/>
      <c r="E349" s="150"/>
      <c r="F349" s="151" t="s">
        <v>85</v>
      </c>
      <c r="G349" s="152" t="s">
        <v>340</v>
      </c>
      <c r="H349" s="153">
        <v>2</v>
      </c>
      <c r="I349" s="154" t="s">
        <v>80</v>
      </c>
      <c r="J349" s="74">
        <v>165000</v>
      </c>
      <c r="K349" s="51"/>
      <c r="L349" s="46">
        <f t="shared" si="25"/>
        <v>330000</v>
      </c>
    </row>
    <row r="350" spans="2:12" x14ac:dyDescent="0.35">
      <c r="B350" s="147"/>
      <c r="C350" s="148"/>
      <c r="D350" s="149"/>
      <c r="E350" s="150"/>
      <c r="F350" s="151" t="s">
        <v>85</v>
      </c>
      <c r="G350" s="152" t="s">
        <v>348</v>
      </c>
      <c r="H350" s="153">
        <v>1</v>
      </c>
      <c r="I350" s="154" t="s">
        <v>152</v>
      </c>
      <c r="J350" s="74">
        <v>35000</v>
      </c>
      <c r="K350" s="51"/>
      <c r="L350" s="46">
        <f t="shared" si="25"/>
        <v>35000</v>
      </c>
    </row>
    <row r="351" spans="2:12" x14ac:dyDescent="0.35">
      <c r="B351" s="147"/>
      <c r="C351" s="148"/>
      <c r="D351" s="149"/>
      <c r="E351" s="150"/>
      <c r="F351" s="151" t="s">
        <v>85</v>
      </c>
      <c r="G351" s="152" t="s">
        <v>332</v>
      </c>
      <c r="H351" s="153">
        <v>4</v>
      </c>
      <c r="I351" s="154" t="s">
        <v>152</v>
      </c>
      <c r="J351" s="74">
        <v>35000</v>
      </c>
      <c r="K351" s="51"/>
      <c r="L351" s="46">
        <f t="shared" si="25"/>
        <v>140000</v>
      </c>
    </row>
    <row r="352" spans="2:12" x14ac:dyDescent="0.35">
      <c r="B352" s="147"/>
      <c r="C352" s="148"/>
      <c r="D352" s="149" t="s">
        <v>43</v>
      </c>
      <c r="E352" s="150"/>
      <c r="F352" s="151" t="s">
        <v>349</v>
      </c>
      <c r="G352" s="152"/>
      <c r="H352" s="153">
        <v>8</v>
      </c>
      <c r="I352" s="154" t="s">
        <v>138</v>
      </c>
      <c r="J352" s="74">
        <v>150000</v>
      </c>
      <c r="K352" s="51">
        <f>J352*H352</f>
        <v>1200000</v>
      </c>
      <c r="L352" s="46"/>
    </row>
    <row r="353" spans="2:12" s="34" customFormat="1" x14ac:dyDescent="0.35">
      <c r="B353" s="160"/>
      <c r="C353" s="161"/>
      <c r="D353" s="162"/>
      <c r="E353" s="163"/>
      <c r="F353" s="164" t="s">
        <v>85</v>
      </c>
      <c r="G353" s="165" t="s">
        <v>355</v>
      </c>
      <c r="H353" s="166">
        <v>60</v>
      </c>
      <c r="I353" s="167" t="s">
        <v>139</v>
      </c>
      <c r="J353" s="74">
        <v>415</v>
      </c>
      <c r="K353" s="51"/>
      <c r="L353" s="46">
        <f t="shared" ref="L353:L360" si="26">J353*H353</f>
        <v>24900</v>
      </c>
    </row>
    <row r="354" spans="2:12" x14ac:dyDescent="0.35">
      <c r="B354" s="147"/>
      <c r="C354" s="148"/>
      <c r="D354" s="149"/>
      <c r="E354" s="150"/>
      <c r="F354" s="151" t="s">
        <v>85</v>
      </c>
      <c r="G354" s="152" t="s">
        <v>336</v>
      </c>
      <c r="H354" s="153">
        <v>250</v>
      </c>
      <c r="I354" s="154" t="s">
        <v>139</v>
      </c>
      <c r="J354" s="74">
        <v>434</v>
      </c>
      <c r="K354" s="51"/>
      <c r="L354" s="46">
        <f t="shared" si="26"/>
        <v>108500</v>
      </c>
    </row>
    <row r="355" spans="2:12" x14ac:dyDescent="0.35">
      <c r="B355" s="147"/>
      <c r="C355" s="148"/>
      <c r="D355" s="149"/>
      <c r="E355" s="150"/>
      <c r="F355" s="151" t="s">
        <v>85</v>
      </c>
      <c r="G355" s="152" t="s">
        <v>335</v>
      </c>
      <c r="H355" s="153">
        <v>70</v>
      </c>
      <c r="I355" s="154" t="s">
        <v>139</v>
      </c>
      <c r="J355" s="65">
        <v>523</v>
      </c>
      <c r="K355" s="58"/>
      <c r="L355" s="46">
        <f t="shared" si="26"/>
        <v>36610</v>
      </c>
    </row>
    <row r="356" spans="2:12" x14ac:dyDescent="0.35">
      <c r="B356" s="147"/>
      <c r="C356" s="148"/>
      <c r="D356" s="149"/>
      <c r="E356" s="150"/>
      <c r="F356" s="151" t="s">
        <v>85</v>
      </c>
      <c r="G356" s="152" t="s">
        <v>338</v>
      </c>
      <c r="H356" s="153">
        <v>3</v>
      </c>
      <c r="I356" s="154" t="s">
        <v>80</v>
      </c>
      <c r="J356" s="74">
        <v>230000</v>
      </c>
      <c r="K356" s="51"/>
      <c r="L356" s="46">
        <f t="shared" si="26"/>
        <v>690000</v>
      </c>
    </row>
    <row r="357" spans="2:12" x14ac:dyDescent="0.35">
      <c r="B357" s="147"/>
      <c r="C357" s="148"/>
      <c r="D357" s="149"/>
      <c r="E357" s="150"/>
      <c r="F357" s="151" t="s">
        <v>85</v>
      </c>
      <c r="G357" s="152" t="s">
        <v>356</v>
      </c>
      <c r="H357" s="153">
        <v>2</v>
      </c>
      <c r="I357" s="154" t="s">
        <v>80</v>
      </c>
      <c r="J357" s="74">
        <v>145000</v>
      </c>
      <c r="K357" s="51"/>
      <c r="L357" s="46">
        <f t="shared" si="26"/>
        <v>290000</v>
      </c>
    </row>
    <row r="358" spans="2:12" x14ac:dyDescent="0.35">
      <c r="B358" s="147"/>
      <c r="C358" s="148"/>
      <c r="D358" s="149"/>
      <c r="E358" s="150"/>
      <c r="F358" s="151" t="s">
        <v>85</v>
      </c>
      <c r="G358" s="152" t="s">
        <v>342</v>
      </c>
      <c r="H358" s="153">
        <v>100</v>
      </c>
      <c r="I358" s="154" t="s">
        <v>139</v>
      </c>
      <c r="J358" s="74">
        <v>498</v>
      </c>
      <c r="K358" s="51"/>
      <c r="L358" s="46">
        <f t="shared" si="26"/>
        <v>49800</v>
      </c>
    </row>
    <row r="359" spans="2:12" x14ac:dyDescent="0.35">
      <c r="B359" s="147"/>
      <c r="C359" s="148"/>
      <c r="D359" s="149"/>
      <c r="E359" s="150"/>
      <c r="F359" s="151" t="s">
        <v>85</v>
      </c>
      <c r="G359" s="152" t="s">
        <v>346</v>
      </c>
      <c r="H359" s="153">
        <v>2</v>
      </c>
      <c r="I359" s="154" t="s">
        <v>80</v>
      </c>
      <c r="J359" s="74">
        <v>120000</v>
      </c>
      <c r="K359" s="51"/>
      <c r="L359" s="46">
        <f t="shared" si="26"/>
        <v>240000</v>
      </c>
    </row>
    <row r="360" spans="2:12" x14ac:dyDescent="0.35">
      <c r="B360" s="147"/>
      <c r="C360" s="148"/>
      <c r="D360" s="149"/>
      <c r="E360" s="150"/>
      <c r="F360" s="151" t="s">
        <v>85</v>
      </c>
      <c r="G360" s="152" t="s">
        <v>348</v>
      </c>
      <c r="H360" s="153">
        <v>1</v>
      </c>
      <c r="I360" s="154" t="s">
        <v>152</v>
      </c>
      <c r="J360" s="74">
        <v>35000</v>
      </c>
      <c r="K360" s="51"/>
      <c r="L360" s="46">
        <f t="shared" si="26"/>
        <v>35000</v>
      </c>
    </row>
    <row r="361" spans="2:12" x14ac:dyDescent="0.35">
      <c r="B361" s="147"/>
      <c r="C361" s="148"/>
      <c r="D361" s="149" t="s">
        <v>44</v>
      </c>
      <c r="E361" s="150"/>
      <c r="F361" s="151" t="s">
        <v>351</v>
      </c>
      <c r="G361" s="152"/>
      <c r="H361" s="153">
        <v>6</v>
      </c>
      <c r="I361" s="154" t="s">
        <v>138</v>
      </c>
      <c r="J361" s="74">
        <v>150000</v>
      </c>
      <c r="K361" s="51">
        <f>J361*H361</f>
        <v>900000</v>
      </c>
      <c r="L361" s="46"/>
    </row>
    <row r="362" spans="2:12" x14ac:dyDescent="0.35">
      <c r="B362" s="147"/>
      <c r="C362" s="148"/>
      <c r="D362" s="149"/>
      <c r="E362" s="150"/>
      <c r="F362" s="151" t="s">
        <v>85</v>
      </c>
      <c r="G362" s="152" t="s">
        <v>336</v>
      </c>
      <c r="H362" s="153">
        <v>300</v>
      </c>
      <c r="I362" s="154" t="s">
        <v>139</v>
      </c>
      <c r="J362" s="74">
        <v>434</v>
      </c>
      <c r="K362" s="51"/>
      <c r="L362" s="46">
        <f t="shared" ref="L362:L364" si="27">J362*H362</f>
        <v>130200</v>
      </c>
    </row>
    <row r="363" spans="2:12" x14ac:dyDescent="0.35">
      <c r="B363" s="147"/>
      <c r="C363" s="148"/>
      <c r="D363" s="149"/>
      <c r="E363" s="150"/>
      <c r="F363" s="151" t="s">
        <v>85</v>
      </c>
      <c r="G363" s="152" t="s">
        <v>338</v>
      </c>
      <c r="H363" s="153">
        <v>3</v>
      </c>
      <c r="I363" s="154" t="s">
        <v>80</v>
      </c>
      <c r="J363" s="74">
        <v>230000</v>
      </c>
      <c r="K363" s="51"/>
      <c r="L363" s="46">
        <f t="shared" si="27"/>
        <v>690000</v>
      </c>
    </row>
    <row r="364" spans="2:12" x14ac:dyDescent="0.35">
      <c r="B364" s="147"/>
      <c r="C364" s="148"/>
      <c r="D364" s="149"/>
      <c r="E364" s="150"/>
      <c r="F364" s="151" t="s">
        <v>85</v>
      </c>
      <c r="G364" s="152" t="s">
        <v>357</v>
      </c>
      <c r="H364" s="153">
        <v>1</v>
      </c>
      <c r="I364" s="154" t="s">
        <v>80</v>
      </c>
      <c r="J364" s="74">
        <v>145000</v>
      </c>
      <c r="K364" s="51"/>
      <c r="L364" s="46">
        <f t="shared" si="27"/>
        <v>145000</v>
      </c>
    </row>
    <row r="365" spans="2:12" x14ac:dyDescent="0.35">
      <c r="B365" s="47"/>
      <c r="C365" s="48"/>
      <c r="D365" s="24"/>
      <c r="G365" s="22"/>
      <c r="I365" s="22"/>
      <c r="J365" s="50"/>
      <c r="K365" s="29"/>
      <c r="L365" s="52"/>
    </row>
    <row r="366" spans="2:12" x14ac:dyDescent="0.35">
      <c r="B366" s="8"/>
      <c r="C366" s="9"/>
      <c r="D366" s="10"/>
      <c r="E366" s="4"/>
      <c r="F366" s="4"/>
      <c r="G366" s="4"/>
      <c r="H366" s="1"/>
      <c r="I366" s="1"/>
      <c r="J366" s="11" t="s">
        <v>8</v>
      </c>
      <c r="K366" s="7">
        <f>SUM(K308:K365)</f>
        <v>11200000</v>
      </c>
      <c r="L366" s="7">
        <f>SUM(L308:L365)</f>
        <v>12360110</v>
      </c>
    </row>
    <row r="367" spans="2:12" x14ac:dyDescent="0.35">
      <c r="B367" s="8"/>
      <c r="C367" s="9"/>
      <c r="D367" s="9"/>
      <c r="E367" s="4"/>
      <c r="F367" s="4"/>
      <c r="G367" s="4"/>
      <c r="H367" s="1"/>
      <c r="I367" s="1"/>
      <c r="J367" s="11"/>
      <c r="K367" s="35" t="s">
        <v>12</v>
      </c>
      <c r="L367" s="36" t="s">
        <v>13</v>
      </c>
    </row>
    <row r="368" spans="2:12" x14ac:dyDescent="0.35">
      <c r="B368" s="3" t="s">
        <v>9</v>
      </c>
      <c r="C368" s="4"/>
      <c r="D368" s="4"/>
      <c r="E368" s="4"/>
      <c r="F368" s="4"/>
      <c r="G368" s="4"/>
      <c r="H368" s="1"/>
      <c r="I368" s="1"/>
      <c r="J368" s="12"/>
      <c r="K368" s="12"/>
      <c r="L368" s="13"/>
    </row>
    <row r="369" spans="2:12" x14ac:dyDescent="0.35">
      <c r="B369" s="37"/>
      <c r="C369" s="1"/>
      <c r="D369" s="1"/>
      <c r="E369" s="38"/>
      <c r="F369" s="38"/>
      <c r="G369" s="38"/>
      <c r="H369" s="1"/>
      <c r="I369" s="1"/>
      <c r="J369" s="1"/>
      <c r="K369" s="1"/>
      <c r="L369" s="19"/>
    </row>
    <row r="370" spans="2:12" x14ac:dyDescent="0.35">
      <c r="B370" s="28" t="s">
        <v>6</v>
      </c>
      <c r="C370" s="27"/>
      <c r="D370" s="27"/>
      <c r="E370" s="26"/>
      <c r="F370" s="26"/>
      <c r="G370" s="5"/>
      <c r="K370" s="301" t="s">
        <v>27</v>
      </c>
      <c r="L370" s="302"/>
    </row>
    <row r="371" spans="2:12" x14ac:dyDescent="0.35">
      <c r="B371" s="28">
        <v>1</v>
      </c>
      <c r="C371" s="27"/>
      <c r="D371" s="27"/>
      <c r="E371" s="26" t="s">
        <v>7</v>
      </c>
      <c r="F371" s="26"/>
      <c r="G371" s="5"/>
      <c r="K371" s="301" t="s">
        <v>17</v>
      </c>
      <c r="L371" s="302"/>
    </row>
    <row r="372" spans="2:12" x14ac:dyDescent="0.35">
      <c r="B372" s="39"/>
      <c r="C372" s="27"/>
      <c r="D372" s="27"/>
      <c r="E372" s="26"/>
      <c r="F372" s="26"/>
      <c r="G372" s="5"/>
      <c r="J372" s="25"/>
      <c r="K372" s="25"/>
      <c r="L372" s="24"/>
    </row>
    <row r="373" spans="2:12" x14ac:dyDescent="0.35">
      <c r="B373" s="28"/>
      <c r="C373" s="27"/>
      <c r="D373" s="27"/>
      <c r="E373" s="26"/>
      <c r="F373" s="26"/>
      <c r="G373" s="5"/>
      <c r="L373" s="22"/>
    </row>
    <row r="374" spans="2:12" x14ac:dyDescent="0.35">
      <c r="B374" s="45"/>
      <c r="E374" s="5"/>
      <c r="F374" s="5"/>
      <c r="G374" s="5"/>
      <c r="L374" s="22"/>
    </row>
    <row r="375" spans="2:12" x14ac:dyDescent="0.35">
      <c r="B375" s="45"/>
      <c r="E375" s="5"/>
      <c r="F375" s="5"/>
      <c r="G375" s="5"/>
      <c r="L375" s="22"/>
    </row>
    <row r="376" spans="2:12" x14ac:dyDescent="0.35">
      <c r="B376" s="45"/>
      <c r="E376" s="5"/>
      <c r="F376" s="5"/>
      <c r="G376" s="5"/>
      <c r="L376" s="22"/>
    </row>
    <row r="377" spans="2:12" x14ac:dyDescent="0.35">
      <c r="B377" s="45"/>
      <c r="E377" s="5"/>
      <c r="F377" s="5"/>
      <c r="G377" s="5"/>
      <c r="J377" s="40"/>
      <c r="K377" s="303" t="s">
        <v>25</v>
      </c>
      <c r="L377" s="304"/>
    </row>
    <row r="378" spans="2:12" x14ac:dyDescent="0.35">
      <c r="B378" s="45"/>
      <c r="K378" s="289" t="s">
        <v>26</v>
      </c>
      <c r="L378" s="290"/>
    </row>
    <row r="379" spans="2:12" x14ac:dyDescent="0.35">
      <c r="B379" s="305"/>
      <c r="C379" s="306"/>
      <c r="D379" s="306"/>
      <c r="E379" s="41"/>
      <c r="F379" s="41"/>
      <c r="G379" s="41"/>
      <c r="H379" s="2"/>
      <c r="I379" s="2"/>
      <c r="J379" s="2"/>
      <c r="K379" s="2"/>
      <c r="L379" s="21"/>
    </row>
    <row r="380" spans="2:12" x14ac:dyDescent="0.35">
      <c r="B380" s="47"/>
      <c r="C380" s="48"/>
      <c r="D380" s="49"/>
      <c r="G380" s="22"/>
      <c r="H380" s="1"/>
      <c r="I380" s="1"/>
      <c r="J380" s="43"/>
      <c r="K380" s="30"/>
      <c r="L380" s="44"/>
    </row>
    <row r="381" spans="2:12" x14ac:dyDescent="0.35">
      <c r="B381" s="147"/>
      <c r="C381" s="148"/>
      <c r="D381" s="149"/>
      <c r="E381" s="150"/>
      <c r="F381" s="151" t="s">
        <v>85</v>
      </c>
      <c r="G381" s="152" t="s">
        <v>342</v>
      </c>
      <c r="H381" s="153">
        <v>110</v>
      </c>
      <c r="I381" s="154" t="s">
        <v>139</v>
      </c>
      <c r="J381" s="74">
        <v>498</v>
      </c>
      <c r="K381" s="51"/>
      <c r="L381" s="46">
        <f t="shared" ref="L381:L383" si="28">J381*H381</f>
        <v>54780</v>
      </c>
    </row>
    <row r="382" spans="2:12" x14ac:dyDescent="0.35">
      <c r="B382" s="147"/>
      <c r="C382" s="148"/>
      <c r="D382" s="149"/>
      <c r="E382" s="150"/>
      <c r="F382" s="151" t="s">
        <v>85</v>
      </c>
      <c r="G382" s="152" t="s">
        <v>346</v>
      </c>
      <c r="H382" s="153">
        <v>2</v>
      </c>
      <c r="I382" s="154" t="s">
        <v>80</v>
      </c>
      <c r="J382" s="74">
        <v>120000</v>
      </c>
      <c r="K382" s="51"/>
      <c r="L382" s="46">
        <f t="shared" si="28"/>
        <v>240000</v>
      </c>
    </row>
    <row r="383" spans="2:12" x14ac:dyDescent="0.35">
      <c r="B383" s="147"/>
      <c r="C383" s="148"/>
      <c r="D383" s="149"/>
      <c r="E383" s="150"/>
      <c r="F383" s="151" t="s">
        <v>85</v>
      </c>
      <c r="G383" s="152" t="s">
        <v>358</v>
      </c>
      <c r="H383" s="153">
        <v>1</v>
      </c>
      <c r="I383" s="154" t="s">
        <v>152</v>
      </c>
      <c r="J383" s="74">
        <v>35000</v>
      </c>
      <c r="K383" s="51"/>
      <c r="L383" s="46">
        <f t="shared" si="28"/>
        <v>35000</v>
      </c>
    </row>
    <row r="384" spans="2:12" x14ac:dyDescent="0.35">
      <c r="B384" s="147"/>
      <c r="C384" s="148" t="s">
        <v>180</v>
      </c>
      <c r="D384" s="149"/>
      <c r="E384" s="150"/>
      <c r="F384" s="151" t="s">
        <v>181</v>
      </c>
      <c r="G384" s="152"/>
      <c r="H384" s="153"/>
      <c r="I384" s="154"/>
      <c r="J384" s="74"/>
      <c r="K384" s="51"/>
      <c r="L384" s="46"/>
    </row>
    <row r="385" spans="2:12" x14ac:dyDescent="0.35">
      <c r="B385" s="147"/>
      <c r="C385" s="148"/>
      <c r="D385" s="149" t="s">
        <v>34</v>
      </c>
      <c r="E385" s="150"/>
      <c r="F385" s="151" t="s">
        <v>182</v>
      </c>
      <c r="G385" s="152"/>
      <c r="H385" s="153">
        <v>6</v>
      </c>
      <c r="I385" s="154" t="s">
        <v>138</v>
      </c>
      <c r="J385" s="74">
        <v>100000</v>
      </c>
      <c r="K385" s="51">
        <f>J385*H385</f>
        <v>600000</v>
      </c>
      <c r="L385" s="46"/>
    </row>
    <row r="386" spans="2:12" x14ac:dyDescent="0.35">
      <c r="B386" s="147"/>
      <c r="C386" s="148"/>
      <c r="D386" s="149"/>
      <c r="E386" s="150"/>
      <c r="F386" s="151" t="s">
        <v>85</v>
      </c>
      <c r="G386" s="152" t="s">
        <v>344</v>
      </c>
      <c r="H386" s="153">
        <v>1150</v>
      </c>
      <c r="I386" s="154" t="s">
        <v>139</v>
      </c>
      <c r="J386" s="74">
        <v>357</v>
      </c>
      <c r="K386" s="51"/>
      <c r="L386" s="46">
        <f t="shared" ref="L386:L387" si="29">J386*H386</f>
        <v>410550</v>
      </c>
    </row>
    <row r="387" spans="2:12" x14ac:dyDescent="0.35">
      <c r="B387" s="147"/>
      <c r="C387" s="148"/>
      <c r="D387" s="149"/>
      <c r="E387" s="150"/>
      <c r="F387" s="151" t="s">
        <v>85</v>
      </c>
      <c r="G387" s="152" t="s">
        <v>359</v>
      </c>
      <c r="H387" s="153">
        <v>3</v>
      </c>
      <c r="I387" s="154" t="s">
        <v>80</v>
      </c>
      <c r="J387" s="74">
        <v>175000</v>
      </c>
      <c r="K387" s="51"/>
      <c r="L387" s="46">
        <f t="shared" si="29"/>
        <v>525000</v>
      </c>
    </row>
    <row r="388" spans="2:12" x14ac:dyDescent="0.35">
      <c r="B388" s="147"/>
      <c r="C388" s="148"/>
      <c r="D388" s="149"/>
      <c r="E388" s="150"/>
      <c r="F388" s="151" t="s">
        <v>85</v>
      </c>
      <c r="G388" s="152" t="s">
        <v>360</v>
      </c>
      <c r="H388" s="153">
        <v>240</v>
      </c>
      <c r="I388" s="154" t="s">
        <v>139</v>
      </c>
      <c r="J388" s="74">
        <v>413</v>
      </c>
      <c r="K388" s="129"/>
      <c r="L388" s="46">
        <f>J388*H388</f>
        <v>99120</v>
      </c>
    </row>
    <row r="389" spans="2:12" s="34" customFormat="1" x14ac:dyDescent="0.35">
      <c r="B389" s="160"/>
      <c r="C389" s="161"/>
      <c r="D389" s="162"/>
      <c r="E389" s="163"/>
      <c r="F389" s="164" t="s">
        <v>85</v>
      </c>
      <c r="G389" s="165" t="s">
        <v>361</v>
      </c>
      <c r="H389" s="166">
        <v>4</v>
      </c>
      <c r="I389" s="167" t="s">
        <v>80</v>
      </c>
      <c r="J389" s="65">
        <v>120000</v>
      </c>
      <c r="K389" s="51"/>
      <c r="L389" s="46">
        <f>J389*H389</f>
        <v>480000</v>
      </c>
    </row>
    <row r="390" spans="2:12" x14ac:dyDescent="0.35">
      <c r="B390" s="147"/>
      <c r="C390" s="148"/>
      <c r="D390" s="149"/>
      <c r="E390" s="150"/>
      <c r="F390" s="151" t="s">
        <v>85</v>
      </c>
      <c r="G390" s="152" t="s">
        <v>354</v>
      </c>
      <c r="H390" s="153">
        <v>1</v>
      </c>
      <c r="I390" s="154" t="s">
        <v>80</v>
      </c>
      <c r="J390" s="74">
        <v>35000</v>
      </c>
      <c r="K390" s="51"/>
      <c r="L390" s="46">
        <f t="shared" ref="L390" si="30">J390*H390</f>
        <v>35000</v>
      </c>
    </row>
    <row r="391" spans="2:12" x14ac:dyDescent="0.35">
      <c r="B391" s="147"/>
      <c r="C391" s="148"/>
      <c r="D391" s="149" t="s">
        <v>37</v>
      </c>
      <c r="E391" s="150"/>
      <c r="F391" s="151" t="s">
        <v>183</v>
      </c>
      <c r="G391" s="152"/>
      <c r="H391" s="153">
        <v>4</v>
      </c>
      <c r="I391" s="154" t="s">
        <v>138</v>
      </c>
      <c r="J391" s="74">
        <v>100000</v>
      </c>
      <c r="K391" s="51">
        <f>J391*H391</f>
        <v>400000</v>
      </c>
      <c r="L391" s="46"/>
    </row>
    <row r="392" spans="2:12" x14ac:dyDescent="0.35">
      <c r="B392" s="147"/>
      <c r="C392" s="148"/>
      <c r="D392" s="149"/>
      <c r="E392" s="150"/>
      <c r="F392" s="151" t="s">
        <v>85</v>
      </c>
      <c r="G392" s="152" t="s">
        <v>344</v>
      </c>
      <c r="H392" s="153">
        <v>1060</v>
      </c>
      <c r="I392" s="154" t="s">
        <v>139</v>
      </c>
      <c r="J392" s="74">
        <v>357</v>
      </c>
      <c r="K392" s="51"/>
      <c r="L392" s="46">
        <f t="shared" ref="L392:L394" si="31">J392*H392</f>
        <v>378420</v>
      </c>
    </row>
    <row r="393" spans="2:12" x14ac:dyDescent="0.35">
      <c r="B393" s="147"/>
      <c r="C393" s="148"/>
      <c r="D393" s="149"/>
      <c r="E393" s="150"/>
      <c r="F393" s="151" t="s">
        <v>85</v>
      </c>
      <c r="G393" s="152" t="s">
        <v>359</v>
      </c>
      <c r="H393" s="153">
        <v>2</v>
      </c>
      <c r="I393" s="154" t="s">
        <v>80</v>
      </c>
      <c r="J393" s="74">
        <v>175000</v>
      </c>
      <c r="K393" s="51"/>
      <c r="L393" s="46">
        <f t="shared" si="31"/>
        <v>350000</v>
      </c>
    </row>
    <row r="394" spans="2:12" x14ac:dyDescent="0.35">
      <c r="B394" s="147"/>
      <c r="C394" s="148"/>
      <c r="D394" s="149"/>
      <c r="E394" s="150"/>
      <c r="F394" s="151" t="s">
        <v>85</v>
      </c>
      <c r="G394" s="152" t="s">
        <v>362</v>
      </c>
      <c r="H394" s="153">
        <v>200</v>
      </c>
      <c r="I394" s="154" t="s">
        <v>139</v>
      </c>
      <c r="J394" s="74">
        <v>541</v>
      </c>
      <c r="K394" s="51"/>
      <c r="L394" s="46">
        <f t="shared" si="31"/>
        <v>108200</v>
      </c>
    </row>
    <row r="395" spans="2:12" x14ac:dyDescent="0.35">
      <c r="B395" s="147"/>
      <c r="C395" s="148"/>
      <c r="D395" s="149"/>
      <c r="E395" s="150"/>
      <c r="F395" s="151" t="s">
        <v>85</v>
      </c>
      <c r="G395" s="152" t="s">
        <v>361</v>
      </c>
      <c r="H395" s="153">
        <v>4</v>
      </c>
      <c r="I395" s="154" t="s">
        <v>80</v>
      </c>
      <c r="J395" s="65">
        <v>120000</v>
      </c>
      <c r="K395" s="51"/>
      <c r="L395" s="46">
        <f>J395*H395</f>
        <v>480000</v>
      </c>
    </row>
    <row r="396" spans="2:12" x14ac:dyDescent="0.35">
      <c r="B396" s="147"/>
      <c r="C396" s="148"/>
      <c r="D396" s="149"/>
      <c r="E396" s="150"/>
      <c r="F396" s="151" t="s">
        <v>85</v>
      </c>
      <c r="G396" s="152" t="s">
        <v>354</v>
      </c>
      <c r="H396" s="153">
        <v>1</v>
      </c>
      <c r="I396" s="154" t="s">
        <v>80</v>
      </c>
      <c r="J396" s="74">
        <v>35000</v>
      </c>
      <c r="K396" s="51"/>
      <c r="L396" s="46">
        <f t="shared" ref="L396" si="32">J396*H396</f>
        <v>35000</v>
      </c>
    </row>
    <row r="397" spans="2:12" x14ac:dyDescent="0.35">
      <c r="B397" s="147"/>
      <c r="C397" s="148" t="s">
        <v>184</v>
      </c>
      <c r="D397" s="149"/>
      <c r="E397" s="150"/>
      <c r="F397" s="151" t="s">
        <v>185</v>
      </c>
      <c r="G397" s="152"/>
      <c r="H397" s="153"/>
      <c r="I397" s="154"/>
      <c r="J397" s="74"/>
      <c r="K397" s="51"/>
      <c r="L397" s="46"/>
    </row>
    <row r="398" spans="2:12" x14ac:dyDescent="0.35">
      <c r="B398" s="147"/>
      <c r="C398" s="148"/>
      <c r="D398" s="149" t="s">
        <v>34</v>
      </c>
      <c r="E398" s="150"/>
      <c r="F398" s="151" t="s">
        <v>182</v>
      </c>
      <c r="G398" s="152"/>
      <c r="H398" s="153">
        <v>6</v>
      </c>
      <c r="I398" s="154" t="s">
        <v>138</v>
      </c>
      <c r="J398" s="74">
        <v>100000</v>
      </c>
      <c r="K398" s="51">
        <f>J398*H398</f>
        <v>600000</v>
      </c>
      <c r="L398" s="46"/>
    </row>
    <row r="399" spans="2:12" x14ac:dyDescent="0.35">
      <c r="B399" s="147"/>
      <c r="C399" s="148"/>
      <c r="D399" s="149"/>
      <c r="E399" s="150"/>
      <c r="F399" s="151" t="s">
        <v>85</v>
      </c>
      <c r="G399" s="152" t="s">
        <v>344</v>
      </c>
      <c r="H399" s="153">
        <v>1130</v>
      </c>
      <c r="I399" s="154" t="s">
        <v>139</v>
      </c>
      <c r="J399" s="74">
        <v>357</v>
      </c>
      <c r="K399" s="51"/>
      <c r="L399" s="46">
        <f t="shared" ref="L399:L400" si="33">J399*H399</f>
        <v>403410</v>
      </c>
    </row>
    <row r="400" spans="2:12" x14ac:dyDescent="0.35">
      <c r="B400" s="147"/>
      <c r="C400" s="148"/>
      <c r="D400" s="149"/>
      <c r="E400" s="150"/>
      <c r="F400" s="151" t="s">
        <v>85</v>
      </c>
      <c r="G400" s="152" t="s">
        <v>359</v>
      </c>
      <c r="H400" s="153">
        <v>3</v>
      </c>
      <c r="I400" s="154" t="s">
        <v>80</v>
      </c>
      <c r="J400" s="74">
        <v>175000</v>
      </c>
      <c r="K400" s="51"/>
      <c r="L400" s="46">
        <f t="shared" si="33"/>
        <v>525000</v>
      </c>
    </row>
    <row r="401" spans="2:12" x14ac:dyDescent="0.35">
      <c r="B401" s="147"/>
      <c r="C401" s="148"/>
      <c r="D401" s="149"/>
      <c r="E401" s="150"/>
      <c r="F401" s="151" t="s">
        <v>85</v>
      </c>
      <c r="G401" s="152" t="s">
        <v>360</v>
      </c>
      <c r="H401" s="153">
        <v>240</v>
      </c>
      <c r="I401" s="154" t="s">
        <v>139</v>
      </c>
      <c r="J401" s="74">
        <v>413</v>
      </c>
      <c r="K401" s="129"/>
      <c r="L401" s="46">
        <f>J401*H401</f>
        <v>99120</v>
      </c>
    </row>
    <row r="402" spans="2:12" x14ac:dyDescent="0.35">
      <c r="B402" s="147"/>
      <c r="C402" s="148"/>
      <c r="D402" s="149"/>
      <c r="E402" s="150"/>
      <c r="F402" s="151" t="s">
        <v>85</v>
      </c>
      <c r="G402" s="152" t="s">
        <v>361</v>
      </c>
      <c r="H402" s="153">
        <v>4</v>
      </c>
      <c r="I402" s="154" t="s">
        <v>80</v>
      </c>
      <c r="J402" s="65">
        <v>120000</v>
      </c>
      <c r="K402" s="51"/>
      <c r="L402" s="46">
        <f>J402*H402</f>
        <v>480000</v>
      </c>
    </row>
    <row r="403" spans="2:12" x14ac:dyDescent="0.35">
      <c r="B403" s="209"/>
      <c r="C403" s="231"/>
      <c r="D403" s="206"/>
      <c r="E403" s="150"/>
      <c r="F403" s="151" t="s">
        <v>85</v>
      </c>
      <c r="G403" s="152" t="s">
        <v>354</v>
      </c>
      <c r="H403" s="247">
        <v>1</v>
      </c>
      <c r="I403" s="67" t="s">
        <v>80</v>
      </c>
      <c r="J403" s="74">
        <v>35000</v>
      </c>
      <c r="K403" s="51"/>
      <c r="L403" s="46">
        <f t="shared" ref="L403" si="34">J403*H403</f>
        <v>35000</v>
      </c>
    </row>
    <row r="404" spans="2:12" x14ac:dyDescent="0.35">
      <c r="B404" s="147"/>
      <c r="C404" s="148"/>
      <c r="D404" s="149" t="s">
        <v>37</v>
      </c>
      <c r="E404" s="150"/>
      <c r="F404" s="151" t="s">
        <v>183</v>
      </c>
      <c r="G404" s="152"/>
      <c r="H404" s="153">
        <v>4</v>
      </c>
      <c r="I404" s="154" t="s">
        <v>138</v>
      </c>
      <c r="J404" s="74">
        <v>100000</v>
      </c>
      <c r="K404" s="51">
        <f>J404*H404</f>
        <v>400000</v>
      </c>
      <c r="L404" s="46"/>
    </row>
    <row r="405" spans="2:12" x14ac:dyDescent="0.35">
      <c r="B405" s="147"/>
      <c r="C405" s="148"/>
      <c r="D405" s="149"/>
      <c r="E405" s="150"/>
      <c r="F405" s="151" t="s">
        <v>85</v>
      </c>
      <c r="G405" s="152" t="s">
        <v>344</v>
      </c>
      <c r="H405" s="153">
        <v>1020</v>
      </c>
      <c r="I405" s="154" t="s">
        <v>139</v>
      </c>
      <c r="J405" s="74">
        <v>357</v>
      </c>
      <c r="K405" s="51"/>
      <c r="L405" s="46">
        <f t="shared" ref="L405:L407" si="35">J405*H405</f>
        <v>364140</v>
      </c>
    </row>
    <row r="406" spans="2:12" x14ac:dyDescent="0.35">
      <c r="B406" s="248"/>
      <c r="C406" s="226"/>
      <c r="D406" s="206"/>
      <c r="E406" s="204"/>
      <c r="F406" s="204" t="s">
        <v>85</v>
      </c>
      <c r="G406" s="205" t="s">
        <v>359</v>
      </c>
      <c r="H406" s="153">
        <v>2</v>
      </c>
      <c r="I406" s="154" t="s">
        <v>80</v>
      </c>
      <c r="J406" s="74">
        <v>175000</v>
      </c>
      <c r="K406" s="51"/>
      <c r="L406" s="46">
        <f t="shared" si="35"/>
        <v>350000</v>
      </c>
    </row>
    <row r="407" spans="2:12" x14ac:dyDescent="0.35">
      <c r="B407" s="236"/>
      <c r="C407" s="226"/>
      <c r="D407" s="206"/>
      <c r="E407" s="210"/>
      <c r="F407" s="204" t="s">
        <v>85</v>
      </c>
      <c r="G407" s="205" t="s">
        <v>362</v>
      </c>
      <c r="H407" s="153">
        <v>200</v>
      </c>
      <c r="I407" s="154" t="s">
        <v>139</v>
      </c>
      <c r="J407" s="74">
        <v>541</v>
      </c>
      <c r="K407" s="51"/>
      <c r="L407" s="46">
        <f t="shared" si="35"/>
        <v>108200</v>
      </c>
    </row>
    <row r="408" spans="2:12" x14ac:dyDescent="0.35">
      <c r="B408" s="236"/>
      <c r="C408" s="226"/>
      <c r="D408" s="206"/>
      <c r="E408" s="204"/>
      <c r="F408" s="204" t="s">
        <v>85</v>
      </c>
      <c r="G408" s="205" t="s">
        <v>361</v>
      </c>
      <c r="H408" s="153">
        <v>4</v>
      </c>
      <c r="I408" s="154" t="s">
        <v>80</v>
      </c>
      <c r="J408" s="65">
        <v>120000</v>
      </c>
      <c r="K408" s="51"/>
      <c r="L408" s="46">
        <f>J408*H408</f>
        <v>480000</v>
      </c>
    </row>
    <row r="409" spans="2:12" x14ac:dyDescent="0.35">
      <c r="B409" s="147"/>
      <c r="C409" s="148"/>
      <c r="D409" s="149"/>
      <c r="E409" s="150"/>
      <c r="F409" s="151" t="s">
        <v>85</v>
      </c>
      <c r="G409" s="152" t="s">
        <v>354</v>
      </c>
      <c r="H409" s="153">
        <v>1</v>
      </c>
      <c r="I409" s="154" t="s">
        <v>80</v>
      </c>
      <c r="J409" s="74">
        <v>35000</v>
      </c>
      <c r="K409" s="51"/>
      <c r="L409" s="46">
        <f t="shared" ref="L409" si="36">J409*H409</f>
        <v>35000</v>
      </c>
    </row>
    <row r="410" spans="2:12" x14ac:dyDescent="0.35">
      <c r="B410" s="225"/>
      <c r="C410" s="226" t="s">
        <v>363</v>
      </c>
      <c r="D410" s="206"/>
      <c r="E410" s="204"/>
      <c r="F410" s="204" t="s">
        <v>364</v>
      </c>
      <c r="G410" s="205"/>
      <c r="H410" s="249"/>
      <c r="I410" s="205"/>
      <c r="J410" s="74"/>
      <c r="K410" s="51"/>
      <c r="L410" s="46"/>
    </row>
    <row r="411" spans="2:12" x14ac:dyDescent="0.35">
      <c r="B411" s="147"/>
      <c r="C411" s="148"/>
      <c r="D411" s="149" t="s">
        <v>34</v>
      </c>
      <c r="E411" s="150"/>
      <c r="F411" s="151" t="s">
        <v>365</v>
      </c>
      <c r="G411" s="152"/>
      <c r="H411" s="153">
        <v>5</v>
      </c>
      <c r="I411" s="154" t="s">
        <v>138</v>
      </c>
      <c r="J411" s="74">
        <v>150000</v>
      </c>
      <c r="K411" s="51">
        <f>J411*H411</f>
        <v>750000</v>
      </c>
      <c r="L411" s="46"/>
    </row>
    <row r="412" spans="2:12" x14ac:dyDescent="0.35">
      <c r="B412" s="147"/>
      <c r="C412" s="148"/>
      <c r="D412" s="149"/>
      <c r="E412" s="150"/>
      <c r="F412" s="151" t="s">
        <v>85</v>
      </c>
      <c r="G412" s="152" t="s">
        <v>336</v>
      </c>
      <c r="H412" s="153">
        <v>180</v>
      </c>
      <c r="I412" s="154" t="s">
        <v>139</v>
      </c>
      <c r="J412" s="74">
        <v>434</v>
      </c>
      <c r="K412" s="51"/>
      <c r="L412" s="46">
        <f t="shared" ref="L412:L413" si="37">J412*H412</f>
        <v>78120</v>
      </c>
    </row>
    <row r="413" spans="2:12" x14ac:dyDescent="0.35">
      <c r="B413" s="248"/>
      <c r="C413" s="226"/>
      <c r="D413" s="206"/>
      <c r="E413" s="204"/>
      <c r="F413" s="204" t="s">
        <v>85</v>
      </c>
      <c r="G413" s="205" t="s">
        <v>338</v>
      </c>
      <c r="H413" s="280">
        <v>1</v>
      </c>
      <c r="I413" s="205" t="s">
        <v>80</v>
      </c>
      <c r="J413" s="74">
        <v>230000</v>
      </c>
      <c r="K413" s="51"/>
      <c r="L413" s="46">
        <f t="shared" si="37"/>
        <v>230000</v>
      </c>
    </row>
    <row r="414" spans="2:12" x14ac:dyDescent="0.35">
      <c r="B414" s="250" t="s">
        <v>108</v>
      </c>
      <c r="C414" s="251"/>
      <c r="D414" s="213"/>
      <c r="E414" s="198" t="s">
        <v>11</v>
      </c>
      <c r="F414" s="198"/>
      <c r="G414" s="200"/>
      <c r="H414" s="252"/>
      <c r="I414" s="200"/>
      <c r="J414" s="74"/>
      <c r="K414" s="51"/>
      <c r="L414" s="46"/>
    </row>
    <row r="415" spans="2:12" x14ac:dyDescent="0.35">
      <c r="B415" s="236"/>
      <c r="C415" s="226" t="s">
        <v>186</v>
      </c>
      <c r="D415" s="206"/>
      <c r="E415" s="204"/>
      <c r="F415" s="204" t="s">
        <v>137</v>
      </c>
      <c r="G415" s="205"/>
      <c r="H415" s="249"/>
      <c r="I415" s="205"/>
      <c r="J415" s="74"/>
      <c r="K415" s="129"/>
      <c r="L415" s="46"/>
    </row>
    <row r="416" spans="2:12" x14ac:dyDescent="0.35">
      <c r="B416" s="147"/>
      <c r="C416" s="148"/>
      <c r="D416" s="149" t="s">
        <v>34</v>
      </c>
      <c r="E416" s="150"/>
      <c r="F416" s="151" t="s">
        <v>187</v>
      </c>
      <c r="G416" s="152"/>
      <c r="H416" s="153">
        <v>7</v>
      </c>
      <c r="I416" s="154" t="s">
        <v>138</v>
      </c>
      <c r="J416" s="74">
        <v>225000</v>
      </c>
      <c r="K416" s="158">
        <f>J416*H416</f>
        <v>1575000</v>
      </c>
      <c r="L416" s="46"/>
    </row>
    <row r="417" spans="2:12" x14ac:dyDescent="0.35">
      <c r="B417" s="225"/>
      <c r="C417" s="226"/>
      <c r="D417" s="206"/>
      <c r="E417" s="204"/>
      <c r="F417" s="204" t="s">
        <v>85</v>
      </c>
      <c r="G417" s="205" t="s">
        <v>366</v>
      </c>
      <c r="H417" s="249">
        <v>630</v>
      </c>
      <c r="I417" s="205" t="s">
        <v>139</v>
      </c>
      <c r="J417" s="74">
        <v>500</v>
      </c>
      <c r="K417" s="129"/>
      <c r="L417" s="46">
        <f t="shared" ref="L417:L420" si="38">J417*H417</f>
        <v>315000</v>
      </c>
    </row>
    <row r="418" spans="2:12" x14ac:dyDescent="0.35">
      <c r="B418" s="147"/>
      <c r="C418" s="148"/>
      <c r="D418" s="149"/>
      <c r="E418" s="150"/>
      <c r="F418" s="151" t="s">
        <v>85</v>
      </c>
      <c r="G418" s="152" t="s">
        <v>367</v>
      </c>
      <c r="H418" s="153">
        <v>3</v>
      </c>
      <c r="I418" s="154" t="s">
        <v>80</v>
      </c>
      <c r="J418" s="74">
        <v>165000</v>
      </c>
      <c r="K418" s="132"/>
      <c r="L418" s="46">
        <f t="shared" si="38"/>
        <v>495000</v>
      </c>
    </row>
    <row r="419" spans="2:12" x14ac:dyDescent="0.35">
      <c r="B419" s="147"/>
      <c r="C419" s="148"/>
      <c r="D419" s="149"/>
      <c r="E419" s="150"/>
      <c r="F419" s="151" t="s">
        <v>85</v>
      </c>
      <c r="G419" s="152" t="s">
        <v>368</v>
      </c>
      <c r="H419" s="153">
        <v>1</v>
      </c>
      <c r="I419" s="154" t="s">
        <v>80</v>
      </c>
      <c r="J419" s="74">
        <v>35000</v>
      </c>
      <c r="K419" s="51"/>
      <c r="L419" s="46">
        <f t="shared" si="38"/>
        <v>35000</v>
      </c>
    </row>
    <row r="420" spans="2:12" x14ac:dyDescent="0.35">
      <c r="B420" s="253"/>
      <c r="C420" s="254"/>
      <c r="D420" s="206"/>
      <c r="E420" s="204"/>
      <c r="F420" s="204" t="s">
        <v>85</v>
      </c>
      <c r="G420" s="205" t="s">
        <v>331</v>
      </c>
      <c r="H420" s="280">
        <v>4</v>
      </c>
      <c r="I420" s="205" t="s">
        <v>80</v>
      </c>
      <c r="J420" s="74">
        <v>35000</v>
      </c>
      <c r="K420" s="51"/>
      <c r="L420" s="46">
        <f t="shared" si="38"/>
        <v>140000</v>
      </c>
    </row>
    <row r="421" spans="2:12" x14ac:dyDescent="0.35">
      <c r="B421" s="253"/>
      <c r="C421" s="254"/>
      <c r="D421" s="206" t="s">
        <v>37</v>
      </c>
      <c r="E421" s="210"/>
      <c r="F421" s="204" t="s">
        <v>188</v>
      </c>
      <c r="G421" s="205"/>
      <c r="H421" s="280">
        <v>4</v>
      </c>
      <c r="I421" s="205" t="s">
        <v>138</v>
      </c>
      <c r="J421" s="74">
        <v>225000</v>
      </c>
      <c r="K421" s="158">
        <f>J421*H421</f>
        <v>900000</v>
      </c>
      <c r="L421" s="46"/>
    </row>
    <row r="422" spans="2:12" x14ac:dyDescent="0.35">
      <c r="B422" s="253"/>
      <c r="C422" s="254"/>
      <c r="D422" s="206"/>
      <c r="E422" s="204"/>
      <c r="F422" s="204" t="s">
        <v>85</v>
      </c>
      <c r="G422" s="205" t="s">
        <v>366</v>
      </c>
      <c r="H422" s="249">
        <v>490</v>
      </c>
      <c r="I422" s="205" t="s">
        <v>139</v>
      </c>
      <c r="J422" s="74">
        <v>500</v>
      </c>
      <c r="K422" s="129"/>
      <c r="L422" s="46">
        <f t="shared" ref="L422:L425" si="39">J422*H422</f>
        <v>245000</v>
      </c>
    </row>
    <row r="423" spans="2:12" x14ac:dyDescent="0.35">
      <c r="B423" s="253"/>
      <c r="C423" s="254"/>
      <c r="D423" s="206"/>
      <c r="E423" s="204"/>
      <c r="F423" s="255" t="s">
        <v>85</v>
      </c>
      <c r="G423" s="85" t="s">
        <v>367</v>
      </c>
      <c r="H423" s="87">
        <v>2</v>
      </c>
      <c r="I423" s="205" t="s">
        <v>80</v>
      </c>
      <c r="J423" s="74">
        <v>165000</v>
      </c>
      <c r="K423" s="132"/>
      <c r="L423" s="46">
        <f t="shared" si="39"/>
        <v>330000</v>
      </c>
    </row>
    <row r="424" spans="2:12" x14ac:dyDescent="0.35">
      <c r="B424" s="253"/>
      <c r="C424" s="254"/>
      <c r="D424" s="206"/>
      <c r="E424" s="204"/>
      <c r="F424" s="204" t="s">
        <v>85</v>
      </c>
      <c r="G424" s="205" t="s">
        <v>368</v>
      </c>
      <c r="H424" s="249">
        <v>1</v>
      </c>
      <c r="I424" s="205" t="s">
        <v>80</v>
      </c>
      <c r="J424" s="74">
        <v>35000</v>
      </c>
      <c r="K424" s="51"/>
      <c r="L424" s="46">
        <f t="shared" si="39"/>
        <v>35000</v>
      </c>
    </row>
    <row r="425" spans="2:12" x14ac:dyDescent="0.35">
      <c r="B425" s="147"/>
      <c r="C425" s="148"/>
      <c r="D425" s="149"/>
      <c r="E425" s="150"/>
      <c r="F425" s="151" t="s">
        <v>85</v>
      </c>
      <c r="G425" s="152" t="s">
        <v>331</v>
      </c>
      <c r="H425" s="153">
        <v>4</v>
      </c>
      <c r="I425" s="154" t="s">
        <v>80</v>
      </c>
      <c r="J425" s="74">
        <v>35000</v>
      </c>
      <c r="K425" s="51"/>
      <c r="L425" s="46">
        <f t="shared" si="39"/>
        <v>140000</v>
      </c>
    </row>
    <row r="426" spans="2:12" x14ac:dyDescent="0.35">
      <c r="B426" s="147"/>
      <c r="C426" s="148"/>
      <c r="D426" s="149" t="s">
        <v>39</v>
      </c>
      <c r="E426" s="150"/>
      <c r="F426" s="151" t="s">
        <v>189</v>
      </c>
      <c r="G426" s="152"/>
      <c r="H426" s="153">
        <v>4</v>
      </c>
      <c r="I426" s="154" t="s">
        <v>138</v>
      </c>
      <c r="J426" s="74">
        <v>225000</v>
      </c>
      <c r="K426" s="158">
        <f>J426*H426</f>
        <v>900000</v>
      </c>
      <c r="L426" s="46"/>
    </row>
    <row r="427" spans="2:12" x14ac:dyDescent="0.35">
      <c r="B427" s="253"/>
      <c r="C427" s="254"/>
      <c r="D427" s="206"/>
      <c r="E427" s="204"/>
      <c r="F427" s="204" t="s">
        <v>85</v>
      </c>
      <c r="G427" s="205" t="s">
        <v>366</v>
      </c>
      <c r="H427" s="280">
        <v>490</v>
      </c>
      <c r="I427" s="205" t="s">
        <v>139</v>
      </c>
      <c r="J427" s="74">
        <v>500</v>
      </c>
      <c r="K427" s="129"/>
      <c r="L427" s="46">
        <f t="shared" ref="L427:L430" si="40">J427*H427</f>
        <v>245000</v>
      </c>
    </row>
    <row r="428" spans="2:12" x14ac:dyDescent="0.35">
      <c r="B428" s="253"/>
      <c r="C428" s="254"/>
      <c r="D428" s="206"/>
      <c r="E428" s="210"/>
      <c r="F428" s="204" t="s">
        <v>85</v>
      </c>
      <c r="G428" s="205" t="s">
        <v>367</v>
      </c>
      <c r="H428" s="280">
        <v>2</v>
      </c>
      <c r="I428" s="205" t="s">
        <v>80</v>
      </c>
      <c r="J428" s="74">
        <v>165000</v>
      </c>
      <c r="K428" s="132"/>
      <c r="L428" s="46">
        <f t="shared" si="40"/>
        <v>330000</v>
      </c>
    </row>
    <row r="429" spans="2:12" x14ac:dyDescent="0.35">
      <c r="B429" s="253"/>
      <c r="C429" s="254"/>
      <c r="D429" s="206"/>
      <c r="E429" s="204"/>
      <c r="F429" s="204" t="s">
        <v>85</v>
      </c>
      <c r="G429" s="205" t="s">
        <v>368</v>
      </c>
      <c r="H429" s="249">
        <v>1</v>
      </c>
      <c r="I429" s="205" t="s">
        <v>80</v>
      </c>
      <c r="J429" s="74">
        <v>35000</v>
      </c>
      <c r="K429" s="51"/>
      <c r="L429" s="46">
        <f t="shared" si="40"/>
        <v>35000</v>
      </c>
    </row>
    <row r="430" spans="2:12" x14ac:dyDescent="0.35">
      <c r="B430" s="253"/>
      <c r="C430" s="254"/>
      <c r="D430" s="206"/>
      <c r="E430" s="204"/>
      <c r="F430" s="255" t="s">
        <v>85</v>
      </c>
      <c r="G430" s="85" t="s">
        <v>331</v>
      </c>
      <c r="H430" s="87">
        <v>4</v>
      </c>
      <c r="I430" s="205" t="s">
        <v>80</v>
      </c>
      <c r="J430" s="74">
        <v>35000</v>
      </c>
      <c r="K430" s="51"/>
      <c r="L430" s="46">
        <f t="shared" si="40"/>
        <v>140000</v>
      </c>
    </row>
    <row r="431" spans="2:12" x14ac:dyDescent="0.35">
      <c r="B431" s="253"/>
      <c r="C431" s="254"/>
      <c r="D431" s="206" t="s">
        <v>41</v>
      </c>
      <c r="E431" s="204"/>
      <c r="F431" s="204" t="s">
        <v>190</v>
      </c>
      <c r="G431" s="205"/>
      <c r="H431" s="249">
        <v>7</v>
      </c>
      <c r="I431" s="205" t="s">
        <v>138</v>
      </c>
      <c r="J431" s="74">
        <v>225000</v>
      </c>
      <c r="K431" s="158">
        <f>J431*H431</f>
        <v>1575000</v>
      </c>
      <c r="L431" s="46"/>
    </row>
    <row r="432" spans="2:12" x14ac:dyDescent="0.35">
      <c r="B432" s="147"/>
      <c r="C432" s="148"/>
      <c r="D432" s="149"/>
      <c r="E432" s="150"/>
      <c r="F432" s="151" t="s">
        <v>85</v>
      </c>
      <c r="G432" s="152" t="s">
        <v>366</v>
      </c>
      <c r="H432" s="153">
        <v>670</v>
      </c>
      <c r="I432" s="154" t="s">
        <v>139</v>
      </c>
      <c r="J432" s="74">
        <v>500</v>
      </c>
      <c r="K432" s="129"/>
      <c r="L432" s="46">
        <f t="shared" ref="L432:L435" si="41">J432*H432</f>
        <v>335000</v>
      </c>
    </row>
    <row r="433" spans="2:12" x14ac:dyDescent="0.35">
      <c r="B433" s="147"/>
      <c r="C433" s="148"/>
      <c r="D433" s="149"/>
      <c r="E433" s="150"/>
      <c r="F433" s="151" t="s">
        <v>85</v>
      </c>
      <c r="G433" s="152" t="s">
        <v>367</v>
      </c>
      <c r="H433" s="153">
        <v>3</v>
      </c>
      <c r="I433" s="154" t="s">
        <v>80</v>
      </c>
      <c r="J433" s="74">
        <v>165000</v>
      </c>
      <c r="K433" s="132"/>
      <c r="L433" s="46">
        <f t="shared" si="41"/>
        <v>495000</v>
      </c>
    </row>
    <row r="434" spans="2:12" x14ac:dyDescent="0.35">
      <c r="B434" s="248"/>
      <c r="C434" s="226"/>
      <c r="D434" s="206"/>
      <c r="E434" s="204"/>
      <c r="F434" s="204" t="s">
        <v>85</v>
      </c>
      <c r="G434" s="205" t="s">
        <v>368</v>
      </c>
      <c r="H434" s="280">
        <v>1</v>
      </c>
      <c r="I434" s="205" t="s">
        <v>80</v>
      </c>
      <c r="J434" s="74">
        <v>35000</v>
      </c>
      <c r="K434" s="51"/>
      <c r="L434" s="46">
        <f t="shared" si="41"/>
        <v>35000</v>
      </c>
    </row>
    <row r="435" spans="2:12" x14ac:dyDescent="0.35">
      <c r="B435" s="236"/>
      <c r="C435" s="226"/>
      <c r="D435" s="206"/>
      <c r="E435" s="210"/>
      <c r="F435" s="204" t="s">
        <v>85</v>
      </c>
      <c r="G435" s="205" t="s">
        <v>331</v>
      </c>
      <c r="H435" s="280">
        <v>4</v>
      </c>
      <c r="I435" s="205" t="s">
        <v>80</v>
      </c>
      <c r="J435" s="74">
        <v>35000</v>
      </c>
      <c r="K435" s="51"/>
      <c r="L435" s="46">
        <f t="shared" si="41"/>
        <v>140000</v>
      </c>
    </row>
    <row r="436" spans="2:12" x14ac:dyDescent="0.35">
      <c r="B436" s="47"/>
      <c r="C436" s="48"/>
      <c r="D436" s="24"/>
      <c r="G436" s="22"/>
      <c r="I436" s="22"/>
      <c r="J436" s="50"/>
      <c r="K436" s="29"/>
      <c r="L436" s="52"/>
    </row>
    <row r="437" spans="2:12" x14ac:dyDescent="0.35">
      <c r="B437" s="47"/>
      <c r="C437" s="48"/>
      <c r="D437" s="24"/>
      <c r="G437" s="22"/>
      <c r="I437" s="22"/>
      <c r="J437" s="50"/>
      <c r="K437" s="29"/>
      <c r="L437" s="52"/>
    </row>
    <row r="438" spans="2:12" x14ac:dyDescent="0.35">
      <c r="B438" s="8"/>
      <c r="C438" s="9"/>
      <c r="D438" s="10"/>
      <c r="E438" s="4"/>
      <c r="F438" s="4"/>
      <c r="G438" s="4"/>
      <c r="H438" s="1"/>
      <c r="I438" s="1"/>
      <c r="J438" s="11" t="s">
        <v>8</v>
      </c>
      <c r="K438" s="7">
        <f>SUM(K380:K437)</f>
        <v>7700000</v>
      </c>
      <c r="L438" s="7">
        <f>SUM(L380:L437)</f>
        <v>9909060</v>
      </c>
    </row>
    <row r="439" spans="2:12" x14ac:dyDescent="0.35">
      <c r="B439" s="8"/>
      <c r="C439" s="9"/>
      <c r="D439" s="9"/>
      <c r="E439" s="4"/>
      <c r="F439" s="4"/>
      <c r="G439" s="4"/>
      <c r="H439" s="1"/>
      <c r="I439" s="1"/>
      <c r="J439" s="11"/>
      <c r="K439" s="35" t="s">
        <v>12</v>
      </c>
      <c r="L439" s="36" t="s">
        <v>13</v>
      </c>
    </row>
    <row r="440" spans="2:12" x14ac:dyDescent="0.35">
      <c r="B440" s="3" t="s">
        <v>9</v>
      </c>
      <c r="C440" s="4"/>
      <c r="D440" s="4"/>
      <c r="E440" s="4"/>
      <c r="F440" s="4"/>
      <c r="G440" s="4"/>
      <c r="H440" s="1"/>
      <c r="I440" s="1"/>
      <c r="J440" s="12"/>
      <c r="K440" s="12"/>
      <c r="L440" s="13"/>
    </row>
    <row r="441" spans="2:12" x14ac:dyDescent="0.35">
      <c r="B441" s="37"/>
      <c r="C441" s="1"/>
      <c r="D441" s="1"/>
      <c r="E441" s="38"/>
      <c r="F441" s="38"/>
      <c r="G441" s="38"/>
      <c r="H441" s="1"/>
      <c r="I441" s="1"/>
      <c r="J441" s="1"/>
      <c r="K441" s="1"/>
      <c r="L441" s="19"/>
    </row>
    <row r="442" spans="2:12" x14ac:dyDescent="0.35">
      <c r="B442" s="28" t="s">
        <v>6</v>
      </c>
      <c r="C442" s="27"/>
      <c r="D442" s="27"/>
      <c r="E442" s="26"/>
      <c r="F442" s="26"/>
      <c r="G442" s="5"/>
      <c r="K442" s="301" t="s">
        <v>27</v>
      </c>
      <c r="L442" s="302"/>
    </row>
    <row r="443" spans="2:12" x14ac:dyDescent="0.35">
      <c r="B443" s="28">
        <v>1</v>
      </c>
      <c r="C443" s="27"/>
      <c r="D443" s="27"/>
      <c r="E443" s="26" t="s">
        <v>7</v>
      </c>
      <c r="F443" s="26"/>
      <c r="G443" s="5"/>
      <c r="K443" s="301" t="s">
        <v>17</v>
      </c>
      <c r="L443" s="302"/>
    </row>
    <row r="444" spans="2:12" x14ac:dyDescent="0.35">
      <c r="B444" s="39"/>
      <c r="C444" s="27"/>
      <c r="D444" s="27"/>
      <c r="E444" s="26"/>
      <c r="F444" s="26"/>
      <c r="G444" s="5"/>
      <c r="J444" s="25"/>
      <c r="K444" s="25"/>
      <c r="L444" s="24"/>
    </row>
    <row r="445" spans="2:12" x14ac:dyDescent="0.35">
      <c r="B445" s="28"/>
      <c r="C445" s="27"/>
      <c r="D445" s="27"/>
      <c r="E445" s="26"/>
      <c r="F445" s="26"/>
      <c r="G445" s="5"/>
      <c r="L445" s="22"/>
    </row>
    <row r="446" spans="2:12" x14ac:dyDescent="0.35">
      <c r="B446" s="45"/>
      <c r="E446" s="5"/>
      <c r="F446" s="5"/>
      <c r="G446" s="5"/>
      <c r="L446" s="22"/>
    </row>
    <row r="447" spans="2:12" x14ac:dyDescent="0.35">
      <c r="B447" s="45"/>
      <c r="E447" s="5"/>
      <c r="F447" s="5"/>
      <c r="G447" s="5"/>
      <c r="L447" s="22"/>
    </row>
    <row r="448" spans="2:12" x14ac:dyDescent="0.35">
      <c r="B448" s="45"/>
      <c r="E448" s="5"/>
      <c r="F448" s="5"/>
      <c r="G448" s="5"/>
      <c r="L448" s="22"/>
    </row>
    <row r="449" spans="2:12" x14ac:dyDescent="0.35">
      <c r="B449" s="45"/>
      <c r="E449" s="5"/>
      <c r="F449" s="5"/>
      <c r="G449" s="5"/>
      <c r="J449" s="40"/>
      <c r="K449" s="303" t="s">
        <v>25</v>
      </c>
      <c r="L449" s="304"/>
    </row>
    <row r="450" spans="2:12" x14ac:dyDescent="0.35">
      <c r="B450" s="45"/>
      <c r="K450" s="289" t="s">
        <v>26</v>
      </c>
      <c r="L450" s="290"/>
    </row>
    <row r="451" spans="2:12" x14ac:dyDescent="0.35">
      <c r="B451" s="305"/>
      <c r="C451" s="306"/>
      <c r="D451" s="306"/>
      <c r="E451" s="41"/>
      <c r="F451" s="41"/>
      <c r="G451" s="41"/>
      <c r="H451" s="2"/>
      <c r="I451" s="2"/>
      <c r="J451" s="2"/>
      <c r="K451" s="2"/>
      <c r="L451" s="21"/>
    </row>
    <row r="452" spans="2:12" x14ac:dyDescent="0.35">
      <c r="B452" s="47"/>
      <c r="C452" s="48"/>
      <c r="D452" s="49"/>
      <c r="G452" s="22"/>
      <c r="H452" s="1"/>
      <c r="I452" s="1"/>
      <c r="J452" s="43"/>
      <c r="K452" s="30"/>
      <c r="L452" s="44"/>
    </row>
    <row r="453" spans="2:12" x14ac:dyDescent="0.35">
      <c r="B453" s="236"/>
      <c r="C453" s="226"/>
      <c r="D453" s="206" t="s">
        <v>43</v>
      </c>
      <c r="E453" s="204"/>
      <c r="F453" s="204" t="s">
        <v>191</v>
      </c>
      <c r="G453" s="205"/>
      <c r="H453" s="249">
        <v>7</v>
      </c>
      <c r="I453" s="205" t="s">
        <v>138</v>
      </c>
      <c r="J453" s="74">
        <v>225000</v>
      </c>
      <c r="K453" s="158">
        <f>J453*H453</f>
        <v>1575000</v>
      </c>
      <c r="L453" s="46"/>
    </row>
    <row r="454" spans="2:12" x14ac:dyDescent="0.35">
      <c r="B454" s="236"/>
      <c r="C454" s="226"/>
      <c r="D454" s="206"/>
      <c r="E454" s="204"/>
      <c r="F454" s="255" t="s">
        <v>85</v>
      </c>
      <c r="G454" s="85" t="s">
        <v>366</v>
      </c>
      <c r="H454" s="87">
        <v>610</v>
      </c>
      <c r="I454" s="205" t="s">
        <v>139</v>
      </c>
      <c r="J454" s="74">
        <v>500</v>
      </c>
      <c r="K454" s="129"/>
      <c r="L454" s="46">
        <f t="shared" ref="L454:L457" si="42">J454*H454</f>
        <v>305000</v>
      </c>
    </row>
    <row r="455" spans="2:12" x14ac:dyDescent="0.35">
      <c r="B455" s="225"/>
      <c r="C455" s="226"/>
      <c r="D455" s="206"/>
      <c r="E455" s="204"/>
      <c r="F455" s="204" t="s">
        <v>85</v>
      </c>
      <c r="G455" s="205" t="s">
        <v>367</v>
      </c>
      <c r="H455" s="249">
        <v>3</v>
      </c>
      <c r="I455" s="205" t="s">
        <v>80</v>
      </c>
      <c r="J455" s="74">
        <v>165000</v>
      </c>
      <c r="K455" s="132"/>
      <c r="L455" s="46">
        <f t="shared" si="42"/>
        <v>495000</v>
      </c>
    </row>
    <row r="456" spans="2:12" x14ac:dyDescent="0.35">
      <c r="B456" s="147"/>
      <c r="C456" s="148"/>
      <c r="D456" s="149"/>
      <c r="E456" s="150"/>
      <c r="F456" s="151" t="s">
        <v>85</v>
      </c>
      <c r="G456" s="152" t="s">
        <v>368</v>
      </c>
      <c r="H456" s="153">
        <v>1</v>
      </c>
      <c r="I456" s="154" t="s">
        <v>80</v>
      </c>
      <c r="J456" s="74">
        <v>35000</v>
      </c>
      <c r="K456" s="51"/>
      <c r="L456" s="46">
        <f t="shared" si="42"/>
        <v>35000</v>
      </c>
    </row>
    <row r="457" spans="2:12" x14ac:dyDescent="0.35">
      <c r="B457" s="225"/>
      <c r="C457" s="220"/>
      <c r="D457" s="221"/>
      <c r="E457" s="222"/>
      <c r="F457" s="256" t="s">
        <v>85</v>
      </c>
      <c r="G457" s="228" t="s">
        <v>332</v>
      </c>
      <c r="H457" s="257">
        <v>4</v>
      </c>
      <c r="I457" s="258" t="s">
        <v>80</v>
      </c>
      <c r="J457" s="74">
        <v>35000</v>
      </c>
      <c r="K457" s="51"/>
      <c r="L457" s="46">
        <f t="shared" si="42"/>
        <v>140000</v>
      </c>
    </row>
    <row r="458" spans="2:12" x14ac:dyDescent="0.35">
      <c r="B458" s="237"/>
      <c r="C458" s="238"/>
      <c r="D458" s="227" t="s">
        <v>44</v>
      </c>
      <c r="E458" s="150"/>
      <c r="F458" s="151" t="s">
        <v>369</v>
      </c>
      <c r="G458" s="152"/>
      <c r="H458" s="281">
        <v>3</v>
      </c>
      <c r="I458" s="240" t="s">
        <v>138</v>
      </c>
      <c r="J458" s="74">
        <v>225000</v>
      </c>
      <c r="K458" s="158">
        <f>J458*H458</f>
        <v>675000</v>
      </c>
      <c r="L458" s="46"/>
    </row>
    <row r="459" spans="2:12" x14ac:dyDescent="0.35">
      <c r="B459" s="147"/>
      <c r="C459" s="148"/>
      <c r="D459" s="149"/>
      <c r="E459" s="150"/>
      <c r="F459" s="151" t="s">
        <v>85</v>
      </c>
      <c r="G459" s="152" t="s">
        <v>366</v>
      </c>
      <c r="H459" s="153">
        <v>120</v>
      </c>
      <c r="I459" s="154" t="s">
        <v>139</v>
      </c>
      <c r="J459" s="74">
        <v>500</v>
      </c>
      <c r="K459" s="129"/>
      <c r="L459" s="46">
        <f t="shared" ref="L459:L462" si="43">J459*H459</f>
        <v>60000</v>
      </c>
    </row>
    <row r="460" spans="2:12" x14ac:dyDescent="0.35">
      <c r="B460" s="147"/>
      <c r="C460" s="148"/>
      <c r="D460" s="149"/>
      <c r="E460" s="150"/>
      <c r="F460" s="151" t="s">
        <v>85</v>
      </c>
      <c r="G460" s="152" t="s">
        <v>367</v>
      </c>
      <c r="H460" s="153">
        <v>1</v>
      </c>
      <c r="I460" s="154" t="s">
        <v>80</v>
      </c>
      <c r="J460" s="74">
        <v>165000</v>
      </c>
      <c r="K460" s="132"/>
      <c r="L460" s="46">
        <f t="shared" si="43"/>
        <v>165000</v>
      </c>
    </row>
    <row r="461" spans="2:12" x14ac:dyDescent="0.35">
      <c r="B461" s="147"/>
      <c r="C461" s="148"/>
      <c r="D461" s="149"/>
      <c r="E461" s="150"/>
      <c r="F461" s="151" t="s">
        <v>85</v>
      </c>
      <c r="G461" s="152" t="s">
        <v>368</v>
      </c>
      <c r="H461" s="153">
        <v>1</v>
      </c>
      <c r="I461" s="154" t="s">
        <v>80</v>
      </c>
      <c r="J461" s="74">
        <v>35000</v>
      </c>
      <c r="K461" s="51"/>
      <c r="L461" s="46">
        <f t="shared" si="43"/>
        <v>35000</v>
      </c>
    </row>
    <row r="462" spans="2:12" x14ac:dyDescent="0.35">
      <c r="B462" s="147"/>
      <c r="C462" s="148"/>
      <c r="D462" s="149"/>
      <c r="E462" s="150"/>
      <c r="F462" s="151" t="s">
        <v>85</v>
      </c>
      <c r="G462" s="152" t="s">
        <v>331</v>
      </c>
      <c r="H462" s="153">
        <v>4</v>
      </c>
      <c r="I462" s="154" t="s">
        <v>80</v>
      </c>
      <c r="J462" s="74">
        <v>35000</v>
      </c>
      <c r="K462" s="51"/>
      <c r="L462" s="46">
        <f t="shared" si="43"/>
        <v>140000</v>
      </c>
    </row>
    <row r="463" spans="2:12" x14ac:dyDescent="0.35">
      <c r="B463" s="147"/>
      <c r="C463" s="148"/>
      <c r="D463" s="149" t="s">
        <v>46</v>
      </c>
      <c r="E463" s="150"/>
      <c r="F463" s="151" t="s">
        <v>370</v>
      </c>
      <c r="G463" s="152"/>
      <c r="H463" s="153">
        <v>6</v>
      </c>
      <c r="I463" s="154" t="s">
        <v>138</v>
      </c>
      <c r="J463" s="74">
        <v>225000</v>
      </c>
      <c r="K463" s="158">
        <f>J463*H463</f>
        <v>1350000</v>
      </c>
      <c r="L463" s="46"/>
    </row>
    <row r="464" spans="2:12" x14ac:dyDescent="0.35">
      <c r="B464" s="147"/>
      <c r="C464" s="148"/>
      <c r="D464" s="149"/>
      <c r="E464" s="150"/>
      <c r="F464" s="151" t="s">
        <v>85</v>
      </c>
      <c r="G464" s="152" t="s">
        <v>366</v>
      </c>
      <c r="H464" s="153">
        <v>340</v>
      </c>
      <c r="I464" s="154" t="s">
        <v>139</v>
      </c>
      <c r="J464" s="74">
        <v>500</v>
      </c>
      <c r="K464" s="129"/>
      <c r="L464" s="46">
        <f t="shared" ref="L464:L467" si="44">J464*H464</f>
        <v>170000</v>
      </c>
    </row>
    <row r="465" spans="2:12" x14ac:dyDescent="0.35">
      <c r="B465" s="147"/>
      <c r="C465" s="148"/>
      <c r="D465" s="149"/>
      <c r="E465" s="150"/>
      <c r="F465" s="151" t="s">
        <v>85</v>
      </c>
      <c r="G465" s="152" t="s">
        <v>367</v>
      </c>
      <c r="H465" s="153">
        <v>2</v>
      </c>
      <c r="I465" s="154" t="s">
        <v>80</v>
      </c>
      <c r="J465" s="74">
        <v>165000</v>
      </c>
      <c r="K465" s="132"/>
      <c r="L465" s="46">
        <f t="shared" si="44"/>
        <v>330000</v>
      </c>
    </row>
    <row r="466" spans="2:12" x14ac:dyDescent="0.35">
      <c r="B466" s="147"/>
      <c r="C466" s="148"/>
      <c r="D466" s="149"/>
      <c r="E466" s="150"/>
      <c r="F466" s="151" t="s">
        <v>85</v>
      </c>
      <c r="G466" s="152" t="s">
        <v>368</v>
      </c>
      <c r="H466" s="153">
        <v>1</v>
      </c>
      <c r="I466" s="154" t="s">
        <v>80</v>
      </c>
      <c r="J466" s="74">
        <v>35000</v>
      </c>
      <c r="K466" s="51"/>
      <c r="L466" s="46">
        <f t="shared" si="44"/>
        <v>35000</v>
      </c>
    </row>
    <row r="467" spans="2:12" x14ac:dyDescent="0.35">
      <c r="B467" s="147"/>
      <c r="C467" s="148"/>
      <c r="D467" s="149"/>
      <c r="E467" s="150"/>
      <c r="F467" s="151" t="s">
        <v>85</v>
      </c>
      <c r="G467" s="152" t="s">
        <v>331</v>
      </c>
      <c r="H467" s="153">
        <v>4</v>
      </c>
      <c r="I467" s="154" t="s">
        <v>80</v>
      </c>
      <c r="J467" s="74">
        <v>35000</v>
      </c>
      <c r="K467" s="51"/>
      <c r="L467" s="46">
        <f t="shared" si="44"/>
        <v>140000</v>
      </c>
    </row>
    <row r="468" spans="2:12" x14ac:dyDescent="0.35">
      <c r="B468" s="147"/>
      <c r="C468" s="148"/>
      <c r="D468" s="149" t="s">
        <v>48</v>
      </c>
      <c r="E468" s="150"/>
      <c r="F468" s="151" t="s">
        <v>371</v>
      </c>
      <c r="G468" s="152"/>
      <c r="H468" s="153">
        <v>3</v>
      </c>
      <c r="I468" s="154" t="s">
        <v>138</v>
      </c>
      <c r="J468" s="74">
        <v>225000</v>
      </c>
      <c r="K468" s="158">
        <f>J468*H468</f>
        <v>675000</v>
      </c>
      <c r="L468" s="46"/>
    </row>
    <row r="469" spans="2:12" x14ac:dyDescent="0.35">
      <c r="B469" s="147"/>
      <c r="C469" s="148"/>
      <c r="D469" s="149"/>
      <c r="E469" s="150"/>
      <c r="F469" s="151" t="s">
        <v>85</v>
      </c>
      <c r="G469" s="152" t="s">
        <v>366</v>
      </c>
      <c r="H469" s="153">
        <v>100</v>
      </c>
      <c r="I469" s="154" t="s">
        <v>139</v>
      </c>
      <c r="J469" s="74">
        <v>500</v>
      </c>
      <c r="K469" s="129"/>
      <c r="L469" s="46">
        <f t="shared" ref="L469:L472" si="45">J469*H469</f>
        <v>50000</v>
      </c>
    </row>
    <row r="470" spans="2:12" x14ac:dyDescent="0.35">
      <c r="B470" s="147"/>
      <c r="C470" s="148"/>
      <c r="D470" s="149"/>
      <c r="E470" s="150"/>
      <c r="F470" s="151" t="s">
        <v>85</v>
      </c>
      <c r="G470" s="152" t="s">
        <v>367</v>
      </c>
      <c r="H470" s="153">
        <v>1</v>
      </c>
      <c r="I470" s="154" t="s">
        <v>80</v>
      </c>
      <c r="J470" s="74">
        <v>165000</v>
      </c>
      <c r="K470" s="132"/>
      <c r="L470" s="46">
        <f t="shared" si="45"/>
        <v>165000</v>
      </c>
    </row>
    <row r="471" spans="2:12" x14ac:dyDescent="0.35">
      <c r="B471" s="147"/>
      <c r="C471" s="148"/>
      <c r="D471" s="149"/>
      <c r="E471" s="150"/>
      <c r="F471" s="151" t="s">
        <v>85</v>
      </c>
      <c r="G471" s="152" t="s">
        <v>372</v>
      </c>
      <c r="H471" s="153">
        <v>1</v>
      </c>
      <c r="I471" s="154" t="s">
        <v>80</v>
      </c>
      <c r="J471" s="74">
        <v>35000</v>
      </c>
      <c r="K471" s="51"/>
      <c r="L471" s="46">
        <f t="shared" si="45"/>
        <v>35000</v>
      </c>
    </row>
    <row r="472" spans="2:12" x14ac:dyDescent="0.35">
      <c r="B472" s="147"/>
      <c r="C472" s="148"/>
      <c r="D472" s="149"/>
      <c r="E472" s="150"/>
      <c r="F472" s="151" t="s">
        <v>85</v>
      </c>
      <c r="G472" s="152" t="s">
        <v>332</v>
      </c>
      <c r="H472" s="153">
        <v>4</v>
      </c>
      <c r="I472" s="154" t="s">
        <v>80</v>
      </c>
      <c r="J472" s="74">
        <v>35000</v>
      </c>
      <c r="K472" s="51"/>
      <c r="L472" s="46">
        <f t="shared" si="45"/>
        <v>140000</v>
      </c>
    </row>
    <row r="473" spans="2:12" x14ac:dyDescent="0.35">
      <c r="B473" s="147"/>
      <c r="C473" s="148"/>
      <c r="D473" s="149" t="s">
        <v>50</v>
      </c>
      <c r="E473" s="150"/>
      <c r="F473" s="151" t="s">
        <v>373</v>
      </c>
      <c r="G473" s="152"/>
      <c r="H473" s="153">
        <v>3</v>
      </c>
      <c r="I473" s="154" t="s">
        <v>138</v>
      </c>
      <c r="J473" s="74">
        <v>225000</v>
      </c>
      <c r="K473" s="158">
        <f>J473*H473</f>
        <v>675000</v>
      </c>
      <c r="L473" s="46"/>
    </row>
    <row r="474" spans="2:12" x14ac:dyDescent="0.35">
      <c r="B474" s="147"/>
      <c r="C474" s="148"/>
      <c r="D474" s="149"/>
      <c r="E474" s="150"/>
      <c r="F474" s="151" t="s">
        <v>85</v>
      </c>
      <c r="G474" s="152" t="s">
        <v>366</v>
      </c>
      <c r="H474" s="153">
        <v>110</v>
      </c>
      <c r="I474" s="154" t="s">
        <v>139</v>
      </c>
      <c r="J474" s="74">
        <v>500</v>
      </c>
      <c r="K474" s="129"/>
      <c r="L474" s="46">
        <f t="shared" ref="L474:L476" si="46">J474*H474</f>
        <v>55000</v>
      </c>
    </row>
    <row r="475" spans="2:12" x14ac:dyDescent="0.35">
      <c r="B475" s="147"/>
      <c r="C475" s="148"/>
      <c r="D475" s="149"/>
      <c r="E475" s="150"/>
      <c r="F475" s="151" t="s">
        <v>85</v>
      </c>
      <c r="G475" s="152" t="s">
        <v>368</v>
      </c>
      <c r="H475" s="153">
        <v>1</v>
      </c>
      <c r="I475" s="154" t="s">
        <v>80</v>
      </c>
      <c r="J475" s="74">
        <v>35000</v>
      </c>
      <c r="K475" s="51"/>
      <c r="L475" s="46">
        <f t="shared" si="46"/>
        <v>35000</v>
      </c>
    </row>
    <row r="476" spans="2:12" x14ac:dyDescent="0.35">
      <c r="B476" s="147"/>
      <c r="C476" s="148"/>
      <c r="D476" s="149"/>
      <c r="E476" s="150"/>
      <c r="F476" s="151" t="s">
        <v>85</v>
      </c>
      <c r="G476" s="152" t="s">
        <v>332</v>
      </c>
      <c r="H476" s="153">
        <v>4</v>
      </c>
      <c r="I476" s="154" t="s">
        <v>80</v>
      </c>
      <c r="J476" s="74">
        <v>35000</v>
      </c>
      <c r="K476" s="51"/>
      <c r="L476" s="46">
        <f t="shared" si="46"/>
        <v>140000</v>
      </c>
    </row>
    <row r="477" spans="2:12" x14ac:dyDescent="0.35">
      <c r="B477" s="147"/>
      <c r="C477" s="148"/>
      <c r="D477" s="149" t="s">
        <v>52</v>
      </c>
      <c r="E477" s="150"/>
      <c r="F477" s="151" t="s">
        <v>192</v>
      </c>
      <c r="G477" s="152"/>
      <c r="H477" s="153">
        <v>11</v>
      </c>
      <c r="I477" s="154" t="s">
        <v>138</v>
      </c>
      <c r="J477" s="74">
        <v>225000</v>
      </c>
      <c r="K477" s="158">
        <f>J477*H477</f>
        <v>2475000</v>
      </c>
      <c r="L477" s="46"/>
    </row>
    <row r="478" spans="2:12" x14ac:dyDescent="0.35">
      <c r="B478" s="147"/>
      <c r="C478" s="148"/>
      <c r="D478" s="149"/>
      <c r="E478" s="150"/>
      <c r="F478" s="151" t="s">
        <v>85</v>
      </c>
      <c r="G478" s="152" t="s">
        <v>366</v>
      </c>
      <c r="H478" s="153">
        <v>610</v>
      </c>
      <c r="I478" s="154" t="s">
        <v>139</v>
      </c>
      <c r="J478" s="74">
        <v>500</v>
      </c>
      <c r="K478" s="129"/>
      <c r="L478" s="46">
        <f t="shared" ref="L478:L482" si="47">J478*H478</f>
        <v>305000</v>
      </c>
    </row>
    <row r="479" spans="2:12" x14ac:dyDescent="0.35">
      <c r="B479" s="147"/>
      <c r="C479" s="148"/>
      <c r="D479" s="149"/>
      <c r="E479" s="150"/>
      <c r="F479" s="151" t="s">
        <v>85</v>
      </c>
      <c r="G479" s="152" t="s">
        <v>374</v>
      </c>
      <c r="H479" s="153">
        <v>2</v>
      </c>
      <c r="I479" s="154" t="s">
        <v>80</v>
      </c>
      <c r="J479" s="74">
        <v>165000</v>
      </c>
      <c r="K479" s="132"/>
      <c r="L479" s="46">
        <f t="shared" si="47"/>
        <v>330000</v>
      </c>
    </row>
    <row r="480" spans="2:12" x14ac:dyDescent="0.35">
      <c r="B480" s="147"/>
      <c r="C480" s="148"/>
      <c r="D480" s="149"/>
      <c r="E480" s="150"/>
      <c r="F480" s="151" t="s">
        <v>85</v>
      </c>
      <c r="G480" s="152" t="s">
        <v>367</v>
      </c>
      <c r="H480" s="153">
        <v>2</v>
      </c>
      <c r="I480" s="154" t="s">
        <v>80</v>
      </c>
      <c r="J480" s="74">
        <v>165000</v>
      </c>
      <c r="K480" s="132"/>
      <c r="L480" s="46">
        <f t="shared" si="47"/>
        <v>330000</v>
      </c>
    </row>
    <row r="481" spans="2:12" x14ac:dyDescent="0.35">
      <c r="B481" s="147"/>
      <c r="C481" s="148"/>
      <c r="D481" s="149"/>
      <c r="E481" s="150"/>
      <c r="F481" s="151" t="s">
        <v>85</v>
      </c>
      <c r="G481" s="152" t="s">
        <v>368</v>
      </c>
      <c r="H481" s="153">
        <v>1</v>
      </c>
      <c r="I481" s="154" t="s">
        <v>80</v>
      </c>
      <c r="J481" s="74">
        <v>35000</v>
      </c>
      <c r="K481" s="51"/>
      <c r="L481" s="46">
        <f t="shared" si="47"/>
        <v>35000</v>
      </c>
    </row>
    <row r="482" spans="2:12" x14ac:dyDescent="0.35">
      <c r="B482" s="147"/>
      <c r="C482" s="148"/>
      <c r="D482" s="149"/>
      <c r="E482" s="150"/>
      <c r="F482" s="151" t="s">
        <v>85</v>
      </c>
      <c r="G482" s="152" t="s">
        <v>331</v>
      </c>
      <c r="H482" s="153">
        <v>4</v>
      </c>
      <c r="I482" s="154" t="s">
        <v>80</v>
      </c>
      <c r="J482" s="74">
        <v>35000</v>
      </c>
      <c r="K482" s="51"/>
      <c r="L482" s="46">
        <f t="shared" si="47"/>
        <v>140000</v>
      </c>
    </row>
    <row r="483" spans="2:12" x14ac:dyDescent="0.35">
      <c r="B483" s="147"/>
      <c r="C483" s="148"/>
      <c r="D483" s="149" t="s">
        <v>54</v>
      </c>
      <c r="E483" s="150"/>
      <c r="F483" s="151" t="s">
        <v>193</v>
      </c>
      <c r="G483" s="152"/>
      <c r="H483" s="153">
        <v>11</v>
      </c>
      <c r="I483" s="154" t="s">
        <v>138</v>
      </c>
      <c r="J483" s="74">
        <v>225000</v>
      </c>
      <c r="K483" s="158">
        <f>J483*H483</f>
        <v>2475000</v>
      </c>
      <c r="L483" s="46"/>
    </row>
    <row r="484" spans="2:12" x14ac:dyDescent="0.35">
      <c r="B484" s="147"/>
      <c r="C484" s="148"/>
      <c r="D484" s="149"/>
      <c r="E484" s="150"/>
      <c r="F484" s="151" t="s">
        <v>85</v>
      </c>
      <c r="G484" s="152" t="s">
        <v>366</v>
      </c>
      <c r="H484" s="153">
        <v>750</v>
      </c>
      <c r="I484" s="154" t="s">
        <v>139</v>
      </c>
      <c r="J484" s="74">
        <v>500</v>
      </c>
      <c r="K484" s="129"/>
      <c r="L484" s="46">
        <f t="shared" ref="L484:L488" si="48">J484*H484</f>
        <v>375000</v>
      </c>
    </row>
    <row r="485" spans="2:12" x14ac:dyDescent="0.35">
      <c r="B485" s="147"/>
      <c r="C485" s="148"/>
      <c r="D485" s="149"/>
      <c r="E485" s="150"/>
      <c r="F485" s="151" t="s">
        <v>85</v>
      </c>
      <c r="G485" s="152" t="s">
        <v>374</v>
      </c>
      <c r="H485" s="153">
        <v>2</v>
      </c>
      <c r="I485" s="154" t="s">
        <v>80</v>
      </c>
      <c r="J485" s="74">
        <v>165000</v>
      </c>
      <c r="K485" s="132"/>
      <c r="L485" s="46">
        <f t="shared" si="48"/>
        <v>330000</v>
      </c>
    </row>
    <row r="486" spans="2:12" x14ac:dyDescent="0.35">
      <c r="B486" s="147"/>
      <c r="C486" s="148"/>
      <c r="D486" s="149"/>
      <c r="E486" s="150"/>
      <c r="F486" s="151" t="s">
        <v>85</v>
      </c>
      <c r="G486" s="152" t="s">
        <v>367</v>
      </c>
      <c r="H486" s="153">
        <v>3</v>
      </c>
      <c r="I486" s="154" t="s">
        <v>80</v>
      </c>
      <c r="J486" s="74">
        <v>165000</v>
      </c>
      <c r="K486" s="132"/>
      <c r="L486" s="46">
        <f t="shared" si="48"/>
        <v>495000</v>
      </c>
    </row>
    <row r="487" spans="2:12" x14ac:dyDescent="0.35">
      <c r="B487" s="147"/>
      <c r="C487" s="148"/>
      <c r="D487" s="149"/>
      <c r="E487" s="150"/>
      <c r="F487" s="151" t="s">
        <v>85</v>
      </c>
      <c r="G487" s="152" t="s">
        <v>368</v>
      </c>
      <c r="H487" s="153">
        <v>1</v>
      </c>
      <c r="I487" s="154" t="s">
        <v>80</v>
      </c>
      <c r="J487" s="74">
        <v>35000</v>
      </c>
      <c r="K487" s="51"/>
      <c r="L487" s="46">
        <f t="shared" si="48"/>
        <v>35000</v>
      </c>
    </row>
    <row r="488" spans="2:12" x14ac:dyDescent="0.35">
      <c r="B488" s="147"/>
      <c r="C488" s="148"/>
      <c r="D488" s="149"/>
      <c r="E488" s="150"/>
      <c r="F488" s="151" t="s">
        <v>85</v>
      </c>
      <c r="G488" s="152" t="s">
        <v>331</v>
      </c>
      <c r="H488" s="153">
        <v>4</v>
      </c>
      <c r="I488" s="154" t="s">
        <v>80</v>
      </c>
      <c r="J488" s="74">
        <v>35000</v>
      </c>
      <c r="K488" s="51"/>
      <c r="L488" s="46">
        <f t="shared" si="48"/>
        <v>140000</v>
      </c>
    </row>
    <row r="489" spans="2:12" x14ac:dyDescent="0.35">
      <c r="B489" s="147"/>
      <c r="C489" s="148"/>
      <c r="D489" s="149" t="s">
        <v>56</v>
      </c>
      <c r="E489" s="150"/>
      <c r="F489" s="151" t="s">
        <v>232</v>
      </c>
      <c r="G489" s="152"/>
      <c r="H489" s="153">
        <v>7</v>
      </c>
      <c r="I489" s="154" t="s">
        <v>138</v>
      </c>
      <c r="J489" s="74">
        <v>225000</v>
      </c>
      <c r="K489" s="158">
        <f>J489*H489</f>
        <v>1575000</v>
      </c>
      <c r="L489" s="46"/>
    </row>
    <row r="490" spans="2:12" x14ac:dyDescent="0.35">
      <c r="B490" s="147"/>
      <c r="C490" s="148"/>
      <c r="D490" s="149"/>
      <c r="E490" s="150"/>
      <c r="F490" s="151" t="s">
        <v>85</v>
      </c>
      <c r="G490" s="152" t="s">
        <v>366</v>
      </c>
      <c r="H490" s="153">
        <v>600</v>
      </c>
      <c r="I490" s="154" t="s">
        <v>139</v>
      </c>
      <c r="J490" s="74">
        <v>500</v>
      </c>
      <c r="K490" s="129"/>
      <c r="L490" s="46">
        <f t="shared" ref="L490:L493" si="49">J490*H490</f>
        <v>300000</v>
      </c>
    </row>
    <row r="491" spans="2:12" x14ac:dyDescent="0.35">
      <c r="B491" s="147"/>
      <c r="C491" s="148"/>
      <c r="D491" s="149"/>
      <c r="E491" s="150"/>
      <c r="F491" s="151" t="s">
        <v>85</v>
      </c>
      <c r="G491" s="152" t="s">
        <v>367</v>
      </c>
      <c r="H491" s="153">
        <v>3</v>
      </c>
      <c r="I491" s="154" t="s">
        <v>80</v>
      </c>
      <c r="J491" s="74">
        <v>165000</v>
      </c>
      <c r="K491" s="132"/>
      <c r="L491" s="46">
        <f t="shared" si="49"/>
        <v>495000</v>
      </c>
    </row>
    <row r="492" spans="2:12" x14ac:dyDescent="0.35">
      <c r="B492" s="147"/>
      <c r="C492" s="148"/>
      <c r="D492" s="149"/>
      <c r="E492" s="150"/>
      <c r="F492" s="151" t="s">
        <v>85</v>
      </c>
      <c r="G492" s="152" t="s">
        <v>368</v>
      </c>
      <c r="H492" s="153">
        <v>1</v>
      </c>
      <c r="I492" s="154" t="s">
        <v>80</v>
      </c>
      <c r="J492" s="74">
        <v>35000</v>
      </c>
      <c r="K492" s="51"/>
      <c r="L492" s="46">
        <f t="shared" si="49"/>
        <v>35000</v>
      </c>
    </row>
    <row r="493" spans="2:12" x14ac:dyDescent="0.35">
      <c r="B493" s="147"/>
      <c r="C493" s="148"/>
      <c r="D493" s="149"/>
      <c r="E493" s="150"/>
      <c r="F493" s="151" t="s">
        <v>85</v>
      </c>
      <c r="G493" s="152" t="s">
        <v>332</v>
      </c>
      <c r="H493" s="153">
        <v>4</v>
      </c>
      <c r="I493" s="154" t="s">
        <v>80</v>
      </c>
      <c r="J493" s="74">
        <v>35000</v>
      </c>
      <c r="K493" s="51"/>
      <c r="L493" s="46">
        <f t="shared" si="49"/>
        <v>140000</v>
      </c>
    </row>
    <row r="494" spans="2:12" x14ac:dyDescent="0.35">
      <c r="B494" s="147"/>
      <c r="C494" s="148"/>
      <c r="D494" s="149" t="s">
        <v>59</v>
      </c>
      <c r="E494" s="150"/>
      <c r="F494" s="151" t="s">
        <v>233</v>
      </c>
      <c r="G494" s="152"/>
      <c r="H494" s="153">
        <v>10</v>
      </c>
      <c r="I494" s="154" t="s">
        <v>138</v>
      </c>
      <c r="J494" s="74">
        <v>225000</v>
      </c>
      <c r="K494" s="158">
        <f>J494*H494</f>
        <v>2250000</v>
      </c>
      <c r="L494" s="46"/>
    </row>
    <row r="495" spans="2:12" x14ac:dyDescent="0.35">
      <c r="B495" s="147"/>
      <c r="C495" s="148"/>
      <c r="D495" s="149"/>
      <c r="E495" s="150"/>
      <c r="F495" s="151" t="s">
        <v>85</v>
      </c>
      <c r="G495" s="152" t="s">
        <v>366</v>
      </c>
      <c r="H495" s="153">
        <v>490</v>
      </c>
      <c r="I495" s="154" t="s">
        <v>139</v>
      </c>
      <c r="J495" s="74">
        <v>500</v>
      </c>
      <c r="K495" s="129"/>
      <c r="L495" s="46">
        <f t="shared" ref="L495:L499" si="50">J495*H495</f>
        <v>245000</v>
      </c>
    </row>
    <row r="496" spans="2:12" x14ac:dyDescent="0.35">
      <c r="B496" s="147"/>
      <c r="C496" s="148"/>
      <c r="D496" s="149"/>
      <c r="E496" s="150"/>
      <c r="F496" s="151" t="s">
        <v>85</v>
      </c>
      <c r="G496" s="152" t="s">
        <v>374</v>
      </c>
      <c r="H496" s="153">
        <v>2</v>
      </c>
      <c r="I496" s="154" t="s">
        <v>80</v>
      </c>
      <c r="J496" s="74">
        <v>165000</v>
      </c>
      <c r="K496" s="132"/>
      <c r="L496" s="46">
        <f t="shared" si="50"/>
        <v>330000</v>
      </c>
    </row>
    <row r="497" spans="2:12" x14ac:dyDescent="0.35">
      <c r="B497" s="147"/>
      <c r="C497" s="148"/>
      <c r="D497" s="149"/>
      <c r="E497" s="150"/>
      <c r="F497" s="151" t="s">
        <v>85</v>
      </c>
      <c r="G497" s="152" t="s">
        <v>367</v>
      </c>
      <c r="H497" s="153">
        <v>2</v>
      </c>
      <c r="I497" s="154" t="s">
        <v>80</v>
      </c>
      <c r="J497" s="74">
        <v>165000</v>
      </c>
      <c r="K497" s="132"/>
      <c r="L497" s="46">
        <f t="shared" si="50"/>
        <v>330000</v>
      </c>
    </row>
    <row r="498" spans="2:12" x14ac:dyDescent="0.35">
      <c r="B498" s="147"/>
      <c r="C498" s="148"/>
      <c r="D498" s="149"/>
      <c r="E498" s="150"/>
      <c r="F498" s="151" t="s">
        <v>85</v>
      </c>
      <c r="G498" s="152" t="s">
        <v>368</v>
      </c>
      <c r="H498" s="153">
        <v>1</v>
      </c>
      <c r="I498" s="154" t="s">
        <v>80</v>
      </c>
      <c r="J498" s="74">
        <v>35000</v>
      </c>
      <c r="K498" s="51"/>
      <c r="L498" s="46">
        <f t="shared" si="50"/>
        <v>35000</v>
      </c>
    </row>
    <row r="499" spans="2:12" x14ac:dyDescent="0.35">
      <c r="B499" s="147"/>
      <c r="C499" s="148"/>
      <c r="D499" s="149"/>
      <c r="E499" s="150"/>
      <c r="F499" s="151" t="s">
        <v>85</v>
      </c>
      <c r="G499" s="152" t="s">
        <v>331</v>
      </c>
      <c r="H499" s="153">
        <v>4</v>
      </c>
      <c r="I499" s="154" t="s">
        <v>80</v>
      </c>
      <c r="J499" s="74">
        <v>35000</v>
      </c>
      <c r="K499" s="51"/>
      <c r="L499" s="46">
        <f t="shared" si="50"/>
        <v>140000</v>
      </c>
    </row>
    <row r="500" spans="2:12" x14ac:dyDescent="0.35">
      <c r="B500" s="147"/>
      <c r="C500" s="148"/>
      <c r="D500" s="149" t="s">
        <v>60</v>
      </c>
      <c r="E500" s="150"/>
      <c r="F500" s="151" t="s">
        <v>375</v>
      </c>
      <c r="G500" s="152"/>
      <c r="H500" s="153">
        <v>3</v>
      </c>
      <c r="I500" s="154" t="s">
        <v>138</v>
      </c>
      <c r="J500" s="74">
        <v>225000</v>
      </c>
      <c r="K500" s="158">
        <f>J500*H500</f>
        <v>675000</v>
      </c>
      <c r="L500" s="46"/>
    </row>
    <row r="501" spans="2:12" x14ac:dyDescent="0.35">
      <c r="B501" s="147"/>
      <c r="C501" s="148"/>
      <c r="D501" s="149"/>
      <c r="E501" s="150"/>
      <c r="F501" s="151" t="s">
        <v>85</v>
      </c>
      <c r="G501" s="152" t="s">
        <v>366</v>
      </c>
      <c r="H501" s="153">
        <v>120</v>
      </c>
      <c r="I501" s="154" t="s">
        <v>139</v>
      </c>
      <c r="J501" s="74">
        <v>500</v>
      </c>
      <c r="K501" s="129"/>
      <c r="L501" s="46">
        <f t="shared" ref="L501:L504" si="51">J501*H501</f>
        <v>60000</v>
      </c>
    </row>
    <row r="502" spans="2:12" x14ac:dyDescent="0.35">
      <c r="B502" s="147"/>
      <c r="C502" s="148"/>
      <c r="D502" s="149"/>
      <c r="E502" s="150"/>
      <c r="F502" s="151" t="s">
        <v>85</v>
      </c>
      <c r="G502" s="152" t="s">
        <v>497</v>
      </c>
      <c r="H502" s="153">
        <v>1</v>
      </c>
      <c r="I502" s="154" t="s">
        <v>80</v>
      </c>
      <c r="J502" s="65">
        <v>0</v>
      </c>
      <c r="K502" s="58"/>
      <c r="L502" s="46">
        <f t="shared" si="51"/>
        <v>0</v>
      </c>
    </row>
    <row r="503" spans="2:12" x14ac:dyDescent="0.35">
      <c r="B503" s="147"/>
      <c r="C503" s="148"/>
      <c r="D503" s="149"/>
      <c r="E503" s="150"/>
      <c r="F503" s="151" t="s">
        <v>85</v>
      </c>
      <c r="G503" s="152" t="s">
        <v>368</v>
      </c>
      <c r="H503" s="153">
        <v>1</v>
      </c>
      <c r="I503" s="154" t="s">
        <v>80</v>
      </c>
      <c r="J503" s="74">
        <v>35000</v>
      </c>
      <c r="K503" s="51"/>
      <c r="L503" s="46">
        <f t="shared" si="51"/>
        <v>35000</v>
      </c>
    </row>
    <row r="504" spans="2:12" x14ac:dyDescent="0.35">
      <c r="B504" s="147"/>
      <c r="C504" s="148"/>
      <c r="D504" s="149"/>
      <c r="E504" s="150"/>
      <c r="F504" s="151" t="s">
        <v>85</v>
      </c>
      <c r="G504" s="152" t="s">
        <v>332</v>
      </c>
      <c r="H504" s="153">
        <v>4</v>
      </c>
      <c r="I504" s="154" t="s">
        <v>80</v>
      </c>
      <c r="J504" s="74">
        <v>35000</v>
      </c>
      <c r="K504" s="51"/>
      <c r="L504" s="46">
        <f t="shared" si="51"/>
        <v>140000</v>
      </c>
    </row>
    <row r="505" spans="2:12" x14ac:dyDescent="0.35">
      <c r="B505" s="147"/>
      <c r="C505" s="148"/>
      <c r="D505" s="149" t="s">
        <v>63</v>
      </c>
      <c r="E505" s="150"/>
      <c r="F505" s="151" t="s">
        <v>376</v>
      </c>
      <c r="G505" s="152"/>
      <c r="H505" s="153">
        <v>5</v>
      </c>
      <c r="I505" s="154" t="s">
        <v>138</v>
      </c>
      <c r="J505" s="74">
        <v>225000</v>
      </c>
      <c r="K505" s="158">
        <f>J505*H505</f>
        <v>1125000</v>
      </c>
      <c r="L505" s="46"/>
    </row>
    <row r="506" spans="2:12" x14ac:dyDescent="0.35">
      <c r="B506" s="147"/>
      <c r="C506" s="148"/>
      <c r="D506" s="149"/>
      <c r="E506" s="150"/>
      <c r="F506" s="151" t="s">
        <v>85</v>
      </c>
      <c r="G506" s="152" t="s">
        <v>366</v>
      </c>
      <c r="H506" s="153">
        <v>120</v>
      </c>
      <c r="I506" s="154" t="s">
        <v>139</v>
      </c>
      <c r="J506" s="74">
        <v>500</v>
      </c>
      <c r="K506" s="129"/>
      <c r="L506" s="46">
        <f t="shared" ref="L506:L507" si="52">J506*H506</f>
        <v>60000</v>
      </c>
    </row>
    <row r="507" spans="2:12" x14ac:dyDescent="0.35">
      <c r="B507" s="147"/>
      <c r="C507" s="148"/>
      <c r="D507" s="149"/>
      <c r="E507" s="150"/>
      <c r="F507" s="151" t="s">
        <v>85</v>
      </c>
      <c r="G507" s="152" t="s">
        <v>367</v>
      </c>
      <c r="H507" s="153">
        <v>2</v>
      </c>
      <c r="I507" s="154" t="s">
        <v>80</v>
      </c>
      <c r="J507" s="74">
        <v>165000</v>
      </c>
      <c r="K507" s="132"/>
      <c r="L507" s="46">
        <f t="shared" si="52"/>
        <v>330000</v>
      </c>
    </row>
    <row r="508" spans="2:12" x14ac:dyDescent="0.35">
      <c r="B508" s="47"/>
      <c r="C508" s="48"/>
      <c r="D508" s="24"/>
      <c r="G508" s="22"/>
      <c r="I508" s="22"/>
      <c r="J508" s="50"/>
      <c r="K508" s="29"/>
      <c r="L508" s="52"/>
    </row>
    <row r="509" spans="2:12" x14ac:dyDescent="0.35">
      <c r="B509" s="47"/>
      <c r="C509" s="48"/>
      <c r="D509" s="24"/>
      <c r="G509" s="22"/>
      <c r="I509" s="22"/>
      <c r="J509" s="50"/>
      <c r="K509" s="29"/>
      <c r="L509" s="52"/>
    </row>
    <row r="510" spans="2:12" x14ac:dyDescent="0.35">
      <c r="B510" s="8"/>
      <c r="C510" s="9"/>
      <c r="D510" s="10"/>
      <c r="E510" s="4"/>
      <c r="F510" s="4"/>
      <c r="G510" s="4"/>
      <c r="H510" s="1"/>
      <c r="I510" s="1"/>
      <c r="J510" s="11" t="s">
        <v>8</v>
      </c>
      <c r="K510" s="7">
        <f>SUM(K452:K509)</f>
        <v>15525000</v>
      </c>
      <c r="L510" s="7">
        <f>SUM(L452:L509)</f>
        <v>7860000</v>
      </c>
    </row>
    <row r="511" spans="2:12" x14ac:dyDescent="0.35">
      <c r="B511" s="8"/>
      <c r="C511" s="9"/>
      <c r="D511" s="9"/>
      <c r="E511" s="4"/>
      <c r="F511" s="4"/>
      <c r="G511" s="4"/>
      <c r="H511" s="1"/>
      <c r="I511" s="1"/>
      <c r="J511" s="11"/>
      <c r="K511" s="35" t="s">
        <v>12</v>
      </c>
      <c r="L511" s="36" t="s">
        <v>13</v>
      </c>
    </row>
    <row r="512" spans="2:12" x14ac:dyDescent="0.35">
      <c r="B512" s="3" t="s">
        <v>9</v>
      </c>
      <c r="C512" s="4"/>
      <c r="D512" s="4"/>
      <c r="E512" s="4"/>
      <c r="F512" s="4"/>
      <c r="G512" s="4"/>
      <c r="H512" s="1"/>
      <c r="I512" s="1"/>
      <c r="J512" s="12"/>
      <c r="K512" s="12"/>
      <c r="L512" s="13"/>
    </row>
    <row r="513" spans="2:12" x14ac:dyDescent="0.35">
      <c r="B513" s="37"/>
      <c r="C513" s="1"/>
      <c r="D513" s="1"/>
      <c r="E513" s="38"/>
      <c r="F513" s="38"/>
      <c r="G513" s="38"/>
      <c r="H513" s="1"/>
      <c r="I513" s="1"/>
      <c r="J513" s="1"/>
      <c r="K513" s="1"/>
      <c r="L513" s="19"/>
    </row>
    <row r="514" spans="2:12" x14ac:dyDescent="0.35">
      <c r="B514" s="28" t="s">
        <v>6</v>
      </c>
      <c r="C514" s="27"/>
      <c r="D514" s="27"/>
      <c r="E514" s="26"/>
      <c r="F514" s="26"/>
      <c r="G514" s="5"/>
      <c r="K514" s="301" t="s">
        <v>27</v>
      </c>
      <c r="L514" s="302"/>
    </row>
    <row r="515" spans="2:12" x14ac:dyDescent="0.35">
      <c r="B515" s="28">
        <v>1</v>
      </c>
      <c r="C515" s="27"/>
      <c r="D515" s="27"/>
      <c r="E515" s="26" t="s">
        <v>7</v>
      </c>
      <c r="F515" s="26"/>
      <c r="G515" s="5"/>
      <c r="K515" s="301" t="s">
        <v>17</v>
      </c>
      <c r="L515" s="302"/>
    </row>
    <row r="516" spans="2:12" x14ac:dyDescent="0.35">
      <c r="B516" s="39"/>
      <c r="C516" s="27"/>
      <c r="D516" s="27"/>
      <c r="E516" s="26"/>
      <c r="F516" s="26"/>
      <c r="G516" s="5"/>
      <c r="J516" s="25"/>
      <c r="K516" s="25"/>
      <c r="L516" s="24"/>
    </row>
    <row r="517" spans="2:12" x14ac:dyDescent="0.35">
      <c r="B517" s="28"/>
      <c r="C517" s="27"/>
      <c r="D517" s="27"/>
      <c r="E517" s="26"/>
      <c r="F517" s="26"/>
      <c r="G517" s="5"/>
      <c r="L517" s="22"/>
    </row>
    <row r="518" spans="2:12" x14ac:dyDescent="0.35">
      <c r="B518" s="45"/>
      <c r="E518" s="5"/>
      <c r="F518" s="5"/>
      <c r="G518" s="5"/>
      <c r="L518" s="22"/>
    </row>
    <row r="519" spans="2:12" x14ac:dyDescent="0.35">
      <c r="B519" s="45"/>
      <c r="E519" s="5"/>
      <c r="F519" s="5"/>
      <c r="G519" s="5"/>
      <c r="L519" s="22"/>
    </row>
    <row r="520" spans="2:12" x14ac:dyDescent="0.35">
      <c r="B520" s="45"/>
      <c r="E520" s="5"/>
      <c r="F520" s="5"/>
      <c r="G520" s="5"/>
      <c r="L520" s="22"/>
    </row>
    <row r="521" spans="2:12" x14ac:dyDescent="0.35">
      <c r="B521" s="45"/>
      <c r="E521" s="5"/>
      <c r="F521" s="5"/>
      <c r="G521" s="5"/>
      <c r="J521" s="40"/>
      <c r="K521" s="303" t="s">
        <v>25</v>
      </c>
      <c r="L521" s="304"/>
    </row>
    <row r="522" spans="2:12" x14ac:dyDescent="0.35">
      <c r="B522" s="45"/>
      <c r="K522" s="289" t="s">
        <v>26</v>
      </c>
      <c r="L522" s="290"/>
    </row>
    <row r="523" spans="2:12" x14ac:dyDescent="0.35">
      <c r="B523" s="305"/>
      <c r="C523" s="306"/>
      <c r="D523" s="306"/>
      <c r="E523" s="41"/>
      <c r="F523" s="41"/>
      <c r="G523" s="41"/>
      <c r="H523" s="2"/>
      <c r="I523" s="2"/>
      <c r="J523" s="2"/>
      <c r="K523" s="2"/>
      <c r="L523" s="21"/>
    </row>
    <row r="524" spans="2:12" x14ac:dyDescent="0.35">
      <c r="B524" s="47"/>
      <c r="C524" s="48"/>
      <c r="D524" s="49"/>
      <c r="G524" s="22"/>
      <c r="H524" s="1"/>
      <c r="I524" s="1"/>
      <c r="J524" s="43"/>
      <c r="K524" s="30"/>
      <c r="L524" s="44"/>
    </row>
    <row r="525" spans="2:12" x14ac:dyDescent="0.35">
      <c r="B525" s="147"/>
      <c r="C525" s="148"/>
      <c r="D525" s="149"/>
      <c r="E525" s="150"/>
      <c r="F525" s="151" t="s">
        <v>85</v>
      </c>
      <c r="G525" s="152" t="s">
        <v>368</v>
      </c>
      <c r="H525" s="153">
        <v>1</v>
      </c>
      <c r="I525" s="154" t="s">
        <v>80</v>
      </c>
      <c r="J525" s="74">
        <v>35000</v>
      </c>
      <c r="K525" s="51"/>
      <c r="L525" s="46">
        <f t="shared" ref="L525:L526" si="53">J525*H525</f>
        <v>35000</v>
      </c>
    </row>
    <row r="526" spans="2:12" x14ac:dyDescent="0.35">
      <c r="B526" s="147"/>
      <c r="C526" s="148"/>
      <c r="D526" s="149"/>
      <c r="E526" s="150"/>
      <c r="F526" s="151" t="s">
        <v>85</v>
      </c>
      <c r="G526" s="152" t="s">
        <v>332</v>
      </c>
      <c r="H526" s="153">
        <v>4</v>
      </c>
      <c r="I526" s="154" t="s">
        <v>80</v>
      </c>
      <c r="J526" s="74">
        <v>35000</v>
      </c>
      <c r="K526" s="51"/>
      <c r="L526" s="46">
        <f t="shared" si="53"/>
        <v>140000</v>
      </c>
    </row>
    <row r="527" spans="2:12" x14ac:dyDescent="0.35">
      <c r="B527" s="147"/>
      <c r="C527" s="148"/>
      <c r="D527" s="149" t="s">
        <v>65</v>
      </c>
      <c r="E527" s="150"/>
      <c r="F527" s="151" t="s">
        <v>377</v>
      </c>
      <c r="G527" s="152"/>
      <c r="H527" s="153">
        <v>5</v>
      </c>
      <c r="I527" s="154" t="s">
        <v>138</v>
      </c>
      <c r="J527" s="74">
        <v>225000</v>
      </c>
      <c r="K527" s="158">
        <f>J527*H527</f>
        <v>1125000</v>
      </c>
      <c r="L527" s="46"/>
    </row>
    <row r="528" spans="2:12" x14ac:dyDescent="0.35">
      <c r="B528" s="147"/>
      <c r="C528" s="148"/>
      <c r="D528" s="149"/>
      <c r="E528" s="150"/>
      <c r="F528" s="151" t="s">
        <v>85</v>
      </c>
      <c r="G528" s="152" t="s">
        <v>366</v>
      </c>
      <c r="H528" s="153">
        <v>120</v>
      </c>
      <c r="I528" s="154" t="s">
        <v>139</v>
      </c>
      <c r="J528" s="74">
        <v>500</v>
      </c>
      <c r="K528" s="129"/>
      <c r="L528" s="46">
        <f t="shared" ref="L528:L531" si="54">J528*H528</f>
        <v>60000</v>
      </c>
    </row>
    <row r="529" spans="2:12" x14ac:dyDescent="0.35">
      <c r="B529" s="147"/>
      <c r="C529" s="148"/>
      <c r="D529" s="149"/>
      <c r="E529" s="150"/>
      <c r="F529" s="151" t="s">
        <v>85</v>
      </c>
      <c r="G529" s="152" t="s">
        <v>367</v>
      </c>
      <c r="H529" s="153">
        <v>2</v>
      </c>
      <c r="I529" s="154" t="s">
        <v>80</v>
      </c>
      <c r="J529" s="74">
        <v>165000</v>
      </c>
      <c r="K529" s="132"/>
      <c r="L529" s="46">
        <f t="shared" si="54"/>
        <v>330000</v>
      </c>
    </row>
    <row r="530" spans="2:12" x14ac:dyDescent="0.35">
      <c r="B530" s="147"/>
      <c r="C530" s="148"/>
      <c r="D530" s="149"/>
      <c r="E530" s="150"/>
      <c r="F530" s="151" t="s">
        <v>85</v>
      </c>
      <c r="G530" s="152" t="s">
        <v>368</v>
      </c>
      <c r="H530" s="153">
        <v>1</v>
      </c>
      <c r="I530" s="154" t="s">
        <v>80</v>
      </c>
      <c r="J530" s="74">
        <v>35000</v>
      </c>
      <c r="K530" s="51"/>
      <c r="L530" s="46">
        <f t="shared" si="54"/>
        <v>35000</v>
      </c>
    </row>
    <row r="531" spans="2:12" x14ac:dyDescent="0.35">
      <c r="B531" s="147"/>
      <c r="C531" s="148"/>
      <c r="D531" s="149"/>
      <c r="E531" s="150"/>
      <c r="F531" s="151" t="s">
        <v>85</v>
      </c>
      <c r="G531" s="152" t="s">
        <v>332</v>
      </c>
      <c r="H531" s="153">
        <v>4</v>
      </c>
      <c r="I531" s="154" t="s">
        <v>80</v>
      </c>
      <c r="J531" s="74">
        <v>35000</v>
      </c>
      <c r="K531" s="51"/>
      <c r="L531" s="46">
        <f t="shared" si="54"/>
        <v>140000</v>
      </c>
    </row>
    <row r="532" spans="2:12" x14ac:dyDescent="0.35">
      <c r="B532" s="147"/>
      <c r="C532" s="148"/>
      <c r="D532" s="149" t="s">
        <v>100</v>
      </c>
      <c r="E532" s="150"/>
      <c r="F532" s="151" t="s">
        <v>378</v>
      </c>
      <c r="G532" s="152"/>
      <c r="H532" s="153">
        <v>5</v>
      </c>
      <c r="I532" s="154" t="s">
        <v>138</v>
      </c>
      <c r="J532" s="74">
        <v>225000</v>
      </c>
      <c r="K532" s="158">
        <f>J532*H532</f>
        <v>1125000</v>
      </c>
      <c r="L532" s="46"/>
    </row>
    <row r="533" spans="2:12" x14ac:dyDescent="0.35">
      <c r="B533" s="147"/>
      <c r="C533" s="148"/>
      <c r="D533" s="149"/>
      <c r="E533" s="150"/>
      <c r="F533" s="151" t="s">
        <v>85</v>
      </c>
      <c r="G533" s="152" t="s">
        <v>366</v>
      </c>
      <c r="H533" s="153">
        <v>120</v>
      </c>
      <c r="I533" s="154" t="s">
        <v>139</v>
      </c>
      <c r="J533" s="74">
        <v>500</v>
      </c>
      <c r="K533" s="129"/>
      <c r="L533" s="46">
        <f t="shared" ref="L533:L536" si="55">J533*H533</f>
        <v>60000</v>
      </c>
    </row>
    <row r="534" spans="2:12" x14ac:dyDescent="0.35">
      <c r="B534" s="147"/>
      <c r="C534" s="148"/>
      <c r="D534" s="149"/>
      <c r="E534" s="150"/>
      <c r="F534" s="151" t="s">
        <v>85</v>
      </c>
      <c r="G534" s="152" t="s">
        <v>367</v>
      </c>
      <c r="H534" s="153">
        <v>2</v>
      </c>
      <c r="I534" s="154" t="s">
        <v>80</v>
      </c>
      <c r="J534" s="74">
        <v>165000</v>
      </c>
      <c r="K534" s="132"/>
      <c r="L534" s="46">
        <f t="shared" si="55"/>
        <v>330000</v>
      </c>
    </row>
    <row r="535" spans="2:12" x14ac:dyDescent="0.35">
      <c r="B535" s="147"/>
      <c r="C535" s="148"/>
      <c r="D535" s="149"/>
      <c r="E535" s="150"/>
      <c r="F535" s="151" t="s">
        <v>85</v>
      </c>
      <c r="G535" s="152" t="s">
        <v>368</v>
      </c>
      <c r="H535" s="153">
        <v>1</v>
      </c>
      <c r="I535" s="154" t="s">
        <v>80</v>
      </c>
      <c r="J535" s="74">
        <v>35000</v>
      </c>
      <c r="K535" s="51"/>
      <c r="L535" s="46">
        <f t="shared" si="55"/>
        <v>35000</v>
      </c>
    </row>
    <row r="536" spans="2:12" x14ac:dyDescent="0.35">
      <c r="B536" s="147"/>
      <c r="C536" s="148"/>
      <c r="D536" s="149"/>
      <c r="E536" s="150"/>
      <c r="F536" s="151" t="s">
        <v>85</v>
      </c>
      <c r="G536" s="152" t="s">
        <v>332</v>
      </c>
      <c r="H536" s="153">
        <v>4</v>
      </c>
      <c r="I536" s="154" t="s">
        <v>80</v>
      </c>
      <c r="J536" s="74">
        <v>35000</v>
      </c>
      <c r="K536" s="51"/>
      <c r="L536" s="46">
        <f t="shared" si="55"/>
        <v>140000</v>
      </c>
    </row>
    <row r="537" spans="2:12" x14ac:dyDescent="0.35">
      <c r="B537" s="147"/>
      <c r="C537" s="148"/>
      <c r="D537" s="149" t="s">
        <v>101</v>
      </c>
      <c r="E537" s="150"/>
      <c r="F537" s="151" t="s">
        <v>379</v>
      </c>
      <c r="G537" s="152"/>
      <c r="H537" s="153">
        <v>3</v>
      </c>
      <c r="I537" s="154" t="s">
        <v>138</v>
      </c>
      <c r="J537" s="74">
        <v>225000</v>
      </c>
      <c r="K537" s="158">
        <f>J537*H537</f>
        <v>675000</v>
      </c>
      <c r="L537" s="46"/>
    </row>
    <row r="538" spans="2:12" x14ac:dyDescent="0.35">
      <c r="B538" s="147"/>
      <c r="C538" s="148"/>
      <c r="D538" s="149"/>
      <c r="E538" s="150"/>
      <c r="F538" s="151" t="s">
        <v>85</v>
      </c>
      <c r="G538" s="152" t="s">
        <v>366</v>
      </c>
      <c r="H538" s="153">
        <v>120</v>
      </c>
      <c r="I538" s="154" t="s">
        <v>139</v>
      </c>
      <c r="J538" s="74">
        <v>500</v>
      </c>
      <c r="K538" s="129"/>
      <c r="L538" s="46">
        <f t="shared" ref="L538:L541" si="56">J538*H538</f>
        <v>60000</v>
      </c>
    </row>
    <row r="539" spans="2:12" x14ac:dyDescent="0.35">
      <c r="B539" s="147"/>
      <c r="C539" s="148"/>
      <c r="D539" s="149"/>
      <c r="E539" s="150"/>
      <c r="F539" s="151" t="s">
        <v>85</v>
      </c>
      <c r="G539" s="152" t="s">
        <v>497</v>
      </c>
      <c r="H539" s="153">
        <v>1</v>
      </c>
      <c r="I539" s="154" t="s">
        <v>80</v>
      </c>
      <c r="J539" s="74">
        <v>0</v>
      </c>
      <c r="K539" s="129"/>
      <c r="L539" s="46">
        <f t="shared" si="56"/>
        <v>0</v>
      </c>
    </row>
    <row r="540" spans="2:12" x14ac:dyDescent="0.35">
      <c r="B540" s="147"/>
      <c r="C540" s="148"/>
      <c r="D540" s="149"/>
      <c r="E540" s="150"/>
      <c r="F540" s="151" t="s">
        <v>85</v>
      </c>
      <c r="G540" s="152" t="s">
        <v>368</v>
      </c>
      <c r="H540" s="153">
        <v>1</v>
      </c>
      <c r="I540" s="154" t="s">
        <v>80</v>
      </c>
      <c r="J540" s="74">
        <v>35000</v>
      </c>
      <c r="K540" s="51"/>
      <c r="L540" s="46">
        <f t="shared" si="56"/>
        <v>35000</v>
      </c>
    </row>
    <row r="541" spans="2:12" x14ac:dyDescent="0.35">
      <c r="B541" s="147"/>
      <c r="C541" s="148"/>
      <c r="D541" s="149"/>
      <c r="E541" s="150"/>
      <c r="F541" s="151" t="s">
        <v>85</v>
      </c>
      <c r="G541" s="152" t="s">
        <v>332</v>
      </c>
      <c r="H541" s="153">
        <v>4</v>
      </c>
      <c r="I541" s="154" t="s">
        <v>80</v>
      </c>
      <c r="J541" s="74">
        <v>35000</v>
      </c>
      <c r="K541" s="51"/>
      <c r="L541" s="46">
        <f t="shared" si="56"/>
        <v>140000</v>
      </c>
    </row>
    <row r="542" spans="2:12" x14ac:dyDescent="0.35">
      <c r="B542" s="147"/>
      <c r="C542" s="148"/>
      <c r="D542" s="149" t="s">
        <v>102</v>
      </c>
      <c r="E542" s="150"/>
      <c r="F542" s="151" t="s">
        <v>380</v>
      </c>
      <c r="G542" s="152"/>
      <c r="H542" s="153">
        <v>3</v>
      </c>
      <c r="I542" s="154" t="s">
        <v>138</v>
      </c>
      <c r="J542" s="74">
        <v>225000</v>
      </c>
      <c r="K542" s="158">
        <f>J542*H542</f>
        <v>675000</v>
      </c>
      <c r="L542" s="46"/>
    </row>
    <row r="543" spans="2:12" x14ac:dyDescent="0.35">
      <c r="B543" s="147"/>
      <c r="C543" s="148"/>
      <c r="D543" s="149"/>
      <c r="E543" s="150"/>
      <c r="F543" s="151" t="s">
        <v>85</v>
      </c>
      <c r="G543" s="152" t="s">
        <v>366</v>
      </c>
      <c r="H543" s="153">
        <v>120</v>
      </c>
      <c r="I543" s="154" t="s">
        <v>139</v>
      </c>
      <c r="J543" s="74">
        <v>500</v>
      </c>
      <c r="K543" s="129"/>
      <c r="L543" s="46">
        <f t="shared" ref="L543:L545" si="57">J543*H543</f>
        <v>60000</v>
      </c>
    </row>
    <row r="544" spans="2:12" x14ac:dyDescent="0.35">
      <c r="B544" s="147"/>
      <c r="C544" s="148"/>
      <c r="D544" s="149"/>
      <c r="E544" s="150"/>
      <c r="F544" s="151" t="s">
        <v>85</v>
      </c>
      <c r="G544" s="152" t="s">
        <v>497</v>
      </c>
      <c r="H544" s="153">
        <v>1</v>
      </c>
      <c r="I544" s="154" t="s">
        <v>80</v>
      </c>
      <c r="J544" s="74">
        <v>0</v>
      </c>
      <c r="K544" s="51"/>
      <c r="L544" s="46">
        <f t="shared" si="57"/>
        <v>0</v>
      </c>
    </row>
    <row r="545" spans="2:12" x14ac:dyDescent="0.35">
      <c r="B545" s="147"/>
      <c r="C545" s="148"/>
      <c r="D545" s="149"/>
      <c r="E545" s="150"/>
      <c r="F545" s="151" t="s">
        <v>85</v>
      </c>
      <c r="G545" s="152" t="s">
        <v>368</v>
      </c>
      <c r="H545" s="153">
        <v>1</v>
      </c>
      <c r="I545" s="154" t="s">
        <v>80</v>
      </c>
      <c r="J545" s="74">
        <v>35000</v>
      </c>
      <c r="K545" s="51"/>
      <c r="L545" s="46">
        <f t="shared" si="57"/>
        <v>35000</v>
      </c>
    </row>
    <row r="546" spans="2:12" x14ac:dyDescent="0.35">
      <c r="B546" s="147"/>
      <c r="C546" s="148"/>
      <c r="D546" s="149" t="s">
        <v>103</v>
      </c>
      <c r="E546" s="150"/>
      <c r="F546" s="151" t="s">
        <v>381</v>
      </c>
      <c r="G546" s="152"/>
      <c r="H546" s="153">
        <v>7</v>
      </c>
      <c r="I546" s="154" t="s">
        <v>138</v>
      </c>
      <c r="J546" s="74">
        <v>225000</v>
      </c>
      <c r="K546" s="158">
        <f>J546*H546</f>
        <v>1575000</v>
      </c>
      <c r="L546" s="46"/>
    </row>
    <row r="547" spans="2:12" x14ac:dyDescent="0.35">
      <c r="B547" s="147"/>
      <c r="C547" s="148"/>
      <c r="D547" s="149"/>
      <c r="E547" s="150"/>
      <c r="F547" s="151" t="s">
        <v>85</v>
      </c>
      <c r="G547" s="152" t="s">
        <v>366</v>
      </c>
      <c r="H547" s="153">
        <v>670</v>
      </c>
      <c r="I547" s="154" t="s">
        <v>139</v>
      </c>
      <c r="J547" s="74">
        <v>500</v>
      </c>
      <c r="K547" s="129"/>
      <c r="L547" s="46">
        <f t="shared" ref="L547:L551" si="58">J547*H547</f>
        <v>335000</v>
      </c>
    </row>
    <row r="548" spans="2:12" x14ac:dyDescent="0.35">
      <c r="B548" s="147"/>
      <c r="C548" s="148"/>
      <c r="D548" s="149"/>
      <c r="E548" s="150"/>
      <c r="F548" s="151" t="s">
        <v>85</v>
      </c>
      <c r="G548" s="152" t="s">
        <v>374</v>
      </c>
      <c r="H548" s="153">
        <v>2</v>
      </c>
      <c r="I548" s="154" t="s">
        <v>80</v>
      </c>
      <c r="J548" s="74">
        <v>165000</v>
      </c>
      <c r="K548" s="132"/>
      <c r="L548" s="46">
        <f t="shared" si="58"/>
        <v>330000</v>
      </c>
    </row>
    <row r="549" spans="2:12" x14ac:dyDescent="0.35">
      <c r="B549" s="147"/>
      <c r="C549" s="148"/>
      <c r="D549" s="149"/>
      <c r="E549" s="150"/>
      <c r="F549" s="151" t="s">
        <v>85</v>
      </c>
      <c r="G549" s="152" t="s">
        <v>367</v>
      </c>
      <c r="H549" s="153">
        <v>2</v>
      </c>
      <c r="I549" s="154" t="s">
        <v>80</v>
      </c>
      <c r="J549" s="74">
        <v>165000</v>
      </c>
      <c r="K549" s="132"/>
      <c r="L549" s="46">
        <f t="shared" si="58"/>
        <v>330000</v>
      </c>
    </row>
    <row r="550" spans="2:12" x14ac:dyDescent="0.35">
      <c r="B550" s="147"/>
      <c r="C550" s="148"/>
      <c r="D550" s="149"/>
      <c r="E550" s="150"/>
      <c r="F550" s="151" t="s">
        <v>85</v>
      </c>
      <c r="G550" s="152" t="s">
        <v>368</v>
      </c>
      <c r="H550" s="153">
        <v>1</v>
      </c>
      <c r="I550" s="154" t="s">
        <v>80</v>
      </c>
      <c r="J550" s="74">
        <v>35000</v>
      </c>
      <c r="K550" s="51"/>
      <c r="L550" s="46">
        <f t="shared" si="58"/>
        <v>35000</v>
      </c>
    </row>
    <row r="551" spans="2:12" x14ac:dyDescent="0.35">
      <c r="B551" s="147"/>
      <c r="C551" s="148"/>
      <c r="D551" s="149"/>
      <c r="E551" s="150"/>
      <c r="F551" s="151" t="s">
        <v>85</v>
      </c>
      <c r="G551" s="152" t="s">
        <v>331</v>
      </c>
      <c r="H551" s="153">
        <v>4</v>
      </c>
      <c r="I551" s="154" t="s">
        <v>80</v>
      </c>
      <c r="J551" s="74">
        <v>35000</v>
      </c>
      <c r="K551" s="51"/>
      <c r="L551" s="46">
        <f t="shared" si="58"/>
        <v>140000</v>
      </c>
    </row>
    <row r="552" spans="2:12" x14ac:dyDescent="0.35">
      <c r="B552" s="147"/>
      <c r="C552" s="148"/>
      <c r="D552" s="149" t="s">
        <v>104</v>
      </c>
      <c r="E552" s="150"/>
      <c r="F552" s="151" t="s">
        <v>234</v>
      </c>
      <c r="G552" s="152"/>
      <c r="H552" s="153">
        <v>5</v>
      </c>
      <c r="I552" s="154" t="s">
        <v>138</v>
      </c>
      <c r="J552" s="74">
        <v>200000</v>
      </c>
      <c r="K552" s="51">
        <f>J552*H552</f>
        <v>1000000</v>
      </c>
      <c r="L552" s="46"/>
    </row>
    <row r="553" spans="2:12" x14ac:dyDescent="0.35">
      <c r="B553" s="147"/>
      <c r="C553" s="148"/>
      <c r="D553" s="149"/>
      <c r="E553" s="150"/>
      <c r="F553" s="151" t="s">
        <v>85</v>
      </c>
      <c r="G553" s="152" t="s">
        <v>382</v>
      </c>
      <c r="H553" s="153">
        <v>170</v>
      </c>
      <c r="I553" s="154" t="s">
        <v>139</v>
      </c>
      <c r="J553" s="74">
        <v>393</v>
      </c>
      <c r="K553" s="51"/>
      <c r="L553" s="46">
        <f t="shared" ref="L553:L556" si="59">J553*H553</f>
        <v>66810</v>
      </c>
    </row>
    <row r="554" spans="2:12" x14ac:dyDescent="0.35">
      <c r="B554" s="147"/>
      <c r="C554" s="148"/>
      <c r="D554" s="149"/>
      <c r="E554" s="150"/>
      <c r="F554" s="151" t="s">
        <v>85</v>
      </c>
      <c r="G554" s="152" t="s">
        <v>339</v>
      </c>
      <c r="H554" s="153">
        <v>2</v>
      </c>
      <c r="I554" s="154" t="s">
        <v>80</v>
      </c>
      <c r="J554" s="74">
        <v>195000</v>
      </c>
      <c r="K554" s="51"/>
      <c r="L554" s="46">
        <f t="shared" si="59"/>
        <v>390000</v>
      </c>
    </row>
    <row r="555" spans="2:12" x14ac:dyDescent="0.35">
      <c r="B555" s="147"/>
      <c r="C555" s="148"/>
      <c r="D555" s="149"/>
      <c r="E555" s="150"/>
      <c r="F555" s="151" t="s">
        <v>85</v>
      </c>
      <c r="G555" s="152" t="s">
        <v>368</v>
      </c>
      <c r="H555" s="153">
        <v>1</v>
      </c>
      <c r="I555" s="154" t="s">
        <v>80</v>
      </c>
      <c r="J555" s="74">
        <v>35000</v>
      </c>
      <c r="K555" s="51"/>
      <c r="L555" s="46">
        <f t="shared" si="59"/>
        <v>35000</v>
      </c>
    </row>
    <row r="556" spans="2:12" x14ac:dyDescent="0.35">
      <c r="B556" s="147"/>
      <c r="C556" s="148"/>
      <c r="D556" s="149"/>
      <c r="E556" s="150"/>
      <c r="F556" s="151" t="s">
        <v>85</v>
      </c>
      <c r="G556" s="152" t="s">
        <v>331</v>
      </c>
      <c r="H556" s="153">
        <v>4</v>
      </c>
      <c r="I556" s="154" t="s">
        <v>80</v>
      </c>
      <c r="J556" s="74">
        <v>35000</v>
      </c>
      <c r="K556" s="51"/>
      <c r="L556" s="46">
        <f t="shared" si="59"/>
        <v>140000</v>
      </c>
    </row>
    <row r="557" spans="2:12" x14ac:dyDescent="0.35">
      <c r="B557" s="147"/>
      <c r="C557" s="148"/>
      <c r="D557" s="149" t="s">
        <v>105</v>
      </c>
      <c r="E557" s="150"/>
      <c r="F557" s="151" t="s">
        <v>383</v>
      </c>
      <c r="G557" s="152"/>
      <c r="H557" s="153">
        <v>3</v>
      </c>
      <c r="I557" s="154" t="s">
        <v>138</v>
      </c>
      <c r="J557" s="74">
        <v>200000</v>
      </c>
      <c r="K557" s="51">
        <f>J557*H557</f>
        <v>600000</v>
      </c>
      <c r="L557" s="46"/>
    </row>
    <row r="558" spans="2:12" x14ac:dyDescent="0.35">
      <c r="B558" s="147"/>
      <c r="C558" s="148"/>
      <c r="D558" s="149"/>
      <c r="E558" s="150"/>
      <c r="F558" s="151" t="s">
        <v>85</v>
      </c>
      <c r="G558" s="152" t="s">
        <v>382</v>
      </c>
      <c r="H558" s="153">
        <v>120</v>
      </c>
      <c r="I558" s="154" t="s">
        <v>139</v>
      </c>
      <c r="J558" s="74">
        <v>393</v>
      </c>
      <c r="K558" s="51"/>
      <c r="L558" s="46">
        <f t="shared" ref="L558:L561" si="60">J558*H558</f>
        <v>47160</v>
      </c>
    </row>
    <row r="559" spans="2:12" x14ac:dyDescent="0.35">
      <c r="B559" s="147"/>
      <c r="C559" s="148"/>
      <c r="D559" s="149"/>
      <c r="E559" s="150"/>
      <c r="F559" s="151" t="s">
        <v>85</v>
      </c>
      <c r="G559" s="152" t="s">
        <v>339</v>
      </c>
      <c r="H559" s="153">
        <v>1</v>
      </c>
      <c r="I559" s="154" t="s">
        <v>80</v>
      </c>
      <c r="J559" s="74">
        <v>195000</v>
      </c>
      <c r="K559" s="51"/>
      <c r="L559" s="46">
        <f t="shared" si="60"/>
        <v>195000</v>
      </c>
    </row>
    <row r="560" spans="2:12" x14ac:dyDescent="0.35">
      <c r="B560" s="147"/>
      <c r="C560" s="148"/>
      <c r="D560" s="149"/>
      <c r="E560" s="150"/>
      <c r="F560" s="151" t="s">
        <v>85</v>
      </c>
      <c r="G560" s="152" t="s">
        <v>368</v>
      </c>
      <c r="H560" s="153">
        <v>1</v>
      </c>
      <c r="I560" s="154" t="s">
        <v>80</v>
      </c>
      <c r="J560" s="74">
        <v>35000</v>
      </c>
      <c r="K560" s="51"/>
      <c r="L560" s="46">
        <f t="shared" si="60"/>
        <v>35000</v>
      </c>
    </row>
    <row r="561" spans="2:12" x14ac:dyDescent="0.35">
      <c r="B561" s="147"/>
      <c r="C561" s="148"/>
      <c r="D561" s="149"/>
      <c r="E561" s="150"/>
      <c r="F561" s="151" t="s">
        <v>85</v>
      </c>
      <c r="G561" s="152" t="s">
        <v>331</v>
      </c>
      <c r="H561" s="153">
        <v>4</v>
      </c>
      <c r="I561" s="154" t="s">
        <v>80</v>
      </c>
      <c r="J561" s="74">
        <v>35000</v>
      </c>
      <c r="K561" s="51"/>
      <c r="L561" s="46">
        <f t="shared" si="60"/>
        <v>140000</v>
      </c>
    </row>
    <row r="562" spans="2:12" x14ac:dyDescent="0.35">
      <c r="B562" s="147"/>
      <c r="C562" s="148"/>
      <c r="D562" s="149" t="s">
        <v>106</v>
      </c>
      <c r="E562" s="150"/>
      <c r="F562" s="151" t="s">
        <v>384</v>
      </c>
      <c r="G562" s="152"/>
      <c r="H562" s="153">
        <v>8</v>
      </c>
      <c r="I562" s="154" t="s">
        <v>138</v>
      </c>
      <c r="J562" s="74">
        <v>150000</v>
      </c>
      <c r="K562" s="51">
        <f>J562*H562</f>
        <v>1200000</v>
      </c>
      <c r="L562" s="46"/>
    </row>
    <row r="563" spans="2:12" x14ac:dyDescent="0.35">
      <c r="B563" s="147"/>
      <c r="C563" s="148"/>
      <c r="D563" s="149"/>
      <c r="E563" s="150"/>
      <c r="F563" s="151" t="s">
        <v>85</v>
      </c>
      <c r="G563" s="152" t="s">
        <v>385</v>
      </c>
      <c r="H563" s="153">
        <v>740</v>
      </c>
      <c r="I563" s="154" t="s">
        <v>139</v>
      </c>
      <c r="J563" s="74">
        <v>332</v>
      </c>
      <c r="K563" s="51"/>
      <c r="L563" s="46">
        <f>J563*H563</f>
        <v>245680</v>
      </c>
    </row>
    <row r="564" spans="2:12" x14ac:dyDescent="0.35">
      <c r="B564" s="147"/>
      <c r="C564" s="148"/>
      <c r="D564" s="149"/>
      <c r="E564" s="150"/>
      <c r="F564" s="151" t="s">
        <v>85</v>
      </c>
      <c r="G564" s="152" t="s">
        <v>386</v>
      </c>
      <c r="H564" s="153">
        <v>1</v>
      </c>
      <c r="I564" s="154" t="s">
        <v>80</v>
      </c>
      <c r="J564" s="74">
        <v>95000</v>
      </c>
      <c r="K564" s="51"/>
      <c r="L564" s="46">
        <f t="shared" ref="L564:L572" si="61">J564*H564</f>
        <v>95000</v>
      </c>
    </row>
    <row r="565" spans="2:12" x14ac:dyDescent="0.35">
      <c r="B565" s="147"/>
      <c r="C565" s="148"/>
      <c r="D565" s="149"/>
      <c r="E565" s="150"/>
      <c r="F565" s="151" t="s">
        <v>85</v>
      </c>
      <c r="G565" s="152" t="s">
        <v>340</v>
      </c>
      <c r="H565" s="153">
        <v>2</v>
      </c>
      <c r="I565" s="154" t="s">
        <v>80</v>
      </c>
      <c r="J565" s="74">
        <v>165000</v>
      </c>
      <c r="K565" s="51"/>
      <c r="L565" s="46">
        <f t="shared" si="61"/>
        <v>330000</v>
      </c>
    </row>
    <row r="566" spans="2:12" x14ac:dyDescent="0.35">
      <c r="B566" s="147"/>
      <c r="C566" s="148"/>
      <c r="D566" s="149"/>
      <c r="E566" s="150"/>
      <c r="F566" s="151" t="s">
        <v>85</v>
      </c>
      <c r="G566" s="152" t="s">
        <v>387</v>
      </c>
      <c r="H566" s="153">
        <v>2</v>
      </c>
      <c r="I566" s="154" t="s">
        <v>80</v>
      </c>
      <c r="J566" s="74">
        <v>145000</v>
      </c>
      <c r="K566" s="51"/>
      <c r="L566" s="46">
        <f t="shared" si="61"/>
        <v>290000</v>
      </c>
    </row>
    <row r="567" spans="2:12" x14ac:dyDescent="0.35">
      <c r="B567" s="147"/>
      <c r="C567" s="148"/>
      <c r="D567" s="149"/>
      <c r="E567" s="150"/>
      <c r="F567" s="151" t="s">
        <v>85</v>
      </c>
      <c r="G567" s="152" t="s">
        <v>348</v>
      </c>
      <c r="H567" s="153">
        <v>1</v>
      </c>
      <c r="I567" s="154" t="s">
        <v>80</v>
      </c>
      <c r="J567" s="74">
        <v>35000</v>
      </c>
      <c r="K567" s="51"/>
      <c r="L567" s="46">
        <f t="shared" si="61"/>
        <v>35000</v>
      </c>
    </row>
    <row r="568" spans="2:12" x14ac:dyDescent="0.35">
      <c r="B568" s="147"/>
      <c r="C568" s="148"/>
      <c r="D568" s="149"/>
      <c r="E568" s="150"/>
      <c r="F568" s="151" t="s">
        <v>85</v>
      </c>
      <c r="G568" s="152" t="s">
        <v>331</v>
      </c>
      <c r="H568" s="153">
        <v>10</v>
      </c>
      <c r="I568" s="154" t="s">
        <v>80</v>
      </c>
      <c r="J568" s="74">
        <v>35000</v>
      </c>
      <c r="K568" s="51"/>
      <c r="L568" s="46">
        <f t="shared" si="61"/>
        <v>350000</v>
      </c>
    </row>
    <row r="569" spans="2:12" x14ac:dyDescent="0.35">
      <c r="B569" s="147"/>
      <c r="C569" s="148"/>
      <c r="D569" s="149"/>
      <c r="E569" s="150"/>
      <c r="F569" s="151" t="s">
        <v>85</v>
      </c>
      <c r="G569" s="152" t="s">
        <v>388</v>
      </c>
      <c r="H569" s="157">
        <v>9.5782559999999979</v>
      </c>
      <c r="I569" s="154" t="s">
        <v>117</v>
      </c>
      <c r="J569" s="74">
        <v>29000</v>
      </c>
      <c r="K569" s="51"/>
      <c r="L569" s="46">
        <f t="shared" si="61"/>
        <v>277769.42399999994</v>
      </c>
    </row>
    <row r="570" spans="2:12" x14ac:dyDescent="0.35">
      <c r="B570" s="147"/>
      <c r="C570" s="148"/>
      <c r="D570" s="149"/>
      <c r="E570" s="150"/>
      <c r="F570" s="151" t="s">
        <v>85</v>
      </c>
      <c r="G570" s="152" t="s">
        <v>389</v>
      </c>
      <c r="H570" s="157">
        <v>12.057599999999997</v>
      </c>
      <c r="I570" s="154" t="s">
        <v>117</v>
      </c>
      <c r="J570" s="74">
        <v>29000</v>
      </c>
      <c r="K570" s="51"/>
      <c r="L570" s="46">
        <f t="shared" si="61"/>
        <v>349670.39999999991</v>
      </c>
    </row>
    <row r="571" spans="2:12" x14ac:dyDescent="0.35">
      <c r="B571" s="147"/>
      <c r="C571" s="148"/>
      <c r="D571" s="149"/>
      <c r="E571" s="150"/>
      <c r="F571" s="151" t="s">
        <v>85</v>
      </c>
      <c r="G571" s="152" t="s">
        <v>390</v>
      </c>
      <c r="H571" s="157">
        <v>9.0431999999999988</v>
      </c>
      <c r="I571" s="154" t="s">
        <v>117</v>
      </c>
      <c r="J571" s="74">
        <v>29000</v>
      </c>
      <c r="K571" s="51"/>
      <c r="L571" s="46">
        <f t="shared" si="61"/>
        <v>262252.79999999999</v>
      </c>
    </row>
    <row r="572" spans="2:12" x14ac:dyDescent="0.35">
      <c r="B572" s="147"/>
      <c r="C572" s="148"/>
      <c r="D572" s="149"/>
      <c r="E572" s="150"/>
      <c r="F572" s="151" t="s">
        <v>85</v>
      </c>
      <c r="G572" s="152" t="s">
        <v>391</v>
      </c>
      <c r="H572" s="153">
        <v>1</v>
      </c>
      <c r="I572" s="154" t="s">
        <v>80</v>
      </c>
      <c r="J572" s="74">
        <v>35000</v>
      </c>
      <c r="K572" s="51"/>
      <c r="L572" s="46">
        <f t="shared" si="61"/>
        <v>35000</v>
      </c>
    </row>
    <row r="573" spans="2:12" x14ac:dyDescent="0.35">
      <c r="B573" s="147"/>
      <c r="C573" s="148"/>
      <c r="D573" s="149" t="s">
        <v>107</v>
      </c>
      <c r="E573" s="150"/>
      <c r="F573" s="151" t="s">
        <v>226</v>
      </c>
      <c r="G573" s="152"/>
      <c r="H573" s="153">
        <v>5</v>
      </c>
      <c r="I573" s="154" t="s">
        <v>138</v>
      </c>
      <c r="J573" s="74">
        <v>200000</v>
      </c>
      <c r="K573" s="51">
        <f>J573*H573</f>
        <v>1000000</v>
      </c>
      <c r="L573" s="46"/>
    </row>
    <row r="574" spans="2:12" x14ac:dyDescent="0.35">
      <c r="B574" s="147"/>
      <c r="C574" s="148"/>
      <c r="D574" s="149"/>
      <c r="E574" s="150"/>
      <c r="F574" s="151" t="s">
        <v>85</v>
      </c>
      <c r="G574" s="152" t="s">
        <v>382</v>
      </c>
      <c r="H574" s="153">
        <v>120</v>
      </c>
      <c r="I574" s="154" t="s">
        <v>139</v>
      </c>
      <c r="J574" s="74">
        <v>393</v>
      </c>
      <c r="K574" s="51"/>
      <c r="L574" s="46">
        <f t="shared" ref="L574:L577" si="62">J574*H574</f>
        <v>47160</v>
      </c>
    </row>
    <row r="575" spans="2:12" x14ac:dyDescent="0.35">
      <c r="B575" s="147"/>
      <c r="C575" s="148"/>
      <c r="D575" s="149"/>
      <c r="E575" s="150"/>
      <c r="F575" s="151" t="s">
        <v>85</v>
      </c>
      <c r="G575" s="152" t="s">
        <v>339</v>
      </c>
      <c r="H575" s="153">
        <v>2</v>
      </c>
      <c r="I575" s="154" t="s">
        <v>80</v>
      </c>
      <c r="J575" s="74">
        <v>195000</v>
      </c>
      <c r="K575" s="51"/>
      <c r="L575" s="46">
        <f t="shared" si="62"/>
        <v>390000</v>
      </c>
    </row>
    <row r="576" spans="2:12" x14ac:dyDescent="0.35">
      <c r="B576" s="147"/>
      <c r="C576" s="148"/>
      <c r="D576" s="149"/>
      <c r="E576" s="150"/>
      <c r="F576" s="151" t="s">
        <v>85</v>
      </c>
      <c r="G576" s="152" t="s">
        <v>348</v>
      </c>
      <c r="H576" s="153">
        <v>1</v>
      </c>
      <c r="I576" s="154" t="s">
        <v>80</v>
      </c>
      <c r="J576" s="74">
        <v>35000</v>
      </c>
      <c r="K576" s="51"/>
      <c r="L576" s="46">
        <f t="shared" si="62"/>
        <v>35000</v>
      </c>
    </row>
    <row r="577" spans="2:14" x14ac:dyDescent="0.35">
      <c r="B577" s="147"/>
      <c r="C577" s="148"/>
      <c r="D577" s="149"/>
      <c r="E577" s="150"/>
      <c r="F577" s="151" t="s">
        <v>85</v>
      </c>
      <c r="G577" s="152" t="s">
        <v>332</v>
      </c>
      <c r="H577" s="153">
        <v>4</v>
      </c>
      <c r="I577" s="154" t="s">
        <v>80</v>
      </c>
      <c r="J577" s="74">
        <v>35000</v>
      </c>
      <c r="K577" s="51"/>
      <c r="L577" s="46">
        <f t="shared" si="62"/>
        <v>140000</v>
      </c>
    </row>
    <row r="578" spans="2:14" x14ac:dyDescent="0.35">
      <c r="B578" s="147"/>
      <c r="C578" s="148"/>
      <c r="D578" s="149" t="s">
        <v>392</v>
      </c>
      <c r="E578" s="150"/>
      <c r="F578" s="151" t="s">
        <v>393</v>
      </c>
      <c r="G578" s="152"/>
      <c r="H578" s="153">
        <v>5</v>
      </c>
      <c r="I578" s="154" t="s">
        <v>138</v>
      </c>
      <c r="J578" s="74">
        <v>200000</v>
      </c>
      <c r="K578" s="51">
        <f>J578*H578</f>
        <v>1000000</v>
      </c>
      <c r="L578" s="46"/>
    </row>
    <row r="579" spans="2:14" x14ac:dyDescent="0.35">
      <c r="B579" s="147"/>
      <c r="C579" s="148"/>
      <c r="D579" s="149"/>
      <c r="E579" s="150"/>
      <c r="F579" s="151" t="s">
        <v>85</v>
      </c>
      <c r="G579" s="152" t="s">
        <v>382</v>
      </c>
      <c r="H579" s="153">
        <v>120</v>
      </c>
      <c r="I579" s="154" t="s">
        <v>139</v>
      </c>
      <c r="J579" s="74">
        <v>393</v>
      </c>
      <c r="K579" s="51"/>
      <c r="L579" s="46">
        <f t="shared" ref="L579:L580" si="63">J579*H579</f>
        <v>47160</v>
      </c>
      <c r="M579" s="159"/>
    </row>
    <row r="580" spans="2:14" x14ac:dyDescent="0.35">
      <c r="B580" s="147"/>
      <c r="C580" s="148"/>
      <c r="D580" s="149"/>
      <c r="E580" s="150"/>
      <c r="F580" s="151" t="s">
        <v>85</v>
      </c>
      <c r="G580" s="152" t="s">
        <v>339</v>
      </c>
      <c r="H580" s="153">
        <v>2</v>
      </c>
      <c r="I580" s="154" t="s">
        <v>80</v>
      </c>
      <c r="J580" s="74">
        <v>195000</v>
      </c>
      <c r="K580" s="51"/>
      <c r="L580" s="46">
        <f t="shared" si="63"/>
        <v>390000</v>
      </c>
      <c r="M580" s="159"/>
    </row>
    <row r="581" spans="2:14" x14ac:dyDescent="0.35">
      <c r="B581" s="147"/>
      <c r="C581" s="148"/>
      <c r="D581" s="149"/>
      <c r="E581" s="150"/>
      <c r="F581" s="151"/>
      <c r="G581" s="152"/>
      <c r="H581" s="153"/>
      <c r="I581" s="154"/>
      <c r="J581" s="92"/>
      <c r="K581" s="58"/>
      <c r="L581" s="29"/>
      <c r="M581" s="159"/>
      <c r="N581" s="159"/>
    </row>
    <row r="582" spans="2:14" x14ac:dyDescent="0.35">
      <c r="B582" s="8"/>
      <c r="C582" s="9"/>
      <c r="D582" s="10"/>
      <c r="E582" s="4"/>
      <c r="F582" s="4"/>
      <c r="G582" s="4"/>
      <c r="H582" s="1"/>
      <c r="I582" s="1"/>
      <c r="J582" s="11" t="s">
        <v>8</v>
      </c>
      <c r="K582" s="7">
        <f>SUM(K524:K581)</f>
        <v>9975000</v>
      </c>
      <c r="L582" s="7">
        <f>SUM(L524:L581)</f>
        <v>7173662.6239999989</v>
      </c>
    </row>
    <row r="583" spans="2:14" x14ac:dyDescent="0.35">
      <c r="B583" s="8"/>
      <c r="C583" s="9"/>
      <c r="D583" s="9"/>
      <c r="E583" s="4"/>
      <c r="F583" s="4"/>
      <c r="G583" s="4"/>
      <c r="H583" s="1"/>
      <c r="I583" s="1"/>
      <c r="J583" s="11"/>
      <c r="K583" s="35" t="s">
        <v>12</v>
      </c>
      <c r="L583" s="36" t="s">
        <v>13</v>
      </c>
    </row>
    <row r="584" spans="2:14" x14ac:dyDescent="0.35">
      <c r="B584" s="3" t="s">
        <v>9</v>
      </c>
      <c r="C584" s="4"/>
      <c r="D584" s="4"/>
      <c r="E584" s="4"/>
      <c r="F584" s="4"/>
      <c r="G584" s="4"/>
      <c r="H584" s="1"/>
      <c r="I584" s="1"/>
      <c r="J584" s="12"/>
      <c r="K584" s="12"/>
      <c r="L584" s="13"/>
    </row>
    <row r="585" spans="2:14" x14ac:dyDescent="0.35">
      <c r="B585" s="37"/>
      <c r="C585" s="1"/>
      <c r="D585" s="1"/>
      <c r="E585" s="38"/>
      <c r="F585" s="38"/>
      <c r="G585" s="38"/>
      <c r="H585" s="1"/>
      <c r="I585" s="1"/>
      <c r="J585" s="1"/>
      <c r="K585" s="1"/>
      <c r="L585" s="19"/>
    </row>
    <row r="586" spans="2:14" x14ac:dyDescent="0.35">
      <c r="B586" s="28" t="s">
        <v>6</v>
      </c>
      <c r="C586" s="27"/>
      <c r="D586" s="27"/>
      <c r="E586" s="26"/>
      <c r="F586" s="26"/>
      <c r="G586" s="5"/>
      <c r="K586" s="301" t="s">
        <v>27</v>
      </c>
      <c r="L586" s="302"/>
    </row>
    <row r="587" spans="2:14" x14ac:dyDescent="0.35">
      <c r="B587" s="28">
        <v>1</v>
      </c>
      <c r="C587" s="27"/>
      <c r="D587" s="27"/>
      <c r="E587" s="26" t="s">
        <v>7</v>
      </c>
      <c r="F587" s="26"/>
      <c r="G587" s="5"/>
      <c r="K587" s="301" t="s">
        <v>17</v>
      </c>
      <c r="L587" s="302"/>
    </row>
    <row r="588" spans="2:14" x14ac:dyDescent="0.35">
      <c r="B588" s="39"/>
      <c r="C588" s="27"/>
      <c r="D588" s="27"/>
      <c r="E588" s="26"/>
      <c r="F588" s="26"/>
      <c r="G588" s="5"/>
      <c r="J588" s="25"/>
      <c r="K588" s="25"/>
      <c r="L588" s="24"/>
    </row>
    <row r="589" spans="2:14" x14ac:dyDescent="0.35">
      <c r="B589" s="28"/>
      <c r="C589" s="27"/>
      <c r="D589" s="27"/>
      <c r="E589" s="26"/>
      <c r="F589" s="26"/>
      <c r="G589" s="5"/>
      <c r="L589" s="22"/>
    </row>
    <row r="590" spans="2:14" x14ac:dyDescent="0.35">
      <c r="B590" s="45"/>
      <c r="E590" s="5"/>
      <c r="F590" s="5"/>
      <c r="G590" s="5"/>
      <c r="L590" s="22"/>
    </row>
    <row r="591" spans="2:14" x14ac:dyDescent="0.35">
      <c r="B591" s="45"/>
      <c r="E591" s="5"/>
      <c r="F591" s="5"/>
      <c r="G591" s="5"/>
      <c r="L591" s="22"/>
    </row>
    <row r="592" spans="2:14" x14ac:dyDescent="0.35">
      <c r="B592" s="45"/>
      <c r="E592" s="5"/>
      <c r="F592" s="5"/>
      <c r="G592" s="5"/>
      <c r="L592" s="22"/>
    </row>
    <row r="593" spans="2:13" x14ac:dyDescent="0.35">
      <c r="B593" s="45"/>
      <c r="E593" s="5"/>
      <c r="F593" s="5"/>
      <c r="G593" s="5"/>
      <c r="J593" s="40"/>
      <c r="K593" s="303" t="s">
        <v>25</v>
      </c>
      <c r="L593" s="304"/>
    </row>
    <row r="594" spans="2:13" x14ac:dyDescent="0.35">
      <c r="B594" s="45"/>
      <c r="K594" s="289" t="s">
        <v>26</v>
      </c>
      <c r="L594" s="290"/>
    </row>
    <row r="595" spans="2:13" x14ac:dyDescent="0.35">
      <c r="B595" s="305"/>
      <c r="C595" s="306"/>
      <c r="D595" s="306"/>
      <c r="E595" s="41"/>
      <c r="F595" s="41"/>
      <c r="G595" s="41"/>
      <c r="H595" s="2"/>
      <c r="I595" s="2"/>
      <c r="J595" s="2"/>
      <c r="K595" s="2"/>
      <c r="L595" s="21"/>
    </row>
    <row r="596" spans="2:13" x14ac:dyDescent="0.35">
      <c r="B596" s="47"/>
      <c r="C596" s="48"/>
      <c r="D596" s="49"/>
      <c r="G596" s="22"/>
      <c r="H596" s="1"/>
      <c r="I596" s="1"/>
      <c r="J596" s="43"/>
      <c r="K596" s="30"/>
      <c r="L596" s="44"/>
    </row>
    <row r="597" spans="2:13" x14ac:dyDescent="0.35">
      <c r="B597" s="147"/>
      <c r="C597" s="148"/>
      <c r="D597" s="149"/>
      <c r="E597" s="150"/>
      <c r="F597" s="151" t="s">
        <v>85</v>
      </c>
      <c r="G597" s="152" t="s">
        <v>348</v>
      </c>
      <c r="H597" s="153">
        <v>1</v>
      </c>
      <c r="I597" s="154" t="s">
        <v>80</v>
      </c>
      <c r="J597" s="74">
        <v>35000</v>
      </c>
      <c r="K597" s="51"/>
      <c r="L597" s="46">
        <f t="shared" ref="L597:L598" si="64">J597*H597</f>
        <v>35000</v>
      </c>
    </row>
    <row r="598" spans="2:13" s="34" customFormat="1" x14ac:dyDescent="0.35">
      <c r="B598" s="147"/>
      <c r="C598" s="148"/>
      <c r="D598" s="149"/>
      <c r="E598" s="150"/>
      <c r="F598" s="151" t="s">
        <v>85</v>
      </c>
      <c r="G598" s="152" t="s">
        <v>332</v>
      </c>
      <c r="H598" s="153">
        <v>4</v>
      </c>
      <c r="I598" s="154" t="s">
        <v>80</v>
      </c>
      <c r="J598" s="74">
        <v>35000</v>
      </c>
      <c r="K598" s="51"/>
      <c r="L598" s="46">
        <f t="shared" si="64"/>
        <v>140000</v>
      </c>
    </row>
    <row r="599" spans="2:13" x14ac:dyDescent="0.35">
      <c r="B599" s="147"/>
      <c r="C599" s="148"/>
      <c r="D599" s="149" t="s">
        <v>394</v>
      </c>
      <c r="E599" s="150"/>
      <c r="F599" s="151" t="s">
        <v>395</v>
      </c>
      <c r="G599" s="152"/>
      <c r="H599" s="153">
        <v>5</v>
      </c>
      <c r="I599" s="154" t="s">
        <v>138</v>
      </c>
      <c r="J599" s="65">
        <v>270000</v>
      </c>
      <c r="K599" s="58">
        <f>J599*H599</f>
        <v>1350000</v>
      </c>
      <c r="L599" s="46"/>
    </row>
    <row r="600" spans="2:13" x14ac:dyDescent="0.35">
      <c r="B600" s="147"/>
      <c r="C600" s="148"/>
      <c r="D600" s="149"/>
      <c r="E600" s="150"/>
      <c r="F600" s="151" t="s">
        <v>85</v>
      </c>
      <c r="G600" s="152" t="s">
        <v>396</v>
      </c>
      <c r="H600" s="153">
        <v>100</v>
      </c>
      <c r="I600" s="154" t="s">
        <v>139</v>
      </c>
      <c r="J600" s="74">
        <v>595</v>
      </c>
      <c r="K600" s="51"/>
      <c r="L600" s="46">
        <f t="shared" ref="L600:L606" si="65">J600*H600</f>
        <v>59500</v>
      </c>
    </row>
    <row r="601" spans="2:13" x14ac:dyDescent="0.35">
      <c r="B601" s="147"/>
      <c r="C601" s="148"/>
      <c r="D601" s="149"/>
      <c r="E601" s="150"/>
      <c r="F601" s="151" t="s">
        <v>85</v>
      </c>
      <c r="G601" s="152" t="s">
        <v>397</v>
      </c>
      <c r="H601" s="153">
        <v>1</v>
      </c>
      <c r="I601" s="154" t="s">
        <v>80</v>
      </c>
      <c r="J601" s="74">
        <v>210000</v>
      </c>
      <c r="K601" s="51"/>
      <c r="L601" s="46">
        <f t="shared" si="65"/>
        <v>210000</v>
      </c>
    </row>
    <row r="602" spans="2:13" x14ac:dyDescent="0.35">
      <c r="B602" s="147"/>
      <c r="C602" s="148"/>
      <c r="D602" s="149"/>
      <c r="E602" s="150"/>
      <c r="F602" s="151" t="s">
        <v>85</v>
      </c>
      <c r="G602" s="152" t="s">
        <v>329</v>
      </c>
      <c r="H602" s="153">
        <v>1</v>
      </c>
      <c r="I602" s="154" t="s">
        <v>80</v>
      </c>
      <c r="J602" s="74">
        <v>35000</v>
      </c>
      <c r="K602" s="51"/>
      <c r="L602" s="46">
        <f t="shared" si="65"/>
        <v>35000</v>
      </c>
    </row>
    <row r="603" spans="2:13" x14ac:dyDescent="0.35">
      <c r="B603" s="147"/>
      <c r="C603" s="148"/>
      <c r="D603" s="149"/>
      <c r="E603" s="150"/>
      <c r="F603" s="151" t="s">
        <v>85</v>
      </c>
      <c r="G603" s="152" t="s">
        <v>398</v>
      </c>
      <c r="H603" s="157">
        <v>10.399679999999998</v>
      </c>
      <c r="I603" s="154" t="s">
        <v>117</v>
      </c>
      <c r="J603" s="74">
        <v>29000</v>
      </c>
      <c r="K603" s="51"/>
      <c r="L603" s="46">
        <f t="shared" si="65"/>
        <v>301590.71999999997</v>
      </c>
    </row>
    <row r="604" spans="2:13" x14ac:dyDescent="0.35">
      <c r="B604" s="147"/>
      <c r="C604" s="148"/>
      <c r="D604" s="149"/>
      <c r="E604" s="150"/>
      <c r="F604" s="151" t="s">
        <v>85</v>
      </c>
      <c r="G604" s="152" t="s">
        <v>399</v>
      </c>
      <c r="H604" s="157">
        <v>13.866239999999999</v>
      </c>
      <c r="I604" s="154" t="s">
        <v>117</v>
      </c>
      <c r="J604" s="74">
        <v>29000</v>
      </c>
      <c r="K604" s="51"/>
      <c r="L604" s="46">
        <f t="shared" si="65"/>
        <v>402120.95999999996</v>
      </c>
    </row>
    <row r="605" spans="2:13" x14ac:dyDescent="0.35">
      <c r="B605" s="147"/>
      <c r="C605" s="148"/>
      <c r="D605" s="149"/>
      <c r="E605" s="150"/>
      <c r="F605" s="151" t="s">
        <v>85</v>
      </c>
      <c r="G605" s="152" t="s">
        <v>390</v>
      </c>
      <c r="H605" s="157">
        <v>9.0431999999999988</v>
      </c>
      <c r="I605" s="154" t="s">
        <v>117</v>
      </c>
      <c r="J605" s="74">
        <v>29000</v>
      </c>
      <c r="K605" s="51"/>
      <c r="L605" s="46">
        <f t="shared" si="65"/>
        <v>262252.79999999999</v>
      </c>
    </row>
    <row r="606" spans="2:13" x14ac:dyDescent="0.35">
      <c r="B606" s="147"/>
      <c r="C606" s="148"/>
      <c r="D606" s="149"/>
      <c r="E606" s="150"/>
      <c r="F606" s="151" t="s">
        <v>85</v>
      </c>
      <c r="G606" s="152" t="s">
        <v>400</v>
      </c>
      <c r="H606" s="153">
        <v>140</v>
      </c>
      <c r="I606" s="154" t="s">
        <v>139</v>
      </c>
      <c r="J606" s="74">
        <v>393</v>
      </c>
      <c r="K606" s="51"/>
      <c r="L606" s="46">
        <f t="shared" si="65"/>
        <v>55020</v>
      </c>
      <c r="M606" s="159"/>
    </row>
    <row r="607" spans="2:13" x14ac:dyDescent="0.35">
      <c r="B607" s="147"/>
      <c r="C607" s="148"/>
      <c r="D607" s="149" t="s">
        <v>401</v>
      </c>
      <c r="E607" s="150"/>
      <c r="F607" s="151" t="s">
        <v>402</v>
      </c>
      <c r="G607" s="152"/>
      <c r="H607" s="153">
        <v>6</v>
      </c>
      <c r="I607" s="154" t="s">
        <v>138</v>
      </c>
      <c r="J607" s="65">
        <v>150000</v>
      </c>
      <c r="K607" s="51">
        <f>J607*H607</f>
        <v>900000</v>
      </c>
      <c r="L607" s="46"/>
      <c r="M607" s="159"/>
    </row>
    <row r="608" spans="2:13" x14ac:dyDescent="0.35">
      <c r="B608" s="147"/>
      <c r="C608" s="148"/>
      <c r="D608" s="149"/>
      <c r="E608" s="150"/>
      <c r="F608" s="151" t="s">
        <v>85</v>
      </c>
      <c r="G608" s="152" t="s">
        <v>385</v>
      </c>
      <c r="H608" s="153">
        <v>680</v>
      </c>
      <c r="I608" s="154" t="s">
        <v>139</v>
      </c>
      <c r="J608" s="65">
        <v>332</v>
      </c>
      <c r="K608" s="58"/>
      <c r="L608" s="46">
        <f t="shared" ref="L608:L613" si="66">J608*H608</f>
        <v>225760</v>
      </c>
      <c r="M608" s="159"/>
    </row>
    <row r="609" spans="2:15" x14ac:dyDescent="0.35">
      <c r="B609" s="147"/>
      <c r="C609" s="148"/>
      <c r="D609" s="149"/>
      <c r="E609" s="150"/>
      <c r="F609" s="151" t="s">
        <v>85</v>
      </c>
      <c r="G609" s="152" t="s">
        <v>403</v>
      </c>
      <c r="H609" s="153">
        <v>1</v>
      </c>
      <c r="I609" s="154" t="s">
        <v>80</v>
      </c>
      <c r="J609" s="74">
        <v>145000</v>
      </c>
      <c r="K609" s="51"/>
      <c r="L609" s="46">
        <f t="shared" si="66"/>
        <v>145000</v>
      </c>
      <c r="M609" s="159"/>
    </row>
    <row r="610" spans="2:15" s="34" customFormat="1" x14ac:dyDescent="0.35">
      <c r="B610" s="160"/>
      <c r="C610" s="161"/>
      <c r="D610" s="162"/>
      <c r="E610" s="163"/>
      <c r="F610" s="164" t="s">
        <v>85</v>
      </c>
      <c r="G610" s="165" t="s">
        <v>404</v>
      </c>
      <c r="H610" s="166">
        <v>1</v>
      </c>
      <c r="I610" s="167" t="s">
        <v>80</v>
      </c>
      <c r="J610" s="65">
        <v>90000</v>
      </c>
      <c r="K610" s="51"/>
      <c r="L610" s="46">
        <f t="shared" si="66"/>
        <v>90000</v>
      </c>
      <c r="M610" s="288"/>
    </row>
    <row r="611" spans="2:15" x14ac:dyDescent="0.35">
      <c r="B611" s="147"/>
      <c r="C611" s="148"/>
      <c r="D611" s="149"/>
      <c r="E611" s="150"/>
      <c r="F611" s="151" t="s">
        <v>85</v>
      </c>
      <c r="G611" s="152" t="s">
        <v>340</v>
      </c>
      <c r="H611" s="153">
        <v>2</v>
      </c>
      <c r="I611" s="154" t="s">
        <v>80</v>
      </c>
      <c r="J611" s="74">
        <v>165000</v>
      </c>
      <c r="K611" s="51"/>
      <c r="L611" s="46">
        <f t="shared" si="66"/>
        <v>330000</v>
      </c>
      <c r="M611" s="159"/>
      <c r="N611" s="159"/>
      <c r="O611" s="168"/>
    </row>
    <row r="612" spans="2:15" x14ac:dyDescent="0.35">
      <c r="B612" s="147"/>
      <c r="C612" s="148"/>
      <c r="D612" s="149"/>
      <c r="E612" s="150"/>
      <c r="F612" s="151" t="s">
        <v>85</v>
      </c>
      <c r="G612" s="152" t="s">
        <v>348</v>
      </c>
      <c r="H612" s="153">
        <v>1</v>
      </c>
      <c r="I612" s="154" t="s">
        <v>80</v>
      </c>
      <c r="J612" s="74">
        <v>35000</v>
      </c>
      <c r="K612" s="51"/>
      <c r="L612" s="46">
        <f t="shared" si="66"/>
        <v>35000</v>
      </c>
    </row>
    <row r="613" spans="2:15" x14ac:dyDescent="0.35">
      <c r="B613" s="147"/>
      <c r="C613" s="148"/>
      <c r="D613" s="149"/>
      <c r="E613" s="150"/>
      <c r="F613" s="151" t="s">
        <v>85</v>
      </c>
      <c r="G613" s="152" t="s">
        <v>332</v>
      </c>
      <c r="H613" s="153">
        <v>4</v>
      </c>
      <c r="I613" s="154" t="s">
        <v>80</v>
      </c>
      <c r="J613" s="74">
        <v>35000</v>
      </c>
      <c r="K613" s="51"/>
      <c r="L613" s="46">
        <f t="shared" si="66"/>
        <v>140000</v>
      </c>
      <c r="M613" s="159"/>
    </row>
    <row r="614" spans="2:15" x14ac:dyDescent="0.35">
      <c r="B614" s="147"/>
      <c r="C614" s="148"/>
      <c r="D614" s="149" t="s">
        <v>405</v>
      </c>
      <c r="E614" s="150"/>
      <c r="F614" s="151" t="s">
        <v>225</v>
      </c>
      <c r="G614" s="152"/>
      <c r="H614" s="153">
        <v>11</v>
      </c>
      <c r="I614" s="154" t="s">
        <v>138</v>
      </c>
      <c r="J614" s="65">
        <v>150000</v>
      </c>
      <c r="K614" s="51">
        <f>J614*H614</f>
        <v>1650000</v>
      </c>
      <c r="L614" s="46"/>
      <c r="M614" s="159"/>
    </row>
    <row r="615" spans="2:15" x14ac:dyDescent="0.35">
      <c r="B615" s="147"/>
      <c r="C615" s="148"/>
      <c r="D615" s="149"/>
      <c r="E615" s="150"/>
      <c r="F615" s="151" t="s">
        <v>85</v>
      </c>
      <c r="G615" s="152" t="s">
        <v>385</v>
      </c>
      <c r="H615" s="153">
        <v>420</v>
      </c>
      <c r="I615" s="154" t="s">
        <v>139</v>
      </c>
      <c r="J615" s="65">
        <v>332</v>
      </c>
      <c r="K615" s="58"/>
      <c r="L615" s="46">
        <f t="shared" ref="L615:L622" si="67">J615*H615</f>
        <v>139440</v>
      </c>
      <c r="M615" s="159"/>
      <c r="N615" s="159"/>
      <c r="O615" s="168"/>
    </row>
    <row r="616" spans="2:15" x14ac:dyDescent="0.35">
      <c r="B616" s="147"/>
      <c r="C616" s="148"/>
      <c r="D616" s="149"/>
      <c r="E616" s="150"/>
      <c r="F616" s="151" t="s">
        <v>85</v>
      </c>
      <c r="G616" s="152" t="s">
        <v>386</v>
      </c>
      <c r="H616" s="153">
        <v>2</v>
      </c>
      <c r="I616" s="154" t="s">
        <v>80</v>
      </c>
      <c r="J616" s="74">
        <v>95000</v>
      </c>
      <c r="K616" s="51"/>
      <c r="L616" s="46">
        <f t="shared" si="67"/>
        <v>190000</v>
      </c>
    </row>
    <row r="617" spans="2:15" x14ac:dyDescent="0.35">
      <c r="B617" s="147"/>
      <c r="C617" s="148"/>
      <c r="D617" s="149"/>
      <c r="E617" s="150"/>
      <c r="F617" s="151" t="s">
        <v>85</v>
      </c>
      <c r="G617" s="152" t="s">
        <v>340</v>
      </c>
      <c r="H617" s="153">
        <v>2</v>
      </c>
      <c r="I617" s="154" t="s">
        <v>80</v>
      </c>
      <c r="J617" s="74">
        <v>165000</v>
      </c>
      <c r="K617" s="51"/>
      <c r="L617" s="46">
        <f t="shared" si="67"/>
        <v>330000</v>
      </c>
      <c r="M617" s="159"/>
    </row>
    <row r="618" spans="2:15" x14ac:dyDescent="0.35">
      <c r="B618" s="147"/>
      <c r="C618" s="148"/>
      <c r="D618" s="149"/>
      <c r="E618" s="150"/>
      <c r="F618" s="151" t="s">
        <v>85</v>
      </c>
      <c r="G618" s="152" t="s">
        <v>175</v>
      </c>
      <c r="H618" s="153">
        <v>1</v>
      </c>
      <c r="I618" s="154" t="s">
        <v>80</v>
      </c>
      <c r="J618" s="74">
        <v>145000</v>
      </c>
      <c r="K618" s="51"/>
      <c r="L618" s="46">
        <f t="shared" si="67"/>
        <v>145000</v>
      </c>
      <c r="M618" s="159"/>
    </row>
    <row r="619" spans="2:15" x14ac:dyDescent="0.35">
      <c r="B619" s="147"/>
      <c r="C619" s="148"/>
      <c r="D619" s="149"/>
      <c r="E619" s="150"/>
      <c r="F619" s="151" t="s">
        <v>85</v>
      </c>
      <c r="G619" s="152" t="s">
        <v>348</v>
      </c>
      <c r="H619" s="153">
        <v>1</v>
      </c>
      <c r="I619" s="154" t="s">
        <v>80</v>
      </c>
      <c r="J619" s="74">
        <v>35000</v>
      </c>
      <c r="K619" s="51"/>
      <c r="L619" s="46">
        <f t="shared" si="67"/>
        <v>35000</v>
      </c>
      <c r="M619" s="159"/>
      <c r="N619" s="159"/>
      <c r="O619" s="168"/>
    </row>
    <row r="620" spans="2:15" x14ac:dyDescent="0.35">
      <c r="B620" s="147"/>
      <c r="C620" s="148"/>
      <c r="D620" s="149"/>
      <c r="E620" s="150"/>
      <c r="F620" s="151" t="s">
        <v>85</v>
      </c>
      <c r="G620" s="152" t="s">
        <v>406</v>
      </c>
      <c r="H620" s="153">
        <v>1</v>
      </c>
      <c r="I620" s="154" t="s">
        <v>80</v>
      </c>
      <c r="J620" s="74">
        <v>35000</v>
      </c>
      <c r="K620" s="51"/>
      <c r="L620" s="46">
        <f t="shared" si="67"/>
        <v>35000</v>
      </c>
    </row>
    <row r="621" spans="2:15" x14ac:dyDescent="0.35">
      <c r="B621" s="147"/>
      <c r="C621" s="148"/>
      <c r="D621" s="149"/>
      <c r="E621" s="150"/>
      <c r="F621" s="151" t="s">
        <v>85</v>
      </c>
      <c r="G621" s="152" t="s">
        <v>331</v>
      </c>
      <c r="H621" s="153">
        <v>4</v>
      </c>
      <c r="I621" s="154" t="s">
        <v>80</v>
      </c>
      <c r="J621" s="74">
        <v>35000</v>
      </c>
      <c r="K621" s="51"/>
      <c r="L621" s="46">
        <f t="shared" si="67"/>
        <v>140000</v>
      </c>
    </row>
    <row r="622" spans="2:15" x14ac:dyDescent="0.35">
      <c r="B622" s="147"/>
      <c r="C622" s="148"/>
      <c r="D622" s="149"/>
      <c r="E622" s="150"/>
      <c r="F622" s="151" t="s">
        <v>85</v>
      </c>
      <c r="G622" s="152" t="s">
        <v>334</v>
      </c>
      <c r="H622" s="153">
        <v>2</v>
      </c>
      <c r="I622" s="154" t="s">
        <v>80</v>
      </c>
      <c r="J622" s="74">
        <v>35000</v>
      </c>
      <c r="K622" s="51"/>
      <c r="L622" s="46">
        <f t="shared" si="67"/>
        <v>70000</v>
      </c>
    </row>
    <row r="623" spans="2:15" x14ac:dyDescent="0.35">
      <c r="B623" s="147"/>
      <c r="C623" s="148"/>
      <c r="D623" s="149" t="s">
        <v>407</v>
      </c>
      <c r="E623" s="150"/>
      <c r="F623" s="151" t="s">
        <v>235</v>
      </c>
      <c r="G623" s="152"/>
      <c r="H623" s="153">
        <v>11</v>
      </c>
      <c r="I623" s="154" t="s">
        <v>138</v>
      </c>
      <c r="J623" s="74">
        <v>100000</v>
      </c>
      <c r="K623" s="51">
        <f>J623*H623</f>
        <v>1100000</v>
      </c>
      <c r="L623" s="46"/>
    </row>
    <row r="624" spans="2:15" x14ac:dyDescent="0.35">
      <c r="B624" s="147"/>
      <c r="C624" s="148"/>
      <c r="D624" s="149"/>
      <c r="E624" s="150"/>
      <c r="F624" s="151" t="s">
        <v>85</v>
      </c>
      <c r="G624" s="152" t="s">
        <v>408</v>
      </c>
      <c r="H624" s="153">
        <v>660</v>
      </c>
      <c r="I624" s="154" t="s">
        <v>139</v>
      </c>
      <c r="J624" s="74">
        <v>297</v>
      </c>
      <c r="K624" s="51"/>
      <c r="L624" s="46">
        <f t="shared" ref="L624:L629" si="68">J624*H624</f>
        <v>196020</v>
      </c>
    </row>
    <row r="625" spans="2:13" x14ac:dyDescent="0.35">
      <c r="B625" s="147"/>
      <c r="C625" s="148"/>
      <c r="D625" s="149"/>
      <c r="E625" s="150"/>
      <c r="F625" s="151" t="s">
        <v>85</v>
      </c>
      <c r="G625" s="152" t="s">
        <v>409</v>
      </c>
      <c r="H625" s="153">
        <v>2</v>
      </c>
      <c r="I625" s="154" t="s">
        <v>80</v>
      </c>
      <c r="J625" s="74">
        <v>90000</v>
      </c>
      <c r="K625" s="51"/>
      <c r="L625" s="46">
        <f t="shared" si="68"/>
        <v>180000</v>
      </c>
    </row>
    <row r="626" spans="2:13" x14ac:dyDescent="0.35">
      <c r="B626" s="147"/>
      <c r="C626" s="148"/>
      <c r="D626" s="149"/>
      <c r="E626" s="150"/>
      <c r="F626" s="151" t="s">
        <v>85</v>
      </c>
      <c r="G626" s="152" t="s">
        <v>410</v>
      </c>
      <c r="H626" s="153">
        <v>3</v>
      </c>
      <c r="I626" s="154" t="s">
        <v>80</v>
      </c>
      <c r="J626" s="74">
        <v>125000</v>
      </c>
      <c r="K626" s="51"/>
      <c r="L626" s="46">
        <f t="shared" si="68"/>
        <v>375000</v>
      </c>
    </row>
    <row r="627" spans="2:13" x14ac:dyDescent="0.35">
      <c r="B627" s="147"/>
      <c r="C627" s="148"/>
      <c r="D627" s="149"/>
      <c r="E627" s="150"/>
      <c r="F627" s="151" t="s">
        <v>85</v>
      </c>
      <c r="G627" s="152" t="s">
        <v>411</v>
      </c>
      <c r="H627" s="153">
        <v>1</v>
      </c>
      <c r="I627" s="154" t="s">
        <v>80</v>
      </c>
      <c r="J627" s="74">
        <v>35000</v>
      </c>
      <c r="K627" s="51"/>
      <c r="L627" s="46">
        <f t="shared" si="68"/>
        <v>35000</v>
      </c>
    </row>
    <row r="628" spans="2:13" s="34" customFormat="1" x14ac:dyDescent="0.35">
      <c r="B628" s="147"/>
      <c r="C628" s="148"/>
      <c r="D628" s="149"/>
      <c r="E628" s="150"/>
      <c r="F628" s="151" t="s">
        <v>85</v>
      </c>
      <c r="G628" s="152" t="s">
        <v>412</v>
      </c>
      <c r="H628" s="153">
        <v>4</v>
      </c>
      <c r="I628" s="154" t="s">
        <v>80</v>
      </c>
      <c r="J628" s="74">
        <v>35000</v>
      </c>
      <c r="K628" s="51"/>
      <c r="L628" s="46">
        <f t="shared" si="68"/>
        <v>140000</v>
      </c>
    </row>
    <row r="629" spans="2:13" x14ac:dyDescent="0.35">
      <c r="B629" s="147"/>
      <c r="C629" s="148"/>
      <c r="D629" s="149"/>
      <c r="E629" s="150"/>
      <c r="F629" s="151" t="s">
        <v>85</v>
      </c>
      <c r="G629" s="152" t="s">
        <v>413</v>
      </c>
      <c r="H629" s="153">
        <v>1</v>
      </c>
      <c r="I629" s="154" t="s">
        <v>80</v>
      </c>
      <c r="J629" s="74">
        <v>35000</v>
      </c>
      <c r="K629" s="51"/>
      <c r="L629" s="46">
        <f t="shared" si="68"/>
        <v>35000</v>
      </c>
    </row>
    <row r="630" spans="2:13" x14ac:dyDescent="0.35">
      <c r="B630" s="147"/>
      <c r="C630" s="148"/>
      <c r="D630" s="149" t="s">
        <v>414</v>
      </c>
      <c r="E630" s="150"/>
      <c r="F630" s="151" t="s">
        <v>236</v>
      </c>
      <c r="G630" s="152"/>
      <c r="H630" s="153">
        <v>11</v>
      </c>
      <c r="I630" s="154" t="s">
        <v>138</v>
      </c>
      <c r="J630" s="74">
        <v>100000</v>
      </c>
      <c r="K630" s="51">
        <f>J630*H630</f>
        <v>1100000</v>
      </c>
      <c r="L630" s="46"/>
    </row>
    <row r="631" spans="2:13" s="34" customFormat="1" x14ac:dyDescent="0.35">
      <c r="B631" s="147"/>
      <c r="C631" s="148"/>
      <c r="D631" s="149"/>
      <c r="E631" s="150"/>
      <c r="F631" s="151" t="s">
        <v>85</v>
      </c>
      <c r="G631" s="152" t="s">
        <v>408</v>
      </c>
      <c r="H631" s="153">
        <v>640</v>
      </c>
      <c r="I631" s="154" t="s">
        <v>139</v>
      </c>
      <c r="J631" s="74">
        <v>297</v>
      </c>
      <c r="K631" s="51"/>
      <c r="L631" s="46">
        <f t="shared" ref="L631:L637" si="69">J631*H631</f>
        <v>190080</v>
      </c>
    </row>
    <row r="632" spans="2:13" s="34" customFormat="1" x14ac:dyDescent="0.35">
      <c r="B632" s="147"/>
      <c r="C632" s="148"/>
      <c r="D632" s="149"/>
      <c r="E632" s="150"/>
      <c r="F632" s="151" t="s">
        <v>85</v>
      </c>
      <c r="G632" s="152" t="s">
        <v>409</v>
      </c>
      <c r="H632" s="153">
        <v>2</v>
      </c>
      <c r="I632" s="154" t="s">
        <v>80</v>
      </c>
      <c r="J632" s="74">
        <v>90000</v>
      </c>
      <c r="K632" s="51"/>
      <c r="L632" s="46">
        <f t="shared" si="69"/>
        <v>180000</v>
      </c>
    </row>
    <row r="633" spans="2:13" s="34" customFormat="1" x14ac:dyDescent="0.35">
      <c r="B633" s="147"/>
      <c r="C633" s="148"/>
      <c r="D633" s="149"/>
      <c r="E633" s="150"/>
      <c r="F633" s="151" t="s">
        <v>85</v>
      </c>
      <c r="G633" s="152" t="s">
        <v>410</v>
      </c>
      <c r="H633" s="153">
        <v>3</v>
      </c>
      <c r="I633" s="154" t="s">
        <v>80</v>
      </c>
      <c r="J633" s="74">
        <v>125000</v>
      </c>
      <c r="K633" s="51"/>
      <c r="L633" s="46">
        <f t="shared" si="69"/>
        <v>375000</v>
      </c>
    </row>
    <row r="634" spans="2:13" x14ac:dyDescent="0.35">
      <c r="B634" s="147"/>
      <c r="C634" s="148"/>
      <c r="D634" s="149"/>
      <c r="E634" s="150"/>
      <c r="F634" s="151" t="s">
        <v>85</v>
      </c>
      <c r="G634" s="152" t="s">
        <v>411</v>
      </c>
      <c r="H634" s="153">
        <v>1</v>
      </c>
      <c r="I634" s="154" t="s">
        <v>80</v>
      </c>
      <c r="J634" s="74">
        <v>35000</v>
      </c>
      <c r="K634" s="51"/>
      <c r="L634" s="46">
        <f t="shared" si="69"/>
        <v>35000</v>
      </c>
    </row>
    <row r="635" spans="2:13" s="34" customFormat="1" x14ac:dyDescent="0.35">
      <c r="B635" s="147"/>
      <c r="C635" s="148"/>
      <c r="D635" s="149"/>
      <c r="E635" s="150"/>
      <c r="F635" s="151" t="s">
        <v>85</v>
      </c>
      <c r="G635" s="152" t="s">
        <v>412</v>
      </c>
      <c r="H635" s="153">
        <v>4</v>
      </c>
      <c r="I635" s="154" t="s">
        <v>80</v>
      </c>
      <c r="J635" s="74">
        <v>35000</v>
      </c>
      <c r="K635" s="51"/>
      <c r="L635" s="46">
        <f t="shared" si="69"/>
        <v>140000</v>
      </c>
    </row>
    <row r="636" spans="2:13" x14ac:dyDescent="0.35">
      <c r="B636" s="147"/>
      <c r="C636" s="148"/>
      <c r="D636" s="149"/>
      <c r="E636" s="150"/>
      <c r="F636" s="151" t="s">
        <v>85</v>
      </c>
      <c r="G636" s="152" t="s">
        <v>413</v>
      </c>
      <c r="H636" s="153">
        <v>1</v>
      </c>
      <c r="I636" s="154" t="s">
        <v>80</v>
      </c>
      <c r="J636" s="74">
        <v>35000</v>
      </c>
      <c r="K636" s="51"/>
      <c r="L636" s="46">
        <f t="shared" si="69"/>
        <v>35000</v>
      </c>
    </row>
    <row r="637" spans="2:13" x14ac:dyDescent="0.35">
      <c r="B637" s="147"/>
      <c r="C637" s="148"/>
      <c r="D637" s="149"/>
      <c r="E637" s="150"/>
      <c r="F637" s="151" t="s">
        <v>85</v>
      </c>
      <c r="G637" s="152" t="s">
        <v>415</v>
      </c>
      <c r="H637" s="157">
        <v>1.831248</v>
      </c>
      <c r="I637" s="154" t="s">
        <v>117</v>
      </c>
      <c r="J637" s="74">
        <v>29000</v>
      </c>
      <c r="K637" s="51"/>
      <c r="L637" s="46">
        <f t="shared" si="69"/>
        <v>53106.192000000003</v>
      </c>
    </row>
    <row r="638" spans="2:13" s="34" customFormat="1" x14ac:dyDescent="0.35">
      <c r="B638" s="147"/>
      <c r="C638" s="148" t="s">
        <v>194</v>
      </c>
      <c r="D638" s="149"/>
      <c r="E638" s="150"/>
      <c r="F638" s="151" t="s">
        <v>195</v>
      </c>
      <c r="G638" s="152"/>
      <c r="H638" s="157"/>
      <c r="I638" s="154"/>
      <c r="J638" s="74"/>
      <c r="K638" s="51"/>
      <c r="L638" s="46"/>
    </row>
    <row r="639" spans="2:13" s="34" customFormat="1" x14ac:dyDescent="0.35">
      <c r="B639" s="147"/>
      <c r="C639" s="148"/>
      <c r="D639" s="149" t="s">
        <v>34</v>
      </c>
      <c r="E639" s="150"/>
      <c r="F639" s="151" t="s">
        <v>196</v>
      </c>
      <c r="G639" s="152"/>
      <c r="H639" s="153">
        <v>1</v>
      </c>
      <c r="I639" s="154" t="s">
        <v>166</v>
      </c>
      <c r="J639" s="74">
        <v>750000</v>
      </c>
      <c r="K639" s="51"/>
      <c r="L639" s="46">
        <f>J639*H639</f>
        <v>750000</v>
      </c>
    </row>
    <row r="640" spans="2:13" s="34" customFormat="1" x14ac:dyDescent="0.35">
      <c r="B640" s="147"/>
      <c r="C640" s="148"/>
      <c r="D640" s="149"/>
      <c r="E640" s="150"/>
      <c r="F640" s="151" t="s">
        <v>85</v>
      </c>
      <c r="G640" s="152" t="s">
        <v>416</v>
      </c>
      <c r="H640" s="157"/>
      <c r="I640" s="154"/>
      <c r="J640" s="74"/>
      <c r="K640" s="51"/>
      <c r="L640" s="46"/>
      <c r="M640" s="114"/>
    </row>
    <row r="641" spans="2:14" s="34" customFormat="1" x14ac:dyDescent="0.35">
      <c r="B641" s="147"/>
      <c r="C641" s="148"/>
      <c r="D641" s="149"/>
      <c r="E641" s="150"/>
      <c r="F641" s="151" t="s">
        <v>85</v>
      </c>
      <c r="G641" s="152" t="s">
        <v>417</v>
      </c>
      <c r="H641" s="157"/>
      <c r="I641" s="154"/>
      <c r="J641" s="74"/>
      <c r="K641" s="51"/>
      <c r="L641" s="46"/>
      <c r="M641" s="114"/>
    </row>
    <row r="642" spans="2:14" s="34" customFormat="1" x14ac:dyDescent="0.35">
      <c r="B642" s="147"/>
      <c r="C642" s="148"/>
      <c r="D642" s="149"/>
      <c r="E642" s="150"/>
      <c r="F642" s="151" t="s">
        <v>85</v>
      </c>
      <c r="G642" s="152" t="s">
        <v>498</v>
      </c>
      <c r="H642" s="153"/>
      <c r="I642" s="154"/>
      <c r="J642" s="74"/>
      <c r="K642" s="51"/>
      <c r="L642" s="46"/>
      <c r="M642" s="114"/>
      <c r="N642" s="114"/>
    </row>
    <row r="643" spans="2:14" x14ac:dyDescent="0.35">
      <c r="B643" s="147"/>
      <c r="C643" s="148" t="s">
        <v>197</v>
      </c>
      <c r="D643" s="149"/>
      <c r="E643" s="150"/>
      <c r="F643" s="151" t="s">
        <v>198</v>
      </c>
      <c r="G643" s="152"/>
      <c r="H643" s="153"/>
      <c r="I643" s="154"/>
      <c r="J643" s="74"/>
      <c r="K643" s="51"/>
      <c r="L643" s="46"/>
    </row>
    <row r="644" spans="2:14" x14ac:dyDescent="0.35">
      <c r="B644" s="147"/>
      <c r="C644" s="148"/>
      <c r="D644" s="149" t="s">
        <v>34</v>
      </c>
      <c r="E644" s="150"/>
      <c r="F644" s="151" t="s">
        <v>199</v>
      </c>
      <c r="G644" s="152"/>
      <c r="H644" s="153">
        <v>4</v>
      </c>
      <c r="I644" s="154" t="s">
        <v>138</v>
      </c>
      <c r="J644" s="74">
        <v>480000</v>
      </c>
      <c r="K644" s="51">
        <f>J644*H644</f>
        <v>1920000</v>
      </c>
      <c r="L644" s="46"/>
      <c r="M644" s="171"/>
    </row>
    <row r="645" spans="2:14" s="34" customFormat="1" x14ac:dyDescent="0.35">
      <c r="B645" s="147"/>
      <c r="C645" s="148"/>
      <c r="D645" s="149"/>
      <c r="E645" s="150"/>
      <c r="F645" s="151" t="s">
        <v>85</v>
      </c>
      <c r="G645" s="152" t="s">
        <v>418</v>
      </c>
      <c r="H645" s="153">
        <v>2500</v>
      </c>
      <c r="I645" s="154" t="s">
        <v>139</v>
      </c>
      <c r="J645" s="74">
        <v>1676</v>
      </c>
      <c r="K645" s="51"/>
      <c r="L645" s="46">
        <f>J645*H645</f>
        <v>4190000</v>
      </c>
      <c r="M645" s="171"/>
    </row>
    <row r="646" spans="2:14" s="34" customFormat="1" x14ac:dyDescent="0.35">
      <c r="B646" s="147"/>
      <c r="C646" s="148"/>
      <c r="D646" s="149"/>
      <c r="E646" s="150"/>
      <c r="F646" s="151" t="s">
        <v>85</v>
      </c>
      <c r="G646" s="152" t="s">
        <v>419</v>
      </c>
      <c r="H646" s="153">
        <v>1</v>
      </c>
      <c r="I646" s="154" t="s">
        <v>92</v>
      </c>
      <c r="J646" s="74">
        <v>1500000</v>
      </c>
      <c r="K646" s="51">
        <f>J646*H646</f>
        <v>1500000</v>
      </c>
      <c r="L646" s="46"/>
      <c r="M646" s="171"/>
    </row>
    <row r="647" spans="2:14" s="34" customFormat="1" x14ac:dyDescent="0.35">
      <c r="B647" s="147"/>
      <c r="C647" s="148" t="s">
        <v>200</v>
      </c>
      <c r="D647" s="149"/>
      <c r="E647" s="150"/>
      <c r="F647" s="151" t="s">
        <v>201</v>
      </c>
      <c r="G647" s="152"/>
      <c r="H647" s="153"/>
      <c r="I647" s="154"/>
      <c r="J647" s="74"/>
      <c r="K647" s="51"/>
      <c r="L647" s="46"/>
    </row>
    <row r="648" spans="2:14" s="34" customFormat="1" x14ac:dyDescent="0.35">
      <c r="B648" s="147"/>
      <c r="C648" s="148"/>
      <c r="D648" s="149" t="s">
        <v>34</v>
      </c>
      <c r="E648" s="150"/>
      <c r="F648" s="151" t="s">
        <v>202</v>
      </c>
      <c r="G648" s="152"/>
      <c r="H648" s="153">
        <v>1</v>
      </c>
      <c r="I648" s="154" t="s">
        <v>92</v>
      </c>
      <c r="J648" s="74">
        <v>5500000</v>
      </c>
      <c r="K648" s="51"/>
      <c r="L648" s="46">
        <f>J648*H648</f>
        <v>5500000</v>
      </c>
    </row>
    <row r="649" spans="2:14" s="34" customFormat="1" x14ac:dyDescent="0.35">
      <c r="B649" s="147"/>
      <c r="C649" s="148"/>
      <c r="D649" s="149"/>
      <c r="E649" s="150"/>
      <c r="F649" s="151" t="s">
        <v>85</v>
      </c>
      <c r="G649" s="152" t="s">
        <v>420</v>
      </c>
      <c r="H649" s="157"/>
      <c r="I649" s="154"/>
      <c r="J649" s="74"/>
      <c r="K649" s="51"/>
      <c r="L649" s="46"/>
      <c r="M649" s="114"/>
    </row>
    <row r="650" spans="2:14" x14ac:dyDescent="0.35">
      <c r="B650" s="147"/>
      <c r="C650" s="148"/>
      <c r="D650" s="149"/>
      <c r="E650" s="150"/>
      <c r="F650" s="151" t="s">
        <v>85</v>
      </c>
      <c r="G650" s="152" t="s">
        <v>421</v>
      </c>
      <c r="H650" s="157"/>
      <c r="I650" s="154"/>
      <c r="J650" s="74"/>
      <c r="K650" s="51"/>
      <c r="L650" s="46"/>
      <c r="M650" s="114"/>
    </row>
    <row r="651" spans="2:14" x14ac:dyDescent="0.35">
      <c r="B651" s="147"/>
      <c r="C651" s="148"/>
      <c r="D651" s="149"/>
      <c r="E651" s="150"/>
      <c r="F651" s="151" t="s">
        <v>85</v>
      </c>
      <c r="G651" s="152" t="s">
        <v>422</v>
      </c>
      <c r="H651" s="157"/>
      <c r="I651" s="154"/>
      <c r="J651" s="74"/>
      <c r="K651" s="133"/>
      <c r="L651" s="46"/>
      <c r="M651" s="114"/>
    </row>
    <row r="652" spans="2:14" x14ac:dyDescent="0.35">
      <c r="B652" s="147"/>
      <c r="C652" s="148"/>
      <c r="D652" s="149"/>
      <c r="E652" s="150"/>
      <c r="F652" s="151" t="s">
        <v>85</v>
      </c>
      <c r="G652" s="152" t="s">
        <v>423</v>
      </c>
      <c r="H652" s="157"/>
      <c r="I652" s="154"/>
      <c r="J652" s="74"/>
      <c r="K652" s="93"/>
      <c r="L652" s="46"/>
      <c r="M652" s="114"/>
    </row>
    <row r="653" spans="2:14" x14ac:dyDescent="0.35">
      <c r="B653" s="147"/>
      <c r="C653" s="148"/>
      <c r="D653" s="149"/>
      <c r="E653" s="150"/>
      <c r="F653" s="151"/>
      <c r="G653" s="152"/>
      <c r="H653" s="153"/>
      <c r="I653" s="154"/>
      <c r="J653" s="92"/>
      <c r="K653" s="58"/>
      <c r="L653" s="29"/>
    </row>
    <row r="654" spans="2:14" x14ac:dyDescent="0.35">
      <c r="B654" s="8"/>
      <c r="C654" s="9"/>
      <c r="D654" s="10"/>
      <c r="E654" s="4"/>
      <c r="F654" s="4"/>
      <c r="G654" s="4"/>
      <c r="H654" s="1"/>
      <c r="I654" s="1"/>
      <c r="J654" s="11" t="s">
        <v>8</v>
      </c>
      <c r="K654" s="7">
        <f>SUM(K596:K653)</f>
        <v>9520000</v>
      </c>
      <c r="L654" s="7">
        <f>SUM(L596:L653)</f>
        <v>15959890.672</v>
      </c>
    </row>
    <row r="655" spans="2:14" x14ac:dyDescent="0.35">
      <c r="B655" s="8"/>
      <c r="C655" s="9"/>
      <c r="D655" s="9"/>
      <c r="E655" s="4"/>
      <c r="F655" s="4"/>
      <c r="G655" s="4"/>
      <c r="H655" s="1"/>
      <c r="I655" s="1"/>
      <c r="J655" s="11"/>
      <c r="K655" s="35" t="s">
        <v>12</v>
      </c>
      <c r="L655" s="36" t="s">
        <v>13</v>
      </c>
    </row>
    <row r="656" spans="2:14" x14ac:dyDescent="0.35">
      <c r="B656" s="3" t="s">
        <v>9</v>
      </c>
      <c r="C656" s="4"/>
      <c r="D656" s="4"/>
      <c r="E656" s="4"/>
      <c r="F656" s="4"/>
      <c r="G656" s="4"/>
      <c r="H656" s="1"/>
      <c r="I656" s="1"/>
      <c r="J656" s="12"/>
      <c r="K656" s="12"/>
      <c r="L656" s="13"/>
    </row>
    <row r="657" spans="2:13" x14ac:dyDescent="0.35">
      <c r="B657" s="37"/>
      <c r="C657" s="1"/>
      <c r="D657" s="1"/>
      <c r="E657" s="38"/>
      <c r="F657" s="38"/>
      <c r="G657" s="38"/>
      <c r="H657" s="1"/>
      <c r="I657" s="1"/>
      <c r="J657" s="1"/>
      <c r="K657" s="1"/>
      <c r="L657" s="19"/>
    </row>
    <row r="658" spans="2:13" x14ac:dyDescent="0.35">
      <c r="B658" s="28" t="s">
        <v>6</v>
      </c>
      <c r="C658" s="27"/>
      <c r="D658" s="27"/>
      <c r="E658" s="26"/>
      <c r="F658" s="26"/>
      <c r="G658" s="5"/>
      <c r="K658" s="301" t="s">
        <v>27</v>
      </c>
      <c r="L658" s="302"/>
    </row>
    <row r="659" spans="2:13" x14ac:dyDescent="0.35">
      <c r="B659" s="28">
        <v>1</v>
      </c>
      <c r="C659" s="27"/>
      <c r="D659" s="27"/>
      <c r="E659" s="26" t="s">
        <v>7</v>
      </c>
      <c r="F659" s="26"/>
      <c r="G659" s="5"/>
      <c r="K659" s="301" t="s">
        <v>17</v>
      </c>
      <c r="L659" s="302"/>
    </row>
    <row r="660" spans="2:13" x14ac:dyDescent="0.35">
      <c r="B660" s="39"/>
      <c r="C660" s="27"/>
      <c r="D660" s="27"/>
      <c r="E660" s="26"/>
      <c r="F660" s="26"/>
      <c r="G660" s="5"/>
      <c r="J660" s="25"/>
      <c r="K660" s="25"/>
      <c r="L660" s="24"/>
    </row>
    <row r="661" spans="2:13" x14ac:dyDescent="0.35">
      <c r="B661" s="28"/>
      <c r="C661" s="27"/>
      <c r="D661" s="27"/>
      <c r="E661" s="26"/>
      <c r="F661" s="26"/>
      <c r="G661" s="5"/>
      <c r="L661" s="22"/>
    </row>
    <row r="662" spans="2:13" x14ac:dyDescent="0.35">
      <c r="B662" s="45"/>
      <c r="E662" s="5"/>
      <c r="F662" s="5"/>
      <c r="G662" s="5"/>
      <c r="L662" s="22"/>
    </row>
    <row r="663" spans="2:13" x14ac:dyDescent="0.35">
      <c r="B663" s="45"/>
      <c r="E663" s="5"/>
      <c r="F663" s="5"/>
      <c r="G663" s="5"/>
      <c r="L663" s="22"/>
    </row>
    <row r="664" spans="2:13" x14ac:dyDescent="0.35">
      <c r="B664" s="45"/>
      <c r="E664" s="5"/>
      <c r="F664" s="5"/>
      <c r="G664" s="5"/>
      <c r="L664" s="22"/>
    </row>
    <row r="665" spans="2:13" x14ac:dyDescent="0.35">
      <c r="B665" s="45"/>
      <c r="E665" s="5"/>
      <c r="F665" s="5"/>
      <c r="G665" s="5"/>
      <c r="J665" s="40"/>
      <c r="K665" s="303" t="s">
        <v>25</v>
      </c>
      <c r="L665" s="304"/>
    </row>
    <row r="666" spans="2:13" x14ac:dyDescent="0.35">
      <c r="B666" s="45"/>
      <c r="K666" s="289" t="s">
        <v>26</v>
      </c>
      <c r="L666" s="290"/>
    </row>
    <row r="667" spans="2:13" x14ac:dyDescent="0.35">
      <c r="B667" s="305"/>
      <c r="C667" s="306"/>
      <c r="D667" s="306"/>
      <c r="E667" s="41"/>
      <c r="F667" s="41"/>
      <c r="G667" s="41"/>
      <c r="H667" s="2"/>
      <c r="I667" s="2"/>
      <c r="J667" s="2"/>
      <c r="K667" s="2"/>
      <c r="L667" s="21"/>
    </row>
    <row r="668" spans="2:13" x14ac:dyDescent="0.35">
      <c r="B668" s="47"/>
      <c r="C668" s="48"/>
      <c r="D668" s="49"/>
      <c r="G668" s="22"/>
      <c r="H668" s="1"/>
      <c r="I668" s="1"/>
      <c r="J668" s="43"/>
      <c r="K668" s="30"/>
      <c r="L668" s="44"/>
    </row>
    <row r="669" spans="2:13" x14ac:dyDescent="0.35">
      <c r="B669" s="147"/>
      <c r="C669" s="148"/>
      <c r="D669" s="149"/>
      <c r="E669" s="150"/>
      <c r="F669" s="151" t="s">
        <v>85</v>
      </c>
      <c r="G669" s="152" t="s">
        <v>424</v>
      </c>
      <c r="H669" s="157"/>
      <c r="I669" s="154"/>
      <c r="J669" s="74"/>
      <c r="K669" s="51"/>
      <c r="L669" s="46"/>
      <c r="M669" s="114"/>
    </row>
    <row r="670" spans="2:13" s="34" customFormat="1" x14ac:dyDescent="0.35">
      <c r="B670" s="147"/>
      <c r="C670" s="148"/>
      <c r="D670" s="149"/>
      <c r="E670" s="150"/>
      <c r="F670" s="151" t="s">
        <v>85</v>
      </c>
      <c r="G670" s="152" t="s">
        <v>425</v>
      </c>
      <c r="H670" s="157"/>
      <c r="I670" s="154"/>
      <c r="J670" s="74"/>
      <c r="K670" s="51"/>
      <c r="L670" s="46"/>
      <c r="M670" s="114"/>
    </row>
    <row r="671" spans="2:13" s="34" customFormat="1" x14ac:dyDescent="0.35">
      <c r="B671" s="147"/>
      <c r="C671" s="148"/>
      <c r="D671" s="149"/>
      <c r="E671" s="150"/>
      <c r="F671" s="151" t="s">
        <v>85</v>
      </c>
      <c r="G671" s="152" t="s">
        <v>499</v>
      </c>
      <c r="H671" s="153"/>
      <c r="I671" s="154"/>
      <c r="J671" s="74"/>
      <c r="K671" s="51"/>
      <c r="L671" s="46"/>
      <c r="M671" s="114"/>
    </row>
    <row r="672" spans="2:13" s="34" customFormat="1" x14ac:dyDescent="0.35">
      <c r="B672" s="147"/>
      <c r="C672" s="148"/>
      <c r="D672" s="149"/>
      <c r="E672" s="150"/>
      <c r="F672" s="151" t="s">
        <v>85</v>
      </c>
      <c r="G672" s="152" t="s">
        <v>500</v>
      </c>
      <c r="H672" s="153"/>
      <c r="I672" s="154"/>
      <c r="J672" s="65"/>
      <c r="K672" s="51"/>
      <c r="L672" s="46"/>
      <c r="M672" s="114"/>
    </row>
    <row r="673" spans="2:14" s="34" customFormat="1" x14ac:dyDescent="0.35">
      <c r="B673" s="147"/>
      <c r="C673" s="148"/>
      <c r="D673" s="149"/>
      <c r="E673" s="150"/>
      <c r="F673" s="151" t="s">
        <v>85</v>
      </c>
      <c r="G673" s="152" t="s">
        <v>203</v>
      </c>
      <c r="H673" s="153"/>
      <c r="I673" s="154"/>
      <c r="J673" s="74"/>
      <c r="K673" s="51"/>
      <c r="L673" s="46"/>
      <c r="M673" s="114"/>
      <c r="N673" s="114"/>
    </row>
    <row r="674" spans="2:14" s="34" customFormat="1" x14ac:dyDescent="0.35">
      <c r="B674" s="147"/>
      <c r="C674" s="148"/>
      <c r="D674" s="149" t="s">
        <v>37</v>
      </c>
      <c r="E674" s="150"/>
      <c r="F674" s="151" t="s">
        <v>204</v>
      </c>
      <c r="G674" s="152"/>
      <c r="H674" s="153">
        <v>1</v>
      </c>
      <c r="I674" s="154" t="s">
        <v>92</v>
      </c>
      <c r="J674" s="74">
        <v>750000</v>
      </c>
      <c r="K674" s="51"/>
      <c r="L674" s="46">
        <f>J674*H674</f>
        <v>750000</v>
      </c>
    </row>
    <row r="675" spans="2:14" x14ac:dyDescent="0.35">
      <c r="B675" s="147"/>
      <c r="C675" s="148"/>
      <c r="D675" s="149"/>
      <c r="E675" s="150"/>
      <c r="F675" s="151" t="s">
        <v>85</v>
      </c>
      <c r="G675" s="152" t="s">
        <v>426</v>
      </c>
      <c r="H675" s="157"/>
      <c r="I675" s="154"/>
      <c r="J675" s="74"/>
      <c r="K675" s="51"/>
      <c r="L675" s="46"/>
      <c r="M675" s="242"/>
      <c r="N675" s="242"/>
    </row>
    <row r="676" spans="2:14" x14ac:dyDescent="0.35">
      <c r="B676" s="147"/>
      <c r="C676" s="148"/>
      <c r="D676" s="149" t="s">
        <v>39</v>
      </c>
      <c r="E676" s="150"/>
      <c r="F676" s="151" t="s">
        <v>205</v>
      </c>
      <c r="G676" s="152"/>
      <c r="H676" s="153">
        <v>1</v>
      </c>
      <c r="I676" s="154" t="s">
        <v>92</v>
      </c>
      <c r="J676" s="74">
        <v>750000</v>
      </c>
      <c r="K676" s="51"/>
      <c r="L676" s="46">
        <f>J676*H676</f>
        <v>750000</v>
      </c>
    </row>
    <row r="677" spans="2:14" x14ac:dyDescent="0.35">
      <c r="B677" s="147"/>
      <c r="C677" s="148"/>
      <c r="D677" s="149"/>
      <c r="E677" s="150"/>
      <c r="F677" s="151" t="s">
        <v>85</v>
      </c>
      <c r="G677" s="152" t="s">
        <v>426</v>
      </c>
      <c r="H677" s="157"/>
      <c r="I677" s="154"/>
      <c r="J677" s="74"/>
      <c r="K677" s="51"/>
      <c r="L677" s="46"/>
      <c r="M677" s="242"/>
      <c r="N677" s="242"/>
    </row>
    <row r="678" spans="2:14" x14ac:dyDescent="0.35">
      <c r="B678" s="139"/>
      <c r="C678" s="140"/>
      <c r="D678" s="141"/>
      <c r="E678" s="142"/>
      <c r="F678" s="143"/>
      <c r="G678" s="144"/>
      <c r="H678" s="145"/>
      <c r="I678" s="146"/>
      <c r="J678" s="74"/>
      <c r="K678" s="129"/>
      <c r="L678" s="46"/>
    </row>
    <row r="679" spans="2:14" x14ac:dyDescent="0.35">
      <c r="B679" s="181"/>
      <c r="C679" s="182"/>
      <c r="D679" s="183"/>
      <c r="E679" s="136"/>
      <c r="F679" s="137" t="s">
        <v>206</v>
      </c>
      <c r="G679" s="138"/>
      <c r="H679" s="279"/>
      <c r="I679" s="185"/>
      <c r="J679" s="74"/>
      <c r="K679" s="51"/>
      <c r="L679" s="46"/>
    </row>
    <row r="680" spans="2:14" x14ac:dyDescent="0.35">
      <c r="B680" s="139" t="s">
        <v>33</v>
      </c>
      <c r="C680" s="140"/>
      <c r="D680" s="141"/>
      <c r="E680" s="142" t="s">
        <v>11</v>
      </c>
      <c r="F680" s="143"/>
      <c r="G680" s="144"/>
      <c r="H680" s="156"/>
      <c r="I680" s="146"/>
      <c r="J680" s="74"/>
      <c r="K680" s="51"/>
      <c r="L680" s="46"/>
    </row>
    <row r="681" spans="2:14" x14ac:dyDescent="0.35">
      <c r="B681" s="147"/>
      <c r="C681" s="148"/>
      <c r="D681" s="149" t="s">
        <v>34</v>
      </c>
      <c r="E681" s="150"/>
      <c r="F681" s="151" t="s">
        <v>427</v>
      </c>
      <c r="G681" s="152"/>
      <c r="H681" s="153">
        <v>1</v>
      </c>
      <c r="I681" s="154" t="s">
        <v>166</v>
      </c>
      <c r="J681" s="74">
        <v>600000</v>
      </c>
      <c r="K681" s="51">
        <f>J681*H681</f>
        <v>600000</v>
      </c>
      <c r="L681" s="46"/>
    </row>
    <row r="682" spans="2:14" x14ac:dyDescent="0.35">
      <c r="B682" s="147"/>
      <c r="C682" s="148"/>
      <c r="D682" s="149"/>
      <c r="E682" s="150"/>
      <c r="F682" s="151" t="s">
        <v>85</v>
      </c>
      <c r="G682" s="152" t="s">
        <v>428</v>
      </c>
      <c r="H682" s="153"/>
      <c r="I682" s="154"/>
      <c r="J682" s="74"/>
      <c r="K682" s="51"/>
      <c r="L682" s="46"/>
    </row>
    <row r="683" spans="2:14" x14ac:dyDescent="0.35">
      <c r="B683" s="147"/>
      <c r="C683" s="148"/>
      <c r="D683" s="149"/>
      <c r="E683" s="150"/>
      <c r="F683" s="151" t="s">
        <v>85</v>
      </c>
      <c r="G683" s="152" t="s">
        <v>429</v>
      </c>
      <c r="H683" s="259"/>
      <c r="I683" s="154"/>
      <c r="J683" s="74"/>
      <c r="K683" s="51"/>
      <c r="L683" s="46"/>
    </row>
    <row r="684" spans="2:14" x14ac:dyDescent="0.35">
      <c r="B684" s="219"/>
      <c r="C684" s="220"/>
      <c r="D684" s="221"/>
      <c r="E684" s="150"/>
      <c r="F684" s="151" t="s">
        <v>85</v>
      </c>
      <c r="G684" s="152" t="s">
        <v>430</v>
      </c>
      <c r="H684" s="247"/>
      <c r="I684" s="224"/>
      <c r="J684" s="74"/>
      <c r="K684" s="51"/>
      <c r="L684" s="46"/>
    </row>
    <row r="685" spans="2:14" x14ac:dyDescent="0.35">
      <c r="B685" s="147"/>
      <c r="C685" s="148"/>
      <c r="D685" s="149"/>
      <c r="E685" s="150"/>
      <c r="F685" s="151" t="s">
        <v>85</v>
      </c>
      <c r="G685" s="152" t="s">
        <v>368</v>
      </c>
      <c r="H685" s="157"/>
      <c r="I685" s="154"/>
      <c r="J685" s="65"/>
      <c r="K685" s="58"/>
      <c r="L685" s="46"/>
    </row>
    <row r="686" spans="2:14" x14ac:dyDescent="0.35">
      <c r="B686" s="147"/>
      <c r="C686" s="148"/>
      <c r="D686" s="149"/>
      <c r="E686" s="150"/>
      <c r="F686" s="151" t="s">
        <v>85</v>
      </c>
      <c r="G686" s="152" t="s">
        <v>501</v>
      </c>
      <c r="H686" s="153"/>
      <c r="I686" s="154"/>
      <c r="J686" s="65"/>
      <c r="K686" s="58"/>
      <c r="L686" s="46"/>
    </row>
    <row r="687" spans="2:14" x14ac:dyDescent="0.35">
      <c r="B687" s="147"/>
      <c r="C687" s="148"/>
      <c r="D687" s="149"/>
      <c r="E687" s="150"/>
      <c r="F687" s="151" t="s">
        <v>85</v>
      </c>
      <c r="G687" s="152" t="s">
        <v>502</v>
      </c>
      <c r="H687" s="153"/>
      <c r="I687" s="154"/>
      <c r="J687" s="65"/>
      <c r="K687" s="58"/>
      <c r="L687" s="46"/>
    </row>
    <row r="688" spans="2:14" x14ac:dyDescent="0.35">
      <c r="B688" s="147"/>
      <c r="C688" s="148"/>
      <c r="D688" s="149" t="s">
        <v>37</v>
      </c>
      <c r="E688" s="150"/>
      <c r="F688" s="151" t="s">
        <v>431</v>
      </c>
      <c r="G688" s="152"/>
      <c r="H688" s="153">
        <v>1</v>
      </c>
      <c r="I688" s="154" t="s">
        <v>166</v>
      </c>
      <c r="J688" s="74">
        <v>700000</v>
      </c>
      <c r="K688" s="51">
        <f>J688*H688</f>
        <v>700000</v>
      </c>
      <c r="L688" s="46"/>
    </row>
    <row r="689" spans="2:12" x14ac:dyDescent="0.35">
      <c r="B689" s="147"/>
      <c r="C689" s="148"/>
      <c r="D689" s="149"/>
      <c r="E689" s="150"/>
      <c r="F689" s="151" t="s">
        <v>85</v>
      </c>
      <c r="G689" s="152" t="s">
        <v>428</v>
      </c>
      <c r="H689" s="153"/>
      <c r="I689" s="154"/>
      <c r="J689" s="74"/>
      <c r="K689" s="51"/>
      <c r="L689" s="46"/>
    </row>
    <row r="690" spans="2:12" x14ac:dyDescent="0.35">
      <c r="B690" s="147"/>
      <c r="C690" s="148"/>
      <c r="D690" s="149"/>
      <c r="E690" s="150"/>
      <c r="F690" s="151" t="s">
        <v>85</v>
      </c>
      <c r="G690" s="152" t="s">
        <v>429</v>
      </c>
      <c r="H690" s="259"/>
      <c r="I690" s="154"/>
      <c r="J690" s="74"/>
      <c r="K690" s="51"/>
      <c r="L690" s="46"/>
    </row>
    <row r="691" spans="2:12" x14ac:dyDescent="0.35">
      <c r="B691" s="147"/>
      <c r="C691" s="148"/>
      <c r="D691" s="149"/>
      <c r="E691" s="150"/>
      <c r="F691" s="151" t="s">
        <v>85</v>
      </c>
      <c r="G691" s="152" t="s">
        <v>430</v>
      </c>
      <c r="H691" s="153"/>
      <c r="I691" s="154"/>
      <c r="J691" s="74"/>
      <c r="K691" s="51"/>
      <c r="L691" s="46"/>
    </row>
    <row r="692" spans="2:12" x14ac:dyDescent="0.35">
      <c r="B692" s="147"/>
      <c r="C692" s="148"/>
      <c r="D692" s="149"/>
      <c r="E692" s="150"/>
      <c r="F692" s="151" t="s">
        <v>85</v>
      </c>
      <c r="G692" s="152" t="s">
        <v>368</v>
      </c>
      <c r="H692" s="153"/>
      <c r="I692" s="154"/>
      <c r="J692" s="65"/>
      <c r="K692" s="58"/>
      <c r="L692" s="46"/>
    </row>
    <row r="693" spans="2:12" x14ac:dyDescent="0.35">
      <c r="B693" s="147"/>
      <c r="C693" s="148"/>
      <c r="D693" s="149"/>
      <c r="E693" s="150"/>
      <c r="F693" s="151" t="s">
        <v>85</v>
      </c>
      <c r="G693" s="152" t="s">
        <v>501</v>
      </c>
      <c r="H693" s="153"/>
      <c r="I693" s="154"/>
      <c r="J693" s="65"/>
      <c r="K693" s="58"/>
      <c r="L693" s="46"/>
    </row>
    <row r="694" spans="2:12" x14ac:dyDescent="0.35">
      <c r="B694" s="147"/>
      <c r="C694" s="148"/>
      <c r="D694" s="149"/>
      <c r="E694" s="150"/>
      <c r="F694" s="151" t="s">
        <v>85</v>
      </c>
      <c r="G694" s="152" t="s">
        <v>503</v>
      </c>
      <c r="H694" s="153"/>
      <c r="I694" s="154"/>
      <c r="J694" s="74"/>
      <c r="K694" s="51"/>
      <c r="L694" s="46"/>
    </row>
    <row r="695" spans="2:12" x14ac:dyDescent="0.35">
      <c r="B695" s="147"/>
      <c r="C695" s="148"/>
      <c r="D695" s="149" t="s">
        <v>39</v>
      </c>
      <c r="E695" s="150"/>
      <c r="F695" s="151" t="s">
        <v>432</v>
      </c>
      <c r="G695" s="152"/>
      <c r="H695" s="153">
        <v>1</v>
      </c>
      <c r="I695" s="154" t="s">
        <v>166</v>
      </c>
      <c r="J695" s="74">
        <v>700000</v>
      </c>
      <c r="K695" s="51">
        <f>J695*H695</f>
        <v>700000</v>
      </c>
      <c r="L695" s="46"/>
    </row>
    <row r="696" spans="2:12" x14ac:dyDescent="0.35">
      <c r="B696" s="147"/>
      <c r="C696" s="148"/>
      <c r="D696" s="149"/>
      <c r="E696" s="150"/>
      <c r="F696" s="151" t="s">
        <v>85</v>
      </c>
      <c r="G696" s="152" t="s">
        <v>428</v>
      </c>
      <c r="H696" s="153"/>
      <c r="I696" s="154"/>
      <c r="J696" s="74"/>
      <c r="K696" s="51"/>
      <c r="L696" s="46"/>
    </row>
    <row r="697" spans="2:12" x14ac:dyDescent="0.35">
      <c r="B697" s="147"/>
      <c r="C697" s="148"/>
      <c r="D697" s="149"/>
      <c r="E697" s="150"/>
      <c r="F697" s="151" t="s">
        <v>85</v>
      </c>
      <c r="G697" s="152" t="s">
        <v>429</v>
      </c>
      <c r="H697" s="259"/>
      <c r="I697" s="154"/>
      <c r="J697" s="74"/>
      <c r="K697" s="51"/>
      <c r="L697" s="46"/>
    </row>
    <row r="698" spans="2:12" x14ac:dyDescent="0.35">
      <c r="B698" s="147"/>
      <c r="C698" s="148"/>
      <c r="D698" s="149"/>
      <c r="E698" s="150"/>
      <c r="F698" s="151" t="s">
        <v>85</v>
      </c>
      <c r="G698" s="152" t="s">
        <v>430</v>
      </c>
      <c r="H698" s="153"/>
      <c r="I698" s="154"/>
      <c r="J698" s="65"/>
      <c r="K698" s="58"/>
      <c r="L698" s="46"/>
    </row>
    <row r="699" spans="2:12" x14ac:dyDescent="0.35">
      <c r="B699" s="147"/>
      <c r="C699" s="148"/>
      <c r="D699" s="149"/>
      <c r="E699" s="150"/>
      <c r="F699" s="151" t="s">
        <v>85</v>
      </c>
      <c r="G699" s="152" t="s">
        <v>368</v>
      </c>
      <c r="H699" s="153"/>
      <c r="I699" s="154"/>
      <c r="J699" s="74"/>
      <c r="K699" s="51"/>
      <c r="L699" s="46"/>
    </row>
    <row r="700" spans="2:12" x14ac:dyDescent="0.35">
      <c r="B700" s="147"/>
      <c r="C700" s="148"/>
      <c r="D700" s="149"/>
      <c r="E700" s="150"/>
      <c r="F700" s="151" t="s">
        <v>85</v>
      </c>
      <c r="G700" s="152" t="s">
        <v>501</v>
      </c>
      <c r="H700" s="153"/>
      <c r="I700" s="154"/>
      <c r="J700" s="74"/>
      <c r="K700" s="51"/>
      <c r="L700" s="46"/>
    </row>
    <row r="701" spans="2:12" x14ac:dyDescent="0.35">
      <c r="B701" s="147"/>
      <c r="C701" s="148"/>
      <c r="D701" s="149"/>
      <c r="E701" s="150"/>
      <c r="F701" s="151" t="s">
        <v>85</v>
      </c>
      <c r="G701" s="152" t="s">
        <v>503</v>
      </c>
      <c r="H701" s="153"/>
      <c r="I701" s="154"/>
      <c r="J701" s="74"/>
      <c r="K701" s="51"/>
      <c r="L701" s="46"/>
    </row>
    <row r="702" spans="2:12" x14ac:dyDescent="0.35">
      <c r="B702" s="147"/>
      <c r="C702" s="148"/>
      <c r="D702" s="149" t="s">
        <v>41</v>
      </c>
      <c r="E702" s="150"/>
      <c r="F702" s="151" t="s">
        <v>433</v>
      </c>
      <c r="G702" s="152"/>
      <c r="H702" s="153">
        <v>1</v>
      </c>
      <c r="I702" s="154" t="s">
        <v>166</v>
      </c>
      <c r="J702" s="74">
        <v>700000</v>
      </c>
      <c r="K702" s="51">
        <f>J702*H702</f>
        <v>700000</v>
      </c>
      <c r="L702" s="46"/>
    </row>
    <row r="703" spans="2:12" x14ac:dyDescent="0.35">
      <c r="B703" s="147"/>
      <c r="C703" s="148"/>
      <c r="D703" s="149"/>
      <c r="E703" s="150"/>
      <c r="F703" s="151" t="s">
        <v>85</v>
      </c>
      <c r="G703" s="152" t="s">
        <v>428</v>
      </c>
      <c r="H703" s="153"/>
      <c r="I703" s="154"/>
      <c r="J703" s="65"/>
      <c r="K703" s="58"/>
      <c r="L703" s="46"/>
    </row>
    <row r="704" spans="2:12" x14ac:dyDescent="0.35">
      <c r="B704" s="147"/>
      <c r="C704" s="148"/>
      <c r="D704" s="149"/>
      <c r="E704" s="150"/>
      <c r="F704" s="151" t="s">
        <v>85</v>
      </c>
      <c r="G704" s="152" t="s">
        <v>429</v>
      </c>
      <c r="H704" s="259"/>
      <c r="I704" s="154"/>
      <c r="J704" s="74"/>
      <c r="K704" s="51"/>
      <c r="L704" s="46"/>
    </row>
    <row r="705" spans="2:12" x14ac:dyDescent="0.35">
      <c r="B705" s="147"/>
      <c r="C705" s="148"/>
      <c r="D705" s="149"/>
      <c r="E705" s="150"/>
      <c r="F705" s="151" t="s">
        <v>85</v>
      </c>
      <c r="G705" s="152" t="s">
        <v>430</v>
      </c>
      <c r="H705" s="153"/>
      <c r="I705" s="154"/>
      <c r="J705" s="74"/>
      <c r="K705" s="51"/>
      <c r="L705" s="46"/>
    </row>
    <row r="706" spans="2:12" x14ac:dyDescent="0.35">
      <c r="B706" s="147"/>
      <c r="C706" s="148"/>
      <c r="D706" s="149"/>
      <c r="E706" s="150"/>
      <c r="F706" s="151" t="s">
        <v>85</v>
      </c>
      <c r="G706" s="152" t="s">
        <v>368</v>
      </c>
      <c r="H706" s="153"/>
      <c r="I706" s="154"/>
      <c r="J706" s="74"/>
      <c r="K706" s="51"/>
      <c r="L706" s="46"/>
    </row>
    <row r="707" spans="2:12" x14ac:dyDescent="0.35">
      <c r="B707" s="147"/>
      <c r="C707" s="148"/>
      <c r="D707" s="149"/>
      <c r="E707" s="150"/>
      <c r="F707" s="151" t="s">
        <v>85</v>
      </c>
      <c r="G707" s="152" t="s">
        <v>501</v>
      </c>
      <c r="H707" s="153"/>
      <c r="I707" s="154"/>
      <c r="J707" s="74"/>
      <c r="K707" s="51"/>
      <c r="L707" s="46"/>
    </row>
    <row r="708" spans="2:12" x14ac:dyDescent="0.35">
      <c r="B708" s="147"/>
      <c r="C708" s="148"/>
      <c r="D708" s="149"/>
      <c r="E708" s="150"/>
      <c r="F708" s="151" t="s">
        <v>85</v>
      </c>
      <c r="G708" s="152" t="s">
        <v>503</v>
      </c>
      <c r="H708" s="153"/>
      <c r="I708" s="154"/>
      <c r="J708" s="74"/>
      <c r="K708" s="51"/>
      <c r="L708" s="46"/>
    </row>
    <row r="709" spans="2:12" x14ac:dyDescent="0.35">
      <c r="B709" s="147"/>
      <c r="C709" s="148"/>
      <c r="D709" s="149" t="s">
        <v>43</v>
      </c>
      <c r="E709" s="150"/>
      <c r="F709" s="151" t="s">
        <v>434</v>
      </c>
      <c r="G709" s="152"/>
      <c r="H709" s="153">
        <v>1</v>
      </c>
      <c r="I709" s="154" t="s">
        <v>166</v>
      </c>
      <c r="J709" s="74">
        <v>700000</v>
      </c>
      <c r="K709" s="51">
        <f>J709*H709</f>
        <v>700000</v>
      </c>
      <c r="L709" s="46"/>
    </row>
    <row r="710" spans="2:12" x14ac:dyDescent="0.35">
      <c r="B710" s="147"/>
      <c r="C710" s="148"/>
      <c r="D710" s="149"/>
      <c r="E710" s="150"/>
      <c r="F710" s="151" t="s">
        <v>85</v>
      </c>
      <c r="G710" s="152" t="s">
        <v>428</v>
      </c>
      <c r="H710" s="153"/>
      <c r="I710" s="154"/>
      <c r="J710" s="74"/>
      <c r="K710" s="51"/>
      <c r="L710" s="46"/>
    </row>
    <row r="711" spans="2:12" x14ac:dyDescent="0.35">
      <c r="B711" s="147"/>
      <c r="C711" s="148"/>
      <c r="D711" s="149"/>
      <c r="E711" s="150"/>
      <c r="F711" s="151" t="s">
        <v>85</v>
      </c>
      <c r="G711" s="152" t="s">
        <v>429</v>
      </c>
      <c r="H711" s="259"/>
      <c r="I711" s="154"/>
      <c r="J711" s="74"/>
      <c r="K711" s="51"/>
      <c r="L711" s="46"/>
    </row>
    <row r="712" spans="2:12" x14ac:dyDescent="0.35">
      <c r="B712" s="147"/>
      <c r="C712" s="148"/>
      <c r="D712" s="149"/>
      <c r="E712" s="150"/>
      <c r="F712" s="151" t="s">
        <v>85</v>
      </c>
      <c r="G712" s="152" t="s">
        <v>430</v>
      </c>
      <c r="H712" s="153"/>
      <c r="I712" s="154"/>
      <c r="J712" s="74"/>
      <c r="K712" s="129"/>
      <c r="L712" s="46"/>
    </row>
    <row r="713" spans="2:12" x14ac:dyDescent="0.35">
      <c r="B713" s="147"/>
      <c r="C713" s="148"/>
      <c r="D713" s="149"/>
      <c r="E713" s="150"/>
      <c r="F713" s="151" t="s">
        <v>85</v>
      </c>
      <c r="G713" s="152" t="s">
        <v>368</v>
      </c>
      <c r="H713" s="153"/>
      <c r="I713" s="154"/>
      <c r="J713" s="74"/>
      <c r="K713" s="129"/>
      <c r="L713" s="46"/>
    </row>
    <row r="714" spans="2:12" x14ac:dyDescent="0.35">
      <c r="B714" s="147"/>
      <c r="C714" s="148"/>
      <c r="D714" s="149"/>
      <c r="E714" s="150"/>
      <c r="F714" s="151" t="s">
        <v>85</v>
      </c>
      <c r="G714" s="152" t="s">
        <v>501</v>
      </c>
      <c r="H714" s="153"/>
      <c r="I714" s="154"/>
      <c r="J714" s="74"/>
      <c r="K714" s="51"/>
      <c r="L714" s="46"/>
    </row>
    <row r="715" spans="2:12" x14ac:dyDescent="0.35">
      <c r="B715" s="147"/>
      <c r="C715" s="148"/>
      <c r="D715" s="149"/>
      <c r="E715" s="150"/>
      <c r="F715" s="151" t="s">
        <v>85</v>
      </c>
      <c r="G715" s="152" t="s">
        <v>503</v>
      </c>
      <c r="H715" s="153"/>
      <c r="I715" s="154"/>
      <c r="J715" s="74"/>
      <c r="K715" s="133"/>
      <c r="L715" s="46"/>
    </row>
    <row r="716" spans="2:12" x14ac:dyDescent="0.35">
      <c r="B716" s="147"/>
      <c r="C716" s="148"/>
      <c r="D716" s="149" t="s">
        <v>44</v>
      </c>
      <c r="E716" s="150"/>
      <c r="F716" s="151" t="s">
        <v>435</v>
      </c>
      <c r="G716" s="152"/>
      <c r="H716" s="153">
        <v>1</v>
      </c>
      <c r="I716" s="154" t="s">
        <v>166</v>
      </c>
      <c r="J716" s="74">
        <v>700000</v>
      </c>
      <c r="K716" s="51">
        <f>J716*H716</f>
        <v>700000</v>
      </c>
      <c r="L716" s="46"/>
    </row>
    <row r="717" spans="2:12" x14ac:dyDescent="0.35">
      <c r="B717" s="147"/>
      <c r="C717" s="148"/>
      <c r="D717" s="149"/>
      <c r="E717" s="150"/>
      <c r="F717" s="151" t="s">
        <v>85</v>
      </c>
      <c r="G717" s="152" t="s">
        <v>428</v>
      </c>
      <c r="H717" s="153"/>
      <c r="I717" s="154"/>
      <c r="J717" s="74"/>
      <c r="K717" s="51"/>
      <c r="L717" s="46"/>
    </row>
    <row r="718" spans="2:12" x14ac:dyDescent="0.35">
      <c r="B718" s="147"/>
      <c r="C718" s="148"/>
      <c r="D718" s="149"/>
      <c r="E718" s="150"/>
      <c r="F718" s="151" t="s">
        <v>85</v>
      </c>
      <c r="G718" s="152" t="s">
        <v>429</v>
      </c>
      <c r="H718" s="259"/>
      <c r="I718" s="154"/>
      <c r="J718" s="74"/>
      <c r="K718" s="51"/>
      <c r="L718" s="46"/>
    </row>
    <row r="719" spans="2:12" x14ac:dyDescent="0.35">
      <c r="B719" s="147"/>
      <c r="C719" s="148"/>
      <c r="D719" s="149"/>
      <c r="E719" s="150"/>
      <c r="F719" s="151" t="s">
        <v>85</v>
      </c>
      <c r="G719" s="152" t="s">
        <v>430</v>
      </c>
      <c r="H719" s="153"/>
      <c r="I719" s="154"/>
      <c r="J719" s="74"/>
      <c r="K719" s="51"/>
      <c r="L719" s="46"/>
    </row>
    <row r="720" spans="2:12" x14ac:dyDescent="0.35">
      <c r="B720" s="147"/>
      <c r="C720" s="148"/>
      <c r="D720" s="149"/>
      <c r="E720" s="150"/>
      <c r="F720" s="151" t="s">
        <v>85</v>
      </c>
      <c r="G720" s="152" t="s">
        <v>368</v>
      </c>
      <c r="H720" s="153"/>
      <c r="I720" s="154"/>
      <c r="J720" s="74"/>
      <c r="K720" s="51"/>
      <c r="L720" s="46"/>
    </row>
    <row r="721" spans="2:12" x14ac:dyDescent="0.35">
      <c r="B721" s="147"/>
      <c r="C721" s="148"/>
      <c r="D721" s="149"/>
      <c r="E721" s="150"/>
      <c r="F721" s="151" t="s">
        <v>85</v>
      </c>
      <c r="G721" s="152" t="s">
        <v>501</v>
      </c>
      <c r="H721" s="153"/>
      <c r="I721" s="154"/>
      <c r="J721" s="74"/>
      <c r="K721" s="51"/>
      <c r="L721" s="46"/>
    </row>
    <row r="722" spans="2:12" x14ac:dyDescent="0.35">
      <c r="B722" s="147"/>
      <c r="C722" s="148"/>
      <c r="D722" s="149"/>
      <c r="E722" s="150"/>
      <c r="F722" s="151" t="s">
        <v>85</v>
      </c>
      <c r="G722" s="152" t="s">
        <v>503</v>
      </c>
      <c r="H722" s="157"/>
      <c r="I722" s="154"/>
      <c r="J722" s="74"/>
      <c r="K722" s="51"/>
      <c r="L722" s="46"/>
    </row>
    <row r="723" spans="2:12" x14ac:dyDescent="0.35">
      <c r="B723" s="147"/>
      <c r="C723" s="148"/>
      <c r="D723" s="149"/>
      <c r="E723" s="150"/>
      <c r="F723" s="151"/>
      <c r="G723" s="152"/>
      <c r="H723" s="153"/>
      <c r="I723" s="154"/>
      <c r="J723" s="74"/>
      <c r="K723" s="51"/>
      <c r="L723" s="46"/>
    </row>
    <row r="724" spans="2:12" x14ac:dyDescent="0.35">
      <c r="B724" s="147"/>
      <c r="C724" s="148"/>
      <c r="D724" s="149"/>
      <c r="E724" s="150"/>
      <c r="F724" s="151"/>
      <c r="G724" s="152"/>
      <c r="H724" s="157"/>
      <c r="I724" s="154"/>
      <c r="J724" s="89"/>
      <c r="K724" s="93"/>
      <c r="L724" s="46"/>
    </row>
    <row r="725" spans="2:12" x14ac:dyDescent="0.35">
      <c r="B725" s="147"/>
      <c r="C725" s="148"/>
      <c r="D725" s="149"/>
      <c r="E725" s="150"/>
      <c r="F725" s="151"/>
      <c r="G725" s="152"/>
      <c r="H725" s="153"/>
      <c r="I725" s="154"/>
      <c r="J725" s="92"/>
      <c r="K725" s="58"/>
      <c r="L725" s="29"/>
    </row>
    <row r="726" spans="2:12" x14ac:dyDescent="0.35">
      <c r="B726" s="8"/>
      <c r="C726" s="9"/>
      <c r="D726" s="10"/>
      <c r="E726" s="4"/>
      <c r="F726" s="4"/>
      <c r="G726" s="4"/>
      <c r="H726" s="1"/>
      <c r="I726" s="1"/>
      <c r="J726" s="11" t="s">
        <v>8</v>
      </c>
      <c r="K726" s="7">
        <f>SUM(K668:K725)</f>
        <v>4100000</v>
      </c>
      <c r="L726" s="7">
        <f>SUM(L668:L725)</f>
        <v>1500000</v>
      </c>
    </row>
    <row r="727" spans="2:12" x14ac:dyDescent="0.35">
      <c r="B727" s="8"/>
      <c r="C727" s="9"/>
      <c r="D727" s="9"/>
      <c r="E727" s="4"/>
      <c r="F727" s="4"/>
      <c r="G727" s="4"/>
      <c r="H727" s="1"/>
      <c r="I727" s="1"/>
      <c r="J727" s="11"/>
      <c r="K727" s="35" t="s">
        <v>12</v>
      </c>
      <c r="L727" s="36" t="s">
        <v>13</v>
      </c>
    </row>
    <row r="728" spans="2:12" x14ac:dyDescent="0.35">
      <c r="B728" s="3" t="s">
        <v>9</v>
      </c>
      <c r="C728" s="4"/>
      <c r="D728" s="4"/>
      <c r="E728" s="4"/>
      <c r="F728" s="4"/>
      <c r="G728" s="4"/>
      <c r="H728" s="1"/>
      <c r="I728" s="1"/>
      <c r="J728" s="12"/>
      <c r="K728" s="12"/>
      <c r="L728" s="13"/>
    </row>
    <row r="729" spans="2:12" x14ac:dyDescent="0.35">
      <c r="B729" s="37"/>
      <c r="C729" s="1"/>
      <c r="D729" s="1"/>
      <c r="E729" s="38"/>
      <c r="F729" s="38"/>
      <c r="G729" s="38"/>
      <c r="H729" s="1"/>
      <c r="I729" s="1"/>
      <c r="J729" s="1"/>
      <c r="K729" s="1"/>
      <c r="L729" s="19"/>
    </row>
    <row r="730" spans="2:12" x14ac:dyDescent="0.35">
      <c r="B730" s="28" t="s">
        <v>6</v>
      </c>
      <c r="C730" s="27"/>
      <c r="D730" s="27"/>
      <c r="E730" s="26"/>
      <c r="F730" s="26"/>
      <c r="G730" s="5"/>
      <c r="K730" s="301" t="s">
        <v>27</v>
      </c>
      <c r="L730" s="302"/>
    </row>
    <row r="731" spans="2:12" x14ac:dyDescent="0.35">
      <c r="B731" s="28">
        <v>1</v>
      </c>
      <c r="C731" s="27"/>
      <c r="D731" s="27"/>
      <c r="E731" s="26" t="s">
        <v>7</v>
      </c>
      <c r="F731" s="26"/>
      <c r="G731" s="5"/>
      <c r="K731" s="301" t="s">
        <v>17</v>
      </c>
      <c r="L731" s="302"/>
    </row>
    <row r="732" spans="2:12" x14ac:dyDescent="0.35">
      <c r="B732" s="39"/>
      <c r="C732" s="27"/>
      <c r="D732" s="27"/>
      <c r="E732" s="26"/>
      <c r="F732" s="26"/>
      <c r="G732" s="5"/>
      <c r="J732" s="25"/>
      <c r="K732" s="25"/>
      <c r="L732" s="24"/>
    </row>
    <row r="733" spans="2:12" x14ac:dyDescent="0.35">
      <c r="B733" s="28"/>
      <c r="C733" s="27"/>
      <c r="D733" s="27"/>
      <c r="E733" s="26"/>
      <c r="F733" s="26"/>
      <c r="G733" s="5"/>
      <c r="L733" s="22"/>
    </row>
    <row r="734" spans="2:12" x14ac:dyDescent="0.35">
      <c r="B734" s="45"/>
      <c r="E734" s="5"/>
      <c r="F734" s="5"/>
      <c r="G734" s="5"/>
      <c r="L734" s="22"/>
    </row>
    <row r="735" spans="2:12" x14ac:dyDescent="0.35">
      <c r="B735" s="45"/>
      <c r="E735" s="5"/>
      <c r="F735" s="5"/>
      <c r="G735" s="5"/>
      <c r="L735" s="22"/>
    </row>
    <row r="736" spans="2:12" x14ac:dyDescent="0.35">
      <c r="B736" s="45"/>
      <c r="E736" s="5"/>
      <c r="F736" s="5"/>
      <c r="G736" s="5"/>
      <c r="L736" s="22"/>
    </row>
    <row r="737" spans="2:14" x14ac:dyDescent="0.35">
      <c r="B737" s="45"/>
      <c r="E737" s="5"/>
      <c r="F737" s="5"/>
      <c r="G737" s="5"/>
      <c r="J737" s="40"/>
      <c r="K737" s="303" t="s">
        <v>25</v>
      </c>
      <c r="L737" s="304"/>
    </row>
    <row r="738" spans="2:14" x14ac:dyDescent="0.35">
      <c r="B738" s="45"/>
      <c r="K738" s="289" t="s">
        <v>26</v>
      </c>
      <c r="L738" s="290"/>
    </row>
    <row r="739" spans="2:14" x14ac:dyDescent="0.35">
      <c r="B739" s="305"/>
      <c r="C739" s="306"/>
      <c r="D739" s="306"/>
      <c r="E739" s="41"/>
      <c r="F739" s="41"/>
      <c r="G739" s="41"/>
      <c r="H739" s="2"/>
      <c r="I739" s="2"/>
      <c r="J739" s="2"/>
      <c r="K739" s="2"/>
      <c r="L739" s="21"/>
    </row>
    <row r="740" spans="2:14" x14ac:dyDescent="0.35">
      <c r="B740" s="47"/>
      <c r="C740" s="48"/>
      <c r="D740" s="49"/>
      <c r="G740" s="22"/>
      <c r="H740" s="1"/>
      <c r="I740" s="1"/>
      <c r="J740" s="43"/>
      <c r="K740" s="30"/>
      <c r="L740" s="44"/>
    </row>
    <row r="741" spans="2:14" x14ac:dyDescent="0.35">
      <c r="B741" s="147"/>
      <c r="C741" s="148"/>
      <c r="D741" s="149" t="s">
        <v>46</v>
      </c>
      <c r="E741" s="150"/>
      <c r="F741" s="151" t="s">
        <v>436</v>
      </c>
      <c r="G741" s="152"/>
      <c r="H741" s="153">
        <v>1</v>
      </c>
      <c r="I741" s="154" t="s">
        <v>166</v>
      </c>
      <c r="J741" s="74">
        <v>700000</v>
      </c>
      <c r="K741" s="51">
        <f>J741*H741</f>
        <v>700000</v>
      </c>
      <c r="L741" s="46"/>
    </row>
    <row r="742" spans="2:14" x14ac:dyDescent="0.35">
      <c r="B742" s="147"/>
      <c r="C742" s="148"/>
      <c r="D742" s="149"/>
      <c r="E742" s="150"/>
      <c r="F742" s="151" t="s">
        <v>85</v>
      </c>
      <c r="G742" s="152" t="s">
        <v>428</v>
      </c>
      <c r="H742" s="153"/>
      <c r="I742" s="154"/>
      <c r="J742" s="74"/>
      <c r="K742" s="51"/>
      <c r="L742" s="46"/>
    </row>
    <row r="743" spans="2:14" x14ac:dyDescent="0.35">
      <c r="B743" s="147"/>
      <c r="C743" s="148"/>
      <c r="D743" s="149"/>
      <c r="E743" s="150"/>
      <c r="F743" s="151" t="s">
        <v>85</v>
      </c>
      <c r="G743" s="152" t="s">
        <v>429</v>
      </c>
      <c r="H743" s="259"/>
      <c r="I743" s="154"/>
      <c r="J743" s="74"/>
      <c r="K743" s="51"/>
      <c r="L743" s="46"/>
    </row>
    <row r="744" spans="2:14" x14ac:dyDescent="0.35">
      <c r="B744" s="147"/>
      <c r="C744" s="148"/>
      <c r="D744" s="149"/>
      <c r="E744" s="150"/>
      <c r="F744" s="151" t="s">
        <v>85</v>
      </c>
      <c r="G744" s="152" t="s">
        <v>430</v>
      </c>
      <c r="H744" s="153"/>
      <c r="I744" s="154"/>
      <c r="J744" s="74"/>
      <c r="K744" s="51"/>
      <c r="L744" s="46"/>
    </row>
    <row r="745" spans="2:14" x14ac:dyDescent="0.35">
      <c r="B745" s="147"/>
      <c r="C745" s="148"/>
      <c r="D745" s="149"/>
      <c r="E745" s="150"/>
      <c r="F745" s="151" t="s">
        <v>85</v>
      </c>
      <c r="G745" s="152" t="s">
        <v>368</v>
      </c>
      <c r="H745" s="153"/>
      <c r="I745" s="154"/>
      <c r="J745" s="74"/>
      <c r="K745" s="51"/>
      <c r="L745" s="46"/>
    </row>
    <row r="746" spans="2:14" x14ac:dyDescent="0.35">
      <c r="B746" s="147"/>
      <c r="C746" s="148"/>
      <c r="D746" s="149"/>
      <c r="E746" s="150"/>
      <c r="F746" s="151" t="s">
        <v>85</v>
      </c>
      <c r="G746" s="152" t="s">
        <v>501</v>
      </c>
      <c r="H746" s="157"/>
      <c r="I746" s="154"/>
      <c r="J746" s="65"/>
      <c r="K746" s="58"/>
      <c r="L746" s="46"/>
    </row>
    <row r="747" spans="2:14" x14ac:dyDescent="0.35">
      <c r="B747" s="147"/>
      <c r="C747" s="148"/>
      <c r="D747" s="149"/>
      <c r="E747" s="150"/>
      <c r="F747" s="151" t="s">
        <v>85</v>
      </c>
      <c r="G747" s="152" t="s">
        <v>503</v>
      </c>
      <c r="H747" s="153"/>
      <c r="I747" s="154"/>
      <c r="J747" s="65"/>
      <c r="K747" s="58"/>
      <c r="L747" s="46"/>
      <c r="M747" s="169"/>
    </row>
    <row r="748" spans="2:14" x14ac:dyDescent="0.35">
      <c r="B748" s="147"/>
      <c r="C748" s="148"/>
      <c r="D748" s="149" t="s">
        <v>48</v>
      </c>
      <c r="E748" s="150"/>
      <c r="F748" s="151" t="s">
        <v>437</v>
      </c>
      <c r="G748" s="152"/>
      <c r="H748" s="153">
        <v>1</v>
      </c>
      <c r="I748" s="154" t="s">
        <v>166</v>
      </c>
      <c r="J748" s="74">
        <v>700000</v>
      </c>
      <c r="K748" s="51">
        <f>J748*H748</f>
        <v>700000</v>
      </c>
      <c r="L748" s="46"/>
      <c r="M748" s="169"/>
      <c r="N748" s="169"/>
    </row>
    <row r="749" spans="2:14" x14ac:dyDescent="0.35">
      <c r="B749" s="147"/>
      <c r="C749" s="148"/>
      <c r="D749" s="149"/>
      <c r="E749" s="150"/>
      <c r="F749" s="151" t="s">
        <v>85</v>
      </c>
      <c r="G749" s="152" t="s">
        <v>428</v>
      </c>
      <c r="H749" s="153"/>
      <c r="I749" s="154"/>
      <c r="J749" s="65"/>
      <c r="K749" s="58"/>
      <c r="L749" s="46"/>
    </row>
    <row r="750" spans="2:14" x14ac:dyDescent="0.35">
      <c r="B750" s="147"/>
      <c r="C750" s="148"/>
      <c r="D750" s="149"/>
      <c r="E750" s="150"/>
      <c r="F750" s="151" t="s">
        <v>85</v>
      </c>
      <c r="G750" s="152" t="s">
        <v>429</v>
      </c>
      <c r="H750" s="259"/>
      <c r="I750" s="154"/>
      <c r="J750" s="65"/>
      <c r="K750" s="58"/>
      <c r="L750" s="46"/>
      <c r="M750" s="169"/>
    </row>
    <row r="751" spans="2:14" x14ac:dyDescent="0.35">
      <c r="B751" s="147"/>
      <c r="C751" s="148"/>
      <c r="D751" s="149"/>
      <c r="E751" s="150"/>
      <c r="F751" s="151" t="s">
        <v>85</v>
      </c>
      <c r="G751" s="152" t="s">
        <v>430</v>
      </c>
      <c r="H751" s="153"/>
      <c r="I751" s="154"/>
      <c r="J751" s="65"/>
      <c r="K751" s="58"/>
      <c r="L751" s="46"/>
      <c r="M751" s="169"/>
      <c r="N751" s="169"/>
    </row>
    <row r="752" spans="2:14" x14ac:dyDescent="0.35">
      <c r="B752" s="147"/>
      <c r="C752" s="148"/>
      <c r="D752" s="149"/>
      <c r="E752" s="150"/>
      <c r="F752" s="151" t="s">
        <v>85</v>
      </c>
      <c r="G752" s="152" t="s">
        <v>368</v>
      </c>
      <c r="H752" s="153"/>
      <c r="I752" s="154"/>
      <c r="J752" s="74"/>
      <c r="K752" s="51"/>
      <c r="L752" s="46"/>
    </row>
    <row r="753" spans="2:15" x14ac:dyDescent="0.35">
      <c r="B753" s="147"/>
      <c r="C753" s="148"/>
      <c r="D753" s="149"/>
      <c r="E753" s="150"/>
      <c r="F753" s="151" t="s">
        <v>85</v>
      </c>
      <c r="G753" s="152" t="s">
        <v>501</v>
      </c>
      <c r="H753" s="153"/>
      <c r="I753" s="154"/>
      <c r="J753" s="74"/>
      <c r="K753" s="51"/>
      <c r="L753" s="46"/>
    </row>
    <row r="754" spans="2:15" x14ac:dyDescent="0.35">
      <c r="B754" s="147"/>
      <c r="C754" s="148"/>
      <c r="D754" s="149"/>
      <c r="E754" s="150"/>
      <c r="F754" s="151" t="s">
        <v>85</v>
      </c>
      <c r="G754" s="152" t="s">
        <v>503</v>
      </c>
      <c r="H754" s="153"/>
      <c r="I754" s="154"/>
      <c r="J754" s="65"/>
      <c r="K754" s="58"/>
      <c r="L754" s="46"/>
    </row>
    <row r="755" spans="2:15" x14ac:dyDescent="0.35">
      <c r="B755" s="147"/>
      <c r="C755" s="148"/>
      <c r="D755" s="149" t="s">
        <v>50</v>
      </c>
      <c r="E755" s="150"/>
      <c r="F755" s="151" t="s">
        <v>438</v>
      </c>
      <c r="G755" s="152"/>
      <c r="H755" s="153">
        <v>1</v>
      </c>
      <c r="I755" s="154" t="s">
        <v>166</v>
      </c>
      <c r="J755" s="74">
        <v>700000</v>
      </c>
      <c r="K755" s="51">
        <f>J755*H755</f>
        <v>700000</v>
      </c>
      <c r="L755" s="46"/>
    </row>
    <row r="756" spans="2:15" x14ac:dyDescent="0.35">
      <c r="B756" s="147"/>
      <c r="C756" s="148"/>
      <c r="D756" s="149"/>
      <c r="E756" s="150"/>
      <c r="F756" s="151" t="s">
        <v>85</v>
      </c>
      <c r="G756" s="152" t="s">
        <v>428</v>
      </c>
      <c r="H756" s="153"/>
      <c r="I756" s="154"/>
      <c r="J756" s="74"/>
      <c r="K756" s="51"/>
      <c r="L756" s="46"/>
    </row>
    <row r="757" spans="2:15" x14ac:dyDescent="0.35">
      <c r="B757" s="147"/>
      <c r="C757" s="148"/>
      <c r="D757" s="149"/>
      <c r="E757" s="150"/>
      <c r="F757" s="151" t="s">
        <v>85</v>
      </c>
      <c r="G757" s="152" t="s">
        <v>429</v>
      </c>
      <c r="H757" s="259"/>
      <c r="I757" s="154"/>
      <c r="J757" s="74"/>
      <c r="K757" s="51"/>
      <c r="L757" s="46"/>
    </row>
    <row r="758" spans="2:15" x14ac:dyDescent="0.35">
      <c r="B758" s="147"/>
      <c r="C758" s="148"/>
      <c r="D758" s="149"/>
      <c r="E758" s="150"/>
      <c r="F758" s="151" t="s">
        <v>85</v>
      </c>
      <c r="G758" s="152" t="s">
        <v>430</v>
      </c>
      <c r="H758" s="153"/>
      <c r="I758" s="154"/>
      <c r="J758" s="74"/>
      <c r="K758" s="51"/>
      <c r="L758" s="46"/>
    </row>
    <row r="759" spans="2:15" x14ac:dyDescent="0.35">
      <c r="B759" s="147"/>
      <c r="C759" s="148"/>
      <c r="D759" s="149"/>
      <c r="E759" s="150"/>
      <c r="F759" s="151" t="s">
        <v>85</v>
      </c>
      <c r="G759" s="152" t="s">
        <v>368</v>
      </c>
      <c r="H759" s="153"/>
      <c r="I759" s="154"/>
      <c r="J759" s="74"/>
      <c r="K759" s="51"/>
      <c r="L759" s="46"/>
    </row>
    <row r="760" spans="2:15" x14ac:dyDescent="0.35">
      <c r="B760" s="147"/>
      <c r="C760" s="148"/>
      <c r="D760" s="149"/>
      <c r="E760" s="150"/>
      <c r="F760" s="151" t="s">
        <v>85</v>
      </c>
      <c r="G760" s="152" t="s">
        <v>501</v>
      </c>
      <c r="H760" s="153"/>
      <c r="I760" s="154"/>
      <c r="J760" s="65"/>
      <c r="K760" s="58"/>
      <c r="L760" s="46"/>
      <c r="M760" s="170"/>
    </row>
    <row r="761" spans="2:15" x14ac:dyDescent="0.35">
      <c r="B761" s="147"/>
      <c r="C761" s="148"/>
      <c r="D761" s="149"/>
      <c r="E761" s="150"/>
      <c r="F761" s="151" t="s">
        <v>85</v>
      </c>
      <c r="G761" s="152" t="s">
        <v>503</v>
      </c>
      <c r="H761" s="153"/>
      <c r="I761" s="154"/>
      <c r="J761" s="74"/>
      <c r="K761" s="51"/>
      <c r="L761" s="46"/>
      <c r="M761" s="170"/>
    </row>
    <row r="762" spans="2:15" x14ac:dyDescent="0.35">
      <c r="B762" s="147"/>
      <c r="C762" s="148"/>
      <c r="D762" s="149" t="s">
        <v>52</v>
      </c>
      <c r="E762" s="150"/>
      <c r="F762" s="151" t="s">
        <v>439</v>
      </c>
      <c r="G762" s="152"/>
      <c r="H762" s="153">
        <v>1</v>
      </c>
      <c r="I762" s="154" t="s">
        <v>166</v>
      </c>
      <c r="J762" s="74">
        <v>700000</v>
      </c>
      <c r="K762" s="51">
        <f>J762*H762</f>
        <v>700000</v>
      </c>
      <c r="L762" s="46"/>
      <c r="M762" s="170"/>
    </row>
    <row r="763" spans="2:15" x14ac:dyDescent="0.35">
      <c r="B763" s="147"/>
      <c r="C763" s="148"/>
      <c r="D763" s="149"/>
      <c r="E763" s="150"/>
      <c r="F763" s="151" t="s">
        <v>85</v>
      </c>
      <c r="G763" s="152" t="s">
        <v>428</v>
      </c>
      <c r="H763" s="153"/>
      <c r="I763" s="154"/>
      <c r="J763" s="74"/>
      <c r="K763" s="51"/>
      <c r="L763" s="46"/>
      <c r="M763" s="170"/>
      <c r="N763" s="170"/>
      <c r="O763" s="168"/>
    </row>
    <row r="764" spans="2:15" x14ac:dyDescent="0.35">
      <c r="B764" s="147"/>
      <c r="C764" s="148"/>
      <c r="D764" s="149"/>
      <c r="E764" s="150"/>
      <c r="F764" s="151" t="s">
        <v>85</v>
      </c>
      <c r="G764" s="152" t="s">
        <v>429</v>
      </c>
      <c r="H764" s="259"/>
      <c r="I764" s="154"/>
      <c r="J764" s="74"/>
      <c r="K764" s="51"/>
      <c r="L764" s="46"/>
    </row>
    <row r="765" spans="2:15" x14ac:dyDescent="0.35">
      <c r="B765" s="147"/>
      <c r="C765" s="148"/>
      <c r="D765" s="149"/>
      <c r="E765" s="150"/>
      <c r="F765" s="151" t="s">
        <v>85</v>
      </c>
      <c r="G765" s="152" t="s">
        <v>430</v>
      </c>
      <c r="H765" s="153"/>
      <c r="I765" s="154"/>
      <c r="J765" s="65"/>
      <c r="K765" s="58"/>
      <c r="L765" s="46"/>
    </row>
    <row r="766" spans="2:15" x14ac:dyDescent="0.35">
      <c r="B766" s="147"/>
      <c r="C766" s="148"/>
      <c r="D766" s="149"/>
      <c r="E766" s="150"/>
      <c r="F766" s="151" t="s">
        <v>85</v>
      </c>
      <c r="G766" s="152" t="s">
        <v>368</v>
      </c>
      <c r="H766" s="153"/>
      <c r="I766" s="154"/>
      <c r="J766" s="74"/>
      <c r="K766" s="51"/>
      <c r="L766" s="46"/>
    </row>
    <row r="767" spans="2:15" x14ac:dyDescent="0.35">
      <c r="B767" s="147"/>
      <c r="C767" s="148"/>
      <c r="D767" s="149"/>
      <c r="E767" s="150"/>
      <c r="F767" s="151" t="s">
        <v>85</v>
      </c>
      <c r="G767" s="152" t="s">
        <v>501</v>
      </c>
      <c r="H767" s="153"/>
      <c r="I767" s="154"/>
      <c r="J767" s="74"/>
      <c r="K767" s="51"/>
      <c r="L767" s="46"/>
    </row>
    <row r="768" spans="2:15" x14ac:dyDescent="0.35">
      <c r="B768" s="147"/>
      <c r="C768" s="148"/>
      <c r="D768" s="149"/>
      <c r="E768" s="150"/>
      <c r="F768" s="151" t="s">
        <v>85</v>
      </c>
      <c r="G768" s="152" t="s">
        <v>503</v>
      </c>
      <c r="H768" s="153"/>
      <c r="I768" s="154"/>
      <c r="J768" s="74"/>
      <c r="K768" s="51"/>
      <c r="L768" s="46"/>
    </row>
    <row r="769" spans="2:12" x14ac:dyDescent="0.35">
      <c r="B769" s="147"/>
      <c r="C769" s="148"/>
      <c r="D769" s="149" t="s">
        <v>54</v>
      </c>
      <c r="E769" s="150"/>
      <c r="F769" s="151" t="s">
        <v>440</v>
      </c>
      <c r="G769" s="152"/>
      <c r="H769" s="153">
        <v>1</v>
      </c>
      <c r="I769" s="154" t="s">
        <v>166</v>
      </c>
      <c r="J769" s="74">
        <v>600000</v>
      </c>
      <c r="K769" s="51">
        <f>J769*H769</f>
        <v>600000</v>
      </c>
      <c r="L769" s="46"/>
    </row>
    <row r="770" spans="2:12" x14ac:dyDescent="0.35">
      <c r="B770" s="147"/>
      <c r="C770" s="148"/>
      <c r="D770" s="149"/>
      <c r="E770" s="150"/>
      <c r="F770" s="151" t="s">
        <v>85</v>
      </c>
      <c r="G770" s="152" t="s">
        <v>428</v>
      </c>
      <c r="H770" s="153"/>
      <c r="I770" s="154"/>
      <c r="J770" s="74"/>
      <c r="K770" s="51"/>
      <c r="L770" s="46"/>
    </row>
    <row r="771" spans="2:12" x14ac:dyDescent="0.35">
      <c r="B771" s="147"/>
      <c r="C771" s="148"/>
      <c r="D771" s="149"/>
      <c r="E771" s="150"/>
      <c r="F771" s="151" t="s">
        <v>85</v>
      </c>
      <c r="G771" s="152" t="s">
        <v>429</v>
      </c>
      <c r="H771" s="259"/>
      <c r="I771" s="154"/>
      <c r="J771" s="74"/>
      <c r="K771" s="51"/>
      <c r="L771" s="46"/>
    </row>
    <row r="772" spans="2:12" x14ac:dyDescent="0.35">
      <c r="B772" s="147"/>
      <c r="C772" s="148"/>
      <c r="D772" s="149"/>
      <c r="E772" s="150"/>
      <c r="F772" s="151" t="s">
        <v>85</v>
      </c>
      <c r="G772" s="152" t="s">
        <v>430</v>
      </c>
      <c r="H772" s="153"/>
      <c r="I772" s="154"/>
      <c r="J772" s="74"/>
      <c r="K772" s="51"/>
      <c r="L772" s="46"/>
    </row>
    <row r="773" spans="2:12" x14ac:dyDescent="0.35">
      <c r="B773" s="147"/>
      <c r="C773" s="148"/>
      <c r="D773" s="149"/>
      <c r="E773" s="150"/>
      <c r="F773" s="151" t="s">
        <v>85</v>
      </c>
      <c r="G773" s="152" t="s">
        <v>368</v>
      </c>
      <c r="H773" s="153"/>
      <c r="I773" s="154"/>
      <c r="J773" s="74"/>
      <c r="K773" s="51"/>
      <c r="L773" s="46"/>
    </row>
    <row r="774" spans="2:12" x14ac:dyDescent="0.35">
      <c r="B774" s="147"/>
      <c r="C774" s="148"/>
      <c r="D774" s="149"/>
      <c r="E774" s="150"/>
      <c r="F774" s="151" t="s">
        <v>85</v>
      </c>
      <c r="G774" s="152" t="s">
        <v>501</v>
      </c>
      <c r="H774" s="153"/>
      <c r="I774" s="154"/>
      <c r="J774" s="74"/>
      <c r="K774" s="129"/>
      <c r="L774" s="46"/>
    </row>
    <row r="775" spans="2:12" x14ac:dyDescent="0.35">
      <c r="B775" s="147"/>
      <c r="C775" s="148"/>
      <c r="D775" s="149"/>
      <c r="E775" s="150"/>
      <c r="F775" s="151" t="s">
        <v>85</v>
      </c>
      <c r="G775" s="152" t="s">
        <v>503</v>
      </c>
      <c r="H775" s="153"/>
      <c r="I775" s="154"/>
      <c r="J775" s="74"/>
      <c r="K775" s="129"/>
      <c r="L775" s="46"/>
    </row>
    <row r="776" spans="2:12" x14ac:dyDescent="0.35">
      <c r="B776" s="147"/>
      <c r="C776" s="148"/>
      <c r="D776" s="149" t="s">
        <v>56</v>
      </c>
      <c r="E776" s="150"/>
      <c r="F776" s="151" t="s">
        <v>441</v>
      </c>
      <c r="G776" s="152"/>
      <c r="H776" s="153">
        <v>1</v>
      </c>
      <c r="I776" s="154" t="s">
        <v>166</v>
      </c>
      <c r="J776" s="74">
        <v>700000</v>
      </c>
      <c r="K776" s="51">
        <f>J776*H776</f>
        <v>700000</v>
      </c>
      <c r="L776" s="46"/>
    </row>
    <row r="777" spans="2:12" x14ac:dyDescent="0.35">
      <c r="B777" s="147"/>
      <c r="C777" s="148"/>
      <c r="D777" s="149"/>
      <c r="E777" s="150"/>
      <c r="F777" s="151" t="s">
        <v>85</v>
      </c>
      <c r="G777" s="152" t="s">
        <v>428</v>
      </c>
      <c r="H777" s="153"/>
      <c r="I777" s="154"/>
      <c r="J777" s="74"/>
      <c r="K777" s="133"/>
      <c r="L777" s="46"/>
    </row>
    <row r="778" spans="2:12" x14ac:dyDescent="0.35">
      <c r="B778" s="147"/>
      <c r="C778" s="148"/>
      <c r="D778" s="149"/>
      <c r="E778" s="150"/>
      <c r="F778" s="151" t="s">
        <v>85</v>
      </c>
      <c r="G778" s="152" t="s">
        <v>429</v>
      </c>
      <c r="H778" s="259"/>
      <c r="I778" s="154"/>
      <c r="J778" s="89"/>
      <c r="K778" s="93"/>
      <c r="L778" s="46"/>
    </row>
    <row r="779" spans="2:12" x14ac:dyDescent="0.35">
      <c r="B779" s="147"/>
      <c r="C779" s="148"/>
      <c r="D779" s="149"/>
      <c r="E779" s="150"/>
      <c r="F779" s="151" t="s">
        <v>85</v>
      </c>
      <c r="G779" s="152" t="s">
        <v>430</v>
      </c>
      <c r="H779" s="153"/>
      <c r="I779" s="154"/>
      <c r="J779" s="74"/>
      <c r="K779" s="51"/>
      <c r="L779" s="46"/>
    </row>
    <row r="780" spans="2:12" x14ac:dyDescent="0.35">
      <c r="B780" s="147"/>
      <c r="C780" s="148"/>
      <c r="D780" s="149"/>
      <c r="E780" s="150"/>
      <c r="F780" s="151" t="s">
        <v>85</v>
      </c>
      <c r="G780" s="152" t="s">
        <v>368</v>
      </c>
      <c r="H780" s="153"/>
      <c r="I780" s="154"/>
      <c r="J780" s="74"/>
      <c r="K780" s="51"/>
      <c r="L780" s="46"/>
    </row>
    <row r="781" spans="2:12" x14ac:dyDescent="0.35">
      <c r="B781" s="147"/>
      <c r="C781" s="148"/>
      <c r="D781" s="149"/>
      <c r="E781" s="150"/>
      <c r="F781" s="151" t="s">
        <v>85</v>
      </c>
      <c r="G781" s="152" t="s">
        <v>501</v>
      </c>
      <c r="H781" s="153"/>
      <c r="I781" s="154"/>
      <c r="J781" s="74"/>
      <c r="K781" s="51"/>
      <c r="L781" s="46"/>
    </row>
    <row r="782" spans="2:12" x14ac:dyDescent="0.35">
      <c r="B782" s="147"/>
      <c r="C782" s="148"/>
      <c r="D782" s="149"/>
      <c r="E782" s="150"/>
      <c r="F782" s="151" t="s">
        <v>85</v>
      </c>
      <c r="G782" s="152" t="s">
        <v>503</v>
      </c>
      <c r="H782" s="153"/>
      <c r="I782" s="154"/>
      <c r="J782" s="74"/>
      <c r="K782" s="51"/>
      <c r="L782" s="46"/>
    </row>
    <row r="783" spans="2:12" x14ac:dyDescent="0.35">
      <c r="B783" s="147"/>
      <c r="C783" s="148"/>
      <c r="D783" s="149" t="s">
        <v>59</v>
      </c>
      <c r="E783" s="150"/>
      <c r="F783" s="151" t="s">
        <v>442</v>
      </c>
      <c r="G783" s="152"/>
      <c r="H783" s="153">
        <v>1</v>
      </c>
      <c r="I783" s="154" t="s">
        <v>166</v>
      </c>
      <c r="J783" s="74">
        <v>700000</v>
      </c>
      <c r="K783" s="51">
        <f>J783*H783</f>
        <v>700000</v>
      </c>
      <c r="L783" s="46"/>
    </row>
    <row r="784" spans="2:12" x14ac:dyDescent="0.35">
      <c r="B784" s="147"/>
      <c r="C784" s="148"/>
      <c r="D784" s="149"/>
      <c r="E784" s="150"/>
      <c r="F784" s="151" t="s">
        <v>85</v>
      </c>
      <c r="G784" s="152" t="s">
        <v>428</v>
      </c>
      <c r="H784" s="153"/>
      <c r="I784" s="154"/>
      <c r="J784" s="74"/>
      <c r="K784" s="51"/>
      <c r="L784" s="46"/>
    </row>
    <row r="785" spans="2:12" x14ac:dyDescent="0.35">
      <c r="B785" s="147"/>
      <c r="C785" s="148"/>
      <c r="D785" s="149"/>
      <c r="E785" s="150"/>
      <c r="F785" s="151" t="s">
        <v>85</v>
      </c>
      <c r="G785" s="152" t="s">
        <v>429</v>
      </c>
      <c r="H785" s="259"/>
      <c r="I785" s="154"/>
      <c r="J785" s="74"/>
      <c r="K785" s="51"/>
      <c r="L785" s="46"/>
    </row>
    <row r="786" spans="2:12" x14ac:dyDescent="0.35">
      <c r="B786" s="147"/>
      <c r="C786" s="148"/>
      <c r="D786" s="149"/>
      <c r="E786" s="150"/>
      <c r="F786" s="151" t="s">
        <v>85</v>
      </c>
      <c r="G786" s="152" t="s">
        <v>430</v>
      </c>
      <c r="H786" s="157"/>
      <c r="I786" s="154"/>
      <c r="J786" s="74"/>
      <c r="K786" s="51"/>
      <c r="L786" s="46"/>
    </row>
    <row r="787" spans="2:12" x14ac:dyDescent="0.35">
      <c r="B787" s="147"/>
      <c r="C787" s="148"/>
      <c r="D787" s="149"/>
      <c r="E787" s="150"/>
      <c r="F787" s="151" t="s">
        <v>85</v>
      </c>
      <c r="G787" s="152" t="s">
        <v>368</v>
      </c>
      <c r="H787" s="153"/>
      <c r="I787" s="154"/>
      <c r="J787" s="74"/>
      <c r="K787" s="51"/>
      <c r="L787" s="46"/>
    </row>
    <row r="788" spans="2:12" x14ac:dyDescent="0.35">
      <c r="B788" s="147"/>
      <c r="C788" s="148"/>
      <c r="D788" s="149"/>
      <c r="E788" s="150"/>
      <c r="F788" s="151" t="s">
        <v>85</v>
      </c>
      <c r="G788" s="152" t="s">
        <v>501</v>
      </c>
      <c r="H788" s="153"/>
      <c r="I788" s="154"/>
      <c r="J788" s="74"/>
      <c r="K788" s="51"/>
      <c r="L788" s="46"/>
    </row>
    <row r="789" spans="2:12" x14ac:dyDescent="0.35">
      <c r="B789" s="147"/>
      <c r="C789" s="148"/>
      <c r="D789" s="149"/>
      <c r="E789" s="150"/>
      <c r="F789" s="151" t="s">
        <v>85</v>
      </c>
      <c r="G789" s="152" t="s">
        <v>503</v>
      </c>
      <c r="H789" s="153"/>
      <c r="I789" s="154"/>
      <c r="J789" s="74"/>
      <c r="K789" s="51"/>
      <c r="L789" s="46"/>
    </row>
    <row r="790" spans="2:12" x14ac:dyDescent="0.35">
      <c r="B790" s="147"/>
      <c r="C790" s="148"/>
      <c r="D790" s="149" t="s">
        <v>60</v>
      </c>
      <c r="E790" s="150"/>
      <c r="F790" s="151" t="s">
        <v>443</v>
      </c>
      <c r="G790" s="152"/>
      <c r="H790" s="153">
        <v>1</v>
      </c>
      <c r="I790" s="154" t="s">
        <v>166</v>
      </c>
      <c r="J790" s="74">
        <v>700000</v>
      </c>
      <c r="K790" s="51">
        <f>J790*H790</f>
        <v>700000</v>
      </c>
      <c r="L790" s="46"/>
    </row>
    <row r="791" spans="2:12" x14ac:dyDescent="0.35">
      <c r="B791" s="147"/>
      <c r="C791" s="148"/>
      <c r="D791" s="149"/>
      <c r="E791" s="150"/>
      <c r="F791" s="151" t="s">
        <v>85</v>
      </c>
      <c r="G791" s="152" t="s">
        <v>428</v>
      </c>
      <c r="H791" s="153"/>
      <c r="I791" s="154"/>
      <c r="J791" s="65"/>
      <c r="K791" s="58"/>
      <c r="L791" s="46"/>
    </row>
    <row r="792" spans="2:12" x14ac:dyDescent="0.35">
      <c r="B792" s="147"/>
      <c r="C792" s="148"/>
      <c r="D792" s="149"/>
      <c r="E792" s="150"/>
      <c r="F792" s="151" t="s">
        <v>85</v>
      </c>
      <c r="G792" s="152" t="s">
        <v>429</v>
      </c>
      <c r="H792" s="259"/>
      <c r="I792" s="154"/>
      <c r="J792" s="65"/>
      <c r="K792" s="58"/>
      <c r="L792" s="46"/>
    </row>
    <row r="793" spans="2:12" x14ac:dyDescent="0.35">
      <c r="B793" s="147"/>
      <c r="C793" s="148"/>
      <c r="D793" s="149"/>
      <c r="E793" s="150"/>
      <c r="F793" s="151" t="s">
        <v>85</v>
      </c>
      <c r="G793" s="152" t="s">
        <v>430</v>
      </c>
      <c r="H793" s="157"/>
      <c r="I793" s="154"/>
      <c r="J793" s="65"/>
      <c r="K793" s="58"/>
      <c r="L793" s="46"/>
    </row>
    <row r="794" spans="2:12" x14ac:dyDescent="0.35">
      <c r="B794" s="147"/>
      <c r="C794" s="148"/>
      <c r="D794" s="149"/>
      <c r="E794" s="150"/>
      <c r="F794" s="151" t="s">
        <v>85</v>
      </c>
      <c r="G794" s="152" t="s">
        <v>368</v>
      </c>
      <c r="H794" s="153"/>
      <c r="I794" s="154"/>
      <c r="J794" s="65"/>
      <c r="K794" s="58"/>
      <c r="L794" s="46"/>
    </row>
    <row r="795" spans="2:12" x14ac:dyDescent="0.35">
      <c r="B795" s="147"/>
      <c r="C795" s="148"/>
      <c r="D795" s="149"/>
      <c r="E795" s="150"/>
      <c r="F795" s="151" t="s">
        <v>85</v>
      </c>
      <c r="G795" s="152" t="s">
        <v>501</v>
      </c>
      <c r="H795" s="153"/>
      <c r="I795" s="154"/>
      <c r="J795" s="74"/>
      <c r="K795" s="133"/>
      <c r="L795" s="46"/>
    </row>
    <row r="796" spans="2:12" x14ac:dyDescent="0.35">
      <c r="B796" s="147"/>
      <c r="C796" s="148"/>
      <c r="D796" s="149"/>
      <c r="E796" s="150"/>
      <c r="F796" s="151" t="s">
        <v>85</v>
      </c>
      <c r="G796" s="152" t="s">
        <v>503</v>
      </c>
      <c r="H796" s="153"/>
      <c r="I796" s="154"/>
      <c r="J796" s="89"/>
      <c r="K796" s="93"/>
      <c r="L796" s="46"/>
    </row>
    <row r="797" spans="2:12" x14ac:dyDescent="0.35">
      <c r="B797" s="147"/>
      <c r="C797" s="148"/>
      <c r="D797" s="149"/>
      <c r="E797" s="150"/>
      <c r="F797" s="151"/>
      <c r="G797" s="152"/>
      <c r="H797" s="153"/>
      <c r="I797" s="154"/>
      <c r="J797" s="92"/>
      <c r="K797" s="58"/>
      <c r="L797" s="29"/>
    </row>
    <row r="798" spans="2:12" x14ac:dyDescent="0.35">
      <c r="B798" s="8"/>
      <c r="C798" s="9"/>
      <c r="D798" s="10"/>
      <c r="E798" s="4"/>
      <c r="F798" s="4"/>
      <c r="G798" s="4"/>
      <c r="H798" s="1"/>
      <c r="I798" s="1"/>
      <c r="J798" s="11" t="s">
        <v>8</v>
      </c>
      <c r="K798" s="7">
        <f>SUM(K740:K797)</f>
        <v>5500000</v>
      </c>
      <c r="L798" s="7">
        <f>SUM(L740:L797)</f>
        <v>0</v>
      </c>
    </row>
    <row r="799" spans="2:12" x14ac:dyDescent="0.35">
      <c r="B799" s="8"/>
      <c r="C799" s="9"/>
      <c r="D799" s="9"/>
      <c r="E799" s="4"/>
      <c r="F799" s="4"/>
      <c r="G799" s="4"/>
      <c r="H799" s="1"/>
      <c r="I799" s="1"/>
      <c r="J799" s="11"/>
      <c r="K799" s="35" t="s">
        <v>12</v>
      </c>
      <c r="L799" s="36" t="s">
        <v>13</v>
      </c>
    </row>
    <row r="800" spans="2:12" x14ac:dyDescent="0.35">
      <c r="B800" s="3" t="s">
        <v>9</v>
      </c>
      <c r="C800" s="4"/>
      <c r="D800" s="4"/>
      <c r="E800" s="4"/>
      <c r="F800" s="4"/>
      <c r="G800" s="4"/>
      <c r="H800" s="1"/>
      <c r="I800" s="1"/>
      <c r="J800" s="12"/>
      <c r="K800" s="12"/>
      <c r="L800" s="13"/>
    </row>
    <row r="801" spans="2:12" x14ac:dyDescent="0.35">
      <c r="B801" s="37"/>
      <c r="C801" s="1"/>
      <c r="D801" s="1"/>
      <c r="E801" s="38"/>
      <c r="F801" s="38"/>
      <c r="G801" s="38"/>
      <c r="H801" s="1"/>
      <c r="I801" s="1"/>
      <c r="J801" s="1"/>
      <c r="K801" s="1"/>
      <c r="L801" s="19"/>
    </row>
    <row r="802" spans="2:12" x14ac:dyDescent="0.35">
      <c r="B802" s="28" t="s">
        <v>6</v>
      </c>
      <c r="C802" s="27"/>
      <c r="D802" s="27"/>
      <c r="E802" s="26"/>
      <c r="F802" s="26"/>
      <c r="G802" s="5"/>
      <c r="K802" s="301" t="s">
        <v>27</v>
      </c>
      <c r="L802" s="302"/>
    </row>
    <row r="803" spans="2:12" x14ac:dyDescent="0.35">
      <c r="B803" s="28">
        <v>1</v>
      </c>
      <c r="C803" s="27"/>
      <c r="D803" s="27"/>
      <c r="E803" s="26" t="s">
        <v>7</v>
      </c>
      <c r="F803" s="26"/>
      <c r="G803" s="5"/>
      <c r="K803" s="301" t="s">
        <v>17</v>
      </c>
      <c r="L803" s="302"/>
    </row>
    <row r="804" spans="2:12" x14ac:dyDescent="0.35">
      <c r="B804" s="39"/>
      <c r="C804" s="27"/>
      <c r="D804" s="27"/>
      <c r="E804" s="26"/>
      <c r="F804" s="26"/>
      <c r="G804" s="5"/>
      <c r="J804" s="25"/>
      <c r="K804" s="25"/>
      <c r="L804" s="24"/>
    </row>
    <row r="805" spans="2:12" x14ac:dyDescent="0.35">
      <c r="B805" s="28"/>
      <c r="C805" s="27"/>
      <c r="D805" s="27"/>
      <c r="E805" s="26"/>
      <c r="F805" s="26"/>
      <c r="G805" s="5"/>
      <c r="L805" s="22"/>
    </row>
    <row r="806" spans="2:12" x14ac:dyDescent="0.35">
      <c r="B806" s="45"/>
      <c r="E806" s="5"/>
      <c r="F806" s="5"/>
      <c r="G806" s="5"/>
      <c r="L806" s="22"/>
    </row>
    <row r="807" spans="2:12" x14ac:dyDescent="0.35">
      <c r="B807" s="45"/>
      <c r="E807" s="5"/>
      <c r="F807" s="5"/>
      <c r="G807" s="5"/>
      <c r="L807" s="22"/>
    </row>
    <row r="808" spans="2:12" x14ac:dyDescent="0.35">
      <c r="B808" s="45"/>
      <c r="E808" s="5"/>
      <c r="F808" s="5"/>
      <c r="G808" s="5"/>
      <c r="L808" s="22"/>
    </row>
    <row r="809" spans="2:12" x14ac:dyDescent="0.35">
      <c r="B809" s="45"/>
      <c r="E809" s="5"/>
      <c r="F809" s="5"/>
      <c r="G809" s="5"/>
      <c r="J809" s="40"/>
      <c r="K809" s="303" t="s">
        <v>25</v>
      </c>
      <c r="L809" s="304"/>
    </row>
    <row r="810" spans="2:12" x14ac:dyDescent="0.35">
      <c r="B810" s="45"/>
      <c r="K810" s="289" t="s">
        <v>26</v>
      </c>
      <c r="L810" s="290"/>
    </row>
    <row r="811" spans="2:12" x14ac:dyDescent="0.35">
      <c r="B811" s="305"/>
      <c r="C811" s="306"/>
      <c r="D811" s="306"/>
      <c r="E811" s="41"/>
      <c r="F811" s="41"/>
      <c r="G811" s="41"/>
      <c r="H811" s="2"/>
      <c r="I811" s="2"/>
      <c r="J811" s="2"/>
      <c r="K811" s="2"/>
      <c r="L811" s="21"/>
    </row>
    <row r="812" spans="2:12" x14ac:dyDescent="0.35">
      <c r="B812" s="47"/>
      <c r="C812" s="48"/>
      <c r="D812" s="49"/>
      <c r="G812" s="22"/>
      <c r="H812" s="1"/>
      <c r="I812" s="1"/>
      <c r="J812" s="43"/>
      <c r="K812" s="30"/>
      <c r="L812" s="44"/>
    </row>
    <row r="813" spans="2:12" x14ac:dyDescent="0.35">
      <c r="B813" s="147"/>
      <c r="C813" s="148"/>
      <c r="D813" s="149" t="s">
        <v>63</v>
      </c>
      <c r="E813" s="150"/>
      <c r="F813" s="151" t="s">
        <v>207</v>
      </c>
      <c r="G813" s="152"/>
      <c r="H813" s="153">
        <v>1</v>
      </c>
      <c r="I813" s="154" t="s">
        <v>166</v>
      </c>
      <c r="J813" s="74">
        <v>600000</v>
      </c>
      <c r="K813" s="51">
        <f>J813*H813</f>
        <v>600000</v>
      </c>
      <c r="L813" s="46"/>
    </row>
    <row r="814" spans="2:12" x14ac:dyDescent="0.35">
      <c r="B814" s="147"/>
      <c r="C814" s="148"/>
      <c r="D814" s="149"/>
      <c r="E814" s="150"/>
      <c r="F814" s="151" t="s">
        <v>85</v>
      </c>
      <c r="G814" s="152" t="s">
        <v>428</v>
      </c>
      <c r="H814" s="153"/>
      <c r="I814" s="154"/>
      <c r="J814" s="74"/>
      <c r="K814" s="51"/>
      <c r="L814" s="46"/>
    </row>
    <row r="815" spans="2:12" x14ac:dyDescent="0.35">
      <c r="B815" s="147"/>
      <c r="C815" s="148"/>
      <c r="D815" s="149"/>
      <c r="E815" s="150"/>
      <c r="F815" s="151" t="s">
        <v>85</v>
      </c>
      <c r="G815" s="152" t="s">
        <v>429</v>
      </c>
      <c r="H815" s="259"/>
      <c r="I815" s="154"/>
      <c r="J815" s="74"/>
      <c r="K815" s="51"/>
      <c r="L815" s="46"/>
    </row>
    <row r="816" spans="2:12" x14ac:dyDescent="0.35">
      <c r="B816" s="152"/>
      <c r="C816" s="260"/>
      <c r="D816" s="261"/>
      <c r="E816" s="262"/>
      <c r="F816" s="152" t="s">
        <v>85</v>
      </c>
      <c r="G816" s="152" t="s">
        <v>430</v>
      </c>
      <c r="H816" s="263"/>
      <c r="I816" s="264"/>
      <c r="J816" s="74"/>
      <c r="K816" s="51"/>
      <c r="L816" s="46"/>
    </row>
    <row r="817" spans="2:12" x14ac:dyDescent="0.35">
      <c r="B817" s="147"/>
      <c r="C817" s="148"/>
      <c r="D817" s="149"/>
      <c r="E817" s="150"/>
      <c r="F817" s="151" t="s">
        <v>85</v>
      </c>
      <c r="G817" s="152" t="s">
        <v>368</v>
      </c>
      <c r="H817" s="153"/>
      <c r="I817" s="154"/>
      <c r="J817" s="65"/>
      <c r="K817" s="51"/>
      <c r="L817" s="46"/>
    </row>
    <row r="818" spans="2:12" x14ac:dyDescent="0.35">
      <c r="B818" s="147"/>
      <c r="C818" s="148"/>
      <c r="D818" s="149"/>
      <c r="E818" s="150"/>
      <c r="F818" s="151" t="s">
        <v>85</v>
      </c>
      <c r="G818" s="152" t="s">
        <v>501</v>
      </c>
      <c r="H818" s="153"/>
      <c r="I818" s="154"/>
      <c r="J818" s="65"/>
      <c r="K818" s="58"/>
      <c r="L818" s="46"/>
    </row>
    <row r="819" spans="2:12" x14ac:dyDescent="0.35">
      <c r="B819" s="147"/>
      <c r="C819" s="148"/>
      <c r="D819" s="149"/>
      <c r="E819" s="150"/>
      <c r="F819" s="151" t="s">
        <v>85</v>
      </c>
      <c r="G819" s="152" t="s">
        <v>503</v>
      </c>
      <c r="H819" s="153"/>
      <c r="I819" s="154"/>
      <c r="J819" s="74"/>
      <c r="K819" s="51"/>
      <c r="L819" s="46"/>
    </row>
    <row r="820" spans="2:12" x14ac:dyDescent="0.35">
      <c r="B820" s="147"/>
      <c r="C820" s="148"/>
      <c r="D820" s="149" t="s">
        <v>65</v>
      </c>
      <c r="E820" s="150"/>
      <c r="F820" s="151" t="s">
        <v>444</v>
      </c>
      <c r="G820" s="152"/>
      <c r="H820" s="153">
        <v>1</v>
      </c>
      <c r="I820" s="154" t="s">
        <v>166</v>
      </c>
      <c r="J820" s="74">
        <v>600000</v>
      </c>
      <c r="K820" s="51">
        <f>J820*H820</f>
        <v>600000</v>
      </c>
      <c r="L820" s="46"/>
    </row>
    <row r="821" spans="2:12" x14ac:dyDescent="0.35">
      <c r="B821" s="147"/>
      <c r="C821" s="148"/>
      <c r="D821" s="149"/>
      <c r="E821" s="150"/>
      <c r="F821" s="151" t="s">
        <v>85</v>
      </c>
      <c r="G821" s="152" t="s">
        <v>428</v>
      </c>
      <c r="H821" s="153"/>
      <c r="I821" s="154"/>
      <c r="J821" s="74"/>
      <c r="K821" s="51"/>
      <c r="L821" s="46"/>
    </row>
    <row r="822" spans="2:12" x14ac:dyDescent="0.35">
      <c r="B822" s="147"/>
      <c r="C822" s="148"/>
      <c r="D822" s="149"/>
      <c r="E822" s="150"/>
      <c r="F822" s="151" t="s">
        <v>85</v>
      </c>
      <c r="G822" s="152" t="s">
        <v>429</v>
      </c>
      <c r="H822" s="259"/>
      <c r="I822" s="154"/>
      <c r="J822" s="74"/>
      <c r="K822" s="51"/>
      <c r="L822" s="46"/>
    </row>
    <row r="823" spans="2:12" x14ac:dyDescent="0.35">
      <c r="B823" s="265"/>
      <c r="C823" s="260"/>
      <c r="D823" s="261"/>
      <c r="E823" s="262"/>
      <c r="F823" s="152" t="s">
        <v>85</v>
      </c>
      <c r="G823" s="152" t="s">
        <v>430</v>
      </c>
      <c r="H823" s="263"/>
      <c r="I823" s="264"/>
      <c r="J823" s="65"/>
      <c r="K823" s="58"/>
      <c r="L823" s="46"/>
    </row>
    <row r="824" spans="2:12" x14ac:dyDescent="0.35">
      <c r="B824" s="265"/>
      <c r="C824" s="260"/>
      <c r="D824" s="261"/>
      <c r="E824" s="262"/>
      <c r="F824" s="152" t="s">
        <v>85</v>
      </c>
      <c r="G824" s="152" t="s">
        <v>368</v>
      </c>
      <c r="H824" s="263"/>
      <c r="I824" s="264"/>
      <c r="J824" s="74"/>
      <c r="K824" s="51"/>
      <c r="L824" s="46"/>
    </row>
    <row r="825" spans="2:12" x14ac:dyDescent="0.35">
      <c r="B825" s="265"/>
      <c r="C825" s="260"/>
      <c r="D825" s="261"/>
      <c r="E825" s="262"/>
      <c r="F825" s="152" t="s">
        <v>85</v>
      </c>
      <c r="G825" s="152" t="s">
        <v>501</v>
      </c>
      <c r="H825" s="263"/>
      <c r="I825" s="264"/>
      <c r="J825" s="74"/>
      <c r="K825" s="51"/>
      <c r="L825" s="46"/>
    </row>
    <row r="826" spans="2:12" x14ac:dyDescent="0.35">
      <c r="B826" s="265"/>
      <c r="C826" s="260"/>
      <c r="D826" s="261"/>
      <c r="E826" s="262"/>
      <c r="F826" s="152" t="s">
        <v>85</v>
      </c>
      <c r="G826" s="152" t="s">
        <v>503</v>
      </c>
      <c r="H826" s="263"/>
      <c r="I826" s="264"/>
      <c r="J826" s="74"/>
      <c r="K826" s="51"/>
      <c r="L826" s="46"/>
    </row>
    <row r="827" spans="2:12" x14ac:dyDescent="0.35">
      <c r="B827" s="265"/>
      <c r="C827" s="260"/>
      <c r="D827" s="261" t="s">
        <v>100</v>
      </c>
      <c r="E827" s="262"/>
      <c r="F827" s="152" t="s">
        <v>445</v>
      </c>
      <c r="G827" s="152"/>
      <c r="H827" s="263">
        <v>1</v>
      </c>
      <c r="I827" s="264" t="s">
        <v>166</v>
      </c>
      <c r="J827" s="74">
        <v>600000</v>
      </c>
      <c r="K827" s="51">
        <f>J827*H827</f>
        <v>600000</v>
      </c>
      <c r="L827" s="46"/>
    </row>
    <row r="828" spans="2:12" x14ac:dyDescent="0.35">
      <c r="B828" s="265"/>
      <c r="C828" s="260"/>
      <c r="D828" s="261"/>
      <c r="E828" s="262"/>
      <c r="F828" s="152" t="s">
        <v>85</v>
      </c>
      <c r="G828" s="152" t="s">
        <v>428</v>
      </c>
      <c r="H828" s="263"/>
      <c r="I828" s="264"/>
      <c r="J828" s="65"/>
      <c r="K828" s="58"/>
      <c r="L828" s="46"/>
    </row>
    <row r="829" spans="2:12" x14ac:dyDescent="0.35">
      <c r="B829" s="265"/>
      <c r="C829" s="260"/>
      <c r="D829" s="261"/>
      <c r="E829" s="262"/>
      <c r="F829" s="152" t="s">
        <v>85</v>
      </c>
      <c r="G829" s="152" t="s">
        <v>429</v>
      </c>
      <c r="H829" s="266"/>
      <c r="I829" s="264"/>
      <c r="J829" s="74"/>
      <c r="K829" s="51"/>
      <c r="L829" s="46"/>
    </row>
    <row r="830" spans="2:12" x14ac:dyDescent="0.35">
      <c r="B830" s="265"/>
      <c r="C830" s="260"/>
      <c r="D830" s="261"/>
      <c r="E830" s="262"/>
      <c r="F830" s="152" t="s">
        <v>85</v>
      </c>
      <c r="G830" s="152" t="s">
        <v>430</v>
      </c>
      <c r="H830" s="263"/>
      <c r="I830" s="264"/>
      <c r="J830" s="74"/>
      <c r="K830" s="51"/>
      <c r="L830" s="46"/>
    </row>
    <row r="831" spans="2:12" x14ac:dyDescent="0.35">
      <c r="B831" s="265"/>
      <c r="C831" s="260"/>
      <c r="D831" s="261"/>
      <c r="E831" s="262"/>
      <c r="F831" s="152" t="s">
        <v>85</v>
      </c>
      <c r="G831" s="152" t="s">
        <v>368</v>
      </c>
      <c r="H831" s="263"/>
      <c r="I831" s="264"/>
      <c r="J831" s="74"/>
      <c r="K831" s="51"/>
      <c r="L831" s="46"/>
    </row>
    <row r="832" spans="2:12" x14ac:dyDescent="0.35">
      <c r="B832" s="265"/>
      <c r="C832" s="260"/>
      <c r="D832" s="261"/>
      <c r="E832" s="262"/>
      <c r="F832" s="152" t="s">
        <v>85</v>
      </c>
      <c r="G832" s="152" t="s">
        <v>501</v>
      </c>
      <c r="H832" s="263"/>
      <c r="I832" s="264"/>
      <c r="J832" s="74"/>
      <c r="K832" s="51"/>
      <c r="L832" s="46"/>
    </row>
    <row r="833" spans="2:12" x14ac:dyDescent="0.35">
      <c r="B833" s="147"/>
      <c r="C833" s="148"/>
      <c r="D833" s="149"/>
      <c r="E833" s="150"/>
      <c r="F833" s="151" t="s">
        <v>85</v>
      </c>
      <c r="G833" s="152" t="s">
        <v>503</v>
      </c>
      <c r="H833" s="153"/>
      <c r="I833" s="154"/>
      <c r="J833" s="74"/>
      <c r="K833" s="51"/>
      <c r="L833" s="46"/>
    </row>
    <row r="834" spans="2:12" x14ac:dyDescent="0.35">
      <c r="B834" s="265"/>
      <c r="C834" s="260"/>
      <c r="D834" s="261" t="s">
        <v>101</v>
      </c>
      <c r="E834" s="262"/>
      <c r="F834" s="152" t="s">
        <v>446</v>
      </c>
      <c r="G834" s="152"/>
      <c r="H834" s="263">
        <v>1</v>
      </c>
      <c r="I834" s="264" t="s">
        <v>166</v>
      </c>
      <c r="J834" s="74">
        <v>600000</v>
      </c>
      <c r="K834" s="51">
        <f>J834*H834</f>
        <v>600000</v>
      </c>
      <c r="L834" s="46"/>
    </row>
    <row r="835" spans="2:12" x14ac:dyDescent="0.35">
      <c r="B835" s="147"/>
      <c r="C835" s="148"/>
      <c r="D835" s="149"/>
      <c r="E835" s="150"/>
      <c r="F835" s="151" t="s">
        <v>85</v>
      </c>
      <c r="G835" s="152" t="s">
        <v>428</v>
      </c>
      <c r="H835" s="153"/>
      <c r="I835" s="154"/>
      <c r="J835" s="74"/>
      <c r="K835" s="58"/>
      <c r="L835" s="46"/>
    </row>
    <row r="836" spans="2:12" x14ac:dyDescent="0.35">
      <c r="B836" s="147"/>
      <c r="C836" s="148"/>
      <c r="D836" s="149"/>
      <c r="E836" s="150"/>
      <c r="F836" s="151" t="s">
        <v>85</v>
      </c>
      <c r="G836" s="152" t="s">
        <v>429</v>
      </c>
      <c r="H836" s="259"/>
      <c r="I836" s="154"/>
      <c r="J836" s="74"/>
      <c r="K836" s="51"/>
      <c r="L836" s="46"/>
    </row>
    <row r="837" spans="2:12" x14ac:dyDescent="0.35">
      <c r="B837" s="147"/>
      <c r="C837" s="148"/>
      <c r="D837" s="149"/>
      <c r="E837" s="150"/>
      <c r="F837" s="151" t="s">
        <v>85</v>
      </c>
      <c r="G837" s="152" t="s">
        <v>430</v>
      </c>
      <c r="H837" s="153"/>
      <c r="I837" s="154"/>
      <c r="J837" s="74"/>
      <c r="K837" s="129"/>
      <c r="L837" s="46"/>
    </row>
    <row r="838" spans="2:12" x14ac:dyDescent="0.35">
      <c r="B838" s="147"/>
      <c r="C838" s="148"/>
      <c r="D838" s="149"/>
      <c r="E838" s="150"/>
      <c r="F838" s="151" t="s">
        <v>85</v>
      </c>
      <c r="G838" s="152" t="s">
        <v>368</v>
      </c>
      <c r="H838" s="153"/>
      <c r="I838" s="154"/>
      <c r="J838" s="74"/>
      <c r="K838" s="129"/>
      <c r="L838" s="46"/>
    </row>
    <row r="839" spans="2:12" x14ac:dyDescent="0.35">
      <c r="B839" s="265"/>
      <c r="C839" s="260"/>
      <c r="D839" s="261"/>
      <c r="E839" s="262"/>
      <c r="F839" s="152" t="s">
        <v>85</v>
      </c>
      <c r="G839" s="152" t="s">
        <v>501</v>
      </c>
      <c r="H839" s="263"/>
      <c r="I839" s="264"/>
      <c r="J839" s="74"/>
      <c r="K839" s="132"/>
      <c r="L839" s="46"/>
    </row>
    <row r="840" spans="2:12" x14ac:dyDescent="0.35">
      <c r="B840" s="147"/>
      <c r="C840" s="148"/>
      <c r="D840" s="149"/>
      <c r="E840" s="150"/>
      <c r="F840" s="151" t="s">
        <v>85</v>
      </c>
      <c r="G840" s="152" t="s">
        <v>503</v>
      </c>
      <c r="H840" s="153"/>
      <c r="I840" s="154"/>
      <c r="J840" s="74"/>
      <c r="K840" s="133"/>
      <c r="L840" s="46"/>
    </row>
    <row r="841" spans="2:12" x14ac:dyDescent="0.35">
      <c r="B841" s="147"/>
      <c r="C841" s="148"/>
      <c r="D841" s="149"/>
      <c r="E841" s="150"/>
      <c r="F841" s="151"/>
      <c r="G841" s="152"/>
      <c r="H841" s="153"/>
      <c r="I841" s="154"/>
      <c r="J841" s="74"/>
      <c r="K841" s="51"/>
      <c r="L841" s="46"/>
    </row>
    <row r="842" spans="2:12" x14ac:dyDescent="0.35">
      <c r="B842" s="284"/>
      <c r="C842" s="285"/>
      <c r="D842" s="286"/>
      <c r="E842" s="273"/>
      <c r="F842" s="138" t="s">
        <v>208</v>
      </c>
      <c r="G842" s="138"/>
      <c r="H842" s="282"/>
      <c r="I842" s="283"/>
      <c r="J842" s="74"/>
      <c r="K842" s="51"/>
      <c r="L842" s="46"/>
    </row>
    <row r="843" spans="2:12" x14ac:dyDescent="0.35">
      <c r="B843" s="139" t="s">
        <v>33</v>
      </c>
      <c r="C843" s="140"/>
      <c r="D843" s="141"/>
      <c r="E843" s="142" t="s">
        <v>209</v>
      </c>
      <c r="F843" s="143"/>
      <c r="G843" s="144"/>
      <c r="H843" s="156"/>
      <c r="I843" s="146"/>
      <c r="J843" s="74"/>
      <c r="K843" s="51"/>
      <c r="L843" s="46"/>
    </row>
    <row r="844" spans="2:12" x14ac:dyDescent="0.35">
      <c r="B844" s="265"/>
      <c r="C844" s="260"/>
      <c r="D844" s="261" t="s">
        <v>34</v>
      </c>
      <c r="E844" s="262"/>
      <c r="F844" s="152" t="s">
        <v>230</v>
      </c>
      <c r="G844" s="152"/>
      <c r="H844" s="263">
        <v>1</v>
      </c>
      <c r="I844" s="264" t="s">
        <v>92</v>
      </c>
      <c r="J844" s="74">
        <v>1100000</v>
      </c>
      <c r="K844" s="51">
        <f>J844*H844</f>
        <v>1100000</v>
      </c>
      <c r="L844" s="46"/>
    </row>
    <row r="845" spans="2:12" x14ac:dyDescent="0.35">
      <c r="B845" s="147"/>
      <c r="C845" s="148"/>
      <c r="D845" s="149"/>
      <c r="E845" s="150"/>
      <c r="F845" s="151" t="s">
        <v>85</v>
      </c>
      <c r="G845" s="152" t="s">
        <v>504</v>
      </c>
      <c r="H845" s="153"/>
      <c r="I845" s="154"/>
      <c r="J845" s="74"/>
      <c r="K845" s="51"/>
      <c r="L845" s="46"/>
    </row>
    <row r="846" spans="2:12" x14ac:dyDescent="0.35">
      <c r="B846" s="147"/>
      <c r="C846" s="148"/>
      <c r="D846" s="149"/>
      <c r="E846" s="150"/>
      <c r="F846" s="151" t="s">
        <v>85</v>
      </c>
      <c r="G846" s="152" t="s">
        <v>447</v>
      </c>
      <c r="H846" s="153"/>
      <c r="I846" s="154"/>
      <c r="J846" s="74"/>
      <c r="K846" s="51"/>
      <c r="L846" s="46"/>
    </row>
    <row r="847" spans="2:12" s="34" customFormat="1" x14ac:dyDescent="0.35">
      <c r="B847" s="265"/>
      <c r="C847" s="260"/>
      <c r="D847" s="261"/>
      <c r="E847" s="262"/>
      <c r="F847" s="152" t="s">
        <v>85</v>
      </c>
      <c r="G847" s="152" t="s">
        <v>505</v>
      </c>
      <c r="H847" s="263"/>
      <c r="I847" s="264"/>
      <c r="J847" s="74"/>
      <c r="K847" s="51"/>
      <c r="L847" s="46"/>
    </row>
    <row r="848" spans="2:12" x14ac:dyDescent="0.35">
      <c r="B848" s="147"/>
      <c r="C848" s="148"/>
      <c r="D848" s="149"/>
      <c r="E848" s="150"/>
      <c r="F848" s="151" t="s">
        <v>85</v>
      </c>
      <c r="G848" s="152" t="s">
        <v>506</v>
      </c>
      <c r="H848" s="153"/>
      <c r="I848" s="154"/>
      <c r="J848" s="74"/>
      <c r="K848" s="51"/>
      <c r="L848" s="46"/>
    </row>
    <row r="849" spans="2:15" x14ac:dyDescent="0.35">
      <c r="B849" s="147"/>
      <c r="C849" s="148"/>
      <c r="D849" s="149" t="s">
        <v>37</v>
      </c>
      <c r="E849" s="150"/>
      <c r="F849" s="151" t="s">
        <v>231</v>
      </c>
      <c r="G849" s="152"/>
      <c r="H849" s="153">
        <v>1</v>
      </c>
      <c r="I849" s="154" t="s">
        <v>92</v>
      </c>
      <c r="J849" s="74">
        <v>1100000</v>
      </c>
      <c r="K849" s="51">
        <f>J849*H849</f>
        <v>1100000</v>
      </c>
      <c r="L849" s="46"/>
    </row>
    <row r="850" spans="2:15" x14ac:dyDescent="0.35">
      <c r="B850" s="147"/>
      <c r="C850" s="148"/>
      <c r="D850" s="149"/>
      <c r="E850" s="150"/>
      <c r="F850" s="151" t="s">
        <v>85</v>
      </c>
      <c r="G850" s="152" t="s">
        <v>504</v>
      </c>
      <c r="H850" s="153"/>
      <c r="I850" s="154"/>
      <c r="J850" s="65"/>
      <c r="K850" s="58"/>
      <c r="L850" s="46"/>
    </row>
    <row r="851" spans="2:15" x14ac:dyDescent="0.35">
      <c r="B851" s="147"/>
      <c r="C851" s="148"/>
      <c r="D851" s="149"/>
      <c r="E851" s="150"/>
      <c r="F851" s="151" t="s">
        <v>85</v>
      </c>
      <c r="G851" s="152" t="s">
        <v>447</v>
      </c>
      <c r="H851" s="153"/>
      <c r="I851" s="154"/>
      <c r="J851" s="65"/>
      <c r="K851" s="58"/>
      <c r="L851" s="46"/>
    </row>
    <row r="852" spans="2:15" x14ac:dyDescent="0.35">
      <c r="B852" s="265"/>
      <c r="C852" s="260"/>
      <c r="D852" s="261"/>
      <c r="E852" s="262"/>
      <c r="F852" s="152" t="s">
        <v>85</v>
      </c>
      <c r="G852" s="152" t="s">
        <v>505</v>
      </c>
      <c r="H852" s="263"/>
      <c r="I852" s="264"/>
      <c r="J852" s="65"/>
      <c r="K852" s="58"/>
      <c r="L852" s="46"/>
      <c r="M852" s="171"/>
    </row>
    <row r="853" spans="2:15" x14ac:dyDescent="0.35">
      <c r="B853" s="147"/>
      <c r="C853" s="148"/>
      <c r="D853" s="149"/>
      <c r="E853" s="150"/>
      <c r="F853" s="151" t="s">
        <v>85</v>
      </c>
      <c r="G853" s="152" t="s">
        <v>506</v>
      </c>
      <c r="H853" s="153"/>
      <c r="I853" s="154"/>
      <c r="J853" s="65"/>
      <c r="K853" s="58"/>
      <c r="L853" s="46"/>
      <c r="M853" s="171"/>
    </row>
    <row r="854" spans="2:15" x14ac:dyDescent="0.35">
      <c r="B854" s="147"/>
      <c r="C854" s="148"/>
      <c r="D854" s="149" t="s">
        <v>39</v>
      </c>
      <c r="E854" s="150"/>
      <c r="F854" s="151" t="s">
        <v>210</v>
      </c>
      <c r="G854" s="152"/>
      <c r="H854" s="153">
        <v>1</v>
      </c>
      <c r="I854" s="154" t="s">
        <v>92</v>
      </c>
      <c r="J854" s="74">
        <v>800000</v>
      </c>
      <c r="K854" s="51">
        <f>J854*H854</f>
        <v>800000</v>
      </c>
      <c r="L854" s="46"/>
      <c r="M854" s="171"/>
    </row>
    <row r="855" spans="2:15" x14ac:dyDescent="0.35">
      <c r="B855" s="147"/>
      <c r="C855" s="148"/>
      <c r="D855" s="149"/>
      <c r="E855" s="150"/>
      <c r="F855" s="151" t="s">
        <v>85</v>
      </c>
      <c r="G855" s="152" t="s">
        <v>504</v>
      </c>
      <c r="H855" s="153"/>
      <c r="I855" s="154"/>
      <c r="J855" s="74"/>
      <c r="K855" s="51"/>
      <c r="L855" s="46"/>
      <c r="M855" s="171"/>
      <c r="N855" s="159"/>
      <c r="O855" s="168"/>
    </row>
    <row r="856" spans="2:15" x14ac:dyDescent="0.35">
      <c r="B856" s="147"/>
      <c r="C856" s="148"/>
      <c r="D856" s="149"/>
      <c r="E856" s="150"/>
      <c r="F856" s="151" t="s">
        <v>85</v>
      </c>
      <c r="G856" s="152" t="s">
        <v>447</v>
      </c>
      <c r="H856" s="153"/>
      <c r="I856" s="154"/>
      <c r="J856" s="74"/>
      <c r="K856" s="51"/>
      <c r="L856" s="46"/>
      <c r="M856" s="171"/>
    </row>
    <row r="857" spans="2:15" x14ac:dyDescent="0.35">
      <c r="B857" s="265"/>
      <c r="C857" s="260"/>
      <c r="D857" s="261"/>
      <c r="E857" s="262"/>
      <c r="F857" s="152" t="s">
        <v>85</v>
      </c>
      <c r="G857" s="152" t="s">
        <v>507</v>
      </c>
      <c r="H857" s="263"/>
      <c r="I857" s="264"/>
      <c r="J857" s="65"/>
      <c r="K857" s="58"/>
      <c r="L857" s="46"/>
      <c r="M857" s="171"/>
    </row>
    <row r="858" spans="2:15" x14ac:dyDescent="0.35">
      <c r="B858" s="147"/>
      <c r="C858" s="148"/>
      <c r="D858" s="149"/>
      <c r="E858" s="150"/>
      <c r="F858" s="151" t="s">
        <v>85</v>
      </c>
      <c r="G858" s="152" t="s">
        <v>506</v>
      </c>
      <c r="H858" s="153"/>
      <c r="I858" s="154"/>
      <c r="J858" s="65"/>
      <c r="K858" s="58"/>
      <c r="L858" s="46"/>
      <c r="M858" s="171"/>
    </row>
    <row r="859" spans="2:15" x14ac:dyDescent="0.35">
      <c r="B859" s="265"/>
      <c r="C859" s="260"/>
      <c r="D859" s="261" t="s">
        <v>41</v>
      </c>
      <c r="E859" s="262"/>
      <c r="F859" s="152" t="s">
        <v>211</v>
      </c>
      <c r="G859" s="152"/>
      <c r="H859" s="263">
        <v>1</v>
      </c>
      <c r="I859" s="264" t="s">
        <v>92</v>
      </c>
      <c r="J859" s="74">
        <v>800000</v>
      </c>
      <c r="K859" s="51">
        <f>J859*H859</f>
        <v>800000</v>
      </c>
      <c r="L859" s="46"/>
      <c r="M859" s="171"/>
    </row>
    <row r="860" spans="2:15" x14ac:dyDescent="0.35">
      <c r="B860" s="147"/>
      <c r="C860" s="148"/>
      <c r="D860" s="149"/>
      <c r="E860" s="150"/>
      <c r="F860" s="151" t="s">
        <v>85</v>
      </c>
      <c r="G860" s="152" t="s">
        <v>504</v>
      </c>
      <c r="H860" s="153"/>
      <c r="I860" s="154"/>
      <c r="J860" s="74"/>
      <c r="K860" s="51"/>
      <c r="L860" s="46"/>
      <c r="M860" s="171"/>
    </row>
    <row r="861" spans="2:15" x14ac:dyDescent="0.35">
      <c r="B861" s="147"/>
      <c r="C861" s="148"/>
      <c r="D861" s="149"/>
      <c r="E861" s="150"/>
      <c r="F861" s="151" t="s">
        <v>85</v>
      </c>
      <c r="G861" s="152" t="s">
        <v>447</v>
      </c>
      <c r="H861" s="153"/>
      <c r="I861" s="154"/>
      <c r="J861" s="74"/>
      <c r="K861" s="51"/>
      <c r="L861" s="46"/>
      <c r="M861" s="171"/>
    </row>
    <row r="862" spans="2:15" x14ac:dyDescent="0.35">
      <c r="B862" s="265"/>
      <c r="C862" s="260"/>
      <c r="D862" s="261"/>
      <c r="E862" s="262"/>
      <c r="F862" s="152" t="s">
        <v>85</v>
      </c>
      <c r="G862" s="152" t="s">
        <v>507</v>
      </c>
      <c r="H862" s="263"/>
      <c r="I862" s="264"/>
      <c r="J862" s="74"/>
      <c r="K862" s="51"/>
      <c r="L862" s="46"/>
      <c r="M862" s="171"/>
      <c r="N862" s="159"/>
      <c r="O862" s="168"/>
    </row>
    <row r="863" spans="2:15" x14ac:dyDescent="0.35">
      <c r="B863" s="147"/>
      <c r="C863" s="148"/>
      <c r="D863" s="149"/>
      <c r="E863" s="150"/>
      <c r="F863" s="151" t="s">
        <v>85</v>
      </c>
      <c r="G863" s="152" t="s">
        <v>506</v>
      </c>
      <c r="H863" s="153"/>
      <c r="I863" s="154"/>
      <c r="J863" s="74"/>
      <c r="K863" s="51"/>
      <c r="L863" s="46"/>
    </row>
    <row r="864" spans="2:15" x14ac:dyDescent="0.35">
      <c r="B864" s="265"/>
      <c r="C864" s="260"/>
      <c r="D864" s="261" t="s">
        <v>43</v>
      </c>
      <c r="E864" s="262"/>
      <c r="F864" s="152" t="s">
        <v>212</v>
      </c>
      <c r="G864" s="152"/>
      <c r="H864" s="263">
        <v>1</v>
      </c>
      <c r="I864" s="264" t="s">
        <v>92</v>
      </c>
      <c r="J864" s="74">
        <v>1100000</v>
      </c>
      <c r="K864" s="51">
        <f>J864*H864</f>
        <v>1100000</v>
      </c>
      <c r="L864" s="46"/>
    </row>
    <row r="865" spans="2:12" x14ac:dyDescent="0.35">
      <c r="B865" s="147"/>
      <c r="C865" s="148"/>
      <c r="D865" s="149"/>
      <c r="E865" s="150"/>
      <c r="F865" s="151" t="s">
        <v>85</v>
      </c>
      <c r="G865" s="152" t="s">
        <v>504</v>
      </c>
      <c r="H865" s="153"/>
      <c r="I865" s="154"/>
      <c r="J865" s="74"/>
      <c r="K865" s="51"/>
      <c r="L865" s="46"/>
    </row>
    <row r="866" spans="2:12" x14ac:dyDescent="0.35">
      <c r="B866" s="265"/>
      <c r="C866" s="260"/>
      <c r="D866" s="261"/>
      <c r="E866" s="262"/>
      <c r="F866" s="152" t="s">
        <v>85</v>
      </c>
      <c r="G866" s="152" t="s">
        <v>447</v>
      </c>
      <c r="H866" s="263"/>
      <c r="I866" s="264"/>
      <c r="J866" s="74"/>
      <c r="K866" s="51"/>
      <c r="L866" s="46"/>
    </row>
    <row r="867" spans="2:12" x14ac:dyDescent="0.35">
      <c r="B867" s="265"/>
      <c r="C867" s="260"/>
      <c r="D867" s="261"/>
      <c r="E867" s="262"/>
      <c r="F867" s="152" t="s">
        <v>85</v>
      </c>
      <c r="G867" s="152" t="s">
        <v>505</v>
      </c>
      <c r="H867" s="263"/>
      <c r="I867" s="264"/>
      <c r="J867" s="74"/>
      <c r="K867" s="51"/>
      <c r="L867" s="46"/>
    </row>
    <row r="868" spans="2:12" x14ac:dyDescent="0.35">
      <c r="B868" s="265"/>
      <c r="C868" s="260"/>
      <c r="D868" s="261"/>
      <c r="E868" s="262"/>
      <c r="F868" s="152" t="s">
        <v>85</v>
      </c>
      <c r="G868" s="152" t="s">
        <v>506</v>
      </c>
      <c r="H868" s="263"/>
      <c r="I868" s="264"/>
      <c r="J868" s="74"/>
      <c r="K868" s="51"/>
      <c r="L868" s="46"/>
    </row>
    <row r="869" spans="2:12" x14ac:dyDescent="0.35">
      <c r="B869" s="147"/>
      <c r="C869" s="148"/>
      <c r="D869" s="149"/>
      <c r="E869" s="150"/>
      <c r="F869" s="151"/>
      <c r="G869" s="152"/>
      <c r="H869" s="153"/>
      <c r="I869" s="154"/>
      <c r="J869" s="92"/>
      <c r="K869" s="58"/>
      <c r="L869" s="29"/>
    </row>
    <row r="870" spans="2:12" x14ac:dyDescent="0.35">
      <c r="B870" s="8"/>
      <c r="C870" s="9"/>
      <c r="D870" s="10"/>
      <c r="E870" s="4"/>
      <c r="F870" s="4"/>
      <c r="G870" s="4"/>
      <c r="H870" s="1"/>
      <c r="I870" s="1"/>
      <c r="J870" s="11" t="s">
        <v>8</v>
      </c>
      <c r="K870" s="7">
        <f>SUM(K812:K869)</f>
        <v>7300000</v>
      </c>
      <c r="L870" s="7">
        <f>SUM(L812:L869)</f>
        <v>0</v>
      </c>
    </row>
    <row r="871" spans="2:12" x14ac:dyDescent="0.35">
      <c r="B871" s="8"/>
      <c r="C871" s="9"/>
      <c r="D871" s="9"/>
      <c r="E871" s="4"/>
      <c r="F871" s="4"/>
      <c r="G871" s="4"/>
      <c r="H871" s="1"/>
      <c r="I871" s="1"/>
      <c r="J871" s="11"/>
      <c r="K871" s="35" t="s">
        <v>12</v>
      </c>
      <c r="L871" s="36" t="s">
        <v>13</v>
      </c>
    </row>
    <row r="872" spans="2:12" x14ac:dyDescent="0.35">
      <c r="B872" s="3" t="s">
        <v>9</v>
      </c>
      <c r="C872" s="4"/>
      <c r="D872" s="4"/>
      <c r="E872" s="4"/>
      <c r="F872" s="4"/>
      <c r="G872" s="4"/>
      <c r="H872" s="1"/>
      <c r="I872" s="1"/>
      <c r="J872" s="12"/>
      <c r="K872" s="12"/>
      <c r="L872" s="13"/>
    </row>
    <row r="873" spans="2:12" x14ac:dyDescent="0.35">
      <c r="B873" s="37"/>
      <c r="C873" s="1"/>
      <c r="D873" s="1"/>
      <c r="E873" s="38"/>
      <c r="F873" s="38"/>
      <c r="G873" s="38"/>
      <c r="H873" s="1"/>
      <c r="I873" s="1"/>
      <c r="J873" s="1"/>
      <c r="K873" s="1"/>
      <c r="L873" s="19"/>
    </row>
    <row r="874" spans="2:12" x14ac:dyDescent="0.35">
      <c r="B874" s="28" t="s">
        <v>6</v>
      </c>
      <c r="C874" s="27"/>
      <c r="D874" s="27"/>
      <c r="E874" s="26"/>
      <c r="F874" s="26"/>
      <c r="G874" s="5"/>
      <c r="K874" s="301" t="s">
        <v>27</v>
      </c>
      <c r="L874" s="302"/>
    </row>
    <row r="875" spans="2:12" x14ac:dyDescent="0.35">
      <c r="B875" s="28">
        <v>1</v>
      </c>
      <c r="C875" s="27"/>
      <c r="D875" s="27"/>
      <c r="E875" s="26" t="s">
        <v>7</v>
      </c>
      <c r="F875" s="26"/>
      <c r="G875" s="5"/>
      <c r="K875" s="301" t="s">
        <v>17</v>
      </c>
      <c r="L875" s="302"/>
    </row>
    <row r="876" spans="2:12" x14ac:dyDescent="0.35">
      <c r="B876" s="39"/>
      <c r="C876" s="27"/>
      <c r="D876" s="27"/>
      <c r="E876" s="26"/>
      <c r="F876" s="26"/>
      <c r="G876" s="5"/>
      <c r="J876" s="25"/>
      <c r="K876" s="25"/>
      <c r="L876" s="24"/>
    </row>
    <row r="877" spans="2:12" x14ac:dyDescent="0.35">
      <c r="B877" s="28"/>
      <c r="C877" s="27"/>
      <c r="D877" s="27"/>
      <c r="E877" s="26"/>
      <c r="F877" s="26"/>
      <c r="G877" s="5"/>
      <c r="L877" s="22"/>
    </row>
    <row r="878" spans="2:12" x14ac:dyDescent="0.35">
      <c r="B878" s="45"/>
      <c r="E878" s="5"/>
      <c r="F878" s="5"/>
      <c r="G878" s="5"/>
      <c r="L878" s="22"/>
    </row>
    <row r="879" spans="2:12" x14ac:dyDescent="0.35">
      <c r="B879" s="45"/>
      <c r="E879" s="5"/>
      <c r="F879" s="5"/>
      <c r="G879" s="5"/>
      <c r="L879" s="22"/>
    </row>
    <row r="880" spans="2:12" x14ac:dyDescent="0.35">
      <c r="B880" s="45"/>
      <c r="E880" s="5"/>
      <c r="F880" s="5"/>
      <c r="G880" s="5"/>
      <c r="L880" s="22"/>
    </row>
    <row r="881" spans="2:12" x14ac:dyDescent="0.35">
      <c r="B881" s="45"/>
      <c r="E881" s="5"/>
      <c r="F881" s="5"/>
      <c r="G881" s="5"/>
      <c r="J881" s="40"/>
      <c r="K881" s="303" t="s">
        <v>25</v>
      </c>
      <c r="L881" s="304"/>
    </row>
    <row r="882" spans="2:12" x14ac:dyDescent="0.35">
      <c r="B882" s="45"/>
      <c r="K882" s="289" t="s">
        <v>26</v>
      </c>
      <c r="L882" s="290"/>
    </row>
    <row r="883" spans="2:12" x14ac:dyDescent="0.35">
      <c r="B883" s="305"/>
      <c r="C883" s="306"/>
      <c r="D883" s="306"/>
      <c r="E883" s="41"/>
      <c r="F883" s="41"/>
      <c r="G883" s="41"/>
      <c r="H883" s="2"/>
      <c r="I883" s="2"/>
      <c r="J883" s="2"/>
      <c r="K883" s="2"/>
      <c r="L883" s="21"/>
    </row>
    <row r="884" spans="2:12" x14ac:dyDescent="0.35">
      <c r="B884" s="47"/>
      <c r="C884" s="48"/>
      <c r="D884" s="49"/>
      <c r="G884" s="22"/>
      <c r="H884" s="1"/>
      <c r="I884" s="1"/>
      <c r="J884" s="43"/>
      <c r="K884" s="30"/>
      <c r="L884" s="44"/>
    </row>
    <row r="885" spans="2:12" x14ac:dyDescent="0.35">
      <c r="B885" s="265"/>
      <c r="C885" s="260"/>
      <c r="D885" s="261" t="s">
        <v>44</v>
      </c>
      <c r="E885" s="262"/>
      <c r="F885" s="152" t="s">
        <v>213</v>
      </c>
      <c r="G885" s="152"/>
      <c r="H885" s="263">
        <v>1</v>
      </c>
      <c r="I885" s="264" t="s">
        <v>92</v>
      </c>
      <c r="J885" s="74">
        <v>1100000</v>
      </c>
      <c r="K885" s="51">
        <f>J885*H885</f>
        <v>1100000</v>
      </c>
      <c r="L885" s="46"/>
    </row>
    <row r="886" spans="2:12" x14ac:dyDescent="0.35">
      <c r="B886" s="265"/>
      <c r="C886" s="260"/>
      <c r="D886" s="261"/>
      <c r="E886" s="262"/>
      <c r="F886" s="152" t="s">
        <v>85</v>
      </c>
      <c r="G886" s="152" t="s">
        <v>508</v>
      </c>
      <c r="H886" s="263"/>
      <c r="I886" s="264"/>
      <c r="J886" s="74"/>
      <c r="K886" s="51"/>
      <c r="L886" s="46"/>
    </row>
    <row r="887" spans="2:12" x14ac:dyDescent="0.35">
      <c r="B887" s="147"/>
      <c r="C887" s="148"/>
      <c r="D887" s="149"/>
      <c r="E887" s="150"/>
      <c r="F887" s="151" t="s">
        <v>85</v>
      </c>
      <c r="G887" s="152" t="s">
        <v>447</v>
      </c>
      <c r="H887" s="153"/>
      <c r="I887" s="154"/>
      <c r="J887" s="74"/>
      <c r="K887" s="51"/>
      <c r="L887" s="46"/>
    </row>
    <row r="888" spans="2:12" x14ac:dyDescent="0.35">
      <c r="B888" s="265"/>
      <c r="C888" s="260"/>
      <c r="D888" s="261"/>
      <c r="E888" s="262"/>
      <c r="F888" s="152" t="s">
        <v>85</v>
      </c>
      <c r="G888" s="152" t="s">
        <v>509</v>
      </c>
      <c r="H888" s="263"/>
      <c r="I888" s="264"/>
      <c r="J888" s="65"/>
      <c r="K888" s="58"/>
      <c r="L888" s="46"/>
    </row>
    <row r="889" spans="2:12" x14ac:dyDescent="0.35">
      <c r="B889" s="147"/>
      <c r="C889" s="148"/>
      <c r="D889" s="149"/>
      <c r="E889" s="150"/>
      <c r="F889" s="151" t="s">
        <v>85</v>
      </c>
      <c r="G889" s="152" t="s">
        <v>510</v>
      </c>
      <c r="H889" s="153"/>
      <c r="I889" s="154"/>
      <c r="J889" s="74"/>
      <c r="K889" s="51"/>
      <c r="L889" s="46"/>
    </row>
    <row r="890" spans="2:12" x14ac:dyDescent="0.35">
      <c r="B890" s="147"/>
      <c r="C890" s="148"/>
      <c r="D890" s="149" t="s">
        <v>46</v>
      </c>
      <c r="E890" s="150"/>
      <c r="F890" s="151" t="s">
        <v>214</v>
      </c>
      <c r="G890" s="152"/>
      <c r="H890" s="153">
        <v>1</v>
      </c>
      <c r="I890" s="154" t="s">
        <v>92</v>
      </c>
      <c r="J890" s="74">
        <v>700000</v>
      </c>
      <c r="K890" s="51">
        <f>J890*H890</f>
        <v>700000</v>
      </c>
      <c r="L890" s="46"/>
    </row>
    <row r="891" spans="2:12" x14ac:dyDescent="0.35">
      <c r="B891" s="265"/>
      <c r="C891" s="260"/>
      <c r="D891" s="261"/>
      <c r="E891" s="262"/>
      <c r="F891" s="152" t="s">
        <v>85</v>
      </c>
      <c r="G891" s="152" t="s">
        <v>508</v>
      </c>
      <c r="H891" s="263"/>
      <c r="I891" s="264"/>
      <c r="J891" s="74"/>
      <c r="K891" s="51"/>
      <c r="L891" s="46"/>
    </row>
    <row r="892" spans="2:12" x14ac:dyDescent="0.35">
      <c r="B892" s="265"/>
      <c r="C892" s="260"/>
      <c r="D892" s="261"/>
      <c r="E892" s="262"/>
      <c r="F892" s="152" t="s">
        <v>85</v>
      </c>
      <c r="G892" s="152" t="s">
        <v>447</v>
      </c>
      <c r="H892" s="263"/>
      <c r="I892" s="264"/>
      <c r="J892" s="74"/>
      <c r="K892" s="51"/>
      <c r="L892" s="46"/>
    </row>
    <row r="893" spans="2:12" x14ac:dyDescent="0.35">
      <c r="B893" s="265"/>
      <c r="C893" s="260"/>
      <c r="D893" s="261"/>
      <c r="E893" s="262"/>
      <c r="F893" s="152" t="s">
        <v>85</v>
      </c>
      <c r="G893" s="152" t="s">
        <v>511</v>
      </c>
      <c r="H893" s="263"/>
      <c r="I893" s="264"/>
      <c r="J893" s="74"/>
      <c r="K893" s="51"/>
      <c r="L893" s="46"/>
    </row>
    <row r="894" spans="2:12" x14ac:dyDescent="0.35">
      <c r="B894" s="265"/>
      <c r="C894" s="260"/>
      <c r="D894" s="261"/>
      <c r="E894" s="262"/>
      <c r="F894" s="152" t="s">
        <v>85</v>
      </c>
      <c r="G894" s="152" t="s">
        <v>510</v>
      </c>
      <c r="H894" s="263"/>
      <c r="I894" s="264"/>
      <c r="J894" s="74"/>
      <c r="K894" s="51"/>
      <c r="L894" s="46"/>
    </row>
    <row r="895" spans="2:12" x14ac:dyDescent="0.35">
      <c r="B895" s="265"/>
      <c r="C895" s="260"/>
      <c r="D895" s="261" t="s">
        <v>48</v>
      </c>
      <c r="E895" s="262"/>
      <c r="F895" s="152" t="s">
        <v>215</v>
      </c>
      <c r="G895" s="152"/>
      <c r="H895" s="263">
        <v>1</v>
      </c>
      <c r="I895" s="264" t="s">
        <v>92</v>
      </c>
      <c r="J895" s="74">
        <v>700000</v>
      </c>
      <c r="K895" s="51">
        <f>J895*H895</f>
        <v>700000</v>
      </c>
      <c r="L895" s="46"/>
    </row>
    <row r="896" spans="2:12" x14ac:dyDescent="0.35">
      <c r="B896" s="265"/>
      <c r="C896" s="260"/>
      <c r="D896" s="261"/>
      <c r="E896" s="262"/>
      <c r="F896" s="152" t="s">
        <v>85</v>
      </c>
      <c r="G896" s="152" t="s">
        <v>508</v>
      </c>
      <c r="H896" s="263"/>
      <c r="I896" s="264"/>
      <c r="J896" s="74"/>
      <c r="K896" s="51"/>
      <c r="L896" s="46"/>
    </row>
    <row r="897" spans="2:12" x14ac:dyDescent="0.35">
      <c r="B897" s="265"/>
      <c r="C897" s="260"/>
      <c r="D897" s="261"/>
      <c r="E897" s="262"/>
      <c r="F897" s="152" t="s">
        <v>85</v>
      </c>
      <c r="G897" s="152" t="s">
        <v>447</v>
      </c>
      <c r="H897" s="263"/>
      <c r="I897" s="264"/>
      <c r="J897" s="74"/>
      <c r="K897" s="51"/>
      <c r="L897" s="46"/>
    </row>
    <row r="898" spans="2:12" x14ac:dyDescent="0.35">
      <c r="B898" s="265"/>
      <c r="C898" s="260"/>
      <c r="D898" s="261"/>
      <c r="E898" s="262"/>
      <c r="F898" s="152" t="s">
        <v>85</v>
      </c>
      <c r="G898" s="152" t="s">
        <v>511</v>
      </c>
      <c r="H898" s="263"/>
      <c r="I898" s="264"/>
      <c r="J898" s="74"/>
      <c r="K898" s="51"/>
      <c r="L898" s="46"/>
    </row>
    <row r="899" spans="2:12" x14ac:dyDescent="0.35">
      <c r="B899" s="265"/>
      <c r="C899" s="260"/>
      <c r="D899" s="261"/>
      <c r="E899" s="262"/>
      <c r="F899" s="152" t="s">
        <v>85</v>
      </c>
      <c r="G899" s="152" t="s">
        <v>510</v>
      </c>
      <c r="H899" s="263"/>
      <c r="I899" s="264"/>
      <c r="J899" s="74"/>
      <c r="K899" s="51"/>
      <c r="L899" s="46"/>
    </row>
    <row r="900" spans="2:12" x14ac:dyDescent="0.35">
      <c r="B900" s="265"/>
      <c r="C900" s="260"/>
      <c r="D900" s="261" t="s">
        <v>50</v>
      </c>
      <c r="E900" s="262"/>
      <c r="F900" s="152" t="s">
        <v>216</v>
      </c>
      <c r="G900" s="152"/>
      <c r="H900" s="263">
        <v>1</v>
      </c>
      <c r="I900" s="264" t="s">
        <v>92</v>
      </c>
      <c r="J900" s="74">
        <v>1100000</v>
      </c>
      <c r="K900" s="51">
        <f>J900*H900</f>
        <v>1100000</v>
      </c>
      <c r="L900" s="46"/>
    </row>
    <row r="901" spans="2:12" x14ac:dyDescent="0.35">
      <c r="B901" s="265"/>
      <c r="C901" s="260"/>
      <c r="D901" s="261"/>
      <c r="E901" s="262"/>
      <c r="F901" s="152" t="s">
        <v>85</v>
      </c>
      <c r="G901" s="152" t="s">
        <v>508</v>
      </c>
      <c r="H901" s="263"/>
      <c r="I901" s="264"/>
      <c r="J901" s="74"/>
      <c r="K901" s="51"/>
      <c r="L901" s="46"/>
    </row>
    <row r="902" spans="2:12" x14ac:dyDescent="0.35">
      <c r="B902" s="265"/>
      <c r="C902" s="260"/>
      <c r="D902" s="261"/>
      <c r="E902" s="262"/>
      <c r="F902" s="152" t="s">
        <v>85</v>
      </c>
      <c r="G902" s="152" t="s">
        <v>448</v>
      </c>
      <c r="H902" s="263"/>
      <c r="I902" s="264"/>
      <c r="J902" s="74"/>
      <c r="K902" s="51"/>
      <c r="L902" s="46"/>
    </row>
    <row r="903" spans="2:12" x14ac:dyDescent="0.35">
      <c r="B903" s="265"/>
      <c r="C903" s="260"/>
      <c r="D903" s="261"/>
      <c r="E903" s="262"/>
      <c r="F903" s="152" t="s">
        <v>85</v>
      </c>
      <c r="G903" s="152" t="s">
        <v>512</v>
      </c>
      <c r="H903" s="263"/>
      <c r="I903" s="264"/>
      <c r="J903" s="74"/>
      <c r="K903" s="51"/>
      <c r="L903" s="46"/>
    </row>
    <row r="904" spans="2:12" x14ac:dyDescent="0.35">
      <c r="B904" s="267" t="s">
        <v>67</v>
      </c>
      <c r="C904" s="268"/>
      <c r="D904" s="269"/>
      <c r="E904" s="270" t="s">
        <v>217</v>
      </c>
      <c r="F904" s="144"/>
      <c r="G904" s="144"/>
      <c r="H904" s="271"/>
      <c r="I904" s="272"/>
      <c r="J904" s="74"/>
      <c r="K904" s="51"/>
      <c r="L904" s="46"/>
    </row>
    <row r="905" spans="2:12" x14ac:dyDescent="0.35">
      <c r="B905" s="265"/>
      <c r="C905" s="260" t="s">
        <v>218</v>
      </c>
      <c r="D905" s="261"/>
      <c r="E905" s="262"/>
      <c r="F905" s="152" t="s">
        <v>219</v>
      </c>
      <c r="G905" s="152"/>
      <c r="H905" s="263"/>
      <c r="I905" s="264"/>
      <c r="J905" s="74"/>
      <c r="K905" s="51"/>
      <c r="L905" s="46"/>
    </row>
    <row r="906" spans="2:12" x14ac:dyDescent="0.35">
      <c r="B906" s="265"/>
      <c r="C906" s="260"/>
      <c r="D906" s="261" t="s">
        <v>34</v>
      </c>
      <c r="E906" s="262"/>
      <c r="F906" s="152" t="s">
        <v>220</v>
      </c>
      <c r="G906" s="152"/>
      <c r="H906" s="263"/>
      <c r="I906" s="264"/>
      <c r="J906" s="74"/>
      <c r="K906" s="51"/>
      <c r="L906" s="46"/>
    </row>
    <row r="907" spans="2:12" x14ac:dyDescent="0.35">
      <c r="B907" s="265"/>
      <c r="C907" s="260"/>
      <c r="D907" s="261"/>
      <c r="E907" s="262"/>
      <c r="F907" s="152" t="s">
        <v>85</v>
      </c>
      <c r="G907" s="152" t="s">
        <v>449</v>
      </c>
      <c r="H907" s="274">
        <v>233.8672</v>
      </c>
      <c r="I907" s="264" t="s">
        <v>117</v>
      </c>
      <c r="J907" s="65">
        <v>31000</v>
      </c>
      <c r="K907" s="58"/>
      <c r="L907" s="46">
        <f>J907*H907</f>
        <v>7249883.2000000002</v>
      </c>
    </row>
    <row r="908" spans="2:12" x14ac:dyDescent="0.35">
      <c r="B908" s="265"/>
      <c r="C908" s="260"/>
      <c r="D908" s="261"/>
      <c r="E908" s="262"/>
      <c r="F908" s="152" t="s">
        <v>85</v>
      </c>
      <c r="G908" s="152" t="s">
        <v>450</v>
      </c>
      <c r="H908" s="274">
        <v>25.876739999999998</v>
      </c>
      <c r="I908" s="264" t="s">
        <v>117</v>
      </c>
      <c r="J908" s="65">
        <v>31000</v>
      </c>
      <c r="K908" s="58"/>
      <c r="L908" s="46">
        <f>J908*H908</f>
        <v>802178.94</v>
      </c>
    </row>
    <row r="909" spans="2:12" x14ac:dyDescent="0.35">
      <c r="B909" s="265"/>
      <c r="C909" s="260"/>
      <c r="D909" s="261"/>
      <c r="E909" s="262"/>
      <c r="F909" s="152" t="s">
        <v>85</v>
      </c>
      <c r="G909" s="152" t="s">
        <v>451</v>
      </c>
      <c r="H909" s="274">
        <v>99.955619999999982</v>
      </c>
      <c r="I909" s="264" t="s">
        <v>117</v>
      </c>
      <c r="J909" s="65">
        <v>31000</v>
      </c>
      <c r="K909" s="58"/>
      <c r="L909" s="46">
        <f>J909*H909</f>
        <v>3098624.2199999993</v>
      </c>
    </row>
    <row r="910" spans="2:12" x14ac:dyDescent="0.35">
      <c r="B910" s="265"/>
      <c r="C910" s="260"/>
      <c r="D910" s="261" t="s">
        <v>37</v>
      </c>
      <c r="E910" s="262"/>
      <c r="F910" s="152" t="s">
        <v>221</v>
      </c>
      <c r="G910" s="152"/>
      <c r="H910" s="274"/>
      <c r="I910" s="264"/>
      <c r="J910" s="74"/>
      <c r="K910" s="51"/>
      <c r="L910" s="46"/>
    </row>
    <row r="911" spans="2:12" x14ac:dyDescent="0.35">
      <c r="B911" s="265"/>
      <c r="C911" s="260"/>
      <c r="D911" s="261"/>
      <c r="E911" s="262"/>
      <c r="F911" s="152" t="s">
        <v>85</v>
      </c>
      <c r="G911" s="152" t="s">
        <v>452</v>
      </c>
      <c r="H911" s="274">
        <v>247.19649999999999</v>
      </c>
      <c r="I911" s="264" t="s">
        <v>117</v>
      </c>
      <c r="J911" s="65">
        <v>31000</v>
      </c>
      <c r="K911" s="58"/>
      <c r="L911" s="46">
        <f>J911*H911</f>
        <v>7663091.5</v>
      </c>
    </row>
    <row r="912" spans="2:12" x14ac:dyDescent="0.35">
      <c r="B912" s="265"/>
      <c r="C912" s="260"/>
      <c r="D912" s="261"/>
      <c r="E912" s="262"/>
      <c r="F912" s="152" t="s">
        <v>85</v>
      </c>
      <c r="G912" s="152" t="s">
        <v>453</v>
      </c>
      <c r="H912" s="274">
        <v>32.781599999999997</v>
      </c>
      <c r="I912" s="264" t="s">
        <v>117</v>
      </c>
      <c r="J912" s="65">
        <v>31000</v>
      </c>
      <c r="K912" s="58"/>
      <c r="L912" s="46">
        <f>J912*H912</f>
        <v>1016229.6</v>
      </c>
    </row>
    <row r="913" spans="2:14" x14ac:dyDescent="0.35">
      <c r="B913" s="265"/>
      <c r="C913" s="260"/>
      <c r="D913" s="261"/>
      <c r="E913" s="262"/>
      <c r="F913" s="152" t="s">
        <v>85</v>
      </c>
      <c r="G913" s="152" t="s">
        <v>454</v>
      </c>
      <c r="H913" s="274">
        <v>84.497399999999985</v>
      </c>
      <c r="I913" s="264" t="s">
        <v>117</v>
      </c>
      <c r="J913" s="65">
        <v>31000</v>
      </c>
      <c r="K913" s="58"/>
      <c r="L913" s="46">
        <f>J913*H913</f>
        <v>2619419.3999999994</v>
      </c>
    </row>
    <row r="914" spans="2:14" x14ac:dyDescent="0.35">
      <c r="B914" s="267" t="s">
        <v>81</v>
      </c>
      <c r="C914" s="268"/>
      <c r="D914" s="269"/>
      <c r="E914" s="270" t="s">
        <v>159</v>
      </c>
      <c r="F914" s="144"/>
      <c r="G914" s="144"/>
      <c r="H914" s="271"/>
      <c r="I914" s="272"/>
      <c r="J914" s="74"/>
      <c r="K914" s="51"/>
      <c r="L914" s="46"/>
    </row>
    <row r="915" spans="2:14" x14ac:dyDescent="0.35">
      <c r="B915" s="265"/>
      <c r="C915" s="260"/>
      <c r="D915" s="261" t="s">
        <v>34</v>
      </c>
      <c r="E915" s="262"/>
      <c r="F915" s="152" t="s">
        <v>222</v>
      </c>
      <c r="G915" s="152"/>
      <c r="H915" s="263">
        <v>1</v>
      </c>
      <c r="I915" s="264" t="s">
        <v>92</v>
      </c>
      <c r="J915" s="74">
        <v>8250000</v>
      </c>
      <c r="K915" s="129"/>
      <c r="L915" s="46">
        <f>J915*H915</f>
        <v>8250000</v>
      </c>
    </row>
    <row r="916" spans="2:14" x14ac:dyDescent="0.35">
      <c r="B916" s="265"/>
      <c r="C916" s="260"/>
      <c r="D916" s="261"/>
      <c r="E916" s="262"/>
      <c r="F916" s="152" t="s">
        <v>85</v>
      </c>
      <c r="G916" s="152" t="s">
        <v>514</v>
      </c>
      <c r="H916" s="263"/>
      <c r="I916" s="264"/>
      <c r="J916" s="74"/>
      <c r="K916" s="129"/>
      <c r="L916" s="46"/>
      <c r="M916" s="171"/>
    </row>
    <row r="917" spans="2:14" ht="15" customHeight="1" x14ac:dyDescent="0.35">
      <c r="B917" s="265"/>
      <c r="C917" s="260"/>
      <c r="D917" s="261"/>
      <c r="E917" s="262"/>
      <c r="F917" s="152" t="s">
        <v>85</v>
      </c>
      <c r="G917" s="152" t="s">
        <v>455</v>
      </c>
      <c r="H917" s="274"/>
      <c r="I917" s="264"/>
      <c r="J917" s="74"/>
      <c r="K917" s="132"/>
      <c r="L917" s="46"/>
      <c r="M917" s="171"/>
    </row>
    <row r="918" spans="2:14" ht="15" customHeight="1" x14ac:dyDescent="0.35">
      <c r="B918" s="265"/>
      <c r="C918" s="260"/>
      <c r="D918" s="261"/>
      <c r="E918" s="262"/>
      <c r="F918" s="152" t="s">
        <v>85</v>
      </c>
      <c r="G918" s="152" t="s">
        <v>456</v>
      </c>
      <c r="H918" s="274"/>
      <c r="I918" s="264"/>
      <c r="J918" s="74"/>
      <c r="K918" s="155"/>
      <c r="L918" s="46"/>
      <c r="M918" s="171"/>
    </row>
    <row r="919" spans="2:14" ht="15" customHeight="1" x14ac:dyDescent="0.35">
      <c r="B919" s="265"/>
      <c r="C919" s="260"/>
      <c r="D919" s="261"/>
      <c r="E919" s="262"/>
      <c r="F919" s="152" t="s">
        <v>85</v>
      </c>
      <c r="G919" s="152" t="s">
        <v>457</v>
      </c>
      <c r="H919" s="274"/>
      <c r="I919" s="264"/>
      <c r="J919" s="74"/>
      <c r="K919" s="132"/>
      <c r="L919" s="46"/>
      <c r="M919" s="171"/>
    </row>
    <row r="920" spans="2:14" x14ac:dyDescent="0.35">
      <c r="B920" s="265"/>
      <c r="C920" s="260"/>
      <c r="D920" s="261"/>
      <c r="E920" s="262"/>
      <c r="F920" s="152" t="s">
        <v>85</v>
      </c>
      <c r="G920" s="152" t="s">
        <v>513</v>
      </c>
      <c r="H920" s="263"/>
      <c r="I920" s="264"/>
      <c r="J920" s="89"/>
      <c r="K920" s="93"/>
      <c r="L920" s="46"/>
      <c r="M920" s="171"/>
      <c r="N920" s="242"/>
    </row>
    <row r="921" spans="2:14" x14ac:dyDescent="0.35">
      <c r="B921" s="265"/>
      <c r="C921" s="260"/>
      <c r="D921" s="261" t="s">
        <v>37</v>
      </c>
      <c r="E921" s="262"/>
      <c r="F921" s="152" t="s">
        <v>223</v>
      </c>
      <c r="G921" s="152"/>
      <c r="H921" s="263"/>
      <c r="I921" s="264"/>
      <c r="J921" s="74"/>
      <c r="K921" s="51"/>
      <c r="L921" s="46"/>
    </row>
    <row r="922" spans="2:14" x14ac:dyDescent="0.35">
      <c r="B922" s="265"/>
      <c r="C922" s="260"/>
      <c r="D922" s="261"/>
      <c r="E922" s="262"/>
      <c r="F922" s="152" t="s">
        <v>85</v>
      </c>
      <c r="G922" s="152" t="s">
        <v>458</v>
      </c>
      <c r="H922" s="274">
        <v>35.748899999999999</v>
      </c>
      <c r="I922" s="264" t="s">
        <v>117</v>
      </c>
      <c r="J922" s="74">
        <v>31000</v>
      </c>
      <c r="K922" s="51"/>
      <c r="L922" s="46">
        <f>J922*H922</f>
        <v>1108215.8999999999</v>
      </c>
    </row>
    <row r="923" spans="2:14" x14ac:dyDescent="0.35">
      <c r="B923" s="265"/>
      <c r="C923" s="260"/>
      <c r="D923" s="261"/>
      <c r="E923" s="262"/>
      <c r="F923" s="152" t="s">
        <v>85</v>
      </c>
      <c r="G923" s="152" t="s">
        <v>459</v>
      </c>
      <c r="H923" s="274">
        <v>63.584999999999994</v>
      </c>
      <c r="I923" s="264" t="s">
        <v>117</v>
      </c>
      <c r="J923" s="74">
        <v>31000</v>
      </c>
      <c r="K923" s="51"/>
      <c r="L923" s="46">
        <f t="shared" ref="L923:L924" si="70">J923*H923</f>
        <v>1971134.9999999998</v>
      </c>
    </row>
    <row r="924" spans="2:14" x14ac:dyDescent="0.35">
      <c r="B924" s="265"/>
      <c r="C924" s="260"/>
      <c r="D924" s="261"/>
      <c r="E924" s="262"/>
      <c r="F924" s="152" t="s">
        <v>85</v>
      </c>
      <c r="G924" s="152" t="s">
        <v>460</v>
      </c>
      <c r="H924" s="274">
        <v>54.219575999999996</v>
      </c>
      <c r="I924" s="264" t="s">
        <v>117</v>
      </c>
      <c r="J924" s="74">
        <v>31000</v>
      </c>
      <c r="K924" s="51"/>
      <c r="L924" s="46">
        <f t="shared" si="70"/>
        <v>1680806.8559999999</v>
      </c>
    </row>
    <row r="925" spans="2:14" x14ac:dyDescent="0.35">
      <c r="B925" s="265"/>
      <c r="C925" s="260"/>
      <c r="D925" s="261" t="s">
        <v>39</v>
      </c>
      <c r="E925" s="262"/>
      <c r="F925" s="152" t="s">
        <v>224</v>
      </c>
      <c r="G925" s="152"/>
      <c r="H925" s="274"/>
      <c r="I925" s="264"/>
      <c r="J925" s="74"/>
      <c r="K925" s="51"/>
      <c r="L925" s="46"/>
    </row>
    <row r="926" spans="2:14" x14ac:dyDescent="0.35">
      <c r="B926" s="265"/>
      <c r="C926" s="260"/>
      <c r="D926" s="261"/>
      <c r="E926" s="262"/>
      <c r="F926" s="152" t="s">
        <v>85</v>
      </c>
      <c r="G926" s="152" t="s">
        <v>458</v>
      </c>
      <c r="H926" s="274">
        <v>35.748899999999999</v>
      </c>
      <c r="I926" s="264" t="s">
        <v>117</v>
      </c>
      <c r="J926" s="74">
        <v>31000</v>
      </c>
      <c r="K926" s="51"/>
      <c r="L926" s="46">
        <f t="shared" ref="L926:L928" si="71">J926*H926</f>
        <v>1108215.8999999999</v>
      </c>
    </row>
    <row r="927" spans="2:14" x14ac:dyDescent="0.35">
      <c r="B927" s="265"/>
      <c r="C927" s="260"/>
      <c r="D927" s="261"/>
      <c r="E927" s="262"/>
      <c r="F927" s="152" t="s">
        <v>85</v>
      </c>
      <c r="G927" s="152" t="s">
        <v>459</v>
      </c>
      <c r="H927" s="274">
        <v>63.584999999999994</v>
      </c>
      <c r="I927" s="264" t="s">
        <v>117</v>
      </c>
      <c r="J927" s="74">
        <v>31000</v>
      </c>
      <c r="K927" s="51"/>
      <c r="L927" s="46">
        <f t="shared" si="71"/>
        <v>1971134.9999999998</v>
      </c>
    </row>
    <row r="928" spans="2:14" x14ac:dyDescent="0.35">
      <c r="B928" s="265"/>
      <c r="C928" s="260"/>
      <c r="D928" s="261"/>
      <c r="E928" s="262"/>
      <c r="F928" s="152" t="s">
        <v>85</v>
      </c>
      <c r="G928" s="152" t="s">
        <v>460</v>
      </c>
      <c r="H928" s="274">
        <v>54.219575999999996</v>
      </c>
      <c r="I928" s="264" t="s">
        <v>117</v>
      </c>
      <c r="J928" s="74">
        <v>31000</v>
      </c>
      <c r="K928" s="51"/>
      <c r="L928" s="46">
        <f t="shared" si="71"/>
        <v>1680806.8559999999</v>
      </c>
    </row>
    <row r="929" spans="2:14" x14ac:dyDescent="0.35">
      <c r="B929" s="267" t="s">
        <v>86</v>
      </c>
      <c r="C929" s="268"/>
      <c r="D929" s="269"/>
      <c r="E929" s="270" t="s">
        <v>11</v>
      </c>
      <c r="F929" s="144"/>
      <c r="G929" s="144"/>
      <c r="H929" s="271"/>
      <c r="I929" s="272"/>
      <c r="J929" s="74"/>
      <c r="K929" s="51"/>
      <c r="L929" s="46"/>
    </row>
    <row r="930" spans="2:14" x14ac:dyDescent="0.35">
      <c r="B930" s="265"/>
      <c r="C930" s="260" t="s">
        <v>167</v>
      </c>
      <c r="D930" s="261"/>
      <c r="E930" s="262"/>
      <c r="F930" s="152" t="s">
        <v>195</v>
      </c>
      <c r="G930" s="152"/>
      <c r="H930" s="263"/>
      <c r="I930" s="264"/>
      <c r="J930" s="74"/>
      <c r="K930" s="51"/>
      <c r="L930" s="46"/>
    </row>
    <row r="931" spans="2:14" x14ac:dyDescent="0.35">
      <c r="B931" s="265"/>
      <c r="C931" s="260"/>
      <c r="D931" s="261" t="s">
        <v>34</v>
      </c>
      <c r="E931" s="262"/>
      <c r="F931" s="152" t="s">
        <v>227</v>
      </c>
      <c r="G931" s="152"/>
      <c r="H931" s="263">
        <v>1</v>
      </c>
      <c r="I931" s="264" t="s">
        <v>92</v>
      </c>
      <c r="J931" s="74">
        <v>1000000</v>
      </c>
      <c r="K931" s="51"/>
      <c r="L931" s="46">
        <f t="shared" ref="L931" si="72">J931*H931</f>
        <v>1000000</v>
      </c>
    </row>
    <row r="932" spans="2:14" x14ac:dyDescent="0.35">
      <c r="B932" s="265"/>
      <c r="C932" s="260"/>
      <c r="D932" s="261"/>
      <c r="E932" s="262"/>
      <c r="F932" s="152" t="s">
        <v>85</v>
      </c>
      <c r="G932" s="152" t="s">
        <v>461</v>
      </c>
      <c r="H932" s="274"/>
      <c r="I932" s="264"/>
      <c r="J932" s="74"/>
      <c r="K932" s="51"/>
      <c r="L932" s="46"/>
      <c r="M932" s="242"/>
    </row>
    <row r="933" spans="2:14" x14ac:dyDescent="0.35">
      <c r="B933" s="265"/>
      <c r="C933" s="260"/>
      <c r="D933" s="261"/>
      <c r="E933" s="262"/>
      <c r="F933" s="152" t="s">
        <v>85</v>
      </c>
      <c r="G933" s="152" t="s">
        <v>462</v>
      </c>
      <c r="H933" s="274"/>
      <c r="I933" s="264"/>
      <c r="J933" s="74"/>
      <c r="K933" s="51"/>
      <c r="L933" s="46"/>
      <c r="M933" s="242"/>
    </row>
    <row r="934" spans="2:14" x14ac:dyDescent="0.35">
      <c r="B934" s="265"/>
      <c r="C934" s="260"/>
      <c r="D934" s="261"/>
      <c r="E934" s="262"/>
      <c r="F934" s="152" t="s">
        <v>85</v>
      </c>
      <c r="G934" s="152" t="s">
        <v>463</v>
      </c>
      <c r="H934" s="274"/>
      <c r="I934" s="264"/>
      <c r="J934" s="74"/>
      <c r="K934" s="51"/>
      <c r="L934" s="46"/>
      <c r="M934" s="242"/>
    </row>
    <row r="935" spans="2:14" x14ac:dyDescent="0.35">
      <c r="B935" s="265"/>
      <c r="C935" s="260"/>
      <c r="D935" s="261"/>
      <c r="E935" s="262"/>
      <c r="F935" s="152" t="s">
        <v>85</v>
      </c>
      <c r="G935" s="152" t="s">
        <v>515</v>
      </c>
      <c r="H935" s="263"/>
      <c r="I935" s="264"/>
      <c r="J935" s="74"/>
      <c r="K935" s="51"/>
      <c r="L935" s="46"/>
      <c r="M935" s="242"/>
      <c r="N935" s="242"/>
    </row>
    <row r="936" spans="2:14" x14ac:dyDescent="0.35">
      <c r="B936" s="265"/>
      <c r="C936" s="260"/>
      <c r="D936" s="261" t="s">
        <v>37</v>
      </c>
      <c r="E936" s="262"/>
      <c r="F936" s="152" t="s">
        <v>228</v>
      </c>
      <c r="G936" s="152"/>
      <c r="H936" s="263">
        <v>1</v>
      </c>
      <c r="I936" s="264" t="s">
        <v>92</v>
      </c>
      <c r="J936" s="74">
        <v>750000</v>
      </c>
      <c r="K936" s="51"/>
      <c r="L936" s="46">
        <f t="shared" ref="L936" si="73">J936*H936</f>
        <v>750000</v>
      </c>
    </row>
    <row r="937" spans="2:14" x14ac:dyDescent="0.35">
      <c r="B937" s="265"/>
      <c r="C937" s="260"/>
      <c r="D937" s="261"/>
      <c r="E937" s="262"/>
      <c r="F937" s="152" t="s">
        <v>85</v>
      </c>
      <c r="G937" s="152" t="s">
        <v>461</v>
      </c>
      <c r="H937" s="274"/>
      <c r="I937" s="264"/>
      <c r="J937" s="74"/>
      <c r="K937" s="51"/>
      <c r="L937" s="46"/>
      <c r="M937" s="242"/>
    </row>
    <row r="938" spans="2:14" x14ac:dyDescent="0.35">
      <c r="B938" s="265"/>
      <c r="C938" s="260"/>
      <c r="D938" s="261"/>
      <c r="E938" s="262"/>
      <c r="F938" s="152" t="s">
        <v>85</v>
      </c>
      <c r="G938" s="152" t="s">
        <v>462</v>
      </c>
      <c r="H938" s="274"/>
      <c r="I938" s="264"/>
      <c r="J938" s="74"/>
      <c r="K938" s="51"/>
      <c r="L938" s="46"/>
      <c r="M938" s="242"/>
    </row>
    <row r="939" spans="2:14" x14ac:dyDescent="0.35">
      <c r="B939" s="265"/>
      <c r="C939" s="260"/>
      <c r="D939" s="261"/>
      <c r="E939" s="262"/>
      <c r="F939" s="152" t="s">
        <v>85</v>
      </c>
      <c r="G939" s="152" t="s">
        <v>463</v>
      </c>
      <c r="H939" s="274"/>
      <c r="I939" s="264"/>
      <c r="J939" s="74"/>
      <c r="K939" s="51"/>
      <c r="L939" s="46"/>
      <c r="M939" s="242"/>
      <c r="N939" s="242"/>
    </row>
    <row r="940" spans="2:14" x14ac:dyDescent="0.35">
      <c r="B940" s="147"/>
      <c r="C940" s="148"/>
      <c r="D940" s="149"/>
      <c r="E940" s="150"/>
      <c r="F940" s="151"/>
      <c r="G940" s="152"/>
      <c r="H940" s="157"/>
      <c r="I940" s="154"/>
      <c r="J940" s="89"/>
      <c r="K940" s="93"/>
      <c r="L940" s="46"/>
    </row>
    <row r="941" spans="2:14" x14ac:dyDescent="0.35">
      <c r="B941" s="147"/>
      <c r="C941" s="148"/>
      <c r="D941" s="149"/>
      <c r="E941" s="150"/>
      <c r="F941" s="151"/>
      <c r="G941" s="152"/>
      <c r="H941" s="153"/>
      <c r="I941" s="154"/>
      <c r="J941" s="92"/>
      <c r="K941" s="58"/>
      <c r="L941" s="29"/>
    </row>
    <row r="942" spans="2:14" x14ac:dyDescent="0.35">
      <c r="B942" s="8"/>
      <c r="C942" s="9"/>
      <c r="D942" s="10"/>
      <c r="E942" s="4"/>
      <c r="F942" s="4"/>
      <c r="G942" s="4"/>
      <c r="H942" s="1"/>
      <c r="I942" s="1"/>
      <c r="J942" s="11" t="s">
        <v>8</v>
      </c>
      <c r="K942" s="7">
        <f>SUM(K884:K941)</f>
        <v>3600000</v>
      </c>
      <c r="L942" s="7">
        <f>SUM(L884:L941)</f>
        <v>41969742.371999994</v>
      </c>
    </row>
    <row r="943" spans="2:14" x14ac:dyDescent="0.35">
      <c r="B943" s="8"/>
      <c r="C943" s="9"/>
      <c r="D943" s="9"/>
      <c r="E943" s="4"/>
      <c r="F943" s="4"/>
      <c r="G943" s="4"/>
      <c r="H943" s="1"/>
      <c r="I943" s="1"/>
      <c r="J943" s="11"/>
      <c r="K943" s="35" t="s">
        <v>12</v>
      </c>
      <c r="L943" s="36" t="s">
        <v>13</v>
      </c>
    </row>
    <row r="944" spans="2:14" x14ac:dyDescent="0.35">
      <c r="B944" s="3" t="s">
        <v>9</v>
      </c>
      <c r="C944" s="4"/>
      <c r="D944" s="4"/>
      <c r="E944" s="4"/>
      <c r="F944" s="4"/>
      <c r="G944" s="4"/>
      <c r="H944" s="1"/>
      <c r="I944" s="1"/>
      <c r="J944" s="12"/>
      <c r="K944" s="12"/>
      <c r="L944" s="13"/>
    </row>
    <row r="945" spans="2:14" x14ac:dyDescent="0.35">
      <c r="B945" s="37"/>
      <c r="C945" s="1"/>
      <c r="D945" s="1"/>
      <c r="E945" s="38"/>
      <c r="F945" s="38"/>
      <c r="G945" s="38"/>
      <c r="H945" s="1"/>
      <c r="I945" s="1"/>
      <c r="J945" s="1"/>
      <c r="K945" s="1"/>
      <c r="L945" s="19"/>
    </row>
    <row r="946" spans="2:14" x14ac:dyDescent="0.35">
      <c r="B946" s="28" t="s">
        <v>6</v>
      </c>
      <c r="C946" s="27"/>
      <c r="D946" s="27"/>
      <c r="E946" s="26"/>
      <c r="F946" s="26"/>
      <c r="G946" s="5"/>
      <c r="K946" s="301" t="s">
        <v>27</v>
      </c>
      <c r="L946" s="302"/>
    </row>
    <row r="947" spans="2:14" x14ac:dyDescent="0.35">
      <c r="B947" s="28">
        <v>1</v>
      </c>
      <c r="C947" s="27"/>
      <c r="D947" s="27"/>
      <c r="E947" s="26" t="s">
        <v>7</v>
      </c>
      <c r="F947" s="26"/>
      <c r="G947" s="5"/>
      <c r="K947" s="301" t="s">
        <v>17</v>
      </c>
      <c r="L947" s="302"/>
    </row>
    <row r="948" spans="2:14" x14ac:dyDescent="0.35">
      <c r="B948" s="39"/>
      <c r="C948" s="27"/>
      <c r="D948" s="27"/>
      <c r="E948" s="26"/>
      <c r="F948" s="26"/>
      <c r="G948" s="5"/>
      <c r="J948" s="25"/>
      <c r="K948" s="25"/>
      <c r="L948" s="24"/>
    </row>
    <row r="949" spans="2:14" x14ac:dyDescent="0.35">
      <c r="B949" s="28"/>
      <c r="C949" s="27"/>
      <c r="D949" s="27"/>
      <c r="E949" s="26"/>
      <c r="F949" s="26"/>
      <c r="G949" s="5"/>
      <c r="L949" s="22"/>
    </row>
    <row r="950" spans="2:14" x14ac:dyDescent="0.35">
      <c r="B950" s="45"/>
      <c r="E950" s="5"/>
      <c r="F950" s="5"/>
      <c r="G950" s="5"/>
      <c r="L950" s="22"/>
    </row>
    <row r="951" spans="2:14" x14ac:dyDescent="0.35">
      <c r="B951" s="45"/>
      <c r="E951" s="5"/>
      <c r="F951" s="5"/>
      <c r="G951" s="5"/>
      <c r="L951" s="22"/>
    </row>
    <row r="952" spans="2:14" x14ac:dyDescent="0.35">
      <c r="B952" s="45"/>
      <c r="E952" s="5"/>
      <c r="F952" s="5"/>
      <c r="G952" s="5"/>
      <c r="L952" s="22"/>
    </row>
    <row r="953" spans="2:14" x14ac:dyDescent="0.35">
      <c r="B953" s="45"/>
      <c r="E953" s="5"/>
      <c r="F953" s="5"/>
      <c r="G953" s="5"/>
      <c r="J953" s="40"/>
      <c r="K953" s="303" t="s">
        <v>25</v>
      </c>
      <c r="L953" s="304"/>
    </row>
    <row r="954" spans="2:14" x14ac:dyDescent="0.35">
      <c r="B954" s="45"/>
      <c r="K954" s="289" t="s">
        <v>26</v>
      </c>
      <c r="L954" s="290"/>
    </row>
    <row r="955" spans="2:14" x14ac:dyDescent="0.35">
      <c r="B955" s="305"/>
      <c r="C955" s="306"/>
      <c r="D955" s="306"/>
      <c r="E955" s="41"/>
      <c r="F955" s="41"/>
      <c r="G955" s="41"/>
      <c r="H955" s="2"/>
      <c r="I955" s="2"/>
      <c r="J955" s="2"/>
      <c r="K955" s="2"/>
      <c r="L955" s="21"/>
    </row>
    <row r="956" spans="2:14" x14ac:dyDescent="0.35">
      <c r="B956" s="47"/>
      <c r="C956" s="48"/>
      <c r="D956" s="49"/>
      <c r="G956" s="22"/>
      <c r="H956" s="1"/>
      <c r="I956" s="1"/>
      <c r="J956" s="43"/>
      <c r="K956" s="30"/>
      <c r="L956" s="44"/>
    </row>
    <row r="957" spans="2:14" x14ac:dyDescent="0.35">
      <c r="B957" s="265"/>
      <c r="C957" s="260" t="s">
        <v>170</v>
      </c>
      <c r="D957" s="261"/>
      <c r="E957" s="262"/>
      <c r="F957" s="152" t="s">
        <v>464</v>
      </c>
      <c r="G957" s="152"/>
      <c r="H957" s="263"/>
      <c r="I957" s="264"/>
      <c r="J957" s="74"/>
      <c r="K957" s="51"/>
      <c r="L957" s="46"/>
    </row>
    <row r="958" spans="2:14" x14ac:dyDescent="0.35">
      <c r="B958" s="265"/>
      <c r="C958" s="260"/>
      <c r="D958" s="261" t="s">
        <v>34</v>
      </c>
      <c r="E958" s="262"/>
      <c r="F958" s="152" t="s">
        <v>465</v>
      </c>
      <c r="G958" s="152"/>
      <c r="H958" s="263">
        <v>1</v>
      </c>
      <c r="I958" s="264" t="s">
        <v>92</v>
      </c>
      <c r="J958" s="74">
        <v>500000</v>
      </c>
      <c r="K958" s="51"/>
      <c r="L958" s="46">
        <f t="shared" ref="L958" si="74">J958*H958</f>
        <v>500000</v>
      </c>
    </row>
    <row r="959" spans="2:14" x14ac:dyDescent="0.35">
      <c r="B959" s="265"/>
      <c r="C959" s="260"/>
      <c r="D959" s="261"/>
      <c r="E959" s="262"/>
      <c r="F959" s="152" t="s">
        <v>85</v>
      </c>
      <c r="G959" s="152" t="s">
        <v>466</v>
      </c>
      <c r="H959" s="274"/>
      <c r="I959" s="264"/>
      <c r="J959" s="74"/>
      <c r="K959" s="51"/>
      <c r="L959" s="46"/>
      <c r="M959" s="242"/>
      <c r="N959" s="242"/>
    </row>
    <row r="960" spans="2:14" x14ac:dyDescent="0.35">
      <c r="B960" s="172"/>
      <c r="C960" s="173"/>
      <c r="D960" s="174"/>
      <c r="E960" s="175"/>
      <c r="F960" s="176"/>
      <c r="G960" s="177"/>
      <c r="H960" s="178"/>
      <c r="I960" s="179"/>
      <c r="J960" s="74"/>
      <c r="K960" s="51"/>
      <c r="L960" s="46"/>
    </row>
    <row r="961" spans="2:12" x14ac:dyDescent="0.35">
      <c r="B961" s="284"/>
      <c r="C961" s="285"/>
      <c r="D961" s="286"/>
      <c r="E961" s="273"/>
      <c r="F961" s="138" t="s">
        <v>229</v>
      </c>
      <c r="G961" s="138"/>
      <c r="H961" s="282"/>
      <c r="I961" s="283"/>
      <c r="J961" s="74"/>
      <c r="K961" s="51"/>
      <c r="L961" s="46"/>
    </row>
    <row r="962" spans="2:12" x14ac:dyDescent="0.35">
      <c r="B962" s="267" t="s">
        <v>33</v>
      </c>
      <c r="C962" s="268"/>
      <c r="D962" s="269"/>
      <c r="E962" s="270" t="s">
        <v>82</v>
      </c>
      <c r="F962" s="144"/>
      <c r="G962" s="144"/>
      <c r="H962" s="271"/>
      <c r="I962" s="272"/>
      <c r="J962" s="74"/>
      <c r="K962" s="51"/>
      <c r="L962" s="46"/>
    </row>
    <row r="963" spans="2:12" x14ac:dyDescent="0.35">
      <c r="B963" s="147"/>
      <c r="C963" s="148"/>
      <c r="D963" s="149" t="s">
        <v>34</v>
      </c>
      <c r="E963" s="150"/>
      <c r="F963" s="151" t="s">
        <v>467</v>
      </c>
      <c r="G963" s="152"/>
      <c r="H963" s="263">
        <v>1</v>
      </c>
      <c r="I963" s="264" t="s">
        <v>92</v>
      </c>
      <c r="J963" s="74">
        <v>650000</v>
      </c>
      <c r="K963" s="51">
        <f>J963*H963</f>
        <v>650000</v>
      </c>
      <c r="L963" s="46"/>
    </row>
    <row r="964" spans="2:12" x14ac:dyDescent="0.35">
      <c r="B964" s="147"/>
      <c r="C964" s="148"/>
      <c r="D964" s="149"/>
      <c r="E964" s="150"/>
      <c r="F964" s="151" t="s">
        <v>85</v>
      </c>
      <c r="G964" s="152" t="s">
        <v>516</v>
      </c>
      <c r="H964" s="153"/>
      <c r="I964" s="154"/>
      <c r="J964" s="74"/>
      <c r="K964" s="51"/>
      <c r="L964" s="46"/>
    </row>
    <row r="965" spans="2:12" x14ac:dyDescent="0.35">
      <c r="B965" s="147"/>
      <c r="C965" s="148"/>
      <c r="D965" s="149"/>
      <c r="E965" s="150"/>
      <c r="F965" s="151" t="s">
        <v>85</v>
      </c>
      <c r="G965" s="152" t="s">
        <v>447</v>
      </c>
      <c r="H965" s="153"/>
      <c r="I965" s="154"/>
      <c r="J965" s="74"/>
      <c r="K965" s="51"/>
      <c r="L965" s="46"/>
    </row>
    <row r="966" spans="2:12" x14ac:dyDescent="0.35">
      <c r="B966" s="147"/>
      <c r="C966" s="148"/>
      <c r="D966" s="149"/>
      <c r="E966" s="150"/>
      <c r="F966" s="151" t="s">
        <v>85</v>
      </c>
      <c r="G966" s="152" t="s">
        <v>517</v>
      </c>
      <c r="H966" s="153"/>
      <c r="I966" s="154"/>
      <c r="J966" s="74"/>
      <c r="K966" s="51"/>
      <c r="L966" s="46"/>
    </row>
    <row r="967" spans="2:12" x14ac:dyDescent="0.35">
      <c r="B967" s="147"/>
      <c r="C967" s="148"/>
      <c r="D967" s="149"/>
      <c r="E967" s="150"/>
      <c r="F967" s="151" t="s">
        <v>85</v>
      </c>
      <c r="G967" s="152" t="s">
        <v>518</v>
      </c>
      <c r="H967" s="153"/>
      <c r="I967" s="154"/>
      <c r="J967" s="74"/>
      <c r="K967" s="51"/>
      <c r="L967" s="46"/>
    </row>
    <row r="968" spans="2:12" x14ac:dyDescent="0.35">
      <c r="B968" s="147"/>
      <c r="C968" s="148"/>
      <c r="D968" s="149" t="s">
        <v>37</v>
      </c>
      <c r="E968" s="150"/>
      <c r="F968" s="151" t="s">
        <v>468</v>
      </c>
      <c r="G968" s="152"/>
      <c r="H968" s="263">
        <v>1</v>
      </c>
      <c r="I968" s="264" t="s">
        <v>92</v>
      </c>
      <c r="J968" s="74">
        <v>650000</v>
      </c>
      <c r="K968" s="51">
        <f>J968*H968</f>
        <v>650000</v>
      </c>
      <c r="L968" s="46"/>
    </row>
    <row r="969" spans="2:12" x14ac:dyDescent="0.35">
      <c r="B969" s="147"/>
      <c r="C969" s="148"/>
      <c r="D969" s="149"/>
      <c r="E969" s="150"/>
      <c r="F969" s="151" t="s">
        <v>85</v>
      </c>
      <c r="G969" s="152" t="s">
        <v>516</v>
      </c>
      <c r="H969" s="153"/>
      <c r="I969" s="154"/>
      <c r="J969" s="74"/>
      <c r="K969" s="51"/>
      <c r="L969" s="46"/>
    </row>
    <row r="970" spans="2:12" x14ac:dyDescent="0.35">
      <c r="B970" s="147"/>
      <c r="C970" s="148"/>
      <c r="D970" s="149"/>
      <c r="E970" s="150"/>
      <c r="F970" s="151" t="s">
        <v>85</v>
      </c>
      <c r="G970" s="152" t="s">
        <v>447</v>
      </c>
      <c r="H970" s="153"/>
      <c r="I970" s="154"/>
      <c r="J970" s="74"/>
      <c r="K970" s="51"/>
      <c r="L970" s="46"/>
    </row>
    <row r="971" spans="2:12" x14ac:dyDescent="0.35">
      <c r="B971" s="147"/>
      <c r="C971" s="148"/>
      <c r="D971" s="149"/>
      <c r="E971" s="150"/>
      <c r="F971" s="151" t="s">
        <v>85</v>
      </c>
      <c r="G971" s="152" t="s">
        <v>517</v>
      </c>
      <c r="H971" s="153"/>
      <c r="I971" s="154"/>
      <c r="J971" s="74"/>
      <c r="K971" s="51"/>
      <c r="L971" s="46"/>
    </row>
    <row r="972" spans="2:12" x14ac:dyDescent="0.35">
      <c r="B972" s="147"/>
      <c r="C972" s="148"/>
      <c r="D972" s="149"/>
      <c r="E972" s="150"/>
      <c r="F972" s="151" t="s">
        <v>85</v>
      </c>
      <c r="G972" s="152" t="s">
        <v>518</v>
      </c>
      <c r="H972" s="153"/>
      <c r="I972" s="154"/>
      <c r="J972" s="74"/>
      <c r="K972" s="51"/>
      <c r="L972" s="46"/>
    </row>
    <row r="973" spans="2:12" x14ac:dyDescent="0.35">
      <c r="B973" s="147"/>
      <c r="C973" s="148"/>
      <c r="D973" s="149"/>
      <c r="E973" s="150"/>
      <c r="F973" s="151"/>
      <c r="G973" s="152"/>
      <c r="H973" s="153"/>
      <c r="I973" s="154"/>
      <c r="J973" s="74"/>
      <c r="K973" s="51"/>
      <c r="L973" s="46"/>
    </row>
    <row r="974" spans="2:12" x14ac:dyDescent="0.35">
      <c r="B974" s="181"/>
      <c r="C974" s="182"/>
      <c r="D974" s="183"/>
      <c r="E974" s="136"/>
      <c r="F974" s="137" t="s">
        <v>237</v>
      </c>
      <c r="G974" s="138"/>
      <c r="H974" s="279"/>
      <c r="I974" s="185"/>
      <c r="J974" s="74"/>
      <c r="K974" s="51"/>
      <c r="L974" s="46"/>
    </row>
    <row r="975" spans="2:12" x14ac:dyDescent="0.35">
      <c r="B975" s="139" t="s">
        <v>33</v>
      </c>
      <c r="C975" s="140"/>
      <c r="D975" s="141"/>
      <c r="E975" s="142"/>
      <c r="F975" s="143" t="s">
        <v>217</v>
      </c>
      <c r="G975" s="144"/>
      <c r="H975" s="156"/>
      <c r="I975" s="146"/>
      <c r="J975" s="74"/>
      <c r="K975" s="51"/>
      <c r="L975" s="46"/>
    </row>
    <row r="976" spans="2:12" x14ac:dyDescent="0.35">
      <c r="B976" s="147"/>
      <c r="C976" s="148" t="s">
        <v>238</v>
      </c>
      <c r="D976" s="149"/>
      <c r="E976" s="150"/>
      <c r="F976" s="151" t="s">
        <v>239</v>
      </c>
      <c r="G976" s="152"/>
      <c r="H976" s="153"/>
      <c r="I976" s="154"/>
      <c r="J976" s="74"/>
      <c r="K976" s="51"/>
      <c r="L976" s="46"/>
    </row>
    <row r="977" spans="2:12" x14ac:dyDescent="0.35">
      <c r="B977" s="147"/>
      <c r="C977" s="148"/>
      <c r="D977" s="149" t="s">
        <v>34</v>
      </c>
      <c r="E977" s="150"/>
      <c r="F977" s="151" t="s">
        <v>240</v>
      </c>
      <c r="G977" s="152"/>
      <c r="H977" s="153"/>
      <c r="I977" s="154"/>
      <c r="J977" s="74"/>
      <c r="K977" s="129"/>
      <c r="L977" s="46"/>
    </row>
    <row r="978" spans="2:12" x14ac:dyDescent="0.35">
      <c r="B978" s="147"/>
      <c r="C978" s="148"/>
      <c r="D978" s="149"/>
      <c r="E978" s="150"/>
      <c r="F978" s="151" t="s">
        <v>85</v>
      </c>
      <c r="G978" s="152" t="s">
        <v>469</v>
      </c>
      <c r="H978" s="157">
        <v>104.56199999999998</v>
      </c>
      <c r="I978" s="154" t="s">
        <v>117</v>
      </c>
      <c r="J978" s="65">
        <v>31000</v>
      </c>
      <c r="K978" s="58"/>
      <c r="L978" s="46">
        <f>J978*H978</f>
        <v>3241421.9999999995</v>
      </c>
    </row>
    <row r="979" spans="2:12" x14ac:dyDescent="0.35">
      <c r="B979" s="139" t="s">
        <v>67</v>
      </c>
      <c r="C979" s="140"/>
      <c r="D979" s="141"/>
      <c r="E979" s="142"/>
      <c r="F979" s="143" t="s">
        <v>135</v>
      </c>
      <c r="G979" s="144"/>
      <c r="H979" s="156"/>
      <c r="I979" s="146"/>
      <c r="J979" s="74"/>
      <c r="K979" s="129"/>
      <c r="L979" s="46"/>
    </row>
    <row r="980" spans="2:12" x14ac:dyDescent="0.35">
      <c r="B980" s="147"/>
      <c r="C980" s="148" t="s">
        <v>218</v>
      </c>
      <c r="D980" s="149"/>
      <c r="E980" s="150"/>
      <c r="F980" s="151" t="s">
        <v>241</v>
      </c>
      <c r="G980" s="152"/>
      <c r="H980" s="153"/>
      <c r="I980" s="154"/>
      <c r="J980" s="74"/>
      <c r="K980" s="132"/>
      <c r="L980" s="46"/>
    </row>
    <row r="981" spans="2:12" x14ac:dyDescent="0.35">
      <c r="B981" s="147"/>
      <c r="C981" s="148"/>
      <c r="D981" s="149" t="s">
        <v>34</v>
      </c>
      <c r="E981" s="150"/>
      <c r="F981" s="151" t="s">
        <v>242</v>
      </c>
      <c r="G981" s="152"/>
      <c r="H981" s="153"/>
      <c r="I981" s="154"/>
      <c r="J981" s="74"/>
      <c r="K981" s="133"/>
      <c r="L981" s="46"/>
    </row>
    <row r="982" spans="2:12" x14ac:dyDescent="0.35">
      <c r="B982" s="147"/>
      <c r="C982" s="148"/>
      <c r="D982" s="149"/>
      <c r="E982" s="150"/>
      <c r="F982" s="151" t="s">
        <v>85</v>
      </c>
      <c r="G982" s="152" t="s">
        <v>470</v>
      </c>
      <c r="H982" s="157">
        <v>16.956</v>
      </c>
      <c r="I982" s="154" t="s">
        <v>117</v>
      </c>
      <c r="J982" s="65">
        <v>31000</v>
      </c>
      <c r="K982" s="58"/>
      <c r="L982" s="46">
        <f t="shared" ref="L982:L984" si="75">J982*H982</f>
        <v>525636</v>
      </c>
    </row>
    <row r="983" spans="2:12" x14ac:dyDescent="0.35">
      <c r="B983" s="147"/>
      <c r="C983" s="148"/>
      <c r="D983" s="149"/>
      <c r="E983" s="150"/>
      <c r="F983" s="151" t="s">
        <v>85</v>
      </c>
      <c r="G983" s="152" t="s">
        <v>471</v>
      </c>
      <c r="H983" s="157">
        <v>28.259999999999998</v>
      </c>
      <c r="I983" s="154" t="s">
        <v>117</v>
      </c>
      <c r="J983" s="65">
        <v>31000</v>
      </c>
      <c r="K983" s="58"/>
      <c r="L983" s="46">
        <f t="shared" si="75"/>
        <v>876059.99999999988</v>
      </c>
    </row>
    <row r="984" spans="2:12" x14ac:dyDescent="0.35">
      <c r="B984" s="147"/>
      <c r="C984" s="148"/>
      <c r="D984" s="149"/>
      <c r="E984" s="150"/>
      <c r="F984" s="151" t="s">
        <v>85</v>
      </c>
      <c r="G984" s="152" t="s">
        <v>472</v>
      </c>
      <c r="H984" s="157">
        <v>2.9013599999999995</v>
      </c>
      <c r="I984" s="154" t="s">
        <v>117</v>
      </c>
      <c r="J984" s="65">
        <v>31000</v>
      </c>
      <c r="K984" s="58"/>
      <c r="L984" s="46">
        <f t="shared" si="75"/>
        <v>89942.159999999989</v>
      </c>
    </row>
    <row r="985" spans="2:12" x14ac:dyDescent="0.35">
      <c r="B985" s="172"/>
      <c r="C985" s="173"/>
      <c r="D985" s="174"/>
      <c r="E985" s="175"/>
      <c r="F985" s="176"/>
      <c r="G985" s="177"/>
      <c r="H985" s="180"/>
      <c r="I985" s="179"/>
      <c r="J985" s="74"/>
      <c r="K985" s="51"/>
      <c r="L985" s="46"/>
    </row>
    <row r="986" spans="2:12" x14ac:dyDescent="0.35">
      <c r="B986" s="284"/>
      <c r="C986" s="285"/>
      <c r="D986" s="286"/>
      <c r="E986" s="273"/>
      <c r="F986" s="138" t="s">
        <v>243</v>
      </c>
      <c r="G986" s="138"/>
      <c r="H986" s="282"/>
      <c r="I986" s="283"/>
      <c r="J986" s="74"/>
      <c r="K986" s="51"/>
      <c r="L986" s="46"/>
    </row>
    <row r="987" spans="2:12" x14ac:dyDescent="0.35">
      <c r="B987" s="267" t="s">
        <v>33</v>
      </c>
      <c r="C987" s="268"/>
      <c r="D987" s="269"/>
      <c r="E987" s="270" t="s">
        <v>135</v>
      </c>
      <c r="F987" s="144"/>
      <c r="G987" s="144"/>
      <c r="H987" s="271"/>
      <c r="I987" s="272"/>
      <c r="J987" s="65"/>
      <c r="K987" s="58"/>
      <c r="L987" s="46"/>
    </row>
    <row r="988" spans="2:12" x14ac:dyDescent="0.35">
      <c r="B988" s="265"/>
      <c r="C988" s="260"/>
      <c r="D988" s="261" t="s">
        <v>34</v>
      </c>
      <c r="E988" s="262"/>
      <c r="F988" s="152" t="s">
        <v>244</v>
      </c>
      <c r="G988" s="152"/>
      <c r="H988" s="274"/>
      <c r="I988" s="264"/>
      <c r="J988" s="74"/>
      <c r="K988" s="51"/>
      <c r="L988" s="46"/>
    </row>
    <row r="989" spans="2:12" x14ac:dyDescent="0.35">
      <c r="B989" s="265"/>
      <c r="C989" s="260"/>
      <c r="D989" s="261"/>
      <c r="E989" s="262"/>
      <c r="F989" s="152" t="s">
        <v>85</v>
      </c>
      <c r="G989" s="152" t="s">
        <v>473</v>
      </c>
      <c r="H989" s="274">
        <v>55.766400000000004</v>
      </c>
      <c r="I989" s="264" t="s">
        <v>117</v>
      </c>
      <c r="J989" s="65">
        <v>29000</v>
      </c>
      <c r="K989" s="58"/>
      <c r="L989" s="46">
        <f t="shared" ref="L989:L1012" si="76">J989*H989</f>
        <v>1617225.6</v>
      </c>
    </row>
    <row r="990" spans="2:12" x14ac:dyDescent="0.35">
      <c r="B990" s="265"/>
      <c r="C990" s="260"/>
      <c r="D990" s="261"/>
      <c r="E990" s="262"/>
      <c r="F990" s="152" t="s">
        <v>85</v>
      </c>
      <c r="G990" s="152" t="s">
        <v>474</v>
      </c>
      <c r="H990" s="274">
        <v>10.173600000000002</v>
      </c>
      <c r="I990" s="264" t="s">
        <v>117</v>
      </c>
      <c r="J990" s="65">
        <v>29000</v>
      </c>
      <c r="K990" s="58"/>
      <c r="L990" s="46">
        <f t="shared" si="76"/>
        <v>295034.40000000008</v>
      </c>
    </row>
    <row r="991" spans="2:12" x14ac:dyDescent="0.35">
      <c r="B991" s="265"/>
      <c r="C991" s="260"/>
      <c r="D991" s="261"/>
      <c r="E991" s="262"/>
      <c r="F991" s="152" t="s">
        <v>85</v>
      </c>
      <c r="G991" s="152" t="s">
        <v>475</v>
      </c>
      <c r="H991" s="274">
        <v>26.376000000000005</v>
      </c>
      <c r="I991" s="264" t="s">
        <v>117</v>
      </c>
      <c r="J991" s="65">
        <v>29000</v>
      </c>
      <c r="K991" s="58"/>
      <c r="L991" s="46">
        <f t="shared" si="76"/>
        <v>764904.00000000012</v>
      </c>
    </row>
    <row r="992" spans="2:12" x14ac:dyDescent="0.35">
      <c r="B992" s="265"/>
      <c r="C992" s="260"/>
      <c r="D992" s="261"/>
      <c r="E992" s="262"/>
      <c r="F992" s="152" t="s">
        <v>85</v>
      </c>
      <c r="G992" s="152" t="s">
        <v>476</v>
      </c>
      <c r="H992" s="274">
        <v>5.652000000000001</v>
      </c>
      <c r="I992" s="264" t="s">
        <v>117</v>
      </c>
      <c r="J992" s="65">
        <v>29000</v>
      </c>
      <c r="K992" s="58"/>
      <c r="L992" s="46">
        <f t="shared" si="76"/>
        <v>163908.00000000003</v>
      </c>
    </row>
    <row r="993" spans="2:15" x14ac:dyDescent="0.35">
      <c r="B993" s="265"/>
      <c r="C993" s="260"/>
      <c r="D993" s="261"/>
      <c r="E993" s="262"/>
      <c r="F993" s="152" t="s">
        <v>85</v>
      </c>
      <c r="G993" s="152" t="s">
        <v>477</v>
      </c>
      <c r="H993" s="274">
        <v>21.854400000000002</v>
      </c>
      <c r="I993" s="264" t="s">
        <v>117</v>
      </c>
      <c r="J993" s="65">
        <v>29000</v>
      </c>
      <c r="K993" s="58"/>
      <c r="L993" s="46">
        <f t="shared" si="76"/>
        <v>633777.60000000009</v>
      </c>
    </row>
    <row r="994" spans="2:15" x14ac:dyDescent="0.35">
      <c r="B994" s="265"/>
      <c r="C994" s="260"/>
      <c r="D994" s="261"/>
      <c r="E994" s="262"/>
      <c r="F994" s="152" t="s">
        <v>85</v>
      </c>
      <c r="G994" s="152" t="s">
        <v>478</v>
      </c>
      <c r="H994" s="274">
        <v>22.042800000000003</v>
      </c>
      <c r="I994" s="264" t="s">
        <v>117</v>
      </c>
      <c r="J994" s="65">
        <v>29000</v>
      </c>
      <c r="K994" s="58"/>
      <c r="L994" s="46">
        <f t="shared" si="76"/>
        <v>639241.20000000007</v>
      </c>
      <c r="M994" s="170"/>
    </row>
    <row r="995" spans="2:15" x14ac:dyDescent="0.35">
      <c r="B995" s="265"/>
      <c r="C995" s="260"/>
      <c r="D995" s="261"/>
      <c r="E995" s="262"/>
      <c r="F995" s="152" t="s">
        <v>85</v>
      </c>
      <c r="G995" s="152" t="s">
        <v>479</v>
      </c>
      <c r="H995" s="274">
        <v>9.9852000000000007</v>
      </c>
      <c r="I995" s="264" t="s">
        <v>117</v>
      </c>
      <c r="J995" s="65">
        <v>29000</v>
      </c>
      <c r="K995" s="58"/>
      <c r="L995" s="46">
        <f t="shared" si="76"/>
        <v>289570.80000000005</v>
      </c>
      <c r="M995" s="170"/>
      <c r="N995" s="170"/>
      <c r="O995" s="168"/>
    </row>
    <row r="996" spans="2:15" x14ac:dyDescent="0.35">
      <c r="B996" s="265"/>
      <c r="C996" s="260"/>
      <c r="D996" s="261"/>
      <c r="E996" s="262"/>
      <c r="F996" s="152" t="s">
        <v>85</v>
      </c>
      <c r="G996" s="152" t="s">
        <v>480</v>
      </c>
      <c r="H996" s="274">
        <v>26.564400000000003</v>
      </c>
      <c r="I996" s="264" t="s">
        <v>117</v>
      </c>
      <c r="J996" s="65">
        <v>29000</v>
      </c>
      <c r="K996" s="58"/>
      <c r="L996" s="46">
        <f t="shared" si="76"/>
        <v>770367.60000000009</v>
      </c>
    </row>
    <row r="997" spans="2:15" x14ac:dyDescent="0.35">
      <c r="B997" s="265"/>
      <c r="C997" s="260"/>
      <c r="D997" s="261"/>
      <c r="E997" s="262"/>
      <c r="F997" s="152" t="s">
        <v>85</v>
      </c>
      <c r="G997" s="152" t="s">
        <v>481</v>
      </c>
      <c r="H997" s="274">
        <v>50.868000000000009</v>
      </c>
      <c r="I997" s="264" t="s">
        <v>117</v>
      </c>
      <c r="J997" s="65">
        <v>29000</v>
      </c>
      <c r="K997" s="58"/>
      <c r="L997" s="46">
        <f t="shared" si="76"/>
        <v>1475172.0000000002</v>
      </c>
    </row>
    <row r="998" spans="2:15" x14ac:dyDescent="0.35">
      <c r="B998" s="265"/>
      <c r="C998" s="260"/>
      <c r="D998" s="261"/>
      <c r="E998" s="262"/>
      <c r="F998" s="152" t="s">
        <v>85</v>
      </c>
      <c r="G998" s="152" t="s">
        <v>482</v>
      </c>
      <c r="H998" s="274">
        <v>8.8548000000000009</v>
      </c>
      <c r="I998" s="264" t="s">
        <v>117</v>
      </c>
      <c r="J998" s="65">
        <v>29000</v>
      </c>
      <c r="K998" s="58"/>
      <c r="L998" s="46">
        <f t="shared" si="76"/>
        <v>256789.2</v>
      </c>
    </row>
    <row r="999" spans="2:15" x14ac:dyDescent="0.35">
      <c r="B999" s="265"/>
      <c r="C999" s="260"/>
      <c r="D999" s="261"/>
      <c r="E999" s="262"/>
      <c r="F999" s="152" t="s">
        <v>85</v>
      </c>
      <c r="G999" s="152" t="s">
        <v>483</v>
      </c>
      <c r="H999" s="274">
        <v>6.4056000000000006</v>
      </c>
      <c r="I999" s="264" t="s">
        <v>117</v>
      </c>
      <c r="J999" s="65">
        <v>29000</v>
      </c>
      <c r="K999" s="58"/>
      <c r="L999" s="46">
        <f t="shared" si="76"/>
        <v>185762.40000000002</v>
      </c>
    </row>
    <row r="1000" spans="2:15" x14ac:dyDescent="0.35">
      <c r="B1000" s="265"/>
      <c r="C1000" s="260"/>
      <c r="D1000" s="261"/>
      <c r="E1000" s="262"/>
      <c r="F1000" s="152" t="s">
        <v>85</v>
      </c>
      <c r="G1000" s="152" t="s">
        <v>484</v>
      </c>
      <c r="H1000" s="274">
        <v>16.014000000000003</v>
      </c>
      <c r="I1000" s="264" t="s">
        <v>117</v>
      </c>
      <c r="J1000" s="65">
        <v>29000</v>
      </c>
      <c r="K1000" s="58"/>
      <c r="L1000" s="46">
        <f t="shared" si="76"/>
        <v>464406.00000000006</v>
      </c>
    </row>
    <row r="1001" spans="2:15" x14ac:dyDescent="0.35">
      <c r="B1001" s="265"/>
      <c r="C1001" s="260"/>
      <c r="D1001" s="261"/>
      <c r="E1001" s="262"/>
      <c r="F1001" s="152" t="s">
        <v>85</v>
      </c>
      <c r="G1001" s="152" t="s">
        <v>485</v>
      </c>
      <c r="H1001" s="274">
        <v>7.724400000000001</v>
      </c>
      <c r="I1001" s="264" t="s">
        <v>117</v>
      </c>
      <c r="J1001" s="65">
        <v>29000</v>
      </c>
      <c r="K1001" s="58"/>
      <c r="L1001" s="46">
        <f t="shared" si="76"/>
        <v>224007.60000000003</v>
      </c>
    </row>
    <row r="1002" spans="2:15" x14ac:dyDescent="0.35">
      <c r="B1002" s="265"/>
      <c r="C1002" s="260"/>
      <c r="D1002" s="261"/>
      <c r="E1002" s="262"/>
      <c r="F1002" s="152" t="s">
        <v>85</v>
      </c>
      <c r="G1002" s="152" t="s">
        <v>486</v>
      </c>
      <c r="H1002" s="263">
        <v>1</v>
      </c>
      <c r="I1002" s="264" t="s">
        <v>152</v>
      </c>
      <c r="J1002" s="74">
        <v>1900000</v>
      </c>
      <c r="K1002" s="51"/>
      <c r="L1002" s="46">
        <f t="shared" si="76"/>
        <v>1900000</v>
      </c>
      <c r="M1002" s="287"/>
    </row>
    <row r="1003" spans="2:15" s="34" customFormat="1" x14ac:dyDescent="0.35">
      <c r="B1003" s="265"/>
      <c r="C1003" s="260"/>
      <c r="D1003" s="261"/>
      <c r="E1003" s="262"/>
      <c r="F1003" s="152" t="s">
        <v>85</v>
      </c>
      <c r="G1003" s="152" t="s">
        <v>487</v>
      </c>
      <c r="H1003" s="263">
        <v>1</v>
      </c>
      <c r="I1003" s="264" t="s">
        <v>152</v>
      </c>
      <c r="J1003" s="74">
        <v>175000</v>
      </c>
      <c r="K1003" s="51"/>
      <c r="L1003" s="46">
        <f t="shared" si="76"/>
        <v>175000</v>
      </c>
      <c r="M1003" s="287"/>
    </row>
    <row r="1004" spans="2:15" s="34" customFormat="1" x14ac:dyDescent="0.35">
      <c r="B1004" s="265"/>
      <c r="C1004" s="260"/>
      <c r="D1004" s="261"/>
      <c r="E1004" s="262"/>
      <c r="F1004" s="152" t="s">
        <v>85</v>
      </c>
      <c r="G1004" s="152" t="s">
        <v>488</v>
      </c>
      <c r="H1004" s="263">
        <v>1</v>
      </c>
      <c r="I1004" s="264" t="s">
        <v>152</v>
      </c>
      <c r="J1004" s="74">
        <v>850000</v>
      </c>
      <c r="K1004" s="186"/>
      <c r="L1004" s="46">
        <f t="shared" si="76"/>
        <v>850000</v>
      </c>
      <c r="M1004" s="287"/>
    </row>
    <row r="1005" spans="2:15" s="34" customFormat="1" x14ac:dyDescent="0.35">
      <c r="B1005" s="265"/>
      <c r="C1005" s="260"/>
      <c r="D1005" s="261"/>
      <c r="E1005" s="262"/>
      <c r="F1005" s="152" t="s">
        <v>85</v>
      </c>
      <c r="G1005" s="152" t="s">
        <v>489</v>
      </c>
      <c r="H1005" s="263">
        <v>1</v>
      </c>
      <c r="I1005" s="264" t="s">
        <v>152</v>
      </c>
      <c r="J1005" s="187">
        <v>1200000</v>
      </c>
      <c r="K1005" s="188"/>
      <c r="L1005" s="46">
        <f t="shared" si="76"/>
        <v>1200000</v>
      </c>
      <c r="M1005" s="287"/>
    </row>
    <row r="1006" spans="2:15" s="34" customFormat="1" x14ac:dyDescent="0.35">
      <c r="B1006" s="265"/>
      <c r="C1006" s="260"/>
      <c r="D1006" s="261"/>
      <c r="E1006" s="262"/>
      <c r="F1006" s="152" t="s">
        <v>85</v>
      </c>
      <c r="G1006" s="152" t="s">
        <v>490</v>
      </c>
      <c r="H1006" s="263">
        <v>1</v>
      </c>
      <c r="I1006" s="264" t="s">
        <v>152</v>
      </c>
      <c r="J1006" s="74">
        <v>800000</v>
      </c>
      <c r="K1006" s="51"/>
      <c r="L1006" s="46">
        <f t="shared" si="76"/>
        <v>800000</v>
      </c>
      <c r="M1006" s="287"/>
    </row>
    <row r="1007" spans="2:15" s="34" customFormat="1" x14ac:dyDescent="0.35">
      <c r="B1007" s="265"/>
      <c r="C1007" s="260"/>
      <c r="D1007" s="261"/>
      <c r="E1007" s="262"/>
      <c r="F1007" s="152" t="s">
        <v>85</v>
      </c>
      <c r="G1007" s="152" t="s">
        <v>491</v>
      </c>
      <c r="H1007" s="263">
        <v>1</v>
      </c>
      <c r="I1007" s="264" t="s">
        <v>152</v>
      </c>
      <c r="J1007" s="74">
        <v>75000</v>
      </c>
      <c r="K1007" s="51"/>
      <c r="L1007" s="46">
        <f t="shared" si="76"/>
        <v>75000</v>
      </c>
      <c r="M1007" s="287"/>
    </row>
    <row r="1008" spans="2:15" s="34" customFormat="1" x14ac:dyDescent="0.35">
      <c r="B1008" s="265"/>
      <c r="C1008" s="260"/>
      <c r="D1008" s="261"/>
      <c r="E1008" s="262"/>
      <c r="F1008" s="152" t="s">
        <v>85</v>
      </c>
      <c r="G1008" s="152" t="s">
        <v>492</v>
      </c>
      <c r="H1008" s="263">
        <v>1</v>
      </c>
      <c r="I1008" s="264" t="s">
        <v>152</v>
      </c>
      <c r="J1008" s="74">
        <v>150000</v>
      </c>
      <c r="K1008" s="51"/>
      <c r="L1008" s="46">
        <f t="shared" si="76"/>
        <v>150000</v>
      </c>
      <c r="M1008" s="287"/>
    </row>
    <row r="1009" spans="2:13" s="34" customFormat="1" x14ac:dyDescent="0.35">
      <c r="B1009" s="265"/>
      <c r="C1009" s="260"/>
      <c r="D1009" s="261"/>
      <c r="E1009" s="262"/>
      <c r="F1009" s="152" t="s">
        <v>85</v>
      </c>
      <c r="G1009" s="152" t="s">
        <v>493</v>
      </c>
      <c r="H1009" s="263">
        <v>1</v>
      </c>
      <c r="I1009" s="264" t="s">
        <v>152</v>
      </c>
      <c r="J1009" s="74">
        <v>1100000</v>
      </c>
      <c r="K1009" s="51"/>
      <c r="L1009" s="46">
        <f t="shared" si="76"/>
        <v>1100000</v>
      </c>
      <c r="M1009" s="287"/>
    </row>
    <row r="1010" spans="2:13" x14ac:dyDescent="0.35">
      <c r="B1010" s="265"/>
      <c r="C1010" s="260"/>
      <c r="D1010" s="261"/>
      <c r="E1010" s="262"/>
      <c r="F1010" s="152" t="s">
        <v>85</v>
      </c>
      <c r="G1010" s="152" t="s">
        <v>494</v>
      </c>
      <c r="H1010" s="263">
        <v>1</v>
      </c>
      <c r="I1010" s="264" t="s">
        <v>152</v>
      </c>
      <c r="J1010" s="74">
        <v>800000</v>
      </c>
      <c r="K1010" s="51"/>
      <c r="L1010" s="46">
        <f t="shared" si="76"/>
        <v>800000</v>
      </c>
      <c r="M1010" s="287"/>
    </row>
    <row r="1011" spans="2:13" x14ac:dyDescent="0.35">
      <c r="B1011" s="265"/>
      <c r="C1011" s="260"/>
      <c r="D1011" s="261"/>
      <c r="E1011" s="262"/>
      <c r="F1011" s="152" t="s">
        <v>85</v>
      </c>
      <c r="G1011" s="152" t="s">
        <v>495</v>
      </c>
      <c r="H1011" s="263">
        <v>1</v>
      </c>
      <c r="I1011" s="264" t="s">
        <v>152</v>
      </c>
      <c r="J1011" s="74">
        <v>1100000</v>
      </c>
      <c r="K1011" s="51"/>
      <c r="L1011" s="46">
        <f t="shared" si="76"/>
        <v>1100000</v>
      </c>
      <c r="M1011" s="287"/>
    </row>
    <row r="1012" spans="2:13" x14ac:dyDescent="0.35">
      <c r="B1012" s="265"/>
      <c r="C1012" s="260"/>
      <c r="D1012" s="261"/>
      <c r="E1012" s="262"/>
      <c r="F1012" s="152" t="s">
        <v>85</v>
      </c>
      <c r="G1012" s="152" t="s">
        <v>496</v>
      </c>
      <c r="H1012" s="263">
        <v>1</v>
      </c>
      <c r="I1012" s="264" t="s">
        <v>152</v>
      </c>
      <c r="J1012" s="74">
        <v>500000</v>
      </c>
      <c r="K1012" s="51"/>
      <c r="L1012" s="46">
        <f t="shared" si="76"/>
        <v>500000</v>
      </c>
      <c r="M1012" s="287"/>
    </row>
    <row r="1013" spans="2:13" x14ac:dyDescent="0.35">
      <c r="B1013" s="147"/>
      <c r="C1013" s="148"/>
      <c r="D1013" s="149"/>
      <c r="E1013" s="150"/>
      <c r="F1013" s="151"/>
      <c r="G1013" s="152"/>
      <c r="H1013" s="153"/>
      <c r="I1013" s="154"/>
      <c r="J1013" s="92"/>
      <c r="K1013" s="58"/>
      <c r="L1013" s="29"/>
    </row>
    <row r="1014" spans="2:13" x14ac:dyDescent="0.35">
      <c r="B1014" s="8"/>
      <c r="C1014" s="9"/>
      <c r="D1014" s="10"/>
      <c r="E1014" s="4"/>
      <c r="F1014" s="4"/>
      <c r="G1014" s="4"/>
      <c r="H1014" s="1"/>
      <c r="I1014" s="1"/>
      <c r="J1014" s="11" t="s">
        <v>8</v>
      </c>
      <c r="K1014" s="7">
        <f>SUM(K956:K1013)</f>
        <v>1300000</v>
      </c>
      <c r="L1014" s="7">
        <f>SUM(L956:L1013)</f>
        <v>21663226.559999999</v>
      </c>
    </row>
    <row r="1015" spans="2:13" x14ac:dyDescent="0.35">
      <c r="B1015" s="8"/>
      <c r="C1015" s="9"/>
      <c r="D1015" s="9"/>
      <c r="E1015" s="4"/>
      <c r="F1015" s="4"/>
      <c r="G1015" s="4"/>
      <c r="H1015" s="1"/>
      <c r="I1015" s="1"/>
      <c r="J1015" s="11"/>
      <c r="K1015" s="35" t="s">
        <v>12</v>
      </c>
      <c r="L1015" s="36" t="s">
        <v>13</v>
      </c>
    </row>
    <row r="1016" spans="2:13" x14ac:dyDescent="0.35">
      <c r="B1016" s="3" t="s">
        <v>9</v>
      </c>
      <c r="C1016" s="4"/>
      <c r="D1016" s="4"/>
      <c r="E1016" s="4"/>
      <c r="F1016" s="4"/>
      <c r="G1016" s="4"/>
      <c r="H1016" s="1"/>
      <c r="I1016" s="1"/>
      <c r="J1016" s="12"/>
      <c r="K1016" s="12"/>
      <c r="L1016" s="13"/>
    </row>
    <row r="1017" spans="2:13" x14ac:dyDescent="0.35">
      <c r="B1017" s="37"/>
      <c r="C1017" s="1"/>
      <c r="D1017" s="1"/>
      <c r="E1017" s="38"/>
      <c r="F1017" s="38"/>
      <c r="G1017" s="38"/>
      <c r="H1017" s="1"/>
      <c r="I1017" s="1"/>
      <c r="J1017" s="1"/>
      <c r="K1017" s="1"/>
      <c r="L1017" s="19"/>
    </row>
    <row r="1018" spans="2:13" x14ac:dyDescent="0.35">
      <c r="B1018" s="28" t="s">
        <v>6</v>
      </c>
      <c r="C1018" s="27"/>
      <c r="D1018" s="27"/>
      <c r="E1018" s="26"/>
      <c r="F1018" s="26"/>
      <c r="G1018" s="5"/>
      <c r="K1018" s="301" t="s">
        <v>27</v>
      </c>
      <c r="L1018" s="302"/>
    </row>
    <row r="1019" spans="2:13" x14ac:dyDescent="0.35">
      <c r="B1019" s="28">
        <v>1</v>
      </c>
      <c r="C1019" s="27"/>
      <c r="D1019" s="27"/>
      <c r="E1019" s="26" t="s">
        <v>7</v>
      </c>
      <c r="F1019" s="26"/>
      <c r="G1019" s="5"/>
      <c r="K1019" s="301" t="s">
        <v>17</v>
      </c>
      <c r="L1019" s="302"/>
    </row>
    <row r="1020" spans="2:13" x14ac:dyDescent="0.35">
      <c r="B1020" s="39"/>
      <c r="C1020" s="27"/>
      <c r="D1020" s="27"/>
      <c r="E1020" s="26"/>
      <c r="F1020" s="26"/>
      <c r="G1020" s="5"/>
      <c r="J1020" s="25"/>
      <c r="K1020" s="25"/>
      <c r="L1020" s="24"/>
    </row>
    <row r="1021" spans="2:13" x14ac:dyDescent="0.35">
      <c r="B1021" s="28"/>
      <c r="C1021" s="27"/>
      <c r="D1021" s="27"/>
      <c r="E1021" s="26"/>
      <c r="F1021" s="26"/>
      <c r="G1021" s="5"/>
      <c r="L1021" s="22"/>
    </row>
    <row r="1022" spans="2:13" x14ac:dyDescent="0.35">
      <c r="B1022" s="45"/>
      <c r="E1022" s="5"/>
      <c r="F1022" s="5"/>
      <c r="G1022" s="5"/>
      <c r="L1022" s="22"/>
    </row>
    <row r="1023" spans="2:13" x14ac:dyDescent="0.35">
      <c r="B1023" s="45"/>
      <c r="E1023" s="5"/>
      <c r="F1023" s="5"/>
      <c r="G1023" s="5"/>
      <c r="L1023" s="22"/>
    </row>
    <row r="1024" spans="2:13" x14ac:dyDescent="0.35">
      <c r="B1024" s="45"/>
      <c r="E1024" s="5"/>
      <c r="F1024" s="5"/>
      <c r="G1024" s="5"/>
      <c r="L1024" s="22"/>
    </row>
    <row r="1025" spans="2:12" x14ac:dyDescent="0.35">
      <c r="B1025" s="45"/>
      <c r="E1025" s="5"/>
      <c r="F1025" s="5"/>
      <c r="G1025" s="5"/>
      <c r="J1025" s="40"/>
      <c r="K1025" s="303" t="s">
        <v>25</v>
      </c>
      <c r="L1025" s="304"/>
    </row>
    <row r="1026" spans="2:12" x14ac:dyDescent="0.35">
      <c r="B1026" s="45"/>
      <c r="K1026" s="289" t="s">
        <v>26</v>
      </c>
      <c r="L1026" s="290"/>
    </row>
    <row r="1027" spans="2:12" x14ac:dyDescent="0.35">
      <c r="B1027" s="305"/>
      <c r="C1027" s="306"/>
      <c r="D1027" s="306"/>
      <c r="E1027" s="41"/>
      <c r="F1027" s="41"/>
      <c r="G1027" s="41"/>
      <c r="H1027" s="2"/>
      <c r="I1027" s="2"/>
      <c r="J1027" s="2"/>
      <c r="K1027" s="2"/>
      <c r="L1027" s="21"/>
    </row>
    <row r="1028" spans="2:12" x14ac:dyDescent="0.35">
      <c r="B1028" s="47"/>
      <c r="C1028" s="48"/>
      <c r="D1028" s="49"/>
      <c r="G1028" s="22"/>
      <c r="H1028" s="1"/>
      <c r="I1028" s="1"/>
      <c r="J1028" s="43"/>
      <c r="K1028" s="30"/>
      <c r="L1028" s="44"/>
    </row>
    <row r="1029" spans="2:12" x14ac:dyDescent="0.35">
      <c r="B1029" s="267" t="s">
        <v>67</v>
      </c>
      <c r="C1029" s="268"/>
      <c r="D1029" s="269"/>
      <c r="E1029" s="270" t="s">
        <v>245</v>
      </c>
      <c r="F1029" s="144"/>
      <c r="G1029" s="144"/>
      <c r="H1029" s="271"/>
      <c r="I1029" s="272"/>
      <c r="J1029" s="74"/>
      <c r="K1029" s="51"/>
      <c r="L1029" s="46"/>
    </row>
    <row r="1030" spans="2:12" x14ac:dyDescent="0.35">
      <c r="B1030" s="265"/>
      <c r="C1030" s="260"/>
      <c r="D1030" s="261" t="s">
        <v>34</v>
      </c>
      <c r="E1030" s="262"/>
      <c r="F1030" s="152" t="s">
        <v>246</v>
      </c>
      <c r="G1030" s="152"/>
      <c r="H1030" s="263">
        <v>2</v>
      </c>
      <c r="I1030" s="264" t="s">
        <v>92</v>
      </c>
      <c r="J1030" s="50">
        <v>15000000</v>
      </c>
      <c r="K1030" s="58">
        <f t="shared" ref="K1030:K1032" si="77">H1030*J1030</f>
        <v>30000000</v>
      </c>
      <c r="L1030" s="46"/>
    </row>
    <row r="1031" spans="2:12" x14ac:dyDescent="0.35">
      <c r="B1031" s="265"/>
      <c r="C1031" s="260"/>
      <c r="D1031" s="261" t="s">
        <v>37</v>
      </c>
      <c r="E1031" s="262"/>
      <c r="F1031" s="152" t="s">
        <v>519</v>
      </c>
      <c r="G1031" s="152"/>
      <c r="H1031" s="263">
        <v>2</v>
      </c>
      <c r="I1031" s="264" t="s">
        <v>92</v>
      </c>
      <c r="J1031" s="50">
        <v>7500000</v>
      </c>
      <c r="K1031" s="58">
        <f t="shared" si="77"/>
        <v>15000000</v>
      </c>
      <c r="L1031" s="46"/>
    </row>
    <row r="1032" spans="2:12" x14ac:dyDescent="0.35">
      <c r="B1032" s="265"/>
      <c r="C1032" s="260"/>
      <c r="D1032" s="261" t="s">
        <v>39</v>
      </c>
      <c r="E1032" s="262"/>
      <c r="F1032" s="152" t="s">
        <v>520</v>
      </c>
      <c r="G1032" s="152"/>
      <c r="H1032" s="263">
        <v>2</v>
      </c>
      <c r="I1032" s="264" t="s">
        <v>92</v>
      </c>
      <c r="J1032" s="50">
        <v>7500000</v>
      </c>
      <c r="K1032" s="58">
        <f t="shared" si="77"/>
        <v>15000000</v>
      </c>
      <c r="L1032" s="46"/>
    </row>
    <row r="1033" spans="2:12" s="34" customFormat="1" x14ac:dyDescent="0.35">
      <c r="B1033" s="96" t="s">
        <v>153</v>
      </c>
      <c r="C1033" s="97"/>
      <c r="D1033" s="98"/>
      <c r="E1033" s="99" t="s">
        <v>154</v>
      </c>
      <c r="F1033" s="100"/>
      <c r="G1033" s="101"/>
      <c r="H1033" s="102"/>
      <c r="I1033" s="103"/>
      <c r="J1033" s="74"/>
      <c r="K1033" s="51"/>
      <c r="L1033" s="46"/>
    </row>
    <row r="1034" spans="2:12" x14ac:dyDescent="0.35">
      <c r="B1034" s="107"/>
      <c r="C1034" s="108"/>
      <c r="D1034" s="95" t="s">
        <v>34</v>
      </c>
      <c r="E1034" s="109"/>
      <c r="F1034" s="135" t="s">
        <v>155</v>
      </c>
      <c r="G1034" s="110"/>
      <c r="H1034" s="105">
        <v>1</v>
      </c>
      <c r="I1034" s="122" t="s">
        <v>36</v>
      </c>
      <c r="J1034" s="74">
        <v>30000000</v>
      </c>
      <c r="K1034" s="51">
        <f>J1034*H1034</f>
        <v>30000000</v>
      </c>
      <c r="L1034" s="46"/>
    </row>
    <row r="1035" spans="2:12" x14ac:dyDescent="0.35">
      <c r="B1035" s="107"/>
      <c r="C1035" s="108"/>
      <c r="D1035" s="95"/>
      <c r="E1035" s="53"/>
      <c r="F1035" s="104" t="s">
        <v>85</v>
      </c>
      <c r="G1035" s="30" t="s">
        <v>523</v>
      </c>
      <c r="H1035" s="105">
        <v>5</v>
      </c>
      <c r="I1035" s="122" t="s">
        <v>70</v>
      </c>
      <c r="J1035" s="74"/>
      <c r="K1035" s="51"/>
      <c r="L1035" s="46"/>
    </row>
    <row r="1036" spans="2:12" x14ac:dyDescent="0.35">
      <c r="B1036" s="107"/>
      <c r="C1036" s="108"/>
      <c r="D1036" s="95"/>
      <c r="E1036" s="53"/>
      <c r="F1036" s="104" t="s">
        <v>85</v>
      </c>
      <c r="G1036" s="30" t="s">
        <v>521</v>
      </c>
      <c r="H1036" s="105">
        <v>30</v>
      </c>
      <c r="I1036" s="122" t="s">
        <v>70</v>
      </c>
      <c r="J1036" s="74"/>
      <c r="K1036" s="51"/>
      <c r="L1036" s="46"/>
    </row>
    <row r="1037" spans="2:12" x14ac:dyDescent="0.35">
      <c r="B1037" s="107"/>
      <c r="C1037" s="108"/>
      <c r="D1037" s="95"/>
      <c r="E1037" s="53"/>
      <c r="F1037" s="104" t="s">
        <v>85</v>
      </c>
      <c r="G1037" s="30" t="s">
        <v>522</v>
      </c>
      <c r="H1037" s="105">
        <v>3</v>
      </c>
      <c r="I1037" s="122" t="s">
        <v>70</v>
      </c>
      <c r="J1037" s="74"/>
      <c r="K1037" s="51"/>
      <c r="L1037" s="46"/>
    </row>
    <row r="1038" spans="2:12" x14ac:dyDescent="0.35">
      <c r="B1038" s="107"/>
      <c r="C1038" s="108"/>
      <c r="D1038" s="95"/>
      <c r="E1038" s="53"/>
      <c r="F1038" s="104" t="s">
        <v>85</v>
      </c>
      <c r="G1038" s="30" t="s">
        <v>524</v>
      </c>
      <c r="H1038" s="105">
        <v>8.4</v>
      </c>
      <c r="I1038" s="122" t="s">
        <v>118</v>
      </c>
      <c r="J1038" s="74"/>
      <c r="K1038" s="51"/>
      <c r="L1038" s="46"/>
    </row>
    <row r="1039" spans="2:12" x14ac:dyDescent="0.35">
      <c r="B1039" s="107"/>
      <c r="C1039" s="108"/>
      <c r="D1039" s="95"/>
      <c r="E1039" s="53"/>
      <c r="F1039" s="104" t="s">
        <v>85</v>
      </c>
      <c r="G1039" s="30" t="s">
        <v>525</v>
      </c>
      <c r="H1039" s="105">
        <v>35</v>
      </c>
      <c r="I1039" s="122" t="s">
        <v>118</v>
      </c>
      <c r="J1039" s="74"/>
      <c r="K1039" s="51"/>
      <c r="L1039" s="46"/>
    </row>
    <row r="1040" spans="2:12" x14ac:dyDescent="0.35">
      <c r="B1040" s="147"/>
      <c r="C1040" s="148"/>
      <c r="D1040" s="149"/>
      <c r="E1040" s="150"/>
      <c r="F1040" s="151"/>
      <c r="G1040" s="152"/>
      <c r="H1040" s="153"/>
      <c r="I1040" s="154"/>
      <c r="J1040" s="74"/>
      <c r="K1040" s="51"/>
      <c r="L1040" s="46"/>
    </row>
    <row r="1041" spans="2:12" x14ac:dyDescent="0.35">
      <c r="B1041" s="147"/>
      <c r="C1041" s="148"/>
      <c r="D1041" s="149"/>
      <c r="E1041" s="150"/>
      <c r="F1041" s="151"/>
      <c r="G1041" s="152"/>
      <c r="H1041" s="153"/>
      <c r="I1041" s="154"/>
      <c r="J1041" s="74"/>
      <c r="K1041" s="51"/>
      <c r="L1041" s="46"/>
    </row>
    <row r="1042" spans="2:12" x14ac:dyDescent="0.35">
      <c r="B1042" s="147"/>
      <c r="C1042" s="148"/>
      <c r="D1042" s="149"/>
      <c r="E1042" s="150"/>
      <c r="F1042" s="151"/>
      <c r="G1042" s="152"/>
      <c r="H1042" s="153"/>
      <c r="I1042" s="154"/>
      <c r="J1042" s="74"/>
      <c r="K1042" s="129"/>
      <c r="L1042" s="46"/>
    </row>
    <row r="1043" spans="2:12" x14ac:dyDescent="0.35">
      <c r="B1043" s="147"/>
      <c r="C1043" s="148"/>
      <c r="D1043" s="149"/>
      <c r="E1043" s="150"/>
      <c r="F1043" s="151"/>
      <c r="G1043" s="152"/>
      <c r="H1043" s="153"/>
      <c r="I1043" s="154"/>
      <c r="J1043" s="74"/>
      <c r="K1043" s="51"/>
      <c r="L1043" s="46"/>
    </row>
    <row r="1044" spans="2:12" x14ac:dyDescent="0.35">
      <c r="B1044" s="147"/>
      <c r="C1044" s="148"/>
      <c r="D1044" s="149"/>
      <c r="E1044" s="150"/>
      <c r="F1044" s="151"/>
      <c r="G1044" s="152"/>
      <c r="H1044" s="153"/>
      <c r="I1044" s="154"/>
      <c r="J1044" s="74"/>
      <c r="K1044" s="129"/>
      <c r="L1044" s="46"/>
    </row>
    <row r="1045" spans="2:12" x14ac:dyDescent="0.35">
      <c r="B1045" s="147"/>
      <c r="C1045" s="148"/>
      <c r="D1045" s="149"/>
      <c r="E1045" s="150"/>
      <c r="F1045" s="151"/>
      <c r="G1045" s="152"/>
      <c r="H1045" s="153"/>
      <c r="I1045" s="154"/>
      <c r="J1045" s="74"/>
      <c r="K1045" s="51"/>
      <c r="L1045" s="46"/>
    </row>
    <row r="1046" spans="2:12" x14ac:dyDescent="0.35">
      <c r="B1046" s="147"/>
      <c r="C1046" s="148"/>
      <c r="D1046" s="149"/>
      <c r="E1046" s="150"/>
      <c r="F1046" s="151"/>
      <c r="G1046" s="152"/>
      <c r="H1046" s="153"/>
      <c r="I1046" s="154"/>
      <c r="J1046" s="74"/>
      <c r="K1046" s="133"/>
      <c r="L1046" s="46"/>
    </row>
    <row r="1047" spans="2:12" x14ac:dyDescent="0.35">
      <c r="B1047" s="147"/>
      <c r="C1047" s="148"/>
      <c r="D1047" s="149"/>
      <c r="E1047" s="150"/>
      <c r="F1047" s="151"/>
      <c r="G1047" s="152"/>
      <c r="H1047" s="153"/>
      <c r="I1047" s="154"/>
      <c r="J1047" s="74"/>
      <c r="K1047" s="51"/>
      <c r="L1047" s="46"/>
    </row>
    <row r="1048" spans="2:12" s="34" customFormat="1" x14ac:dyDescent="0.35">
      <c r="B1048" s="47"/>
      <c r="C1048" s="48"/>
      <c r="D1048" s="70"/>
      <c r="E1048" s="71"/>
      <c r="F1048" s="18"/>
      <c r="G1048" s="22"/>
      <c r="H1048" s="18"/>
      <c r="I1048" s="275"/>
      <c r="J1048" s="187"/>
      <c r="K1048" s="188"/>
      <c r="L1048" s="46"/>
    </row>
    <row r="1049" spans="2:12" s="34" customFormat="1" x14ac:dyDescent="0.35">
      <c r="B1049" s="189"/>
      <c r="C1049" s="190"/>
      <c r="D1049" s="191"/>
      <c r="E1049" s="276"/>
      <c r="F1049" s="277"/>
      <c r="G1049" s="278"/>
      <c r="H1049" s="192"/>
      <c r="I1049" s="193"/>
      <c r="J1049" s="187"/>
      <c r="K1049" s="188"/>
      <c r="L1049" s="46"/>
    </row>
    <row r="1050" spans="2:12" s="34" customFormat="1" x14ac:dyDescent="0.35">
      <c r="B1050" s="181"/>
      <c r="C1050" s="182"/>
      <c r="D1050" s="183"/>
      <c r="E1050" s="244"/>
      <c r="F1050" s="245"/>
      <c r="G1050" s="246"/>
      <c r="H1050" s="279"/>
      <c r="I1050" s="185"/>
      <c r="J1050" s="187"/>
      <c r="K1050" s="188"/>
      <c r="L1050" s="46"/>
    </row>
    <row r="1051" spans="2:12" s="34" customFormat="1" x14ac:dyDescent="0.35">
      <c r="B1051" s="160"/>
      <c r="C1051" s="161"/>
      <c r="D1051" s="162"/>
      <c r="E1051" s="163"/>
      <c r="F1051" s="164"/>
      <c r="G1051" s="165"/>
      <c r="H1051" s="166"/>
      <c r="I1051" s="167"/>
      <c r="J1051" s="29"/>
      <c r="K1051" s="51"/>
      <c r="L1051" s="46"/>
    </row>
    <row r="1052" spans="2:12" s="34" customFormat="1" x14ac:dyDescent="0.35">
      <c r="B1052" s="181"/>
      <c r="C1052" s="182"/>
      <c r="D1052" s="183"/>
      <c r="E1052" s="244"/>
      <c r="F1052" s="245"/>
      <c r="G1052" s="246"/>
      <c r="H1052" s="279"/>
      <c r="I1052" s="185"/>
      <c r="J1052" s="187"/>
      <c r="K1052" s="188"/>
      <c r="L1052" s="46"/>
    </row>
    <row r="1053" spans="2:12" s="34" customFormat="1" x14ac:dyDescent="0.35">
      <c r="B1053" s="160"/>
      <c r="C1053" s="161"/>
      <c r="D1053" s="162"/>
      <c r="E1053" s="163"/>
      <c r="F1053" s="164"/>
      <c r="G1053" s="165"/>
      <c r="H1053" s="166"/>
      <c r="I1053" s="167"/>
      <c r="J1053" s="187"/>
      <c r="K1053" s="188"/>
      <c r="L1053" s="46"/>
    </row>
    <row r="1054" spans="2:12" s="34" customFormat="1" x14ac:dyDescent="0.35">
      <c r="B1054" s="160"/>
      <c r="C1054" s="161"/>
      <c r="D1054" s="162"/>
      <c r="E1054" s="163"/>
      <c r="F1054" s="164"/>
      <c r="G1054" s="165"/>
      <c r="H1054" s="166"/>
      <c r="I1054" s="167"/>
      <c r="J1054" s="187"/>
      <c r="K1054" s="188"/>
      <c r="L1054" s="46"/>
    </row>
    <row r="1055" spans="2:12" s="34" customFormat="1" x14ac:dyDescent="0.35">
      <c r="B1055" s="47"/>
      <c r="C1055" s="48"/>
      <c r="D1055" s="70"/>
      <c r="E1055" s="71"/>
      <c r="F1055" s="18"/>
      <c r="G1055" s="22"/>
      <c r="H1055" s="18"/>
      <c r="I1055" s="275"/>
      <c r="J1055" s="187"/>
      <c r="K1055" s="188"/>
      <c r="L1055" s="46"/>
    </row>
    <row r="1056" spans="2:12" s="34" customFormat="1" x14ac:dyDescent="0.35">
      <c r="B1056" s="181"/>
      <c r="C1056" s="182"/>
      <c r="D1056" s="183"/>
      <c r="E1056" s="244"/>
      <c r="F1056" s="245"/>
      <c r="G1056" s="246"/>
      <c r="H1056" s="184"/>
      <c r="I1056" s="185"/>
      <c r="J1056" s="187"/>
      <c r="K1056" s="188"/>
      <c r="L1056" s="46"/>
    </row>
    <row r="1057" spans="2:14" x14ac:dyDescent="0.35">
      <c r="B1057" s="139"/>
      <c r="C1057" s="140"/>
      <c r="D1057" s="141"/>
      <c r="E1057" s="142"/>
      <c r="F1057" s="143"/>
      <c r="G1057" s="144"/>
      <c r="H1057" s="145"/>
      <c r="I1057" s="146"/>
      <c r="J1057" s="89"/>
      <c r="K1057" s="93"/>
      <c r="L1057" s="46"/>
    </row>
    <row r="1058" spans="2:14" x14ac:dyDescent="0.35">
      <c r="B1058" s="147"/>
      <c r="C1058" s="148"/>
      <c r="D1058" s="149"/>
      <c r="E1058" s="150"/>
      <c r="F1058" s="151"/>
      <c r="G1058" s="152"/>
      <c r="H1058" s="153"/>
      <c r="I1058" s="154"/>
      <c r="J1058" s="50"/>
      <c r="K1058" s="58"/>
      <c r="L1058" s="46"/>
    </row>
    <row r="1059" spans="2:14" x14ac:dyDescent="0.35">
      <c r="B1059" s="139"/>
      <c r="C1059" s="140"/>
      <c r="D1059" s="141"/>
      <c r="E1059" s="142"/>
      <c r="F1059" s="143"/>
      <c r="G1059" s="144"/>
      <c r="H1059" s="145"/>
      <c r="I1059" s="146"/>
      <c r="J1059" s="89"/>
      <c r="K1059" s="93"/>
      <c r="L1059" s="46"/>
    </row>
    <row r="1060" spans="2:14" x14ac:dyDescent="0.35">
      <c r="B1060" s="147"/>
      <c r="C1060" s="148"/>
      <c r="D1060" s="149"/>
      <c r="E1060" s="150"/>
      <c r="F1060" s="151"/>
      <c r="G1060" s="152"/>
      <c r="H1060" s="157"/>
      <c r="I1060" s="154"/>
      <c r="J1060" s="89"/>
      <c r="K1060" s="93"/>
      <c r="L1060" s="46"/>
    </row>
    <row r="1061" spans="2:14" x14ac:dyDescent="0.35">
      <c r="B1061" s="147"/>
      <c r="C1061" s="148"/>
      <c r="D1061" s="149"/>
      <c r="E1061" s="150"/>
      <c r="F1061" s="151"/>
      <c r="G1061" s="152"/>
      <c r="H1061" s="157"/>
      <c r="I1061" s="154"/>
      <c r="J1061" s="89"/>
      <c r="K1061" s="93"/>
      <c r="L1061" s="46"/>
    </row>
    <row r="1062" spans="2:14" x14ac:dyDescent="0.35">
      <c r="B1062" s="147"/>
      <c r="C1062" s="148"/>
      <c r="D1062" s="149"/>
      <c r="E1062" s="150"/>
      <c r="F1062" s="151"/>
      <c r="G1062" s="152"/>
      <c r="H1062" s="157"/>
      <c r="I1062" s="154"/>
      <c r="J1062" s="89"/>
      <c r="K1062" s="93"/>
      <c r="L1062" s="46"/>
    </row>
    <row r="1063" spans="2:14" x14ac:dyDescent="0.35">
      <c r="B1063" s="147"/>
      <c r="C1063" s="148"/>
      <c r="D1063" s="149"/>
      <c r="E1063" s="150"/>
      <c r="F1063" s="151"/>
      <c r="G1063" s="152"/>
      <c r="H1063" s="153"/>
      <c r="I1063" s="154"/>
      <c r="J1063" s="89"/>
      <c r="K1063" s="93"/>
      <c r="L1063" s="46"/>
    </row>
    <row r="1064" spans="2:14" x14ac:dyDescent="0.35">
      <c r="B1064" s="139"/>
      <c r="C1064" s="140"/>
      <c r="D1064" s="141"/>
      <c r="E1064" s="142"/>
      <c r="F1064" s="143"/>
      <c r="G1064" s="144"/>
      <c r="H1064" s="145"/>
      <c r="I1064" s="146"/>
      <c r="J1064" s="89"/>
      <c r="K1064" s="93"/>
      <c r="L1064" s="46"/>
    </row>
    <row r="1065" spans="2:14" x14ac:dyDescent="0.35">
      <c r="B1065" s="147"/>
      <c r="C1065" s="148"/>
      <c r="D1065" s="149"/>
      <c r="E1065" s="150"/>
      <c r="F1065" s="151"/>
      <c r="G1065" s="152"/>
      <c r="H1065" s="153"/>
      <c r="I1065" s="154"/>
      <c r="J1065" s="50"/>
      <c r="K1065" s="58"/>
      <c r="L1065" s="46"/>
    </row>
    <row r="1066" spans="2:14" x14ac:dyDescent="0.35">
      <c r="B1066" s="147"/>
      <c r="C1066" s="148"/>
      <c r="D1066" s="149"/>
      <c r="E1066" s="150"/>
      <c r="F1066" s="151"/>
      <c r="G1066" s="152"/>
      <c r="H1066" s="153"/>
      <c r="I1066" s="154"/>
      <c r="J1066" s="50"/>
      <c r="K1066" s="58"/>
      <c r="L1066" s="46"/>
    </row>
    <row r="1067" spans="2:14" x14ac:dyDescent="0.35">
      <c r="B1067" s="147"/>
      <c r="C1067" s="148"/>
      <c r="D1067" s="149"/>
      <c r="E1067" s="150"/>
      <c r="F1067" s="151"/>
      <c r="G1067" s="152"/>
      <c r="H1067" s="153"/>
      <c r="I1067" s="154"/>
      <c r="J1067" s="50"/>
      <c r="K1067" s="58"/>
      <c r="L1067" s="46"/>
    </row>
    <row r="1068" spans="2:14" x14ac:dyDescent="0.35">
      <c r="B1068" s="147"/>
      <c r="C1068" s="148"/>
      <c r="D1068" s="149"/>
      <c r="E1068" s="150"/>
      <c r="F1068" s="151"/>
      <c r="G1068" s="152"/>
      <c r="H1068" s="153"/>
      <c r="I1068" s="154"/>
      <c r="J1068" s="89"/>
      <c r="K1068" s="93"/>
      <c r="L1068" s="46"/>
    </row>
    <row r="1069" spans="2:14" x14ac:dyDescent="0.35">
      <c r="B1069" s="147"/>
      <c r="C1069" s="148"/>
      <c r="D1069" s="149"/>
      <c r="E1069" s="150"/>
      <c r="F1069" s="151"/>
      <c r="G1069" s="152"/>
      <c r="H1069" s="157"/>
      <c r="I1069" s="154"/>
      <c r="J1069" s="89"/>
      <c r="K1069" s="93"/>
      <c r="L1069" s="46"/>
      <c r="M1069" s="194"/>
    </row>
    <row r="1070" spans="2:14" x14ac:dyDescent="0.35">
      <c r="B1070" s="147"/>
      <c r="C1070" s="148"/>
      <c r="D1070" s="149"/>
      <c r="E1070" s="150"/>
      <c r="F1070" s="151"/>
      <c r="G1070" s="152"/>
      <c r="H1070" s="157"/>
      <c r="I1070" s="154"/>
      <c r="J1070" s="89"/>
      <c r="K1070" s="93"/>
      <c r="L1070" s="46"/>
      <c r="M1070" s="194"/>
    </row>
    <row r="1071" spans="2:14" x14ac:dyDescent="0.35">
      <c r="B1071" s="147"/>
      <c r="C1071" s="148"/>
      <c r="D1071" s="149"/>
      <c r="E1071" s="150"/>
      <c r="F1071" s="151"/>
      <c r="G1071" s="152"/>
      <c r="H1071" s="153"/>
      <c r="I1071" s="154"/>
      <c r="J1071" s="89"/>
      <c r="K1071" s="93"/>
      <c r="L1071" s="46"/>
      <c r="M1071" s="194"/>
      <c r="N1071" s="194"/>
    </row>
    <row r="1072" spans="2:14" s="34" customFormat="1" x14ac:dyDescent="0.35">
      <c r="B1072" s="147"/>
      <c r="C1072" s="148"/>
      <c r="D1072" s="149"/>
      <c r="E1072" s="150"/>
      <c r="F1072" s="151"/>
      <c r="G1072" s="152"/>
      <c r="H1072" s="153"/>
      <c r="I1072" s="154"/>
      <c r="J1072" s="89"/>
      <c r="K1072" s="93"/>
      <c r="L1072" s="46"/>
    </row>
    <row r="1073" spans="2:13" s="34" customFormat="1" x14ac:dyDescent="0.35">
      <c r="B1073" s="147"/>
      <c r="C1073" s="148"/>
      <c r="D1073" s="149"/>
      <c r="E1073" s="150"/>
      <c r="F1073" s="151"/>
      <c r="G1073" s="152"/>
      <c r="H1073" s="157"/>
      <c r="I1073" s="154"/>
      <c r="J1073" s="74"/>
      <c r="K1073" s="51"/>
      <c r="L1073" s="46"/>
    </row>
    <row r="1074" spans="2:13" s="34" customFormat="1" x14ac:dyDescent="0.35">
      <c r="B1074" s="147"/>
      <c r="C1074" s="148"/>
      <c r="D1074" s="149"/>
      <c r="E1074" s="150"/>
      <c r="F1074" s="151"/>
      <c r="G1074" s="152"/>
      <c r="H1074" s="157"/>
      <c r="I1074" s="154"/>
      <c r="J1074" s="74"/>
      <c r="K1074" s="51"/>
      <c r="L1074" s="46"/>
    </row>
    <row r="1075" spans="2:13" s="34" customFormat="1" x14ac:dyDescent="0.35">
      <c r="B1075" s="147"/>
      <c r="C1075" s="148"/>
      <c r="D1075" s="149"/>
      <c r="E1075" s="150"/>
      <c r="F1075" s="151"/>
      <c r="G1075" s="152"/>
      <c r="H1075" s="157"/>
      <c r="I1075" s="154"/>
      <c r="J1075" s="74"/>
      <c r="K1075" s="51"/>
      <c r="L1075" s="46"/>
    </row>
    <row r="1076" spans="2:13" s="34" customFormat="1" x14ac:dyDescent="0.35">
      <c r="B1076" s="147"/>
      <c r="C1076" s="148"/>
      <c r="D1076" s="149"/>
      <c r="E1076" s="150"/>
      <c r="F1076" s="151"/>
      <c r="G1076" s="152"/>
      <c r="H1076" s="153"/>
      <c r="I1076" s="154"/>
      <c r="J1076" s="89"/>
      <c r="K1076" s="93"/>
      <c r="L1076" s="46"/>
    </row>
    <row r="1077" spans="2:13" s="34" customFormat="1" x14ac:dyDescent="0.35">
      <c r="B1077" s="147"/>
      <c r="C1077" s="148"/>
      <c r="D1077" s="149"/>
      <c r="E1077" s="150"/>
      <c r="F1077" s="151"/>
      <c r="G1077" s="152"/>
      <c r="H1077" s="157"/>
      <c r="I1077" s="154"/>
      <c r="J1077" s="74"/>
      <c r="K1077" s="51"/>
      <c r="L1077" s="46"/>
    </row>
    <row r="1078" spans="2:13" s="34" customFormat="1" x14ac:dyDescent="0.35">
      <c r="B1078" s="147"/>
      <c r="C1078" s="148"/>
      <c r="D1078" s="149"/>
      <c r="E1078" s="150"/>
      <c r="F1078" s="151"/>
      <c r="G1078" s="152"/>
      <c r="H1078" s="157"/>
      <c r="I1078" s="154"/>
      <c r="J1078" s="74"/>
      <c r="K1078" s="51"/>
      <c r="L1078" s="46"/>
    </row>
    <row r="1079" spans="2:13" s="34" customFormat="1" x14ac:dyDescent="0.35">
      <c r="B1079" s="147"/>
      <c r="C1079" s="148"/>
      <c r="D1079" s="149"/>
      <c r="E1079" s="150"/>
      <c r="F1079" s="151"/>
      <c r="G1079" s="152"/>
      <c r="H1079" s="157"/>
      <c r="I1079" s="154"/>
      <c r="J1079" s="74"/>
      <c r="K1079" s="51"/>
      <c r="L1079" s="46"/>
    </row>
    <row r="1080" spans="2:13" s="34" customFormat="1" x14ac:dyDescent="0.35">
      <c r="B1080" s="147"/>
      <c r="C1080" s="148"/>
      <c r="D1080" s="149"/>
      <c r="E1080" s="150"/>
      <c r="F1080" s="151"/>
      <c r="G1080" s="152"/>
      <c r="H1080" s="153"/>
      <c r="I1080" s="154"/>
      <c r="J1080" s="89"/>
      <c r="K1080" s="93"/>
      <c r="L1080" s="46"/>
    </row>
    <row r="1081" spans="2:13" s="34" customFormat="1" x14ac:dyDescent="0.35">
      <c r="B1081" s="147"/>
      <c r="C1081" s="148"/>
      <c r="D1081" s="149"/>
      <c r="E1081" s="150"/>
      <c r="F1081" s="151"/>
      <c r="G1081" s="152"/>
      <c r="H1081" s="157"/>
      <c r="I1081" s="154"/>
      <c r="J1081" s="74"/>
      <c r="K1081" s="51"/>
      <c r="L1081" s="46"/>
    </row>
    <row r="1082" spans="2:13" s="34" customFormat="1" x14ac:dyDescent="0.35">
      <c r="B1082" s="147"/>
      <c r="C1082" s="148"/>
      <c r="D1082" s="149"/>
      <c r="E1082" s="150"/>
      <c r="F1082" s="151"/>
      <c r="G1082" s="152"/>
      <c r="H1082" s="157"/>
      <c r="I1082" s="154"/>
      <c r="J1082" s="74"/>
      <c r="K1082" s="51"/>
      <c r="L1082" s="46"/>
    </row>
    <row r="1083" spans="2:13" s="34" customFormat="1" x14ac:dyDescent="0.35">
      <c r="B1083" s="147"/>
      <c r="C1083" s="148"/>
      <c r="D1083" s="149"/>
      <c r="E1083" s="150"/>
      <c r="F1083" s="151"/>
      <c r="G1083" s="152"/>
      <c r="H1083" s="157"/>
      <c r="I1083" s="154"/>
      <c r="J1083" s="74"/>
      <c r="K1083" s="51"/>
      <c r="L1083" s="46"/>
    </row>
    <row r="1084" spans="2:13" x14ac:dyDescent="0.35">
      <c r="B1084" s="147"/>
      <c r="C1084" s="148"/>
      <c r="D1084" s="149"/>
      <c r="E1084" s="150"/>
      <c r="F1084" s="151"/>
      <c r="G1084" s="152"/>
      <c r="H1084" s="153"/>
      <c r="I1084" s="154"/>
      <c r="J1084" s="92"/>
      <c r="K1084" s="58"/>
      <c r="L1084" s="29"/>
    </row>
    <row r="1085" spans="2:13" x14ac:dyDescent="0.35">
      <c r="B1085" s="8"/>
      <c r="C1085" s="9"/>
      <c r="D1085" s="10"/>
      <c r="E1085" s="4"/>
      <c r="F1085" s="4"/>
      <c r="G1085" s="4"/>
      <c r="H1085" s="1"/>
      <c r="I1085" s="1"/>
      <c r="J1085" s="11" t="s">
        <v>8</v>
      </c>
      <c r="K1085" s="7">
        <f>SUM(K1028:K1084)</f>
        <v>90000000</v>
      </c>
      <c r="L1085" s="7">
        <f>SUM(L1028:L1084)</f>
        <v>0</v>
      </c>
    </row>
    <row r="1086" spans="2:13" x14ac:dyDescent="0.35">
      <c r="B1086" s="8"/>
      <c r="C1086" s="9"/>
      <c r="D1086" s="9"/>
      <c r="E1086" s="4"/>
      <c r="F1086" s="4"/>
      <c r="G1086" s="4"/>
      <c r="H1086" s="1"/>
      <c r="I1086" s="1"/>
      <c r="J1086" s="11" t="s">
        <v>247</v>
      </c>
      <c r="K1086" s="57">
        <f>SUM(K78,K150,K222,K294,K366,K438,K510,K582,K654,K726,K798,K870,K942,K1014,K1085)</f>
        <v>689564500</v>
      </c>
      <c r="L1086" s="57">
        <f>SUM(L78,L150,L222,L294,L366,L438,L510,L582,L654,L726,L798,L870,L942,L1014,L1085)</f>
        <v>287892023.954</v>
      </c>
      <c r="M1086" s="14"/>
    </row>
    <row r="1087" spans="2:13" x14ac:dyDescent="0.35">
      <c r="B1087" s="8"/>
      <c r="C1087" s="9"/>
      <c r="D1087" s="9"/>
      <c r="E1087" s="4"/>
      <c r="F1087" s="4"/>
      <c r="G1087" s="4"/>
      <c r="H1087" s="1"/>
      <c r="I1087" s="1"/>
      <c r="J1087" s="11"/>
      <c r="K1087" s="35" t="s">
        <v>12</v>
      </c>
      <c r="L1087" s="36" t="s">
        <v>13</v>
      </c>
    </row>
    <row r="1088" spans="2:13" x14ac:dyDescent="0.35">
      <c r="B1088" s="3" t="s">
        <v>9</v>
      </c>
      <c r="C1088" s="4"/>
      <c r="D1088" s="4"/>
      <c r="E1088" s="4"/>
      <c r="F1088" s="4"/>
      <c r="G1088" s="4"/>
      <c r="H1088" s="1"/>
      <c r="I1088" s="1"/>
      <c r="J1088" s="12"/>
      <c r="K1088" s="12"/>
      <c r="L1088" s="13"/>
    </row>
    <row r="1089" spans="2:12" x14ac:dyDescent="0.35">
      <c r="B1089" s="37"/>
      <c r="C1089" s="1"/>
      <c r="D1089" s="1"/>
      <c r="E1089" s="38"/>
      <c r="F1089" s="38"/>
      <c r="G1089" s="38"/>
      <c r="H1089" s="1"/>
      <c r="I1089" s="1"/>
      <c r="J1089" s="1"/>
      <c r="K1089" s="1"/>
      <c r="L1089" s="19"/>
    </row>
    <row r="1090" spans="2:12" x14ac:dyDescent="0.35">
      <c r="B1090" s="28" t="s">
        <v>6</v>
      </c>
      <c r="C1090" s="27"/>
      <c r="D1090" s="27"/>
      <c r="E1090" s="26"/>
      <c r="F1090" s="26"/>
      <c r="G1090" s="5"/>
      <c r="K1090" s="301" t="s">
        <v>27</v>
      </c>
      <c r="L1090" s="302"/>
    </row>
    <row r="1091" spans="2:12" x14ac:dyDescent="0.35">
      <c r="B1091" s="28">
        <v>1</v>
      </c>
      <c r="C1091" s="27"/>
      <c r="D1091" s="27"/>
      <c r="E1091" s="26" t="s">
        <v>7</v>
      </c>
      <c r="F1091" s="26"/>
      <c r="G1091" s="5"/>
      <c r="K1091" s="301" t="s">
        <v>17</v>
      </c>
      <c r="L1091" s="302"/>
    </row>
    <row r="1092" spans="2:12" x14ac:dyDescent="0.35">
      <c r="B1092" s="39"/>
      <c r="C1092" s="27"/>
      <c r="D1092" s="27"/>
      <c r="E1092" s="26"/>
      <c r="F1092" s="26"/>
      <c r="G1092" s="5"/>
      <c r="J1092" s="25"/>
      <c r="K1092" s="25"/>
      <c r="L1092" s="24"/>
    </row>
    <row r="1093" spans="2:12" x14ac:dyDescent="0.35">
      <c r="B1093" s="28"/>
      <c r="C1093" s="27"/>
      <c r="D1093" s="27"/>
      <c r="E1093" s="26"/>
      <c r="F1093" s="26"/>
      <c r="G1093" s="5"/>
      <c r="L1093" s="22"/>
    </row>
    <row r="1094" spans="2:12" x14ac:dyDescent="0.35">
      <c r="B1094" s="45"/>
      <c r="E1094" s="5"/>
      <c r="F1094" s="5"/>
      <c r="G1094" s="5"/>
      <c r="L1094" s="22"/>
    </row>
    <row r="1095" spans="2:12" x14ac:dyDescent="0.35">
      <c r="B1095" s="45"/>
      <c r="E1095" s="5"/>
      <c r="F1095" s="5"/>
      <c r="G1095" s="5"/>
      <c r="L1095" s="22"/>
    </row>
    <row r="1096" spans="2:12" x14ac:dyDescent="0.35">
      <c r="B1096" s="45"/>
      <c r="E1096" s="5"/>
      <c r="F1096" s="5"/>
      <c r="G1096" s="5"/>
      <c r="L1096" s="22"/>
    </row>
    <row r="1097" spans="2:12" x14ac:dyDescent="0.35">
      <c r="B1097" s="45"/>
      <c r="E1097" s="5"/>
      <c r="F1097" s="5"/>
      <c r="G1097" s="5"/>
      <c r="J1097" s="40"/>
      <c r="K1097" s="303" t="s">
        <v>25</v>
      </c>
      <c r="L1097" s="304"/>
    </row>
    <row r="1098" spans="2:12" x14ac:dyDescent="0.35">
      <c r="B1098" s="45"/>
      <c r="K1098" s="289" t="s">
        <v>26</v>
      </c>
      <c r="L1098" s="290"/>
    </row>
    <row r="1099" spans="2:12" x14ac:dyDescent="0.35">
      <c r="B1099" s="305"/>
      <c r="C1099" s="306"/>
      <c r="D1099" s="306"/>
      <c r="E1099" s="41"/>
      <c r="F1099" s="41"/>
      <c r="G1099" s="41"/>
      <c r="H1099" s="2"/>
      <c r="I1099" s="2"/>
      <c r="J1099" s="2"/>
      <c r="K1099" s="2"/>
      <c r="L1099" s="21"/>
    </row>
  </sheetData>
  <mergeCells count="83">
    <mergeCell ref="K1090:L1090"/>
    <mergeCell ref="K1091:L1091"/>
    <mergeCell ref="K1097:L1097"/>
    <mergeCell ref="K1098:L1098"/>
    <mergeCell ref="B1099:D1099"/>
    <mergeCell ref="B1027:D1027"/>
    <mergeCell ref="K882:L882"/>
    <mergeCell ref="B883:D883"/>
    <mergeCell ref="K946:L946"/>
    <mergeCell ref="K947:L947"/>
    <mergeCell ref="K953:L953"/>
    <mergeCell ref="K954:L954"/>
    <mergeCell ref="B955:D955"/>
    <mergeCell ref="K1018:L1018"/>
    <mergeCell ref="K1019:L1019"/>
    <mergeCell ref="K1025:L1025"/>
    <mergeCell ref="K1026:L1026"/>
    <mergeCell ref="K881:L881"/>
    <mergeCell ref="K731:L731"/>
    <mergeCell ref="K737:L737"/>
    <mergeCell ref="K738:L738"/>
    <mergeCell ref="B739:D739"/>
    <mergeCell ref="K802:L802"/>
    <mergeCell ref="K803:L803"/>
    <mergeCell ref="K809:L809"/>
    <mergeCell ref="K810:L810"/>
    <mergeCell ref="B811:D811"/>
    <mergeCell ref="K874:L874"/>
    <mergeCell ref="K875:L875"/>
    <mergeCell ref="K730:L730"/>
    <mergeCell ref="B523:D523"/>
    <mergeCell ref="K586:L586"/>
    <mergeCell ref="K587:L587"/>
    <mergeCell ref="K593:L593"/>
    <mergeCell ref="K594:L594"/>
    <mergeCell ref="B595:D595"/>
    <mergeCell ref="K658:L658"/>
    <mergeCell ref="K659:L659"/>
    <mergeCell ref="K665:L665"/>
    <mergeCell ref="K666:L666"/>
    <mergeCell ref="B667:D667"/>
    <mergeCell ref="B307:D307"/>
    <mergeCell ref="K370:L370"/>
    <mergeCell ref="K522:L522"/>
    <mergeCell ref="K377:L377"/>
    <mergeCell ref="K378:L378"/>
    <mergeCell ref="B379:D379"/>
    <mergeCell ref="K442:L442"/>
    <mergeCell ref="K443:L443"/>
    <mergeCell ref="K449:L449"/>
    <mergeCell ref="K450:L450"/>
    <mergeCell ref="B451:D451"/>
    <mergeCell ref="K514:L514"/>
    <mergeCell ref="K515:L515"/>
    <mergeCell ref="K521:L521"/>
    <mergeCell ref="K371:L371"/>
    <mergeCell ref="K226:L226"/>
    <mergeCell ref="K227:L227"/>
    <mergeCell ref="K233:L233"/>
    <mergeCell ref="K234:L234"/>
    <mergeCell ref="K299:L299"/>
    <mergeCell ref="K305:L305"/>
    <mergeCell ref="K306:L306"/>
    <mergeCell ref="K298:L298"/>
    <mergeCell ref="B91:D91"/>
    <mergeCell ref="K154:L154"/>
    <mergeCell ref="K155:L155"/>
    <mergeCell ref="K161:L161"/>
    <mergeCell ref="K162:L162"/>
    <mergeCell ref="B163:D163"/>
    <mergeCell ref="N21:O21"/>
    <mergeCell ref="K82:L82"/>
    <mergeCell ref="K83:L83"/>
    <mergeCell ref="K89:L89"/>
    <mergeCell ref="B235:D235"/>
    <mergeCell ref="K90:L90"/>
    <mergeCell ref="F15:G15"/>
    <mergeCell ref="B18:D19"/>
    <mergeCell ref="E18:G19"/>
    <mergeCell ref="H18:I19"/>
    <mergeCell ref="J18:J19"/>
    <mergeCell ref="K18:K19"/>
    <mergeCell ref="L18:L19"/>
  </mergeCells>
  <conditionalFormatting sqref="E54">
    <cfRule type="expression" dxfId="2" priority="3">
      <formula>AND((ISBLANK($B54)=FALSE),(ISBLANK($E54)=FALSE))</formula>
    </cfRule>
  </conditionalFormatting>
  <conditionalFormatting sqref="E68:E72">
    <cfRule type="expression" dxfId="1" priority="2">
      <formula>AND((ISBLANK($B68)=FALSE),(ISBLANK($E68)=FALSE))</formula>
    </cfRule>
  </conditionalFormatting>
  <conditionalFormatting sqref="E93">
    <cfRule type="expression" dxfId="0" priority="1">
      <formula>AND((ISBLANK($B93)=FALSE),(ISBLANK($E93)=FALSE))</formula>
    </cfRule>
  </conditionalFormatting>
  <printOptions horizontalCentered="1"/>
  <pageMargins left="0.80870078740157503" right="0.39370078740157499" top="0.39370078740157499" bottom="0.39370078740157499" header="0.31496062992126" footer="0.31496062992126"/>
  <pageSetup scale="52" fitToHeight="0" orientation="portrait" r:id="rId1"/>
  <headerFooter>
    <oddFooter>&amp;LMKT-FM-002/Rev.01/18 Des 15/&amp;K00B050Green&amp;RPage &amp;P of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Rincian Biaya rev.02</vt:lpstr>
      <vt:lpstr>'Rincian Biaya rev.02'!Print_Area</vt:lpstr>
      <vt:lpstr>'Rincian Biaya rev.02'!Print_Titles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wimba prambada</dc:creator>
  <cp:lastModifiedBy>sigit hartono</cp:lastModifiedBy>
  <cp:lastPrinted>2022-06-22T06:43:51Z</cp:lastPrinted>
  <dcterms:created xsi:type="dcterms:W3CDTF">2015-07-30T04:54:41Z</dcterms:created>
  <dcterms:modified xsi:type="dcterms:W3CDTF">2025-12-23T07:55:49Z</dcterms:modified>
</cp:coreProperties>
</file>