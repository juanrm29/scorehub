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:\Shared drives\HO-A.1 MANAGEMENT REPRESENTATIF\TUGAS\MARKETING JUAN\"/>
    </mc:Choice>
  </mc:AlternateContent>
  <xr:revisionPtr revIDLastSave="0" documentId="13_ncr:1_{49CFC619-3943-47F0-A565-103D6679E3D3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Rincian Biaya rev.01" sheetId="43" r:id="rId1"/>
  </sheets>
  <definedNames>
    <definedName name="_xlnm.Print_Area" localSheetId="0">'Rincian Biaya rev.01'!$B$2:$L$217</definedName>
    <definedName name="_xlnm.Print_Titles" localSheetId="0">'Rincian Biaya rev.01'!$2:$19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04" i="43" l="1"/>
  <c r="K204" i="43"/>
  <c r="M203" i="43"/>
  <c r="M182" i="43"/>
  <c r="K182" i="43"/>
  <c r="L178" i="43"/>
  <c r="L177" i="43"/>
  <c r="L176" i="43"/>
  <c r="L175" i="43"/>
  <c r="K170" i="43"/>
  <c r="K166" i="43"/>
  <c r="K164" i="43"/>
  <c r="L160" i="43"/>
  <c r="L159" i="43"/>
  <c r="K158" i="43"/>
  <c r="K157" i="43"/>
  <c r="K156" i="43"/>
  <c r="K155" i="43"/>
  <c r="L132" i="43"/>
  <c r="L130" i="43"/>
  <c r="K123" i="43"/>
  <c r="K121" i="43"/>
  <c r="L119" i="43"/>
  <c r="H118" i="43"/>
  <c r="L118" i="43" s="1"/>
  <c r="L117" i="43"/>
  <c r="L116" i="43"/>
  <c r="L115" i="43"/>
  <c r="L114" i="43"/>
  <c r="L113" i="43"/>
  <c r="L112" i="43"/>
  <c r="H111" i="43"/>
  <c r="L111" i="43" s="1"/>
  <c r="H110" i="43"/>
  <c r="L110" i="43" s="1"/>
  <c r="L108" i="43"/>
  <c r="L107" i="43"/>
  <c r="L106" i="43"/>
  <c r="L105" i="43"/>
  <c r="L104" i="43"/>
  <c r="L103" i="43"/>
  <c r="L102" i="43"/>
  <c r="L101" i="43"/>
  <c r="L100" i="43"/>
  <c r="L99" i="43"/>
  <c r="L98" i="43"/>
  <c r="H97" i="43"/>
  <c r="L97" i="43" s="1"/>
  <c r="H96" i="43"/>
  <c r="L96" i="43" s="1"/>
  <c r="H95" i="43"/>
  <c r="L95" i="43" s="1"/>
  <c r="H94" i="43"/>
  <c r="L94" i="43" s="1"/>
  <c r="L93" i="43"/>
  <c r="L92" i="43"/>
  <c r="L91" i="43"/>
  <c r="L90" i="43"/>
  <c r="L89" i="43"/>
  <c r="L88" i="43"/>
  <c r="L87" i="43"/>
  <c r="L70" i="43"/>
  <c r="L69" i="43"/>
  <c r="L68" i="43"/>
  <c r="L67" i="43"/>
  <c r="L66" i="43"/>
  <c r="L64" i="43"/>
  <c r="L63" i="43"/>
  <c r="L62" i="43"/>
  <c r="L61" i="43"/>
  <c r="L60" i="43"/>
  <c r="L59" i="43"/>
  <c r="L58" i="43"/>
  <c r="L57" i="43"/>
  <c r="L56" i="43"/>
  <c r="L55" i="43"/>
  <c r="L54" i="43"/>
  <c r="L53" i="43"/>
  <c r="L52" i="43"/>
  <c r="L51" i="43"/>
  <c r="L50" i="43"/>
  <c r="L49" i="43"/>
  <c r="L48" i="43"/>
  <c r="L47" i="43"/>
  <c r="L46" i="43"/>
  <c r="L45" i="43"/>
  <c r="L44" i="43"/>
  <c r="L43" i="43"/>
  <c r="L42" i="43"/>
  <c r="L40" i="43"/>
  <c r="L38" i="43"/>
  <c r="L36" i="43"/>
  <c r="K30" i="43"/>
  <c r="K29" i="43"/>
  <c r="Q27" i="43"/>
  <c r="P27" i="43"/>
  <c r="O27" i="43"/>
  <c r="O28" i="43" s="1"/>
  <c r="K27" i="43"/>
  <c r="Q26" i="43"/>
  <c r="O26" i="43"/>
  <c r="K26" i="43"/>
  <c r="Q25" i="43"/>
  <c r="O25" i="43"/>
  <c r="K25" i="43"/>
  <c r="P24" i="43"/>
  <c r="O24" i="43"/>
  <c r="K24" i="43"/>
  <c r="K23" i="43"/>
  <c r="Q22" i="43"/>
  <c r="R23" i="43" s="1"/>
  <c r="P22" i="43"/>
  <c r="K22" i="43"/>
  <c r="M204" i="43" l="1"/>
  <c r="K138" i="43"/>
  <c r="K201" i="43"/>
  <c r="L201" i="43"/>
  <c r="L138" i="43"/>
  <c r="L202" i="43" s="1"/>
  <c r="K72" i="43"/>
  <c r="L72" i="43"/>
  <c r="S23" i="43"/>
  <c r="T23" i="43" s="1"/>
  <c r="M72" i="43" l="1"/>
  <c r="K202" i="43"/>
  <c r="M202" i="43" s="1"/>
</calcChain>
</file>

<file path=xl/sharedStrings.xml><?xml version="1.0" encoding="utf-8"?>
<sst xmlns="http://schemas.openxmlformats.org/spreadsheetml/2006/main" count="412" uniqueCount="187">
  <si>
    <t>No</t>
  </si>
  <si>
    <t>Item</t>
  </si>
  <si>
    <t>Volume</t>
  </si>
  <si>
    <t>Unit Price</t>
  </si>
  <si>
    <t>Client</t>
  </si>
  <si>
    <t>Contact</t>
  </si>
  <si>
    <t>Note :</t>
  </si>
  <si>
    <t>Cara pembayaran :</t>
  </si>
  <si>
    <t xml:space="preserve">Total   </t>
  </si>
  <si>
    <t>Say   :</t>
  </si>
  <si>
    <t>PELAYANAN UMUM</t>
  </si>
  <si>
    <t>L</t>
  </si>
  <si>
    <t>D</t>
  </si>
  <si>
    <t>Keliling</t>
  </si>
  <si>
    <t>Bottom</t>
  </si>
  <si>
    <t>Luasan Painting</t>
  </si>
  <si>
    <t>PERAWATAN LAMBUNG</t>
  </si>
  <si>
    <t>SISTIM PENGGERAK</t>
  </si>
  <si>
    <t>PERLENGKAPAN DECK</t>
  </si>
  <si>
    <t>Panjang Sideboard</t>
  </si>
  <si>
    <t>Lebar Sideboard</t>
  </si>
  <si>
    <t>B</t>
  </si>
  <si>
    <t>Service</t>
  </si>
  <si>
    <t>Material</t>
  </si>
  <si>
    <t>DETAIL OF DOCKING AND REPAIR COST</t>
  </si>
  <si>
    <t>Rincian Biaya Docking Dan Perbaikan</t>
  </si>
  <si>
    <t>: All</t>
  </si>
  <si>
    <t>AKOMODASI</t>
  </si>
  <si>
    <t>PT. Meranti Nusa Bahari</t>
  </si>
  <si>
    <t>Project Information</t>
  </si>
  <si>
    <t>Name</t>
  </si>
  <si>
    <t>Length</t>
  </si>
  <si>
    <t>Breadth</t>
  </si>
  <si>
    <t>Depth</t>
  </si>
  <si>
    <t>Klass</t>
  </si>
  <si>
    <t>Type</t>
  </si>
  <si>
    <t>Aditya Agung H.</t>
  </si>
  <si>
    <t>General Manager</t>
  </si>
  <si>
    <t>: 12/FIN/MKT-MNB/II/2025</t>
  </si>
  <si>
    <t>:  70.10 Meter</t>
  </si>
  <si>
    <t>:  18.29 Meter</t>
  </si>
  <si>
    <t>:    4.27 Meter</t>
  </si>
  <si>
    <t>: BKI</t>
  </si>
  <si>
    <t>I</t>
  </si>
  <si>
    <t>a</t>
  </si>
  <si>
    <t>Beaching - Unbeaching</t>
  </si>
  <si>
    <t>Ls</t>
  </si>
  <si>
    <t>b</t>
  </si>
  <si>
    <t>Asistensi Tali Temali dan Persiapan Beaching</t>
  </si>
  <si>
    <t>c</t>
  </si>
  <si>
    <t>Sewa Tempat Selama Perbaikan (2 feb 25 - 16 Feb 25)</t>
  </si>
  <si>
    <t>Hari</t>
  </si>
  <si>
    <t>d</t>
  </si>
  <si>
    <t>Asistensi dengan mooring Boat</t>
  </si>
  <si>
    <t>e</t>
  </si>
  <si>
    <t>Fasilitas sandar setelah beaching (sewa sandar) (17-19 Feb 2025)</t>
  </si>
  <si>
    <t>f</t>
  </si>
  <si>
    <t>Penggunaan alat angkat (&lt;1 Ton)</t>
  </si>
  <si>
    <t>II</t>
  </si>
  <si>
    <t>TANGKI - TANGKI</t>
  </si>
  <si>
    <t xml:space="preserve">Dilakukan Freegas Sebelum Pemeriksaan Kedalam Tangki </t>
  </si>
  <si>
    <t>Tangki</t>
  </si>
  <si>
    <t xml:space="preserve">Cleaning Tangki (Air &amp; Lumpur) Tangki 1,2,PS &amp; SB </t>
  </si>
  <si>
    <t>JR 01. Recommendation Work Additional 1 (27 Jan 25)</t>
  </si>
  <si>
    <t>REPLATING</t>
  </si>
  <si>
    <t>I.1</t>
  </si>
  <si>
    <t>Plat Bottom</t>
  </si>
  <si>
    <t>Center Line, Lajur K / Linggi Haluan</t>
  </si>
  <si>
    <t>-</t>
  </si>
  <si>
    <t>Fr 34/35 - 37/End | Plate (KI) thickness 12 mm | 5160 X 600 mm @ 1 sht</t>
  </si>
  <si>
    <t>Kg</t>
  </si>
  <si>
    <t>Lajur A-D Ps</t>
  </si>
  <si>
    <t>Lajur A PS, Fr 34/35 - 37/End | Plate (KI) thickness 12 mm | 5160 X 1830 mm @ 1 sht</t>
  </si>
  <si>
    <t>Lajur A-D Sb</t>
  </si>
  <si>
    <t>Lajur A Sb, Fr 33/34 - 37/End | Plate (KI) thickness 12 mm | 5100 X 1830 mm @ 1 sht</t>
  </si>
  <si>
    <t>I.2</t>
  </si>
  <si>
    <t>Internal Tangki 1 PS</t>
  </si>
  <si>
    <t>Trans Girder 1 | Angle bar unequal size. 400 x 100 x 10 mm | 3540 mm @ 1 pcs</t>
  </si>
  <si>
    <t>Trans Girder 2 | Angle bar unequal size. 400 x 100 x 10 mm | 2860 mm @ 1 pcs</t>
  </si>
  <si>
    <t>Trans Bottom 1 | Angle bar size. 150 x 150 x 10 mm | 3340 mm @ 1 pcs</t>
  </si>
  <si>
    <t>Doubling Trans Bottom 1 | Plate (A) thickness 8 mm | 160 X 100 mm @ 2 sht</t>
  </si>
  <si>
    <t>Trans Bottom 2 | Angle bar size. 150 x 150 x 10 mm | 3390 mm @ 1 pcs</t>
  </si>
  <si>
    <t>Doubling Trans Bottom 2 | Plate (A) thickness 8 mm | 150 X 100 mm @ 2 sht</t>
  </si>
  <si>
    <t>Trans Bottom 3 | Angle bar size. 150 x 150 x 10 mm | 3450 mm @ 1 pcs</t>
  </si>
  <si>
    <t>Trans Bottom 4 | Angle bar size. 150 x 150 x 10 mm | 3290 mm @ 1 pcs</t>
  </si>
  <si>
    <t>Diagonal Pillar 1 | Angle bar size. 150 x 150 x 10 mm | 1300 mm @ 1 pcs</t>
  </si>
  <si>
    <t>Diagonal Pillar 2 | Angle bar size. 150 x 150 x 10 mm | 1540 mm @ 1 pcs</t>
  </si>
  <si>
    <t>Diagonal Pillar 3 | Angle bar size. 150 x 150 x 10 mm | 540 mm @ 1 pcs</t>
  </si>
  <si>
    <t>Bracket Trns Bottom to L Bhd 1-4 | Plate (A) thickness 8 mm | 350 X 350 mm @ 4 sht</t>
  </si>
  <si>
    <t>Pilar 1 | H-beam size. 150 x 150 x 7 x 10 mm | 900 mm @ 1 pcs</t>
  </si>
  <si>
    <t>Doubling Pillar 1 | Plate (A) thickness 10 mm | 210 X 110 mm @ 2 sht</t>
  </si>
  <si>
    <t>Long Girder | Angle bar unequal size. 400 x 100 x 10 mm | 3670 mm @ 1 pcs</t>
  </si>
  <si>
    <t>Bracket Ceruk 1, Trans girder to Transom FP | Angle bar unequal size. 400 x 100 x 10 mm | 900 mm @ 1 pcs</t>
  </si>
  <si>
    <t>Bracket Ceruk 2, Trans girder to Transom FP | Angle bar unequal size. 400 x 100 x 10 mm | 870 mm @ 1 pcs</t>
  </si>
  <si>
    <t>Bracket Ceruk 3, Trans girder to Transom FP | Angle bar unequal size. 400 x 100 x 10 mm | 810 mm @ 1 pcs</t>
  </si>
  <si>
    <t>Bracket Trans Bottom to Trans Bhd 1 | Angle bar unequal size. 300 x 100 x 10 mm | 710 mm @ 1 pcs</t>
  </si>
  <si>
    <t>Bracket Trans Bottom to Trans Bhd 2 | Angle bar unequal size. 300 x 100 x 10 mm | 730 mm @ 1 pcs</t>
  </si>
  <si>
    <t>Bracket Trans Bottom to Trans Bhd 3 | Angle bar unequal size. 300 x 100 x 10 mm | 730 mm @ 1 pcs</t>
  </si>
  <si>
    <t>Bracket Trans Bottom to Trans Bhd 4 | Angle bar unequal size. 300 x 100 x 10 mm | 710 mm @ 1 pcs</t>
  </si>
  <si>
    <t>Collar Trans Bottom | Plate (A) thickness 10 mm | 260 70 mm @ 4 sht</t>
  </si>
  <si>
    <t>I.3</t>
  </si>
  <si>
    <t>Internal Tangki 1 Sb (Penomoran konstruksi dari belakang kiri)</t>
  </si>
  <si>
    <t>Trans Girder 1 | Angle bar unequal size. 400 x 100 x 10 mm | 4110 mm @ 1 pcs</t>
  </si>
  <si>
    <t>Trans Girder 2 | Angle bar unequal size. 400 x 100 x 10 mm | 3130 mm @ 1 pcs</t>
  </si>
  <si>
    <t>Trans Bottom 1 | Angle bar size. 150 x 150 x 10 mm | 3210 mm @ 1 pcs</t>
  </si>
  <si>
    <t>Trans Bottom 2 | Angle bar size. 150 x 150 x 10 mm | 3520 mm @ 1 pcs</t>
  </si>
  <si>
    <t>Trans Bottom 3 | Angle bar size. 150 x 150 x 10 mm | 3520 mm @ 1 pcs</t>
  </si>
  <si>
    <t>Trans Bottom 4 | Angle bar size. 150 x 150 x 10 mm | 3240 mm @ 1 pcs</t>
  </si>
  <si>
    <t>Bracket Trns Girder to L Bhd | Angle bar unequal size. 400 x 100 x 10 mm | 500 mm @ 2 pcs</t>
  </si>
  <si>
    <t>Bracket Trns Bottom to L Bhd | Plate (A) thickness 8 mm | 350 X 350 mm @ 4 sht</t>
  </si>
  <si>
    <t>Pillar 1 | H-beam size. 150 x 150 x 7 x 10 mm | 500 mm @ 1 pcs</t>
  </si>
  <si>
    <t>Pillar 2 | H-beam size. 150 x 150 x 7 x 10 mm | 760 mm @ 1 pcs</t>
  </si>
  <si>
    <t>Doubling Pillar 1 | Plate (A) thickness 10 mm | 200 X 130 mm @ 2 sht</t>
  </si>
  <si>
    <t>Doubling Pillar 1 | Plate (A) thickness 10 mm | 70 X 130 mm @ 1 sht</t>
  </si>
  <si>
    <t>Diagonal Pillar | Angle bar size. 150 x 150 x 10 mm | 1950 mm @ 1 pcs</t>
  </si>
  <si>
    <t>Doubling diagonal Pillar | Plate (A) thickness 10 mm | 200 X 100 mm @ 2 sht</t>
  </si>
  <si>
    <t>Diagonal Pillar | Angle bar size. 150 x 150 x 10 mm | 500 mm @ 1 pcs</t>
  </si>
  <si>
    <t>Long Girder | Angle bar unequal size. 400 x 100 x 10 mm | 4150 mm @ 1 pcs</t>
  </si>
  <si>
    <t>Bracket L Girder to T Bhd | Angle bar unequal size. 400 x 100 x 10 mm | 600 mm @ 1 pcs</t>
  </si>
  <si>
    <t>Bracket Ceruk, Trans girder to Transom FP 1 | Angle bar unequal size. 400 x 100 x 10 mm | 920 mm @ 1 pcs</t>
  </si>
  <si>
    <t>Bracket Ceruk, Trans girder to Transom FP 2 | Angle bar unequal size. 400 x 100 x 10 mm | 1120 mm @ 1 pcs</t>
  </si>
  <si>
    <t>Bracket Ceruk, Trans girder to Transom FP 3 | Angle bar unequal size. 400 x 100 x 10 mm | 790 mm @ 1 pcs</t>
  </si>
  <si>
    <t>Bracket Ceruk, Trans girder to Transom FP 4 | Angle bar unequal size. 400 x 100 x 10 mm | 490 mm @ 1 pcs</t>
  </si>
  <si>
    <t>Bracket Trans Bottom to Trans Bhd 1 | Angle bar unequal size. 300 x 100 x 10 mm | 700 mm @ 1 pcs</t>
  </si>
  <si>
    <t>Bracket Trans Bottom to Trans Bhd 2 | Angle bar unequal size. 300 x 100 x 10 mm | 690 mm @ 1 pcs</t>
  </si>
  <si>
    <t>Bracket Trans Bottom to Trans Bhd 1-6 | Angle bar unequal size. 300 x 100 x 10 mm | 710 mm @ 1 pcs</t>
  </si>
  <si>
    <t>Bracket Trans Bottom to Trans Bhd 1-7 | Angle bar unequal size. 300 x 100 x 10 mm | 690 mm @ 1 pcs</t>
  </si>
  <si>
    <t>Collar Trans Bottom | Plate (A) thickness 8 mm | 260 70 mm @ 4 sht</t>
  </si>
  <si>
    <t>I.4</t>
  </si>
  <si>
    <t>Long Bhd Tangki 1 PS/SB</t>
  </si>
  <si>
    <t>Fr 35- End | Plate (KI) thickness 8 mm | 5260 X 1830 mm @ 1 sht</t>
  </si>
  <si>
    <t>Fr 35- End | Plate (KI) thickness 8 mm | 2640 X 360 mm @ 1 sht</t>
  </si>
  <si>
    <t>Vertikal Web 1 | Angle bar unequal size. 400 x 100 x 10 mm | 1900 mm @ 1 pcs</t>
  </si>
  <si>
    <t>Vertikal Web 2 | Angle bar unequal size. 400 x 100 x 10 mm | 1310 mm @ 1 pcs</t>
  </si>
  <si>
    <t>Longitudinl Stf L Bhd 1 | Angle bar size. 150 x 150 x 10 mm | 2690 mm @ 1 pcs</t>
  </si>
  <si>
    <t>Longitudinl Stf L Bhd 2 | Angle bar size. 150 x 150 x 10 mm | 4170 mm @ 1 pcs</t>
  </si>
  <si>
    <t>Longitudinl Stf L Bhd 3 | Angle bar size. 150 x 150 x 10 mm | 3560 mm @ 1 pcs</t>
  </si>
  <si>
    <t>Vertikal Stiffener 1 | Angle bar size. 150 x 150 x 10 mm | 910 mm @ 1 pcs</t>
  </si>
  <si>
    <t>Vertikal Stiffener 2 | Angle bar size. 150 x 150 x 10 mm | 1050 mm @ 1 pcs</t>
  </si>
  <si>
    <t>Bracket Long Stf L Bhd to T Bhd | Plate (A) thickness 8 mm | 350 X 350 mm @ 2 sht</t>
  </si>
  <si>
    <t>II.1</t>
  </si>
  <si>
    <t xml:space="preserve">Tutup &amp; Penyemenan Manhole Tangki </t>
  </si>
  <si>
    <t>Tangki 1,2,3 Sb, 1,2 PS</t>
  </si>
  <si>
    <t>II.2</t>
  </si>
  <si>
    <t>Penyemenan Manhole Tangki</t>
  </si>
  <si>
    <t>Tangki 3 PS</t>
  </si>
  <si>
    <t>JR 02. Addirional Work 2 (3 Feb 25)</t>
  </si>
  <si>
    <t>Lajur B PS, Fr 34/35 - 37/End | Plate (KI) thickness 12 mm | 5060 X 1670 mm @ 1 sht</t>
  </si>
  <si>
    <t>Lajur B Sb, Fr 32/33 - 36/End | Plate (KI) thickness 12 mm | 4990 X 1290 mm @ 1 sht</t>
  </si>
  <si>
    <t>Sandblasting Bottom Area Replating (S.A 2.0)</t>
  </si>
  <si>
    <r>
      <t>m</t>
    </r>
    <r>
      <rPr>
        <vertAlign val="superscript"/>
        <sz val="10"/>
        <rFont val="Arial"/>
        <family val="2"/>
      </rPr>
      <t>2</t>
    </r>
  </si>
  <si>
    <t>Sandblasting Top Sid Area Replating(S.A 2.0)</t>
  </si>
  <si>
    <t>Pengecatan Bottom Area Replating (1x primer,1x sealer,1 xAF)</t>
  </si>
  <si>
    <t>Pengecatan Top Side Area Replating (1x primer, 1 Top Coat)</t>
  </si>
  <si>
    <t>Supply Cat Sealer</t>
  </si>
  <si>
    <t>lt</t>
  </si>
  <si>
    <t>Supply Cat Anti Fouling</t>
  </si>
  <si>
    <t>JR 03. Addirional Work 3 (5 Feb 25)</t>
  </si>
  <si>
    <t>Air Test Tangki</t>
  </si>
  <si>
    <t>Tank</t>
  </si>
  <si>
    <t>Rekondisi Man Hole</t>
  </si>
  <si>
    <t xml:space="preserve"> | Rubber packing size. 5mm | 600 X 800 mm</t>
  </si>
  <si>
    <t>Pcs</t>
  </si>
  <si>
    <t>JR 04. Addirional Work 4 (8 Feb 25)</t>
  </si>
  <si>
    <t>Pemasangan Zinc Anode</t>
  </si>
  <si>
    <t>JR 02. Addirional Work 2 (11 Feb 25)</t>
  </si>
  <si>
    <t>Supply Cat</t>
  </si>
  <si>
    <t>Cat Primer</t>
  </si>
  <si>
    <t>liter</t>
  </si>
  <si>
    <t>Cat Epoxy Hitam</t>
  </si>
  <si>
    <t>Thinner Epoxy</t>
  </si>
  <si>
    <t>Thinner Anti Fouling</t>
  </si>
  <si>
    <t>JR 05. Revisi (15 Feb 25)</t>
  </si>
  <si>
    <t>TANGKI TANGKI</t>
  </si>
  <si>
    <t>Rekondisi Manhole (1, 2 P&amp;S)</t>
  </si>
  <si>
    <t>Set</t>
  </si>
  <si>
    <t>Man hole 1 Sb | Nut SS size. 20mm</t>
  </si>
  <si>
    <t>Man hole 1 PS | Nut SS size. 20mm</t>
  </si>
  <si>
    <t>Man hole 1 PS | Studbolt 3/4" x 60</t>
  </si>
  <si>
    <t>pcs</t>
  </si>
  <si>
    <t>Man hole 2 Sb | Nut SS size. 20mm</t>
  </si>
  <si>
    <t>Man hole 2 Ps | Nut SS size. 20mm</t>
  </si>
  <si>
    <t>Man hole 2 Ps |Studbolt 3/4" x 60</t>
  </si>
  <si>
    <t xml:space="preserve">Grand Total   </t>
  </si>
  <si>
    <t xml:space="preserve">Discount   </t>
  </si>
  <si>
    <t xml:space="preserve">Grand Total after Discount   </t>
  </si>
  <si>
    <t>Balikpapan, 18 Maret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</si>
</sst>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IDR&quot;* #,##0_-;\-&quot;IDR&quot;* #,##0_-;_-&quot;IDR&quot;* &quot;-&quot;_-;_-@_-"/>
    <numFmt numFmtId="165" formatCode="_([$IDR]\ * #,##0_);_([$IDR]\ * \(#,##0\);_([$IDR]\ * &quot;-&quot;??_);_(@_)"/>
  </numFmts>
  <fonts count="2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rgb="FF222222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u/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sz val="12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b/>
      <sz val="12"/>
      <color theme="1"/>
      <name val="Calibri"/>
      <family val="2"/>
      <scheme val="minor"/>
    </font>
    <font>
      <sz val="11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</borders>
  <cellStyleXfs count="131">
    <xf numFmtId="0" fontId="0" fillId="0" borderId="0"/>
    <xf numFmtId="164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8" fillId="0" borderId="0"/>
  </cellStyleXfs>
  <cellXfs count="192">
    <xf numFmtId="0" fontId="0" fillId="0" borderId="0" xfId="0"/>
    <xf numFmtId="0" fontId="3" fillId="2" borderId="3" xfId="0" applyFont="1" applyFill="1" applyBorder="1"/>
    <xf numFmtId="0" fontId="3" fillId="2" borderId="8" xfId="0" applyFont="1" applyFill="1" applyBorder="1"/>
    <xf numFmtId="0" fontId="3" fillId="2" borderId="13" xfId="0" applyFont="1" applyFill="1" applyBorder="1"/>
    <xf numFmtId="0" fontId="3" fillId="2" borderId="14" xfId="0" applyFont="1" applyFill="1" applyBorder="1"/>
    <xf numFmtId="0" fontId="4" fillId="2" borderId="0" xfId="0" applyFont="1" applyFill="1"/>
    <xf numFmtId="0" fontId="7" fillId="0" borderId="0" xfId="0" applyFont="1"/>
    <xf numFmtId="164" fontId="3" fillId="2" borderId="1" xfId="1" applyFont="1" applyFill="1" applyBorder="1"/>
    <xf numFmtId="0" fontId="9" fillId="2" borderId="13" xfId="0" quotePrefix="1" applyFont="1" applyFill="1" applyBorder="1" applyAlignment="1">
      <alignment horizontal="left" vertical="center"/>
    </xf>
    <xf numFmtId="0" fontId="9" fillId="2" borderId="14" xfId="0" quotePrefix="1" applyFont="1" applyFill="1" applyBorder="1" applyAlignment="1">
      <alignment horizontal="center" vertical="center"/>
    </xf>
    <xf numFmtId="0" fontId="9" fillId="2" borderId="15" xfId="0" quotePrefix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right"/>
    </xf>
    <xf numFmtId="0" fontId="3" fillId="2" borderId="15" xfId="0" applyFont="1" applyFill="1" applyBorder="1"/>
    <xf numFmtId="0" fontId="4" fillId="2" borderId="1" xfId="0" applyFont="1" applyFill="1" applyBorder="1" applyAlignment="1">
      <alignment horizontal="center"/>
    </xf>
    <xf numFmtId="164" fontId="0" fillId="0" borderId="0" xfId="0" applyNumberFormat="1"/>
    <xf numFmtId="0" fontId="0" fillId="2" borderId="5" xfId="0" applyFill="1" applyBorder="1"/>
    <xf numFmtId="0" fontId="0" fillId="2" borderId="6" xfId="0" applyFill="1" applyBorder="1"/>
    <xf numFmtId="0" fontId="12" fillId="2" borderId="0" xfId="0" applyFont="1" applyFill="1"/>
    <xf numFmtId="0" fontId="3" fillId="2" borderId="0" xfId="0" applyFont="1" applyFill="1"/>
    <xf numFmtId="0" fontId="3" fillId="2" borderId="4" xfId="0" applyFont="1" applyFill="1" applyBorder="1"/>
    <xf numFmtId="0" fontId="13" fillId="2" borderId="0" xfId="0" applyFont="1" applyFill="1"/>
    <xf numFmtId="0" fontId="3" fillId="2" borderId="9" xfId="0" applyFont="1" applyFill="1" applyBorder="1"/>
    <xf numFmtId="0" fontId="3" fillId="2" borderId="6" xfId="0" applyFont="1" applyFill="1" applyBorder="1"/>
    <xf numFmtId="0" fontId="0" fillId="0" borderId="1" xfId="0" applyBorder="1"/>
    <xf numFmtId="0" fontId="3" fillId="2" borderId="6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9" fillId="4" borderId="0" xfId="0" applyFont="1" applyFill="1"/>
    <xf numFmtId="0" fontId="9" fillId="4" borderId="0" xfId="0" applyFont="1" applyFill="1" applyAlignment="1">
      <alignment horizontal="center"/>
    </xf>
    <xf numFmtId="0" fontId="9" fillId="4" borderId="5" xfId="0" applyFont="1" applyFill="1" applyBorder="1" applyAlignment="1">
      <alignment horizontal="left"/>
    </xf>
    <xf numFmtId="165" fontId="9" fillId="4" borderId="11" xfId="0" applyNumberFormat="1" applyFont="1" applyFill="1" applyBorder="1" applyAlignment="1">
      <alignment vertical="center"/>
    </xf>
    <xf numFmtId="0" fontId="8" fillId="2" borderId="6" xfId="0" applyFont="1" applyFill="1" applyBorder="1"/>
    <xf numFmtId="0" fontId="12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0" fillId="0" borderId="0" xfId="0" applyAlignment="1">
      <alignment vertical="center"/>
    </xf>
    <xf numFmtId="0" fontId="0" fillId="2" borderId="0" xfId="0" applyFill="1"/>
    <xf numFmtId="0" fontId="4" fillId="2" borderId="15" xfId="0" applyFont="1" applyFill="1" applyBorder="1" applyAlignment="1">
      <alignment horizontal="center"/>
    </xf>
    <xf numFmtId="164" fontId="4" fillId="2" borderId="1" xfId="1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4" fillId="2" borderId="3" xfId="0" applyFont="1" applyFill="1" applyBorder="1"/>
    <xf numFmtId="20" fontId="9" fillId="4" borderId="5" xfId="0" applyNumberFormat="1" applyFont="1" applyFill="1" applyBorder="1" applyAlignment="1">
      <alignment horizontal="left"/>
    </xf>
    <xf numFmtId="0" fontId="10" fillId="2" borderId="0" xfId="0" applyFont="1" applyFill="1"/>
    <xf numFmtId="0" fontId="4" fillId="2" borderId="8" xfId="0" applyFont="1" applyFill="1" applyBorder="1"/>
    <xf numFmtId="0" fontId="3" fillId="2" borderId="0" xfId="0" applyFont="1" applyFill="1" applyAlignment="1">
      <alignment vertical="top"/>
    </xf>
    <xf numFmtId="0" fontId="8" fillId="2" borderId="10" xfId="0" applyFont="1" applyFill="1" applyBorder="1"/>
    <xf numFmtId="0" fontId="8" fillId="2" borderId="11" xfId="0" applyFont="1" applyFill="1" applyBorder="1"/>
    <xf numFmtId="0" fontId="3" fillId="2" borderId="5" xfId="0" applyFont="1" applyFill="1" applyBorder="1" applyAlignment="1">
      <alignment horizontal="left"/>
    </xf>
    <xf numFmtId="164" fontId="3" fillId="2" borderId="11" xfId="1" applyFont="1" applyFill="1" applyBorder="1"/>
    <xf numFmtId="0" fontId="9" fillId="2" borderId="5" xfId="0" quotePrefix="1" applyFont="1" applyFill="1" applyBorder="1" applyAlignment="1">
      <alignment horizontal="left" vertical="center"/>
    </xf>
    <xf numFmtId="0" fontId="9" fillId="2" borderId="0" xfId="0" quotePrefix="1" applyFont="1" applyFill="1" applyAlignment="1">
      <alignment horizontal="center" vertical="center"/>
    </xf>
    <xf numFmtId="0" fontId="9" fillId="2" borderId="6" xfId="0" quotePrefix="1" applyFont="1" applyFill="1" applyBorder="1" applyAlignment="1">
      <alignment horizontal="center" vertical="center"/>
    </xf>
    <xf numFmtId="165" fontId="9" fillId="3" borderId="11" xfId="0" applyNumberFormat="1" applyFont="1" applyFill="1" applyBorder="1" applyAlignment="1">
      <alignment vertical="center"/>
    </xf>
    <xf numFmtId="165" fontId="9" fillId="4" borderId="0" xfId="0" applyNumberFormat="1" applyFont="1" applyFill="1" applyAlignment="1">
      <alignment vertical="center"/>
    </xf>
    <xf numFmtId="164" fontId="3" fillId="2" borderId="6" xfId="1" applyFont="1" applyFill="1" applyBorder="1"/>
    <xf numFmtId="164" fontId="3" fillId="2" borderId="15" xfId="1" applyFont="1" applyFill="1" applyBorder="1"/>
    <xf numFmtId="0" fontId="14" fillId="5" borderId="5" xfId="112" quotePrefix="1" applyFont="1" applyFill="1" applyBorder="1" applyAlignment="1">
      <alignment horizontal="left" vertical="center"/>
    </xf>
    <xf numFmtId="0" fontId="14" fillId="5" borderId="0" xfId="112" quotePrefix="1" applyFont="1" applyFill="1" applyAlignment="1">
      <alignment horizontal="center" vertical="center"/>
    </xf>
    <xf numFmtId="0" fontId="14" fillId="5" borderId="6" xfId="112" quotePrefix="1" applyFont="1" applyFill="1" applyBorder="1" applyAlignment="1">
      <alignment horizontal="center" vertical="center"/>
    </xf>
    <xf numFmtId="0" fontId="14" fillId="5" borderId="0" xfId="112" applyFont="1" applyFill="1"/>
    <xf numFmtId="0" fontId="14" fillId="5" borderId="6" xfId="112" applyFont="1" applyFill="1" applyBorder="1"/>
    <xf numFmtId="0" fontId="9" fillId="5" borderId="0" xfId="112" applyFont="1" applyFill="1"/>
    <xf numFmtId="0" fontId="9" fillId="5" borderId="6" xfId="112" applyFont="1" applyFill="1" applyBorder="1"/>
    <xf numFmtId="0" fontId="15" fillId="5" borderId="5" xfId="112" quotePrefix="1" applyFont="1" applyFill="1" applyBorder="1" applyAlignment="1">
      <alignment horizontal="left" vertical="center"/>
    </xf>
    <xf numFmtId="0" fontId="15" fillId="5" borderId="0" xfId="112" quotePrefix="1" applyFont="1" applyFill="1" applyAlignment="1">
      <alignment horizontal="center" vertical="center"/>
    </xf>
    <xf numFmtId="0" fontId="8" fillId="5" borderId="6" xfId="112" quotePrefix="1" applyFont="1" applyFill="1" applyBorder="1" applyAlignment="1">
      <alignment horizontal="center" vertical="center"/>
    </xf>
    <xf numFmtId="0" fontId="8" fillId="5" borderId="0" xfId="112" applyFont="1" applyFill="1"/>
    <xf numFmtId="0" fontId="8" fillId="5" borderId="6" xfId="112" applyFont="1" applyFill="1" applyBorder="1"/>
    <xf numFmtId="0" fontId="8" fillId="5" borderId="6" xfId="112" applyFont="1" applyFill="1" applyBorder="1" applyAlignment="1">
      <alignment horizontal="center"/>
    </xf>
    <xf numFmtId="0" fontId="8" fillId="5" borderId="6" xfId="112" applyFont="1" applyFill="1" applyBorder="1" applyAlignment="1">
      <alignment vertical="center"/>
    </xf>
    <xf numFmtId="0" fontId="8" fillId="5" borderId="5" xfId="112" applyFont="1" applyFill="1" applyBorder="1" applyAlignment="1">
      <alignment horizontal="left" vertical="center"/>
    </xf>
    <xf numFmtId="0" fontId="8" fillId="5" borderId="0" xfId="112" applyFont="1" applyFill="1" applyAlignment="1">
      <alignment horizontal="center" vertical="center"/>
    </xf>
    <xf numFmtId="0" fontId="8" fillId="5" borderId="0" xfId="112" applyFont="1" applyFill="1" applyAlignment="1">
      <alignment horizontal="center"/>
    </xf>
    <xf numFmtId="0" fontId="8" fillId="5" borderId="5" xfId="112" applyFont="1" applyFill="1" applyBorder="1" applyAlignment="1">
      <alignment horizontal="center"/>
    </xf>
    <xf numFmtId="0" fontId="8" fillId="3" borderId="5" xfId="112" applyFont="1" applyFill="1" applyBorder="1" applyAlignment="1">
      <alignment horizontal="left"/>
    </xf>
    <xf numFmtId="0" fontId="8" fillId="3" borderId="0" xfId="112" applyFont="1" applyFill="1" applyAlignment="1">
      <alignment horizontal="center"/>
    </xf>
    <xf numFmtId="0" fontId="16" fillId="5" borderId="0" xfId="112" applyFont="1" applyFill="1"/>
    <xf numFmtId="0" fontId="8" fillId="5" borderId="6" xfId="112" applyFont="1" applyFill="1" applyBorder="1" applyAlignment="1">
      <alignment horizontal="left" vertical="center"/>
    </xf>
    <xf numFmtId="0" fontId="15" fillId="5" borderId="0" xfId="112" applyFont="1" applyFill="1"/>
    <xf numFmtId="0" fontId="15" fillId="5" borderId="0" xfId="112" applyFont="1" applyFill="1" applyAlignment="1">
      <alignment horizontal="left"/>
    </xf>
    <xf numFmtId="0" fontId="8" fillId="5" borderId="0" xfId="112" applyFont="1" applyFill="1" applyAlignment="1">
      <alignment horizontal="left"/>
    </xf>
    <xf numFmtId="2" fontId="8" fillId="5" borderId="5" xfId="112" applyNumberFormat="1" applyFont="1" applyFill="1" applyBorder="1"/>
    <xf numFmtId="0" fontId="8" fillId="3" borderId="6" xfId="112" applyFont="1" applyFill="1" applyBorder="1" applyAlignment="1">
      <alignment vertical="center"/>
    </xf>
    <xf numFmtId="0" fontId="15" fillId="5" borderId="5" xfId="112" applyFont="1" applyFill="1" applyBorder="1" applyAlignment="1">
      <alignment horizontal="left"/>
    </xf>
    <xf numFmtId="0" fontId="8" fillId="5" borderId="5" xfId="112" applyFont="1" applyFill="1" applyBorder="1"/>
    <xf numFmtId="0" fontId="9" fillId="5" borderId="5" xfId="112" applyFont="1" applyFill="1" applyBorder="1" applyAlignment="1">
      <alignment horizontal="left" vertical="center"/>
    </xf>
    <xf numFmtId="0" fontId="9" fillId="5" borderId="0" xfId="112" applyFont="1" applyFill="1" applyAlignment="1">
      <alignment horizontal="center" vertical="center"/>
    </xf>
    <xf numFmtId="0" fontId="9" fillId="5" borderId="0" xfId="112" applyFont="1" applyFill="1" applyAlignment="1">
      <alignment horizontal="center"/>
    </xf>
    <xf numFmtId="0" fontId="9" fillId="5" borderId="5" xfId="112" applyFont="1" applyFill="1" applyBorder="1" applyAlignment="1">
      <alignment horizontal="center"/>
    </xf>
    <xf numFmtId="1" fontId="9" fillId="5" borderId="0" xfId="112" applyNumberFormat="1" applyFont="1" applyFill="1"/>
    <xf numFmtId="0" fontId="9" fillId="3" borderId="6" xfId="112" applyFont="1" applyFill="1" applyBorder="1" applyAlignment="1">
      <alignment vertical="center"/>
    </xf>
    <xf numFmtId="0" fontId="9" fillId="6" borderId="5" xfId="112" applyFont="1" applyFill="1" applyBorder="1" applyAlignment="1">
      <alignment horizontal="left" vertical="center"/>
    </xf>
    <xf numFmtId="0" fontId="9" fillId="6" borderId="0" xfId="112" applyFont="1" applyFill="1" applyAlignment="1">
      <alignment horizontal="center" vertical="center"/>
    </xf>
    <xf numFmtId="0" fontId="9" fillId="6" borderId="0" xfId="112" applyFont="1" applyFill="1" applyAlignment="1">
      <alignment horizontal="center"/>
    </xf>
    <xf numFmtId="0" fontId="14" fillId="6" borderId="5" xfId="112" applyFont="1" applyFill="1" applyBorder="1" applyAlignment="1">
      <alignment horizontal="left"/>
    </xf>
    <xf numFmtId="0" fontId="14" fillId="6" borderId="0" xfId="112" applyFont="1" applyFill="1" applyAlignment="1">
      <alignment horizontal="left"/>
    </xf>
    <xf numFmtId="0" fontId="9" fillId="6" borderId="5" xfId="112" applyFont="1" applyFill="1" applyBorder="1"/>
    <xf numFmtId="0" fontId="9" fillId="6" borderId="6" xfId="112" applyFont="1" applyFill="1" applyBorder="1"/>
    <xf numFmtId="0" fontId="8" fillId="5" borderId="0" xfId="127" applyFont="1" applyFill="1" applyAlignment="1">
      <alignment horizontal="center"/>
    </xf>
    <xf numFmtId="0" fontId="8" fillId="5" borderId="5" xfId="127" applyFont="1" applyFill="1" applyBorder="1"/>
    <xf numFmtId="0" fontId="8" fillId="5" borderId="6" xfId="127" applyFont="1" applyFill="1" applyBorder="1"/>
    <xf numFmtId="2" fontId="8" fillId="5" borderId="5" xfId="127" applyNumberFormat="1" applyFont="1" applyFill="1" applyBorder="1"/>
    <xf numFmtId="0" fontId="15" fillId="5" borderId="5" xfId="127" quotePrefix="1" applyFont="1" applyFill="1" applyBorder="1" applyAlignment="1">
      <alignment horizontal="left" vertical="center"/>
    </xf>
    <xf numFmtId="0" fontId="8" fillId="5" borderId="0" xfId="127" applyFont="1" applyFill="1" applyAlignment="1">
      <alignment horizontal="left"/>
    </xf>
    <xf numFmtId="0" fontId="8" fillId="3" borderId="6" xfId="127" applyFont="1" applyFill="1" applyBorder="1" applyAlignment="1">
      <alignment vertical="center"/>
    </xf>
    <xf numFmtId="0" fontId="15" fillId="5" borderId="5" xfId="127" applyFont="1" applyFill="1" applyBorder="1" applyAlignment="1">
      <alignment horizontal="left"/>
    </xf>
    <xf numFmtId="0" fontId="8" fillId="5" borderId="6" xfId="127" applyFont="1" applyFill="1" applyBorder="1" applyAlignment="1">
      <alignment horizontal="center"/>
    </xf>
    <xf numFmtId="0" fontId="17" fillId="5" borderId="0" xfId="112" applyFont="1" applyFill="1"/>
    <xf numFmtId="0" fontId="8" fillId="5" borderId="0" xfId="127" applyFont="1" applyFill="1"/>
    <xf numFmtId="0" fontId="15" fillId="5" borderId="0" xfId="127" applyFont="1" applyFill="1" applyAlignment="1">
      <alignment horizontal="center"/>
    </xf>
    <xf numFmtId="0" fontId="8" fillId="3" borderId="6" xfId="127" applyFont="1" applyFill="1" applyBorder="1" applyAlignment="1">
      <alignment horizontal="center"/>
    </xf>
    <xf numFmtId="0" fontId="15" fillId="5" borderId="0" xfId="127" applyFont="1" applyFill="1"/>
    <xf numFmtId="0" fontId="8" fillId="5" borderId="0" xfId="127" quotePrefix="1" applyFont="1" applyFill="1" applyAlignment="1">
      <alignment horizontal="center" vertical="center"/>
    </xf>
    <xf numFmtId="0" fontId="8" fillId="3" borderId="0" xfId="127" applyFont="1" applyFill="1"/>
    <xf numFmtId="2" fontId="8" fillId="3" borderId="5" xfId="127" applyNumberFormat="1" applyFont="1" applyFill="1" applyBorder="1"/>
    <xf numFmtId="0" fontId="8" fillId="3" borderId="6" xfId="127" applyFont="1" applyFill="1" applyBorder="1"/>
    <xf numFmtId="0" fontId="8" fillId="3" borderId="0" xfId="127" quotePrefix="1" applyFont="1" applyFill="1" applyAlignment="1">
      <alignment horizontal="left"/>
    </xf>
    <xf numFmtId="0" fontId="15" fillId="5" borderId="0" xfId="127" applyFont="1" applyFill="1" applyAlignment="1">
      <alignment horizontal="left"/>
    </xf>
    <xf numFmtId="0" fontId="15" fillId="3" borderId="0" xfId="127" applyFont="1" applyFill="1"/>
    <xf numFmtId="0" fontId="8" fillId="5" borderId="0" xfId="112" quotePrefix="1" applyFont="1" applyFill="1" applyAlignment="1">
      <alignment horizontal="left"/>
    </xf>
    <xf numFmtId="0" fontId="8" fillId="5" borderId="6" xfId="112" applyFont="1" applyFill="1" applyBorder="1" applyAlignment="1">
      <alignment horizontal="center" vertical="center"/>
    </xf>
    <xf numFmtId="1" fontId="8" fillId="5" borderId="5" xfId="112" applyNumberFormat="1" applyFont="1" applyFill="1" applyBorder="1"/>
    <xf numFmtId="0" fontId="8" fillId="5" borderId="5" xfId="112" applyFont="1" applyFill="1" applyBorder="1" applyAlignment="1">
      <alignment horizontal="left"/>
    </xf>
    <xf numFmtId="0" fontId="8" fillId="5" borderId="6" xfId="128" applyFont="1" applyFill="1" applyBorder="1"/>
    <xf numFmtId="0" fontId="8" fillId="5" borderId="0" xfId="128" applyFont="1" applyFill="1" applyAlignment="1">
      <alignment horizontal="center"/>
    </xf>
    <xf numFmtId="2" fontId="8" fillId="5" borderId="5" xfId="128" applyNumberFormat="1" applyFont="1" applyFill="1" applyBorder="1"/>
    <xf numFmtId="0" fontId="15" fillId="5" borderId="5" xfId="128" quotePrefix="1" applyFont="1" applyFill="1" applyBorder="1" applyAlignment="1">
      <alignment horizontal="left" vertical="center"/>
    </xf>
    <xf numFmtId="0" fontId="8" fillId="5" borderId="0" xfId="128" applyFont="1" applyFill="1" applyAlignment="1">
      <alignment horizontal="left"/>
    </xf>
    <xf numFmtId="0" fontId="8" fillId="3" borderId="6" xfId="128" applyFont="1" applyFill="1" applyBorder="1" applyAlignment="1">
      <alignment vertical="center"/>
    </xf>
    <xf numFmtId="0" fontId="15" fillId="5" borderId="5" xfId="128" applyFont="1" applyFill="1" applyBorder="1" applyAlignment="1">
      <alignment horizontal="left"/>
    </xf>
    <xf numFmtId="0" fontId="8" fillId="5" borderId="0" xfId="129" applyFont="1" applyFill="1" applyAlignment="1">
      <alignment horizontal="center"/>
    </xf>
    <xf numFmtId="0" fontId="8" fillId="5" borderId="5" xfId="129" applyFont="1" applyFill="1" applyBorder="1"/>
    <xf numFmtId="0" fontId="8" fillId="5" borderId="6" xfId="129" applyFont="1" applyFill="1" applyBorder="1"/>
    <xf numFmtId="2" fontId="8" fillId="5" borderId="5" xfId="129" applyNumberFormat="1" applyFont="1" applyFill="1" applyBorder="1"/>
    <xf numFmtId="1" fontId="8" fillId="5" borderId="5" xfId="129" applyNumberFormat="1" applyFont="1" applyFill="1" applyBorder="1"/>
    <xf numFmtId="0" fontId="9" fillId="5" borderId="0" xfId="129" applyFont="1" applyFill="1" applyAlignment="1">
      <alignment horizontal="center"/>
    </xf>
    <xf numFmtId="0" fontId="14" fillId="5" borderId="5" xfId="112" applyFont="1" applyFill="1" applyBorder="1" applyAlignment="1">
      <alignment horizontal="left"/>
    </xf>
    <xf numFmtId="0" fontId="9" fillId="5" borderId="0" xfId="112" applyFont="1" applyFill="1" applyAlignment="1">
      <alignment horizontal="left"/>
    </xf>
    <xf numFmtId="2" fontId="9" fillId="5" borderId="5" xfId="129" applyNumberFormat="1" applyFont="1" applyFill="1" applyBorder="1"/>
    <xf numFmtId="0" fontId="9" fillId="5" borderId="6" xfId="129" applyFont="1" applyFill="1" applyBorder="1"/>
    <xf numFmtId="0" fontId="14" fillId="6" borderId="5" xfId="129" quotePrefix="1" applyFont="1" applyFill="1" applyBorder="1" applyAlignment="1">
      <alignment horizontal="left" vertical="center"/>
    </xf>
    <xf numFmtId="0" fontId="15" fillId="5" borderId="5" xfId="129" quotePrefix="1" applyFont="1" applyFill="1" applyBorder="1" applyAlignment="1">
      <alignment horizontal="left" vertical="center"/>
    </xf>
    <xf numFmtId="0" fontId="8" fillId="5" borderId="0" xfId="129" applyFont="1" applyFill="1" applyAlignment="1">
      <alignment horizontal="left"/>
    </xf>
    <xf numFmtId="0" fontId="8" fillId="3" borderId="6" xfId="129" applyFont="1" applyFill="1" applyBorder="1" applyAlignment="1">
      <alignment vertical="center"/>
    </xf>
    <xf numFmtId="0" fontId="14" fillId="6" borderId="5" xfId="128" quotePrefix="1" applyFont="1" applyFill="1" applyBorder="1" applyAlignment="1">
      <alignment horizontal="left" vertical="center"/>
    </xf>
    <xf numFmtId="0" fontId="9" fillId="5" borderId="0" xfId="112" quotePrefix="1" applyFont="1" applyFill="1" applyAlignment="1">
      <alignment horizontal="center" vertical="center"/>
    </xf>
    <xf numFmtId="0" fontId="9" fillId="5" borderId="6" xfId="112" quotePrefix="1" applyFont="1" applyFill="1" applyBorder="1" applyAlignment="1">
      <alignment horizontal="right" vertical="center"/>
    </xf>
    <xf numFmtId="0" fontId="8" fillId="5" borderId="0" xfId="112" quotePrefix="1" applyFont="1" applyFill="1" applyAlignment="1">
      <alignment horizontal="center" vertical="center"/>
    </xf>
    <xf numFmtId="0" fontId="8" fillId="5" borderId="6" xfId="112" quotePrefix="1" applyFont="1" applyFill="1" applyBorder="1" applyAlignment="1">
      <alignment horizontal="right" vertical="center"/>
    </xf>
    <xf numFmtId="1" fontId="8" fillId="5" borderId="0" xfId="112" applyNumberFormat="1" applyFont="1" applyFill="1"/>
    <xf numFmtId="0" fontId="18" fillId="0" borderId="0" xfId="130"/>
    <xf numFmtId="0" fontId="15" fillId="6" borderId="5" xfId="112" quotePrefix="1" applyFont="1" applyFill="1" applyBorder="1" applyAlignment="1">
      <alignment horizontal="left" vertical="center"/>
    </xf>
    <xf numFmtId="0" fontId="15" fillId="6" borderId="0" xfId="112" applyFont="1" applyFill="1"/>
    <xf numFmtId="0" fontId="14" fillId="6" borderId="0" xfId="112" applyFont="1" applyFill="1" applyAlignment="1">
      <alignment horizontal="center" vertical="center"/>
    </xf>
    <xf numFmtId="0" fontId="14" fillId="6" borderId="6" xfId="112" applyFont="1" applyFill="1" applyBorder="1" applyAlignment="1">
      <alignment horizontal="left" vertical="center"/>
    </xf>
    <xf numFmtId="2" fontId="14" fillId="6" borderId="5" xfId="129" applyNumberFormat="1" applyFont="1" applyFill="1" applyBorder="1"/>
    <xf numFmtId="0" fontId="14" fillId="6" borderId="6" xfId="129" applyFont="1" applyFill="1" applyBorder="1"/>
    <xf numFmtId="165" fontId="14" fillId="3" borderId="11" xfId="0" applyNumberFormat="1" applyFont="1" applyFill="1" applyBorder="1" applyAlignment="1">
      <alignment vertical="center"/>
    </xf>
    <xf numFmtId="165" fontId="14" fillId="4" borderId="11" xfId="0" applyNumberFormat="1" applyFont="1" applyFill="1" applyBorder="1" applyAlignment="1">
      <alignment vertical="center"/>
    </xf>
    <xf numFmtId="164" fontId="11" fillId="2" borderId="6" xfId="1" applyFont="1" applyFill="1" applyBorder="1"/>
    <xf numFmtId="0" fontId="20" fillId="0" borderId="0" xfId="0" applyFont="1"/>
    <xf numFmtId="0" fontId="14" fillId="6" borderId="0" xfId="128" applyFont="1" applyFill="1" applyAlignment="1">
      <alignment horizontal="center"/>
    </xf>
    <xf numFmtId="0" fontId="14" fillId="6" borderId="0" xfId="128" applyFont="1" applyFill="1" applyAlignment="1">
      <alignment horizontal="left"/>
    </xf>
    <xf numFmtId="2" fontId="14" fillId="6" borderId="5" xfId="128" applyNumberFormat="1" applyFont="1" applyFill="1" applyBorder="1"/>
    <xf numFmtId="0" fontId="14" fillId="6" borderId="6" xfId="128" applyFont="1" applyFill="1" applyBorder="1"/>
    <xf numFmtId="165" fontId="14" fillId="4" borderId="0" xfId="0" applyNumberFormat="1" applyFont="1" applyFill="1" applyAlignment="1">
      <alignment vertical="center"/>
    </xf>
    <xf numFmtId="164" fontId="11" fillId="2" borderId="11" xfId="1" applyFont="1" applyFill="1" applyBorder="1"/>
    <xf numFmtId="0" fontId="15" fillId="6" borderId="0" xfId="112" quotePrefix="1" applyFont="1" applyFill="1" applyAlignment="1">
      <alignment horizontal="center" vertical="center"/>
    </xf>
    <xf numFmtId="0" fontId="15" fillId="6" borderId="6" xfId="112" quotePrefix="1" applyFont="1" applyFill="1" applyBorder="1" applyAlignment="1">
      <alignment horizontal="right" vertical="center"/>
    </xf>
    <xf numFmtId="0" fontId="15" fillId="6" borderId="6" xfId="112" applyFont="1" applyFill="1" applyBorder="1"/>
    <xf numFmtId="1" fontId="15" fillId="6" borderId="0" xfId="112" applyNumberFormat="1" applyFont="1" applyFill="1"/>
    <xf numFmtId="164" fontId="9" fillId="3" borderId="11" xfId="1" applyFont="1" applyFill="1" applyBorder="1" applyAlignment="1">
      <alignment vertical="center"/>
    </xf>
    <xf numFmtId="164" fontId="9" fillId="4" borderId="11" xfId="1" applyFont="1" applyFill="1" applyBorder="1" applyAlignment="1">
      <alignment vertical="center"/>
    </xf>
    <xf numFmtId="1" fontId="21" fillId="5" borderId="0" xfId="112" applyNumberFormat="1" applyFont="1" applyFill="1"/>
    <xf numFmtId="0" fontId="21" fillId="5" borderId="0" xfId="112" applyFont="1" applyFill="1"/>
    <xf numFmtId="165" fontId="21" fillId="3" borderId="11" xfId="0" applyNumberFormat="1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top"/>
    </xf>
    <xf numFmtId="0" fontId="3" fillId="2" borderId="6" xfId="0" applyFont="1" applyFill="1" applyBorder="1" applyAlignment="1">
      <alignment horizontal="center" vertical="top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left"/>
    </xf>
  </cellXfs>
  <cellStyles count="131">
    <cellStyle name="Currency [0]" xfId="1" builtinId="7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Normal" xfId="0" builtinId="0"/>
    <cellStyle name="Normal 10" xfId="129" xr:uid="{168A0593-AC43-4CF5-A454-075D749CDA58}"/>
    <cellStyle name="Normal 2" xfId="112" xr:uid="{00000000-0005-0000-0000-000070000000}"/>
    <cellStyle name="Normal 2 2" xfId="116" xr:uid="{00000000-0005-0000-0000-000071000000}"/>
    <cellStyle name="Normal 2 2 2" xfId="123" xr:uid="{00000000-0005-0000-0000-000072000000}"/>
    <cellStyle name="Normal 2 2 3" xfId="121" xr:uid="{00000000-0005-0000-0000-000073000000}"/>
    <cellStyle name="Normal 2 2 7" xfId="119" xr:uid="{00000000-0005-0000-0000-000074000000}"/>
    <cellStyle name="Normal 3" xfId="115" xr:uid="{00000000-0005-0000-0000-000075000000}"/>
    <cellStyle name="Normal 3 2" xfId="125" xr:uid="{00000000-0005-0000-0000-000076000000}"/>
    <cellStyle name="Normal 4 2 2 2" xfId="117" xr:uid="{00000000-0005-0000-0000-000077000000}"/>
    <cellStyle name="Normal 5 2 2" xfId="118" xr:uid="{00000000-0005-0000-0000-000078000000}"/>
    <cellStyle name="Normal 5 3" xfId="124" xr:uid="{00000000-0005-0000-0000-000079000000}"/>
    <cellStyle name="Normal 6" xfId="113" xr:uid="{00000000-0005-0000-0000-00007A000000}"/>
    <cellStyle name="Normal 6 2" xfId="126" xr:uid="{00000000-0005-0000-0000-00007B000000}"/>
    <cellStyle name="Normal 6 3" xfId="120" xr:uid="{00000000-0005-0000-0000-00007C000000}"/>
    <cellStyle name="Normal 7" xfId="127" xr:uid="{14E69280-071E-4C13-8E85-560C094BD541}"/>
    <cellStyle name="Normal 7 2" xfId="114" xr:uid="{00000000-0005-0000-0000-00007D000000}"/>
    <cellStyle name="Normal 8" xfId="122" xr:uid="{00000000-0005-0000-0000-00007E000000}"/>
    <cellStyle name="Normal 9" xfId="128" xr:uid="{9C233888-41F9-47C4-8050-56425FB27EB3}"/>
    <cellStyle name="Normal_2012 Jan - DD GStar - South Korea" xfId="130" xr:uid="{28EA9BB5-C13B-4D03-AC5E-B338932B2A0A}"/>
  </cellStyles>
  <dxfs count="7">
    <dxf>
      <font>
        <b/>
        <i val="0"/>
        <strike val="0"/>
        <color rgb="FF000000"/>
      </font>
    </dxf>
    <dxf>
      <font>
        <b val="0"/>
        <i/>
        <strike val="0"/>
      </font>
    </dxf>
    <dxf>
      <font>
        <b/>
        <i val="0"/>
        <strike val="0"/>
        <color rgb="FF000000"/>
      </font>
    </dxf>
    <dxf>
      <font>
        <b val="0"/>
        <i/>
        <strike val="0"/>
      </font>
    </dxf>
    <dxf>
      <font>
        <b/>
        <i val="0"/>
        <strike val="0"/>
        <color rgb="FF000000"/>
      </font>
    </dxf>
    <dxf>
      <font>
        <b/>
        <i val="0"/>
        <strike val="0"/>
        <color rgb="FF000000"/>
      </font>
    </dxf>
    <dxf>
      <font>
        <b/>
        <i val="0"/>
        <strike val="0"/>
        <color rgb="FF000000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17779</xdr:colOff>
      <xdr:row>2</xdr:row>
      <xdr:rowOff>153264</xdr:rowOff>
    </xdr:from>
    <xdr:to>
      <xdr:col>11</xdr:col>
      <xdr:colOff>868383</xdr:colOff>
      <xdr:row>7</xdr:row>
      <xdr:rowOff>82224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72B945-8004-433B-A6AC-DD8A86724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00719" y="549504"/>
          <a:ext cx="3502364" cy="911940"/>
        </a:xfrm>
        <a:prstGeom prst="rect">
          <a:avLst/>
        </a:prstGeom>
      </xdr:spPr>
    </xdr:pic>
    <xdr:clientData/>
  </xdr:twoCellAnchor>
  <xdr:twoCellAnchor editAs="oneCell">
    <xdr:from>
      <xdr:col>2</xdr:col>
      <xdr:colOff>35858</xdr:colOff>
      <xdr:row>1</xdr:row>
      <xdr:rowOff>53787</xdr:rowOff>
    </xdr:from>
    <xdr:to>
      <xdr:col>6</xdr:col>
      <xdr:colOff>2516938</xdr:colOff>
      <xdr:row>6</xdr:row>
      <xdr:rowOff>158208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0364C3-0458-47D3-8FF2-36B2AB0C3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1218" y="251907"/>
          <a:ext cx="3204980" cy="10950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44223-331A-4D9A-B65B-6A81595C553B}">
  <sheetPr>
    <tabColor theme="3" tint="0.39997558519241921"/>
  </sheetPr>
  <dimension ref="B7:W217"/>
  <sheetViews>
    <sheetView showGridLines="0" tabSelected="1" view="pageBreakPreview" topLeftCell="A190" zoomScale="66" zoomScaleSheetLayoutView="85" workbookViewId="0">
      <selection activeCell="K11" sqref="K11"/>
    </sheetView>
  </sheetViews>
  <sheetFormatPr defaultColWidth="11" defaultRowHeight="15.5" x14ac:dyDescent="0.35"/>
  <cols>
    <col min="2" max="4" width="1.83203125" style="18" customWidth="1"/>
    <col min="5" max="5" width="3.08203125" style="18" customWidth="1"/>
    <col min="6" max="6" width="2.83203125" style="18" customWidth="1"/>
    <col min="7" max="7" width="70.58203125" style="18" customWidth="1"/>
    <col min="8" max="8" width="9.5" style="18" customWidth="1"/>
    <col min="9" max="9" width="6.33203125" style="18" customWidth="1"/>
    <col min="10" max="10" width="16" style="18" customWidth="1"/>
    <col min="11" max="11" width="18.83203125" style="18" customWidth="1"/>
    <col min="12" max="12" width="20.5" style="18" customWidth="1"/>
    <col min="13" max="13" width="18.33203125" customWidth="1"/>
    <col min="14" max="14" width="18.33203125" bestFit="1" customWidth="1"/>
  </cols>
  <sheetData>
    <row r="7" spans="2:13" ht="15" customHeight="1" x14ac:dyDescent="0.35"/>
    <row r="8" spans="2:13" ht="18" x14ac:dyDescent="0.4">
      <c r="B8" s="31" t="s">
        <v>24</v>
      </c>
      <c r="C8" s="17"/>
      <c r="D8" s="17"/>
    </row>
    <row r="9" spans="2:13" x14ac:dyDescent="0.35">
      <c r="B9" s="32" t="s">
        <v>25</v>
      </c>
      <c r="C9" s="5"/>
      <c r="D9" s="5"/>
      <c r="E9" s="5"/>
      <c r="F9" s="5"/>
      <c r="G9" s="5"/>
    </row>
    <row r="10" spans="2:13" x14ac:dyDescent="0.35">
      <c r="H10" s="20"/>
      <c r="I10" s="20"/>
      <c r="J10" s="20" t="s">
        <v>29</v>
      </c>
      <c r="L10" s="20"/>
      <c r="M10" s="18"/>
    </row>
    <row r="11" spans="2:13" x14ac:dyDescent="0.35">
      <c r="B11" s="18" t="s">
        <v>0</v>
      </c>
      <c r="F11" s="18" t="s">
        <v>38</v>
      </c>
      <c r="J11" s="18" t="s">
        <v>30</v>
      </c>
      <c r="M11" s="18"/>
    </row>
    <row r="12" spans="2:13" x14ac:dyDescent="0.35">
      <c r="B12" s="18" t="s">
        <v>35</v>
      </c>
      <c r="F12" s="18" t="s">
        <v>26</v>
      </c>
      <c r="J12" s="18" t="s">
        <v>31</v>
      </c>
      <c r="K12" s="18" t="s">
        <v>39</v>
      </c>
      <c r="M12" s="18"/>
    </row>
    <row r="13" spans="2:13" x14ac:dyDescent="0.35">
      <c r="B13" s="18" t="s">
        <v>4</v>
      </c>
      <c r="J13" s="18" t="s">
        <v>32</v>
      </c>
      <c r="K13" s="18" t="s">
        <v>40</v>
      </c>
      <c r="M13" s="18"/>
    </row>
    <row r="14" spans="2:13" x14ac:dyDescent="0.35">
      <c r="B14" s="18" t="s">
        <v>5</v>
      </c>
      <c r="J14" s="18" t="s">
        <v>33</v>
      </c>
      <c r="K14" s="18" t="s">
        <v>41</v>
      </c>
      <c r="M14" s="18"/>
    </row>
    <row r="15" spans="2:13" x14ac:dyDescent="0.35">
      <c r="F15" s="191"/>
      <c r="G15" s="191"/>
      <c r="J15" s="18" t="s">
        <v>34</v>
      </c>
      <c r="K15" s="18" t="s">
        <v>42</v>
      </c>
      <c r="M15" s="18"/>
    </row>
    <row r="16" spans="2:13" x14ac:dyDescent="0.35">
      <c r="F16" s="6"/>
    </row>
    <row r="18" spans="2:20" s="33" customFormat="1" ht="15" customHeight="1" x14ac:dyDescent="0.35">
      <c r="B18" s="182" t="s">
        <v>0</v>
      </c>
      <c r="C18" s="183"/>
      <c r="D18" s="184"/>
      <c r="E18" s="182" t="s">
        <v>1</v>
      </c>
      <c r="F18" s="183"/>
      <c r="G18" s="184"/>
      <c r="H18" s="182" t="s">
        <v>2</v>
      </c>
      <c r="I18" s="184"/>
      <c r="J18" s="189" t="s">
        <v>3</v>
      </c>
      <c r="K18" s="189" t="s">
        <v>22</v>
      </c>
      <c r="L18" s="189" t="s">
        <v>23</v>
      </c>
    </row>
    <row r="19" spans="2:20" s="33" customFormat="1" ht="15" customHeight="1" x14ac:dyDescent="0.35">
      <c r="B19" s="185"/>
      <c r="C19" s="186"/>
      <c r="D19" s="187"/>
      <c r="E19" s="185"/>
      <c r="F19" s="186"/>
      <c r="G19" s="187"/>
      <c r="H19" s="185"/>
      <c r="I19" s="187"/>
      <c r="J19" s="190"/>
      <c r="K19" s="190"/>
      <c r="L19" s="190"/>
    </row>
    <row r="20" spans="2:20" x14ac:dyDescent="0.35">
      <c r="B20" s="47"/>
      <c r="C20" s="48"/>
      <c r="D20" s="49"/>
      <c r="G20" s="22"/>
      <c r="H20" s="1"/>
      <c r="I20" s="1"/>
      <c r="J20" s="43"/>
      <c r="K20" s="30"/>
      <c r="L20" s="44"/>
    </row>
    <row r="21" spans="2:20" x14ac:dyDescent="0.35">
      <c r="B21" s="54" t="s">
        <v>43</v>
      </c>
      <c r="C21" s="55"/>
      <c r="D21" s="56"/>
      <c r="E21" s="57" t="s">
        <v>10</v>
      </c>
      <c r="F21" s="57"/>
      <c r="G21" s="58"/>
      <c r="H21" s="59"/>
      <c r="I21" s="60"/>
      <c r="J21" s="29"/>
      <c r="K21" s="29"/>
      <c r="L21" s="52"/>
      <c r="M21" s="18"/>
      <c r="N21" s="188" t="s">
        <v>15</v>
      </c>
      <c r="O21" s="188"/>
    </row>
    <row r="22" spans="2:20" x14ac:dyDescent="0.35">
      <c r="B22" s="61"/>
      <c r="C22" s="62"/>
      <c r="D22" s="63" t="s">
        <v>44</v>
      </c>
      <c r="E22" s="64"/>
      <c r="F22" s="64" t="s">
        <v>45</v>
      </c>
      <c r="G22" s="65"/>
      <c r="H22" s="64">
        <v>1</v>
      </c>
      <c r="I22" s="65" t="s">
        <v>46</v>
      </c>
      <c r="J22" s="50">
        <v>12000000</v>
      </c>
      <c r="K22" s="29">
        <f t="shared" ref="K22:K27" si="0">J22*H22</f>
        <v>12000000</v>
      </c>
      <c r="L22" s="52"/>
      <c r="N22" s="23" t="s">
        <v>11</v>
      </c>
      <c r="O22" s="23">
        <v>26.98</v>
      </c>
      <c r="P22">
        <f>O22*O23</f>
        <v>242.82</v>
      </c>
      <c r="Q22">
        <f>O22*O23</f>
        <v>242.82</v>
      </c>
    </row>
    <row r="23" spans="2:20" x14ac:dyDescent="0.35">
      <c r="B23" s="61"/>
      <c r="C23" s="62"/>
      <c r="D23" s="66" t="s">
        <v>47</v>
      </c>
      <c r="E23" s="64"/>
      <c r="F23" s="64" t="s">
        <v>48</v>
      </c>
      <c r="G23" s="65"/>
      <c r="H23" s="64">
        <v>1</v>
      </c>
      <c r="I23" s="65" t="s">
        <v>46</v>
      </c>
      <c r="J23" s="50">
        <v>4500000</v>
      </c>
      <c r="K23" s="29">
        <f t="shared" si="0"/>
        <v>4500000</v>
      </c>
      <c r="L23" s="52"/>
      <c r="N23" s="23" t="s">
        <v>21</v>
      </c>
      <c r="O23" s="23">
        <v>9</v>
      </c>
      <c r="R23" t="e">
        <f>Q22-#REF!</f>
        <v>#REF!</v>
      </c>
      <c r="S23" t="e">
        <f>R23*20%</f>
        <v>#REF!</v>
      </c>
      <c r="T23" t="e">
        <f>R23+S23</f>
        <v>#REF!</v>
      </c>
    </row>
    <row r="24" spans="2:20" x14ac:dyDescent="0.35">
      <c r="B24" s="61"/>
      <c r="C24" s="62"/>
      <c r="D24" s="66" t="s">
        <v>49</v>
      </c>
      <c r="E24" s="64"/>
      <c r="F24" s="64" t="s">
        <v>50</v>
      </c>
      <c r="G24" s="65"/>
      <c r="H24" s="64">
        <v>14</v>
      </c>
      <c r="I24" s="67" t="s">
        <v>51</v>
      </c>
      <c r="J24" s="50">
        <v>850000</v>
      </c>
      <c r="K24" s="29">
        <f t="shared" si="0"/>
        <v>11900000</v>
      </c>
      <c r="L24" s="52"/>
      <c r="N24" s="23" t="s">
        <v>12</v>
      </c>
      <c r="O24" s="23" t="e">
        <f>#REF!-#REF!</f>
        <v>#REF!</v>
      </c>
      <c r="P24">
        <f>140*50%</f>
        <v>70</v>
      </c>
    </row>
    <row r="25" spans="2:20" x14ac:dyDescent="0.35">
      <c r="B25" s="68"/>
      <c r="C25" s="69"/>
      <c r="D25" s="70" t="s">
        <v>52</v>
      </c>
      <c r="E25" s="71"/>
      <c r="F25" s="64" t="s">
        <v>53</v>
      </c>
      <c r="G25" s="65"/>
      <c r="H25" s="64">
        <v>1</v>
      </c>
      <c r="I25" s="65" t="s">
        <v>46</v>
      </c>
      <c r="J25" s="169">
        <v>6600000</v>
      </c>
      <c r="K25" s="29">
        <f t="shared" si="0"/>
        <v>6600000</v>
      </c>
      <c r="L25" s="52"/>
      <c r="M25" s="18"/>
      <c r="N25" s="23" t="s">
        <v>13</v>
      </c>
      <c r="O25" s="23">
        <f>(O22+O23)*2</f>
        <v>71.960000000000008</v>
      </c>
      <c r="Q25">
        <f>O22-(1.83*4)</f>
        <v>19.66</v>
      </c>
      <c r="R25" t="s">
        <v>19</v>
      </c>
    </row>
    <row r="26" spans="2:20" x14ac:dyDescent="0.35">
      <c r="B26" s="68"/>
      <c r="C26" s="69"/>
      <c r="D26" s="70" t="s">
        <v>54</v>
      </c>
      <c r="E26" s="71"/>
      <c r="F26" s="64" t="s">
        <v>55</v>
      </c>
      <c r="G26" s="65"/>
      <c r="H26" s="64">
        <v>3</v>
      </c>
      <c r="I26" s="65" t="s">
        <v>51</v>
      </c>
      <c r="J26" s="169">
        <v>500000</v>
      </c>
      <c r="K26" s="29">
        <f t="shared" si="0"/>
        <v>1500000</v>
      </c>
      <c r="L26" s="52"/>
      <c r="M26" s="18"/>
      <c r="N26" s="23" t="s">
        <v>14</v>
      </c>
      <c r="O26" s="23">
        <f>(O22-5)*O23</f>
        <v>197.82</v>
      </c>
      <c r="Q26">
        <f>O23-2</f>
        <v>7</v>
      </c>
      <c r="R26" t="s">
        <v>20</v>
      </c>
    </row>
    <row r="27" spans="2:20" x14ac:dyDescent="0.35">
      <c r="B27" s="72"/>
      <c r="C27" s="73"/>
      <c r="D27" s="70" t="s">
        <v>56</v>
      </c>
      <c r="E27" s="71"/>
      <c r="F27" s="64" t="s">
        <v>57</v>
      </c>
      <c r="G27" s="65"/>
      <c r="H27" s="64">
        <v>1</v>
      </c>
      <c r="I27" s="65" t="s">
        <v>46</v>
      </c>
      <c r="J27" s="169">
        <v>13750000</v>
      </c>
      <c r="K27" s="29">
        <f t="shared" si="0"/>
        <v>13750000</v>
      </c>
      <c r="L27" s="52"/>
      <c r="M27" s="18"/>
      <c r="N27" s="23"/>
      <c r="O27" s="23" t="e">
        <f>#REF!*40%</f>
        <v>#REF!</v>
      </c>
      <c r="P27" t="e">
        <f>#REF!+#REF!</f>
        <v>#REF!</v>
      </c>
      <c r="Q27" t="e">
        <f>#REF!*25%</f>
        <v>#REF!</v>
      </c>
    </row>
    <row r="28" spans="2:20" x14ac:dyDescent="0.35">
      <c r="B28" s="61" t="s">
        <v>58</v>
      </c>
      <c r="C28" s="74"/>
      <c r="D28" s="75"/>
      <c r="E28" s="76" t="s">
        <v>59</v>
      </c>
      <c r="F28" s="77"/>
      <c r="G28" s="78"/>
      <c r="H28" s="79"/>
      <c r="I28" s="80"/>
      <c r="J28" s="50"/>
      <c r="K28" s="29"/>
      <c r="L28" s="52"/>
      <c r="M28" s="18"/>
      <c r="N28" s="23"/>
      <c r="O28" s="23" t="e">
        <f>#REF!+O27</f>
        <v>#REF!</v>
      </c>
    </row>
    <row r="29" spans="2:20" x14ac:dyDescent="0.35">
      <c r="B29" s="68"/>
      <c r="C29" s="69"/>
      <c r="D29" s="70" t="s">
        <v>44</v>
      </c>
      <c r="E29" s="81"/>
      <c r="F29" s="78" t="s">
        <v>60</v>
      </c>
      <c r="G29" s="78"/>
      <c r="H29" s="82">
        <v>6</v>
      </c>
      <c r="I29" s="65" t="s">
        <v>61</v>
      </c>
      <c r="J29" s="169">
        <v>275000</v>
      </c>
      <c r="K29" s="29">
        <f>J29*H29</f>
        <v>1650000</v>
      </c>
      <c r="L29" s="52"/>
      <c r="M29" s="18"/>
      <c r="N29" s="23"/>
      <c r="O29" s="23"/>
    </row>
    <row r="30" spans="2:20" x14ac:dyDescent="0.35">
      <c r="B30" s="68"/>
      <c r="C30" s="69"/>
      <c r="D30" s="70" t="s">
        <v>47</v>
      </c>
      <c r="E30" s="81"/>
      <c r="F30" s="78" t="s">
        <v>62</v>
      </c>
      <c r="G30" s="78"/>
      <c r="H30" s="82">
        <v>4</v>
      </c>
      <c r="I30" s="65" t="s">
        <v>61</v>
      </c>
      <c r="J30" s="169">
        <v>7250000</v>
      </c>
      <c r="K30" s="29">
        <f>J30*H30</f>
        <v>29000000</v>
      </c>
      <c r="L30" s="52"/>
      <c r="M30" s="18"/>
      <c r="N30" s="23"/>
      <c r="O30" s="23"/>
    </row>
    <row r="31" spans="2:20" x14ac:dyDescent="0.35">
      <c r="B31" s="83"/>
      <c r="C31" s="84"/>
      <c r="D31" s="85"/>
      <c r="E31" s="86"/>
      <c r="F31" s="59"/>
      <c r="G31" s="60"/>
      <c r="H31" s="87"/>
      <c r="I31" s="88"/>
      <c r="J31" s="50"/>
      <c r="K31" s="29"/>
      <c r="L31" s="52"/>
      <c r="M31" s="18"/>
      <c r="N31" s="23"/>
      <c r="O31" s="23"/>
    </row>
    <row r="32" spans="2:20" x14ac:dyDescent="0.35">
      <c r="B32" s="89"/>
      <c r="C32" s="90"/>
      <c r="D32" s="91"/>
      <c r="E32" s="92"/>
      <c r="F32" s="93" t="s">
        <v>63</v>
      </c>
      <c r="G32" s="93"/>
      <c r="H32" s="94"/>
      <c r="I32" s="95"/>
      <c r="J32" s="50"/>
      <c r="K32" s="29"/>
      <c r="L32" s="52"/>
      <c r="M32" s="18"/>
      <c r="N32" s="23">
        <v>1</v>
      </c>
      <c r="O32" s="23" t="s">
        <v>10</v>
      </c>
    </row>
    <row r="33" spans="2:15" x14ac:dyDescent="0.35">
      <c r="B33" s="68" t="s">
        <v>43</v>
      </c>
      <c r="C33" s="69"/>
      <c r="D33" s="96"/>
      <c r="E33" s="81" t="s">
        <v>64</v>
      </c>
      <c r="F33" s="78"/>
      <c r="G33" s="78"/>
      <c r="H33" s="97"/>
      <c r="I33" s="98"/>
      <c r="J33" s="50"/>
      <c r="K33" s="29"/>
      <c r="L33" s="52"/>
      <c r="M33" s="18"/>
      <c r="N33" s="23"/>
      <c r="O33" s="23"/>
    </row>
    <row r="34" spans="2:15" x14ac:dyDescent="0.35">
      <c r="B34" s="68"/>
      <c r="C34" s="69" t="s">
        <v>65</v>
      </c>
      <c r="D34" s="96"/>
      <c r="E34" s="81"/>
      <c r="F34" s="78" t="s">
        <v>66</v>
      </c>
      <c r="G34" s="78"/>
      <c r="H34" s="97"/>
      <c r="I34" s="98"/>
      <c r="J34" s="50"/>
      <c r="K34" s="29"/>
      <c r="L34" s="52"/>
      <c r="M34" s="18"/>
      <c r="N34" s="23"/>
      <c r="O34" s="23"/>
    </row>
    <row r="35" spans="2:15" x14ac:dyDescent="0.35">
      <c r="B35" s="68"/>
      <c r="C35" s="69"/>
      <c r="D35" s="96" t="s">
        <v>44</v>
      </c>
      <c r="E35" s="81"/>
      <c r="F35" s="78" t="s">
        <v>67</v>
      </c>
      <c r="G35" s="78"/>
      <c r="H35" s="97"/>
      <c r="I35" s="98"/>
      <c r="J35" s="50"/>
      <c r="K35" s="29"/>
      <c r="L35" s="52"/>
      <c r="M35" s="18"/>
      <c r="N35" s="23"/>
      <c r="O35" s="23"/>
    </row>
    <row r="36" spans="2:15" x14ac:dyDescent="0.35">
      <c r="B36" s="68"/>
      <c r="C36" s="69"/>
      <c r="D36" s="96"/>
      <c r="E36" s="81"/>
      <c r="F36" s="78" t="s">
        <v>68</v>
      </c>
      <c r="G36" s="78" t="s">
        <v>69</v>
      </c>
      <c r="H36" s="99">
        <v>349.97183999999999</v>
      </c>
      <c r="I36" s="98" t="s">
        <v>70</v>
      </c>
      <c r="J36" s="50">
        <v>34000</v>
      </c>
      <c r="K36" s="29"/>
      <c r="L36" s="52">
        <f>J36*H36</f>
        <v>11899042.559999999</v>
      </c>
      <c r="M36" s="18"/>
      <c r="N36" s="23">
        <v>2</v>
      </c>
      <c r="O36" s="23" t="s">
        <v>16</v>
      </c>
    </row>
    <row r="37" spans="2:15" x14ac:dyDescent="0.35">
      <c r="B37" s="68"/>
      <c r="C37" s="69"/>
      <c r="D37" s="96" t="s">
        <v>47</v>
      </c>
      <c r="E37" s="81"/>
      <c r="F37" s="78" t="s">
        <v>71</v>
      </c>
      <c r="G37" s="78"/>
      <c r="H37" s="99"/>
      <c r="I37" s="98"/>
      <c r="J37" s="50"/>
      <c r="K37" s="29"/>
      <c r="L37" s="52"/>
      <c r="M37" s="18"/>
      <c r="N37" s="23">
        <v>4</v>
      </c>
      <c r="O37" s="23" t="s">
        <v>17</v>
      </c>
    </row>
    <row r="38" spans="2:15" x14ac:dyDescent="0.35">
      <c r="B38" s="68"/>
      <c r="C38" s="69"/>
      <c r="D38" s="96"/>
      <c r="E38" s="81"/>
      <c r="F38" s="78" t="s">
        <v>68</v>
      </c>
      <c r="G38" s="78" t="s">
        <v>72</v>
      </c>
      <c r="H38" s="99">
        <v>1067.4141119999997</v>
      </c>
      <c r="I38" s="98" t="s">
        <v>70</v>
      </c>
      <c r="J38" s="50">
        <v>34000</v>
      </c>
      <c r="K38" s="29"/>
      <c r="L38" s="52">
        <f>J38*H38</f>
        <v>36292079.807999991</v>
      </c>
      <c r="M38" s="18"/>
      <c r="N38" s="23"/>
      <c r="O38" s="23"/>
    </row>
    <row r="39" spans="2:15" x14ac:dyDescent="0.35">
      <c r="B39" s="100"/>
      <c r="C39" s="69"/>
      <c r="D39" s="75" t="s">
        <v>49</v>
      </c>
      <c r="E39" s="81"/>
      <c r="F39" s="78" t="s">
        <v>73</v>
      </c>
      <c r="G39" s="78"/>
      <c r="H39" s="99"/>
      <c r="I39" s="98"/>
      <c r="J39" s="50"/>
      <c r="K39" s="29"/>
      <c r="L39" s="52"/>
      <c r="M39" s="18"/>
      <c r="N39" s="23"/>
      <c r="O39" s="23"/>
    </row>
    <row r="40" spans="2:15" x14ac:dyDescent="0.35">
      <c r="B40" s="100"/>
      <c r="C40" s="69"/>
      <c r="D40" s="96"/>
      <c r="E40" s="81"/>
      <c r="F40" s="101" t="s">
        <v>68</v>
      </c>
      <c r="G40" s="78" t="s">
        <v>74</v>
      </c>
      <c r="H40" s="99">
        <v>1055.0023199999998</v>
      </c>
      <c r="I40" s="98" t="s">
        <v>70</v>
      </c>
      <c r="J40" s="50">
        <v>34000</v>
      </c>
      <c r="K40" s="29"/>
      <c r="L40" s="52">
        <f>J40*H40</f>
        <v>35870078.879999995</v>
      </c>
      <c r="M40" s="18"/>
      <c r="N40" s="23">
        <v>14</v>
      </c>
      <c r="O40" s="23" t="s">
        <v>18</v>
      </c>
    </row>
    <row r="41" spans="2:15" x14ac:dyDescent="0.35">
      <c r="B41" s="100"/>
      <c r="C41" s="69" t="s">
        <v>75</v>
      </c>
      <c r="D41" s="96" t="s">
        <v>44</v>
      </c>
      <c r="E41" s="81"/>
      <c r="F41" s="101" t="s">
        <v>76</v>
      </c>
      <c r="G41" s="78"/>
      <c r="H41" s="99"/>
      <c r="I41" s="102"/>
      <c r="J41" s="50"/>
      <c r="K41" s="29"/>
      <c r="L41" s="52"/>
      <c r="M41" s="18"/>
      <c r="N41" s="23">
        <v>15</v>
      </c>
      <c r="O41" s="23" t="s">
        <v>27</v>
      </c>
    </row>
    <row r="42" spans="2:15" x14ac:dyDescent="0.35">
      <c r="B42" s="100"/>
      <c r="C42" s="69"/>
      <c r="D42" s="96"/>
      <c r="E42" s="81"/>
      <c r="F42" s="101" t="s">
        <v>68</v>
      </c>
      <c r="G42" s="78" t="s">
        <v>77</v>
      </c>
      <c r="H42" s="99">
        <v>166.73399999999998</v>
      </c>
      <c r="I42" s="98" t="s">
        <v>70</v>
      </c>
      <c r="J42" s="50">
        <v>34000</v>
      </c>
      <c r="K42" s="29"/>
      <c r="L42" s="52">
        <f>J42*H42</f>
        <v>5668955.9999999991</v>
      </c>
      <c r="M42" s="18"/>
      <c r="N42" s="23"/>
      <c r="O42" s="23"/>
    </row>
    <row r="43" spans="2:15" x14ac:dyDescent="0.35">
      <c r="B43" s="100"/>
      <c r="C43" s="69"/>
      <c r="D43" s="96"/>
      <c r="E43" s="81"/>
      <c r="F43" s="101" t="s">
        <v>68</v>
      </c>
      <c r="G43" s="78" t="s">
        <v>78</v>
      </c>
      <c r="H43" s="99">
        <v>134.70599999999999</v>
      </c>
      <c r="I43" s="98" t="s">
        <v>70</v>
      </c>
      <c r="J43" s="50">
        <v>34000</v>
      </c>
      <c r="K43" s="29"/>
      <c r="L43" s="52">
        <f t="shared" ref="L43:L70" si="1">J43*H43</f>
        <v>4580004</v>
      </c>
      <c r="M43" s="18"/>
      <c r="N43" s="23"/>
      <c r="O43" s="23"/>
    </row>
    <row r="44" spans="2:15" x14ac:dyDescent="0.35">
      <c r="B44" s="100"/>
      <c r="C44" s="69"/>
      <c r="D44" s="96"/>
      <c r="E44" s="81"/>
      <c r="F44" s="101" t="s">
        <v>68</v>
      </c>
      <c r="G44" s="78" t="s">
        <v>79</v>
      </c>
      <c r="H44" s="99">
        <v>94.388400000000004</v>
      </c>
      <c r="I44" s="98" t="s">
        <v>70</v>
      </c>
      <c r="J44" s="50">
        <v>34000</v>
      </c>
      <c r="K44" s="29"/>
      <c r="L44" s="52">
        <f t="shared" si="1"/>
        <v>3209205.6</v>
      </c>
      <c r="M44" s="18"/>
      <c r="N44" s="23"/>
      <c r="O44" s="23"/>
    </row>
    <row r="45" spans="2:15" x14ac:dyDescent="0.35">
      <c r="B45" s="100"/>
      <c r="C45" s="69"/>
      <c r="D45" s="96"/>
      <c r="E45" s="81"/>
      <c r="F45" s="101" t="s">
        <v>68</v>
      </c>
      <c r="G45" s="78" t="s">
        <v>80</v>
      </c>
      <c r="H45" s="99">
        <v>2.4115199999999999</v>
      </c>
      <c r="I45" s="102" t="s">
        <v>70</v>
      </c>
      <c r="J45" s="50">
        <v>34000</v>
      </c>
      <c r="K45" s="29"/>
      <c r="L45" s="52">
        <f t="shared" si="1"/>
        <v>81991.679999999993</v>
      </c>
      <c r="M45" s="18"/>
      <c r="N45" s="23"/>
      <c r="O45" s="23"/>
    </row>
    <row r="46" spans="2:15" x14ac:dyDescent="0.35">
      <c r="B46" s="100"/>
      <c r="C46" s="69"/>
      <c r="D46" s="96"/>
      <c r="E46" s="81"/>
      <c r="F46" s="101" t="s">
        <v>68</v>
      </c>
      <c r="G46" s="78" t="s">
        <v>81</v>
      </c>
      <c r="H46" s="99">
        <v>95.801400000000001</v>
      </c>
      <c r="I46" s="102" t="s">
        <v>70</v>
      </c>
      <c r="J46" s="50">
        <v>34000</v>
      </c>
      <c r="K46" s="29"/>
      <c r="L46" s="52">
        <f t="shared" si="1"/>
        <v>3257247.6</v>
      </c>
      <c r="M46" s="18"/>
      <c r="N46" s="23"/>
      <c r="O46" s="23"/>
    </row>
    <row r="47" spans="2:15" x14ac:dyDescent="0.35">
      <c r="B47" s="100"/>
      <c r="C47" s="69"/>
      <c r="D47" s="96"/>
      <c r="E47" s="81"/>
      <c r="F47" s="101" t="s">
        <v>68</v>
      </c>
      <c r="G47" s="78" t="s">
        <v>82</v>
      </c>
      <c r="H47" s="99">
        <v>2.2607999999999997</v>
      </c>
      <c r="I47" s="102" t="s">
        <v>70</v>
      </c>
      <c r="J47" s="50">
        <v>34000</v>
      </c>
      <c r="K47" s="29"/>
      <c r="L47" s="52">
        <f t="shared" si="1"/>
        <v>76867.199999999983</v>
      </c>
      <c r="M47" s="18"/>
      <c r="N47" s="23"/>
      <c r="O47" s="23"/>
    </row>
    <row r="48" spans="2:15" x14ac:dyDescent="0.35">
      <c r="B48" s="100"/>
      <c r="C48" s="69"/>
      <c r="D48" s="96"/>
      <c r="E48" s="81"/>
      <c r="F48" s="101" t="s">
        <v>68</v>
      </c>
      <c r="G48" s="78" t="s">
        <v>83</v>
      </c>
      <c r="H48" s="99">
        <v>97.497</v>
      </c>
      <c r="I48" s="102" t="s">
        <v>70</v>
      </c>
      <c r="J48" s="50">
        <v>34000</v>
      </c>
      <c r="K48" s="29"/>
      <c r="L48" s="52">
        <f t="shared" si="1"/>
        <v>3314898</v>
      </c>
      <c r="M48" s="18"/>
      <c r="N48" s="23"/>
      <c r="O48" s="23"/>
    </row>
    <row r="49" spans="2:15" x14ac:dyDescent="0.35">
      <c r="B49" s="100"/>
      <c r="C49" s="69"/>
      <c r="D49" s="96"/>
      <c r="E49" s="81"/>
      <c r="F49" s="101" t="s">
        <v>68</v>
      </c>
      <c r="G49" s="78" t="s">
        <v>84</v>
      </c>
      <c r="H49" s="99">
        <v>92.975400000000008</v>
      </c>
      <c r="I49" s="102" t="s">
        <v>70</v>
      </c>
      <c r="J49" s="50">
        <v>34000</v>
      </c>
      <c r="K49" s="29"/>
      <c r="L49" s="52">
        <f t="shared" si="1"/>
        <v>3161163.6</v>
      </c>
      <c r="M49" s="18"/>
      <c r="N49" s="23"/>
      <c r="O49" s="23"/>
    </row>
    <row r="50" spans="2:15" x14ac:dyDescent="0.35">
      <c r="B50" s="68"/>
      <c r="C50" s="69"/>
      <c r="D50" s="96"/>
      <c r="E50" s="81"/>
      <c r="F50" s="101" t="s">
        <v>68</v>
      </c>
      <c r="G50" s="78" t="s">
        <v>85</v>
      </c>
      <c r="H50" s="99">
        <v>36.738</v>
      </c>
      <c r="I50" s="102" t="s">
        <v>70</v>
      </c>
      <c r="J50" s="50">
        <v>34000</v>
      </c>
      <c r="K50" s="29"/>
      <c r="L50" s="52">
        <f t="shared" si="1"/>
        <v>1249092</v>
      </c>
      <c r="M50" s="18"/>
      <c r="N50" s="23"/>
      <c r="O50" s="23"/>
    </row>
    <row r="51" spans="2:15" x14ac:dyDescent="0.35">
      <c r="B51" s="100"/>
      <c r="C51" s="69"/>
      <c r="D51" s="96"/>
      <c r="E51" s="81"/>
      <c r="F51" s="101" t="s">
        <v>68</v>
      </c>
      <c r="G51" s="78" t="s">
        <v>86</v>
      </c>
      <c r="H51" s="99">
        <v>43.520400000000002</v>
      </c>
      <c r="I51" s="102" t="s">
        <v>70</v>
      </c>
      <c r="J51" s="50">
        <v>34000</v>
      </c>
      <c r="K51" s="29"/>
      <c r="L51" s="52">
        <f t="shared" si="1"/>
        <v>1479693.6</v>
      </c>
      <c r="M51" s="18"/>
      <c r="N51" s="23"/>
      <c r="O51" s="23"/>
    </row>
    <row r="52" spans="2:15" x14ac:dyDescent="0.35">
      <c r="B52" s="100"/>
      <c r="C52" s="69"/>
      <c r="D52" s="96"/>
      <c r="E52" s="81"/>
      <c r="F52" s="101" t="s">
        <v>68</v>
      </c>
      <c r="G52" s="78" t="s">
        <v>87</v>
      </c>
      <c r="H52" s="99">
        <v>15.260400000000001</v>
      </c>
      <c r="I52" s="102" t="s">
        <v>70</v>
      </c>
      <c r="J52" s="50">
        <v>34000</v>
      </c>
      <c r="K52" s="29"/>
      <c r="L52" s="52">
        <f t="shared" si="1"/>
        <v>518853.60000000003</v>
      </c>
      <c r="M52" s="18"/>
      <c r="N52" s="23"/>
      <c r="O52" s="23"/>
    </row>
    <row r="53" spans="2:15" x14ac:dyDescent="0.35">
      <c r="B53" s="100"/>
      <c r="C53" s="69"/>
      <c r="D53" s="75"/>
      <c r="E53" s="103"/>
      <c r="F53" s="77" t="s">
        <v>68</v>
      </c>
      <c r="G53" s="78" t="s">
        <v>88</v>
      </c>
      <c r="H53" s="79">
        <v>36.926399999999994</v>
      </c>
      <c r="I53" s="80" t="s">
        <v>70</v>
      </c>
      <c r="J53" s="50">
        <v>34000</v>
      </c>
      <c r="K53" s="29"/>
      <c r="L53" s="52">
        <f t="shared" si="1"/>
        <v>1255497.5999999999</v>
      </c>
      <c r="M53" s="18"/>
      <c r="N53" s="23"/>
      <c r="O53" s="23"/>
    </row>
    <row r="54" spans="2:15" x14ac:dyDescent="0.35">
      <c r="B54" s="100"/>
      <c r="C54" s="96"/>
      <c r="D54" s="104"/>
      <c r="E54" s="105"/>
      <c r="F54" s="106" t="s">
        <v>68</v>
      </c>
      <c r="G54" s="78" t="s">
        <v>89</v>
      </c>
      <c r="H54" s="79">
        <v>34.020000000000003</v>
      </c>
      <c r="I54" s="80" t="s">
        <v>70</v>
      </c>
      <c r="J54" s="50">
        <v>34000</v>
      </c>
      <c r="K54" s="29"/>
      <c r="L54" s="52">
        <f t="shared" si="1"/>
        <v>1156680</v>
      </c>
      <c r="M54" s="18"/>
      <c r="N54" s="23"/>
      <c r="O54" s="23"/>
    </row>
    <row r="55" spans="2:15" x14ac:dyDescent="0.35">
      <c r="B55" s="100"/>
      <c r="C55" s="107"/>
      <c r="D55" s="108"/>
      <c r="E55" s="109"/>
      <c r="F55" s="101" t="s">
        <v>68</v>
      </c>
      <c r="G55" s="78" t="s">
        <v>90</v>
      </c>
      <c r="H55" s="99">
        <v>4.3520399999999997</v>
      </c>
      <c r="I55" s="102" t="s">
        <v>70</v>
      </c>
      <c r="J55" s="50">
        <v>34000</v>
      </c>
      <c r="K55" s="29"/>
      <c r="L55" s="52">
        <f t="shared" si="1"/>
        <v>147969.35999999999</v>
      </c>
      <c r="M55" s="18"/>
      <c r="N55" s="23"/>
      <c r="O55" s="23"/>
    </row>
    <row r="56" spans="2:15" x14ac:dyDescent="0.35">
      <c r="B56" s="100"/>
      <c r="C56" s="110"/>
      <c r="D56" s="108"/>
      <c r="E56" s="105"/>
      <c r="F56" s="111" t="s">
        <v>68</v>
      </c>
      <c r="G56" s="78" t="s">
        <v>91</v>
      </c>
      <c r="H56" s="112">
        <v>172.857</v>
      </c>
      <c r="I56" s="113" t="s">
        <v>70</v>
      </c>
      <c r="J56" s="50">
        <v>34000</v>
      </c>
      <c r="K56" s="29"/>
      <c r="L56" s="52">
        <f t="shared" si="1"/>
        <v>5877138</v>
      </c>
      <c r="M56" s="18"/>
      <c r="N56" s="23"/>
      <c r="O56" s="23"/>
    </row>
    <row r="57" spans="2:15" x14ac:dyDescent="0.35">
      <c r="B57" s="100"/>
      <c r="C57" s="69"/>
      <c r="D57" s="75"/>
      <c r="E57" s="81"/>
      <c r="F57" s="114" t="s">
        <v>68</v>
      </c>
      <c r="G57" s="78" t="s">
        <v>92</v>
      </c>
      <c r="H57" s="112">
        <v>42.389999999999993</v>
      </c>
      <c r="I57" s="113" t="s">
        <v>70</v>
      </c>
      <c r="J57" s="50">
        <v>34000</v>
      </c>
      <c r="K57" s="29"/>
      <c r="L57" s="52">
        <f t="shared" si="1"/>
        <v>1441259.9999999998</v>
      </c>
      <c r="M57" s="18"/>
      <c r="N57" s="23"/>
      <c r="O57" s="23"/>
    </row>
    <row r="58" spans="2:15" x14ac:dyDescent="0.35">
      <c r="B58" s="100"/>
      <c r="C58" s="69"/>
      <c r="D58" s="75"/>
      <c r="E58" s="115"/>
      <c r="F58" s="77" t="s">
        <v>68</v>
      </c>
      <c r="G58" s="78" t="s">
        <v>93</v>
      </c>
      <c r="H58" s="79">
        <v>40.976999999999997</v>
      </c>
      <c r="I58" s="80" t="s">
        <v>70</v>
      </c>
      <c r="J58" s="50">
        <v>34000</v>
      </c>
      <c r="K58" s="29"/>
      <c r="L58" s="52">
        <f t="shared" si="1"/>
        <v>1393218</v>
      </c>
      <c r="M58" s="18"/>
      <c r="N58" s="23"/>
      <c r="O58" s="23"/>
    </row>
    <row r="59" spans="2:15" x14ac:dyDescent="0.35">
      <c r="B59" s="68"/>
      <c r="C59" s="69"/>
      <c r="D59" s="104"/>
      <c r="E59" s="81"/>
      <c r="F59" s="101" t="s">
        <v>68</v>
      </c>
      <c r="G59" s="78" t="s">
        <v>94</v>
      </c>
      <c r="H59" s="99">
        <v>38.150999999999996</v>
      </c>
      <c r="I59" s="98" t="s">
        <v>70</v>
      </c>
      <c r="J59" s="50">
        <v>34000</v>
      </c>
      <c r="K59" s="29"/>
      <c r="L59" s="52">
        <f t="shared" si="1"/>
        <v>1297133.9999999998</v>
      </c>
      <c r="M59" s="18"/>
      <c r="N59" s="23"/>
      <c r="O59" s="23"/>
    </row>
    <row r="60" spans="2:15" x14ac:dyDescent="0.35">
      <c r="B60" s="68"/>
      <c r="C60" s="69"/>
      <c r="D60" s="104"/>
      <c r="E60" s="81"/>
      <c r="F60" s="101" t="s">
        <v>68</v>
      </c>
      <c r="G60" s="78" t="s">
        <v>95</v>
      </c>
      <c r="H60" s="99">
        <v>26.752799999999997</v>
      </c>
      <c r="I60" s="102" t="s">
        <v>70</v>
      </c>
      <c r="J60" s="50">
        <v>34000</v>
      </c>
      <c r="K60" s="29"/>
      <c r="L60" s="52">
        <f t="shared" si="1"/>
        <v>909595.2</v>
      </c>
      <c r="M60" s="18"/>
      <c r="N60" s="23"/>
      <c r="O60" s="23"/>
    </row>
    <row r="61" spans="2:15" x14ac:dyDescent="0.35">
      <c r="B61" s="68"/>
      <c r="C61" s="69"/>
      <c r="D61" s="104"/>
      <c r="E61" s="81"/>
      <c r="F61" s="101" t="s">
        <v>68</v>
      </c>
      <c r="G61" s="78" t="s">
        <v>96</v>
      </c>
      <c r="H61" s="99">
        <v>27.506399999999999</v>
      </c>
      <c r="I61" s="102" t="s">
        <v>70</v>
      </c>
      <c r="J61" s="50">
        <v>34000</v>
      </c>
      <c r="K61" s="29"/>
      <c r="L61" s="52">
        <f t="shared" si="1"/>
        <v>935217.6</v>
      </c>
      <c r="M61" s="18"/>
      <c r="N61" s="23"/>
      <c r="O61" s="23"/>
    </row>
    <row r="62" spans="2:15" x14ac:dyDescent="0.35">
      <c r="B62" s="68"/>
      <c r="C62" s="69"/>
      <c r="D62" s="104"/>
      <c r="E62" s="81"/>
      <c r="F62" s="101" t="s">
        <v>68</v>
      </c>
      <c r="G62" s="78" t="s">
        <v>97</v>
      </c>
      <c r="H62" s="99">
        <v>27.506399999999999</v>
      </c>
      <c r="I62" s="102" t="s">
        <v>70</v>
      </c>
      <c r="J62" s="50">
        <v>34000</v>
      </c>
      <c r="K62" s="29"/>
      <c r="L62" s="52">
        <f t="shared" si="1"/>
        <v>935217.6</v>
      </c>
      <c r="M62" s="18"/>
      <c r="N62" s="23"/>
      <c r="O62" s="23"/>
    </row>
    <row r="63" spans="2:15" x14ac:dyDescent="0.35">
      <c r="B63" s="68"/>
      <c r="C63" s="69"/>
      <c r="D63" s="108"/>
      <c r="E63" s="81"/>
      <c r="F63" s="114" t="s">
        <v>68</v>
      </c>
      <c r="G63" s="78" t="s">
        <v>98</v>
      </c>
      <c r="H63" s="99">
        <v>26.752799999999997</v>
      </c>
      <c r="I63" s="102" t="s">
        <v>70</v>
      </c>
      <c r="J63" s="50">
        <v>34000</v>
      </c>
      <c r="K63" s="29"/>
      <c r="L63" s="52">
        <f t="shared" si="1"/>
        <v>909595.2</v>
      </c>
      <c r="M63" s="18"/>
      <c r="N63" s="23"/>
      <c r="O63" s="23"/>
    </row>
    <row r="64" spans="2:15" x14ac:dyDescent="0.35">
      <c r="B64" s="100"/>
      <c r="C64" s="69"/>
      <c r="D64" s="75"/>
      <c r="E64" s="116"/>
      <c r="F64" s="77" t="s">
        <v>68</v>
      </c>
      <c r="G64" s="78" t="s">
        <v>99</v>
      </c>
      <c r="H64" s="79">
        <v>6.857759999999999</v>
      </c>
      <c r="I64" s="80" t="s">
        <v>70</v>
      </c>
      <c r="J64" s="50">
        <v>34000</v>
      </c>
      <c r="K64" s="29"/>
      <c r="L64" s="52">
        <f t="shared" si="1"/>
        <v>233163.83999999997</v>
      </c>
      <c r="M64" s="18"/>
      <c r="N64" s="23"/>
      <c r="O64" s="23"/>
    </row>
    <row r="65" spans="2:23" x14ac:dyDescent="0.35">
      <c r="B65" s="68"/>
      <c r="C65" s="69" t="s">
        <v>100</v>
      </c>
      <c r="D65" s="108" t="s">
        <v>44</v>
      </c>
      <c r="E65" s="81"/>
      <c r="F65" s="117" t="s">
        <v>101</v>
      </c>
      <c r="G65" s="78"/>
      <c r="H65" s="112"/>
      <c r="I65" s="113"/>
      <c r="J65" s="50"/>
      <c r="K65" s="29"/>
      <c r="L65" s="52"/>
      <c r="M65" s="18"/>
      <c r="N65" s="23"/>
      <c r="O65" s="23"/>
    </row>
    <row r="66" spans="2:23" x14ac:dyDescent="0.35">
      <c r="B66" s="68"/>
      <c r="C66" s="69"/>
      <c r="D66" s="75"/>
      <c r="E66" s="105"/>
      <c r="F66" s="78" t="s">
        <v>68</v>
      </c>
      <c r="G66" s="78" t="s">
        <v>102</v>
      </c>
      <c r="H66" s="79">
        <v>193.58099999999999</v>
      </c>
      <c r="I66" s="80" t="s">
        <v>70</v>
      </c>
      <c r="J66" s="50">
        <v>34000</v>
      </c>
      <c r="K66" s="29"/>
      <c r="L66" s="52">
        <f t="shared" si="1"/>
        <v>6581754</v>
      </c>
      <c r="M66" s="18"/>
      <c r="N66" s="23"/>
      <c r="O66" s="23"/>
    </row>
    <row r="67" spans="2:23" x14ac:dyDescent="0.35">
      <c r="B67" s="100"/>
      <c r="C67" s="69"/>
      <c r="D67" s="118"/>
      <c r="E67" s="81"/>
      <c r="F67" s="78" t="s">
        <v>68</v>
      </c>
      <c r="G67" s="78" t="s">
        <v>103</v>
      </c>
      <c r="H67" s="119">
        <v>147.42299999999997</v>
      </c>
      <c r="I67" s="80" t="s">
        <v>70</v>
      </c>
      <c r="J67" s="50">
        <v>34000</v>
      </c>
      <c r="K67" s="29"/>
      <c r="L67" s="52">
        <f t="shared" si="1"/>
        <v>5012381.9999999991</v>
      </c>
      <c r="M67" s="18"/>
      <c r="N67" s="23"/>
      <c r="O67" s="23"/>
    </row>
    <row r="68" spans="2:23" x14ac:dyDescent="0.35">
      <c r="B68" s="68"/>
      <c r="C68" s="110"/>
      <c r="D68" s="118"/>
      <c r="E68" s="81"/>
      <c r="F68" s="78" t="s">
        <v>68</v>
      </c>
      <c r="G68" s="78" t="s">
        <v>104</v>
      </c>
      <c r="H68" s="119">
        <v>90.714600000000004</v>
      </c>
      <c r="I68" s="80" t="s">
        <v>70</v>
      </c>
      <c r="J68" s="50">
        <v>34000</v>
      </c>
      <c r="K68" s="29"/>
      <c r="L68" s="52">
        <f t="shared" si="1"/>
        <v>3084296.4000000004</v>
      </c>
      <c r="M68" s="18"/>
      <c r="N68" s="23"/>
      <c r="O68" s="23"/>
    </row>
    <row r="69" spans="2:23" x14ac:dyDescent="0.35">
      <c r="B69" s="68"/>
      <c r="C69" s="110"/>
      <c r="D69" s="118"/>
      <c r="E69" s="81"/>
      <c r="F69" s="78" t="s">
        <v>68</v>
      </c>
      <c r="G69" s="78" t="s">
        <v>105</v>
      </c>
      <c r="H69" s="119">
        <v>99.475200000000001</v>
      </c>
      <c r="I69" s="80" t="s">
        <v>70</v>
      </c>
      <c r="J69" s="50">
        <v>34000</v>
      </c>
      <c r="K69" s="29"/>
      <c r="L69" s="52">
        <f t="shared" si="1"/>
        <v>3382156.8</v>
      </c>
      <c r="M69" s="18"/>
      <c r="N69" s="23"/>
      <c r="O69" s="23"/>
    </row>
    <row r="70" spans="2:23" x14ac:dyDescent="0.35">
      <c r="B70" s="68"/>
      <c r="C70" s="69"/>
      <c r="D70" s="118"/>
      <c r="E70" s="120"/>
      <c r="F70" s="78" t="s">
        <v>68</v>
      </c>
      <c r="G70" s="78" t="s">
        <v>106</v>
      </c>
      <c r="H70" s="79">
        <v>99.475200000000001</v>
      </c>
      <c r="I70" s="113" t="s">
        <v>70</v>
      </c>
      <c r="J70" s="50">
        <v>34000</v>
      </c>
      <c r="K70" s="29"/>
      <c r="L70" s="52">
        <f t="shared" si="1"/>
        <v>3382156.8</v>
      </c>
      <c r="M70" s="18"/>
      <c r="N70" s="23"/>
      <c r="O70" s="23"/>
    </row>
    <row r="71" spans="2:23" x14ac:dyDescent="0.35">
      <c r="B71" s="47"/>
      <c r="C71" s="48"/>
      <c r="D71" s="24"/>
      <c r="G71" s="22"/>
      <c r="I71" s="22"/>
      <c r="J71" s="50"/>
      <c r="K71" s="29"/>
      <c r="L71" s="52"/>
      <c r="M71" s="18"/>
      <c r="N71" s="23"/>
      <c r="O71" s="23"/>
    </row>
    <row r="72" spans="2:23" x14ac:dyDescent="0.35">
      <c r="B72" s="8"/>
      <c r="C72" s="9"/>
      <c r="D72" s="10"/>
      <c r="E72" s="4"/>
      <c r="F72" s="4"/>
      <c r="G72" s="4"/>
      <c r="H72" s="1"/>
      <c r="I72" s="1"/>
      <c r="J72" s="11" t="s">
        <v>8</v>
      </c>
      <c r="K72" s="7">
        <f>SUM(K20:K71)</f>
        <v>80900000</v>
      </c>
      <c r="L72" s="7">
        <f>SUM(L20:L71)</f>
        <v>148593606.52799997</v>
      </c>
      <c r="M72" s="14">
        <f>K72+L72</f>
        <v>229493606.52799997</v>
      </c>
      <c r="N72" s="15"/>
      <c r="O72" s="34"/>
      <c r="P72" s="34"/>
      <c r="Q72" s="34"/>
      <c r="R72" s="34"/>
      <c r="S72">
        <v>102.15</v>
      </c>
      <c r="T72" s="34" t="s">
        <v>19</v>
      </c>
      <c r="U72" s="34"/>
      <c r="V72" s="34"/>
      <c r="W72" s="16"/>
    </row>
    <row r="73" spans="2:23" x14ac:dyDescent="0.35">
      <c r="B73" s="8"/>
      <c r="C73" s="9"/>
      <c r="D73" s="9"/>
      <c r="E73" s="4"/>
      <c r="F73" s="4"/>
      <c r="G73" s="4"/>
      <c r="H73" s="1"/>
      <c r="I73" s="1"/>
      <c r="J73" s="11"/>
      <c r="K73" s="35" t="s">
        <v>22</v>
      </c>
      <c r="L73" s="36" t="s">
        <v>23</v>
      </c>
      <c r="M73" s="14"/>
      <c r="N73" s="15"/>
      <c r="O73" s="34"/>
      <c r="P73" s="34"/>
      <c r="Q73" s="34"/>
      <c r="R73" s="34"/>
      <c r="T73" s="34"/>
      <c r="U73" s="34"/>
      <c r="V73" s="34"/>
      <c r="W73" s="16"/>
    </row>
    <row r="74" spans="2:23" x14ac:dyDescent="0.35">
      <c r="B74" s="3" t="s">
        <v>9</v>
      </c>
      <c r="C74" s="4"/>
      <c r="D74" s="4"/>
      <c r="E74" s="4"/>
      <c r="F74" s="4"/>
      <c r="G74" s="4"/>
      <c r="H74" s="1"/>
      <c r="I74" s="1"/>
      <c r="J74" s="12"/>
      <c r="K74" s="12"/>
      <c r="L74" s="13"/>
      <c r="N74" s="15"/>
      <c r="O74" s="34"/>
      <c r="P74" s="34"/>
      <c r="Q74" s="34"/>
      <c r="R74" s="34"/>
      <c r="S74">
        <v>26.04</v>
      </c>
      <c r="T74" s="34" t="s">
        <v>20</v>
      </c>
      <c r="U74" s="34"/>
      <c r="V74" s="34"/>
      <c r="W74" s="16"/>
    </row>
    <row r="75" spans="2:23" x14ac:dyDescent="0.35">
      <c r="B75" s="37"/>
      <c r="C75" s="1"/>
      <c r="D75" s="1"/>
      <c r="E75" s="38"/>
      <c r="F75" s="38"/>
      <c r="G75" s="38"/>
      <c r="H75" s="1"/>
      <c r="I75" s="1"/>
      <c r="J75" s="1"/>
      <c r="K75" s="1"/>
      <c r="L75" s="19"/>
    </row>
    <row r="76" spans="2:23" x14ac:dyDescent="0.35">
      <c r="B76" s="28" t="s">
        <v>6</v>
      </c>
      <c r="C76" s="27"/>
      <c r="D76" s="27"/>
      <c r="E76" s="26"/>
      <c r="F76" s="26"/>
      <c r="G76" s="5"/>
      <c r="K76" s="174" t="s">
        <v>186</v>
      </c>
      <c r="L76" s="175"/>
    </row>
    <row r="77" spans="2:23" x14ac:dyDescent="0.35">
      <c r="B77" s="28">
        <v>1</v>
      </c>
      <c r="C77" s="27"/>
      <c r="D77" s="27"/>
      <c r="E77" s="26" t="s">
        <v>7</v>
      </c>
      <c r="F77" s="26"/>
      <c r="G77" s="5"/>
      <c r="K77" s="174" t="s">
        <v>28</v>
      </c>
      <c r="L77" s="175"/>
    </row>
    <row r="78" spans="2:23" x14ac:dyDescent="0.35">
      <c r="B78" s="39"/>
      <c r="C78" s="27"/>
      <c r="D78" s="27"/>
      <c r="E78" s="26"/>
      <c r="F78" s="26"/>
      <c r="G78" s="5"/>
      <c r="J78" s="25"/>
      <c r="K78" s="25"/>
      <c r="L78" s="24"/>
    </row>
    <row r="79" spans="2:23" x14ac:dyDescent="0.35">
      <c r="B79" s="28"/>
      <c r="C79" s="27"/>
      <c r="D79" s="27"/>
      <c r="E79" s="26"/>
      <c r="F79" s="26"/>
      <c r="G79" s="5"/>
      <c r="L79" s="22"/>
    </row>
    <row r="80" spans="2:23" x14ac:dyDescent="0.35">
      <c r="B80" s="45"/>
      <c r="E80" s="5"/>
      <c r="F80" s="5"/>
      <c r="G80" s="5"/>
      <c r="L80" s="22"/>
    </row>
    <row r="81" spans="2:13" x14ac:dyDescent="0.35">
      <c r="B81" s="45"/>
      <c r="E81" s="5"/>
      <c r="F81" s="5"/>
      <c r="G81" s="5"/>
      <c r="L81" s="22"/>
    </row>
    <row r="82" spans="2:13" x14ac:dyDescent="0.35">
      <c r="B82" s="45"/>
      <c r="E82" s="5"/>
      <c r="F82" s="5"/>
      <c r="G82" s="5"/>
      <c r="L82" s="22"/>
    </row>
    <row r="83" spans="2:13" x14ac:dyDescent="0.35">
      <c r="B83" s="45"/>
      <c r="E83" s="5"/>
      <c r="F83" s="5"/>
      <c r="G83" s="5"/>
      <c r="J83" s="40"/>
      <c r="K83" s="176" t="s">
        <v>36</v>
      </c>
      <c r="L83" s="177"/>
      <c r="M83" s="40"/>
    </row>
    <row r="84" spans="2:13" x14ac:dyDescent="0.35">
      <c r="B84" s="45"/>
      <c r="K84" s="178" t="s">
        <v>37</v>
      </c>
      <c r="L84" s="179"/>
      <c r="M84" s="42"/>
    </row>
    <row r="85" spans="2:13" x14ac:dyDescent="0.35">
      <c r="B85" s="180"/>
      <c r="C85" s="181"/>
      <c r="D85" s="181"/>
      <c r="E85" s="41"/>
      <c r="F85" s="41"/>
      <c r="G85" s="41"/>
      <c r="H85" s="2"/>
      <c r="I85" s="2"/>
      <c r="J85" s="2"/>
      <c r="K85" s="2"/>
      <c r="L85" s="21"/>
    </row>
    <row r="86" spans="2:13" x14ac:dyDescent="0.35">
      <c r="B86" s="47"/>
      <c r="C86" s="48"/>
      <c r="D86" s="49"/>
      <c r="G86" s="22"/>
      <c r="H86" s="1"/>
      <c r="I86" s="1"/>
      <c r="J86" s="43"/>
      <c r="K86" s="30"/>
      <c r="L86" s="44"/>
    </row>
    <row r="87" spans="2:13" x14ac:dyDescent="0.35">
      <c r="B87" s="68"/>
      <c r="C87" s="69"/>
      <c r="D87" s="75"/>
      <c r="E87" s="120"/>
      <c r="F87" s="78"/>
      <c r="G87" s="78" t="s">
        <v>107</v>
      </c>
      <c r="H87" s="79">
        <v>91.562399999999997</v>
      </c>
      <c r="I87" s="113" t="s">
        <v>70</v>
      </c>
      <c r="J87" s="50">
        <v>34000</v>
      </c>
      <c r="K87" s="51"/>
      <c r="L87" s="46">
        <f>J87*H87</f>
        <v>3113121.6</v>
      </c>
    </row>
    <row r="88" spans="2:13" x14ac:dyDescent="0.35">
      <c r="B88" s="68"/>
      <c r="C88" s="69"/>
      <c r="D88" s="96"/>
      <c r="E88" s="81"/>
      <c r="F88" s="77" t="s">
        <v>68</v>
      </c>
      <c r="G88" s="78" t="s">
        <v>108</v>
      </c>
      <c r="H88" s="123">
        <v>47.099999999999994</v>
      </c>
      <c r="I88" s="121" t="s">
        <v>70</v>
      </c>
      <c r="J88" s="50">
        <v>34000</v>
      </c>
      <c r="K88" s="51"/>
      <c r="L88" s="46">
        <f t="shared" ref="L88:L119" si="2">J88*H88</f>
        <v>1601399.9999999998</v>
      </c>
    </row>
    <row r="89" spans="2:13" x14ac:dyDescent="0.35">
      <c r="B89" s="68"/>
      <c r="C89" s="69"/>
      <c r="D89" s="122"/>
      <c r="E89" s="81"/>
      <c r="F89" s="78" t="s">
        <v>68</v>
      </c>
      <c r="G89" s="78" t="s">
        <v>109</v>
      </c>
      <c r="H89" s="123">
        <v>36.926399999999994</v>
      </c>
      <c r="I89" s="121" t="s">
        <v>70</v>
      </c>
      <c r="J89" s="50">
        <v>34000</v>
      </c>
      <c r="K89" s="51"/>
      <c r="L89" s="46">
        <f t="shared" si="2"/>
        <v>1255497.5999999999</v>
      </c>
    </row>
    <row r="90" spans="2:13" x14ac:dyDescent="0.35">
      <c r="B90" s="68"/>
      <c r="C90" s="69"/>
      <c r="D90" s="122"/>
      <c r="E90" s="81"/>
      <c r="F90" s="78" t="s">
        <v>68</v>
      </c>
      <c r="G90" s="78" t="s">
        <v>110</v>
      </c>
      <c r="H90" s="123">
        <v>18.899999999999999</v>
      </c>
      <c r="I90" s="121" t="s">
        <v>70</v>
      </c>
      <c r="J90" s="50">
        <v>34000</v>
      </c>
      <c r="K90" s="29"/>
      <c r="L90" s="46">
        <f t="shared" si="2"/>
        <v>642600</v>
      </c>
    </row>
    <row r="91" spans="2:13" x14ac:dyDescent="0.35">
      <c r="B91" s="68"/>
      <c r="C91" s="69"/>
      <c r="D91" s="122"/>
      <c r="E91" s="81"/>
      <c r="F91" s="78" t="s">
        <v>68</v>
      </c>
      <c r="G91" s="78" t="s">
        <v>111</v>
      </c>
      <c r="H91" s="123">
        <v>28.728000000000002</v>
      </c>
      <c r="I91" s="121" t="s">
        <v>70</v>
      </c>
      <c r="J91" s="50">
        <v>34000</v>
      </c>
      <c r="K91" s="29"/>
      <c r="L91" s="46">
        <f t="shared" si="2"/>
        <v>976752</v>
      </c>
    </row>
    <row r="92" spans="2:13" x14ac:dyDescent="0.35">
      <c r="B92" s="68"/>
      <c r="C92" s="69"/>
      <c r="D92" s="122"/>
      <c r="E92" s="81"/>
      <c r="F92" s="78" t="s">
        <v>68</v>
      </c>
      <c r="G92" s="78" t="s">
        <v>112</v>
      </c>
      <c r="H92" s="123">
        <v>2.4491999999999998</v>
      </c>
      <c r="I92" s="121" t="s">
        <v>70</v>
      </c>
      <c r="J92" s="50">
        <v>34000</v>
      </c>
      <c r="K92" s="29"/>
      <c r="L92" s="46">
        <f t="shared" si="2"/>
        <v>83272.799999999988</v>
      </c>
    </row>
    <row r="93" spans="2:13" x14ac:dyDescent="0.35">
      <c r="B93" s="68"/>
      <c r="C93" s="69"/>
      <c r="D93" s="122"/>
      <c r="E93" s="81"/>
      <c r="F93" s="78" t="s">
        <v>68</v>
      </c>
      <c r="G93" s="78" t="s">
        <v>113</v>
      </c>
      <c r="H93" s="123">
        <v>0.85721999999999998</v>
      </c>
      <c r="I93" s="121" t="s">
        <v>70</v>
      </c>
      <c r="J93" s="50">
        <v>34000</v>
      </c>
      <c r="K93" s="29"/>
      <c r="L93" s="46">
        <f t="shared" si="2"/>
        <v>29145.48</v>
      </c>
    </row>
    <row r="94" spans="2:13" x14ac:dyDescent="0.35">
      <c r="B94" s="68"/>
      <c r="C94" s="69"/>
      <c r="D94" s="122"/>
      <c r="E94" s="81"/>
      <c r="F94" s="78" t="s">
        <v>68</v>
      </c>
      <c r="G94" s="78" t="s">
        <v>114</v>
      </c>
      <c r="H94" s="123">
        <f>0.3*10*1.95*7.85*1.2</f>
        <v>55.106999999999992</v>
      </c>
      <c r="I94" s="121" t="s">
        <v>70</v>
      </c>
      <c r="J94" s="50">
        <v>34000</v>
      </c>
      <c r="K94" s="29"/>
      <c r="L94" s="46">
        <f t="shared" si="2"/>
        <v>1873637.9999999998</v>
      </c>
    </row>
    <row r="95" spans="2:13" x14ac:dyDescent="0.35">
      <c r="B95" s="68"/>
      <c r="C95" s="69"/>
      <c r="D95" s="122"/>
      <c r="E95" s="81"/>
      <c r="F95" s="78" t="s">
        <v>68</v>
      </c>
      <c r="G95" s="78" t="s">
        <v>115</v>
      </c>
      <c r="H95" s="123">
        <f>0.2*0.1*10*7.85*1.2*2</f>
        <v>3.7680000000000007</v>
      </c>
      <c r="I95" s="121" t="s">
        <v>70</v>
      </c>
      <c r="J95" s="50">
        <v>34000</v>
      </c>
      <c r="K95" s="29"/>
      <c r="L95" s="46">
        <f t="shared" si="2"/>
        <v>128112.00000000003</v>
      </c>
    </row>
    <row r="96" spans="2:13" x14ac:dyDescent="0.35">
      <c r="B96" s="68"/>
      <c r="C96" s="69"/>
      <c r="D96" s="122"/>
      <c r="E96" s="81"/>
      <c r="F96" s="78" t="s">
        <v>68</v>
      </c>
      <c r="G96" s="78" t="s">
        <v>116</v>
      </c>
      <c r="H96" s="123">
        <f>0.3*10*0.5*7.85*1.2</f>
        <v>14.129999999999997</v>
      </c>
      <c r="I96" s="121" t="s">
        <v>70</v>
      </c>
      <c r="J96" s="50">
        <v>34000</v>
      </c>
      <c r="K96" s="29"/>
      <c r="L96" s="46">
        <f t="shared" si="2"/>
        <v>480419.99999999988</v>
      </c>
    </row>
    <row r="97" spans="2:12" x14ac:dyDescent="0.35">
      <c r="B97" s="68"/>
      <c r="C97" s="69"/>
      <c r="D97" s="122"/>
      <c r="E97" s="81"/>
      <c r="F97" s="78" t="s">
        <v>68</v>
      </c>
      <c r="G97" s="78" t="s">
        <v>115</v>
      </c>
      <c r="H97" s="123">
        <f>0.2*0.1*10*7.85*1.2*2</f>
        <v>3.7680000000000007</v>
      </c>
      <c r="I97" s="121" t="s">
        <v>70</v>
      </c>
      <c r="J97" s="50">
        <v>34000</v>
      </c>
      <c r="K97" s="29"/>
      <c r="L97" s="46">
        <f t="shared" si="2"/>
        <v>128112.00000000003</v>
      </c>
    </row>
    <row r="98" spans="2:12" x14ac:dyDescent="0.35">
      <c r="B98" s="124"/>
      <c r="C98" s="69"/>
      <c r="D98" s="75"/>
      <c r="E98" s="81"/>
      <c r="F98" s="78" t="s">
        <v>68</v>
      </c>
      <c r="G98" s="78" t="s">
        <v>117</v>
      </c>
      <c r="H98" s="123">
        <v>195.46499999999997</v>
      </c>
      <c r="I98" s="121" t="s">
        <v>70</v>
      </c>
      <c r="J98" s="50">
        <v>34000</v>
      </c>
      <c r="K98" s="29"/>
      <c r="L98" s="46">
        <f t="shared" si="2"/>
        <v>6645809.9999999991</v>
      </c>
    </row>
    <row r="99" spans="2:12" x14ac:dyDescent="0.35">
      <c r="B99" s="124"/>
      <c r="C99" s="69"/>
      <c r="D99" s="122"/>
      <c r="E99" s="81"/>
      <c r="F99" s="125" t="s">
        <v>68</v>
      </c>
      <c r="G99" s="78" t="s">
        <v>118</v>
      </c>
      <c r="H99" s="123">
        <v>28.259999999999998</v>
      </c>
      <c r="I99" s="121" t="s">
        <v>70</v>
      </c>
      <c r="J99" s="50">
        <v>34000</v>
      </c>
      <c r="K99" s="29"/>
      <c r="L99" s="46">
        <f t="shared" si="2"/>
        <v>960839.99999999988</v>
      </c>
    </row>
    <row r="100" spans="2:12" x14ac:dyDescent="0.35">
      <c r="B100" s="124"/>
      <c r="C100" s="69"/>
      <c r="D100" s="122"/>
      <c r="E100" s="81"/>
      <c r="F100" s="125" t="s">
        <v>68</v>
      </c>
      <c r="G100" s="78" t="s">
        <v>119</v>
      </c>
      <c r="H100" s="123">
        <v>43.331999999999994</v>
      </c>
      <c r="I100" s="126" t="s">
        <v>70</v>
      </c>
      <c r="J100" s="50">
        <v>34000</v>
      </c>
      <c r="K100" s="29"/>
      <c r="L100" s="46">
        <f t="shared" si="2"/>
        <v>1473287.9999999998</v>
      </c>
    </row>
    <row r="101" spans="2:12" x14ac:dyDescent="0.35">
      <c r="B101" s="124"/>
      <c r="C101" s="69"/>
      <c r="D101" s="122"/>
      <c r="E101" s="81"/>
      <c r="F101" s="125" t="s">
        <v>68</v>
      </c>
      <c r="G101" s="78" t="s">
        <v>120</v>
      </c>
      <c r="H101" s="123">
        <v>52.751999999999995</v>
      </c>
      <c r="I101" s="121" t="s">
        <v>70</v>
      </c>
      <c r="J101" s="50">
        <v>34000</v>
      </c>
      <c r="K101" s="29"/>
      <c r="L101" s="46">
        <f t="shared" si="2"/>
        <v>1793567.9999999998</v>
      </c>
    </row>
    <row r="102" spans="2:12" x14ac:dyDescent="0.35">
      <c r="B102" s="124"/>
      <c r="C102" s="69"/>
      <c r="D102" s="122"/>
      <c r="E102" s="81"/>
      <c r="F102" s="125" t="s">
        <v>68</v>
      </c>
      <c r="G102" s="78" t="s">
        <v>121</v>
      </c>
      <c r="H102" s="123">
        <v>37.208999999999996</v>
      </c>
      <c r="I102" s="121" t="s">
        <v>70</v>
      </c>
      <c r="J102" s="50">
        <v>34000</v>
      </c>
      <c r="K102" s="29"/>
      <c r="L102" s="46">
        <f t="shared" si="2"/>
        <v>1265105.9999999998</v>
      </c>
    </row>
    <row r="103" spans="2:12" x14ac:dyDescent="0.35">
      <c r="B103" s="124"/>
      <c r="C103" s="69"/>
      <c r="D103" s="122"/>
      <c r="E103" s="81"/>
      <c r="F103" s="125" t="s">
        <v>68</v>
      </c>
      <c r="G103" s="78" t="s">
        <v>122</v>
      </c>
      <c r="H103" s="123">
        <v>23.078999999999997</v>
      </c>
      <c r="I103" s="121" t="s">
        <v>70</v>
      </c>
      <c r="J103" s="50">
        <v>34000</v>
      </c>
      <c r="K103" s="29"/>
      <c r="L103" s="46">
        <f t="shared" si="2"/>
        <v>784685.99999999988</v>
      </c>
    </row>
    <row r="104" spans="2:12" x14ac:dyDescent="0.35">
      <c r="B104" s="124"/>
      <c r="C104" s="69"/>
      <c r="D104" s="122"/>
      <c r="E104" s="81"/>
      <c r="F104" s="125" t="s">
        <v>68</v>
      </c>
      <c r="G104" s="78" t="s">
        <v>123</v>
      </c>
      <c r="H104" s="123">
        <v>26.375999999999998</v>
      </c>
      <c r="I104" s="126" t="s">
        <v>70</v>
      </c>
      <c r="J104" s="50">
        <v>34000</v>
      </c>
      <c r="K104" s="29"/>
      <c r="L104" s="46">
        <f t="shared" si="2"/>
        <v>896783.99999999988</v>
      </c>
    </row>
    <row r="105" spans="2:12" x14ac:dyDescent="0.35">
      <c r="B105" s="124"/>
      <c r="C105" s="69"/>
      <c r="D105" s="122"/>
      <c r="E105" s="81"/>
      <c r="F105" s="125" t="s">
        <v>68</v>
      </c>
      <c r="G105" s="78" t="s">
        <v>124</v>
      </c>
      <c r="H105" s="123">
        <v>25.999199999999998</v>
      </c>
      <c r="I105" s="126" t="s">
        <v>70</v>
      </c>
      <c r="J105" s="50">
        <v>34000</v>
      </c>
      <c r="K105" s="29"/>
      <c r="L105" s="46">
        <f t="shared" si="2"/>
        <v>883972.79999999993</v>
      </c>
    </row>
    <row r="106" spans="2:12" x14ac:dyDescent="0.35">
      <c r="B106" s="124"/>
      <c r="C106" s="69"/>
      <c r="D106" s="122"/>
      <c r="E106" s="81"/>
      <c r="F106" s="125" t="s">
        <v>68</v>
      </c>
      <c r="G106" s="78" t="s">
        <v>125</v>
      </c>
      <c r="H106" s="123">
        <v>26.752799999999997</v>
      </c>
      <c r="I106" s="126" t="s">
        <v>70</v>
      </c>
      <c r="J106" s="50">
        <v>34000</v>
      </c>
      <c r="K106" s="29"/>
      <c r="L106" s="46">
        <f t="shared" si="2"/>
        <v>909595.2</v>
      </c>
    </row>
    <row r="107" spans="2:12" x14ac:dyDescent="0.35">
      <c r="B107" s="124"/>
      <c r="C107" s="69"/>
      <c r="D107" s="122"/>
      <c r="E107" s="81"/>
      <c r="F107" s="125" t="s">
        <v>68</v>
      </c>
      <c r="G107" s="78" t="s">
        <v>126</v>
      </c>
      <c r="H107" s="123">
        <v>25.999199999999998</v>
      </c>
      <c r="I107" s="126" t="s">
        <v>70</v>
      </c>
      <c r="J107" s="50">
        <v>34000</v>
      </c>
      <c r="K107" s="29"/>
      <c r="L107" s="46">
        <f t="shared" si="2"/>
        <v>883972.79999999993</v>
      </c>
    </row>
    <row r="108" spans="2:12" x14ac:dyDescent="0.35">
      <c r="B108" s="68"/>
      <c r="C108" s="69"/>
      <c r="D108" s="96"/>
      <c r="E108" s="81"/>
      <c r="F108" s="78" t="s">
        <v>68</v>
      </c>
      <c r="G108" s="78" t="s">
        <v>127</v>
      </c>
      <c r="H108" s="99">
        <v>5.4862079999999995</v>
      </c>
      <c r="I108" s="98" t="s">
        <v>70</v>
      </c>
      <c r="J108" s="50">
        <v>34000</v>
      </c>
      <c r="K108" s="29"/>
      <c r="L108" s="46">
        <f t="shared" si="2"/>
        <v>186531.07199999999</v>
      </c>
    </row>
    <row r="109" spans="2:12" x14ac:dyDescent="0.35">
      <c r="B109" s="68"/>
      <c r="C109" s="69" t="s">
        <v>128</v>
      </c>
      <c r="D109" s="96"/>
      <c r="E109" s="120"/>
      <c r="F109" s="78" t="s">
        <v>129</v>
      </c>
      <c r="G109" s="78"/>
      <c r="H109" s="99"/>
      <c r="I109" s="98"/>
      <c r="J109" s="50"/>
      <c r="K109" s="29"/>
      <c r="L109" s="46"/>
    </row>
    <row r="110" spans="2:12" x14ac:dyDescent="0.35">
      <c r="B110" s="68"/>
      <c r="C110" s="69"/>
      <c r="D110" s="122"/>
      <c r="E110" s="81"/>
      <c r="F110" s="125" t="s">
        <v>68</v>
      </c>
      <c r="G110" s="78" t="s">
        <v>130</v>
      </c>
      <c r="H110" s="123">
        <f>5.26*1.83*8*7.85*1.2</f>
        <v>725.40028799999993</v>
      </c>
      <c r="I110" s="126" t="s">
        <v>70</v>
      </c>
      <c r="J110" s="50">
        <v>34000</v>
      </c>
      <c r="K110" s="29"/>
      <c r="L110" s="46">
        <f t="shared" si="2"/>
        <v>24663609.791999999</v>
      </c>
    </row>
    <row r="111" spans="2:12" x14ac:dyDescent="0.35">
      <c r="B111" s="68"/>
      <c r="C111" s="69"/>
      <c r="D111" s="122"/>
      <c r="E111" s="81"/>
      <c r="F111" s="125"/>
      <c r="G111" s="78" t="s">
        <v>131</v>
      </c>
      <c r="H111" s="123">
        <f>2.64*0.36*8*7.85*1.2</f>
        <v>71.622143999999992</v>
      </c>
      <c r="I111" s="126" t="s">
        <v>70</v>
      </c>
      <c r="J111" s="50">
        <v>34000</v>
      </c>
      <c r="K111" s="29"/>
      <c r="L111" s="46">
        <f t="shared" si="2"/>
        <v>2435152.8959999997</v>
      </c>
    </row>
    <row r="112" spans="2:12" x14ac:dyDescent="0.35">
      <c r="B112" s="124"/>
      <c r="C112" s="69"/>
      <c r="D112" s="122"/>
      <c r="E112" s="81"/>
      <c r="F112" s="125" t="s">
        <v>68</v>
      </c>
      <c r="G112" s="78" t="s">
        <v>132</v>
      </c>
      <c r="H112" s="123">
        <v>89.49</v>
      </c>
      <c r="I112" s="126" t="s">
        <v>70</v>
      </c>
      <c r="J112" s="50">
        <v>34000</v>
      </c>
      <c r="K112" s="29"/>
      <c r="L112" s="46">
        <f t="shared" si="2"/>
        <v>3042660</v>
      </c>
    </row>
    <row r="113" spans="2:12" x14ac:dyDescent="0.35">
      <c r="B113" s="124"/>
      <c r="C113" s="69"/>
      <c r="D113" s="122"/>
      <c r="E113" s="81"/>
      <c r="F113" s="125" t="s">
        <v>68</v>
      </c>
      <c r="G113" s="78" t="s">
        <v>133</v>
      </c>
      <c r="H113" s="123">
        <v>61.700999999999993</v>
      </c>
      <c r="I113" s="126" t="s">
        <v>70</v>
      </c>
      <c r="J113" s="50">
        <v>34000</v>
      </c>
      <c r="K113" s="29"/>
      <c r="L113" s="46">
        <f t="shared" si="2"/>
        <v>2097834</v>
      </c>
    </row>
    <row r="114" spans="2:12" x14ac:dyDescent="0.35">
      <c r="B114" s="124"/>
      <c r="C114" s="69"/>
      <c r="D114" s="122"/>
      <c r="E114" s="81"/>
      <c r="F114" s="125" t="s">
        <v>68</v>
      </c>
      <c r="G114" s="78" t="s">
        <v>134</v>
      </c>
      <c r="H114" s="123">
        <v>76.019400000000005</v>
      </c>
      <c r="I114" s="126" t="s">
        <v>70</v>
      </c>
      <c r="J114" s="50">
        <v>34000</v>
      </c>
      <c r="K114" s="29"/>
      <c r="L114" s="46">
        <f t="shared" si="2"/>
        <v>2584659.6</v>
      </c>
    </row>
    <row r="115" spans="2:12" x14ac:dyDescent="0.35">
      <c r="B115" s="124"/>
      <c r="C115" s="69"/>
      <c r="D115" s="118"/>
      <c r="E115" s="127"/>
      <c r="F115" s="78" t="s">
        <v>68</v>
      </c>
      <c r="G115" s="78" t="s">
        <v>135</v>
      </c>
      <c r="H115" s="79">
        <v>117.8442</v>
      </c>
      <c r="I115" s="126" t="s">
        <v>70</v>
      </c>
      <c r="J115" s="50">
        <v>34000</v>
      </c>
      <c r="K115" s="29"/>
      <c r="L115" s="46">
        <f t="shared" si="2"/>
        <v>4006702.8</v>
      </c>
    </row>
    <row r="116" spans="2:12" x14ac:dyDescent="0.35">
      <c r="B116" s="100"/>
      <c r="C116" s="96"/>
      <c r="D116" s="104"/>
      <c r="E116" s="105"/>
      <c r="F116" s="106" t="s">
        <v>68</v>
      </c>
      <c r="G116" s="78" t="s">
        <v>136</v>
      </c>
      <c r="H116" s="79">
        <v>100.6056</v>
      </c>
      <c r="I116" s="80" t="s">
        <v>70</v>
      </c>
      <c r="J116" s="50">
        <v>34000</v>
      </c>
      <c r="K116" s="29"/>
      <c r="L116" s="46">
        <f t="shared" si="2"/>
        <v>3420590.4</v>
      </c>
    </row>
    <row r="117" spans="2:12" x14ac:dyDescent="0.35">
      <c r="B117" s="100"/>
      <c r="C117" s="107"/>
      <c r="D117" s="108"/>
      <c r="E117" s="109"/>
      <c r="F117" s="106" t="s">
        <v>68</v>
      </c>
      <c r="G117" s="78" t="s">
        <v>137</v>
      </c>
      <c r="H117" s="99">
        <v>25.7166</v>
      </c>
      <c r="I117" s="102" t="s">
        <v>70</v>
      </c>
      <c r="J117" s="50">
        <v>34000</v>
      </c>
      <c r="K117" s="29"/>
      <c r="L117" s="46">
        <f t="shared" si="2"/>
        <v>874364.4</v>
      </c>
    </row>
    <row r="118" spans="2:12" x14ac:dyDescent="0.35">
      <c r="B118" s="100"/>
      <c r="C118" s="110"/>
      <c r="D118" s="108"/>
      <c r="E118" s="105"/>
      <c r="F118" s="111" t="s">
        <v>68</v>
      </c>
      <c r="G118" s="78" t="s">
        <v>138</v>
      </c>
      <c r="H118" s="112">
        <f>0.3*10*7.85*1.05*1.2</f>
        <v>29.672999999999998</v>
      </c>
      <c r="I118" s="113" t="s">
        <v>70</v>
      </c>
      <c r="J118" s="50">
        <v>34000</v>
      </c>
      <c r="K118" s="29"/>
      <c r="L118" s="46">
        <f t="shared" si="2"/>
        <v>1008881.9999999999</v>
      </c>
    </row>
    <row r="119" spans="2:12" x14ac:dyDescent="0.35">
      <c r="B119" s="100"/>
      <c r="C119" s="69"/>
      <c r="D119" s="96"/>
      <c r="E119" s="81"/>
      <c r="F119" s="101" t="s">
        <v>68</v>
      </c>
      <c r="G119" s="78" t="s">
        <v>139</v>
      </c>
      <c r="H119" s="99">
        <v>18.463199999999997</v>
      </c>
      <c r="I119" s="102" t="s">
        <v>70</v>
      </c>
      <c r="J119" s="50">
        <v>34000</v>
      </c>
      <c r="K119" s="29"/>
      <c r="L119" s="46">
        <f t="shared" si="2"/>
        <v>627748.79999999993</v>
      </c>
    </row>
    <row r="120" spans="2:12" x14ac:dyDescent="0.35">
      <c r="B120" s="68" t="s">
        <v>58</v>
      </c>
      <c r="C120" s="69"/>
      <c r="D120" s="128"/>
      <c r="E120" s="81" t="s">
        <v>59</v>
      </c>
      <c r="F120" s="78"/>
      <c r="G120" s="78"/>
      <c r="H120" s="129"/>
      <c r="I120" s="130"/>
      <c r="J120" s="50"/>
      <c r="K120" s="29"/>
      <c r="L120" s="52"/>
    </row>
    <row r="121" spans="2:12" x14ac:dyDescent="0.35">
      <c r="B121" s="68"/>
      <c r="C121" s="69" t="s">
        <v>140</v>
      </c>
      <c r="D121" s="128"/>
      <c r="E121" s="81"/>
      <c r="F121" s="78" t="s">
        <v>141</v>
      </c>
      <c r="G121" s="78"/>
      <c r="H121" s="129">
        <v>5</v>
      </c>
      <c r="I121" s="130" t="s">
        <v>61</v>
      </c>
      <c r="J121" s="50">
        <v>250000</v>
      </c>
      <c r="K121" s="29">
        <f>J121*H121</f>
        <v>1250000</v>
      </c>
      <c r="L121" s="52"/>
    </row>
    <row r="122" spans="2:12" x14ac:dyDescent="0.35">
      <c r="B122" s="68"/>
      <c r="C122" s="69"/>
      <c r="D122" s="128"/>
      <c r="E122" s="81"/>
      <c r="F122" s="78" t="s">
        <v>68</v>
      </c>
      <c r="G122" s="78" t="s">
        <v>142</v>
      </c>
      <c r="H122" s="131"/>
      <c r="I122" s="130"/>
      <c r="J122" s="50"/>
      <c r="K122" s="29"/>
      <c r="L122" s="52"/>
    </row>
    <row r="123" spans="2:12" x14ac:dyDescent="0.35">
      <c r="B123" s="68"/>
      <c r="C123" s="69" t="s">
        <v>143</v>
      </c>
      <c r="D123" s="128"/>
      <c r="E123" s="81"/>
      <c r="F123" s="78" t="s">
        <v>144</v>
      </c>
      <c r="G123" s="78"/>
      <c r="H123" s="132">
        <v>1</v>
      </c>
      <c r="I123" s="130" t="s">
        <v>61</v>
      </c>
      <c r="J123" s="50">
        <v>250000</v>
      </c>
      <c r="K123" s="29">
        <f>J123*H123</f>
        <v>250000</v>
      </c>
      <c r="L123" s="52"/>
    </row>
    <row r="124" spans="2:12" x14ac:dyDescent="0.35">
      <c r="B124" s="68"/>
      <c r="C124" s="69"/>
      <c r="D124" s="128"/>
      <c r="E124" s="81"/>
      <c r="F124" s="78" t="s">
        <v>68</v>
      </c>
      <c r="G124" s="78" t="s">
        <v>145</v>
      </c>
      <c r="H124" s="131"/>
      <c r="I124" s="130"/>
      <c r="J124" s="50"/>
      <c r="K124" s="29"/>
      <c r="L124" s="52"/>
    </row>
    <row r="125" spans="2:12" x14ac:dyDescent="0.35">
      <c r="B125" s="83"/>
      <c r="C125" s="84"/>
      <c r="D125" s="133"/>
      <c r="E125" s="134"/>
      <c r="F125" s="135"/>
      <c r="G125" s="135"/>
      <c r="H125" s="136"/>
      <c r="I125" s="137"/>
      <c r="J125" s="50"/>
      <c r="K125" s="29"/>
      <c r="L125" s="52"/>
    </row>
    <row r="126" spans="2:12" s="158" customFormat="1" x14ac:dyDescent="0.35">
      <c r="B126" s="138"/>
      <c r="C126" s="151"/>
      <c r="D126" s="152"/>
      <c r="E126" s="92"/>
      <c r="F126" s="93" t="s">
        <v>146</v>
      </c>
      <c r="G126" s="93"/>
      <c r="H126" s="153"/>
      <c r="I126" s="154"/>
      <c r="J126" s="155"/>
      <c r="K126" s="156"/>
      <c r="L126" s="157"/>
    </row>
    <row r="127" spans="2:12" x14ac:dyDescent="0.35">
      <c r="B127" s="139" t="s">
        <v>43</v>
      </c>
      <c r="C127" s="69"/>
      <c r="D127" s="128"/>
      <c r="E127" s="81" t="s">
        <v>64</v>
      </c>
      <c r="F127" s="140"/>
      <c r="G127" s="78"/>
      <c r="H127" s="131"/>
      <c r="I127" s="130"/>
      <c r="J127" s="50"/>
      <c r="K127" s="29"/>
      <c r="L127" s="52"/>
    </row>
    <row r="128" spans="2:12" x14ac:dyDescent="0.35">
      <c r="B128" s="139"/>
      <c r="C128" s="69" t="s">
        <v>65</v>
      </c>
      <c r="D128" s="128"/>
      <c r="E128" s="81"/>
      <c r="F128" s="140" t="s">
        <v>66</v>
      </c>
      <c r="G128" s="78"/>
      <c r="H128" s="131"/>
      <c r="I128" s="141"/>
      <c r="J128" s="50"/>
      <c r="K128" s="29"/>
      <c r="L128" s="52"/>
    </row>
    <row r="129" spans="2:12" x14ac:dyDescent="0.35">
      <c r="B129" s="139"/>
      <c r="C129" s="69"/>
      <c r="D129" s="128" t="s">
        <v>44</v>
      </c>
      <c r="E129" s="81"/>
      <c r="F129" s="140" t="s">
        <v>71</v>
      </c>
      <c r="G129" s="78"/>
      <c r="H129" s="132"/>
      <c r="I129" s="141"/>
      <c r="J129" s="50"/>
      <c r="K129" s="29"/>
      <c r="L129" s="52"/>
    </row>
    <row r="130" spans="2:12" x14ac:dyDescent="0.35">
      <c r="B130" s="68"/>
      <c r="C130" s="69"/>
      <c r="D130" s="104"/>
      <c r="E130" s="81"/>
      <c r="F130" s="101" t="s">
        <v>68</v>
      </c>
      <c r="G130" s="78" t="s">
        <v>147</v>
      </c>
      <c r="H130" s="99">
        <v>955.21060799999975</v>
      </c>
      <c r="I130" s="98" t="s">
        <v>70</v>
      </c>
      <c r="J130" s="50">
        <v>34000</v>
      </c>
      <c r="K130" s="29"/>
      <c r="L130" s="52">
        <f>J130*H130</f>
        <v>32477160.671999991</v>
      </c>
    </row>
    <row r="131" spans="2:12" x14ac:dyDescent="0.35">
      <c r="B131" s="68"/>
      <c r="C131" s="69"/>
      <c r="D131" s="104" t="s">
        <v>47</v>
      </c>
      <c r="E131" s="120"/>
      <c r="F131" s="78" t="s">
        <v>73</v>
      </c>
      <c r="G131" s="78"/>
      <c r="H131" s="99"/>
      <c r="I131" s="98"/>
      <c r="J131" s="50"/>
      <c r="K131" s="29"/>
      <c r="L131" s="52"/>
    </row>
    <row r="132" spans="2:12" x14ac:dyDescent="0.35">
      <c r="B132" s="139"/>
      <c r="C132" s="69"/>
      <c r="D132" s="128"/>
      <c r="E132" s="81"/>
      <c r="F132" s="140" t="s">
        <v>68</v>
      </c>
      <c r="G132" s="78" t="s">
        <v>148</v>
      </c>
      <c r="H132" s="132">
        <v>727.64978399999984</v>
      </c>
      <c r="I132" s="141" t="s">
        <v>70</v>
      </c>
      <c r="J132" s="50">
        <v>34000</v>
      </c>
      <c r="K132" s="29"/>
      <c r="L132" s="52">
        <f>J132*H132</f>
        <v>24740092.655999996</v>
      </c>
    </row>
    <row r="133" spans="2:12" x14ac:dyDescent="0.35">
      <c r="B133" s="47"/>
      <c r="C133" s="48"/>
      <c r="D133" s="24"/>
      <c r="G133" s="22"/>
      <c r="I133" s="22"/>
      <c r="J133" s="50"/>
      <c r="K133" s="29"/>
      <c r="L133" s="52"/>
    </row>
    <row r="134" spans="2:12" x14ac:dyDescent="0.35">
      <c r="B134" s="47"/>
      <c r="C134" s="48"/>
      <c r="D134" s="24"/>
      <c r="G134" s="22"/>
      <c r="I134" s="22"/>
      <c r="J134" s="50"/>
      <c r="K134" s="29"/>
      <c r="L134" s="52"/>
    </row>
    <row r="135" spans="2:12" x14ac:dyDescent="0.35">
      <c r="B135" s="47"/>
      <c r="C135" s="48"/>
      <c r="D135" s="24"/>
      <c r="G135" s="22"/>
      <c r="I135" s="22"/>
      <c r="J135" s="50"/>
      <c r="K135" s="29"/>
      <c r="L135" s="52"/>
    </row>
    <row r="136" spans="2:12" x14ac:dyDescent="0.35">
      <c r="B136" s="47"/>
      <c r="C136" s="48"/>
      <c r="D136" s="24"/>
      <c r="G136" s="22"/>
      <c r="I136" s="22"/>
      <c r="J136" s="50"/>
      <c r="K136" s="29"/>
      <c r="L136" s="52"/>
    </row>
    <row r="137" spans="2:12" x14ac:dyDescent="0.35">
      <c r="B137" s="47"/>
      <c r="C137" s="48"/>
      <c r="D137" s="24"/>
      <c r="G137" s="22"/>
      <c r="I137" s="22"/>
      <c r="J137" s="50"/>
      <c r="K137" s="29"/>
      <c r="L137" s="52"/>
    </row>
    <row r="138" spans="2:12" x14ac:dyDescent="0.35">
      <c r="B138" s="8"/>
      <c r="C138" s="9"/>
      <c r="D138" s="10"/>
      <c r="E138" s="4"/>
      <c r="F138" s="4"/>
      <c r="G138" s="4"/>
      <c r="H138" s="1"/>
      <c r="I138" s="1"/>
      <c r="J138" s="11" t="s">
        <v>8</v>
      </c>
      <c r="K138" s="7">
        <f>SUM(K86:K137)</f>
        <v>1500000</v>
      </c>
      <c r="L138" s="7">
        <f>SUM(L86:L137)</f>
        <v>128975683.36799997</v>
      </c>
    </row>
    <row r="139" spans="2:12" x14ac:dyDescent="0.35">
      <c r="B139" s="8"/>
      <c r="C139" s="9"/>
      <c r="D139" s="9"/>
      <c r="E139" s="4"/>
      <c r="F139" s="4"/>
      <c r="G139" s="4"/>
      <c r="H139" s="1"/>
      <c r="I139" s="1"/>
      <c r="J139" s="11"/>
      <c r="K139" s="35" t="s">
        <v>22</v>
      </c>
      <c r="L139" s="36" t="s">
        <v>23</v>
      </c>
    </row>
    <row r="140" spans="2:12" x14ac:dyDescent="0.35">
      <c r="B140" s="3" t="s">
        <v>9</v>
      </c>
      <c r="C140" s="4"/>
      <c r="D140" s="4"/>
      <c r="E140" s="4"/>
      <c r="F140" s="4"/>
      <c r="G140" s="4"/>
      <c r="H140" s="1"/>
      <c r="I140" s="1"/>
      <c r="J140" s="12"/>
      <c r="K140" s="12"/>
      <c r="L140" s="13"/>
    </row>
    <row r="141" spans="2:12" x14ac:dyDescent="0.35">
      <c r="B141" s="37"/>
      <c r="C141" s="1"/>
      <c r="D141" s="1"/>
      <c r="E141" s="38"/>
      <c r="F141" s="38"/>
      <c r="G141" s="38"/>
      <c r="H141" s="1"/>
      <c r="I141" s="1"/>
      <c r="J141" s="1"/>
      <c r="K141" s="1"/>
      <c r="L141" s="19"/>
    </row>
    <row r="142" spans="2:12" x14ac:dyDescent="0.35">
      <c r="B142" s="28" t="s">
        <v>6</v>
      </c>
      <c r="C142" s="27"/>
      <c r="D142" s="27"/>
      <c r="E142" s="26"/>
      <c r="F142" s="26"/>
      <c r="G142" s="5"/>
      <c r="K142" s="174" t="s">
        <v>186</v>
      </c>
      <c r="L142" s="175"/>
    </row>
    <row r="143" spans="2:12" x14ac:dyDescent="0.35">
      <c r="B143" s="28">
        <v>1</v>
      </c>
      <c r="C143" s="27"/>
      <c r="D143" s="27"/>
      <c r="E143" s="26" t="s">
        <v>7</v>
      </c>
      <c r="F143" s="26"/>
      <c r="G143" s="5"/>
      <c r="K143" s="174" t="s">
        <v>28</v>
      </c>
      <c r="L143" s="175"/>
    </row>
    <row r="144" spans="2:12" x14ac:dyDescent="0.35">
      <c r="B144" s="39"/>
      <c r="C144" s="27"/>
      <c r="D144" s="27"/>
      <c r="E144" s="26"/>
      <c r="F144" s="26"/>
      <c r="G144" s="5"/>
      <c r="J144" s="25"/>
      <c r="K144" s="25"/>
      <c r="L144" s="24"/>
    </row>
    <row r="145" spans="2:12" x14ac:dyDescent="0.35">
      <c r="B145" s="28"/>
      <c r="C145" s="27"/>
      <c r="D145" s="27"/>
      <c r="E145" s="26"/>
      <c r="F145" s="26"/>
      <c r="G145" s="5"/>
      <c r="L145" s="22"/>
    </row>
    <row r="146" spans="2:12" x14ac:dyDescent="0.35">
      <c r="B146" s="45"/>
      <c r="E146" s="5"/>
      <c r="F146" s="5"/>
      <c r="G146" s="5"/>
      <c r="L146" s="22"/>
    </row>
    <row r="147" spans="2:12" x14ac:dyDescent="0.35">
      <c r="B147" s="45"/>
      <c r="E147" s="5"/>
      <c r="F147" s="5"/>
      <c r="G147" s="5"/>
      <c r="L147" s="22"/>
    </row>
    <row r="148" spans="2:12" x14ac:dyDescent="0.35">
      <c r="B148" s="45"/>
      <c r="E148" s="5"/>
      <c r="F148" s="5"/>
      <c r="G148" s="5"/>
      <c r="L148" s="22"/>
    </row>
    <row r="149" spans="2:12" x14ac:dyDescent="0.35">
      <c r="B149" s="45"/>
      <c r="E149" s="5"/>
      <c r="F149" s="5"/>
      <c r="G149" s="5"/>
      <c r="J149" s="40"/>
      <c r="K149" s="176" t="s">
        <v>36</v>
      </c>
      <c r="L149" s="177"/>
    </row>
    <row r="150" spans="2:12" x14ac:dyDescent="0.35">
      <c r="B150" s="45"/>
      <c r="K150" s="178" t="s">
        <v>37</v>
      </c>
      <c r="L150" s="179"/>
    </row>
    <row r="151" spans="2:12" x14ac:dyDescent="0.35">
      <c r="B151" s="180"/>
      <c r="C151" s="181"/>
      <c r="D151" s="181"/>
      <c r="E151" s="41"/>
      <c r="F151" s="41"/>
      <c r="G151" s="41"/>
      <c r="H151" s="2"/>
      <c r="I151" s="2"/>
      <c r="J151" s="2"/>
      <c r="K151" s="2"/>
      <c r="L151" s="21"/>
    </row>
    <row r="152" spans="2:12" x14ac:dyDescent="0.35">
      <c r="B152" s="47"/>
      <c r="C152" s="48"/>
      <c r="D152" s="49"/>
      <c r="G152" s="22"/>
      <c r="H152" s="1"/>
      <c r="I152" s="1"/>
      <c r="J152" s="43"/>
      <c r="K152" s="30"/>
      <c r="L152" s="44"/>
    </row>
    <row r="153" spans="2:12" s="158" customFormat="1" x14ac:dyDescent="0.35">
      <c r="B153" s="142"/>
      <c r="C153" s="151"/>
      <c r="D153" s="159"/>
      <c r="E153" s="92"/>
      <c r="F153" s="160" t="s">
        <v>146</v>
      </c>
      <c r="G153" s="93"/>
      <c r="H153" s="161"/>
      <c r="I153" s="162"/>
      <c r="J153" s="156"/>
      <c r="K153" s="163"/>
      <c r="L153" s="164"/>
    </row>
    <row r="154" spans="2:12" x14ac:dyDescent="0.35">
      <c r="B154" s="54" t="s">
        <v>43</v>
      </c>
      <c r="C154" s="143"/>
      <c r="D154" s="144"/>
      <c r="E154" s="57" t="s">
        <v>16</v>
      </c>
      <c r="F154" s="59"/>
      <c r="G154" s="60"/>
      <c r="H154" s="87"/>
      <c r="I154" s="59"/>
      <c r="J154" s="50"/>
      <c r="K154" s="51"/>
      <c r="L154" s="46"/>
    </row>
    <row r="155" spans="2:12" x14ac:dyDescent="0.35">
      <c r="B155" s="61"/>
      <c r="C155" s="145"/>
      <c r="D155" s="146" t="s">
        <v>44</v>
      </c>
      <c r="E155" s="76"/>
      <c r="F155" s="64" t="s">
        <v>149</v>
      </c>
      <c r="G155" s="65"/>
      <c r="H155" s="147">
        <v>34</v>
      </c>
      <c r="I155" s="148" t="s">
        <v>150</v>
      </c>
      <c r="J155" s="169">
        <v>80000</v>
      </c>
      <c r="K155" s="51">
        <f>J155*H155</f>
        <v>2720000</v>
      </c>
      <c r="L155" s="46"/>
    </row>
    <row r="156" spans="2:12" x14ac:dyDescent="0.35">
      <c r="B156" s="61"/>
      <c r="C156" s="145"/>
      <c r="D156" s="146" t="s">
        <v>47</v>
      </c>
      <c r="E156" s="76"/>
      <c r="F156" s="64" t="s">
        <v>151</v>
      </c>
      <c r="G156" s="65"/>
      <c r="H156" s="147">
        <v>5</v>
      </c>
      <c r="I156" s="148" t="s">
        <v>150</v>
      </c>
      <c r="J156" s="169">
        <v>80000</v>
      </c>
      <c r="K156" s="29">
        <f>J156*H156</f>
        <v>400000</v>
      </c>
      <c r="L156" s="52"/>
    </row>
    <row r="157" spans="2:12" x14ac:dyDescent="0.35">
      <c r="B157" s="61"/>
      <c r="C157" s="145"/>
      <c r="D157" s="146" t="s">
        <v>49</v>
      </c>
      <c r="E157" s="76"/>
      <c r="F157" s="64" t="s">
        <v>152</v>
      </c>
      <c r="G157" s="65"/>
      <c r="H157" s="147">
        <v>34</v>
      </c>
      <c r="I157" s="148" t="s">
        <v>150</v>
      </c>
      <c r="J157" s="169">
        <v>24000</v>
      </c>
      <c r="K157" s="29">
        <f>J157*H157</f>
        <v>816000</v>
      </c>
      <c r="L157" s="52"/>
    </row>
    <row r="158" spans="2:12" x14ac:dyDescent="0.35">
      <c r="B158" s="61"/>
      <c r="C158" s="145"/>
      <c r="D158" s="146" t="s">
        <v>52</v>
      </c>
      <c r="E158" s="76"/>
      <c r="F158" s="64" t="s">
        <v>153</v>
      </c>
      <c r="G158" s="65"/>
      <c r="H158" s="147">
        <v>5</v>
      </c>
      <c r="I158" s="148" t="s">
        <v>150</v>
      </c>
      <c r="J158" s="169">
        <v>16000</v>
      </c>
      <c r="K158" s="29">
        <f>J158*H158</f>
        <v>80000</v>
      </c>
      <c r="L158" s="52"/>
    </row>
    <row r="159" spans="2:12" x14ac:dyDescent="0.35">
      <c r="B159" s="61"/>
      <c r="C159" s="145"/>
      <c r="D159" s="146" t="s">
        <v>54</v>
      </c>
      <c r="E159" s="76"/>
      <c r="F159" s="64" t="s">
        <v>154</v>
      </c>
      <c r="G159" s="65"/>
      <c r="H159" s="147">
        <v>10</v>
      </c>
      <c r="I159" s="64" t="s">
        <v>155</v>
      </c>
      <c r="J159" s="169">
        <v>173000</v>
      </c>
      <c r="K159" s="29"/>
      <c r="L159" s="52">
        <f>J159*H159</f>
        <v>1730000</v>
      </c>
    </row>
    <row r="160" spans="2:12" x14ac:dyDescent="0.35">
      <c r="B160" s="61"/>
      <c r="C160" s="145"/>
      <c r="D160" s="146" t="s">
        <v>56</v>
      </c>
      <c r="E160" s="76"/>
      <c r="F160" s="64" t="s">
        <v>156</v>
      </c>
      <c r="G160" s="65"/>
      <c r="H160" s="147">
        <v>15</v>
      </c>
      <c r="I160" s="64" t="s">
        <v>155</v>
      </c>
      <c r="J160" s="169">
        <v>248000</v>
      </c>
      <c r="K160" s="29"/>
      <c r="L160" s="52">
        <f>J160*H160</f>
        <v>3720000</v>
      </c>
    </row>
    <row r="161" spans="2:12" x14ac:dyDescent="0.35">
      <c r="B161" s="54"/>
      <c r="C161" s="143"/>
      <c r="D161" s="144"/>
      <c r="E161" s="57"/>
      <c r="F161" s="59"/>
      <c r="G161" s="60"/>
      <c r="H161" s="87"/>
      <c r="I161" s="59"/>
      <c r="J161" s="50"/>
      <c r="K161" s="29"/>
      <c r="L161" s="52"/>
    </row>
    <row r="162" spans="2:12" s="158" customFormat="1" x14ac:dyDescent="0.35">
      <c r="B162" s="149"/>
      <c r="C162" s="165"/>
      <c r="D162" s="166"/>
      <c r="E162" s="150"/>
      <c r="F162" s="150" t="s">
        <v>157</v>
      </c>
      <c r="G162" s="167"/>
      <c r="H162" s="168"/>
      <c r="I162" s="150"/>
      <c r="J162" s="155"/>
      <c r="K162" s="156"/>
      <c r="L162" s="157"/>
    </row>
    <row r="163" spans="2:12" x14ac:dyDescent="0.35">
      <c r="B163" s="61" t="s">
        <v>43</v>
      </c>
      <c r="C163" s="145"/>
      <c r="D163" s="146"/>
      <c r="E163" s="76" t="s">
        <v>59</v>
      </c>
      <c r="F163" s="64"/>
      <c r="G163" s="65"/>
      <c r="H163" s="147"/>
      <c r="I163" s="64"/>
      <c r="J163" s="50"/>
      <c r="K163" s="29"/>
      <c r="L163" s="52"/>
    </row>
    <row r="164" spans="2:12" x14ac:dyDescent="0.35">
      <c r="B164" s="61"/>
      <c r="C164" s="145"/>
      <c r="D164" s="146" t="s">
        <v>44</v>
      </c>
      <c r="E164" s="76"/>
      <c r="F164" s="64" t="s">
        <v>158</v>
      </c>
      <c r="G164" s="65"/>
      <c r="H164" s="147">
        <v>4</v>
      </c>
      <c r="I164" s="64" t="s">
        <v>159</v>
      </c>
      <c r="J164" s="50">
        <v>2000000</v>
      </c>
      <c r="K164" s="29">
        <f>J164*H164</f>
        <v>8000000</v>
      </c>
      <c r="L164" s="52"/>
    </row>
    <row r="165" spans="2:12" x14ac:dyDescent="0.35">
      <c r="B165" s="61"/>
      <c r="C165" s="145"/>
      <c r="D165" s="146" t="s">
        <v>47</v>
      </c>
      <c r="E165" s="76"/>
      <c r="F165" s="64" t="s">
        <v>160</v>
      </c>
      <c r="G165" s="65"/>
      <c r="H165" s="147"/>
      <c r="I165" s="64"/>
      <c r="J165" s="50"/>
      <c r="K165" s="29"/>
      <c r="L165" s="52"/>
    </row>
    <row r="166" spans="2:12" x14ac:dyDescent="0.35">
      <c r="B166" s="61"/>
      <c r="C166" s="145"/>
      <c r="D166" s="146"/>
      <c r="E166" s="76"/>
      <c r="F166" s="64" t="s">
        <v>68</v>
      </c>
      <c r="G166" s="65" t="s">
        <v>161</v>
      </c>
      <c r="H166" s="147">
        <v>4</v>
      </c>
      <c r="I166" s="64" t="s">
        <v>162</v>
      </c>
      <c r="J166" s="50">
        <v>300000</v>
      </c>
      <c r="K166" s="29">
        <f>J166*H166</f>
        <v>1200000</v>
      </c>
      <c r="L166" s="52"/>
    </row>
    <row r="167" spans="2:12" x14ac:dyDescent="0.35">
      <c r="B167" s="61"/>
      <c r="C167" s="145"/>
      <c r="D167" s="146"/>
      <c r="E167" s="76"/>
      <c r="F167" s="64"/>
      <c r="G167" s="65"/>
      <c r="H167" s="147"/>
      <c r="I167" s="64"/>
      <c r="J167" s="50"/>
      <c r="K167" s="29"/>
      <c r="L167" s="52"/>
    </row>
    <row r="168" spans="2:12" s="158" customFormat="1" x14ac:dyDescent="0.35">
      <c r="B168" s="149"/>
      <c r="C168" s="165"/>
      <c r="D168" s="166"/>
      <c r="E168" s="150"/>
      <c r="F168" s="150" t="s">
        <v>163</v>
      </c>
      <c r="G168" s="167"/>
      <c r="H168" s="168"/>
      <c r="I168" s="150"/>
      <c r="J168" s="155"/>
      <c r="K168" s="156"/>
      <c r="L168" s="157"/>
    </row>
    <row r="169" spans="2:12" x14ac:dyDescent="0.35">
      <c r="B169" s="61" t="s">
        <v>43</v>
      </c>
      <c r="C169" s="145"/>
      <c r="D169" s="146"/>
      <c r="E169" s="76" t="s">
        <v>16</v>
      </c>
      <c r="F169" s="64"/>
      <c r="G169" s="65"/>
      <c r="H169" s="147"/>
      <c r="I169" s="64"/>
      <c r="J169" s="50"/>
      <c r="K169" s="29"/>
      <c r="L169" s="52"/>
    </row>
    <row r="170" spans="2:12" x14ac:dyDescent="0.35">
      <c r="B170" s="61"/>
      <c r="C170" s="145"/>
      <c r="D170" s="146" t="s">
        <v>44</v>
      </c>
      <c r="E170" s="76"/>
      <c r="F170" s="64" t="s">
        <v>164</v>
      </c>
      <c r="G170" s="65"/>
      <c r="H170" s="147">
        <v>2</v>
      </c>
      <c r="I170" s="64" t="s">
        <v>162</v>
      </c>
      <c r="J170" s="50">
        <v>150000</v>
      </c>
      <c r="K170" s="29">
        <f>J170*H170</f>
        <v>300000</v>
      </c>
      <c r="L170" s="52"/>
    </row>
    <row r="171" spans="2:12" x14ac:dyDescent="0.35">
      <c r="B171" s="61"/>
      <c r="C171" s="145"/>
      <c r="D171" s="146"/>
      <c r="E171" s="76"/>
      <c r="F171" s="64"/>
      <c r="G171" s="65"/>
      <c r="H171" s="147"/>
      <c r="I171" s="64"/>
      <c r="J171" s="50"/>
      <c r="K171" s="29"/>
      <c r="L171" s="52"/>
    </row>
    <row r="172" spans="2:12" s="158" customFormat="1" x14ac:dyDescent="0.35">
      <c r="B172" s="149"/>
      <c r="C172" s="165"/>
      <c r="D172" s="166"/>
      <c r="E172" s="150"/>
      <c r="F172" s="150" t="s">
        <v>165</v>
      </c>
      <c r="G172" s="167"/>
      <c r="H172" s="168"/>
      <c r="I172" s="150"/>
      <c r="J172" s="155"/>
      <c r="K172" s="156"/>
      <c r="L172" s="157"/>
    </row>
    <row r="173" spans="2:12" x14ac:dyDescent="0.35">
      <c r="B173" s="61" t="s">
        <v>43</v>
      </c>
      <c r="C173" s="145"/>
      <c r="D173" s="146"/>
      <c r="E173" s="76" t="s">
        <v>16</v>
      </c>
      <c r="F173" s="64"/>
      <c r="G173" s="65"/>
      <c r="H173" s="147"/>
      <c r="I173" s="64"/>
      <c r="J173" s="50"/>
      <c r="K173" s="29"/>
      <c r="L173" s="52"/>
    </row>
    <row r="174" spans="2:12" x14ac:dyDescent="0.35">
      <c r="B174" s="61"/>
      <c r="C174" s="145"/>
      <c r="D174" s="146" t="s">
        <v>44</v>
      </c>
      <c r="E174" s="76"/>
      <c r="F174" s="64" t="s">
        <v>166</v>
      </c>
      <c r="G174" s="65"/>
      <c r="H174" s="147"/>
      <c r="I174" s="64"/>
      <c r="J174" s="50"/>
      <c r="K174" s="29"/>
      <c r="L174" s="52"/>
    </row>
    <row r="175" spans="2:12" x14ac:dyDescent="0.35">
      <c r="B175" s="61"/>
      <c r="C175" s="145"/>
      <c r="D175" s="146"/>
      <c r="E175" s="76"/>
      <c r="F175" s="64" t="s">
        <v>68</v>
      </c>
      <c r="G175" s="65" t="s">
        <v>167</v>
      </c>
      <c r="H175" s="147">
        <v>20</v>
      </c>
      <c r="I175" s="64" t="s">
        <v>168</v>
      </c>
      <c r="J175" s="29">
        <v>187000</v>
      </c>
      <c r="K175" s="29"/>
      <c r="L175" s="52">
        <f>J175*H175</f>
        <v>3740000</v>
      </c>
    </row>
    <row r="176" spans="2:12" x14ac:dyDescent="0.35">
      <c r="B176" s="61"/>
      <c r="C176" s="145"/>
      <c r="D176" s="146"/>
      <c r="E176" s="76"/>
      <c r="F176" s="64" t="s">
        <v>68</v>
      </c>
      <c r="G176" s="65" t="s">
        <v>169</v>
      </c>
      <c r="H176" s="147">
        <v>5</v>
      </c>
      <c r="I176" s="64" t="s">
        <v>168</v>
      </c>
      <c r="J176" s="29">
        <v>188000</v>
      </c>
      <c r="K176" s="29"/>
      <c r="L176" s="52">
        <f>J176*H176</f>
        <v>940000</v>
      </c>
    </row>
    <row r="177" spans="2:13" x14ac:dyDescent="0.35">
      <c r="B177" s="61"/>
      <c r="C177" s="145"/>
      <c r="D177" s="146"/>
      <c r="E177" s="76"/>
      <c r="F177" s="64" t="s">
        <v>68</v>
      </c>
      <c r="G177" s="65" t="s">
        <v>170</v>
      </c>
      <c r="H177" s="147">
        <v>10</v>
      </c>
      <c r="I177" s="64" t="s">
        <v>168</v>
      </c>
      <c r="J177" s="170">
        <v>85000</v>
      </c>
      <c r="K177" s="29"/>
      <c r="L177" s="52">
        <f>J177*H177</f>
        <v>850000</v>
      </c>
    </row>
    <row r="178" spans="2:13" x14ac:dyDescent="0.35">
      <c r="B178" s="61"/>
      <c r="C178" s="145"/>
      <c r="D178" s="146"/>
      <c r="E178" s="76"/>
      <c r="F178" s="64" t="s">
        <v>68</v>
      </c>
      <c r="G178" s="65" t="s">
        <v>171</v>
      </c>
      <c r="H178" s="147">
        <v>5</v>
      </c>
      <c r="I178" s="64" t="s">
        <v>168</v>
      </c>
      <c r="J178" s="29">
        <v>85000</v>
      </c>
      <c r="K178" s="29"/>
      <c r="L178" s="52">
        <f>J178*H178</f>
        <v>425000</v>
      </c>
    </row>
    <row r="179" spans="2:13" x14ac:dyDescent="0.35">
      <c r="B179" s="61"/>
      <c r="C179" s="145"/>
      <c r="D179" s="146"/>
      <c r="E179" s="76"/>
      <c r="F179" s="64"/>
      <c r="G179" s="65"/>
      <c r="H179" s="147"/>
      <c r="I179" s="64"/>
      <c r="J179" s="50"/>
      <c r="K179" s="29"/>
      <c r="L179" s="52"/>
    </row>
    <row r="180" spans="2:13" s="158" customFormat="1" x14ac:dyDescent="0.35">
      <c r="B180" s="149"/>
      <c r="C180" s="165"/>
      <c r="D180" s="166"/>
      <c r="E180" s="150"/>
      <c r="F180" s="150" t="s">
        <v>172</v>
      </c>
      <c r="G180" s="167"/>
      <c r="H180" s="168"/>
      <c r="I180" s="150"/>
      <c r="J180" s="155"/>
      <c r="K180" s="156"/>
      <c r="L180" s="157"/>
    </row>
    <row r="181" spans="2:13" x14ac:dyDescent="0.35">
      <c r="B181" s="61" t="s">
        <v>43</v>
      </c>
      <c r="C181" s="145"/>
      <c r="D181" s="146"/>
      <c r="E181" s="76" t="s">
        <v>173</v>
      </c>
      <c r="F181" s="64"/>
      <c r="G181" s="65"/>
      <c r="H181" s="147"/>
      <c r="I181" s="64"/>
      <c r="J181" s="50"/>
      <c r="K181" s="29"/>
      <c r="L181" s="52"/>
    </row>
    <row r="182" spans="2:13" x14ac:dyDescent="0.35">
      <c r="B182" s="61"/>
      <c r="C182" s="145"/>
      <c r="D182" s="146" t="s">
        <v>44</v>
      </c>
      <c r="E182" s="76"/>
      <c r="F182" s="64" t="s">
        <v>174</v>
      </c>
      <c r="G182" s="65"/>
      <c r="H182" s="147">
        <v>4</v>
      </c>
      <c r="I182" s="64" t="s">
        <v>175</v>
      </c>
      <c r="J182" s="50">
        <v>850000</v>
      </c>
      <c r="K182" s="29">
        <f>J182*H182</f>
        <v>3400000</v>
      </c>
      <c r="L182" s="52"/>
      <c r="M182" s="158">
        <f>SUM(M183:M188)*1.3</f>
        <v>3328000</v>
      </c>
    </row>
    <row r="183" spans="2:13" x14ac:dyDescent="0.35">
      <c r="B183" s="61"/>
      <c r="C183" s="145"/>
      <c r="D183" s="146"/>
      <c r="E183" s="76"/>
      <c r="F183" s="64" t="s">
        <v>68</v>
      </c>
      <c r="G183" s="65" t="s">
        <v>176</v>
      </c>
      <c r="H183" s="171">
        <v>7</v>
      </c>
      <c r="I183" s="172" t="s">
        <v>162</v>
      </c>
      <c r="J183" s="173">
        <v>50000</v>
      </c>
      <c r="K183" s="29"/>
      <c r="L183" s="52"/>
      <c r="M183">
        <v>350000</v>
      </c>
    </row>
    <row r="184" spans="2:13" x14ac:dyDescent="0.35">
      <c r="B184" s="61"/>
      <c r="C184" s="145"/>
      <c r="D184" s="146"/>
      <c r="E184" s="76"/>
      <c r="F184" s="64" t="s">
        <v>68</v>
      </c>
      <c r="G184" s="65" t="s">
        <v>177</v>
      </c>
      <c r="H184" s="171">
        <v>10</v>
      </c>
      <c r="I184" s="172" t="s">
        <v>162</v>
      </c>
      <c r="J184" s="173">
        <v>50000</v>
      </c>
      <c r="K184" s="29"/>
      <c r="L184" s="52"/>
      <c r="M184">
        <v>500000</v>
      </c>
    </row>
    <row r="185" spans="2:13" x14ac:dyDescent="0.35">
      <c r="B185" s="61"/>
      <c r="C185" s="145"/>
      <c r="D185" s="146"/>
      <c r="E185" s="76"/>
      <c r="F185" s="64" t="s">
        <v>68</v>
      </c>
      <c r="G185" s="65" t="s">
        <v>178</v>
      </c>
      <c r="H185" s="171">
        <v>3</v>
      </c>
      <c r="I185" s="172" t="s">
        <v>179</v>
      </c>
      <c r="J185" s="173">
        <v>130000</v>
      </c>
      <c r="K185" s="29"/>
      <c r="L185" s="52"/>
      <c r="M185">
        <v>390000</v>
      </c>
    </row>
    <row r="186" spans="2:13" x14ac:dyDescent="0.35">
      <c r="B186" s="61"/>
      <c r="C186" s="145"/>
      <c r="D186" s="146"/>
      <c r="E186" s="76"/>
      <c r="F186" s="64" t="s">
        <v>68</v>
      </c>
      <c r="G186" s="65" t="s">
        <v>180</v>
      </c>
      <c r="H186" s="171">
        <v>6</v>
      </c>
      <c r="I186" s="172" t="s">
        <v>162</v>
      </c>
      <c r="J186" s="173">
        <v>50000</v>
      </c>
      <c r="K186" s="29"/>
      <c r="L186" s="52"/>
      <c r="M186">
        <v>300000</v>
      </c>
    </row>
    <row r="187" spans="2:13" x14ac:dyDescent="0.35">
      <c r="B187" s="61"/>
      <c r="C187" s="145"/>
      <c r="D187" s="146"/>
      <c r="E187" s="76"/>
      <c r="F187" s="64" t="s">
        <v>68</v>
      </c>
      <c r="G187" s="65" t="s">
        <v>181</v>
      </c>
      <c r="H187" s="171">
        <v>10</v>
      </c>
      <c r="I187" s="172" t="s">
        <v>162</v>
      </c>
      <c r="J187" s="173">
        <v>50000</v>
      </c>
      <c r="K187" s="29"/>
      <c r="L187" s="52"/>
      <c r="M187">
        <v>500000</v>
      </c>
    </row>
    <row r="188" spans="2:13" x14ac:dyDescent="0.35">
      <c r="B188" s="61"/>
      <c r="C188" s="145"/>
      <c r="D188" s="146"/>
      <c r="E188" s="76"/>
      <c r="F188" s="64" t="s">
        <v>68</v>
      </c>
      <c r="G188" s="65" t="s">
        <v>182</v>
      </c>
      <c r="H188" s="171">
        <v>4</v>
      </c>
      <c r="I188" s="172" t="s">
        <v>179</v>
      </c>
      <c r="J188" s="173">
        <v>130000</v>
      </c>
      <c r="K188" s="29"/>
      <c r="L188" s="52"/>
      <c r="M188">
        <v>520000</v>
      </c>
    </row>
    <row r="189" spans="2:13" x14ac:dyDescent="0.35">
      <c r="B189" s="47"/>
      <c r="C189" s="48"/>
      <c r="D189" s="24"/>
      <c r="G189" s="22"/>
      <c r="I189" s="22"/>
      <c r="J189" s="50"/>
      <c r="K189" s="29"/>
      <c r="L189" s="52"/>
    </row>
    <row r="190" spans="2:13" x14ac:dyDescent="0.35">
      <c r="B190" s="47"/>
      <c r="C190" s="48"/>
      <c r="D190" s="24"/>
      <c r="G190" s="22"/>
      <c r="I190" s="22"/>
      <c r="J190" s="50"/>
      <c r="K190" s="29"/>
      <c r="L190" s="52"/>
    </row>
    <row r="191" spans="2:13" x14ac:dyDescent="0.35">
      <c r="B191" s="47"/>
      <c r="C191" s="48"/>
      <c r="D191" s="24"/>
      <c r="G191" s="22"/>
      <c r="I191" s="22"/>
      <c r="J191" s="50"/>
      <c r="K191" s="29"/>
      <c r="L191" s="52"/>
    </row>
    <row r="192" spans="2:13" x14ac:dyDescent="0.35">
      <c r="B192" s="47"/>
      <c r="C192" s="48"/>
      <c r="D192" s="24"/>
      <c r="G192" s="22"/>
      <c r="I192" s="22"/>
      <c r="J192" s="50"/>
      <c r="K192" s="29"/>
      <c r="L192" s="52"/>
    </row>
    <row r="193" spans="2:13" x14ac:dyDescent="0.35">
      <c r="B193" s="47"/>
      <c r="C193" s="48"/>
      <c r="D193" s="24"/>
      <c r="G193" s="22"/>
      <c r="I193" s="22"/>
      <c r="J193" s="50"/>
      <c r="K193" s="29"/>
      <c r="L193" s="52"/>
    </row>
    <row r="194" spans="2:13" x14ac:dyDescent="0.35">
      <c r="B194" s="47"/>
      <c r="C194" s="48"/>
      <c r="D194" s="24"/>
      <c r="G194" s="22"/>
      <c r="I194" s="22"/>
      <c r="J194" s="50"/>
      <c r="K194" s="29"/>
      <c r="L194" s="52"/>
    </row>
    <row r="195" spans="2:13" x14ac:dyDescent="0.35">
      <c r="B195" s="47"/>
      <c r="C195" s="48"/>
      <c r="D195" s="24"/>
      <c r="G195" s="22"/>
      <c r="I195" s="22"/>
      <c r="J195" s="50"/>
      <c r="K195" s="29"/>
      <c r="L195" s="52"/>
    </row>
    <row r="196" spans="2:13" x14ac:dyDescent="0.35">
      <c r="B196" s="47"/>
      <c r="C196" s="48"/>
      <c r="D196" s="24"/>
      <c r="G196" s="22"/>
      <c r="I196" s="22"/>
      <c r="J196" s="50"/>
      <c r="K196" s="29"/>
      <c r="L196" s="52"/>
    </row>
    <row r="197" spans="2:13" x14ac:dyDescent="0.35">
      <c r="B197" s="47"/>
      <c r="C197" s="48"/>
      <c r="D197" s="24"/>
      <c r="G197" s="22"/>
      <c r="I197" s="22"/>
      <c r="J197" s="50"/>
      <c r="K197" s="29"/>
      <c r="L197" s="52"/>
    </row>
    <row r="198" spans="2:13" x14ac:dyDescent="0.35">
      <c r="B198" s="47"/>
      <c r="C198" s="48"/>
      <c r="D198" s="24"/>
      <c r="G198" s="22"/>
      <c r="I198" s="22"/>
      <c r="J198" s="50"/>
      <c r="K198" s="29"/>
      <c r="L198" s="52"/>
    </row>
    <row r="199" spans="2:13" x14ac:dyDescent="0.35">
      <c r="B199" s="47"/>
      <c r="C199" s="48"/>
      <c r="D199" s="24"/>
      <c r="G199" s="22"/>
      <c r="I199" s="22"/>
      <c r="J199" s="50"/>
      <c r="K199" s="29"/>
      <c r="L199" s="52"/>
    </row>
    <row r="200" spans="2:13" x14ac:dyDescent="0.35">
      <c r="B200" s="47"/>
      <c r="C200" s="48"/>
      <c r="D200" s="24"/>
      <c r="G200" s="22"/>
      <c r="I200" s="22"/>
      <c r="J200" s="50"/>
      <c r="K200" s="29"/>
      <c r="L200" s="52"/>
    </row>
    <row r="201" spans="2:13" x14ac:dyDescent="0.35">
      <c r="B201" s="8"/>
      <c r="C201" s="9"/>
      <c r="D201" s="10"/>
      <c r="E201" s="4"/>
      <c r="F201" s="4"/>
      <c r="G201" s="4"/>
      <c r="H201" s="1"/>
      <c r="I201" s="1"/>
      <c r="J201" s="11" t="s">
        <v>8</v>
      </c>
      <c r="K201" s="7">
        <f>SUM(K152:K200)</f>
        <v>16916000</v>
      </c>
      <c r="L201" s="7">
        <f>SUM(L152:L200)</f>
        <v>11405000</v>
      </c>
    </row>
    <row r="202" spans="2:13" x14ac:dyDescent="0.35">
      <c r="B202" s="8"/>
      <c r="C202" s="9"/>
      <c r="D202" s="9"/>
      <c r="E202" s="4"/>
      <c r="F202" s="4"/>
      <c r="G202" s="4"/>
      <c r="H202" s="1"/>
      <c r="I202" s="1"/>
      <c r="J202" s="11" t="s">
        <v>183</v>
      </c>
      <c r="K202" s="53">
        <f>SUM(K201,K138,K72)</f>
        <v>99316000</v>
      </c>
      <c r="L202" s="53">
        <f>SUM(L201,L138,L72)</f>
        <v>288974289.89599991</v>
      </c>
      <c r="M202" s="14">
        <f>SUM(K202:L202)</f>
        <v>388290289.89599991</v>
      </c>
    </row>
    <row r="203" spans="2:13" x14ac:dyDescent="0.35">
      <c r="B203" s="8"/>
      <c r="C203" s="9"/>
      <c r="D203" s="9"/>
      <c r="E203" s="4"/>
      <c r="F203" s="4"/>
      <c r="G203" s="4"/>
      <c r="H203" s="1"/>
      <c r="I203" s="1"/>
      <c r="J203" s="11" t="s">
        <v>184</v>
      </c>
      <c r="K203" s="53">
        <v>85000000</v>
      </c>
      <c r="L203" s="53">
        <v>63290289.895999908</v>
      </c>
      <c r="M203" s="14">
        <f>SUM(K203:L203)</f>
        <v>148290289.89599991</v>
      </c>
    </row>
    <row r="204" spans="2:13" x14ac:dyDescent="0.35">
      <c r="B204" s="8"/>
      <c r="C204" s="9"/>
      <c r="D204" s="9"/>
      <c r="E204" s="4"/>
      <c r="F204" s="4"/>
      <c r="G204" s="4"/>
      <c r="H204" s="1"/>
      <c r="I204" s="1"/>
      <c r="J204" s="11" t="s">
        <v>185</v>
      </c>
      <c r="K204" s="53">
        <f>K202-K203</f>
        <v>14316000</v>
      </c>
      <c r="L204" s="53">
        <f>L202-L203</f>
        <v>225684000</v>
      </c>
      <c r="M204" s="14">
        <f>SUM(K204:L204)</f>
        <v>240000000</v>
      </c>
    </row>
    <row r="205" spans="2:13" x14ac:dyDescent="0.35">
      <c r="B205" s="8"/>
      <c r="C205" s="9"/>
      <c r="D205" s="9"/>
      <c r="E205" s="4"/>
      <c r="F205" s="4"/>
      <c r="G205" s="4"/>
      <c r="H205" s="1"/>
      <c r="I205" s="1"/>
      <c r="J205" s="11"/>
      <c r="K205" s="35" t="s">
        <v>22</v>
      </c>
      <c r="L205" s="36" t="s">
        <v>23</v>
      </c>
    </row>
    <row r="206" spans="2:13" x14ac:dyDescent="0.35">
      <c r="B206" s="3" t="s">
        <v>9</v>
      </c>
      <c r="C206" s="4"/>
      <c r="D206" s="4"/>
      <c r="E206" s="4"/>
      <c r="F206" s="4"/>
      <c r="G206" s="4"/>
      <c r="H206" s="1"/>
      <c r="I206" s="1"/>
      <c r="J206" s="12"/>
      <c r="K206" s="12"/>
      <c r="L206" s="13"/>
    </row>
    <row r="207" spans="2:13" x14ac:dyDescent="0.35">
      <c r="B207" s="37"/>
      <c r="C207" s="1"/>
      <c r="D207" s="1"/>
      <c r="E207" s="38"/>
      <c r="F207" s="38"/>
      <c r="G207" s="38"/>
      <c r="H207" s="1"/>
      <c r="I207" s="1"/>
      <c r="J207" s="1"/>
      <c r="K207" s="1"/>
      <c r="L207" s="19"/>
    </row>
    <row r="208" spans="2:13" x14ac:dyDescent="0.35">
      <c r="B208" s="28" t="s">
        <v>6</v>
      </c>
      <c r="C208" s="27"/>
      <c r="D208" s="27"/>
      <c r="E208" s="26"/>
      <c r="F208" s="26"/>
      <c r="G208" s="5"/>
      <c r="K208" s="174" t="s">
        <v>186</v>
      </c>
      <c r="L208" s="175"/>
    </row>
    <row r="209" spans="2:12" x14ac:dyDescent="0.35">
      <c r="B209" s="28">
        <v>1</v>
      </c>
      <c r="C209" s="27"/>
      <c r="D209" s="27"/>
      <c r="E209" s="26" t="s">
        <v>7</v>
      </c>
      <c r="F209" s="26"/>
      <c r="G209" s="5"/>
      <c r="K209" s="174" t="s">
        <v>28</v>
      </c>
      <c r="L209" s="175"/>
    </row>
    <row r="210" spans="2:12" x14ac:dyDescent="0.35">
      <c r="B210" s="39"/>
      <c r="C210" s="27"/>
      <c r="D210" s="27"/>
      <c r="E210" s="26"/>
      <c r="F210" s="26"/>
      <c r="G210" s="5"/>
      <c r="J210" s="25"/>
      <c r="K210" s="25"/>
      <c r="L210" s="24"/>
    </row>
    <row r="211" spans="2:12" x14ac:dyDescent="0.35">
      <c r="B211" s="28"/>
      <c r="C211" s="27"/>
      <c r="D211" s="27"/>
      <c r="E211" s="26"/>
      <c r="F211" s="26"/>
      <c r="G211" s="5"/>
      <c r="L211" s="22"/>
    </row>
    <row r="212" spans="2:12" x14ac:dyDescent="0.35">
      <c r="B212" s="45"/>
      <c r="E212" s="5"/>
      <c r="F212" s="5"/>
      <c r="G212" s="5"/>
      <c r="L212" s="22"/>
    </row>
    <row r="213" spans="2:12" x14ac:dyDescent="0.35">
      <c r="B213" s="45"/>
      <c r="E213" s="5"/>
      <c r="F213" s="5"/>
      <c r="G213" s="5"/>
      <c r="L213" s="22"/>
    </row>
    <row r="214" spans="2:12" x14ac:dyDescent="0.35">
      <c r="B214" s="45"/>
      <c r="E214" s="5"/>
      <c r="F214" s="5"/>
      <c r="G214" s="5"/>
      <c r="L214" s="22"/>
    </row>
    <row r="215" spans="2:12" x14ac:dyDescent="0.35">
      <c r="B215" s="45"/>
      <c r="E215" s="5"/>
      <c r="F215" s="5"/>
      <c r="G215" s="5"/>
      <c r="J215" s="40"/>
      <c r="K215" s="176" t="s">
        <v>36</v>
      </c>
      <c r="L215" s="177"/>
    </row>
    <row r="216" spans="2:12" x14ac:dyDescent="0.35">
      <c r="B216" s="45"/>
      <c r="K216" s="178" t="s">
        <v>37</v>
      </c>
      <c r="L216" s="179"/>
    </row>
    <row r="217" spans="2:12" x14ac:dyDescent="0.35">
      <c r="B217" s="180"/>
      <c r="C217" s="181"/>
      <c r="D217" s="181"/>
      <c r="E217" s="41"/>
      <c r="F217" s="41"/>
      <c r="G217" s="41"/>
      <c r="H217" s="2"/>
      <c r="I217" s="2"/>
      <c r="J217" s="2"/>
      <c r="K217" s="2"/>
      <c r="L217" s="21"/>
    </row>
  </sheetData>
  <mergeCells count="23">
    <mergeCell ref="F15:G15"/>
    <mergeCell ref="B18:D19"/>
    <mergeCell ref="E18:G19"/>
    <mergeCell ref="H18:I19"/>
    <mergeCell ref="J18:J19"/>
    <mergeCell ref="B151:D151"/>
    <mergeCell ref="L18:L19"/>
    <mergeCell ref="N21:O21"/>
    <mergeCell ref="K76:L76"/>
    <mergeCell ref="K77:L77"/>
    <mergeCell ref="K83:L83"/>
    <mergeCell ref="K84:L84"/>
    <mergeCell ref="K18:K19"/>
    <mergeCell ref="B85:D85"/>
    <mergeCell ref="K142:L142"/>
    <mergeCell ref="K143:L143"/>
    <mergeCell ref="K149:L149"/>
    <mergeCell ref="K150:L150"/>
    <mergeCell ref="K208:L208"/>
    <mergeCell ref="K209:L209"/>
    <mergeCell ref="K215:L215"/>
    <mergeCell ref="K216:L216"/>
    <mergeCell ref="B217:D217"/>
  </mergeCells>
  <conditionalFormatting sqref="E31">
    <cfRule type="expression" dxfId="6" priority="7">
      <formula>AND((ISBLANK($B31)=FALSE),(ISBLANK($E31)=FALSE))</formula>
    </cfRule>
  </conditionalFormatting>
  <conditionalFormatting sqref="E55">
    <cfRule type="expression" dxfId="5" priority="5">
      <formula>AND((ISBLANK($B55)=FALSE),(ISBLANK(#REF!)=FALSE))</formula>
    </cfRule>
  </conditionalFormatting>
  <conditionalFormatting sqref="E117">
    <cfRule type="expression" dxfId="4" priority="3">
      <formula>AND((ISBLANK($B117)=FALSE),(ISBLANK(#REF!)=FALSE))</formula>
    </cfRule>
  </conditionalFormatting>
  <conditionalFormatting sqref="F51">
    <cfRule type="expression" dxfId="3" priority="6">
      <formula>AND(ISBLANK($B51),ISBLANK($C51),ISBLANK($D51),ISBLANK($E51),ISBLANK(#REF!),ISBLANK($E51))</formula>
    </cfRule>
  </conditionalFormatting>
  <conditionalFormatting sqref="F56">
    <cfRule type="expression" dxfId="2" priority="4">
      <formula>AND((ISBLANK($B56)=FALSE),(ISBLANK(#REF!)=FALSE))</formula>
    </cfRule>
  </conditionalFormatting>
  <conditionalFormatting sqref="F112">
    <cfRule type="expression" dxfId="1" priority="1">
      <formula>AND(ISBLANK($B112),ISBLANK($C112),ISBLANK($D112),ISBLANK($E112),ISBLANK(#REF!),ISBLANK($E112))</formula>
    </cfRule>
  </conditionalFormatting>
  <conditionalFormatting sqref="F118">
    <cfRule type="expression" dxfId="0" priority="2">
      <formula>AND((ISBLANK($B118)=FALSE),(ISBLANK(#REF!)=FALSE))</formula>
    </cfRule>
  </conditionalFormatting>
  <printOptions horizontalCentered="1"/>
  <pageMargins left="0.80870078740157503" right="0.39370078740157499" top="0.39370078740157499" bottom="0.39370078740157499" header="0.31496062992126" footer="0.31496062992126"/>
  <pageSetup scale="55" fitToHeight="0" orientation="portrait" r:id="rId1"/>
  <headerFooter>
    <oddFooter>&amp;LMKT-FM-002/Rev.01/18 Des 15/&amp;K00B050Green&amp;RPage &amp;P of &amp;N</oddFooter>
  </headerFooter>
  <rowBreaks count="2" manualBreakCount="2">
    <brk id="85" min="1" max="11" man="1"/>
    <brk id="151" min="1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Rincian Biaya rev.01</vt:lpstr>
      <vt:lpstr>'Rincian Biaya rev.01'!Print_Area</vt:lpstr>
      <vt:lpstr>'Rincian Biaya rev.01'!Print_Titles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wimba prambada</dc:creator>
  <cp:lastModifiedBy>sigit hartono</cp:lastModifiedBy>
  <cp:lastPrinted>2025-02-20T02:13:15Z</cp:lastPrinted>
  <dcterms:created xsi:type="dcterms:W3CDTF">2015-07-30T04:54:41Z</dcterms:created>
  <dcterms:modified xsi:type="dcterms:W3CDTF">2025-12-23T07:49:22Z</dcterms:modified>
</cp:coreProperties>
</file>