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C75B9A65-B95A-4AEC-8552-2E105E540CB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0" sheetId="42" r:id="rId1"/>
  </sheets>
  <definedNames>
    <definedName name="_xlnm.Print_Area" localSheetId="0">'Rincian Biaya rev.00'!$B$2:$L$152</definedName>
    <definedName name="_xlnm.Print_Titles" localSheetId="0">'Rincian Biaya rev.00'!$2:$19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8" i="42" l="1"/>
  <c r="M58" i="42"/>
  <c r="M59" i="42"/>
  <c r="M60" i="42"/>
  <c r="M61" i="42"/>
  <c r="M62" i="42"/>
  <c r="M63" i="42"/>
  <c r="M64" i="42"/>
  <c r="M65" i="42"/>
  <c r="M66" i="42"/>
  <c r="M87" i="42"/>
  <c r="M88" i="42"/>
  <c r="M89" i="42"/>
  <c r="M51" i="42"/>
  <c r="M52" i="42"/>
  <c r="M53" i="42"/>
  <c r="M54" i="42"/>
  <c r="M55" i="42"/>
  <c r="M56" i="42"/>
  <c r="Q26" i="42"/>
  <c r="O26" i="42"/>
  <c r="Q25" i="42"/>
  <c r="O25" i="42"/>
  <c r="P24" i="42"/>
  <c r="O24" i="42"/>
  <c r="Q22" i="42"/>
  <c r="R23" i="42" s="1"/>
  <c r="P22" i="42"/>
  <c r="N89" i="42" l="1"/>
  <c r="N56" i="42"/>
  <c r="L138" i="42"/>
  <c r="L72" i="42"/>
  <c r="S23" i="42"/>
  <c r="T23" i="42" s="1"/>
  <c r="K72" i="42"/>
  <c r="K139" i="42" s="1"/>
  <c r="L139" i="42" l="1"/>
  <c r="M139" i="42" s="1"/>
</calcChain>
</file>

<file path=xl/sharedStrings.xml><?xml version="1.0" encoding="utf-8"?>
<sst xmlns="http://schemas.openxmlformats.org/spreadsheetml/2006/main" count="246" uniqueCount="149">
  <si>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</si>
  <si>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</si>
  <si>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</si>
  <si>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</si>
  <si>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</si>
  <si>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</si>
  <si>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</si>
  <si>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</si>
  <si>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</si>
  <si>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</si>
  <si>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</si>
  <si>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</si>
  <si>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</si>
  <si>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</si>
  <si>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</si>
  <si>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</si>
  <si>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</si>
  <si>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</si>
  <si>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</si>
  <si>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</si>
  <si>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</si>
  <si>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</si>
  <si>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</si>
  <si>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</si>
  <si>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</si>
  <si>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</si>
  <si>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</si>
  <si>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</si>
  <si>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</si>
  <si>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</si>
  <si>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</si>
  <si>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</si>
  <si>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</si>
  <si>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</si>
  <si>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</si>
  <si>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</si>
  <si>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 xml:space="preserve">Grand Total  </t>
  </si>
  <si>
    <t>Aditya Agung H.</t>
  </si>
  <si>
    <t>General Manager</t>
  </si>
  <si>
    <t>Balikpapan, 04 Februari 2025</t>
  </si>
  <si>
    <t>: 10/FIN/MKT-MNB/II/2025</t>
  </si>
  <si>
    <t>: Meter</t>
  </si>
  <si>
    <t>: BKI</t>
  </si>
  <si>
    <t>I</t>
  </si>
  <si>
    <t>a</t>
  </si>
  <si>
    <t>Beaching-Unbeaching</t>
  </si>
  <si>
    <t>Ls</t>
  </si>
  <si>
    <t>b</t>
  </si>
  <si>
    <t>Asistensi Tali Temali Dari Darat dan Persiapan Ganjal</t>
  </si>
  <si>
    <t>c</t>
  </si>
  <si>
    <t>Asistensi Dengan Mooring Boat</t>
  </si>
  <si>
    <t>d</t>
  </si>
  <si>
    <t>Sewa tempat selama pemasangan (13-19 Februari 2025)</t>
  </si>
  <si>
    <t>Hari</t>
  </si>
  <si>
    <t>f</t>
  </si>
  <si>
    <t>Penyambungan Listrik Darat Ke Kapal</t>
  </si>
  <si>
    <t>g</t>
  </si>
  <si>
    <t>Suplai Listrik  16A 380V selama diatas dock dan sandar</t>
  </si>
  <si>
    <t>h</t>
  </si>
  <si>
    <t>i</t>
  </si>
  <si>
    <t>j</t>
  </si>
  <si>
    <t>Disediakan Tempat Penyimpanan Material Untuk Kapal</t>
  </si>
  <si>
    <t>k</t>
  </si>
  <si>
    <t>Penggunaan Alat Angkat ( &lt; 1.5 Ton )</t>
  </si>
  <si>
    <t>m</t>
  </si>
  <si>
    <t>Security guard ( 2 Shift)</t>
  </si>
  <si>
    <t>hari</t>
  </si>
  <si>
    <t>II</t>
  </si>
  <si>
    <t>PERAWATAN BADAN KAPAL (Supplai Material by MENUBA)</t>
  </si>
  <si>
    <t>Pemasangan Zinc Anode</t>
  </si>
  <si>
    <t>-</t>
  </si>
  <si>
    <t>Supply | Zinc anode S8</t>
  </si>
  <si>
    <t>pcs</t>
  </si>
  <si>
    <t>III</t>
  </si>
  <si>
    <t>SISTEM KEMUDI</t>
  </si>
  <si>
    <t>Bongkar dan penyemenan Kembali Flens Kemudi</t>
  </si>
  <si>
    <t>set</t>
  </si>
  <si>
    <t>Pemasangan rudder blade Kemudi</t>
  </si>
  <si>
    <t>Open seal housing</t>
  </si>
  <si>
    <t>Ganti seal</t>
  </si>
  <si>
    <t>e</t>
  </si>
  <si>
    <t>Install Safety plate on flange rudder stock and rudder blade inside and out side</t>
  </si>
  <si>
    <t>Pcs</t>
  </si>
  <si>
    <t>Install Safety Wire / plate and welded to all bolt and nut</t>
  </si>
  <si>
    <t>Take rudder stock off and reinstall</t>
  </si>
  <si>
    <t>Take quadrant off and reinstall</t>
  </si>
  <si>
    <t xml:space="preserve">Disconnect &amp; reconnect linkage bar </t>
  </si>
  <si>
    <t>Machining &amp; fitting rudder stock flange</t>
  </si>
  <si>
    <t>IV</t>
  </si>
  <si>
    <t>LAPORAN PENGEDOKAN</t>
  </si>
  <si>
    <t>Dibuatkan laporan pengedokan dan gambar bukaan kulit sesuai posisi replating</t>
  </si>
  <si>
    <t>JR Rev. 00 Estimation Based On Technical Drawing (11/11/24)</t>
  </si>
  <si>
    <t>I.1</t>
  </si>
  <si>
    <t>Fabrikasi Rudder blade</t>
  </si>
  <si>
    <t>Body rudder</t>
  </si>
  <si>
    <t>Set</t>
  </si>
  <si>
    <t>Rudder plate | Plate (KI) thickness 10 mm | 2430 X 2700 mm @ 2 sht</t>
  </si>
  <si>
    <t>Bottom plate | Plate (KI) thickness 10 mm | 2580 X 430 mm</t>
  </si>
  <si>
    <t>Top plate | Plate (KI) thickness 10 mm | 1400 X 390 mm</t>
  </si>
  <si>
    <t>Top plate | Plate (KI) thickness 10 mm | 230 X 330 mm</t>
  </si>
  <si>
    <t>Trail plate | Plate (KI) thickness 20 mm | 200 X 2700 mm</t>
  </si>
  <si>
    <t>Internal rudder</t>
  </si>
  <si>
    <t>Main V. web plate | Plate (KI) thickness 10 mm | 380 X 2700 mm</t>
  </si>
  <si>
    <t>Main V. web plate | Plate (KI) thickness 10 mm | 360 X 2700 mm</t>
  </si>
  <si>
    <t>Main V. pad | Flat bar size. 1 3/4" x 10 mm | 2700 mm @ 2 pcs</t>
  </si>
  <si>
    <t>V. web plate | Plate (KI) thickness 8 mm | 300 X 2700 mm</t>
  </si>
  <si>
    <t>V. web plate | Plate (KI) thickness 8 mm | 190 X 2700 mm</t>
  </si>
  <si>
    <t>V. pad | Flat bar size. 1 3/4" x 10 mm | 2700 mm @ 2 pcs</t>
  </si>
  <si>
    <t>H. web plate | Plate (KI) thickness 8 mm | 390 X 2340 mm @ 4 sht</t>
  </si>
  <si>
    <t>H. pad | Plate (KI) thickness 10 mm | 2910 X 60 mm @ 4 sht</t>
  </si>
  <si>
    <t>Bracket flange | Plate (KI) thickness 10 mm | 550 X 180 mm</t>
  </si>
  <si>
    <t>Bracket flange | Plate (KI) thickness 10 mm | 550 X 160 mm @ 2 sht</t>
  </si>
  <si>
    <t>Bracket flange | Plate (KI) thickness 10 mm | 550 X 480 mm</t>
  </si>
  <si>
    <t>Drain plug</t>
  </si>
  <si>
    <t>I.2</t>
  </si>
  <si>
    <t>Fabrikasi rudder flange</t>
  </si>
  <si>
    <t>Rudder flange</t>
  </si>
  <si>
    <t>Flange | Plate (KI) thickness 60 mm | 890 X 740 mm</t>
  </si>
  <si>
    <t>Safety plate rudder | Plate (A) thickness 6 mm | 750 x 250 mm @ 4 sht</t>
  </si>
  <si>
    <t>Safety plate (rimming) bolt | Plate (A) thickness 10 mm | 750 x 100 mm @ 4 sht</t>
  </si>
  <si>
    <t>Flange machining include hole for bolt (shaping, milling, drill, &amp; boring)</t>
  </si>
  <si>
    <t>I.3</t>
  </si>
  <si>
    <t>Blasting &amp; painting</t>
  </si>
  <si>
    <t>Blasting rudder (SA 2.0) (Body &amp; internal)</t>
  </si>
  <si>
    <t>Pengecatan rudder (Primer, Sealer, Top coat)</t>
  </si>
  <si>
    <t>Supply | Cat sealer</t>
  </si>
  <si>
    <t>ltr</t>
  </si>
  <si>
    <t>Supply | Cat anti fouling</t>
  </si>
  <si>
    <t>Supply | Thinner</t>
  </si>
  <si>
    <t>LAIN -  LAIN</t>
  </si>
  <si>
    <t>II.1</t>
  </si>
  <si>
    <t>Class requirement</t>
  </si>
  <si>
    <t>Testing and approval</t>
  </si>
  <si>
    <t>Approval material test for classification</t>
  </si>
  <si>
    <t>Approval uji mekanik dan kimia</t>
  </si>
  <si>
    <t>Approval for Uji micro</t>
  </si>
  <si>
    <t>Approval uji analysis</t>
  </si>
  <si>
    <t>Approval Certificate component</t>
  </si>
  <si>
    <t>Approval for WPS ( Welding procedure &amp; specification )</t>
  </si>
  <si>
    <t>NDT</t>
  </si>
  <si>
    <t>MPI test</t>
  </si>
  <si>
    <t>UT Flaw test</t>
  </si>
  <si>
    <t>Lifting hole, 3 Joint</t>
  </si>
  <si>
    <t>Lifting hole | Pipe seamless size. 3" Sch 80 x 380 mm</t>
  </si>
  <si>
    <t>Supply | Marine bottom pluge size. 1 1/4" @2 pcs</t>
  </si>
  <si>
    <t>Nose | Pipe seamless size. 8" Sch 80 x 2700 mm</t>
  </si>
  <si>
    <t>Stiffener internal rudder | Pipe seamless size. 6" Sch 80 x 2700 mm</t>
  </si>
  <si>
    <t xml:space="preserve"> | B/N SS size. 2 1/2" X 7" @ 6 pcs</t>
  </si>
  <si>
    <t xml:space="preserve"> | Flat washer SS size. 2 1/2" @ 12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</si>
</sst>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-[$IDR]\ * #,##0.00_-;\-[$IDR]\ * #,##0.00_-;_-[$IDR]\ * &quot;-&quot;??_-;_-@_-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theme="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2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9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6" xfId="0" applyFill="1" applyBorder="1"/>
    <xf numFmtId="0" fontId="10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1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8" fillId="3" borderId="0" xfId="0" applyFont="1" applyFill="1"/>
    <xf numFmtId="164" fontId="2" fillId="2" borderId="15" xfId="1" applyFont="1" applyFill="1" applyBorder="1"/>
    <xf numFmtId="0" fontId="12" fillId="5" borderId="5" xfId="112" quotePrefix="1" applyFont="1" applyFill="1" applyBorder="1" applyAlignment="1">
      <alignment horizontal="left" vertical="center"/>
    </xf>
    <xf numFmtId="0" fontId="12" fillId="5" borderId="0" xfId="112" quotePrefix="1" applyFont="1" applyFill="1" applyAlignment="1">
      <alignment horizontal="center" vertical="center"/>
    </xf>
    <xf numFmtId="0" fontId="12" fillId="5" borderId="6" xfId="112" quotePrefix="1" applyFont="1" applyFill="1" applyBorder="1" applyAlignment="1">
      <alignment horizontal="right" vertical="center"/>
    </xf>
    <xf numFmtId="0" fontId="12" fillId="5" borderId="0" xfId="112" applyFont="1" applyFill="1"/>
    <xf numFmtId="0" fontId="12" fillId="5" borderId="6" xfId="112" applyFont="1" applyFill="1" applyBorder="1"/>
    <xf numFmtId="1" fontId="12" fillId="5" borderId="0" xfId="112" applyNumberFormat="1" applyFont="1" applyFill="1"/>
    <xf numFmtId="0" fontId="7" fillId="5" borderId="5" xfId="112" quotePrefix="1" applyFont="1" applyFill="1" applyBorder="1" applyAlignment="1">
      <alignment horizontal="left" vertical="center"/>
    </xf>
    <xf numFmtId="0" fontId="7" fillId="5" borderId="0" xfId="112" quotePrefix="1" applyFont="1" applyFill="1" applyAlignment="1">
      <alignment horizontal="center" vertical="center"/>
    </xf>
    <xf numFmtId="0" fontId="7" fillId="5" borderId="6" xfId="112" quotePrefix="1" applyFont="1" applyFill="1" applyBorder="1" applyAlignment="1">
      <alignment horizontal="right" vertical="center"/>
    </xf>
    <xf numFmtId="0" fontId="7" fillId="5" borderId="0" xfId="112" applyFont="1" applyFill="1"/>
    <xf numFmtId="0" fontId="7" fillId="5" borderId="6" xfId="112" applyFont="1" applyFill="1" applyBorder="1"/>
    <xf numFmtId="1" fontId="7" fillId="5" borderId="0" xfId="112" applyNumberFormat="1" applyFont="1" applyFill="1"/>
    <xf numFmtId="0" fontId="12" fillId="6" borderId="0" xfId="112" applyFont="1" applyFill="1"/>
    <xf numFmtId="0" fontId="12" fillId="6" borderId="6" xfId="112" applyFont="1" applyFill="1" applyBorder="1"/>
    <xf numFmtId="0" fontId="7" fillId="5" borderId="5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0" xfId="0" applyFont="1" applyFill="1"/>
    <xf numFmtId="0" fontId="7" fillId="5" borderId="5" xfId="0" applyFont="1" applyFill="1" applyBorder="1"/>
    <xf numFmtId="0" fontId="7" fillId="5" borderId="6" xfId="0" applyFont="1" applyFill="1" applyBorder="1"/>
    <xf numFmtId="0" fontId="7" fillId="5" borderId="5" xfId="112" applyFont="1" applyFill="1" applyBorder="1" applyAlignment="1">
      <alignment horizontal="left"/>
    </xf>
    <xf numFmtId="0" fontId="7" fillId="5" borderId="0" xfId="112" applyFont="1" applyFill="1" applyAlignment="1">
      <alignment horizontal="center"/>
    </xf>
    <xf numFmtId="0" fontId="7" fillId="7" borderId="5" xfId="112" applyFont="1" applyFill="1" applyBorder="1"/>
    <xf numFmtId="0" fontId="7" fillId="3" borderId="6" xfId="112" applyFont="1" applyFill="1" applyBorder="1" applyAlignment="1">
      <alignment vertical="center"/>
    </xf>
    <xf numFmtId="0" fontId="7" fillId="7" borderId="5" xfId="112" applyFont="1" applyFill="1" applyBorder="1" applyAlignment="1">
      <alignment horizontal="left" vertical="center"/>
    </xf>
    <xf numFmtId="0" fontId="7" fillId="7" borderId="0" xfId="112" applyFont="1" applyFill="1" applyAlignment="1">
      <alignment horizontal="center" vertical="center"/>
    </xf>
    <xf numFmtId="0" fontId="7" fillId="7" borderId="16" xfId="112" applyFont="1" applyFill="1" applyBorder="1" applyAlignment="1">
      <alignment horizontal="center" vertical="center"/>
    </xf>
    <xf numFmtId="0" fontId="7" fillId="7" borderId="0" xfId="112" applyFont="1" applyFill="1"/>
    <xf numFmtId="0" fontId="7" fillId="5" borderId="6" xfId="112" applyFont="1" applyFill="1" applyBorder="1" applyAlignment="1">
      <alignment vertical="center"/>
    </xf>
    <xf numFmtId="0" fontId="7" fillId="5" borderId="5" xfId="112" applyFont="1" applyFill="1" applyBorder="1" applyAlignment="1">
      <alignment horizontal="center"/>
    </xf>
    <xf numFmtId="0" fontId="7" fillId="5" borderId="6" xfId="112" applyFont="1" applyFill="1" applyBorder="1" applyAlignment="1">
      <alignment horizontal="center"/>
    </xf>
    <xf numFmtId="0" fontId="7" fillId="5" borderId="0" xfId="112" applyFont="1" applyFill="1" applyAlignment="1">
      <alignment vertical="center"/>
    </xf>
    <xf numFmtId="0" fontId="7" fillId="7" borderId="16" xfId="112" applyFont="1" applyFill="1" applyBorder="1" applyAlignment="1">
      <alignment horizontal="center"/>
    </xf>
    <xf numFmtId="0" fontId="13" fillId="5" borderId="0" xfId="112" applyFont="1" applyFill="1"/>
    <xf numFmtId="0" fontId="7" fillId="5" borderId="5" xfId="112" applyFont="1" applyFill="1" applyBorder="1" applyAlignment="1">
      <alignment horizontal="left" vertical="center"/>
    </xf>
    <xf numFmtId="0" fontId="7" fillId="5" borderId="0" xfId="112" applyFont="1" applyFill="1" applyAlignment="1">
      <alignment horizontal="center" vertical="center"/>
    </xf>
    <xf numFmtId="0" fontId="14" fillId="7" borderId="0" xfId="112" applyFont="1" applyFill="1"/>
    <xf numFmtId="0" fontId="7" fillId="7" borderId="16" xfId="112" applyFont="1" applyFill="1" applyBorder="1"/>
    <xf numFmtId="1" fontId="7" fillId="7" borderId="0" xfId="112" applyNumberFormat="1" applyFont="1" applyFill="1"/>
    <xf numFmtId="0" fontId="7" fillId="7" borderId="6" xfId="112" applyFont="1" applyFill="1" applyBorder="1"/>
    <xf numFmtId="0" fontId="14" fillId="7" borderId="16" xfId="112" applyFont="1" applyFill="1" applyBorder="1" applyAlignment="1">
      <alignment horizontal="center"/>
    </xf>
    <xf numFmtId="165" fontId="8" fillId="3" borderId="0" xfId="0" applyNumberFormat="1" applyFont="1" applyFill="1" applyAlignment="1">
      <alignment vertical="center"/>
    </xf>
    <xf numFmtId="1" fontId="12" fillId="2" borderId="0" xfId="112" applyNumberFormat="1" applyFont="1" applyFill="1"/>
    <xf numFmtId="0" fontId="12" fillId="2" borderId="0" xfId="112" applyFont="1" applyFill="1"/>
    <xf numFmtId="0" fontId="12" fillId="2" borderId="5" xfId="112" quotePrefix="1" applyFont="1" applyFill="1" applyBorder="1" applyAlignment="1">
      <alignment horizontal="left" vertical="center"/>
    </xf>
    <xf numFmtId="0" fontId="12" fillId="2" borderId="0" xfId="112" quotePrefix="1" applyFont="1" applyFill="1" applyAlignment="1">
      <alignment horizontal="center" vertical="center"/>
    </xf>
    <xf numFmtId="0" fontId="12" fillId="2" borderId="6" xfId="112" quotePrefix="1" applyFont="1" applyFill="1" applyBorder="1" applyAlignment="1">
      <alignment horizontal="right" vertical="center"/>
    </xf>
    <xf numFmtId="2" fontId="7" fillId="5" borderId="0" xfId="112" applyNumberFormat="1" applyFont="1" applyFill="1"/>
    <xf numFmtId="165" fontId="0" fillId="0" borderId="0" xfId="0" applyNumberFormat="1"/>
    <xf numFmtId="166" fontId="0" fillId="0" borderId="0" xfId="0" applyNumberFormat="1"/>
    <xf numFmtId="0" fontId="7" fillId="2" borderId="5" xfId="112" quotePrefix="1" applyFont="1" applyFill="1" applyBorder="1" applyAlignment="1">
      <alignment horizontal="left" vertical="center"/>
    </xf>
    <xf numFmtId="0" fontId="7" fillId="2" borderId="0" xfId="112" quotePrefix="1" applyFont="1" applyFill="1" applyAlignment="1">
      <alignment horizontal="center" vertical="center"/>
    </xf>
    <xf numFmtId="0" fontId="7" fillId="2" borderId="6" xfId="112" quotePrefix="1" applyFont="1" applyFill="1" applyBorder="1" applyAlignment="1">
      <alignment horizontal="right" vertical="center"/>
    </xf>
    <xf numFmtId="0" fontId="7" fillId="2" borderId="0" xfId="112" applyFont="1" applyFill="1"/>
    <xf numFmtId="0" fontId="7" fillId="2" borderId="6" xfId="112" applyFont="1" applyFill="1" applyBorder="1"/>
    <xf numFmtId="1" fontId="7" fillId="2" borderId="0" xfId="112" applyNumberFormat="1" applyFont="1" applyFill="1"/>
    <xf numFmtId="0" fontId="0" fillId="2" borderId="1" xfId="0" applyFill="1" applyBorder="1"/>
    <xf numFmtId="49" fontId="2" fillId="2" borderId="0" xfId="0" quotePrefix="1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</cellXfs>
  <cellStyles count="127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8">
    <dxf>
      <font>
        <b val="0"/>
        <i/>
        <strike val="0"/>
      </font>
    </dxf>
    <dxf>
      <font>
        <b val="0"/>
        <i/>
        <strike val="0"/>
      </font>
    </dxf>
    <dxf>
      <font>
        <b/>
        <i/>
        <strike val="0"/>
        <u/>
        <color rgb="FF000000"/>
      </font>
    </dxf>
    <dxf>
      <font>
        <b/>
        <i/>
        <strike val="0"/>
        <u/>
        <color rgb="FF000000"/>
      </font>
    </dxf>
    <dxf>
      <font>
        <b/>
        <i/>
        <strike val="0"/>
        <color rgb="FF000000"/>
      </font>
    </dxf>
    <dxf>
      <font>
        <b/>
        <i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33104" y="553314"/>
          <a:ext cx="3508079" cy="9195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629CC0-CE4E-48DE-92DC-712EAAEB5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011" y="251011"/>
          <a:ext cx="3198256" cy="1090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7:T152"/>
  <sheetViews>
    <sheetView showGridLines="0" tabSelected="1" view="pageBreakPreview" topLeftCell="A136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7" customWidth="1"/>
    <col min="5" max="5" width="3.08203125" style="17" customWidth="1"/>
    <col min="6" max="6" width="2.83203125" style="17" customWidth="1"/>
    <col min="7" max="7" width="70.58203125" style="17" customWidth="1"/>
    <col min="8" max="8" width="9.5" style="17" customWidth="1"/>
    <col min="9" max="9" width="6.33203125" style="17" customWidth="1"/>
    <col min="10" max="10" width="16" style="17" customWidth="1"/>
    <col min="11" max="11" width="18.83203125" style="17" customWidth="1"/>
    <col min="12" max="12" width="20.5" style="17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0" t="s">
        <v>24</v>
      </c>
      <c r="C8" s="16"/>
      <c r="D8" s="16"/>
    </row>
    <row r="9" spans="2:13" x14ac:dyDescent="0.35">
      <c r="B9" s="31" t="s">
        <v>25</v>
      </c>
      <c r="C9" s="5"/>
      <c r="D9" s="5"/>
      <c r="E9" s="5"/>
      <c r="F9" s="5"/>
      <c r="G9" s="5"/>
    </row>
    <row r="10" spans="2:13" x14ac:dyDescent="0.35">
      <c r="H10" s="19"/>
      <c r="I10" s="19"/>
      <c r="J10" s="19" t="s">
        <v>29</v>
      </c>
      <c r="L10" s="19"/>
      <c r="M10" s="17"/>
    </row>
    <row r="11" spans="2:13" x14ac:dyDescent="0.35">
      <c r="B11" s="17" t="s">
        <v>0</v>
      </c>
      <c r="F11" s="17" t="s">
        <v>40</v>
      </c>
      <c r="J11" s="17" t="s">
        <v>30</v>
      </c>
      <c r="M11" s="17"/>
    </row>
    <row r="12" spans="2:13" x14ac:dyDescent="0.35">
      <c r="B12" s="17" t="s">
        <v>35</v>
      </c>
      <c r="F12" s="17" t="s">
        <v>26</v>
      </c>
      <c r="J12" s="17" t="s">
        <v>31</v>
      </c>
      <c r="K12" s="17" t="s">
        <v>41</v>
      </c>
      <c r="M12" s="17"/>
    </row>
    <row r="13" spans="2:13" x14ac:dyDescent="0.35">
      <c r="B13" s="17" t="s">
        <v>4</v>
      </c>
      <c r="F13" s="52"/>
      <c r="J13" s="17" t="s">
        <v>32</v>
      </c>
      <c r="K13" s="17" t="s">
        <v>41</v>
      </c>
      <c r="M13" s="17"/>
    </row>
    <row r="14" spans="2:13" x14ac:dyDescent="0.35">
      <c r="B14" s="17" t="s">
        <v>5</v>
      </c>
      <c r="F14" s="52"/>
      <c r="J14" s="17" t="s">
        <v>33</v>
      </c>
      <c r="K14" s="17" t="s">
        <v>41</v>
      </c>
      <c r="M14" s="17"/>
    </row>
    <row r="15" spans="2:13" x14ac:dyDescent="0.35">
      <c r="F15" s="111"/>
      <c r="G15" s="111"/>
      <c r="J15" s="17" t="s">
        <v>34</v>
      </c>
      <c r="K15" s="17" t="s">
        <v>42</v>
      </c>
      <c r="M15" s="17"/>
    </row>
    <row r="16" spans="2:13" x14ac:dyDescent="0.35">
      <c r="F16" s="6"/>
    </row>
    <row r="18" spans="2:20" s="32" customFormat="1" ht="15" customHeight="1" x14ac:dyDescent="0.35">
      <c r="B18" s="112" t="s">
        <v>0</v>
      </c>
      <c r="C18" s="113"/>
      <c r="D18" s="114"/>
      <c r="E18" s="112" t="s">
        <v>1</v>
      </c>
      <c r="F18" s="113"/>
      <c r="G18" s="114"/>
      <c r="H18" s="112" t="s">
        <v>2</v>
      </c>
      <c r="I18" s="114"/>
      <c r="J18" s="118" t="s">
        <v>3</v>
      </c>
      <c r="K18" s="118" t="s">
        <v>22</v>
      </c>
      <c r="L18" s="118" t="s">
        <v>23</v>
      </c>
    </row>
    <row r="19" spans="2:20" s="32" customFormat="1" ht="15" customHeight="1" x14ac:dyDescent="0.35">
      <c r="B19" s="115"/>
      <c r="C19" s="116"/>
      <c r="D19" s="117"/>
      <c r="E19" s="115"/>
      <c r="F19" s="116"/>
      <c r="G19" s="117"/>
      <c r="H19" s="115"/>
      <c r="I19" s="117"/>
      <c r="J19" s="119"/>
      <c r="K19" s="119"/>
      <c r="L19" s="119"/>
    </row>
    <row r="20" spans="2:20" x14ac:dyDescent="0.35">
      <c r="B20" s="54" t="s">
        <v>43</v>
      </c>
      <c r="C20" s="55"/>
      <c r="D20" s="56"/>
      <c r="E20" s="57" t="s">
        <v>10</v>
      </c>
      <c r="F20" s="57"/>
      <c r="G20" s="58"/>
      <c r="H20" s="59"/>
      <c r="I20" s="57"/>
      <c r="J20" s="42"/>
      <c r="K20" s="29"/>
      <c r="L20" s="43"/>
    </row>
    <row r="21" spans="2:20" x14ac:dyDescent="0.35">
      <c r="B21" s="60"/>
      <c r="C21" s="61"/>
      <c r="D21" s="62" t="s">
        <v>44</v>
      </c>
      <c r="E21" s="63"/>
      <c r="F21" s="63" t="s">
        <v>45</v>
      </c>
      <c r="G21" s="64"/>
      <c r="H21" s="65">
        <v>1</v>
      </c>
      <c r="I21" s="63" t="s">
        <v>46</v>
      </c>
      <c r="J21" s="49"/>
      <c r="K21" s="95"/>
      <c r="L21" s="45"/>
      <c r="M21" s="17"/>
      <c r="N21" s="122" t="s">
        <v>15</v>
      </c>
      <c r="O21" s="122"/>
    </row>
    <row r="22" spans="2:20" x14ac:dyDescent="0.35">
      <c r="B22" s="60"/>
      <c r="C22" s="61"/>
      <c r="D22" s="62" t="s">
        <v>47</v>
      </c>
      <c r="E22" s="63"/>
      <c r="F22" s="63" t="s">
        <v>48</v>
      </c>
      <c r="G22" s="64"/>
      <c r="H22" s="65">
        <v>1</v>
      </c>
      <c r="I22" s="63" t="s">
        <v>46</v>
      </c>
      <c r="J22" s="49"/>
      <c r="K22" s="95"/>
      <c r="L22" s="45"/>
      <c r="N22" s="22" t="s">
        <v>11</v>
      </c>
      <c r="O22" s="22">
        <v>26.98</v>
      </c>
      <c r="P22">
        <f>O22*O23</f>
        <v>242.82</v>
      </c>
      <c r="Q22">
        <f>O22*O23</f>
        <v>242.82</v>
      </c>
    </row>
    <row r="23" spans="2:20" x14ac:dyDescent="0.35">
      <c r="B23" s="60"/>
      <c r="C23" s="61"/>
      <c r="D23" s="62" t="s">
        <v>49</v>
      </c>
      <c r="E23" s="63"/>
      <c r="F23" s="63" t="s">
        <v>50</v>
      </c>
      <c r="G23" s="64"/>
      <c r="H23" s="65">
        <v>1</v>
      </c>
      <c r="I23" s="63" t="s">
        <v>46</v>
      </c>
      <c r="J23" s="49"/>
      <c r="K23" s="95"/>
      <c r="L23" s="45"/>
      <c r="N23" s="22" t="s">
        <v>21</v>
      </c>
      <c r="O23" s="22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60"/>
      <c r="C24" s="61"/>
      <c r="D24" s="62" t="s">
        <v>51</v>
      </c>
      <c r="E24" s="63"/>
      <c r="F24" s="63" t="s">
        <v>52</v>
      </c>
      <c r="G24" s="64"/>
      <c r="H24" s="65">
        <v>7</v>
      </c>
      <c r="I24" s="63" t="s">
        <v>53</v>
      </c>
      <c r="J24" s="49"/>
      <c r="K24" s="95"/>
      <c r="L24" s="45"/>
      <c r="N24" s="22" t="s">
        <v>12</v>
      </c>
      <c r="O24" s="22" t="e">
        <f>#REF!-#REF!</f>
        <v>#REF!</v>
      </c>
      <c r="P24">
        <f>140*50%</f>
        <v>70</v>
      </c>
    </row>
    <row r="25" spans="2:20" x14ac:dyDescent="0.35">
      <c r="B25" s="60"/>
      <c r="C25" s="61"/>
      <c r="D25" s="62" t="s">
        <v>54</v>
      </c>
      <c r="E25" s="63"/>
      <c r="F25" s="63" t="s">
        <v>55</v>
      </c>
      <c r="G25" s="64"/>
      <c r="H25" s="65">
        <v>1</v>
      </c>
      <c r="I25" s="63" t="s">
        <v>46</v>
      </c>
      <c r="J25" s="49"/>
      <c r="K25" s="95"/>
      <c r="L25" s="45"/>
      <c r="M25" s="17"/>
      <c r="N25" s="22" t="s">
        <v>13</v>
      </c>
      <c r="O25" s="22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60"/>
      <c r="C26" s="61"/>
      <c r="D26" s="62" t="s">
        <v>56</v>
      </c>
      <c r="E26" s="63"/>
      <c r="F26" s="63" t="s">
        <v>57</v>
      </c>
      <c r="G26" s="64"/>
      <c r="H26" s="65">
        <v>7</v>
      </c>
      <c r="I26" s="63" t="s">
        <v>53</v>
      </c>
      <c r="J26" s="49"/>
      <c r="K26" s="95"/>
      <c r="L26" s="45"/>
      <c r="M26" s="17"/>
      <c r="N26" s="22" t="s">
        <v>14</v>
      </c>
      <c r="O26" s="22">
        <f>(O22-5)*O23</f>
        <v>197.82</v>
      </c>
      <c r="Q26">
        <f>O23-2</f>
        <v>7</v>
      </c>
      <c r="R26" t="s">
        <v>20</v>
      </c>
    </row>
    <row r="27" spans="2:20" x14ac:dyDescent="0.35">
      <c r="B27" s="60"/>
      <c r="C27" s="61"/>
      <c r="D27" s="62" t="s">
        <v>60</v>
      </c>
      <c r="E27" s="63"/>
      <c r="F27" s="63" t="s">
        <v>61</v>
      </c>
      <c r="G27" s="64"/>
      <c r="H27" s="65">
        <v>1</v>
      </c>
      <c r="I27" s="63" t="s">
        <v>46</v>
      </c>
      <c r="J27" s="49"/>
      <c r="K27" s="95"/>
      <c r="L27" s="45"/>
      <c r="M27" s="17"/>
      <c r="N27" s="22"/>
      <c r="O27" s="22"/>
    </row>
    <row r="28" spans="2:20" x14ac:dyDescent="0.35">
      <c r="B28" s="60"/>
      <c r="C28" s="61"/>
      <c r="D28" s="62" t="s">
        <v>62</v>
      </c>
      <c r="E28" s="63"/>
      <c r="F28" s="63" t="s">
        <v>63</v>
      </c>
      <c r="G28" s="64"/>
      <c r="H28" s="65">
        <v>1</v>
      </c>
      <c r="I28" s="63" t="s">
        <v>46</v>
      </c>
      <c r="J28" s="49"/>
      <c r="K28" s="95"/>
      <c r="L28" s="45"/>
      <c r="M28" s="17"/>
      <c r="N28" s="22"/>
      <c r="O28" s="22"/>
    </row>
    <row r="29" spans="2:20" x14ac:dyDescent="0.35">
      <c r="B29" s="60"/>
      <c r="C29" s="61"/>
      <c r="D29" s="62" t="s">
        <v>64</v>
      </c>
      <c r="E29" s="63"/>
      <c r="F29" s="63" t="s">
        <v>65</v>
      </c>
      <c r="G29" s="64"/>
      <c r="H29" s="65">
        <v>7</v>
      </c>
      <c r="I29" s="63" t="s">
        <v>66</v>
      </c>
      <c r="J29" s="49"/>
      <c r="K29" s="95"/>
      <c r="L29" s="45"/>
      <c r="M29" s="17"/>
      <c r="N29" s="22"/>
      <c r="O29" s="22"/>
    </row>
    <row r="30" spans="2:20" x14ac:dyDescent="0.35">
      <c r="B30" s="54" t="s">
        <v>67</v>
      </c>
      <c r="C30" s="55"/>
      <c r="D30" s="56"/>
      <c r="E30" s="57" t="s">
        <v>68</v>
      </c>
      <c r="F30" s="57"/>
      <c r="G30" s="58"/>
      <c r="H30" s="59"/>
      <c r="I30" s="57"/>
      <c r="J30" s="49"/>
      <c r="K30" s="28"/>
      <c r="L30" s="51"/>
      <c r="M30" s="17"/>
      <c r="N30" s="22"/>
      <c r="O30" s="22"/>
    </row>
    <row r="31" spans="2:20" x14ac:dyDescent="0.35">
      <c r="B31" s="60"/>
      <c r="C31" s="61"/>
      <c r="D31" s="62" t="s">
        <v>44</v>
      </c>
      <c r="E31" s="63"/>
      <c r="F31" s="63" t="s">
        <v>69</v>
      </c>
      <c r="G31" s="64"/>
      <c r="H31" s="65"/>
      <c r="I31" s="63"/>
      <c r="J31" s="49"/>
      <c r="K31" s="28"/>
      <c r="L31" s="51"/>
      <c r="M31" s="17"/>
      <c r="N31" s="22"/>
      <c r="O31" s="22"/>
    </row>
    <row r="32" spans="2:20" x14ac:dyDescent="0.35">
      <c r="B32" s="60"/>
      <c r="C32" s="61"/>
      <c r="D32" s="62"/>
      <c r="E32" s="63"/>
      <c r="F32" s="63" t="s">
        <v>70</v>
      </c>
      <c r="G32" s="64" t="s">
        <v>71</v>
      </c>
      <c r="H32" s="65">
        <v>4</v>
      </c>
      <c r="I32" s="63" t="s">
        <v>72</v>
      </c>
      <c r="J32" s="28"/>
      <c r="K32" s="50"/>
      <c r="L32" s="45"/>
      <c r="M32" s="17"/>
      <c r="N32" s="22">
        <v>2</v>
      </c>
      <c r="O32" s="22" t="s">
        <v>16</v>
      </c>
    </row>
    <row r="33" spans="2:15" x14ac:dyDescent="0.35">
      <c r="B33" s="54" t="s">
        <v>73</v>
      </c>
      <c r="C33" s="55"/>
      <c r="D33" s="56"/>
      <c r="E33" s="57" t="s">
        <v>74</v>
      </c>
      <c r="F33" s="57"/>
      <c r="G33" s="58"/>
      <c r="H33" s="59"/>
      <c r="I33" s="57"/>
      <c r="J33" s="49"/>
      <c r="K33" s="28"/>
      <c r="L33" s="51"/>
      <c r="M33" s="17"/>
      <c r="N33" s="22">
        <v>4</v>
      </c>
      <c r="O33" s="22" t="s">
        <v>17</v>
      </c>
    </row>
    <row r="34" spans="2:15" x14ac:dyDescent="0.35">
      <c r="B34" s="60"/>
      <c r="C34" s="61"/>
      <c r="D34" s="62" t="s">
        <v>44</v>
      </c>
      <c r="E34" s="63"/>
      <c r="F34" s="63" t="s">
        <v>75</v>
      </c>
      <c r="G34" s="64"/>
      <c r="H34" s="65">
        <v>2</v>
      </c>
      <c r="I34" s="63" t="s">
        <v>76</v>
      </c>
      <c r="J34" s="45"/>
      <c r="K34" s="95"/>
      <c r="L34" s="45"/>
      <c r="M34" s="17"/>
      <c r="N34" s="22"/>
      <c r="O34" s="22"/>
    </row>
    <row r="35" spans="2:15" x14ac:dyDescent="0.35">
      <c r="B35" s="60"/>
      <c r="C35" s="61"/>
      <c r="D35" s="62" t="s">
        <v>47</v>
      </c>
      <c r="E35" s="63"/>
      <c r="F35" s="63" t="s">
        <v>77</v>
      </c>
      <c r="G35" s="64"/>
      <c r="H35" s="65">
        <v>1</v>
      </c>
      <c r="I35" s="63" t="s">
        <v>76</v>
      </c>
      <c r="J35" s="45"/>
      <c r="K35" s="95"/>
      <c r="L35" s="45"/>
      <c r="M35" s="17"/>
      <c r="N35" s="22"/>
      <c r="O35" s="22"/>
    </row>
    <row r="36" spans="2:15" x14ac:dyDescent="0.35">
      <c r="B36" s="60"/>
      <c r="C36" s="61"/>
      <c r="D36" s="62" t="s">
        <v>49</v>
      </c>
      <c r="E36" s="63"/>
      <c r="F36" s="63" t="s">
        <v>78</v>
      </c>
      <c r="G36" s="64"/>
      <c r="H36" s="65">
        <v>1</v>
      </c>
      <c r="I36" s="63" t="s">
        <v>72</v>
      </c>
      <c r="J36" s="49"/>
      <c r="K36" s="95"/>
      <c r="L36" s="45"/>
      <c r="M36" s="17"/>
      <c r="N36" s="22">
        <v>14</v>
      </c>
      <c r="O36" s="22" t="s">
        <v>18</v>
      </c>
    </row>
    <row r="37" spans="2:15" s="33" customFormat="1" x14ac:dyDescent="0.35">
      <c r="B37" s="104"/>
      <c r="C37" s="105"/>
      <c r="D37" s="106" t="s">
        <v>51</v>
      </c>
      <c r="E37" s="107"/>
      <c r="F37" s="107" t="s">
        <v>79</v>
      </c>
      <c r="G37" s="108"/>
      <c r="H37" s="109">
        <v>1</v>
      </c>
      <c r="I37" s="107" t="s">
        <v>76</v>
      </c>
      <c r="J37" s="28"/>
      <c r="K37" s="28"/>
      <c r="L37" s="51"/>
      <c r="M37" s="17"/>
      <c r="N37" s="110">
        <v>15</v>
      </c>
      <c r="O37" s="110" t="s">
        <v>27</v>
      </c>
    </row>
    <row r="38" spans="2:15" x14ac:dyDescent="0.35">
      <c r="B38" s="60"/>
      <c r="C38" s="61"/>
      <c r="D38" s="62" t="s">
        <v>80</v>
      </c>
      <c r="E38" s="63"/>
      <c r="F38" s="63" t="s">
        <v>81</v>
      </c>
      <c r="G38" s="64"/>
      <c r="H38" s="65">
        <v>4</v>
      </c>
      <c r="I38" s="63" t="s">
        <v>82</v>
      </c>
      <c r="J38" s="49"/>
      <c r="K38" s="45"/>
      <c r="L38" s="45"/>
    </row>
    <row r="39" spans="2:15" x14ac:dyDescent="0.35">
      <c r="B39" s="60"/>
      <c r="C39" s="61"/>
      <c r="D39" s="62" t="s">
        <v>54</v>
      </c>
      <c r="E39" s="63"/>
      <c r="F39" s="63" t="s">
        <v>83</v>
      </c>
      <c r="G39" s="64"/>
      <c r="H39" s="65">
        <v>4</v>
      </c>
      <c r="I39" s="63" t="s">
        <v>72</v>
      </c>
      <c r="J39" s="49"/>
      <c r="K39" s="45"/>
      <c r="L39" s="45"/>
    </row>
    <row r="40" spans="2:15" x14ac:dyDescent="0.35">
      <c r="B40" s="60"/>
      <c r="C40" s="61"/>
      <c r="D40" s="62" t="s">
        <v>56</v>
      </c>
      <c r="E40" s="63"/>
      <c r="F40" s="63" t="s">
        <v>84</v>
      </c>
      <c r="G40" s="64"/>
      <c r="H40" s="65">
        <v>1</v>
      </c>
      <c r="I40" s="63" t="s">
        <v>72</v>
      </c>
      <c r="J40" s="49"/>
      <c r="K40" s="28"/>
      <c r="L40" s="51"/>
    </row>
    <row r="41" spans="2:15" x14ac:dyDescent="0.35">
      <c r="B41" s="60"/>
      <c r="C41" s="61"/>
      <c r="D41" s="62" t="s">
        <v>58</v>
      </c>
      <c r="E41" s="63"/>
      <c r="F41" s="63" t="s">
        <v>85</v>
      </c>
      <c r="G41" s="64"/>
      <c r="H41" s="65">
        <v>1</v>
      </c>
      <c r="I41" s="63" t="s">
        <v>72</v>
      </c>
      <c r="J41" s="49"/>
      <c r="K41" s="28"/>
      <c r="L41" s="51"/>
    </row>
    <row r="42" spans="2:15" s="33" customFormat="1" x14ac:dyDescent="0.35">
      <c r="B42" s="104"/>
      <c r="C42" s="105"/>
      <c r="D42" s="106" t="s">
        <v>59</v>
      </c>
      <c r="E42" s="107"/>
      <c r="F42" s="107" t="s">
        <v>86</v>
      </c>
      <c r="G42" s="108"/>
      <c r="H42" s="109">
        <v>1</v>
      </c>
      <c r="I42" s="107" t="s">
        <v>72</v>
      </c>
      <c r="J42" s="28"/>
      <c r="K42" s="28"/>
      <c r="L42" s="51"/>
    </row>
    <row r="43" spans="2:15" s="33" customFormat="1" x14ac:dyDescent="0.35">
      <c r="B43" s="104"/>
      <c r="C43" s="105"/>
      <c r="D43" s="106" t="s">
        <v>60</v>
      </c>
      <c r="E43" s="107"/>
      <c r="F43" s="107" t="s">
        <v>87</v>
      </c>
      <c r="G43" s="108"/>
      <c r="H43" s="109">
        <v>1</v>
      </c>
      <c r="I43" s="107" t="s">
        <v>72</v>
      </c>
      <c r="J43" s="28"/>
      <c r="K43" s="28"/>
      <c r="L43" s="51"/>
    </row>
    <row r="44" spans="2:15" x14ac:dyDescent="0.35">
      <c r="B44" s="54" t="s">
        <v>88</v>
      </c>
      <c r="C44" s="55"/>
      <c r="D44" s="56"/>
      <c r="E44" s="57" t="s">
        <v>89</v>
      </c>
      <c r="F44" s="57"/>
      <c r="G44" s="58"/>
      <c r="H44" s="65"/>
      <c r="I44" s="63"/>
      <c r="J44" s="49"/>
      <c r="K44" s="28"/>
      <c r="L44" s="51"/>
    </row>
    <row r="45" spans="2:15" x14ac:dyDescent="0.35">
      <c r="B45" s="60"/>
      <c r="C45" s="61"/>
      <c r="D45" s="62" t="s">
        <v>44</v>
      </c>
      <c r="E45" s="63"/>
      <c r="F45" s="63" t="s">
        <v>90</v>
      </c>
      <c r="G45" s="64"/>
      <c r="H45" s="65">
        <v>1</v>
      </c>
      <c r="I45" s="63" t="s">
        <v>46</v>
      </c>
      <c r="J45" s="49"/>
      <c r="K45" s="95"/>
      <c r="L45" s="45"/>
    </row>
    <row r="46" spans="2:15" x14ac:dyDescent="0.35">
      <c r="B46" s="46"/>
      <c r="C46" s="47"/>
      <c r="D46" s="23"/>
      <c r="G46" s="21"/>
      <c r="J46" s="49"/>
      <c r="K46" s="28"/>
      <c r="L46" s="51"/>
    </row>
    <row r="47" spans="2:15" x14ac:dyDescent="0.35">
      <c r="B47" s="98"/>
      <c r="C47" s="99"/>
      <c r="D47" s="100"/>
      <c r="E47" s="66"/>
      <c r="F47" s="66" t="s">
        <v>91</v>
      </c>
      <c r="G47" s="67"/>
      <c r="H47" s="96"/>
      <c r="I47" s="97"/>
      <c r="J47" s="49"/>
      <c r="K47" s="28"/>
      <c r="L47" s="51"/>
    </row>
    <row r="48" spans="2:15" x14ac:dyDescent="0.35">
      <c r="B48" s="54" t="s">
        <v>43</v>
      </c>
      <c r="C48" s="55"/>
      <c r="D48" s="56"/>
      <c r="E48" s="57" t="s">
        <v>74</v>
      </c>
      <c r="F48" s="57"/>
      <c r="G48" s="58"/>
      <c r="H48" s="59"/>
      <c r="I48" s="57"/>
      <c r="J48" s="49"/>
      <c r="K48" s="28"/>
      <c r="L48" s="51"/>
    </row>
    <row r="49" spans="2:14" x14ac:dyDescent="0.35">
      <c r="B49" s="60"/>
      <c r="C49" s="61" t="s">
        <v>92</v>
      </c>
      <c r="D49" s="62"/>
      <c r="E49" s="63"/>
      <c r="F49" s="63" t="s">
        <v>93</v>
      </c>
      <c r="G49" s="64"/>
      <c r="H49" s="65"/>
      <c r="I49" s="63"/>
      <c r="J49" s="49"/>
      <c r="K49" s="28"/>
      <c r="L49" s="51"/>
    </row>
    <row r="50" spans="2:14" x14ac:dyDescent="0.35">
      <c r="B50" s="60"/>
      <c r="C50" s="61"/>
      <c r="D50" s="62" t="s">
        <v>44</v>
      </c>
      <c r="E50" s="63"/>
      <c r="F50" s="63" t="s">
        <v>94</v>
      </c>
      <c r="G50" s="64"/>
      <c r="H50" s="65">
        <v>1</v>
      </c>
      <c r="I50" s="63" t="s">
        <v>95</v>
      </c>
      <c r="J50" s="49"/>
      <c r="K50" s="28"/>
      <c r="L50" s="51"/>
    </row>
    <row r="51" spans="2:14" x14ac:dyDescent="0.35">
      <c r="B51" s="60"/>
      <c r="C51" s="61"/>
      <c r="D51" s="62"/>
      <c r="E51" s="63"/>
      <c r="F51" s="63" t="s">
        <v>70</v>
      </c>
      <c r="G51" s="64" t="s">
        <v>145</v>
      </c>
      <c r="H51" s="65"/>
      <c r="I51" s="63"/>
      <c r="J51" s="49"/>
      <c r="K51" s="28"/>
      <c r="L51" s="51"/>
      <c r="M51" s="102">
        <f>J51*H51</f>
        <v>0</v>
      </c>
    </row>
    <row r="52" spans="2:14" x14ac:dyDescent="0.35">
      <c r="B52" s="60"/>
      <c r="C52" s="61"/>
      <c r="D52" s="62"/>
      <c r="E52" s="63"/>
      <c r="F52" s="63" t="s">
        <v>70</v>
      </c>
      <c r="G52" s="64" t="s">
        <v>96</v>
      </c>
      <c r="H52" s="101"/>
      <c r="I52" s="63"/>
      <c r="J52" s="49"/>
      <c r="K52" s="28"/>
      <c r="L52" s="51"/>
      <c r="M52" s="102">
        <f t="shared" ref="M52:M66" si="0">J52*H52</f>
        <v>0</v>
      </c>
    </row>
    <row r="53" spans="2:14" x14ac:dyDescent="0.35">
      <c r="B53" s="60"/>
      <c r="C53" s="61"/>
      <c r="D53" s="62"/>
      <c r="E53" s="63"/>
      <c r="F53" s="63" t="s">
        <v>70</v>
      </c>
      <c r="G53" s="64" t="s">
        <v>97</v>
      </c>
      <c r="H53" s="101"/>
      <c r="I53" s="63"/>
      <c r="J53" s="49"/>
      <c r="K53" s="28"/>
      <c r="L53" s="51"/>
      <c r="M53" s="102">
        <f t="shared" si="0"/>
        <v>0</v>
      </c>
    </row>
    <row r="54" spans="2:14" x14ac:dyDescent="0.35">
      <c r="B54" s="60"/>
      <c r="C54" s="61"/>
      <c r="D54" s="62"/>
      <c r="E54" s="63"/>
      <c r="F54" s="63" t="s">
        <v>70</v>
      </c>
      <c r="G54" s="64" t="s">
        <v>98</v>
      </c>
      <c r="H54" s="101"/>
      <c r="I54" s="63"/>
      <c r="J54" s="49"/>
      <c r="K54" s="28"/>
      <c r="L54" s="51"/>
      <c r="M54" s="102">
        <f t="shared" si="0"/>
        <v>0</v>
      </c>
    </row>
    <row r="55" spans="2:14" x14ac:dyDescent="0.35">
      <c r="B55" s="60"/>
      <c r="C55" s="61"/>
      <c r="D55" s="62"/>
      <c r="E55" s="63"/>
      <c r="F55" s="63" t="s">
        <v>70</v>
      </c>
      <c r="G55" s="64" t="s">
        <v>99</v>
      </c>
      <c r="H55" s="101"/>
      <c r="I55" s="63"/>
      <c r="J55" s="49"/>
      <c r="K55" s="28"/>
      <c r="L55" s="51"/>
      <c r="M55" s="102">
        <f t="shared" si="0"/>
        <v>0</v>
      </c>
    </row>
    <row r="56" spans="2:14" x14ac:dyDescent="0.35">
      <c r="B56" s="60"/>
      <c r="C56" s="61"/>
      <c r="D56" s="62"/>
      <c r="E56" s="63"/>
      <c r="F56" s="63" t="s">
        <v>70</v>
      </c>
      <c r="G56" s="64" t="s">
        <v>100</v>
      </c>
      <c r="H56" s="101"/>
      <c r="I56" s="63"/>
      <c r="J56" s="49"/>
      <c r="K56" s="28"/>
      <c r="L56" s="51"/>
      <c r="M56" s="102">
        <f t="shared" si="0"/>
        <v>0</v>
      </c>
      <c r="N56" s="103">
        <f>SUM(M51:M56)*150%</f>
        <v>0</v>
      </c>
    </row>
    <row r="57" spans="2:14" x14ac:dyDescent="0.35">
      <c r="B57" s="60"/>
      <c r="C57" s="61"/>
      <c r="D57" s="62" t="s">
        <v>47</v>
      </c>
      <c r="E57" s="63"/>
      <c r="F57" s="63" t="s">
        <v>101</v>
      </c>
      <c r="G57" s="64"/>
      <c r="H57" s="65">
        <v>1</v>
      </c>
      <c r="I57" s="63" t="s">
        <v>95</v>
      </c>
      <c r="J57" s="49"/>
      <c r="K57" s="28"/>
      <c r="L57" s="51"/>
    </row>
    <row r="58" spans="2:14" x14ac:dyDescent="0.35">
      <c r="B58" s="60"/>
      <c r="C58" s="61"/>
      <c r="D58" s="62"/>
      <c r="E58" s="63"/>
      <c r="F58" s="63" t="s">
        <v>70</v>
      </c>
      <c r="G58" s="64" t="s">
        <v>102</v>
      </c>
      <c r="H58" s="101"/>
      <c r="I58" s="63"/>
      <c r="J58" s="49"/>
      <c r="K58" s="28"/>
      <c r="L58" s="51"/>
      <c r="M58" s="102">
        <f t="shared" si="0"/>
        <v>0</v>
      </c>
    </row>
    <row r="59" spans="2:14" x14ac:dyDescent="0.35">
      <c r="B59" s="60"/>
      <c r="C59" s="61"/>
      <c r="D59" s="62"/>
      <c r="E59" s="63"/>
      <c r="F59" s="63" t="s">
        <v>70</v>
      </c>
      <c r="G59" s="64" t="s">
        <v>103</v>
      </c>
      <c r="H59" s="101"/>
      <c r="I59" s="63"/>
      <c r="J59" s="49"/>
      <c r="K59" s="28"/>
      <c r="L59" s="51"/>
      <c r="M59" s="102">
        <f t="shared" si="0"/>
        <v>0</v>
      </c>
    </row>
    <row r="60" spans="2:14" x14ac:dyDescent="0.35">
      <c r="B60" s="60"/>
      <c r="C60" s="61"/>
      <c r="D60" s="62"/>
      <c r="E60" s="63"/>
      <c r="F60" s="63" t="s">
        <v>70</v>
      </c>
      <c r="G60" s="64" t="s">
        <v>104</v>
      </c>
      <c r="H60" s="101"/>
      <c r="I60" s="63"/>
      <c r="J60" s="49"/>
      <c r="K60" s="28"/>
      <c r="L60" s="51"/>
      <c r="M60" s="102">
        <f t="shared" si="0"/>
        <v>0</v>
      </c>
    </row>
    <row r="61" spans="2:14" x14ac:dyDescent="0.35">
      <c r="B61" s="60"/>
      <c r="C61" s="61"/>
      <c r="D61" s="62"/>
      <c r="E61" s="63"/>
      <c r="F61" s="63" t="s">
        <v>70</v>
      </c>
      <c r="G61" s="64" t="s">
        <v>105</v>
      </c>
      <c r="H61" s="101"/>
      <c r="I61" s="63"/>
      <c r="J61" s="49"/>
      <c r="K61" s="28"/>
      <c r="L61" s="51"/>
      <c r="M61" s="102">
        <f t="shared" si="0"/>
        <v>0</v>
      </c>
    </row>
    <row r="62" spans="2:14" x14ac:dyDescent="0.35">
      <c r="B62" s="60"/>
      <c r="C62" s="61"/>
      <c r="D62" s="62"/>
      <c r="E62" s="63"/>
      <c r="F62" s="63" t="s">
        <v>70</v>
      </c>
      <c r="G62" s="64" t="s">
        <v>106</v>
      </c>
      <c r="H62" s="101"/>
      <c r="I62" s="63"/>
      <c r="J62" s="49"/>
      <c r="K62" s="28"/>
      <c r="L62" s="51"/>
      <c r="M62" s="102">
        <f t="shared" si="0"/>
        <v>0</v>
      </c>
    </row>
    <row r="63" spans="2:14" x14ac:dyDescent="0.35">
      <c r="B63" s="60"/>
      <c r="C63" s="61"/>
      <c r="D63" s="62"/>
      <c r="E63" s="63"/>
      <c r="F63" s="63" t="s">
        <v>70</v>
      </c>
      <c r="G63" s="64" t="s">
        <v>107</v>
      </c>
      <c r="H63" s="101"/>
      <c r="I63" s="63"/>
      <c r="J63" s="49"/>
      <c r="K63" s="28"/>
      <c r="L63" s="51"/>
      <c r="M63" s="102">
        <f t="shared" si="0"/>
        <v>0</v>
      </c>
    </row>
    <row r="64" spans="2:14" x14ac:dyDescent="0.35">
      <c r="B64" s="60"/>
      <c r="C64" s="61"/>
      <c r="D64" s="62"/>
      <c r="E64" s="63"/>
      <c r="F64" s="63" t="s">
        <v>70</v>
      </c>
      <c r="G64" s="64" t="s">
        <v>108</v>
      </c>
      <c r="H64" s="101"/>
      <c r="I64" s="63"/>
      <c r="J64" s="49"/>
      <c r="K64" s="28"/>
      <c r="L64" s="51"/>
      <c r="M64" s="102">
        <f t="shared" si="0"/>
        <v>0</v>
      </c>
    </row>
    <row r="65" spans="2:15" x14ac:dyDescent="0.35">
      <c r="B65" s="60"/>
      <c r="C65" s="61"/>
      <c r="D65" s="62"/>
      <c r="E65" s="63"/>
      <c r="F65" s="63" t="s">
        <v>70</v>
      </c>
      <c r="G65" s="64" t="s">
        <v>109</v>
      </c>
      <c r="H65" s="101"/>
      <c r="I65" s="63"/>
      <c r="J65" s="49"/>
      <c r="K65" s="28"/>
      <c r="L65" s="51"/>
      <c r="M65" s="102">
        <f t="shared" si="0"/>
        <v>0</v>
      </c>
    </row>
    <row r="66" spans="2:15" ht="17.5" customHeight="1" x14ac:dyDescent="0.35">
      <c r="B66" s="60"/>
      <c r="C66" s="61"/>
      <c r="D66" s="62"/>
      <c r="E66" s="63"/>
      <c r="F66" s="63" t="s">
        <v>70</v>
      </c>
      <c r="G66" s="64" t="s">
        <v>110</v>
      </c>
      <c r="H66" s="101"/>
      <c r="I66" s="63"/>
      <c r="J66" s="49"/>
      <c r="K66" s="50"/>
      <c r="L66" s="45"/>
      <c r="M66" s="102">
        <f t="shared" si="0"/>
        <v>0</v>
      </c>
    </row>
    <row r="67" spans="2:15" ht="17.5" customHeight="1" x14ac:dyDescent="0.35">
      <c r="B67" s="60"/>
      <c r="C67" s="61"/>
      <c r="D67" s="62"/>
      <c r="E67" s="63"/>
      <c r="F67" s="63"/>
      <c r="G67" s="64"/>
      <c r="H67" s="101"/>
      <c r="I67" s="63"/>
      <c r="J67" s="49"/>
      <c r="K67" s="50"/>
      <c r="L67" s="45"/>
      <c r="M67" s="102"/>
    </row>
    <row r="68" spans="2:15" ht="17.5" customHeight="1" x14ac:dyDescent="0.35">
      <c r="B68" s="60"/>
      <c r="C68" s="61"/>
      <c r="D68" s="62"/>
      <c r="E68" s="63"/>
      <c r="F68" s="63"/>
      <c r="G68" s="64"/>
      <c r="H68" s="101"/>
      <c r="I68" s="63"/>
      <c r="J68" s="49"/>
      <c r="K68" s="50"/>
      <c r="L68" s="45"/>
      <c r="M68" s="102"/>
    </row>
    <row r="69" spans="2:15" ht="17.5" customHeight="1" x14ac:dyDescent="0.35">
      <c r="B69" s="60"/>
      <c r="C69" s="61"/>
      <c r="D69" s="62"/>
      <c r="E69" s="63"/>
      <c r="F69" s="63"/>
      <c r="G69" s="64"/>
      <c r="H69" s="101"/>
      <c r="I69" s="63"/>
      <c r="J69" s="49"/>
      <c r="K69" s="50"/>
      <c r="L69" s="45"/>
      <c r="M69" s="102"/>
    </row>
    <row r="70" spans="2:15" ht="17.5" customHeight="1" x14ac:dyDescent="0.35">
      <c r="B70" s="60"/>
      <c r="C70" s="61"/>
      <c r="D70" s="62"/>
      <c r="E70" s="63"/>
      <c r="F70" s="63"/>
      <c r="G70" s="64"/>
      <c r="H70" s="101"/>
      <c r="I70" s="63"/>
      <c r="J70" s="49"/>
      <c r="K70" s="50"/>
      <c r="L70" s="45"/>
      <c r="M70" s="102"/>
    </row>
    <row r="71" spans="2:15" x14ac:dyDescent="0.35">
      <c r="B71" s="46"/>
      <c r="C71" s="47"/>
      <c r="D71" s="23"/>
      <c r="G71" s="21"/>
      <c r="I71" s="21"/>
      <c r="J71" s="49"/>
      <c r="K71" s="28"/>
      <c r="L71" s="51"/>
    </row>
    <row r="72" spans="2:15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0</v>
      </c>
      <c r="L72" s="7">
        <f>SUM(L20:L71)</f>
        <v>0</v>
      </c>
      <c r="M72" s="33"/>
      <c r="N72" s="33"/>
      <c r="O72" s="15"/>
    </row>
    <row r="73" spans="2:15" x14ac:dyDescent="0.35">
      <c r="B73" s="8"/>
      <c r="C73" s="9"/>
      <c r="D73" s="9"/>
      <c r="E73" s="4"/>
      <c r="F73" s="4"/>
      <c r="G73" s="4"/>
      <c r="H73" s="1"/>
      <c r="I73" s="1"/>
      <c r="J73" s="11"/>
      <c r="K73" s="34" t="s">
        <v>22</v>
      </c>
      <c r="L73" s="35" t="s">
        <v>23</v>
      </c>
      <c r="M73" s="33"/>
      <c r="N73" s="33"/>
      <c r="O73" s="15"/>
    </row>
    <row r="74" spans="2:15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M74" s="33"/>
      <c r="N74" s="33"/>
      <c r="O74" s="15"/>
    </row>
    <row r="75" spans="2:15" x14ac:dyDescent="0.35">
      <c r="B75" s="36"/>
      <c r="C75" s="1"/>
      <c r="D75" s="1"/>
      <c r="E75" s="37"/>
      <c r="F75" s="37"/>
      <c r="G75" s="37"/>
      <c r="H75" s="1"/>
      <c r="I75" s="1"/>
      <c r="J75" s="1"/>
      <c r="K75" s="1"/>
      <c r="L75" s="18"/>
    </row>
    <row r="76" spans="2:15" x14ac:dyDescent="0.35">
      <c r="B76" s="27" t="s">
        <v>6</v>
      </c>
      <c r="C76" s="26"/>
      <c r="D76" s="26"/>
      <c r="E76" s="25"/>
      <c r="F76" s="25"/>
      <c r="G76" s="5"/>
      <c r="K76" s="123" t="s">
        <v>39</v>
      </c>
      <c r="L76" s="124"/>
    </row>
    <row r="77" spans="2:15" x14ac:dyDescent="0.35">
      <c r="B77" s="27">
        <v>1</v>
      </c>
      <c r="C77" s="26"/>
      <c r="D77" s="26"/>
      <c r="E77" s="25" t="s">
        <v>7</v>
      </c>
      <c r="F77" s="25"/>
      <c r="G77" s="5"/>
      <c r="K77" s="123" t="s">
        <v>28</v>
      </c>
      <c r="L77" s="124"/>
    </row>
    <row r="78" spans="2:15" x14ac:dyDescent="0.35">
      <c r="B78" s="38"/>
      <c r="C78" s="26"/>
      <c r="D78" s="26"/>
      <c r="E78" s="25"/>
      <c r="F78" s="25"/>
      <c r="G78" s="5"/>
      <c r="J78" s="24"/>
      <c r="K78" s="24"/>
      <c r="L78" s="23"/>
    </row>
    <row r="79" spans="2:15" x14ac:dyDescent="0.35">
      <c r="B79" s="27"/>
      <c r="C79" s="26"/>
      <c r="D79" s="26"/>
      <c r="E79" s="25"/>
      <c r="F79" s="25"/>
      <c r="G79" s="5"/>
      <c r="L79" s="21"/>
    </row>
    <row r="80" spans="2:15" x14ac:dyDescent="0.35">
      <c r="B80" s="44"/>
      <c r="E80" s="5"/>
      <c r="F80" s="5"/>
      <c r="G80" s="5"/>
      <c r="L80" s="21"/>
    </row>
    <row r="81" spans="2:14" x14ac:dyDescent="0.35">
      <c r="B81" s="44"/>
      <c r="E81" s="5"/>
      <c r="F81" s="5"/>
      <c r="G81" s="5"/>
      <c r="L81" s="21"/>
    </row>
    <row r="82" spans="2:14" x14ac:dyDescent="0.35">
      <c r="B82" s="44"/>
      <c r="E82" s="5"/>
      <c r="F82" s="5"/>
      <c r="G82" s="5"/>
      <c r="L82" s="21"/>
    </row>
    <row r="83" spans="2:14" x14ac:dyDescent="0.35">
      <c r="B83" s="44"/>
      <c r="E83" s="5"/>
      <c r="F83" s="5"/>
      <c r="G83" s="5"/>
      <c r="J83" s="39"/>
      <c r="K83" s="125" t="s">
        <v>37</v>
      </c>
      <c r="L83" s="126"/>
      <c r="M83" s="39"/>
    </row>
    <row r="84" spans="2:14" x14ac:dyDescent="0.35">
      <c r="B84" s="44"/>
      <c r="K84" s="127" t="s">
        <v>38</v>
      </c>
      <c r="L84" s="128"/>
      <c r="M84" s="41"/>
    </row>
    <row r="85" spans="2:14" x14ac:dyDescent="0.35">
      <c r="B85" s="120"/>
      <c r="C85" s="121"/>
      <c r="D85" s="121"/>
      <c r="E85" s="40"/>
      <c r="F85" s="40"/>
      <c r="G85" s="40"/>
      <c r="H85" s="2"/>
      <c r="I85" s="2"/>
      <c r="J85" s="2"/>
      <c r="K85" s="2"/>
      <c r="L85" s="20"/>
    </row>
    <row r="86" spans="2:14" x14ac:dyDescent="0.35">
      <c r="B86" s="46"/>
      <c r="C86" s="47"/>
      <c r="D86" s="48"/>
      <c r="G86" s="21"/>
      <c r="H86" s="1"/>
      <c r="I86" s="1"/>
      <c r="J86" s="42"/>
      <c r="K86" s="29"/>
      <c r="L86" s="43"/>
    </row>
    <row r="87" spans="2:14" x14ac:dyDescent="0.35">
      <c r="B87" s="60"/>
      <c r="C87" s="61"/>
      <c r="D87" s="62"/>
      <c r="E87" s="63"/>
      <c r="F87" s="63" t="s">
        <v>70</v>
      </c>
      <c r="G87" s="64" t="s">
        <v>111</v>
      </c>
      <c r="H87" s="101"/>
      <c r="I87" s="63"/>
      <c r="J87" s="49"/>
      <c r="K87" s="50"/>
      <c r="L87" s="45"/>
      <c r="M87" s="102">
        <f t="shared" ref="M87:M89" si="1">J87*H87</f>
        <v>0</v>
      </c>
    </row>
    <row r="88" spans="2:14" x14ac:dyDescent="0.35">
      <c r="B88" s="60"/>
      <c r="C88" s="61"/>
      <c r="D88" s="62"/>
      <c r="E88" s="63"/>
      <c r="F88" s="63" t="s">
        <v>70</v>
      </c>
      <c r="G88" s="64" t="s">
        <v>112</v>
      </c>
      <c r="H88" s="101"/>
      <c r="I88" s="63"/>
      <c r="J88" s="49"/>
      <c r="K88" s="50"/>
      <c r="L88" s="45"/>
      <c r="M88" s="102">
        <f t="shared" si="1"/>
        <v>0</v>
      </c>
    </row>
    <row r="89" spans="2:14" x14ac:dyDescent="0.35">
      <c r="B89" s="60"/>
      <c r="C89" s="61"/>
      <c r="D89" s="62"/>
      <c r="E89" s="63"/>
      <c r="F89" s="63" t="s">
        <v>70</v>
      </c>
      <c r="G89" s="64" t="s">
        <v>146</v>
      </c>
      <c r="H89" s="65"/>
      <c r="I89" s="63"/>
      <c r="J89" s="49"/>
      <c r="K89" s="28"/>
      <c r="L89" s="51"/>
      <c r="M89" s="102">
        <f t="shared" si="1"/>
        <v>0</v>
      </c>
      <c r="N89" s="103">
        <f>SUM(M58:M89)*150%</f>
        <v>0</v>
      </c>
    </row>
    <row r="90" spans="2:14" x14ac:dyDescent="0.35">
      <c r="B90" s="60"/>
      <c r="C90" s="61"/>
      <c r="D90" s="62" t="s">
        <v>49</v>
      </c>
      <c r="E90" s="63"/>
      <c r="F90" s="63" t="s">
        <v>142</v>
      </c>
      <c r="G90" s="64"/>
      <c r="H90" s="65">
        <v>1</v>
      </c>
      <c r="I90" s="63" t="s">
        <v>95</v>
      </c>
      <c r="J90" s="49"/>
      <c r="K90" s="28"/>
      <c r="L90" s="51"/>
    </row>
    <row r="91" spans="2:14" x14ac:dyDescent="0.35">
      <c r="B91" s="60"/>
      <c r="C91" s="61"/>
      <c r="D91" s="62"/>
      <c r="E91" s="63"/>
      <c r="F91" s="63" t="s">
        <v>70</v>
      </c>
      <c r="G91" s="64" t="s">
        <v>143</v>
      </c>
      <c r="H91" s="65"/>
      <c r="I91" s="63"/>
      <c r="J91" s="49"/>
      <c r="K91" s="28"/>
      <c r="L91" s="51"/>
    </row>
    <row r="92" spans="2:14" x14ac:dyDescent="0.35">
      <c r="B92" s="60"/>
      <c r="C92" s="61"/>
      <c r="D92" s="62" t="s">
        <v>51</v>
      </c>
      <c r="E92" s="63"/>
      <c r="F92" s="63" t="s">
        <v>113</v>
      </c>
      <c r="G92" s="64"/>
      <c r="H92" s="65">
        <v>1</v>
      </c>
      <c r="I92" s="63" t="s">
        <v>95</v>
      </c>
      <c r="J92" s="49"/>
      <c r="K92" s="28"/>
      <c r="L92" s="51"/>
    </row>
    <row r="93" spans="2:14" x14ac:dyDescent="0.35">
      <c r="B93" s="60"/>
      <c r="C93" s="61"/>
      <c r="D93" s="62"/>
      <c r="E93" s="63"/>
      <c r="F93" s="63" t="s">
        <v>70</v>
      </c>
      <c r="G93" s="64" t="s">
        <v>144</v>
      </c>
      <c r="H93" s="65"/>
      <c r="I93" s="63"/>
      <c r="J93" s="49"/>
      <c r="K93" s="28"/>
      <c r="L93" s="51"/>
    </row>
    <row r="94" spans="2:14" x14ac:dyDescent="0.35">
      <c r="B94" s="60"/>
      <c r="C94" s="61" t="s">
        <v>114</v>
      </c>
      <c r="D94" s="62"/>
      <c r="E94" s="63"/>
      <c r="F94" s="63" t="s">
        <v>115</v>
      </c>
      <c r="G94" s="64"/>
      <c r="H94" s="65"/>
      <c r="I94" s="63"/>
      <c r="J94" s="49"/>
      <c r="K94" s="28"/>
      <c r="L94" s="51"/>
    </row>
    <row r="95" spans="2:14" x14ac:dyDescent="0.35">
      <c r="B95" s="60"/>
      <c r="C95" s="61"/>
      <c r="D95" s="62" t="s">
        <v>44</v>
      </c>
      <c r="E95" s="63"/>
      <c r="F95" s="63" t="s">
        <v>116</v>
      </c>
      <c r="G95" s="64"/>
      <c r="H95" s="65">
        <v>1</v>
      </c>
      <c r="I95" s="63" t="s">
        <v>95</v>
      </c>
      <c r="J95" s="49"/>
      <c r="K95" s="28"/>
      <c r="L95" s="51"/>
    </row>
    <row r="96" spans="2:14" x14ac:dyDescent="0.35">
      <c r="B96" s="60"/>
      <c r="C96" s="61"/>
      <c r="D96" s="62"/>
      <c r="E96" s="63"/>
      <c r="F96" s="63" t="s">
        <v>70</v>
      </c>
      <c r="G96" s="64" t="s">
        <v>117</v>
      </c>
      <c r="H96" s="65"/>
      <c r="I96" s="63"/>
      <c r="J96" s="49"/>
      <c r="K96" s="28"/>
      <c r="L96" s="51"/>
    </row>
    <row r="97" spans="2:12" x14ac:dyDescent="0.35">
      <c r="B97" s="60"/>
      <c r="C97" s="61"/>
      <c r="D97" s="62"/>
      <c r="E97" s="63"/>
      <c r="F97" s="63" t="s">
        <v>70</v>
      </c>
      <c r="G97" s="64" t="s">
        <v>147</v>
      </c>
      <c r="H97" s="65"/>
      <c r="I97" s="63"/>
      <c r="J97" s="49"/>
      <c r="K97" s="28"/>
      <c r="L97" s="51"/>
    </row>
    <row r="98" spans="2:12" x14ac:dyDescent="0.35">
      <c r="B98" s="60"/>
      <c r="C98" s="61"/>
      <c r="D98" s="62"/>
      <c r="E98" s="63"/>
      <c r="F98" s="63" t="s">
        <v>70</v>
      </c>
      <c r="G98" s="64" t="s">
        <v>148</v>
      </c>
      <c r="H98" s="65"/>
      <c r="I98" s="63"/>
      <c r="J98" s="49"/>
      <c r="K98" s="28"/>
      <c r="L98" s="51"/>
    </row>
    <row r="99" spans="2:12" x14ac:dyDescent="0.35">
      <c r="B99" s="60"/>
      <c r="C99" s="61"/>
      <c r="D99" s="62"/>
      <c r="E99" s="63"/>
      <c r="F99" s="63" t="s">
        <v>70</v>
      </c>
      <c r="G99" s="64" t="s">
        <v>118</v>
      </c>
      <c r="H99" s="101"/>
      <c r="I99" s="63"/>
      <c r="J99" s="49"/>
      <c r="K99" s="28"/>
      <c r="L99" s="51"/>
    </row>
    <row r="100" spans="2:12" x14ac:dyDescent="0.35">
      <c r="B100" s="60"/>
      <c r="C100" s="61"/>
      <c r="D100" s="62"/>
      <c r="E100" s="63"/>
      <c r="F100" s="63" t="s">
        <v>70</v>
      </c>
      <c r="G100" s="64" t="s">
        <v>119</v>
      </c>
      <c r="H100" s="101"/>
      <c r="I100" s="63"/>
      <c r="J100" s="49"/>
      <c r="K100" s="28"/>
      <c r="L100" s="51"/>
    </row>
    <row r="101" spans="2:12" x14ac:dyDescent="0.35">
      <c r="B101" s="60"/>
      <c r="C101" s="61"/>
      <c r="D101" s="62"/>
      <c r="E101" s="63"/>
      <c r="F101" s="63" t="s">
        <v>70</v>
      </c>
      <c r="G101" s="64" t="s">
        <v>120</v>
      </c>
      <c r="H101" s="65"/>
      <c r="I101" s="63"/>
      <c r="J101" s="49"/>
      <c r="K101" s="28"/>
      <c r="L101" s="51"/>
    </row>
    <row r="102" spans="2:12" x14ac:dyDescent="0.35">
      <c r="B102" s="60"/>
      <c r="C102" s="61" t="s">
        <v>121</v>
      </c>
      <c r="D102" s="62"/>
      <c r="E102" s="63"/>
      <c r="F102" s="63" t="s">
        <v>122</v>
      </c>
      <c r="G102" s="64"/>
      <c r="H102" s="65"/>
      <c r="I102" s="63"/>
      <c r="J102" s="49"/>
      <c r="K102" s="28"/>
      <c r="L102" s="51"/>
    </row>
    <row r="103" spans="2:12" x14ac:dyDescent="0.35">
      <c r="B103" s="60"/>
      <c r="C103" s="61"/>
      <c r="D103" s="62" t="s">
        <v>44</v>
      </c>
      <c r="E103" s="63"/>
      <c r="F103" s="63" t="s">
        <v>123</v>
      </c>
      <c r="G103" s="64"/>
      <c r="H103" s="65">
        <v>1</v>
      </c>
      <c r="I103" s="63" t="s">
        <v>46</v>
      </c>
      <c r="J103" s="49"/>
      <c r="K103" s="28"/>
      <c r="L103" s="51"/>
    </row>
    <row r="104" spans="2:12" x14ac:dyDescent="0.35">
      <c r="B104" s="60"/>
      <c r="C104" s="61"/>
      <c r="D104" s="62" t="s">
        <v>47</v>
      </c>
      <c r="E104" s="63"/>
      <c r="F104" s="63" t="s">
        <v>124</v>
      </c>
      <c r="G104" s="64"/>
      <c r="H104" s="65">
        <v>1</v>
      </c>
      <c r="I104" s="63" t="s">
        <v>46</v>
      </c>
      <c r="J104" s="49"/>
      <c r="K104" s="28"/>
      <c r="L104" s="51"/>
    </row>
    <row r="105" spans="2:12" x14ac:dyDescent="0.35">
      <c r="B105" s="60"/>
      <c r="C105" s="61"/>
      <c r="D105" s="62"/>
      <c r="E105" s="63"/>
      <c r="F105" s="63" t="s">
        <v>70</v>
      </c>
      <c r="G105" s="64" t="s">
        <v>125</v>
      </c>
      <c r="H105" s="65">
        <v>5</v>
      </c>
      <c r="I105" s="63" t="s">
        <v>126</v>
      </c>
      <c r="J105" s="28"/>
      <c r="K105" s="50"/>
      <c r="L105" s="45"/>
    </row>
    <row r="106" spans="2:12" x14ac:dyDescent="0.35">
      <c r="B106" s="60"/>
      <c r="C106" s="61"/>
      <c r="D106" s="62"/>
      <c r="E106" s="63"/>
      <c r="F106" s="63" t="s">
        <v>70</v>
      </c>
      <c r="G106" s="64" t="s">
        <v>127</v>
      </c>
      <c r="H106" s="65">
        <v>5</v>
      </c>
      <c r="I106" s="63" t="s">
        <v>126</v>
      </c>
      <c r="J106" s="28"/>
      <c r="K106" s="50"/>
      <c r="L106" s="45"/>
    </row>
    <row r="107" spans="2:12" x14ac:dyDescent="0.35">
      <c r="B107" s="60"/>
      <c r="C107" s="61"/>
      <c r="D107" s="62"/>
      <c r="E107" s="63"/>
      <c r="F107" s="63" t="s">
        <v>70</v>
      </c>
      <c r="G107" s="64" t="s">
        <v>128</v>
      </c>
      <c r="H107" s="65">
        <v>5</v>
      </c>
      <c r="I107" s="63" t="s">
        <v>126</v>
      </c>
      <c r="J107" s="28"/>
      <c r="K107" s="50"/>
      <c r="L107" s="45"/>
    </row>
    <row r="108" spans="2:12" x14ac:dyDescent="0.35">
      <c r="B108" s="60"/>
      <c r="C108" s="61"/>
      <c r="D108" s="62"/>
      <c r="E108" s="63"/>
      <c r="F108" s="63"/>
      <c r="G108" s="64"/>
      <c r="H108" s="65"/>
      <c r="I108" s="63"/>
      <c r="J108" s="49"/>
      <c r="K108" s="28"/>
      <c r="L108" s="51"/>
    </row>
    <row r="109" spans="2:12" x14ac:dyDescent="0.35">
      <c r="B109" s="54" t="s">
        <v>67</v>
      </c>
      <c r="C109" s="55"/>
      <c r="D109" s="56"/>
      <c r="E109" s="57" t="s">
        <v>129</v>
      </c>
      <c r="F109" s="57"/>
      <c r="G109" s="58"/>
      <c r="H109" s="59"/>
      <c r="I109" s="57"/>
      <c r="J109" s="49"/>
      <c r="K109" s="28"/>
      <c r="L109" s="51"/>
    </row>
    <row r="110" spans="2:12" x14ac:dyDescent="0.35">
      <c r="B110" s="60"/>
      <c r="C110" s="61" t="s">
        <v>130</v>
      </c>
      <c r="D110" s="62"/>
      <c r="E110" s="63"/>
      <c r="F110" s="63" t="s">
        <v>131</v>
      </c>
      <c r="G110" s="64"/>
      <c r="H110" s="65"/>
      <c r="I110" s="63"/>
      <c r="J110" s="49"/>
      <c r="K110" s="28"/>
      <c r="L110" s="51"/>
    </row>
    <row r="111" spans="2:12" x14ac:dyDescent="0.35">
      <c r="B111" s="60"/>
      <c r="C111" s="61"/>
      <c r="D111" s="62" t="s">
        <v>44</v>
      </c>
      <c r="E111" s="63"/>
      <c r="F111" s="63" t="s">
        <v>132</v>
      </c>
      <c r="G111" s="64"/>
      <c r="H111" s="65">
        <v>1</v>
      </c>
      <c r="I111" s="63" t="s">
        <v>46</v>
      </c>
      <c r="J111" s="49"/>
      <c r="K111" s="28"/>
      <c r="L111" s="51"/>
    </row>
    <row r="112" spans="2:12" x14ac:dyDescent="0.35">
      <c r="B112" s="60"/>
      <c r="C112" s="61"/>
      <c r="D112" s="62"/>
      <c r="E112" s="63"/>
      <c r="F112" s="63" t="s">
        <v>70</v>
      </c>
      <c r="G112" s="64" t="s">
        <v>133</v>
      </c>
      <c r="H112" s="65"/>
      <c r="I112" s="63"/>
      <c r="J112" s="49"/>
      <c r="K112" s="28"/>
      <c r="L112" s="51"/>
    </row>
    <row r="113" spans="2:12" x14ac:dyDescent="0.35">
      <c r="B113" s="68"/>
      <c r="C113" s="69"/>
      <c r="D113" s="70"/>
      <c r="E113" s="71"/>
      <c r="F113" s="71" t="s">
        <v>70</v>
      </c>
      <c r="G113" s="71" t="s">
        <v>134</v>
      </c>
      <c r="H113" s="72"/>
      <c r="I113" s="73"/>
      <c r="J113" s="49"/>
      <c r="K113" s="28"/>
      <c r="L113" s="51"/>
    </row>
    <row r="114" spans="2:12" x14ac:dyDescent="0.35">
      <c r="B114" s="74"/>
      <c r="C114" s="75"/>
      <c r="D114" s="75"/>
      <c r="E114" s="76"/>
      <c r="F114" s="63" t="s">
        <v>70</v>
      </c>
      <c r="G114" s="64" t="s">
        <v>135</v>
      </c>
      <c r="H114" s="63"/>
      <c r="I114" s="77"/>
      <c r="J114" s="49"/>
      <c r="K114" s="28"/>
      <c r="L114" s="51"/>
    </row>
    <row r="115" spans="2:12" x14ac:dyDescent="0.35">
      <c r="B115" s="78"/>
      <c r="C115" s="79"/>
      <c r="D115" s="80"/>
      <c r="E115" s="81"/>
      <c r="F115" s="63" t="s">
        <v>70</v>
      </c>
      <c r="G115" s="64" t="s">
        <v>136</v>
      </c>
      <c r="H115" s="65"/>
      <c r="I115" s="82"/>
      <c r="J115" s="49"/>
      <c r="K115" s="28"/>
      <c r="L115" s="51"/>
    </row>
    <row r="116" spans="2:12" x14ac:dyDescent="0.35">
      <c r="B116" s="83"/>
      <c r="C116" s="75"/>
      <c r="D116" s="84"/>
      <c r="E116" s="75"/>
      <c r="F116" s="63" t="s">
        <v>70</v>
      </c>
      <c r="G116" s="64" t="s">
        <v>137</v>
      </c>
      <c r="H116" s="63"/>
      <c r="I116" s="82"/>
      <c r="J116" s="49"/>
      <c r="K116" s="28"/>
      <c r="L116" s="51"/>
    </row>
    <row r="117" spans="2:12" x14ac:dyDescent="0.35">
      <c r="B117" s="78"/>
      <c r="C117" s="85"/>
      <c r="D117" s="86"/>
      <c r="E117" s="76"/>
      <c r="F117" s="87" t="s">
        <v>70</v>
      </c>
      <c r="G117" s="64" t="s">
        <v>138</v>
      </c>
      <c r="H117" s="65"/>
      <c r="I117" s="82"/>
      <c r="J117" s="49"/>
      <c r="K117" s="28"/>
      <c r="L117" s="51"/>
    </row>
    <row r="118" spans="2:12" x14ac:dyDescent="0.35">
      <c r="B118" s="78"/>
      <c r="C118" s="79"/>
      <c r="D118" s="80"/>
      <c r="E118" s="81"/>
      <c r="F118" s="63" t="s">
        <v>70</v>
      </c>
      <c r="G118" s="64" t="s">
        <v>139</v>
      </c>
      <c r="H118" s="65"/>
      <c r="I118" s="82"/>
      <c r="J118" s="49"/>
      <c r="K118" s="28"/>
      <c r="L118" s="51"/>
    </row>
    <row r="119" spans="2:12" x14ac:dyDescent="0.35">
      <c r="B119" s="88"/>
      <c r="C119" s="89"/>
      <c r="D119" s="75"/>
      <c r="E119" s="83"/>
      <c r="F119" s="87" t="s">
        <v>70</v>
      </c>
      <c r="G119" s="64" t="s">
        <v>140</v>
      </c>
      <c r="H119" s="63"/>
      <c r="I119" s="77"/>
      <c r="J119" s="49"/>
      <c r="K119" s="28"/>
      <c r="L119" s="51"/>
    </row>
    <row r="120" spans="2:12" x14ac:dyDescent="0.35">
      <c r="B120" s="78"/>
      <c r="C120" s="79"/>
      <c r="D120" s="84"/>
      <c r="E120" s="63"/>
      <c r="F120" s="90" t="s">
        <v>70</v>
      </c>
      <c r="G120" s="91" t="s">
        <v>141</v>
      </c>
      <c r="H120" s="92"/>
      <c r="I120" s="93"/>
      <c r="J120" s="49"/>
      <c r="K120" s="28"/>
      <c r="L120" s="51"/>
    </row>
    <row r="121" spans="2:12" x14ac:dyDescent="0.35">
      <c r="B121" s="78"/>
      <c r="C121" s="85"/>
      <c r="D121" s="94"/>
      <c r="E121" s="90"/>
      <c r="F121" s="90"/>
      <c r="G121" s="91"/>
      <c r="H121" s="92"/>
      <c r="I121" s="93"/>
      <c r="J121" s="49"/>
      <c r="K121" s="28"/>
      <c r="L121" s="51"/>
    </row>
    <row r="122" spans="2:12" x14ac:dyDescent="0.35">
      <c r="B122" s="46"/>
      <c r="C122" s="47"/>
      <c r="D122" s="23"/>
      <c r="G122" s="21"/>
      <c r="I122" s="21"/>
      <c r="J122" s="49"/>
      <c r="K122" s="28"/>
      <c r="L122" s="51"/>
    </row>
    <row r="123" spans="2:12" x14ac:dyDescent="0.35">
      <c r="B123" s="46"/>
      <c r="C123" s="47"/>
      <c r="D123" s="23"/>
      <c r="G123" s="21"/>
      <c r="I123" s="21"/>
      <c r="J123" s="49"/>
      <c r="K123" s="28"/>
      <c r="L123" s="51"/>
    </row>
    <row r="124" spans="2:12" x14ac:dyDescent="0.35">
      <c r="B124" s="46"/>
      <c r="C124" s="47"/>
      <c r="D124" s="23"/>
      <c r="G124" s="21"/>
      <c r="I124" s="21"/>
      <c r="J124" s="49"/>
      <c r="K124" s="28"/>
      <c r="L124" s="51"/>
    </row>
    <row r="125" spans="2:12" x14ac:dyDescent="0.35">
      <c r="B125" s="46"/>
      <c r="C125" s="47"/>
      <c r="D125" s="23"/>
      <c r="G125" s="21"/>
      <c r="I125" s="21"/>
      <c r="J125" s="49"/>
      <c r="K125" s="28"/>
      <c r="L125" s="51"/>
    </row>
    <row r="126" spans="2:12" x14ac:dyDescent="0.35">
      <c r="B126" s="46"/>
      <c r="C126" s="47"/>
      <c r="D126" s="23"/>
      <c r="G126" s="21"/>
      <c r="I126" s="21"/>
      <c r="J126" s="49"/>
      <c r="K126" s="28"/>
      <c r="L126" s="51"/>
    </row>
    <row r="127" spans="2:12" x14ac:dyDescent="0.35">
      <c r="B127" s="46"/>
      <c r="C127" s="47"/>
      <c r="D127" s="23"/>
      <c r="G127" s="21"/>
      <c r="I127" s="21"/>
      <c r="J127" s="49"/>
      <c r="K127" s="28"/>
      <c r="L127" s="51"/>
    </row>
    <row r="128" spans="2:12" x14ac:dyDescent="0.35">
      <c r="B128" s="46"/>
      <c r="C128" s="47"/>
      <c r="D128" s="23"/>
      <c r="G128" s="21"/>
      <c r="I128" s="21"/>
      <c r="J128" s="49"/>
      <c r="K128" s="28"/>
      <c r="L128" s="51"/>
    </row>
    <row r="129" spans="2:13" x14ac:dyDescent="0.35">
      <c r="B129" s="46"/>
      <c r="C129" s="47"/>
      <c r="D129" s="23"/>
      <c r="G129" s="21"/>
      <c r="I129" s="21"/>
      <c r="J129" s="49"/>
      <c r="K129" s="28"/>
      <c r="L129" s="51"/>
    </row>
    <row r="130" spans="2:13" x14ac:dyDescent="0.35">
      <c r="B130" s="46"/>
      <c r="C130" s="47"/>
      <c r="D130" s="23"/>
      <c r="G130" s="21"/>
      <c r="I130" s="21"/>
      <c r="J130" s="49"/>
      <c r="K130" s="28"/>
      <c r="L130" s="51"/>
    </row>
    <row r="131" spans="2:13" x14ac:dyDescent="0.35">
      <c r="B131" s="46"/>
      <c r="C131" s="47"/>
      <c r="D131" s="23"/>
      <c r="G131" s="21"/>
      <c r="I131" s="21"/>
      <c r="J131" s="49"/>
      <c r="K131" s="28"/>
      <c r="L131" s="51"/>
    </row>
    <row r="132" spans="2:13" x14ac:dyDescent="0.35">
      <c r="B132" s="46"/>
      <c r="C132" s="47"/>
      <c r="D132" s="23"/>
      <c r="G132" s="21"/>
      <c r="I132" s="21"/>
      <c r="J132" s="49"/>
      <c r="K132" s="28"/>
      <c r="L132" s="51"/>
    </row>
    <row r="133" spans="2:13" x14ac:dyDescent="0.35">
      <c r="B133" s="46"/>
      <c r="C133" s="47"/>
      <c r="D133" s="23"/>
      <c r="G133" s="21"/>
      <c r="I133" s="21"/>
      <c r="J133" s="49"/>
      <c r="K133" s="28"/>
      <c r="L133" s="51"/>
    </row>
    <row r="134" spans="2:13" x14ac:dyDescent="0.35">
      <c r="B134" s="46"/>
      <c r="C134" s="47"/>
      <c r="D134" s="23"/>
      <c r="G134" s="21"/>
      <c r="I134" s="21"/>
      <c r="J134" s="49"/>
      <c r="K134" s="28"/>
      <c r="L134" s="51"/>
    </row>
    <row r="135" spans="2:13" x14ac:dyDescent="0.35">
      <c r="B135" s="46"/>
      <c r="C135" s="47"/>
      <c r="D135" s="23"/>
      <c r="G135" s="21"/>
      <c r="I135" s="21"/>
      <c r="J135" s="49"/>
      <c r="K135" s="28"/>
      <c r="L135" s="51"/>
    </row>
    <row r="136" spans="2:13" x14ac:dyDescent="0.35">
      <c r="B136" s="46"/>
      <c r="C136" s="47"/>
      <c r="D136" s="23"/>
      <c r="G136" s="21"/>
      <c r="I136" s="21"/>
      <c r="J136" s="49"/>
      <c r="K136" s="28"/>
      <c r="L136" s="51"/>
    </row>
    <row r="137" spans="2:13" x14ac:dyDescent="0.35">
      <c r="B137" s="46"/>
      <c r="C137" s="47"/>
      <c r="D137" s="23"/>
      <c r="G137" s="21"/>
      <c r="I137" s="21"/>
      <c r="J137" s="49"/>
      <c r="K137" s="28"/>
      <c r="L137" s="51"/>
    </row>
    <row r="138" spans="2:13" x14ac:dyDescent="0.35">
      <c r="B138" s="8"/>
      <c r="C138" s="9"/>
      <c r="D138" s="10"/>
      <c r="E138" s="4"/>
      <c r="F138" s="4"/>
      <c r="G138" s="4"/>
      <c r="H138" s="1"/>
      <c r="I138" s="1"/>
      <c r="J138" s="11" t="s">
        <v>8</v>
      </c>
      <c r="K138" s="7">
        <f>SUM(K86:K137)</f>
        <v>0</v>
      </c>
      <c r="L138" s="7">
        <f>SUM(L86:L137)</f>
        <v>0</v>
      </c>
    </row>
    <row r="139" spans="2:13" x14ac:dyDescent="0.35">
      <c r="B139" s="8"/>
      <c r="C139" s="9"/>
      <c r="D139" s="9"/>
      <c r="E139" s="4"/>
      <c r="F139" s="4"/>
      <c r="G139" s="4"/>
      <c r="H139" s="1"/>
      <c r="I139" s="1"/>
      <c r="J139" s="11" t="s">
        <v>36</v>
      </c>
      <c r="K139" s="53">
        <f>SUM(K72,K138)</f>
        <v>0</v>
      </c>
      <c r="L139" s="53">
        <f>SUM(L72,L138)</f>
        <v>0</v>
      </c>
      <c r="M139" s="14">
        <f>K139+L139</f>
        <v>0</v>
      </c>
    </row>
    <row r="140" spans="2:13" x14ac:dyDescent="0.35">
      <c r="B140" s="8"/>
      <c r="C140" s="9"/>
      <c r="D140" s="9"/>
      <c r="E140" s="4"/>
      <c r="F140" s="4"/>
      <c r="G140" s="4"/>
      <c r="H140" s="1"/>
      <c r="I140" s="1"/>
      <c r="J140" s="11"/>
      <c r="K140" s="34" t="s">
        <v>22</v>
      </c>
      <c r="L140" s="35" t="s">
        <v>23</v>
      </c>
    </row>
    <row r="141" spans="2:13" x14ac:dyDescent="0.35">
      <c r="B141" s="3" t="s">
        <v>9</v>
      </c>
      <c r="C141" s="4"/>
      <c r="D141" s="4"/>
      <c r="E141" s="4"/>
      <c r="F141" s="4"/>
      <c r="G141" s="4"/>
      <c r="H141" s="1"/>
      <c r="I141" s="1"/>
      <c r="J141" s="12"/>
      <c r="K141" s="12"/>
      <c r="L141" s="13"/>
    </row>
    <row r="142" spans="2:13" x14ac:dyDescent="0.35">
      <c r="B142" s="36"/>
      <c r="C142" s="1"/>
      <c r="D142" s="1"/>
      <c r="E142" s="37"/>
      <c r="F142" s="37"/>
      <c r="G142" s="37"/>
      <c r="H142" s="1"/>
      <c r="I142" s="1"/>
      <c r="J142" s="1"/>
      <c r="K142" s="1"/>
      <c r="L142" s="18"/>
    </row>
    <row r="143" spans="2:13" x14ac:dyDescent="0.35">
      <c r="B143" s="27" t="s">
        <v>6</v>
      </c>
      <c r="C143" s="26"/>
      <c r="D143" s="26"/>
      <c r="E143" s="25"/>
      <c r="F143" s="25"/>
      <c r="G143" s="5"/>
      <c r="K143" s="123" t="s">
        <v>39</v>
      </c>
      <c r="L143" s="124"/>
    </row>
    <row r="144" spans="2:13" x14ac:dyDescent="0.35">
      <c r="B144" s="27">
        <v>1</v>
      </c>
      <c r="C144" s="26"/>
      <c r="D144" s="26"/>
      <c r="E144" s="25" t="s">
        <v>7</v>
      </c>
      <c r="F144" s="25"/>
      <c r="G144" s="5"/>
      <c r="K144" s="123" t="s">
        <v>28</v>
      </c>
      <c r="L144" s="124"/>
    </row>
    <row r="145" spans="2:12" x14ac:dyDescent="0.35">
      <c r="B145" s="38"/>
      <c r="C145" s="26"/>
      <c r="D145" s="26"/>
      <c r="E145" s="25"/>
      <c r="F145" s="25"/>
      <c r="G145" s="5"/>
      <c r="J145" s="24"/>
      <c r="K145" s="24"/>
      <c r="L145" s="23"/>
    </row>
    <row r="146" spans="2:12" x14ac:dyDescent="0.35">
      <c r="B146" s="27"/>
      <c r="C146" s="26"/>
      <c r="D146" s="26"/>
      <c r="E146" s="25"/>
      <c r="F146" s="25"/>
      <c r="G146" s="5"/>
      <c r="L146" s="21"/>
    </row>
    <row r="147" spans="2:12" x14ac:dyDescent="0.35">
      <c r="B147" s="44"/>
      <c r="E147" s="5"/>
      <c r="F147" s="5"/>
      <c r="G147" s="5"/>
      <c r="L147" s="21"/>
    </row>
    <row r="148" spans="2:12" x14ac:dyDescent="0.35">
      <c r="B148" s="44"/>
      <c r="E148" s="5"/>
      <c r="F148" s="5"/>
      <c r="G148" s="5"/>
      <c r="L148" s="21"/>
    </row>
    <row r="149" spans="2:12" x14ac:dyDescent="0.35">
      <c r="B149" s="44"/>
      <c r="E149" s="5"/>
      <c r="F149" s="5"/>
      <c r="G149" s="5"/>
      <c r="L149" s="21"/>
    </row>
    <row r="150" spans="2:12" x14ac:dyDescent="0.35">
      <c r="B150" s="44"/>
      <c r="E150" s="5"/>
      <c r="F150" s="5"/>
      <c r="G150" s="5"/>
      <c r="J150" s="39"/>
      <c r="K150" s="125" t="s">
        <v>37</v>
      </c>
      <c r="L150" s="126"/>
    </row>
    <row r="151" spans="2:12" x14ac:dyDescent="0.35">
      <c r="B151" s="44"/>
      <c r="K151" s="127" t="s">
        <v>38</v>
      </c>
      <c r="L151" s="128"/>
    </row>
    <row r="152" spans="2:12" x14ac:dyDescent="0.35">
      <c r="B152" s="120"/>
      <c r="C152" s="121"/>
      <c r="D152" s="121"/>
      <c r="E152" s="40"/>
      <c r="F152" s="40"/>
      <c r="G152" s="40"/>
      <c r="H152" s="2"/>
      <c r="I152" s="2"/>
      <c r="J152" s="2"/>
      <c r="K152" s="2"/>
      <c r="L152" s="20"/>
    </row>
  </sheetData>
  <mergeCells count="18">
    <mergeCell ref="K143:L143"/>
    <mergeCell ref="K144:L144"/>
    <mergeCell ref="K150:L150"/>
    <mergeCell ref="K151:L151"/>
    <mergeCell ref="B152:D152"/>
    <mergeCell ref="B85:D85"/>
    <mergeCell ref="B18:D19"/>
    <mergeCell ref="N21:O21"/>
    <mergeCell ref="K76:L76"/>
    <mergeCell ref="K83:L83"/>
    <mergeCell ref="K84:L84"/>
    <mergeCell ref="K77:L77"/>
    <mergeCell ref="L18:L19"/>
    <mergeCell ref="F15:G15"/>
    <mergeCell ref="E18:G19"/>
    <mergeCell ref="H18:I19"/>
    <mergeCell ref="J18:J19"/>
    <mergeCell ref="K18:K19"/>
  </mergeCells>
  <conditionalFormatting sqref="B119:C119">
    <cfRule type="expression" dxfId="7" priority="4">
      <formula>AND((ISBLANK($B119)=FALSE),(ISBLANK(#REF!)=FALSE))</formula>
    </cfRule>
  </conditionalFormatting>
  <conditionalFormatting sqref="B121:C121">
    <cfRule type="expression" dxfId="6" priority="6">
      <formula>AND((ISBLANK($B121)=FALSE),(ISBLANK(#REF!)=FALSE))</formula>
    </cfRule>
  </conditionalFormatting>
  <conditionalFormatting sqref="C119 E119">
    <cfRule type="expression" dxfId="5" priority="2">
      <formula>AND(ISBLANK($B119),(ISBLANK($C119)=FALSE),ISBLANK($D119),((ISBLANK($E119))=FALSE))</formula>
    </cfRule>
  </conditionalFormatting>
  <conditionalFormatting sqref="C121 E121">
    <cfRule type="expression" dxfId="4" priority="8">
      <formula>AND(ISBLANK($B121),(ISBLANK($C121)=FALSE),ISBLANK($D121),((ISBLANK($E121))=FALSE))</formula>
    </cfRule>
  </conditionalFormatting>
  <conditionalFormatting sqref="E119">
    <cfRule type="expression" dxfId="3" priority="1">
      <formula>AND(ISBLANK($B119),ISBLANK($C119),ISBLANK($D119),((ISBLANK($E119))=FALSE),ISBLANK($F119))</formula>
    </cfRule>
  </conditionalFormatting>
  <conditionalFormatting sqref="E121">
    <cfRule type="expression" dxfId="2" priority="7">
      <formula>AND(ISBLANK($B121),ISBLANK($C121),ISBLANK($D121),((ISBLANK($E121))=FALSE),ISBLANK($F121))</formula>
    </cfRule>
  </conditionalFormatting>
  <conditionalFormatting sqref="F119">
    <cfRule type="expression" dxfId="1" priority="3">
      <formula>AND(ISBLANK($B119),ISBLANK($C119),ISBLANK($D119),ISBLANK($E119),ISBLANK(#REF!),ISBLANK($E119))</formula>
    </cfRule>
  </conditionalFormatting>
  <conditionalFormatting sqref="F121">
    <cfRule type="expression" dxfId="0" priority="5">
      <formula>AND(ISBLANK($B121),ISBLANK($C121),ISBLANK($D121),ISBLANK($E121),ISBLANK(#REF!),ISBLANK($E121))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rev.00</vt:lpstr>
      <vt:lpstr>'Rincian Biaya rev.00'!Print_Area</vt:lpstr>
      <vt:lpstr>'Rincian Biaya rev.00'!Print_Titles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2025-02-19T06:23:27Z</cp:lastPrinted>
  <dcterms:created xsi:type="dcterms:W3CDTF">2015-07-30T04:54:41Z</dcterms:created>
  <dcterms:modified xsi:type="dcterms:W3CDTF">2025-12-23T07:47:51Z</dcterms:modified>
</cp:coreProperties>
</file>