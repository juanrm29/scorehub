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875CFD45-7AA6-4793-9809-33C7F42C524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3" sheetId="45" r:id="rId1"/>
  </sheets>
  <definedNames>
    <definedName name="_xlnm.Print_Area" localSheetId="0">'Rincian Biaya rev.03'!$B$2:$L$2699</definedName>
    <definedName name="_xlnm.Print_Titles" localSheetId="0">'Rincian Biaya rev.03'!$2:$19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86" i="45" l="1"/>
  <c r="L2686" i="45"/>
  <c r="K2686" i="45"/>
  <c r="N2684" i="45"/>
  <c r="K2683" i="45"/>
  <c r="L2666" i="45"/>
  <c r="L2665" i="45"/>
  <c r="L2659" i="45"/>
  <c r="L2657" i="45"/>
  <c r="L2656" i="45"/>
  <c r="L2655" i="45"/>
  <c r="L2654" i="45"/>
  <c r="L2653" i="45"/>
  <c r="L2652" i="45"/>
  <c r="L2650" i="45"/>
  <c r="L2649" i="45"/>
  <c r="L2648" i="45"/>
  <c r="L2647" i="45"/>
  <c r="L2646" i="45"/>
  <c r="L2645" i="45"/>
  <c r="L2643" i="45"/>
  <c r="L2642" i="45"/>
  <c r="L2641" i="45"/>
  <c r="L2640" i="45"/>
  <c r="L2639" i="45"/>
  <c r="L2638" i="45"/>
  <c r="L2637" i="45"/>
  <c r="L2612" i="45"/>
  <c r="L2609" i="45"/>
  <c r="L2608" i="45"/>
  <c r="L2607" i="45"/>
  <c r="L2606" i="45"/>
  <c r="L2604" i="45"/>
  <c r="L2603" i="45"/>
  <c r="L2602" i="45"/>
  <c r="L2600" i="45"/>
  <c r="L2599" i="45"/>
  <c r="L2598" i="45"/>
  <c r="K2596" i="45"/>
  <c r="K2595" i="45"/>
  <c r="K2594" i="45"/>
  <c r="L2585" i="45"/>
  <c r="L2580" i="45"/>
  <c r="L2572" i="45"/>
  <c r="L2567" i="45"/>
  <c r="L2546" i="45"/>
  <c r="L2542" i="45"/>
  <c r="L2541" i="45"/>
  <c r="L2540" i="45"/>
  <c r="L2539" i="45"/>
  <c r="L2538" i="45"/>
  <c r="L2537" i="45"/>
  <c r="L2528" i="45"/>
  <c r="L2523" i="45"/>
  <c r="L2520" i="45"/>
  <c r="L2517" i="45"/>
  <c r="K2516" i="45"/>
  <c r="L2515" i="45"/>
  <c r="L2514" i="45"/>
  <c r="L2513" i="45"/>
  <c r="L2512" i="45"/>
  <c r="L2511" i="45"/>
  <c r="L2509" i="45"/>
  <c r="L2508" i="45"/>
  <c r="L2507" i="45"/>
  <c r="L2505" i="45"/>
  <c r="L2504" i="45"/>
  <c r="L2503" i="45"/>
  <c r="L2502" i="45"/>
  <c r="L2501" i="45"/>
  <c r="K2500" i="45"/>
  <c r="K2552" i="45" s="1"/>
  <c r="L2481" i="45"/>
  <c r="M2480" i="45"/>
  <c r="L2480" i="45"/>
  <c r="L2479" i="45"/>
  <c r="L2478" i="45"/>
  <c r="L2477" i="45"/>
  <c r="L2476" i="45"/>
  <c r="L2475" i="45"/>
  <c r="L2474" i="45"/>
  <c r="L2472" i="45"/>
  <c r="L2471" i="45"/>
  <c r="L2470" i="45"/>
  <c r="L2469" i="45"/>
  <c r="L2468" i="45"/>
  <c r="L2467" i="45"/>
  <c r="L2466" i="45"/>
  <c r="L2465" i="45"/>
  <c r="L2464" i="45"/>
  <c r="L2463" i="45"/>
  <c r="L2462" i="45"/>
  <c r="L2460" i="45"/>
  <c r="L2459" i="45"/>
  <c r="L2458" i="45"/>
  <c r="L2457" i="45"/>
  <c r="K2456" i="45"/>
  <c r="K2485" i="45" s="1"/>
  <c r="L2455" i="45"/>
  <c r="L2454" i="45"/>
  <c r="L2453" i="45"/>
  <c r="L2452" i="45"/>
  <c r="L2451" i="45"/>
  <c r="L2449" i="45"/>
  <c r="L2448" i="45"/>
  <c r="L2447" i="45"/>
  <c r="L2446" i="45"/>
  <c r="L2445" i="45"/>
  <c r="L2444" i="45"/>
  <c r="L2443" i="45"/>
  <c r="L2442" i="45"/>
  <c r="L2441" i="45"/>
  <c r="L2440" i="45"/>
  <c r="L2439" i="45"/>
  <c r="L2438" i="45"/>
  <c r="L2437" i="45"/>
  <c r="L2436" i="45"/>
  <c r="L2435" i="45"/>
  <c r="L2434" i="45"/>
  <c r="L2433" i="45"/>
  <c r="L2415" i="45"/>
  <c r="L2414" i="45"/>
  <c r="L2413" i="45"/>
  <c r="L2412" i="45"/>
  <c r="L2411" i="45"/>
  <c r="K2410" i="45"/>
  <c r="K2418" i="45" s="1"/>
  <c r="K2409" i="45"/>
  <c r="L2406" i="45"/>
  <c r="L2405" i="45"/>
  <c r="L2404" i="45"/>
  <c r="L2403" i="45"/>
  <c r="L2402" i="45"/>
  <c r="L2401" i="45"/>
  <c r="L2400" i="45"/>
  <c r="L2399" i="45"/>
  <c r="L2398" i="45"/>
  <c r="L2397" i="45"/>
  <c r="L2396" i="45"/>
  <c r="L2395" i="45"/>
  <c r="L2394" i="45"/>
  <c r="L2393" i="45"/>
  <c r="L2390" i="45"/>
  <c r="L2389" i="45"/>
  <c r="L2387" i="45"/>
  <c r="L2386" i="45"/>
  <c r="L2383" i="45"/>
  <c r="L2381" i="45"/>
  <c r="L2379" i="45"/>
  <c r="L2377" i="45"/>
  <c r="L2376" i="45"/>
  <c r="L2373" i="45"/>
  <c r="L2371" i="45"/>
  <c r="L2369" i="45"/>
  <c r="L2367" i="45"/>
  <c r="K2351" i="45"/>
  <c r="L2348" i="45"/>
  <c r="L2345" i="45"/>
  <c r="L2343" i="45"/>
  <c r="L2341" i="45"/>
  <c r="L2339" i="45"/>
  <c r="L2337" i="45"/>
  <c r="L2335" i="45"/>
  <c r="L2333" i="45"/>
  <c r="L2331" i="45"/>
  <c r="L2329" i="45"/>
  <c r="L2327" i="45"/>
  <c r="L2326" i="45"/>
  <c r="L2323" i="45"/>
  <c r="L2321" i="45"/>
  <c r="L2319" i="45"/>
  <c r="L2317" i="45"/>
  <c r="L2315" i="45"/>
  <c r="L2313" i="45"/>
  <c r="L2311" i="45"/>
  <c r="L2309" i="45"/>
  <c r="L2307" i="45"/>
  <c r="L2305" i="45"/>
  <c r="L2304" i="45"/>
  <c r="L2303" i="45"/>
  <c r="K2284" i="45"/>
  <c r="L2277" i="45"/>
  <c r="L2276" i="45"/>
  <c r="L2275" i="45"/>
  <c r="L2273" i="45"/>
  <c r="L2272" i="45"/>
  <c r="L2271" i="45"/>
  <c r="L2270" i="45"/>
  <c r="L2269" i="45"/>
  <c r="L2268" i="45"/>
  <c r="L2267" i="45"/>
  <c r="L2266" i="45"/>
  <c r="L2265" i="45"/>
  <c r="L2264" i="45"/>
  <c r="L2263" i="45"/>
  <c r="L2262" i="45"/>
  <c r="L2261" i="45"/>
  <c r="L2260" i="45"/>
  <c r="L2259" i="45"/>
  <c r="L2258" i="45"/>
  <c r="L2257" i="45"/>
  <c r="L2256" i="45"/>
  <c r="L2255" i="45"/>
  <c r="L2253" i="45"/>
  <c r="L2252" i="45"/>
  <c r="L2251" i="45"/>
  <c r="L2250" i="45"/>
  <c r="L2249" i="45"/>
  <c r="L2247" i="45"/>
  <c r="L2245" i="45"/>
  <c r="L2244" i="45"/>
  <c r="L2243" i="45"/>
  <c r="L2242" i="45"/>
  <c r="L2241" i="45"/>
  <c r="L2240" i="45"/>
  <c r="L2239" i="45"/>
  <c r="L2238" i="45"/>
  <c r="L2237" i="45"/>
  <c r="L2236" i="45"/>
  <c r="L2235" i="45"/>
  <c r="L2234" i="45"/>
  <c r="L2233" i="45"/>
  <c r="L2232" i="45"/>
  <c r="K2217" i="45"/>
  <c r="L2214" i="45"/>
  <c r="L2213" i="45"/>
  <c r="L2212" i="45"/>
  <c r="L2211" i="45"/>
  <c r="L2210" i="45"/>
  <c r="L2209" i="45"/>
  <c r="L2208" i="45"/>
  <c r="L2207" i="45"/>
  <c r="L2206" i="45"/>
  <c r="L2205" i="45"/>
  <c r="H2203" i="45"/>
  <c r="L2203" i="45" s="1"/>
  <c r="H2202" i="45"/>
  <c r="L2202" i="45" s="1"/>
  <c r="L2200" i="45"/>
  <c r="L2199" i="45"/>
  <c r="L2198" i="45"/>
  <c r="L2197" i="45"/>
  <c r="L2196" i="45"/>
  <c r="L2195" i="45"/>
  <c r="L2194" i="45"/>
  <c r="L2193" i="45"/>
  <c r="L2192" i="45"/>
  <c r="L2191" i="45"/>
  <c r="L2190" i="45"/>
  <c r="L2189" i="45"/>
  <c r="L2188" i="45"/>
  <c r="L2187" i="45"/>
  <c r="L2186" i="45"/>
  <c r="L2185" i="45"/>
  <c r="L2184" i="45"/>
  <c r="L2183" i="45"/>
  <c r="L2182" i="45"/>
  <c r="L2181" i="45"/>
  <c r="L2180" i="45"/>
  <c r="L2179" i="45"/>
  <c r="L2178" i="45"/>
  <c r="L2177" i="45"/>
  <c r="L2176" i="45"/>
  <c r="L2174" i="45"/>
  <c r="L2172" i="45"/>
  <c r="L2171" i="45"/>
  <c r="L2170" i="45"/>
  <c r="L2169" i="45"/>
  <c r="L2168" i="45"/>
  <c r="L2167" i="45"/>
  <c r="L2166" i="45"/>
  <c r="L2165" i="45"/>
  <c r="K2150" i="45"/>
  <c r="L2147" i="45"/>
  <c r="L2146" i="45"/>
  <c r="L2145" i="45"/>
  <c r="L2144" i="45"/>
  <c r="L2143" i="45"/>
  <c r="L2142" i="45"/>
  <c r="L2141" i="45"/>
  <c r="L2140" i="45"/>
  <c r="L2139" i="45"/>
  <c r="L2138" i="45"/>
  <c r="L2137" i="45"/>
  <c r="L2136" i="45"/>
  <c r="L2135" i="45"/>
  <c r="L2134" i="45"/>
  <c r="L2133" i="45"/>
  <c r="L2132" i="45"/>
  <c r="L2131" i="45"/>
  <c r="L2130" i="45"/>
  <c r="H2128" i="45"/>
  <c r="L2128" i="45" s="1"/>
  <c r="H2127" i="45"/>
  <c r="L2127" i="45" s="1"/>
  <c r="H2126" i="45"/>
  <c r="L2126" i="45" s="1"/>
  <c r="H2125" i="45"/>
  <c r="L2125" i="45" s="1"/>
  <c r="L2123" i="45"/>
  <c r="L2122" i="45"/>
  <c r="L2121" i="45"/>
  <c r="L2120" i="45"/>
  <c r="L2119" i="45"/>
  <c r="L2118" i="45"/>
  <c r="L2117" i="45"/>
  <c r="L2116" i="45"/>
  <c r="L2115" i="45"/>
  <c r="L2114" i="45"/>
  <c r="L2113" i="45"/>
  <c r="L2112" i="45"/>
  <c r="L2111" i="45"/>
  <c r="L2110" i="45"/>
  <c r="L2109" i="45"/>
  <c r="L2108" i="45"/>
  <c r="L2107" i="45"/>
  <c r="L2106" i="45"/>
  <c r="L2105" i="45"/>
  <c r="L2103" i="45"/>
  <c r="H2102" i="45"/>
  <c r="L2102" i="45" s="1"/>
  <c r="L2101" i="45"/>
  <c r="L2099" i="45"/>
  <c r="L2098" i="45"/>
  <c r="K2083" i="45"/>
  <c r="L2080" i="45"/>
  <c r="L2079" i="45"/>
  <c r="L2078" i="45"/>
  <c r="L2077" i="45"/>
  <c r="L2076" i="45"/>
  <c r="L2075" i="45"/>
  <c r="L2074" i="45"/>
  <c r="L2073" i="45"/>
  <c r="L2072" i="45"/>
  <c r="L2071" i="45"/>
  <c r="L2070" i="45"/>
  <c r="L2069" i="45"/>
  <c r="L2068" i="45"/>
  <c r="L2067" i="45"/>
  <c r="L2066" i="45"/>
  <c r="L2065" i="45"/>
  <c r="L2064" i="45"/>
  <c r="L2063" i="45"/>
  <c r="L2062" i="45"/>
  <c r="L2061" i="45"/>
  <c r="L2060" i="45"/>
  <c r="L2059" i="45"/>
  <c r="L2058" i="45"/>
  <c r="L2057" i="45"/>
  <c r="H2055" i="45"/>
  <c r="L2055" i="45" s="1"/>
  <c r="H2054" i="45"/>
  <c r="L2054" i="45" s="1"/>
  <c r="H2053" i="45"/>
  <c r="L2053" i="45" s="1"/>
  <c r="L2051" i="45"/>
  <c r="L2050" i="45"/>
  <c r="L2049" i="45"/>
  <c r="L2048" i="45"/>
  <c r="L2047" i="45"/>
  <c r="L2046" i="45"/>
  <c r="L2045" i="45"/>
  <c r="L2044" i="45"/>
  <c r="L2043" i="45"/>
  <c r="L2042" i="45"/>
  <c r="L2041" i="45"/>
  <c r="L2040" i="45"/>
  <c r="L2039" i="45"/>
  <c r="L2038" i="45"/>
  <c r="L2037" i="45"/>
  <c r="L2036" i="45"/>
  <c r="L2035" i="45"/>
  <c r="L2034" i="45"/>
  <c r="L2032" i="45"/>
  <c r="K2016" i="45"/>
  <c r="L2013" i="45"/>
  <c r="L2012" i="45"/>
  <c r="L2011" i="45"/>
  <c r="L2010" i="45"/>
  <c r="L2009" i="45"/>
  <c r="L2008" i="45"/>
  <c r="L2006" i="45"/>
  <c r="L2005" i="45"/>
  <c r="H2004" i="45"/>
  <c r="L2004" i="45" s="1"/>
  <c r="H2003" i="45"/>
  <c r="L2003" i="45" s="1"/>
  <c r="H2002" i="45"/>
  <c r="L2002" i="45" s="1"/>
  <c r="L2000" i="45"/>
  <c r="L1999" i="45"/>
  <c r="L1998" i="45"/>
  <c r="L1996" i="45"/>
  <c r="L1995" i="45"/>
  <c r="H1994" i="45"/>
  <c r="L1994" i="45" s="1"/>
  <c r="L1993" i="45"/>
  <c r="L1991" i="45"/>
  <c r="L1990" i="45"/>
  <c r="L1989" i="45"/>
  <c r="L1988" i="45"/>
  <c r="L1987" i="45"/>
  <c r="L1986" i="45"/>
  <c r="L1985" i="45"/>
  <c r="L1984" i="45"/>
  <c r="L1983" i="45"/>
  <c r="L1982" i="45"/>
  <c r="L1981" i="45"/>
  <c r="L1980" i="45"/>
  <c r="L1979" i="45"/>
  <c r="L1978" i="45"/>
  <c r="L1977" i="45"/>
  <c r="L1976" i="45"/>
  <c r="L1975" i="45"/>
  <c r="L1974" i="45"/>
  <c r="L1973" i="45"/>
  <c r="L1972" i="45"/>
  <c r="L1971" i="45"/>
  <c r="L1970" i="45"/>
  <c r="L1968" i="45"/>
  <c r="L1967" i="45"/>
  <c r="L1966" i="45"/>
  <c r="L1965" i="45"/>
  <c r="L1964" i="45"/>
  <c r="K1949" i="45"/>
  <c r="L1947" i="45"/>
  <c r="L1946" i="45"/>
  <c r="L1945" i="45"/>
  <c r="L1943" i="45"/>
  <c r="L1942" i="45"/>
  <c r="L1941" i="45"/>
  <c r="L1940" i="45"/>
  <c r="L1939" i="45"/>
  <c r="L1938" i="45"/>
  <c r="L1936" i="45"/>
  <c r="L1934" i="45"/>
  <c r="L1933" i="45"/>
  <c r="L1932" i="45"/>
  <c r="L1931" i="45"/>
  <c r="L1930" i="45"/>
  <c r="L1929" i="45"/>
  <c r="L1928" i="45"/>
  <c r="L1927" i="45"/>
  <c r="L1926" i="45"/>
  <c r="L1925" i="45"/>
  <c r="L1924" i="45"/>
  <c r="L1923" i="45"/>
  <c r="L1922" i="45"/>
  <c r="L1921" i="45"/>
  <c r="L1920" i="45"/>
  <c r="L1919" i="45"/>
  <c r="L1918" i="45"/>
  <c r="L1917" i="45"/>
  <c r="L1916" i="45"/>
  <c r="L1915" i="45"/>
  <c r="L1913" i="45"/>
  <c r="L1912" i="45"/>
  <c r="L1911" i="45"/>
  <c r="L1910" i="45"/>
  <c r="L1909" i="45"/>
  <c r="L1908" i="45"/>
  <c r="H1907" i="45"/>
  <c r="L1907" i="45" s="1"/>
  <c r="L1905" i="45"/>
  <c r="L1904" i="45"/>
  <c r="L1903" i="45"/>
  <c r="L1902" i="45"/>
  <c r="L1901" i="45"/>
  <c r="L1900" i="45"/>
  <c r="L1899" i="45"/>
  <c r="L1898" i="45"/>
  <c r="L1897" i="45"/>
  <c r="K1882" i="45"/>
  <c r="L1880" i="45"/>
  <c r="L1879" i="45"/>
  <c r="L1878" i="45"/>
  <c r="L1876" i="45"/>
  <c r="L1875" i="45"/>
  <c r="L1873" i="45"/>
  <c r="L1872" i="45"/>
  <c r="L1871" i="45"/>
  <c r="L1870" i="45"/>
  <c r="L1869" i="45"/>
  <c r="L1868" i="45"/>
  <c r="L1867" i="45"/>
  <c r="L1866" i="45"/>
  <c r="L1865" i="45"/>
  <c r="L1864" i="45"/>
  <c r="L1863" i="45"/>
  <c r="L1862" i="45"/>
  <c r="L1861" i="45"/>
  <c r="L1860" i="45"/>
  <c r="L1859" i="45"/>
  <c r="L1858" i="45"/>
  <c r="L1857" i="45"/>
  <c r="L1856" i="45"/>
  <c r="L1855" i="45"/>
  <c r="L1854" i="45"/>
  <c r="L1853" i="45"/>
  <c r="L1852" i="45"/>
  <c r="L1851" i="45"/>
  <c r="L1850" i="45"/>
  <c r="L1848" i="45"/>
  <c r="L1846" i="45"/>
  <c r="L1845" i="45"/>
  <c r="L1844" i="45"/>
  <c r="L1843" i="45"/>
  <c r="L1842" i="45"/>
  <c r="L1841" i="45"/>
  <c r="L1839" i="45"/>
  <c r="H1838" i="45"/>
  <c r="L1838" i="45" s="1"/>
  <c r="L1837" i="45"/>
  <c r="H1836" i="45"/>
  <c r="L1836" i="45" s="1"/>
  <c r="L1834" i="45"/>
  <c r="L1833" i="45"/>
  <c r="L1832" i="45"/>
  <c r="L1831" i="45"/>
  <c r="L1830" i="45"/>
  <c r="K1815" i="45"/>
  <c r="L1812" i="45"/>
  <c r="L1811" i="45"/>
  <c r="L1810" i="45"/>
  <c r="L1809" i="45"/>
  <c r="L1808" i="45"/>
  <c r="L1807" i="45"/>
  <c r="L1806" i="45"/>
  <c r="L1805" i="45"/>
  <c r="L1804" i="45"/>
  <c r="L1803" i="45"/>
  <c r="L1802" i="45"/>
  <c r="L1801" i="45"/>
  <c r="L1800" i="45"/>
  <c r="L1799" i="45"/>
  <c r="L1798" i="45"/>
  <c r="L1797" i="45"/>
  <c r="L1796" i="45"/>
  <c r="L1795" i="45"/>
  <c r="L1794" i="45"/>
  <c r="L1793" i="45"/>
  <c r="L1792" i="45"/>
  <c r="L1791" i="45"/>
  <c r="L1790" i="45"/>
  <c r="L1789" i="45"/>
  <c r="L1788" i="45"/>
  <c r="L1787" i="45"/>
  <c r="L1786" i="45"/>
  <c r="L1785" i="45"/>
  <c r="L1784" i="45"/>
  <c r="L1783" i="45"/>
  <c r="L1782" i="45"/>
  <c r="L1781" i="45"/>
  <c r="L1780" i="45"/>
  <c r="L1779" i="45"/>
  <c r="L1778" i="45"/>
  <c r="L1777" i="45"/>
  <c r="L1776" i="45"/>
  <c r="L1775" i="45"/>
  <c r="L1774" i="45"/>
  <c r="L1773" i="45"/>
  <c r="L1772" i="45"/>
  <c r="L1771" i="45"/>
  <c r="L1770" i="45"/>
  <c r="L1768" i="45"/>
  <c r="L1767" i="45"/>
  <c r="L1766" i="45"/>
  <c r="L1764" i="45"/>
  <c r="L1763" i="45"/>
  <c r="K1748" i="45"/>
  <c r="L1745" i="45"/>
  <c r="L1744" i="45"/>
  <c r="L1743" i="45"/>
  <c r="L1742" i="45"/>
  <c r="L1741" i="45"/>
  <c r="L1740" i="45"/>
  <c r="L1739" i="45"/>
  <c r="L1738" i="45"/>
  <c r="L1737" i="45"/>
  <c r="L1736" i="45"/>
  <c r="L1735" i="45"/>
  <c r="L1734" i="45"/>
  <c r="L1733" i="45"/>
  <c r="L1732" i="45"/>
  <c r="L1731" i="45"/>
  <c r="L1730" i="45"/>
  <c r="L1729" i="45"/>
  <c r="L1728" i="45"/>
  <c r="L1727" i="45"/>
  <c r="L1726" i="45"/>
  <c r="L1725" i="45"/>
  <c r="L1724" i="45"/>
  <c r="L1723" i="45"/>
  <c r="L1722" i="45"/>
  <c r="L1721" i="45"/>
  <c r="L1720" i="45"/>
  <c r="L1719" i="45"/>
  <c r="L1718" i="45"/>
  <c r="L1717" i="45"/>
  <c r="L1716" i="45"/>
  <c r="L1715" i="45"/>
  <c r="L1714" i="45"/>
  <c r="L1713" i="45"/>
  <c r="L1712" i="45"/>
  <c r="L1711" i="45"/>
  <c r="L1709" i="45"/>
  <c r="L1708" i="45"/>
  <c r="L1707" i="45"/>
  <c r="L1706" i="45"/>
  <c r="L1705" i="45"/>
  <c r="L1704" i="45"/>
  <c r="L1703" i="45"/>
  <c r="L1702" i="45"/>
  <c r="L1701" i="45"/>
  <c r="L1700" i="45"/>
  <c r="L1699" i="45"/>
  <c r="L1698" i="45"/>
  <c r="L1697" i="45"/>
  <c r="L1696" i="45"/>
  <c r="L1678" i="45"/>
  <c r="L1677" i="45"/>
  <c r="L1676" i="45"/>
  <c r="L1675" i="45"/>
  <c r="L1674" i="45"/>
  <c r="L1673" i="45"/>
  <c r="L1672" i="45"/>
  <c r="L1671" i="45"/>
  <c r="L1670" i="45"/>
  <c r="L1669" i="45"/>
  <c r="L1668" i="45"/>
  <c r="L1667" i="45"/>
  <c r="L1666" i="45"/>
  <c r="L1665" i="45"/>
  <c r="L1664" i="45"/>
  <c r="L1663" i="45"/>
  <c r="L1662" i="45"/>
  <c r="L1661" i="45"/>
  <c r="L1660" i="45"/>
  <c r="L1659" i="45"/>
  <c r="L1658" i="45"/>
  <c r="L1657" i="45"/>
  <c r="L1656" i="45"/>
  <c r="L1655" i="45"/>
  <c r="K1649" i="45"/>
  <c r="K1647" i="45"/>
  <c r="K1646" i="45"/>
  <c r="K1645" i="45"/>
  <c r="K1644" i="45"/>
  <c r="K1643" i="45"/>
  <c r="K1642" i="45"/>
  <c r="L1638" i="45"/>
  <c r="L1635" i="45"/>
  <c r="L1629" i="45"/>
  <c r="K1614" i="45"/>
  <c r="L1606" i="45"/>
  <c r="L1602" i="45"/>
  <c r="L1594" i="45"/>
  <c r="L1586" i="45"/>
  <c r="L1578" i="45"/>
  <c r="L1570" i="45"/>
  <c r="L1565" i="45"/>
  <c r="L1562" i="45"/>
  <c r="K1547" i="45"/>
  <c r="L1537" i="45"/>
  <c r="L1529" i="45"/>
  <c r="L1524" i="45"/>
  <c r="L1519" i="45"/>
  <c r="L1511" i="45"/>
  <c r="L1504" i="45"/>
  <c r="L1501" i="45"/>
  <c r="L1495" i="45"/>
  <c r="K1480" i="45"/>
  <c r="L1471" i="45"/>
  <c r="L1466" i="45"/>
  <c r="L1461" i="45"/>
  <c r="L1454" i="45"/>
  <c r="L1447" i="45"/>
  <c r="L1440" i="45"/>
  <c r="L1435" i="45"/>
  <c r="L1430" i="45"/>
  <c r="K1413" i="45"/>
  <c r="L1409" i="45"/>
  <c r="L1404" i="45"/>
  <c r="L1399" i="45"/>
  <c r="L1394" i="45"/>
  <c r="L1389" i="45"/>
  <c r="L1384" i="45"/>
  <c r="L1379" i="45"/>
  <c r="L1372" i="45"/>
  <c r="L1366" i="45"/>
  <c r="L1361" i="45"/>
  <c r="K1346" i="45"/>
  <c r="L1340" i="45"/>
  <c r="L1335" i="45"/>
  <c r="L1329" i="45"/>
  <c r="L1324" i="45"/>
  <c r="L1317" i="45"/>
  <c r="L1309" i="45"/>
  <c r="L1304" i="45"/>
  <c r="L1299" i="45"/>
  <c r="L1294" i="45"/>
  <c r="L1272" i="45"/>
  <c r="L1267" i="45"/>
  <c r="L1262" i="45"/>
  <c r="L1257" i="45"/>
  <c r="L1252" i="45"/>
  <c r="L1247" i="45"/>
  <c r="L1242" i="45"/>
  <c r="L1237" i="45"/>
  <c r="K1234" i="45"/>
  <c r="K1233" i="45"/>
  <c r="K1232" i="45"/>
  <c r="K1231" i="45"/>
  <c r="K1230" i="45"/>
  <c r="K1229" i="45"/>
  <c r="K1228" i="45"/>
  <c r="K1227" i="45"/>
  <c r="L1212" i="45"/>
  <c r="K1209" i="45"/>
  <c r="K1208" i="45"/>
  <c r="K1207" i="45"/>
  <c r="K1206" i="45"/>
  <c r="K1205" i="45"/>
  <c r="K1204" i="45"/>
  <c r="K1203" i="45"/>
  <c r="K1202" i="45"/>
  <c r="K1200" i="45"/>
  <c r="K1199" i="45"/>
  <c r="K1198" i="45"/>
  <c r="K1197" i="45"/>
  <c r="K1196" i="45"/>
  <c r="K1195" i="45"/>
  <c r="K1194" i="45"/>
  <c r="K1193" i="45"/>
  <c r="K1192" i="45"/>
  <c r="K1191" i="45"/>
  <c r="K1190" i="45"/>
  <c r="K1189" i="45"/>
  <c r="K1188" i="45"/>
  <c r="K1187" i="45"/>
  <c r="K1186" i="45"/>
  <c r="K1185" i="45"/>
  <c r="K1184" i="45"/>
  <c r="K1183" i="45"/>
  <c r="K1182" i="45"/>
  <c r="K1181" i="45"/>
  <c r="K1180" i="45"/>
  <c r="K1179" i="45"/>
  <c r="K1178" i="45"/>
  <c r="K1177" i="45"/>
  <c r="K1176" i="45"/>
  <c r="K1175" i="45"/>
  <c r="K1174" i="45"/>
  <c r="K1173" i="45"/>
  <c r="K1172" i="45"/>
  <c r="K1171" i="45"/>
  <c r="K1170" i="45"/>
  <c r="K1169" i="45"/>
  <c r="K1168" i="45"/>
  <c r="K1167" i="45"/>
  <c r="K1166" i="45"/>
  <c r="K1165" i="45"/>
  <c r="K1164" i="45"/>
  <c r="K1163" i="45"/>
  <c r="K1162" i="45"/>
  <c r="K1161" i="45"/>
  <c r="K1160" i="45"/>
  <c r="K1142" i="45"/>
  <c r="K1141" i="45"/>
  <c r="K1140" i="45"/>
  <c r="K1139" i="45"/>
  <c r="K1137" i="45"/>
  <c r="K1136" i="45"/>
  <c r="K1135" i="45"/>
  <c r="K1134" i="45"/>
  <c r="K1133" i="45"/>
  <c r="K1132" i="45"/>
  <c r="K1131" i="45"/>
  <c r="K1130" i="45"/>
  <c r="K1129" i="45"/>
  <c r="K1128" i="45"/>
  <c r="K1127" i="45"/>
  <c r="K1126" i="45"/>
  <c r="K1125" i="45"/>
  <c r="K1124" i="45"/>
  <c r="K1123" i="45"/>
  <c r="K1122" i="45"/>
  <c r="K1121" i="45"/>
  <c r="K1120" i="45"/>
  <c r="K1119" i="45"/>
  <c r="K1118" i="45"/>
  <c r="K1117" i="45"/>
  <c r="K1116" i="45"/>
  <c r="K1115" i="45"/>
  <c r="K1114" i="45"/>
  <c r="K1113" i="45"/>
  <c r="K1112" i="45"/>
  <c r="K1111" i="45"/>
  <c r="K1110" i="45"/>
  <c r="K1109" i="45"/>
  <c r="K1108" i="45"/>
  <c r="K1107" i="45"/>
  <c r="K1106" i="45"/>
  <c r="K1105" i="45"/>
  <c r="L1100" i="45"/>
  <c r="L1095" i="45"/>
  <c r="L1094" i="45"/>
  <c r="L1093" i="45"/>
  <c r="K1078" i="45"/>
  <c r="L1075" i="45"/>
  <c r="L1074" i="45"/>
  <c r="L1073" i="45"/>
  <c r="L1072" i="45"/>
  <c r="L1071" i="45"/>
  <c r="L1069" i="45"/>
  <c r="L1068" i="45"/>
  <c r="L1067" i="45"/>
  <c r="L1066" i="45"/>
  <c r="L1065" i="45"/>
  <c r="L1064" i="45"/>
  <c r="L1063" i="45"/>
  <c r="L1062" i="45"/>
  <c r="L1061" i="45"/>
  <c r="L1060" i="45"/>
  <c r="L1057" i="45"/>
  <c r="L1056" i="45"/>
  <c r="L1055" i="45"/>
  <c r="L1053" i="45"/>
  <c r="L1052" i="45"/>
  <c r="L1051" i="45"/>
  <c r="L1050" i="45"/>
  <c r="L1049" i="45"/>
  <c r="L1048" i="45"/>
  <c r="L1047" i="45"/>
  <c r="L1046" i="45"/>
  <c r="L1045" i="45"/>
  <c r="L1044" i="45"/>
  <c r="L1043" i="45"/>
  <c r="L1042" i="45"/>
  <c r="L1041" i="45"/>
  <c r="L1040" i="45"/>
  <c r="L1039" i="45"/>
  <c r="L1038" i="45"/>
  <c r="L1037" i="45"/>
  <c r="L1036" i="45"/>
  <c r="L1035" i="45"/>
  <c r="L1034" i="45"/>
  <c r="L1033" i="45"/>
  <c r="L1032" i="45"/>
  <c r="L1031" i="45"/>
  <c r="L1030" i="45"/>
  <c r="L1029" i="45"/>
  <c r="L1028" i="45"/>
  <c r="L1027" i="45"/>
  <c r="L1026" i="45"/>
  <c r="L1009" i="45"/>
  <c r="L1008" i="45"/>
  <c r="L1007" i="45"/>
  <c r="L1006" i="45"/>
  <c r="L1005" i="45"/>
  <c r="L1004" i="45"/>
  <c r="L1003" i="45"/>
  <c r="L1002" i="45"/>
  <c r="L1001" i="45"/>
  <c r="L1000" i="45"/>
  <c r="L999" i="45"/>
  <c r="L998" i="45"/>
  <c r="L997" i="45"/>
  <c r="L996" i="45"/>
  <c r="L995" i="45"/>
  <c r="L994" i="45"/>
  <c r="L993" i="45"/>
  <c r="L992" i="45"/>
  <c r="L991" i="45"/>
  <c r="L990" i="45"/>
  <c r="L989" i="45"/>
  <c r="L988" i="45"/>
  <c r="L987" i="45"/>
  <c r="L986" i="45"/>
  <c r="L985" i="45"/>
  <c r="L984" i="45"/>
  <c r="L983" i="45"/>
  <c r="L982" i="45"/>
  <c r="L981" i="45"/>
  <c r="L980" i="45"/>
  <c r="L979" i="45"/>
  <c r="L978" i="45"/>
  <c r="L977" i="45"/>
  <c r="L976" i="45"/>
  <c r="L975" i="45"/>
  <c r="L974" i="45"/>
  <c r="K971" i="45"/>
  <c r="K1011" i="45" s="1"/>
  <c r="L969" i="45"/>
  <c r="L968" i="45"/>
  <c r="L967" i="45"/>
  <c r="L966" i="45"/>
  <c r="L965" i="45"/>
  <c r="L964" i="45"/>
  <c r="L963" i="45"/>
  <c r="L962" i="45"/>
  <c r="L961" i="45"/>
  <c r="L960" i="45"/>
  <c r="L959" i="45"/>
  <c r="K944" i="45"/>
  <c r="L942" i="45"/>
  <c r="L941" i="45"/>
  <c r="L940" i="45"/>
  <c r="L939" i="45"/>
  <c r="L938" i="45"/>
  <c r="L937" i="45"/>
  <c r="L935" i="45"/>
  <c r="L934" i="45"/>
  <c r="L933" i="45"/>
  <c r="L932" i="45"/>
  <c r="L931" i="45"/>
  <c r="L930" i="45"/>
  <c r="L929" i="45"/>
  <c r="L928" i="45"/>
  <c r="L927" i="45"/>
  <c r="L926" i="45"/>
  <c r="L925" i="45"/>
  <c r="L924" i="45"/>
  <c r="L923" i="45"/>
  <c r="L922" i="45"/>
  <c r="L921" i="45"/>
  <c r="L920" i="45"/>
  <c r="L919" i="45"/>
  <c r="L918" i="45"/>
  <c r="L917" i="45"/>
  <c r="L916" i="45"/>
  <c r="L915" i="45"/>
  <c r="L914" i="45"/>
  <c r="L913" i="45"/>
  <c r="L912" i="45"/>
  <c r="L911" i="45"/>
  <c r="L910" i="45"/>
  <c r="L909" i="45"/>
  <c r="L908" i="45"/>
  <c r="L907" i="45"/>
  <c r="L906" i="45"/>
  <c r="L905" i="45"/>
  <c r="L904" i="45"/>
  <c r="L903" i="45"/>
  <c r="L902" i="45"/>
  <c r="L901" i="45"/>
  <c r="L900" i="45"/>
  <c r="L899" i="45"/>
  <c r="L898" i="45"/>
  <c r="L897" i="45"/>
  <c r="L896" i="45"/>
  <c r="L895" i="45"/>
  <c r="L894" i="45"/>
  <c r="L893" i="45"/>
  <c r="L892" i="45"/>
  <c r="K877" i="45"/>
  <c r="L875" i="45"/>
  <c r="L874" i="45"/>
  <c r="L873" i="45"/>
  <c r="L872" i="45"/>
  <c r="L871" i="45"/>
  <c r="L870" i="45"/>
  <c r="L869" i="45"/>
  <c r="L868" i="45"/>
  <c r="L867" i="45"/>
  <c r="L866" i="45"/>
  <c r="L865" i="45"/>
  <c r="L864" i="45"/>
  <c r="L863" i="45"/>
  <c r="L862" i="45"/>
  <c r="L861" i="45"/>
  <c r="L860" i="45"/>
  <c r="L859" i="45"/>
  <c r="L858" i="45"/>
  <c r="L857" i="45"/>
  <c r="L856" i="45"/>
  <c r="L855" i="45"/>
  <c r="L854" i="45"/>
  <c r="L853" i="45"/>
  <c r="L852" i="45"/>
  <c r="L851" i="45"/>
  <c r="L850" i="45"/>
  <c r="L849" i="45"/>
  <c r="L848" i="45"/>
  <c r="L847" i="45"/>
  <c r="L846" i="45"/>
  <c r="L845" i="45"/>
  <c r="L844" i="45"/>
  <c r="L843" i="45"/>
  <c r="L842" i="45"/>
  <c r="L841" i="45"/>
  <c r="L840" i="45"/>
  <c r="L839" i="45"/>
  <c r="L838" i="45"/>
  <c r="L837" i="45"/>
  <c r="L836" i="45"/>
  <c r="L835" i="45"/>
  <c r="L834" i="45"/>
  <c r="L833" i="45"/>
  <c r="L832" i="45"/>
  <c r="L831" i="45"/>
  <c r="L830" i="45"/>
  <c r="L829" i="45"/>
  <c r="L828" i="45"/>
  <c r="L827" i="45"/>
  <c r="L826" i="45"/>
  <c r="L825" i="45"/>
  <c r="K810" i="45"/>
  <c r="L807" i="45"/>
  <c r="L806" i="45"/>
  <c r="L805" i="45"/>
  <c r="L804" i="45"/>
  <c r="L803" i="45"/>
  <c r="L802" i="45"/>
  <c r="L801" i="45"/>
  <c r="L800" i="45"/>
  <c r="L799" i="45"/>
  <c r="L798" i="45"/>
  <c r="L797" i="45"/>
  <c r="L796" i="45"/>
  <c r="L795" i="45"/>
  <c r="L794" i="45"/>
  <c r="L793" i="45"/>
  <c r="L792" i="45"/>
  <c r="L791" i="45"/>
  <c r="L790" i="45"/>
  <c r="L789" i="45"/>
  <c r="L788" i="45"/>
  <c r="L787" i="45"/>
  <c r="L786" i="45"/>
  <c r="L785" i="45"/>
  <c r="L784" i="45"/>
  <c r="L783" i="45"/>
  <c r="L782" i="45"/>
  <c r="L781" i="45"/>
  <c r="L780" i="45"/>
  <c r="L779" i="45"/>
  <c r="L778" i="45"/>
  <c r="L777" i="45"/>
  <c r="L776" i="45"/>
  <c r="L775" i="45"/>
  <c r="L774" i="45"/>
  <c r="L773" i="45"/>
  <c r="L772" i="45"/>
  <c r="L771" i="45"/>
  <c r="L770" i="45"/>
  <c r="L769" i="45"/>
  <c r="L768" i="45"/>
  <c r="L767" i="45"/>
  <c r="L766" i="45"/>
  <c r="L765" i="45"/>
  <c r="L764" i="45"/>
  <c r="L763" i="45"/>
  <c r="L762" i="45"/>
  <c r="L761" i="45"/>
  <c r="L760" i="45"/>
  <c r="L759" i="45"/>
  <c r="L758" i="45"/>
  <c r="K743" i="45"/>
  <c r="L740" i="45"/>
  <c r="L739" i="45"/>
  <c r="L738" i="45"/>
  <c r="L737" i="45"/>
  <c r="L736" i="45"/>
  <c r="L735" i="45"/>
  <c r="L734" i="45"/>
  <c r="L733" i="45"/>
  <c r="L732" i="45"/>
  <c r="L731" i="45"/>
  <c r="L730" i="45"/>
  <c r="L729" i="45"/>
  <c r="L728" i="45"/>
  <c r="L727" i="45"/>
  <c r="L726" i="45"/>
  <c r="L725" i="45"/>
  <c r="L724" i="45"/>
  <c r="L723" i="45"/>
  <c r="L722" i="45"/>
  <c r="L721" i="45"/>
  <c r="L720" i="45"/>
  <c r="L719" i="45"/>
  <c r="L718" i="45"/>
  <c r="L717" i="45"/>
  <c r="L716" i="45"/>
  <c r="L715" i="45"/>
  <c r="L714" i="45"/>
  <c r="L713" i="45"/>
  <c r="L712" i="45"/>
  <c r="L711" i="45"/>
  <c r="L710" i="45"/>
  <c r="L709" i="45"/>
  <c r="L708" i="45"/>
  <c r="L707" i="45"/>
  <c r="L706" i="45"/>
  <c r="L705" i="45"/>
  <c r="L704" i="45"/>
  <c r="L703" i="45"/>
  <c r="L702" i="45"/>
  <c r="L701" i="45"/>
  <c r="L700" i="45"/>
  <c r="L699" i="45"/>
  <c r="L694" i="45"/>
  <c r="L693" i="45"/>
  <c r="L692" i="45"/>
  <c r="L691" i="45"/>
  <c r="K676" i="45"/>
  <c r="L674" i="45"/>
  <c r="L673" i="45"/>
  <c r="L672" i="45"/>
  <c r="L671" i="45"/>
  <c r="L670" i="45"/>
  <c r="L669" i="45"/>
  <c r="L668" i="45"/>
  <c r="L667" i="45"/>
  <c r="L666" i="45"/>
  <c r="L665" i="45"/>
  <c r="L663" i="45"/>
  <c r="L662" i="45"/>
  <c r="L661" i="45"/>
  <c r="L660" i="45"/>
  <c r="L659" i="45"/>
  <c r="L658" i="45"/>
  <c r="L657" i="45"/>
  <c r="L656" i="45"/>
  <c r="L655" i="45"/>
  <c r="L654" i="45"/>
  <c r="L653" i="45"/>
  <c r="L652" i="45"/>
  <c r="L651" i="45"/>
  <c r="L650" i="45"/>
  <c r="L649" i="45"/>
  <c r="L648" i="45"/>
  <c r="L647" i="45"/>
  <c r="L646" i="45"/>
  <c r="L645" i="45"/>
  <c r="L644" i="45"/>
  <c r="L643" i="45"/>
  <c r="L642" i="45"/>
  <c r="L641" i="45"/>
  <c r="L640" i="45"/>
  <c r="L639" i="45"/>
  <c r="L638" i="45"/>
  <c r="L637" i="45"/>
  <c r="L636" i="45"/>
  <c r="L635" i="45"/>
  <c r="L634" i="45"/>
  <c r="L633" i="45"/>
  <c r="L632" i="45"/>
  <c r="L631" i="45"/>
  <c r="L630" i="45"/>
  <c r="L629" i="45"/>
  <c r="L628" i="45"/>
  <c r="L627" i="45"/>
  <c r="L626" i="45"/>
  <c r="L625" i="45"/>
  <c r="L624" i="45"/>
  <c r="K609" i="45"/>
  <c r="L606" i="45"/>
  <c r="L605" i="45"/>
  <c r="L604" i="45"/>
  <c r="L603" i="45"/>
  <c r="L602" i="45"/>
  <c r="L601" i="45"/>
  <c r="L600" i="45"/>
  <c r="L599" i="45"/>
  <c r="L598" i="45"/>
  <c r="L597" i="45"/>
  <c r="L596" i="45"/>
  <c r="L595" i="45"/>
  <c r="L594" i="45"/>
  <c r="L593" i="45"/>
  <c r="L592" i="45"/>
  <c r="L591" i="45"/>
  <c r="L590" i="45"/>
  <c r="L589" i="45"/>
  <c r="L588" i="45"/>
  <c r="L587" i="45"/>
  <c r="L586" i="45"/>
  <c r="L585" i="45"/>
  <c r="L584" i="45"/>
  <c r="L583" i="45"/>
  <c r="L582" i="45"/>
  <c r="L581" i="45"/>
  <c r="L580" i="45"/>
  <c r="L579" i="45"/>
  <c r="L578" i="45"/>
  <c r="L577" i="45"/>
  <c r="L576" i="45"/>
  <c r="L575" i="45"/>
  <c r="L574" i="45"/>
  <c r="L573" i="45"/>
  <c r="L572" i="45"/>
  <c r="L571" i="45"/>
  <c r="L570" i="45"/>
  <c r="L569" i="45"/>
  <c r="L568" i="45"/>
  <c r="L567" i="45"/>
  <c r="L566" i="45"/>
  <c r="L565" i="45"/>
  <c r="L564" i="45"/>
  <c r="L563" i="45"/>
  <c r="L562" i="45"/>
  <c r="L561" i="45"/>
  <c r="L560" i="45"/>
  <c r="L559" i="45"/>
  <c r="L558" i="45"/>
  <c r="L557" i="45"/>
  <c r="K542" i="45"/>
  <c r="L539" i="45"/>
  <c r="L538" i="45"/>
  <c r="L537" i="45"/>
  <c r="L536" i="45"/>
  <c r="L535" i="45"/>
  <c r="L534" i="45"/>
  <c r="L533" i="45"/>
  <c r="L532" i="45"/>
  <c r="L531" i="45"/>
  <c r="L530" i="45"/>
  <c r="L529" i="45"/>
  <c r="L528" i="45"/>
  <c r="L527" i="45"/>
  <c r="L526" i="45"/>
  <c r="L525" i="45"/>
  <c r="L524" i="45"/>
  <c r="L523" i="45"/>
  <c r="L522" i="45"/>
  <c r="L521" i="45"/>
  <c r="L520" i="45"/>
  <c r="L519" i="45"/>
  <c r="L518" i="45"/>
  <c r="L517" i="45"/>
  <c r="L516" i="45"/>
  <c r="L515" i="45"/>
  <c r="L514" i="45"/>
  <c r="L513" i="45"/>
  <c r="L512" i="45"/>
  <c r="L511" i="45"/>
  <c r="L510" i="45"/>
  <c r="L509" i="45"/>
  <c r="L508" i="45"/>
  <c r="L507" i="45"/>
  <c r="L506" i="45"/>
  <c r="L505" i="45"/>
  <c r="L504" i="45"/>
  <c r="L503" i="45"/>
  <c r="L502" i="45"/>
  <c r="L501" i="45"/>
  <c r="L500" i="45"/>
  <c r="L499" i="45"/>
  <c r="L498" i="45"/>
  <c r="L497" i="45"/>
  <c r="L496" i="45"/>
  <c r="L495" i="45"/>
  <c r="L494" i="45"/>
  <c r="L493" i="45"/>
  <c r="L492" i="45"/>
  <c r="L491" i="45"/>
  <c r="L490" i="45"/>
  <c r="K475" i="45"/>
  <c r="L472" i="45"/>
  <c r="L471" i="45"/>
  <c r="L470" i="45"/>
  <c r="L469" i="45"/>
  <c r="L468" i="45"/>
  <c r="L467" i="45"/>
  <c r="L466" i="45"/>
  <c r="L465" i="45"/>
  <c r="L464" i="45"/>
  <c r="L463" i="45"/>
  <c r="L462" i="45"/>
  <c r="L461" i="45"/>
  <c r="L460" i="45"/>
  <c r="L459" i="45"/>
  <c r="L458" i="45"/>
  <c r="L457" i="45"/>
  <c r="L456" i="45"/>
  <c r="L453" i="45"/>
  <c r="L451" i="45"/>
  <c r="L450" i="45"/>
  <c r="L449" i="45"/>
  <c r="L448" i="45"/>
  <c r="L446" i="45"/>
  <c r="L445" i="45"/>
  <c r="L444" i="45"/>
  <c r="L443" i="45"/>
  <c r="L442" i="45"/>
  <c r="L441" i="45"/>
  <c r="L440" i="45"/>
  <c r="L438" i="45"/>
  <c r="L437" i="45"/>
  <c r="L436" i="45"/>
  <c r="L435" i="45"/>
  <c r="L434" i="45"/>
  <c r="L433" i="45"/>
  <c r="L432" i="45"/>
  <c r="L430" i="45"/>
  <c r="L429" i="45"/>
  <c r="L428" i="45"/>
  <c r="L427" i="45"/>
  <c r="L426" i="45"/>
  <c r="L425" i="45"/>
  <c r="L424" i="45"/>
  <c r="K408" i="45"/>
  <c r="L405" i="45"/>
  <c r="L404" i="45"/>
  <c r="L403" i="45"/>
  <c r="L402" i="45"/>
  <c r="L401" i="45"/>
  <c r="L400" i="45"/>
  <c r="L399" i="45"/>
  <c r="L397" i="45"/>
  <c r="L396" i="45"/>
  <c r="L395" i="45"/>
  <c r="L394" i="45"/>
  <c r="L393" i="45"/>
  <c r="L392" i="45"/>
  <c r="L391" i="45"/>
  <c r="L389" i="45"/>
  <c r="L388" i="45"/>
  <c r="L387" i="45"/>
  <c r="L386" i="45"/>
  <c r="L385" i="45"/>
  <c r="L384" i="45"/>
  <c r="L383" i="45"/>
  <c r="L381" i="45"/>
  <c r="L380" i="45"/>
  <c r="L379" i="45"/>
  <c r="L378" i="45"/>
  <c r="L377" i="45"/>
  <c r="L376" i="45"/>
  <c r="L375" i="45"/>
  <c r="L373" i="45"/>
  <c r="L372" i="45"/>
  <c r="L371" i="45"/>
  <c r="L370" i="45"/>
  <c r="L369" i="45"/>
  <c r="L368" i="45"/>
  <c r="L367" i="45"/>
  <c r="L365" i="45"/>
  <c r="L364" i="45"/>
  <c r="L363" i="45"/>
  <c r="L362" i="45"/>
  <c r="L361" i="45"/>
  <c r="L360" i="45"/>
  <c r="L359" i="45"/>
  <c r="L357" i="45"/>
  <c r="L356" i="45"/>
  <c r="K341" i="45"/>
  <c r="L339" i="45"/>
  <c r="L338" i="45"/>
  <c r="L337" i="45"/>
  <c r="L336" i="45"/>
  <c r="L335" i="45"/>
  <c r="L333" i="45"/>
  <c r="L332" i="45"/>
  <c r="L331" i="45"/>
  <c r="L330" i="45"/>
  <c r="L329" i="45"/>
  <c r="L328" i="45"/>
  <c r="L327" i="45"/>
  <c r="L325" i="45"/>
  <c r="L324" i="45"/>
  <c r="L323" i="45"/>
  <c r="L322" i="45"/>
  <c r="L321" i="45"/>
  <c r="L320" i="45"/>
  <c r="L319" i="45"/>
  <c r="L317" i="45"/>
  <c r="L316" i="45"/>
  <c r="L315" i="45"/>
  <c r="L314" i="45"/>
  <c r="L313" i="45"/>
  <c r="L312" i="45"/>
  <c r="L311" i="45"/>
  <c r="L309" i="45"/>
  <c r="L308" i="45"/>
  <c r="L307" i="45"/>
  <c r="L306" i="45"/>
  <c r="L305" i="45"/>
  <c r="L304" i="45"/>
  <c r="L303" i="45"/>
  <c r="L301" i="45"/>
  <c r="L300" i="45"/>
  <c r="L299" i="45"/>
  <c r="L298" i="45"/>
  <c r="L297" i="45"/>
  <c r="L296" i="45"/>
  <c r="L295" i="45"/>
  <c r="L293" i="45"/>
  <c r="L292" i="45"/>
  <c r="L291" i="45"/>
  <c r="L290" i="45"/>
  <c r="L289" i="45"/>
  <c r="K274" i="45"/>
  <c r="L272" i="45"/>
  <c r="L271" i="45"/>
  <c r="L269" i="45"/>
  <c r="L268" i="45"/>
  <c r="L267" i="45"/>
  <c r="L266" i="45"/>
  <c r="L265" i="45"/>
  <c r="L264" i="45"/>
  <c r="L263" i="45"/>
  <c r="L261" i="45"/>
  <c r="L260" i="45"/>
  <c r="L259" i="45"/>
  <c r="L258" i="45"/>
  <c r="L257" i="45"/>
  <c r="L256" i="45"/>
  <c r="L255" i="45"/>
  <c r="L253" i="45"/>
  <c r="L252" i="45"/>
  <c r="L251" i="45"/>
  <c r="L250" i="45"/>
  <c r="L249" i="45"/>
  <c r="L248" i="45"/>
  <c r="L247" i="45"/>
  <c r="L245" i="45"/>
  <c r="L244" i="45"/>
  <c r="L243" i="45"/>
  <c r="L242" i="45"/>
  <c r="L241" i="45"/>
  <c r="L240" i="45"/>
  <c r="L239" i="45"/>
  <c r="L237" i="45"/>
  <c r="L236" i="45"/>
  <c r="L235" i="45"/>
  <c r="L234" i="45"/>
  <c r="L233" i="45"/>
  <c r="L232" i="45"/>
  <c r="L231" i="45"/>
  <c r="L229" i="45"/>
  <c r="L228" i="45"/>
  <c r="L227" i="45"/>
  <c r="L226" i="45"/>
  <c r="L225" i="45"/>
  <c r="L224" i="45"/>
  <c r="L223" i="45"/>
  <c r="K207" i="45"/>
  <c r="L205" i="45"/>
  <c r="L204" i="45"/>
  <c r="L203" i="45"/>
  <c r="L202" i="45"/>
  <c r="L201" i="45"/>
  <c r="L200" i="45"/>
  <c r="L199" i="45"/>
  <c r="L197" i="45"/>
  <c r="L196" i="45"/>
  <c r="L195" i="45"/>
  <c r="L194" i="45"/>
  <c r="L193" i="45"/>
  <c r="L192" i="45"/>
  <c r="L191" i="45"/>
  <c r="L189" i="45"/>
  <c r="L188" i="45"/>
  <c r="L187" i="45"/>
  <c r="L186" i="45"/>
  <c r="L185" i="45"/>
  <c r="L184" i="45"/>
  <c r="L183" i="45"/>
  <c r="L181" i="45"/>
  <c r="L180" i="45"/>
  <c r="L179" i="45"/>
  <c r="L178" i="45"/>
  <c r="L177" i="45"/>
  <c r="L176" i="45"/>
  <c r="L175" i="45"/>
  <c r="L173" i="45"/>
  <c r="L172" i="45"/>
  <c r="L171" i="45"/>
  <c r="L170" i="45"/>
  <c r="L169" i="45"/>
  <c r="L168" i="45"/>
  <c r="L167" i="45"/>
  <c r="L165" i="45"/>
  <c r="L164" i="45"/>
  <c r="L163" i="45"/>
  <c r="L162" i="45"/>
  <c r="L161" i="45"/>
  <c r="L160" i="45"/>
  <c r="L159" i="45"/>
  <c r="L156" i="45"/>
  <c r="K140" i="45"/>
  <c r="L137" i="45"/>
  <c r="L136" i="45"/>
  <c r="L135" i="45"/>
  <c r="L133" i="45"/>
  <c r="L132" i="45"/>
  <c r="L131" i="45"/>
  <c r="L130" i="45"/>
  <c r="L128" i="45"/>
  <c r="L126" i="45"/>
  <c r="L124" i="45"/>
  <c r="L123" i="45"/>
  <c r="L122" i="45"/>
  <c r="L120" i="45"/>
  <c r="L119" i="45"/>
  <c r="L118" i="45"/>
  <c r="L117" i="45"/>
  <c r="L116" i="45"/>
  <c r="L115" i="45"/>
  <c r="L113" i="45"/>
  <c r="L111" i="45"/>
  <c r="L109" i="45"/>
  <c r="L107" i="45"/>
  <c r="L105" i="45"/>
  <c r="L103" i="45"/>
  <c r="L101" i="45"/>
  <c r="L100" i="45"/>
  <c r="L98" i="45"/>
  <c r="L96" i="45"/>
  <c r="L94" i="45"/>
  <c r="L92" i="45"/>
  <c r="L68" i="45"/>
  <c r="K65" i="45"/>
  <c r="K64" i="45"/>
  <c r="K62" i="45"/>
  <c r="L60" i="45"/>
  <c r="L59" i="45"/>
  <c r="L58" i="45"/>
  <c r="L57" i="45"/>
  <c r="K56" i="45"/>
  <c r="L55" i="45"/>
  <c r="L54" i="45"/>
  <c r="L53" i="45"/>
  <c r="L52" i="45"/>
  <c r="K51" i="45"/>
  <c r="K49" i="45"/>
  <c r="K48" i="45"/>
  <c r="L46" i="45"/>
  <c r="K45" i="45"/>
  <c r="K44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Q28" i="45"/>
  <c r="P28" i="45"/>
  <c r="O28" i="45"/>
  <c r="O29" i="45" s="1"/>
  <c r="Q27" i="45"/>
  <c r="O27" i="45"/>
  <c r="K27" i="45"/>
  <c r="Q26" i="45"/>
  <c r="O26" i="45"/>
  <c r="K26" i="45"/>
  <c r="P25" i="45"/>
  <c r="O25" i="45"/>
  <c r="K25" i="45"/>
  <c r="K24" i="45"/>
  <c r="K23" i="45"/>
  <c r="Q22" i="45"/>
  <c r="R23" i="45" s="1"/>
  <c r="P22" i="45"/>
  <c r="K22" i="45"/>
  <c r="K21" i="45"/>
  <c r="L609" i="45" l="1"/>
  <c r="L1011" i="45"/>
  <c r="L1614" i="45"/>
  <c r="L877" i="45"/>
  <c r="L2150" i="45"/>
  <c r="L2217" i="45"/>
  <c r="L2683" i="45"/>
  <c r="L944" i="45"/>
  <c r="L2016" i="45"/>
  <c r="L207" i="45"/>
  <c r="L274" i="45"/>
  <c r="L408" i="45"/>
  <c r="L475" i="45"/>
  <c r="L542" i="45"/>
  <c r="K1279" i="45"/>
  <c r="L1346" i="45"/>
  <c r="L1748" i="45"/>
  <c r="L1815" i="45"/>
  <c r="L2485" i="45"/>
  <c r="L2619" i="45"/>
  <c r="K73" i="45"/>
  <c r="L341" i="45"/>
  <c r="L743" i="45"/>
  <c r="L1078" i="45"/>
  <c r="L1145" i="45"/>
  <c r="K1145" i="45"/>
  <c r="L1279" i="45"/>
  <c r="L1480" i="45"/>
  <c r="L2351" i="45"/>
  <c r="K2619" i="45"/>
  <c r="L73" i="45"/>
  <c r="L140" i="45"/>
  <c r="L810" i="45"/>
  <c r="L1681" i="45"/>
  <c r="L1949" i="45"/>
  <c r="L676" i="45"/>
  <c r="K1212" i="45"/>
  <c r="L1413" i="45"/>
  <c r="L1547" i="45"/>
  <c r="K1681" i="45"/>
  <c r="L2284" i="45"/>
  <c r="L2418" i="45"/>
  <c r="L2552" i="45"/>
  <c r="L1882" i="45"/>
  <c r="L2083" i="45"/>
  <c r="S23" i="45"/>
  <c r="T23" i="45" s="1"/>
  <c r="L2684" i="45" l="1"/>
  <c r="M73" i="45"/>
  <c r="K2684" i="45"/>
  <c r="M2684" i="45"/>
</calcChain>
</file>

<file path=xl/sharedStrings.xml><?xml version="1.0" encoding="utf-8"?>
<sst xmlns="http://schemas.openxmlformats.org/spreadsheetml/2006/main" count="5884" uniqueCount="1601">
  <si>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</si>
  <si>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</si>
  <si>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</si>
  <si>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</si>
  <si>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</si>
  <si>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</si>
  <si>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</si>
  <si>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</si>
  <si>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</si>
  <si>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</si>
  <si>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</si>
  <si>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</si>
  <si>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</si>
  <si>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</si>
  <si>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</si>
  <si>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</si>
  <si>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</si>
  <si>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</si>
  <si>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</si>
  <si>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</si>
  <si>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</si>
  <si>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</si>
  <si>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</si>
  <si>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</si>
  <si>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</si>
  <si>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</si>
  <si>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</si>
  <si>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</si>
  <si>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</si>
  <si>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</si>
  <si>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</si>
  <si>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</si>
  <si>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</si>
  <si>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</si>
  <si>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</si>
  <si>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</si>
  <si>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</si>
  <si>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</si>
  <si>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18/FIN/MKT-MNB/III/2025</t>
  </si>
  <si>
    <t>:  91.45 Meter</t>
  </si>
  <si>
    <t>:  24.38 Meter</t>
  </si>
  <si>
    <t>:    5.48 Meter</t>
  </si>
  <si>
    <t>:  BKI</t>
  </si>
  <si>
    <t>I</t>
  </si>
  <si>
    <t>a</t>
  </si>
  <si>
    <t>Docking / Undocking</t>
  </si>
  <si>
    <t>Ls</t>
  </si>
  <si>
    <t>b</t>
  </si>
  <si>
    <t>Asistensi naik/ turun dock, termasuk persiapan ganjal</t>
  </si>
  <si>
    <t>c</t>
  </si>
  <si>
    <t>Asistensi dengan mooring Boat</t>
  </si>
  <si>
    <t>e</t>
  </si>
  <si>
    <t>Hari</t>
  </si>
  <si>
    <t>f</t>
  </si>
  <si>
    <t>Disediakan Tempat penyimpanan logistik selama perbaikan</t>
  </si>
  <si>
    <t>g</t>
  </si>
  <si>
    <t>Penggunaan alat angkat (&lt;1 Ton)</t>
  </si>
  <si>
    <t>II</t>
  </si>
  <si>
    <t>Sekrap Bagian Bawah Air</t>
  </si>
  <si>
    <t>m2</t>
  </si>
  <si>
    <t>Sandblasting Bottom Sampai Waterline (S.A 2.0)</t>
  </si>
  <si>
    <t>Sandblasting Top Side (S.A 2.0)</t>
  </si>
  <si>
    <t>d</t>
  </si>
  <si>
    <t>Sandblasting External Deck (S.A 2.0)</t>
  </si>
  <si>
    <t>Sandblasting External Sideboard (S.A 2.0)</t>
  </si>
  <si>
    <t>h</t>
  </si>
  <si>
    <t>Sandblasting Winch House  (S.A 2.0)</t>
  </si>
  <si>
    <t>k</t>
  </si>
  <si>
    <t>Pengecatan Bagian Bawah Air (1x primer,1x sealer,1 xAF)</t>
  </si>
  <si>
    <t>l</t>
  </si>
  <si>
    <t>Pengecatan Top Side (1x primer,1x top coat)</t>
  </si>
  <si>
    <t>m</t>
  </si>
  <si>
    <t>Pengecetan eksternal deck (1x primer, 1x top coat)</t>
  </si>
  <si>
    <t>n</t>
  </si>
  <si>
    <t>Pengecetan eksternal sideboard (1x primer, 1x top coat)</t>
  </si>
  <si>
    <t>o</t>
  </si>
  <si>
    <t>p</t>
  </si>
  <si>
    <t>Pengecetan Winch House (1x Primer, 1x top coat)</t>
  </si>
  <si>
    <t>s</t>
  </si>
  <si>
    <t>Pemasangan Zinc Anode</t>
  </si>
  <si>
    <t>bh</t>
  </si>
  <si>
    <t>t</t>
  </si>
  <si>
    <t>Pengecatan Draft Mark, Nama Kapal</t>
  </si>
  <si>
    <t>u</t>
  </si>
  <si>
    <t>Cleaning Main deck Internal dan Eksternal (Sisa cargo dan Pasir Blasting)</t>
  </si>
  <si>
    <t>III</t>
  </si>
  <si>
    <t>III.1</t>
  </si>
  <si>
    <t>Kg</t>
  </si>
  <si>
    <t>III.2</t>
  </si>
  <si>
    <t>-</t>
  </si>
  <si>
    <t>IV</t>
  </si>
  <si>
    <t>Buka dan Tutup Kembali Manhole</t>
  </si>
  <si>
    <t>pcs</t>
  </si>
  <si>
    <t>Bongkar Semen dan Penyemenan Kembali</t>
  </si>
  <si>
    <t>Ganti Karet Manhole</t>
  </si>
  <si>
    <t>Dilakukan Freegas Sebelum Pemeriksaan Kedalam Tangki</t>
  </si>
  <si>
    <t>Tank</t>
  </si>
  <si>
    <t>Air Test tangki</t>
  </si>
  <si>
    <t>Pipa sounding</t>
  </si>
  <si>
    <t>set</t>
  </si>
  <si>
    <t>mm</t>
  </si>
  <si>
    <t>V</t>
  </si>
  <si>
    <t>LAPORAN DAN GAMBAR</t>
  </si>
  <si>
    <t>Dibuatkan laporan pengedockan dan gambar bukaan kulit sesuai posisi replating</t>
  </si>
  <si>
    <t>VI</t>
  </si>
  <si>
    <t>LAIN-LAIN</t>
  </si>
  <si>
    <t>UT scope IS dan dibuatkan laporannya</t>
  </si>
  <si>
    <t>PERLENGKAPAN LAMBUNG</t>
  </si>
  <si>
    <t>VII.1</t>
  </si>
  <si>
    <t>Pad eye</t>
  </si>
  <si>
    <t>JR. Rev. 00 Aktualisasi and Initial floating survey join with OS (13/01/25)</t>
  </si>
  <si>
    <t>REPLATING</t>
  </si>
  <si>
    <t>I.1</t>
  </si>
  <si>
    <t>I.2</t>
  </si>
  <si>
    <t>Main Deck</t>
  </si>
  <si>
    <t>I.4</t>
  </si>
  <si>
    <t>Sideboard PS</t>
  </si>
  <si>
    <t>Sideboard Stantion, Sway and Stiffener</t>
  </si>
  <si>
    <t>Sideboard Plate</t>
  </si>
  <si>
    <t>Portable side door</t>
  </si>
  <si>
    <t>Take down and put back up portable side door</t>
  </si>
  <si>
    <t>I.5</t>
  </si>
  <si>
    <t>Sideboard SB</t>
  </si>
  <si>
    <t>I.6</t>
  </si>
  <si>
    <t>Sideboard AP</t>
  </si>
  <si>
    <t>Sideboard Stantion, Sway and Stiffener (Numbering from left to right)</t>
  </si>
  <si>
    <t>I.7</t>
  </si>
  <si>
    <t>Sideboard FP</t>
  </si>
  <si>
    <t>Fabrication portable side door</t>
  </si>
  <si>
    <t>TANGKI-TANGKI</t>
  </si>
  <si>
    <t>II.1</t>
  </si>
  <si>
    <t>Manhole PS</t>
  </si>
  <si>
    <t>Recondition manhole No. 1 PS</t>
  </si>
  <si>
    <t>Set</t>
  </si>
  <si>
    <t>Recondition manhole No. 2 PS</t>
  </si>
  <si>
    <t>Recondition manhole No. 3 PS</t>
  </si>
  <si>
    <t>Recondition manhole No. 4 PS</t>
  </si>
  <si>
    <t>Recondition manhole No. 5 PS</t>
  </si>
  <si>
    <t>Recondition manhole No. 6 PS</t>
  </si>
  <si>
    <t>Recondition manhole No. 7 PS</t>
  </si>
  <si>
    <t>Recondition manhole No. 8 PS</t>
  </si>
  <si>
    <t>i</t>
  </si>
  <si>
    <t>Recondition manhole No. 9 PS</t>
  </si>
  <si>
    <t>j</t>
  </si>
  <si>
    <t>Recondition manhole No. 10 PS</t>
  </si>
  <si>
    <t>II.2</t>
  </si>
  <si>
    <t>Manhole SB</t>
  </si>
  <si>
    <t>Recondition manhole No. 1 SB</t>
  </si>
  <si>
    <t>Recondition manhole No. 2 SB</t>
  </si>
  <si>
    <t>Recondition manhole No. 3 SB</t>
  </si>
  <si>
    <t>Recondition manhole No. 4 SB</t>
  </si>
  <si>
    <t>Recondition manhole No. 5 SB</t>
  </si>
  <si>
    <t>Recondition manhole No. 6 SB</t>
  </si>
  <si>
    <t>Recondition manhole No. 7 SB</t>
  </si>
  <si>
    <t>Recondition manhole No. 8 SB</t>
  </si>
  <si>
    <t>Recondition manhole No. 9 SB</t>
  </si>
  <si>
    <t>Recondition manhole No. 10 SB</t>
  </si>
  <si>
    <t>Bolder</t>
  </si>
  <si>
    <t xml:space="preserve">Double bolder No. 1 PS </t>
  </si>
  <si>
    <t>Side cover | Plate (A) thickness 10 mm | 1200 X 100 mm @ 2 sht</t>
  </si>
  <si>
    <t>Double bolder No. 2 PS</t>
  </si>
  <si>
    <t>Double bolder No. 3 PS</t>
  </si>
  <si>
    <t xml:space="preserve">Double bolder No. 4 PS </t>
  </si>
  <si>
    <t>Double bolder No. 1 SB</t>
  </si>
  <si>
    <t>Double bolder No. 2 SB</t>
  </si>
  <si>
    <t>Double bolder No. 3 SB</t>
  </si>
  <si>
    <t>Double bolder No. 4 SB</t>
  </si>
  <si>
    <t>Safety towing chain</t>
  </si>
  <si>
    <t>Safety towing chain PS</t>
  </si>
  <si>
    <t>Safety towing chain SB</t>
  </si>
  <si>
    <t>Sandblasting internal tangki (S.A 2.0)</t>
  </si>
  <si>
    <t>Pengecatan internal tangki (1x primer)</t>
  </si>
  <si>
    <t>Cleaning tangki (After Blasting)</t>
  </si>
  <si>
    <t>IV.2</t>
  </si>
  <si>
    <t>Tabel Sounding</t>
  </si>
  <si>
    <t>Perhitungan Table Sounding Tangki</t>
  </si>
  <si>
    <t>Tanki</t>
  </si>
  <si>
    <t>JR. Rev. 01 Actualisation (23/01/25)</t>
  </si>
  <si>
    <t>REPLATTING</t>
  </si>
  <si>
    <t>Internal Tank</t>
  </si>
  <si>
    <t>Tank 2 CT-PS</t>
  </si>
  <si>
    <t>Tank 2 PS</t>
  </si>
  <si>
    <t>Tank 2 CT-SB</t>
  </si>
  <si>
    <t>Tank 2 SB</t>
  </si>
  <si>
    <t>Tank 3 CT-PS</t>
  </si>
  <si>
    <t>Tank 3 PS</t>
  </si>
  <si>
    <t>Tank 3 CT-SB</t>
  </si>
  <si>
    <t>Tank 3 SB</t>
  </si>
  <si>
    <t>Tank 4 CT-PS</t>
  </si>
  <si>
    <t>Tank 4 PS</t>
  </si>
  <si>
    <t>Tank 4 CT-SB</t>
  </si>
  <si>
    <t>Tank 4 SB</t>
  </si>
  <si>
    <t>Tank 5 CT-PS</t>
  </si>
  <si>
    <t>Tank 5 PS</t>
  </si>
  <si>
    <t>q</t>
  </si>
  <si>
    <t>Tank 5 CT-SB</t>
  </si>
  <si>
    <t>r</t>
  </si>
  <si>
    <t>Tank 5 SB</t>
  </si>
  <si>
    <t>Tank 6 CT-PS</t>
  </si>
  <si>
    <t>Tank 6 PS</t>
  </si>
  <si>
    <t>Tank 6 CT-SB</t>
  </si>
  <si>
    <t>v</t>
  </si>
  <si>
    <t>Tank 6 SB</t>
  </si>
  <si>
    <t>w</t>
  </si>
  <si>
    <t>Tank 7 CT-PS</t>
  </si>
  <si>
    <t>x</t>
  </si>
  <si>
    <t>Tank 7 PS</t>
  </si>
  <si>
    <t>y</t>
  </si>
  <si>
    <t>Tank 7 CT-SB</t>
  </si>
  <si>
    <t>z</t>
  </si>
  <si>
    <t>Tank 7 SB</t>
  </si>
  <si>
    <t>aa</t>
  </si>
  <si>
    <t>Tank 8 CT-PS</t>
  </si>
  <si>
    <t>ab</t>
  </si>
  <si>
    <t>Tank 8 PS</t>
  </si>
  <si>
    <t>ac</t>
  </si>
  <si>
    <t>Tank 8 CT-SB</t>
  </si>
  <si>
    <t>ad</t>
  </si>
  <si>
    <t>Tank 8 SB</t>
  </si>
  <si>
    <t>ae</t>
  </si>
  <si>
    <t>Tank 9 CT-PS</t>
  </si>
  <si>
    <t>af</t>
  </si>
  <si>
    <t>Tank 9 PS</t>
  </si>
  <si>
    <t>ag</t>
  </si>
  <si>
    <t>Tank 9 CT-SB</t>
  </si>
  <si>
    <t>ah</t>
  </si>
  <si>
    <t>Tank 9 SB</t>
  </si>
  <si>
    <t>JR. Rev. 02 Additional Work Req by OS (28/01/25)</t>
  </si>
  <si>
    <t>Fr. 33/34-35/36, Lajur E PS</t>
  </si>
  <si>
    <t>Fr. 44/45-47/48, Lajur E-K SB</t>
  </si>
  <si>
    <t>Fr. 44/45-50</t>
  </si>
  <si>
    <t>I.3</t>
  </si>
  <si>
    <t>Transome</t>
  </si>
  <si>
    <t>Trasome haluan kiri</t>
  </si>
  <si>
    <t>Trasome haluan kanan</t>
  </si>
  <si>
    <t>Stripping bracket stantion | Plate (A) thickness 10 mm | 400 X 100 mm @ 4 sht</t>
  </si>
  <si>
    <t>Fabrication anchor pocket</t>
  </si>
  <si>
    <t>Hawse pipe | Pipe seamless size. 12" Sch 80</t>
  </si>
  <si>
    <t>Fabrication winch engine exhaust pipe</t>
  </si>
  <si>
    <t>joint</t>
  </si>
  <si>
    <t>Fabrication winch house door</t>
  </si>
  <si>
    <t>Fabrication winch house terrace platform</t>
  </si>
  <si>
    <t>Fabrication platform &amp; ladder railing</t>
  </si>
  <si>
    <t>Ladder railing | Pipe seamless size. 1 1/2" Sch 40</t>
  </si>
  <si>
    <t>Ladder railing | Elbow black size. 1 1/2" Sch. 40</t>
  </si>
  <si>
    <t>Fabrication chain launcher</t>
  </si>
  <si>
    <t>Fabrication chain roller</t>
  </si>
  <si>
    <t>Side | Plate (A) thickness 25 mm | 300 X 500 mm @ 4 sht</t>
  </si>
  <si>
    <t>Roller | Pipe seamless size. 6" Sch 80</t>
  </si>
  <si>
    <t>Roller end plate | Plate (A) thickness 12 mm | 300 X 300 mm @ 2 sht</t>
  </si>
  <si>
    <t>Roller machining (lathe and fitting)</t>
  </si>
  <si>
    <t>ls</t>
  </si>
  <si>
    <t>JR. Rev. 03 Material Revision Req by OS (05/02/25)</t>
  </si>
  <si>
    <t>Sheerstrake</t>
  </si>
  <si>
    <t>Stripping bracket pillar | Plate (A) thickness 10 mm | 400 X 100 mm @ 4 sht</t>
  </si>
  <si>
    <t>Collar | Plate (A) thickness 10 mm | 180 X 80 mm @ 16 sht</t>
  </si>
  <si>
    <t>Fr 9/10-10/11</t>
  </si>
  <si>
    <t>Tank 1 PS</t>
  </si>
  <si>
    <t>TBHD 6/5 plate | Plate (A) thickness 8 mm | 1500 X 600 mm</t>
  </si>
  <si>
    <t>Collar | Plate (A) thickness 10 mm | 180 X 80 mm @ 2 sht</t>
  </si>
  <si>
    <t>Collar | Plate (A) thickness 10 mm | 180 X 80 mm @ 4 sht</t>
  </si>
  <si>
    <t>Tank 10 SB</t>
  </si>
  <si>
    <t>Recondition manhole No. 2 CT PS</t>
  </si>
  <si>
    <t>Handle (halved) | Chain galvanized size. 3/4" @ 4 pcs</t>
  </si>
  <si>
    <t>Recondition manhole No. 3 CT PS</t>
  </si>
  <si>
    <t>Recondition manhole No. 4 CT PS</t>
  </si>
  <si>
    <t>Recondition manhole No. 5 CT PS</t>
  </si>
  <si>
    <t>Recondition manhole No. 6 CT PS</t>
  </si>
  <si>
    <t>Recondition manhole No. 7 CT PS</t>
  </si>
  <si>
    <t>Recondition manhole No. 8 CT PS</t>
  </si>
  <si>
    <t>Recondition manhole No. 9 CT PS</t>
  </si>
  <si>
    <t>Recondition manhole No. 10 CT PS</t>
  </si>
  <si>
    <t>Recondition manhole No. 2 CT SB</t>
  </si>
  <si>
    <t>Recondition manhole No. 3 CT SB</t>
  </si>
  <si>
    <t>Recondition manhole No. 4 CT SB</t>
  </si>
  <si>
    <t>Recondition manhole No. 5 CT SB</t>
  </si>
  <si>
    <t>Recondition manhole No. 6 CT SB</t>
  </si>
  <si>
    <t>Recondition manhole No. 7 CT SB</t>
  </si>
  <si>
    <t>Recondition manhole No. 8 CT SB</t>
  </si>
  <si>
    <t>Recondition manhole No. 9 CT SB</t>
  </si>
  <si>
    <t>Recondition manhole No. 10 CT SB</t>
  </si>
  <si>
    <t>Fr 4/5-5/6</t>
  </si>
  <si>
    <t>Tank  10 PS</t>
  </si>
  <si>
    <t>JR. Rev. 07 Additional Work Req by OS (03/03/25)</t>
  </si>
  <si>
    <t>Fabrication class sign plimsoll mark</t>
  </si>
  <si>
    <t>Railing | Elbow black size. 2" Sch. 40 @ 4 pcs</t>
  </si>
  <si>
    <t>Fabrication safety portable sideboard door PS</t>
  </si>
  <si>
    <t>Fabrication safety portable sideboard door SB</t>
  </si>
  <si>
    <t>Fabrication safety portable sideboard door FP</t>
  </si>
  <si>
    <t xml:space="preserve">Fabrication hand rail sideboard </t>
  </si>
  <si>
    <t>Fabrication anchor chain stopper</t>
  </si>
  <si>
    <t>Pad eye | Plate (A) thickness 25 mm | 100 X 100 mm @ 4 sht</t>
  </si>
  <si>
    <t>JR for additional work at BG PSPM 3 (The project has been closed before)</t>
  </si>
  <si>
    <t>Sewa dock selama perbaikan (18 Januari 2025 - 23 Maret 2025)</t>
  </si>
  <si>
    <t>Fasilitas sandar sesudah docking (sewa sandar) (24 maret - 23 April 2025)</t>
  </si>
  <si>
    <t>PERAWATAN BADAN KAPAL (Supplai Material by Owner)</t>
  </si>
  <si>
    <t>TANGKI - TANGKI (Supplai Material Cat by Owner)</t>
  </si>
  <si>
    <t xml:space="preserve"> | Rubber packing size. 5mm | 800 X 600 mm @ 1 pcs</t>
  </si>
  <si>
    <t xml:space="preserve">Pipa sounding tank 1-10 PS </t>
  </si>
  <si>
    <t>Joint</t>
  </si>
  <si>
    <t xml:space="preserve"> | Pipe seamless size. 1 1/2" Sch 40 | 5950 mm @ 10 pcs</t>
  </si>
  <si>
    <t xml:space="preserve"> | Long nipple size. 1 1/2" Sch 40 @ 1 pcs</t>
  </si>
  <si>
    <t xml:space="preserve"> | End cap galvanized size. 1/2" @ 1 pcs</t>
  </si>
  <si>
    <t>Doubling | Plate (A) thickness 10 mm | 80 X 80 mm @ 10 sht</t>
  </si>
  <si>
    <t>Pipa sounding tank 1-10 SB</t>
  </si>
  <si>
    <t>UT Flaw area replating</t>
  </si>
  <si>
    <t>Pad eye PS, SB, AP</t>
  </si>
  <si>
    <t>Pad eye | Plate (A) thickness 12 mm | 120 X 80 mm @ 50 sht</t>
  </si>
  <si>
    <t>Doubling | Plate (A) thickness 12 mm | 150 X 80 mm @ 50 sht</t>
  </si>
  <si>
    <t>Fr. 4/5-5/6, Lajur E SB</t>
  </si>
  <si>
    <t xml:space="preserve"> | Plate (ABS) thickness 12 mm | 2000 X 750 mm</t>
  </si>
  <si>
    <t>Fr. 26-27, Lajur E SB</t>
  </si>
  <si>
    <t xml:space="preserve"> | Plate (ABS) thickness 12 mm | 4000 X 1840 mm</t>
  </si>
  <si>
    <t>Fr. 31-32, Lajur E SB</t>
  </si>
  <si>
    <t>Fr. 39/40-45/46, Lajur D-E PS</t>
  </si>
  <si>
    <t>Lajur D PS | Plate (ABS) thickness 12 mm | 12200 X 1840 mm</t>
  </si>
  <si>
    <t>Lajur E PS | Plate (ABS) thickness 12 mm | 12200 X 1220 mm</t>
  </si>
  <si>
    <t>Fr. 39/40-42/43, Lajur F PS</t>
  </si>
  <si>
    <t xml:space="preserve"> | Plate (ABS) thickness 12 mm | 5930 X 1160 mm</t>
  </si>
  <si>
    <t>Fr. 42/43-44/45, Lajur F PS</t>
  </si>
  <si>
    <t xml:space="preserve"> | Plate (ABS) thickness 12 mm | 4400 X 890 mm</t>
  </si>
  <si>
    <t>Fr. 45/46-49/50, Lajur D PS</t>
  </si>
  <si>
    <t xml:space="preserve"> | Plate (ABS) thickness 12 mm | 6100 X 1840 mm</t>
  </si>
  <si>
    <t>Fr. 45/46-48/49, Lajur E PS</t>
  </si>
  <si>
    <t xml:space="preserve"> | Plate (ABS) thickness 12 mm | 3350 X 1220 mm</t>
  </si>
  <si>
    <t>Fr. 49/50, Lajur D PS</t>
  </si>
  <si>
    <t xml:space="preserve"> | Plate (ABS) thickness 12 mm | 1120 X 560 mm</t>
  </si>
  <si>
    <t>Fr. 44/45-45/46, Lajur F SB</t>
  </si>
  <si>
    <t xml:space="preserve"> | Plate (ABS) thickness 12 mm | 3000 X 800 mm</t>
  </si>
  <si>
    <t>Lajur E SB | Plate (ABS) thickness 12 mm | 6100 X 1840 mm</t>
  </si>
  <si>
    <t>Lajur D SB | Plate (ABS) thickness 12 mm | 6100 X 1840 mm</t>
  </si>
  <si>
    <t>Lajur C SB | Plate (ABS) thickness 12 mm | 6100 X 1840 mm</t>
  </si>
  <si>
    <t>Lajur B SB | Plate (ABS) thickness 12 mm | 6100 X 1840 mm</t>
  </si>
  <si>
    <t>Lajur A SB | Plate (ABS) thickness 12 mm | 6100 X 1840 mm</t>
  </si>
  <si>
    <t>Lajur K SB | Plate (ABS) thickness 12 mm | 6100 X 1840 mm</t>
  </si>
  <si>
    <t>Fr. 44/45-47/48, Lajur C-A PS</t>
  </si>
  <si>
    <t>Lajur C PS | Plate (ABS) thickness 12 mm | 6100 X 1840 mm</t>
  </si>
  <si>
    <t>Lajur B PS | Plate (ABS) thickness 12 mm | 6100 X 1840 mm</t>
  </si>
  <si>
    <t>Lajur A PS | Plate (ABS) thickness 12 mm | 6100 X 1840 mm</t>
  </si>
  <si>
    <t>Fr. 47/48-48/49, Lajur E SB</t>
  </si>
  <si>
    <t xml:space="preserve"> | Plate (ABS) thickness 12 mm | 1720 X 690 mm</t>
  </si>
  <si>
    <t>Fr. 47/48-48/49, Lajur C SB</t>
  </si>
  <si>
    <t xml:space="preserve"> | Plate (ABS) thickness 12 mm | 1800 X 1840 mm</t>
  </si>
  <si>
    <t>Fr. 47/48-50, Lajur D, B, A, K SB</t>
  </si>
  <si>
    <t>Lajur D SB | Plate (ABS) thickness 12 mm | 4250 X 1840 mm</t>
  </si>
  <si>
    <t>Lajur B SB | Plate (ABS) thickness 12 mm | 4250 X 1840 mm</t>
  </si>
  <si>
    <t>Lajur A SB | Plate (ABS) thickness 12 mm | 4250 X 1840 mm</t>
  </si>
  <si>
    <t>Lajur K SB | Plate (ABS) thickness 12 mm | 4250 X 1840 mm</t>
  </si>
  <si>
    <t>Fr. 47/48-50, Lajur C-A PS</t>
  </si>
  <si>
    <t>Lajur C PS | Plate (ABS) thickness 12 mm | 4250 X 1840 mm</t>
  </si>
  <si>
    <t>Lajur B PS | Plate (ABS) thickness 12 mm | 4250 X 1840 mm</t>
  </si>
  <si>
    <t>Lajur A PS | Plate (ABS) thickness 12 mm | 4250 X 1840 mm</t>
  </si>
  <si>
    <t>Fr. 49/50, Lajur C SB</t>
  </si>
  <si>
    <t xml:space="preserve"> | Plate (ABS) thickness 12 mm | 580 X 1840 mm</t>
  </si>
  <si>
    <t>Fr. 0/1-3/4, Lajur A-G PS</t>
  </si>
  <si>
    <t>Lajur A | Plate (ABS) thickness 12 mm | 6100 X 1530 mm</t>
  </si>
  <si>
    <t>Lajur B | Plate (ABS) thickness 12 mm | 6100 X 1830 mm</t>
  </si>
  <si>
    <t>Lajur C | Plate (ABS) thickness 12 mm | 6100 X 1830 mm</t>
  </si>
  <si>
    <t>Lajur D | Plate (ABS) thickness 12 mm | 6100 X 1830 mm</t>
  </si>
  <si>
    <t>Lajur E | Plate (ABS) thickness 12 mm | 6100 X 1840 mm</t>
  </si>
  <si>
    <t>Lajur F | Plate (ABS) thickness 12 mm | 6100 X 1650 mm</t>
  </si>
  <si>
    <t>Lajur G | Plate (ABS) thickness 12 mm | 6100 X 1530 mm</t>
  </si>
  <si>
    <t>Fr. 0/1-3/4, Lajur A-G SB</t>
  </si>
  <si>
    <t>Lajur B | Plate (ABS) thickness 12 mm | 6100 X 1840 mm</t>
  </si>
  <si>
    <t>Lajur C | Plate (ABS) thickness 12 mm | 6100 X 1840 mm</t>
  </si>
  <si>
    <t>Lajur F | Plate (ABS) thickness 12 mm | 6100 X 1840 mm</t>
  </si>
  <si>
    <t>Lajur G | Plate (ABS) thickness 12 mm | 6100 X 1480 mm</t>
  </si>
  <si>
    <t>Fr. 3/4-6/7, Lajur A-G PS</t>
  </si>
  <si>
    <t>Fr. 3/4-6/7, Lajur A-G SB</t>
  </si>
  <si>
    <t>Fr. 6/7-9/10, Lajur A-G PS</t>
  </si>
  <si>
    <t>Fr. 6/7-9/10, Lajur A-G SB</t>
  </si>
  <si>
    <t>Fr. 9/10-13/14, Lajur A-G PS</t>
  </si>
  <si>
    <t>Fr. 9/10-13/14, Lajur A-G SB</t>
  </si>
  <si>
    <t>Fr. 13/14-16/17, Lajur A-G PS</t>
  </si>
  <si>
    <t>Fr. 13/14-16/17, Lajur A-G SB</t>
  </si>
  <si>
    <t>Fr. 16/17-19/20, Lajur A-G PS</t>
  </si>
  <si>
    <t>Fr. 16/17-19/20, Lajur A-G SB</t>
  </si>
  <si>
    <t>Fr. 19/20-23/24, Lajur A-G PS</t>
  </si>
  <si>
    <t>Fr. 19/20-23/24, Lajur A-G SB</t>
  </si>
  <si>
    <t>Fr. 23/24-26/27, Lajur A-G PS</t>
  </si>
  <si>
    <t>Fr. 23/24-26/27, Lajur A-G SB</t>
  </si>
  <si>
    <t>Fr. 26/27-30/31, Lajur A-G PS</t>
  </si>
  <si>
    <t>Fr. 26/27-30/31, Lajur A-G SB</t>
  </si>
  <si>
    <t>Fr. 30/31-33/34, Lajur A-G PS</t>
  </si>
  <si>
    <t>Fr. 30/31-33/34, Lajur A-G SB</t>
  </si>
  <si>
    <t>Fr. 33/34-36/37, Lajur A-G PS</t>
  </si>
  <si>
    <t>Fr. 33/34-36/37, Lajur A-G SB</t>
  </si>
  <si>
    <t>Fr. 36/37-40/41, Lajur A-G PS</t>
  </si>
  <si>
    <t>Fr. 36/37-40/41, Lajur A-G SB</t>
  </si>
  <si>
    <t>Fr. 40/41-43/44, Lajur A-G PS</t>
  </si>
  <si>
    <t>Fr. 40/41-43/44, Lajur A-G SB</t>
  </si>
  <si>
    <t>Fr. 43/44-46/47, Lajur A-G PS</t>
  </si>
  <si>
    <t>Fr. 43/44-46/47, Lajur A-G SB</t>
  </si>
  <si>
    <t>Fr. 46/47-50, Lajur B PS-B SB</t>
  </si>
  <si>
    <t>Lajur A PS | Plate (ABS) thickness 12 mm | 5970 X 1530 mm</t>
  </si>
  <si>
    <t>Lajur B PS | Plate (ABS) thickness 12 mm | 5970 X 1830 mm</t>
  </si>
  <si>
    <t>Lajur A SB | Plate (ABS) thickness 12 mm | 5970 X 1530 mm</t>
  </si>
  <si>
    <t>Lajur B SB | Plate (ABS) thickness 12 mm | 5970 X 1840 mm</t>
  </si>
  <si>
    <t>Fr. 49/50, Lajur D/E PS</t>
  </si>
  <si>
    <t xml:space="preserve"> | Plate (ABS) thickness 12 mm | 1050 X 750 mm</t>
  </si>
  <si>
    <t>ST. 0-1, STF. 1-5 | Angle bar size. 100 x 100 x 10 mm | 1820 mm @ 5 pcs</t>
  </si>
  <si>
    <t>ST. 0-1, STF. 6 | Angle bar size. 100 x 100 x 10 mm | 1000 mm</t>
  </si>
  <si>
    <t>ST. 1-2, Bracket STF. | Plate (A) thickness 10 mm | 250 X 150 mm @ 10 sht</t>
  </si>
  <si>
    <t>Stantion No. 2 | H-beam size. 200 x 200 x 8 x 12 mm | 3600 mm</t>
  </si>
  <si>
    <t>ST. 2-3, STF. 1-5 | Angle bar size. 100 x 100 x 10 mm | 1820 mm @ 2 pcs</t>
  </si>
  <si>
    <t>ST. 2-3, Bracket STF. | Plate (A) thickness 10 mm | 250 X 150 mm @ 6 sht</t>
  </si>
  <si>
    <t>Stantion No. 3 | H-beam size. 200 x 200 x 8 x 12 mm | 3600 mm</t>
  </si>
  <si>
    <t>Sway No. 3 | H-beam size. 200 x 200 x 8 x 12 mm | 3050 mm</t>
  </si>
  <si>
    <t>ST. 3-4, STF. 1, 3, 4 | Angle bar size. 100 x 100 x 10 mm | 350 mm @ 3 pcs</t>
  </si>
  <si>
    <t>ST. 3-4, STF. 2 | Angle bar size. 100 x 100 x 10 mm | 1060 mm</t>
  </si>
  <si>
    <t>ST. 3-4, STF. 6 | Angle bar size. 100 x 100 x 10 mm | 1820 mm</t>
  </si>
  <si>
    <t>ST. 3-4, Bracket STF. | Plate (A) thickness 10 mm | 250 X 150 mm @ 7 sht</t>
  </si>
  <si>
    <t>ST. 4-5, STF. 4-5 | Angle bar size. 100 x 100 x 10 mm | 1820 mm @ 2 pcs</t>
  </si>
  <si>
    <t>ST. 4-5, Bracket STF. | Plate (A) thickness 10 mm | 250 X 150 mm @ 6 sht</t>
  </si>
  <si>
    <t>Stantion No. 5 | H-beam size. 200 x 200 x 8 x 12 mm | 3600 mm</t>
  </si>
  <si>
    <t>ST. 5-6, STF. 1, 3 | Angle bar size. 100 x 100 x 10 mm | 300 mm @ 2 pcs</t>
  </si>
  <si>
    <t>ST. 5-6, STF. 2 | Angle bar size. 100 x 100 x 10 mm | 290 mm</t>
  </si>
  <si>
    <t>ST. 5-6, STF. 6 | Angle bar size. 100 x 100 x 10 mm | 600 mm</t>
  </si>
  <si>
    <t>ST. 5-6, Bracket STF. | Plate (A) thickness 10 mm | 250 X 150 mm @ 10 sht</t>
  </si>
  <si>
    <t>Stantion No. 6 | H-beam size. 200 x 200 x 8 x 12 mm | 3600 mm</t>
  </si>
  <si>
    <t>Sway No. 6 | H-beam size. 200 x 200 x 8 x 12 mm | 3100 mm</t>
  </si>
  <si>
    <t>ST. 6-7, STF. 1-4 | Angle bar size. 100 x 100 x 10 mm | 300 mm @ 4 pcs</t>
  </si>
  <si>
    <t>ST. 6-7, STF. 5 | Angle bar size. 100 x 100 x 10 mm | 550 mm</t>
  </si>
  <si>
    <t>ST. 6-7, Bracket STF. | Plate (A) thickness 10 mm | 250 X 150 mm @ 10 sht</t>
  </si>
  <si>
    <t>Stantion No. 7 | H-beam size. 200 x 200 x 8 x 12 mm | 3600 mm</t>
  </si>
  <si>
    <t>Doubling Sway No. 7 | Plate (A) thickness 10 mm | 200 X 100 mm</t>
  </si>
  <si>
    <t>ST. 7-8, Bracket STF. | Plate (A) thickness 10 mm | 250 X 150 mm @ 10 sht</t>
  </si>
  <si>
    <t>Stantion No. 8 | H-beam size. 200 x 200 x 8 x 12 mm | 3600 mm</t>
  </si>
  <si>
    <t>ST. 8-9, STF. 3, 5 | Angle bar size. 100 x 100 x 10 mm | 1820 mm @ 2 pcs</t>
  </si>
  <si>
    <t>ST. 8-9, Bracket STF. | Plate (A) thickness 10 mm | 250 X 150 mm @ 6 sht</t>
  </si>
  <si>
    <t>Stantion No. 9 | H-beam size. 200 x 200 x 8 x 12 mm | 3600 mm</t>
  </si>
  <si>
    <t>ST. 9-10, STF. 1-2 | Angle bar size. 100 x 100 x 10 mm | 300 mm @ 2 pcs</t>
  </si>
  <si>
    <t>ST. 9-10, STF. 3 | Angle bar size. 100 x 100 x 10 mm | 1080 mm</t>
  </si>
  <si>
    <t>ST. 9-10, STF. 4 | Angle bar size. 100 x 100 x 10 mm | 1050 mm</t>
  </si>
  <si>
    <t>ST. 9-10, STF. 6 | Angle bar size. 100 x 100 x 10 mm | 1830 mm</t>
  </si>
  <si>
    <t>ST. 9-10, Bracket STF. | Plate (A) thickness 10 mm | 250 X 150 mm @ 6 sht</t>
  </si>
  <si>
    <t>Stantion No. 10 | H-beam size. 200 x 200 x 8 x 12 mm | 3600 mm</t>
  </si>
  <si>
    <t>Doubling Sway No. 10 | Plate (A) thickness 10 mm | 200 X 100 mm</t>
  </si>
  <si>
    <t>ST. 10-11, STF. 1-5 | Angle bar size. 100 x 100 x 10 mm | 1820 mm @ 5 pcs</t>
  </si>
  <si>
    <t>ST. 10-11, STF. 6 | Angle bar size. 100 x 100 x 10 mm | 1100 mm</t>
  </si>
  <si>
    <t>Stantion No. 11 | H-beam size. 200 x 200 x 8 x 12 mm | 3600 mm</t>
  </si>
  <si>
    <t>Sway No. 11 | H-beam size. 200 x 200 x 8 x 12 mm | 3080 mm</t>
  </si>
  <si>
    <t>ST. 11-12, STF. 6 | Angle bar size. 100 x 100 x 10 mm | 2500 mm</t>
  </si>
  <si>
    <t>ST. 11-12, Bracket STF. | Plate (A) thickness 10 mm | 250 X 150 mm @ 10 sht</t>
  </si>
  <si>
    <t>Stantion No. 12 | H-beam size. 200 x 200 x 8 x 12 mm | 3600 mm</t>
  </si>
  <si>
    <t>Sway No. 12 | H-beam size. 200 x 200 x 8 x 12 mm | 3100 mm</t>
  </si>
  <si>
    <t>ST. 12-13, STF. 1, 2 | Angle bar size. 100 x 100 x 10 mm | 1080 mm @ 2 pcs</t>
  </si>
  <si>
    <t>ST. 12-13, STF. 3 | Angle bar size. 100 x 100 x 10 mm | 1040 mm</t>
  </si>
  <si>
    <t>ST. 12-13, STF. 4 | Angle bar size. 100 x 100 x 10 mm | 1800 mm</t>
  </si>
  <si>
    <t>ST. 12-13, STF. 5 | Angle bar size. 100 x 100 x 10 mm | 1050 mm</t>
  </si>
  <si>
    <t>ST. 12-13, Bracket STF. | Plate (A) thickness 10 mm | 250 X 150 mm @ 5 sht</t>
  </si>
  <si>
    <t>Stantion No. 13 | H-beam size. 200 x 200 x 8 x 12 mm | 3600 mm</t>
  </si>
  <si>
    <t>ST. 13-14, Bracket STF. | Plate (A) thickness 10 mm | 250 X 150 mm @ 6 sht</t>
  </si>
  <si>
    <t>Stantion No. 14 | H-beam size. 200 x 200 x 8 x 12 mm | 3600 mm</t>
  </si>
  <si>
    <t>ST. 14-15, Bracket STF. | Plate (A) thickness 10 mm | 250 X 150 mm @ 5 sht</t>
  </si>
  <si>
    <t>Stantion No. 15 | H-beam size. 200 x 200 x 8 x 12 mm | 3600 mm</t>
  </si>
  <si>
    <t>Sway No. 15 | H-beam size. 200 x 200 x 8 x 12 mm | 3060 mm</t>
  </si>
  <si>
    <t>Doubling Sway No. 15 | Plate (A) thickness 10 mm | 200 X 100 mm</t>
  </si>
  <si>
    <t>ST. 15-16, STF. 1-5 | Angle bar size. 100 x 100 x 10 mm | 930 mm @ 5 pcs</t>
  </si>
  <si>
    <t>ST. 15-16, STF. 6 | Angle bar size. 100 x 100 x 10 mm | 300 mm</t>
  </si>
  <si>
    <t>ST. 15-16, Bracket STF. | Plate (A) thickness 10 mm | 250 X 150 mm @ 4 sht</t>
  </si>
  <si>
    <t>Stantion No. 16 | H-beam size. 200 x 200 x 8 x 12 mm | 3600 mm</t>
  </si>
  <si>
    <t>Doubling Sway No. 16 | Plate (A) thickness 10 mm | 200 X 100 mm</t>
  </si>
  <si>
    <t>ST. 16-17, Bracket STF. | Plate (A) thickness 10 mm | 250 X 150 mm @ 10 sht</t>
  </si>
  <si>
    <t>Stantion No. 17 | H-beam size. 200 x 200 x 8 x 12 mm | 3600 mm</t>
  </si>
  <si>
    <t>Sway No. 17 | H-beam size. 200 x 200 x 8 x 12 mm | 3100 mm</t>
  </si>
  <si>
    <t>ST. 17-18, STF. 1, 2, 6 | Angle bar size. 100 x 100 x 10 mm | 1050 mm @ 3 pcs</t>
  </si>
  <si>
    <t>ST. 17-18, STF. 3, 4 | Angle bar size. 100 x 100 x 10 mm | 1060 mm @ 2 pcs</t>
  </si>
  <si>
    <t>ST. 17-18, Bracket STF. | Plate (A) thickness 10 mm | 250 X 150 mm @ 5 sht</t>
  </si>
  <si>
    <t>Stantion No. 18 | H-beam size. 200 x 200 x 8 x 12 mm | 3600 mm</t>
  </si>
  <si>
    <t>Sway No. 18 | H-beam size. 200 x 200 x 8 x 12 mm | 3100 mm</t>
  </si>
  <si>
    <t>ST. 18-19, Bracket STF. | Plate (A) thickness 10 mm | 250 X 150 mm @ 10 sht</t>
  </si>
  <si>
    <t>Stantion No. 19 | H-beam size. 200 x 200 x 8 x 12 mm | 3600 mm</t>
  </si>
  <si>
    <t>Sway No. 19 | H-beam size. 200 x 200 x 8 x 12 mm | 3100 mm</t>
  </si>
  <si>
    <t>ST. 19-20, STF. 1 | Angle bar size. 100 x 100 x 10 mm | 1800 mm</t>
  </si>
  <si>
    <t>ST. 19-20, STF. 3 | Angle bar size. 100 x 100 x 10 mm | 770 mm</t>
  </si>
  <si>
    <t>ST. 19-20, Bracket STF. | Plate (A) thickness 10 mm | 250 X 150 mm @ 8 sht</t>
  </si>
  <si>
    <t>Stantion No. 20 | H-beam size. 200 x 200 x 8 x 12 mm | 3600 mm</t>
  </si>
  <si>
    <t>Sway No. 20 | H-beam size. 200 x 200 x 8 x 12 mm | 3100 mm</t>
  </si>
  <si>
    <t>Doubling Sway No. 20 | Plate (A) thickness 10 mm | 280 X 170 mm</t>
  </si>
  <si>
    <t>ST. 20-21, STF. 1-3 | Angle bar size. 100 x 100 x 10 mm | 500 mm @ 3 pcs</t>
  </si>
  <si>
    <t>ST. 20-21, STF. 4 | Angle bar size. 100 x 100 x 10 mm | 930 mm</t>
  </si>
  <si>
    <t>ST. 20-21, STF. 5 | Angle bar size. 100 x 100 x 10 mm | 850 mm</t>
  </si>
  <si>
    <t>ST. 20-21, Bracket STF. | Plate (A) thickness 10 mm | 250 X 150 mm @ 8 sht</t>
  </si>
  <si>
    <t>ST. 21-22, STF. 1, 5 | Angle bar size. 100 x 100 x 10 mm | 1830 mm @ 2 pcs</t>
  </si>
  <si>
    <t>ST. 21-22, Bracket STF. | Plate (A) thickness 10 mm | 250 X 150 mm @ 6 sht</t>
  </si>
  <si>
    <t>Stantion No. 22 | H-beam size. 200 x 200 x 8 x 12 mm | 3600 mm</t>
  </si>
  <si>
    <t>ST. 22-23 STF. 1-5 | Angle bar size. 100 x 100 x 10 mm | 1760 mm @ 5 pcs</t>
  </si>
  <si>
    <t>ST. 22-23, STF. 6 | Angle bar size. 100 x 100 x 10 mm | 550 mm</t>
  </si>
  <si>
    <t>ST. 22-23, Bracket STF. | Plate (A) thickness 10 mm | 250 X 150 mm @ 5 sht</t>
  </si>
  <si>
    <t>ST. 23-24 STF. 3, 4 | Angle bar size. 100 x 100 x 10 mm | 1700 mm @ 2 pcs</t>
  </si>
  <si>
    <t>ST. 23-24, STF. 2 | Angle bar size. 100 x 100 x 10 mm | 1600 mm</t>
  </si>
  <si>
    <t>ST. 23-24, Bracket STF. | Plate (A) thickness 10 mm | 250 X 150 mm @ 7 sht</t>
  </si>
  <si>
    <t>ST. 24-25, STF. 1 | Angle bar size. 100 x 100 x 10 mm | 1630 mm</t>
  </si>
  <si>
    <t>ST. 24-25, Bracket STF. | Plate (A) thickness 10 mm | 250 X 150 mm @ 8 sht</t>
  </si>
  <si>
    <t>Stantion No. 25 | H-beam size. 200 x 200 x 8 x 12 mm | 3600 mm</t>
  </si>
  <si>
    <t>Sway No. 25 | H-beam size. 200 x 200 x 8 x 12 mm | 3100 mm</t>
  </si>
  <si>
    <t>ST. 25-26, STF. 1 | Angle bar size. 100 x 100 x 10 mm | 1590 mm</t>
  </si>
  <si>
    <t>ST. 25-26, STF. 4, 5 | Angle bar size. 100 x 100 x 10 mm | 1700 mm</t>
  </si>
  <si>
    <t>ST. 25-26, Bracket STF. | Plate (A) thickness 10 mm | 250 X 150 mm @ 8 sht</t>
  </si>
  <si>
    <t>Stantion No. 27 | H-beam size. 200 x 200 x 8 x 12 mm | 400 mm</t>
  </si>
  <si>
    <t>ST. 27-28, STF. 3, 4, 5 | Angle bar size. 100 x 100 x 10 mm | 2430 mm @ 3 pcs</t>
  </si>
  <si>
    <t>ST. 27-28, Bracket STF. 1 &amp; 2 | Plate (A) thickness 10 mm | 250 X 150 mm @ 2 sht</t>
  </si>
  <si>
    <t>Stantion No. 28 | H-beam size. 200 x 200 x 8 x 12 mm | 1900 mm</t>
  </si>
  <si>
    <t>ST. 28-29, STF. 3, 4, 5, 6 | Angle bar size. 100 x 100 x 10 mm | 2730 mm @ 4 pcs</t>
  </si>
  <si>
    <t>ST. 28-29, Bracket STF. 1 | Plate (A) thickness 10 mm | 250 X 150 mm @ 2 sht</t>
  </si>
  <si>
    <t>ST. 28-29, Bracket STF. 2 | Plate (A) thickness 10 mm | 250 X 150 mm @ 2 sht</t>
  </si>
  <si>
    <t>Stantion No. 29 | H-beam size. 200 x 200 x 8 x 12 mm | 2600 mm</t>
  </si>
  <si>
    <t>ST. 29-30, STF. 2 | Angle bar size. 100 x 100 x 10 mm | 1300 mm</t>
  </si>
  <si>
    <t>ST. 29-30, STF. 4, 5, 6 | Angle bar size. 100 x 100 x 10 mm | 2730 mm @ 3 pcs</t>
  </si>
  <si>
    <t>ST. 29-30, Bracket STF. 3 | Plate (A) thickness 10 mm | 250 X 150 mm @ 2 sht</t>
  </si>
  <si>
    <t>ST. 30-31, STF. 2, 5, 6 | Angle bar size. 100 x 100 x 10 mm | 2720 mm @ 3 pcs</t>
  </si>
  <si>
    <t>ST. 30-31, Bracket STF. 1, 3, 4 | Plate (A) thickness 10 mm | 250 X 150 mm @ 3 sht</t>
  </si>
  <si>
    <t>Stantion No. 31 | H-beam size. 200 x 200 x 8 x 12 mm | 3600 mm</t>
  </si>
  <si>
    <t>ST. 31-32, STF. 5 &amp; 6 | Angle bar size. 100 x 100 x 10 mm | 3600 mm @ 2 pcs</t>
  </si>
  <si>
    <t>ST. 31-32, STF. 1 | Angle bar size. 100 x 100 x 10 mm | 550 mm</t>
  </si>
  <si>
    <t>ST. 31-32, STF. 2 | Angle bar size. 100 x 100 x 10 mm | 570 mm</t>
  </si>
  <si>
    <t>ST. 31-32, STF. 3 | Angle bar size. 100 x 100 x 10 mm | 600 mm</t>
  </si>
  <si>
    <t>ST. 31-32, STF. 4 | Angle bar size. 100 x 100 x 10 mm | 2150 mm</t>
  </si>
  <si>
    <t>ST. 31-32, Bracket STF. 1, 2, 3, 4 | Plate (A) thickness 10 mm | 250 X 150 mm @ 8 sht</t>
  </si>
  <si>
    <t>Stantion No. 32 | H-beam size. 200 x 200 x 8 x 12 mm | 3000 mm</t>
  </si>
  <si>
    <t>ST. 32-33, STF. 4 | Angle bar size. 100 x 100 x 10 mm | 2530 mm</t>
  </si>
  <si>
    <t>ST. 32-33, STF. 5 | Angle bar size. 100 x 100 x 10 mm | 2630 mm</t>
  </si>
  <si>
    <t>ST. 32-33, STF. 6 | Angle bar size. 100 x 100 x 10 mm | 2730 mm</t>
  </si>
  <si>
    <t>ST. 32-33, Bracket STF. 1, 2, 3, 4, 5 | Plate (A) thickness 10 mm | 250 X 150 mm @ 9 sht</t>
  </si>
  <si>
    <t>Stantion No. 33 | H-beam size. 200 x 200 x 8 x 12 mm | 3600 mm</t>
  </si>
  <si>
    <t>Sway No. 33 | H-beam size. 200 x 200 x 8 x 12 mm | 3080 mm</t>
  </si>
  <si>
    <t>ST. 33-34, STF. 4 &amp; 5 | Angle bar size. 100 x 100 x 10 mm | 2530 mm @ 2 pcs</t>
  </si>
  <si>
    <t>ST. 33-34, STF. 6 | Angle bar size. 100 x 100 x 10 mm | 2730 mm</t>
  </si>
  <si>
    <t>ST. 33-34, Bracket STF. 1, 2, 3, 4, 5, | Plate (A) thickness 10 mm | 250 X 150 mm @ 8 sht</t>
  </si>
  <si>
    <t>Stantion No. 34 | H-beam size. 200 x 200 x 8 x 12 mm | 3600 mm</t>
  </si>
  <si>
    <t>Sway No. 34 | H-beam size. 200 x 200 x 8 x 12 mm | 3080 mm</t>
  </si>
  <si>
    <t>ST. 34-35, STF. 2 | Angle bar size. 100 x 100 x 10 mm | 810 mm</t>
  </si>
  <si>
    <t>ST. 34-35, STF. 3, 4, 5 | Angle bar size. 100 x 100 x 10 mm | 3560 mm @ 2 pcs</t>
  </si>
  <si>
    <t>ST. 34-35, STF. 6 | Angle bar size. 100 x 100 x 10 mm | 3660 mm</t>
  </si>
  <si>
    <t>ST. 34-35, Bracket STF. 1, 2, 3, 4, 5, | Plate (A) thickness 10 mm | 250 X 150 mm @ 7 sht</t>
  </si>
  <si>
    <t>Stantion No. 35 | H-beam size. 200 x 200 x 8 x 12 mm | 3600 mm</t>
  </si>
  <si>
    <t>Sway No. 35 | H-beam size. 200 x 200 x 8 x 12 mm | 1040 mm</t>
  </si>
  <si>
    <t>Doubling Sway No. 35 | Plate (A) thickness 10 mm | 280 X 170 mm</t>
  </si>
  <si>
    <t>ST. 35-36, STF. 1 | Angle bar size. 100 x 100 x 10 mm | 660 mm</t>
  </si>
  <si>
    <t>ST. 35-36, STF. 2 | Angle bar size. 100 x 100 x 10 mm | 900 mm</t>
  </si>
  <si>
    <t>ST. 35-36, STF. 3 | Angle bar size. 100 x 100 x 10 mm | 460 mm</t>
  </si>
  <si>
    <t>ST. 35-36, STF. 4 | Angle bar size. 100 x 100 x 10 mm | 960 mm</t>
  </si>
  <si>
    <t>ST. 35-36, STF. 5 | Angle bar size. 100 x 100 x 10 mm | 400 mm</t>
  </si>
  <si>
    <t>ST. 35-36, STF. 6 | Angle bar size. 100 x 100 x 10 mm | 2670 mm</t>
  </si>
  <si>
    <t>ST. 35-36, Bracket STF. 1, 2, 3, 4, 5, | Plate (A) thickness 10 mm | 250 X 150 mm @ 10 sht</t>
  </si>
  <si>
    <t>Stantion No. 36 | H-beam size. 200 x 200 x 8 x 12 mm | 3600 mm</t>
  </si>
  <si>
    <t>Sway No. 36 | H-beam size. 200 x 200 x 8 x 12 mm | 3080 mm</t>
  </si>
  <si>
    <t>ST. 36-37, STF. 5 | Angle bar size. 100 x 100 x 10 mm | 2000 mm</t>
  </si>
  <si>
    <t>ST. 36-37, STF. 6 | Angle bar size. 100 x 100 x 10 mm | 3040 mm</t>
  </si>
  <si>
    <t>ST. 36-37, Bracket STF. 1, 2, 3, 4, | Plate (A) thickness 10 mm | 250 X 150 mm @ 8 sht</t>
  </si>
  <si>
    <t>Stantion No. 37 | H-beam size. 200 x 200 x 8 x 12 mm | 3600 mm</t>
  </si>
  <si>
    <t>ST. 37-38, STF. 6 | Angle bar size. 100 x 100 x 10 mm | 3650 mm</t>
  </si>
  <si>
    <t>ST. 37-38, Bracket STF. 1, 2, 3, 4, 5 | Plate (A) thickness 10 mm | 250 X 150 mm @ 10 sht</t>
  </si>
  <si>
    <t>Sway No. 38 | H-beam size. 200 x 200 x 8 x 12 mm | 3080 mm</t>
  </si>
  <si>
    <t>Foundation foot stantion | Plate (A) thickness 12 mm | 250 X 250 mm @ 38 sht</t>
  </si>
  <si>
    <t>Foundation foot sway | Plate (A) thickness 12 mm | 250 X 250 mm @ 38 sht</t>
  </si>
  <si>
    <t>ST. 0-1, STF. 0-6 | Plate (A) thickness 8 mm | 990 X 3660 mm</t>
  </si>
  <si>
    <t>ST. 0-1-26, STF. 0/1 | Plate (A) thickness 8 mm | 46550 X 470 mm</t>
  </si>
  <si>
    <t>ST. 7-8, STF. 3-4 | Plate (A) thickness 8 mm | 300 X 300 mm</t>
  </si>
  <si>
    <t>ST. 8-9, STF. 3-4 | Plate (A) thickness 8 mm | 300 X 300 mm</t>
  </si>
  <si>
    <t>ST. 8-9, STF. 3/4-4/5 | Plate (A) thickness 8 mm | 600 X 300 mm</t>
  </si>
  <si>
    <t>ST. 9-10, STF. 0/1-1/2 | Plate (A) thickness 8 mm | 340 X 350 mm</t>
  </si>
  <si>
    <t>ST. 16-17, STF. 3/4-4/5 | Plate (A) thickness 8 mm | 590 X 360 mm</t>
  </si>
  <si>
    <t>ST. 17-18, STF. 3-4 | Plate (A) thickness 8 mm | 350 X 600 mm</t>
  </si>
  <si>
    <t>ST. 22-23, STF. 0/1-6 | Plate (A) thickness 8 mm | 450 X 3200 mm</t>
  </si>
  <si>
    <t>ST. 28-38, STF. 0/1 | Plate (A) thickness 8 mm | 32770 X 450 mm</t>
  </si>
  <si>
    <t>ST. 31/32-33/34, STF. 3/4 | Plate (A) thickness 8 mm | 7180 X 600 mm</t>
  </si>
  <si>
    <t>ST. 33/34-35/36, STF. 3/4-4/5 | Plate (A) thickness 8 mm | 4700 X 800 mm</t>
  </si>
  <si>
    <t>ST. 35-36, STF. 0/1-6 | Plate (A) thickness 8 mm | 3200 X 400 mm</t>
  </si>
  <si>
    <t>ST. 35/36-37, STF. 3/4 | Plate (A) thickness 8 mm | 4370 X 600 mm</t>
  </si>
  <si>
    <t>Sideboard Stantion, Sway and Stiffener (Using ST. numbering after extra S.T being installed, start from AP to FP)</t>
  </si>
  <si>
    <t>Some additional item that not listed in WO maybe caused by change of ST. number</t>
  </si>
  <si>
    <t>ST. 0-1 STF. 1 | Angle bar size. 100 x 100 x 10 mm | 1050 mm</t>
  </si>
  <si>
    <t>ST. 0-1 STF. 2,3 | Angle bar size. 100 x 100 x 10 mm | 1000 mm @ 2 pcs</t>
  </si>
  <si>
    <t>ST. 0-1 STF. 4 | Angle bar size. 100 x 100 x 10 mm | 1070 mm</t>
  </si>
  <si>
    <t>ST. 0-1 STF. 5 | Angle bar size. 100 x 100 x 10 mm | 1050 mm</t>
  </si>
  <si>
    <t>ST. 0-1 STF. 6 | Angle bar size. 100 x 100 x 10 mm | 1870 mm</t>
  </si>
  <si>
    <t>ST 0-1, Bracket angle bar to H-Beam | Plate (A) thickness 10 mm | 260 X 170 mm @ 5 sht</t>
  </si>
  <si>
    <t>ST. 1-2 STF. 6 | Angle bar size. 100 x 100 x 10 mm | 1800 mm</t>
  </si>
  <si>
    <t>ST. 1-2 joint doubling | Angle bar size. 100 x 100 x 10 mm | 120 mm</t>
  </si>
  <si>
    <t>ST. 1-2, Bracket angle bar to H-Beam | Plate (A) thickness 10 mm | 260 X 170 mm @ 10 sht</t>
  </si>
  <si>
    <t>Stantion No. 1 | H-beam size. 200 x 200 x 8 x 12 mm | 3610 mm</t>
  </si>
  <si>
    <t>Sway No. 1 | H-beam size. 200 x 200 x 8 x 12 mm | 3100 mm</t>
  </si>
  <si>
    <t>Stantion No. 2 | H-beam size. 200 x 200 x 8 x 12 mm | 3610 mm</t>
  </si>
  <si>
    <t>Sway No. 2 | H-beam size. 200 x 200 x 8 x 12 mm | 3100 mm</t>
  </si>
  <si>
    <t>ST. 2-3 STF. 4,5,6 | Angle bar size. 100 x 100 x 10 mm | 1850 mm @ 3 pcs</t>
  </si>
  <si>
    <t>ST. 2-3 joint doubling | Angle bar size. 100 x 100 x 10 mm | 190 mm</t>
  </si>
  <si>
    <t>ST. 2-3, Bracket angle bar to H-Beam | Plate (A) thickness 10 mm | 260 X 170 mm @ 6 sht</t>
  </si>
  <si>
    <t>Stantion No. 3 | H-beam size. 200 x 200 x 8 x 12 mm | 3610 mm</t>
  </si>
  <si>
    <t>Sway No. 3 | H-beam size. 200 x 200 x 8 x 12 mm | 3100 mm</t>
  </si>
  <si>
    <t>ST. 3-4 STF. 1 | Angle bar size. 100 x 100 x 10 mm | 550 mm</t>
  </si>
  <si>
    <t>ST. 3-4 STF. 2 | Angle bar size. 100 x 100 x 10 mm | 870 mm</t>
  </si>
  <si>
    <t>ST. 3-4 STF. 3 | Angle bar size. 100 x 100 x 10 mm | 900 mm</t>
  </si>
  <si>
    <t>ST. 3-4 STF. 4 | Angle bar size. 100 x 100 x 10 mm | 1830 mm</t>
  </si>
  <si>
    <t>ST. 3-4 STF. 5 | Angle bar size. 100 x 100 x 10 mm | 1050 mm</t>
  </si>
  <si>
    <t>ST. 3-4 STF. 6 | Angle bar size. 100 x 100 x 10 mm | 1830 mm</t>
  </si>
  <si>
    <t>ST. 3-4 joint doubling | Angle bar size. 100 x 100 x 10 mm | 190 mm</t>
  </si>
  <si>
    <t>ST. 3-4, Bracket angle bar to H-Beam | Plate (A) thickness 10 mm | 260 X 170 mm @ 7 sht</t>
  </si>
  <si>
    <t>Stantion No. 4 | H-beam size. 200 x 200 x 8 x 12 mm | 3610 mm</t>
  </si>
  <si>
    <t>Sway No. 4 | H-beam size. 200 x 200 x 8 x 12 mm | 3100 mm</t>
  </si>
  <si>
    <t>ST. 4-5 STF. 4 | Angle bar size. 100 x 100 x 10 mm | 1800 mm</t>
  </si>
  <si>
    <t>ST. 4-5 STF. 5 | Angle bar size. 100 x 100 x 10 mm | 550 mm</t>
  </si>
  <si>
    <t>ST. 4-5 STF. 6 | Angle bar size. 100 x 100 x 10 mm | 1140 mm</t>
  </si>
  <si>
    <t>ST. 4-5 joint doubling | Angle bar size. 100 x 100 x 10 mm | 190 mm @ 2 pcs</t>
  </si>
  <si>
    <t>ST. 4-5, Bracket angle bar to H-Beam | Plate (A) thickness 10 mm | 260 X 170 mm @ 7 sht</t>
  </si>
  <si>
    <t>ST. 5-6 STF. 5 | Angle bar size. 100 x 100 x 10 mm | 1850 mm</t>
  </si>
  <si>
    <t>ST. 5-6 STF. 6 | Angle bar size. 100 x 100 x 10 mm | 1850 mm</t>
  </si>
  <si>
    <t>ST. 5-6, Bracket angle bar to H-Beam | Plate (A) thickness 10 mm | 260 X 170 mm @ 8 sht</t>
  </si>
  <si>
    <t>Stantion No. 6 | H-beam size. 200 x 200 x 8 x 12 mm | 3610 mm</t>
  </si>
  <si>
    <t>ST. 6-7 STF. 1 | Angle bar size. 100 x 100 x 10 mm | 600 mm</t>
  </si>
  <si>
    <t>ST. 6-7 STF. 2 | Angle bar size. 100 x 100 x 10 mm | 1200 mm</t>
  </si>
  <si>
    <t>ST. 6-7 STF. 3 | Angle bar size. 100 x 100 x 10 mm | 560 mm</t>
  </si>
  <si>
    <t>ST. 6-7 STF. 4 | Angle bar size. 100 x 100 x 10 mm | 1100 mm</t>
  </si>
  <si>
    <t>ST. 6-7 STF. 5 | Angle bar size. 100 x 100 x 10 mm | 1820 mm</t>
  </si>
  <si>
    <t>ST. 6-7 STF. 6 | Angle bar size. 100 x 100 x 10 mm | 1820 mm</t>
  </si>
  <si>
    <t>ST. 6-7, Bracket angle bar to H-Beam | Plate (A) thickness 10 mm | 260 X 170 mm @ 7 sht</t>
  </si>
  <si>
    <t>Stantion No. 7 | H-beam size. 200 x 200 x 8 x 12 mm | 3610 mm</t>
  </si>
  <si>
    <t>Sway No. 7 | H-beam size. 200 x 200 x 8 x 12 mm | 3100 mm</t>
  </si>
  <si>
    <t>ST. 7-8 STF. 5,6 | Angle bar size. 100 x 100 x 10 mm | 1790 mm @ 2 pcs</t>
  </si>
  <si>
    <t>ST. 7-8, Bracket angle bar to H-Beam | Plate (A) thickness 10 mm | 260 X 170 mm @ 8 sht</t>
  </si>
  <si>
    <t>ST. 8-9 STF. 1,6 | Angle bar size. 100 x 100 x 10 mm | 1850 mm @ 2 pcs</t>
  </si>
  <si>
    <t>ST. 8-9, Bracket angle bar to H-Beam | Plate (A) thickness 10 mm | 260 X 170 mm @ 8 sht</t>
  </si>
  <si>
    <t>ST. 8-9 joint doubling | Angle bar size. 100 x 100 x 10 mm | 190 mm</t>
  </si>
  <si>
    <t>Stantion No. 9 | H-beam size. 200 x 200 x 8 x 12 mm | 3610 mm</t>
  </si>
  <si>
    <t>Sway No. 9 | H-beam size. 200 x 200 x 8 x 12 mm | 3100 mm</t>
  </si>
  <si>
    <t>ST. 9-10 STF. 1 | Angle bar size. 100 x 100 x 10 mm | 1800 mm</t>
  </si>
  <si>
    <t>ST. 9-10 STF. 2 | Angle bar size. 100 x 100 x 10 mm | 1700 mm</t>
  </si>
  <si>
    <t>ST. 9-10 STF. 3 | Angle bar size. 100 x 100 x 10 mm | 1700 mm</t>
  </si>
  <si>
    <t>ST. 9-10 STF. 4 | Angle bar size. 100 x 100 x 10 mm | 1700 mm</t>
  </si>
  <si>
    <t>ST. 9-10 STF. 5 | Angle bar size. 100 x 100 x 10 mm | 1700 mm</t>
  </si>
  <si>
    <t>ST. 9-10 STF. 6 | Angle bar size. 100 x 100 x 10 mm | 1800 mm</t>
  </si>
  <si>
    <t>ST. 9-10 joint doubling | Angle bar size. 100 x 100 x 10 mm | 190 mm</t>
  </si>
  <si>
    <t>ST. 9-10, Bracket angle bar to H-Beam | Plate (A) thickness 10 mm | 260 X 170 mm @ 1 sht</t>
  </si>
  <si>
    <t>Stantion No. 10 | H-beam size. 200 x 200 x 8 x 12 mm | 3610 mm</t>
  </si>
  <si>
    <t>ST. 10-11 STF. 4,5 | Angle bar size. 100 x 100 x 10 mm | 1780 mm @ 2 pcs</t>
  </si>
  <si>
    <t>ST. 10-11 STF. 6 | Angle bar size. 100 x 100 x 10 mm | 1780 mm</t>
  </si>
  <si>
    <t>ST. 10-11, Bracket angle bar to H-Beam | Plate (A) thickness 10 mm | 260 X 170 mm @ 6 sht</t>
  </si>
  <si>
    <t>Stantion No. 11 | H-beam size. 200 x 200 x 8 x 12 mm | 3610 mm</t>
  </si>
  <si>
    <t>Sway No. 11 | H-beam size. 200 x 200 x 8 x 12 mm | 3100 mm</t>
  </si>
  <si>
    <t>ST. 11-12 STF. 4-6 | Angle bar size. 100 x 100 x 10 mm | 1870 mm @ 3 pcs</t>
  </si>
  <si>
    <t>ST. 11-12, Bracket angle bar to H-Beam | Plate (A) thickness 10 mm | 260 X 170 mm @ 6 sht</t>
  </si>
  <si>
    <t>Stantion No. 12 | H-beam size. 200 x 200 x 8 x 12 mm | 3610 mm</t>
  </si>
  <si>
    <t>ST. 12-13 STF. 1 | Angle bar size. 100 x 100 x 10 mm | 600 mm</t>
  </si>
  <si>
    <t>ST. 12-13 STF. 2 | Angle bar size. 100 x 100 x 10 mm | 600 mm</t>
  </si>
  <si>
    <t>ST. 12-13 STF. 3 | Angle bar size. 100 x 100 x 10 mm | 950 mm</t>
  </si>
  <si>
    <t>ST. 12-13 STF. 4 | Angle bar size. 100 x 100 x 10 mm | 1790 mm</t>
  </si>
  <si>
    <t>ST. 12-13 STF. 5 | Angle bar size. 100 x 100 x 10 mm | 1790 mm</t>
  </si>
  <si>
    <t>ST. 12-13 STF. 6 | Angle bar size. 100 x 100 x 10 mm | 1790 mm</t>
  </si>
  <si>
    <t>ST. 12-13 joint doubling | Angle bar size. 100 x 100 x 10 mm | 190 mm</t>
  </si>
  <si>
    <t>ST. 12-13, Bracket angle bar to H-Beam | Plate (A) thickness 10 mm | 260 X 170 mm @ 6 sht</t>
  </si>
  <si>
    <t>ST. 13-14 STF. 4,5 | Angle bar size. 100 x 100 x 10 mm | 1800 mm @ 2 pcs</t>
  </si>
  <si>
    <t>ST. 13-14 STF. 6 | Angle bar size. 100 x 100 x 10 mm | 1800 mm</t>
  </si>
  <si>
    <t>ST. 13-14, Bracket angle bar to H-Beam | Plate (A) thickness 10 mm | 260 X 170 mm @ 6 sht</t>
  </si>
  <si>
    <t>Stantion No. 14 | H-beam size. 200 x 200 x 8 x 12 mm | 2400 mm</t>
  </si>
  <si>
    <t>Sway No. 14 | H-beam size. 200 x 200 x 8 x 12 mm | 3100 mm</t>
  </si>
  <si>
    <t>ST. 14-15 STF. 4 | Angle bar size. 100 x 100 x 10 mm | 1850 mm</t>
  </si>
  <si>
    <t>ST. 14-15 STF. 5,6 | Angle bar size. 100 x 100 x 10 mm | 1850 mm @ 2 pcs</t>
  </si>
  <si>
    <t>ST. 14-15, Bracket angle bar to H-Beam | Plate (A) thickness 10 mm | 260 X 170 mm @ 6 sht</t>
  </si>
  <si>
    <t>Sway No. 15 | H-beam size. 200 x 200 x 8 x 12 mm | 3100 mm</t>
  </si>
  <si>
    <t>ST. 15-16 STF. 4,5 | Angle bar size. 100 x 100 x 10 mm | 1800 mm @ 2 pcs</t>
  </si>
  <si>
    <t>ST. 15-16 STF. 6 | Angle bar size. 100 x 100 x 10 mm | 1800 mm</t>
  </si>
  <si>
    <t>ST. 15-16, Bracket angle bar to H-Beam | Plate (A) thickness 10 mm | 260 X 170 mm @ 6 sht</t>
  </si>
  <si>
    <t>Stantion No. 16 | H-beam size. 200 x 200 x 8 x 12 mm | 3610 mm</t>
  </si>
  <si>
    <t>Sway No. 16 | H-beam size. 200 x 200 x 8 x 12 mm | 3100 mm</t>
  </si>
  <si>
    <t>ST. 16-17 STF. 4-6 | Angle bar size. 100 x 100 x 10 mm | 1840 mm @ 3 pcs</t>
  </si>
  <si>
    <t>ST. 16-17, Bracket angle bar to H-Beam | Plate (A) thickness 10 mm | 260 X 170 mm @ 6 sht</t>
  </si>
  <si>
    <t>Stantion No. 17 | H-beam size. 200 x 200 x 8 x 12 mm | 3610 mm</t>
  </si>
  <si>
    <t>ST. 17-18 STF. 1 | Angle bar size. 100 x 100 x 10 mm | 420 mm</t>
  </si>
  <si>
    <t>ST. 17-18 STF. 2 | Angle bar size. 100 x 100 x 10 mm | 600 mm</t>
  </si>
  <si>
    <t>ST. 17-18 STF. 3 | Angle bar size. 100 x 100 x 10 mm | 400 mm</t>
  </si>
  <si>
    <t>ST. 17-18 STF. 4 | Angle bar size. 100 x 100 x 10 mm | 1810 mm</t>
  </si>
  <si>
    <t>ST. 17-18 STF. 5 | Angle bar size. 100 x 100 x 10 mm | 1810 mm</t>
  </si>
  <si>
    <t>ST. 17-18 STF. 6 | Angle bar size. 100 x 100 x 10 mm | 1810 mm</t>
  </si>
  <si>
    <t>ST. 17-18, Bracket angle bar to H-Beam | Plate (A) thickness 10 mm | 260 X 170 mm @ 6 sht</t>
  </si>
  <si>
    <t>Stantion No. 18 | H-beam size. 200 x 200 x 8 x 12 mm | 3610 mm</t>
  </si>
  <si>
    <t>ST. 18-19 STF. 4 | Angle bar size. 100 x 100 x 10 mm | 1810 mm</t>
  </si>
  <si>
    <t>ST. 18-19 STF. 5,6 | Angle bar size. 100 x 100 x 10 mm | 1810 mm @ 2 pcs</t>
  </si>
  <si>
    <t>ST. 18-19, Bracket angle bar to H-Beam | Plate (A) thickness 10 mm | 260 X 170 mm @ 6 sht</t>
  </si>
  <si>
    <t>Stantion No. 19 | H-beam size. 200 x 200 x 8 x 12 mm | 2430 mm</t>
  </si>
  <si>
    <t>ST. 19-20 STF. 1,2 | Angle bar size. 100 x 100 x 10 mm | 600 mm @ 2 pcs</t>
  </si>
  <si>
    <t>ST. 19-20 STF. 6 | Angle bar size. 100 x 100 x 10 mm | 1830 mm</t>
  </si>
  <si>
    <t>ST. 19-20 joint doubling | Angle bar size. 100 x 100 x 10 mm | 190 mm</t>
  </si>
  <si>
    <t>ST. 19-20, Bracket angle bar to H-Beam | Plate (A) thickness 10 mm | 260 X 170 mm @ 8 sht</t>
  </si>
  <si>
    <t>Stantion No. 20 | H-beam size. 200 x 200 x 8 x 12 mm | 3610 mm</t>
  </si>
  <si>
    <t>ST. 20-21 STF. 1,2 | Angle bar size. 100 x 100 x 10 mm | 610 mm @ 2 pcs</t>
  </si>
  <si>
    <t>ST. 20-21 STF. 6 | Angle bar size. 100 x 100 x 10 mm | 1830 mm</t>
  </si>
  <si>
    <t>ST. 20-21, Bracket angle bar to H-Beam | Plate (A) thickness 10 mm | 260 X 170 mm @ 8 sht</t>
  </si>
  <si>
    <t>Stantion No. 21 | H-beam size. 200 x 200 x 8 x 12 mm | 3610 mm</t>
  </si>
  <si>
    <t>Sway No. 21 | H-beam size. 200 x 200 x 8 x 12 mm | 3100 mm</t>
  </si>
  <si>
    <t>ST. 21-22 STF. 4-6 | Angle bar size. 100 x 100 x 10 mm | 1840 mm @ 3 pcs</t>
  </si>
  <si>
    <t>ST. 21-22, Bracket angle bar to H-Beam | Plate (A) thickness 10 mm | 260 X 170 mm @ 6 sht</t>
  </si>
  <si>
    <t>ST. 22-23 STF. 1 | Angle bar size. 100 x 100 x 10 mm | 1200 mm</t>
  </si>
  <si>
    <t>ST. 22-23 STF. 2 | Angle bar size. 100 x 100 x 10 mm | 1120 mm</t>
  </si>
  <si>
    <t>ST. 22-23 STF. 3 | Angle bar size. 100 x 100 x 10 mm | 1850 mm</t>
  </si>
  <si>
    <t>ST. 22-23 STF. 4,5 | Angle bar size. 100 x 100 x 10 mm | 1850 mm @ 2 pcs</t>
  </si>
  <si>
    <t>ST. 22-23 STF. 6 | Angle bar size. 100 x 100 x 10 mm | 1850 mm</t>
  </si>
  <si>
    <t>Stantion No. 23 | H-beam size. 200 x 200 x 8 x 12 mm | 3610 mm</t>
  </si>
  <si>
    <t>ST. 23-24, STF. 5-6 | Angle bar size. 100 x 100 x 10 mm | 1640 mm @ 2 pcs</t>
  </si>
  <si>
    <t>ST. 23-24, Bracket STF. | Plate (A) thickness 10 mm | 250 X 150 mm @ 10 sht</t>
  </si>
  <si>
    <t>Stantion No. 24 | H-beam size. 200 x 200 x 8 x 12 mm | 3610 mm</t>
  </si>
  <si>
    <t>Sway No. 24 | H-beam size. 200 x 200 x 8 x 12 mm | 3100 mm</t>
  </si>
  <si>
    <t>ST. 24-25, STF. 6 | Angle bar size. 100 x 100 x 10 mm | 1790 mm</t>
  </si>
  <si>
    <t>ST. 24-25, Bracket STF. | Plate (A) thickness 10 mm | 160 X 160 mm @ 10 sht</t>
  </si>
  <si>
    <t>Stantion No. 25 | H-beam size. 200 x 200 x 8 x 12 mm | 3610 mm</t>
  </si>
  <si>
    <t>ST. 25-26, STF. 6 | Angle bar size. 100 x 100 x 10 mm | 1850 mm</t>
  </si>
  <si>
    <t>Stantion No. 26 | H-beam size. 200 x 200 x 8 x 12 mm | 550 mm</t>
  </si>
  <si>
    <t>Sway No. 26 | H-beam size. 200 x 200 x 8 x 12 mm | 3100 mm</t>
  </si>
  <si>
    <t>ST. 27-28, STF. 6 | Angle bar size. 100 x 100 x 10 mm | 2400 mm</t>
  </si>
  <si>
    <t>ST. 27-28, Bracket STF. | Plate (A) thickness 10 mm | 250 X 150 mm @ 5 sht</t>
  </si>
  <si>
    <t>Stantion No. 28 | H-beam size. 200 x 200 x 8 x 12 mm | 3610 mm</t>
  </si>
  <si>
    <t>Sway No. 28 | H-beam size. 200 x 200 x 8 x 12 mm | 600 mm</t>
  </si>
  <si>
    <t>ST. 28-29, STF. 5-6 | Angle bar size. 100 x 100 x 10 mm | 2740 mm @ 2 pcs</t>
  </si>
  <si>
    <t>ST. 28-29, Bracket STF. | Plate (A) thickness 10 mm | 250 X 150 mm @ 8 sht</t>
  </si>
  <si>
    <t>Stantion No. 29 | H-beam size. 200 x 200 x 8 x 12 mm | 3610 mm</t>
  </si>
  <si>
    <t>Sway No. 29 | H-beam size. 200 x 200 x 8 x 12 mm | 1940 mm</t>
  </si>
  <si>
    <t>Doubling Sway No. 29 | Plate (A) thickness 10 mm | 160 X 140 mm @ 2 sht</t>
  </si>
  <si>
    <t>ST. 29-30, STF. 6 | Angle bar size. 100 x 100 x 10 mm | 2710 mm</t>
  </si>
  <si>
    <t>ST. 29-30, Bracket STF. | Plate (A) thickness 10 mm | 250 X 150 mm @ 10 sht</t>
  </si>
  <si>
    <t>Stantion No. 30 | H-beam size. 200 x 200 x 8 x 12 mm | 3610 mm</t>
  </si>
  <si>
    <t>Sway No. 30 | H-beam size. 200 x 200 x 8 x 12 mm | 3100 mm</t>
  </si>
  <si>
    <t>ST. 30-31, STF. 1, 2 | Angle bar size. 100 x 100 x 10 mm | 2840 mm @ 2 pcs</t>
  </si>
  <si>
    <t>ST. 30-31, STF. 3 | Angle bar size. 100 x 100 x 10 mm | 1630 mm</t>
  </si>
  <si>
    <t>ST. 30-31, STF. 4 | Angle bar size. 100 x 100 x 10 mm | 1560 mm</t>
  </si>
  <si>
    <t>ST. 30-31, STF. 5 | Angle bar size. 100 x 100 x 10 mm | 1800 mm</t>
  </si>
  <si>
    <t>ST. 30-31, STF. 6 | Angle bar size. 100 x 100 x 10 mm | 2850 mm</t>
  </si>
  <si>
    <t>ST. 30-31, Bracket STF. | Plate (A) thickness 10 mm | 250 X 150 mm @ 3 sht</t>
  </si>
  <si>
    <t>ST. 30-31, joint doubling | Angle bar size. 100 x 100 x 10 mm | 210 mm @ 4 pcs</t>
  </si>
  <si>
    <t>Stantion No. 31 | H-beam size. 200 x 200 x 8 x 12 mm | 3610 mm</t>
  </si>
  <si>
    <t>ST. 31-32, STF. 4 | Angle bar size. 100 x 100 x 10 mm | 2430 mm</t>
  </si>
  <si>
    <t>ST. 31-32, STF. 6 | Angle bar size. 100 x 100 x 10 mm | 3530 mm</t>
  </si>
  <si>
    <t>ST. 31-32, Bracket STF. | Plate (A) thickness 10 mm | 250 X 150 mm @ 10 sht</t>
  </si>
  <si>
    <t>Sway No. 32 | H-beam size. 200 x 200 x 8 x 12 mm | 470 mm</t>
  </si>
  <si>
    <t>ST. 32-33, STF. 1, 2, 4, 6 | Angle bar size. 100 x 100 x 10 mm | 2500 mm @ 4 pcs</t>
  </si>
  <si>
    <t>ST. 32-33, Bracket STF. | Plate (A) thickness 10 mm | 250 X 150 mm @ 10 sht</t>
  </si>
  <si>
    <t>ST. 33-34, STF. 1, 2, 5 | Angle bar size. 100 x 100 x 10 mm | 2520 mm @ 3 pcs</t>
  </si>
  <si>
    <t>ST. 33-34, STF. 6 | Angle bar size. 100 x 100 x 10 mm | 2630 mm</t>
  </si>
  <si>
    <t>ST. 33-34, Bracket STF. | Plate (A) thickness 10 mm | 250 X 150 mm @ 10 sht</t>
  </si>
  <si>
    <t>ST. 34-35, STF. 1, 6 | Angle bar size. 100 x 100 x 10 mm | 3540 mm @ 2 pcs</t>
  </si>
  <si>
    <t>ST. 34-35, Bracket STF. | Plate (A) thickness 10 mm | 250 X 150 mm @ 11 sht</t>
  </si>
  <si>
    <t>Stantion No. 35 | H-beam size. 200 x 200 x 8 x 12 mm | 3610 mm</t>
  </si>
  <si>
    <t>Sway No. 35 | H-beam size. 200 x 200 x 8 x 12 mm | 3100 mm</t>
  </si>
  <si>
    <t>ST. 35-36, STF. 6 | Angle bar size. 100 x 100 x 10 mm | 2500 mm</t>
  </si>
  <si>
    <t>ST. 35-36, Bracket STF. | Plate (A) thickness 10 mm | 250 X 150 mm @ 12 sht</t>
  </si>
  <si>
    <t>Stantion No. 36 | H-beam size. 200 x 200 x 8 x 12 mm | 3610 mm</t>
  </si>
  <si>
    <t>ST. 36-37, STF. 4 | Angle bar size. 100 x 100 x 10 mm | 2820 mm</t>
  </si>
  <si>
    <t>ST. 36-37, STF. 6 | Angle bar size. 100 x 100 x 10 mm | 2830 mm</t>
  </si>
  <si>
    <t>ST. 36-37, Bracket STF. | Plate (A) thickness 10 mm | 250 X 150 mm @ 12 sht</t>
  </si>
  <si>
    <t>Stantion No. 37 | H-beam size. 200 x 200 x 8 x 12 mm | 3610 mm</t>
  </si>
  <si>
    <t>ST. 37-38, STF. 6 | Angle bar size. 100 x 100 x 10 mm | 3340 mm</t>
  </si>
  <si>
    <t>ST. 37-38, Bracket STF. | Plate (A) thickness 10 mm | 250 X 150 mm @ 11 sht</t>
  </si>
  <si>
    <t>ST. 0-1, STF. 0-6 | Plate (A) thickness 8 mm | 950 X 3660 mm</t>
  </si>
  <si>
    <t>ST. 0/1-25/26, STF. 0/1 | Plate (A) thickness 8 mm | 46510 X 460 mm</t>
  </si>
  <si>
    <t>ST. 2-3, STF. 3/4 | Plate (A) thickness 8 mm | 300 X 160 mm</t>
  </si>
  <si>
    <t>ST. 3-4, STF. 3/4 | Plate (A) thickness 8 mm | 700 X 600 mm</t>
  </si>
  <si>
    <t>ST. 4-5, STF. 0/1-1/2 | Plate (A) thickness 8 mm | 2010 X 300 mm</t>
  </si>
  <si>
    <t>ST. 5-6, STF. 0/1-1/2 | Plate (A) thickness 8 mm | 360 X 400 mm</t>
  </si>
  <si>
    <t>ST. 5-16, STF. 5-6 | Plate (A) thickness 8 mm | 20320 X 500 mm</t>
  </si>
  <si>
    <t>ST. 6-7, STF. 3-4 | Plate (A) thickness 8 mm | 1100 X 600 mm</t>
  </si>
  <si>
    <t>ST. 8-9, STF. 3-4 | Plate (A) thickness 8 mm | 560 X 230 mm</t>
  </si>
  <si>
    <t>ST. 8-9, STF. 3-4 | Plate (A) thickness 8 mm | 240 X 300 mm</t>
  </si>
  <si>
    <t>ST. 10-11, STF. 0/1-2 | Plate (A) thickness 8 mm | 700 X 710 mm</t>
  </si>
  <si>
    <t>ST. 12-13, STF. 3-4 | Plate (A) thickness 8 mm | 410 X 350 mm</t>
  </si>
  <si>
    <t>ST. 19/20-20/21, STF. 0/1-3 | Plate (A) thickness 8 mm | 1100 X 1400 mm</t>
  </si>
  <si>
    <t>ST. 22/23-26, STF. 5-6 | Plate (A) thickness 8 mm | 6030 X 500 mm</t>
  </si>
  <si>
    <t>ST. 27/28-38/39, STF. 0-1 | Plate (A) thickness 8 mm | 32840 X 450 mm</t>
  </si>
  <si>
    <t>ST. 30-31, STF. 1/2-3 | Plate (A) thickness 8 mm | 1810 X 1440 mm</t>
  </si>
  <si>
    <t>ST. 30-31, STF. 3-6 | Plate (A) thickness 8 mm | 1770 X 450 mm</t>
  </si>
  <si>
    <t>Stantion No. 1 | H-beam size. 200 x 200 x 8 x 12 mm | 3640 mm</t>
  </si>
  <si>
    <t>Sway No. 1 | H-beam size. 200 x 200 x 8 x 12 mm | 3070 mm</t>
  </si>
  <si>
    <t>Foundation foot stantion No. 1 | Plate (A) thickness 12 mm | 250 X 250 mm</t>
  </si>
  <si>
    <t>Foundation foot sway No. 1 | Plate (A) thickness 12 mm | 280 X 280 mm</t>
  </si>
  <si>
    <t>Doubling sway No. 1 | Plate (A) thickness 12 mm | 200 X 180 mm</t>
  </si>
  <si>
    <t>ST. 1-2, STF. 1, 5, 6 | Angle bar size. 100 x 100 x 10 mm | 1830 mm @ 3 pcs</t>
  </si>
  <si>
    <t>ST. 1-2, Bracket STF. | Plate (A) thickness 10 mm | 250 X 150 mm @ 4 sht</t>
  </si>
  <si>
    <t>Stantion No. 2 | H-beam size. 200 x 200 x 8 x 12 mm | 970 mm</t>
  </si>
  <si>
    <t>Sway No. 2 | H-beam size. 200 x 200 x 8 x 12 mm | 1340 mm</t>
  </si>
  <si>
    <t>Foundation foot stantion No. 2 | Plate (A) thickness 12 mm | 250 X 250 mm</t>
  </si>
  <si>
    <t>Foundation foot sway No. 2 | Plate (A) thickness 12 mm | 280 X 280 mm</t>
  </si>
  <si>
    <t>Doubling stantion and sway No. 2 | Plate (A) thickness 12 mm | 200 X 180 mm @ 2 sht</t>
  </si>
  <si>
    <t>ST. 2-3, STF. 4-6 | Angle bar size. 100 x 100 x 10 mm | 2960 mm @ 3 pcs</t>
  </si>
  <si>
    <t>ST. 2-3, Bracket STF. | Plate (A) thickness 10 mm | 250 X 150 mm @ 2 sht</t>
  </si>
  <si>
    <t>Stantion No. 3 | H-beam size. 200 x 200 x 8 x 12 mm | 980 mm</t>
  </si>
  <si>
    <t>Sway No. 3 | H-beam size. 200 x 200 x 8 x 12 mm | 900 mm</t>
  </si>
  <si>
    <t>Foundation foot stantion No. 3 | Plate (A) thickness 12 mm | 250 X 250 mm</t>
  </si>
  <si>
    <t>Foundation foot sway No. 3 | Plate (A) thickness 12 mm | 280 X 280 mm</t>
  </si>
  <si>
    <t>Doubling stantion and sway No. 3 | Plate (A) thickness 12 mm | 200 X 180 mm @ 2 sht</t>
  </si>
  <si>
    <t>ST. 3-4, STF. 4-6 | Angle bar size. 100 x 100 x 10 mm | 3100 mm @ 3 pcs</t>
  </si>
  <si>
    <t>ST. 3-4, Bracket STF. | Plate (A) thickness 10 mm | 250 X 150 mm</t>
  </si>
  <si>
    <t>ST. 3-4, Doubling siku | Angle bar size. 100 x 100 x 10 mm | 100 mm</t>
  </si>
  <si>
    <t>Sway No. 4 | H-beam size. 200 x 200 x 8 x 12 mm | 930 mm</t>
  </si>
  <si>
    <t>Foundation foot stantion No. 4 | Plate (A) thickness 12 mm | 250 X 250 mm</t>
  </si>
  <si>
    <t>Foundation foot sway No. 4 | Plate (A) thickness 12 mm | 280 X 280 mm</t>
  </si>
  <si>
    <t>Doubling sway No. 4 | Plate (A) thickness 12 mm | 200 X 180 mm</t>
  </si>
  <si>
    <t>ST. 4-5, STF. 4-6 | Angle bar size. 100 x 100 x 10 mm | 2960 mm @ 3 pcs</t>
  </si>
  <si>
    <t>ST. 4-5, Bracket STF. | Plate (A) thickness 10 mm | 250 X 150 mm</t>
  </si>
  <si>
    <t>Stantion No. 5 | H-beam size. 200 x 200 x 8 x 12 mm | 960 mm</t>
  </si>
  <si>
    <t>Sway No. 5 | H-beam size. 200 x 200 x 8 x 12 mm | 900 mm</t>
  </si>
  <si>
    <t>Foundation foot stantion No. 5 | Plate (A) thickness 12 mm | 250 X 250 mm</t>
  </si>
  <si>
    <t>Foundation foot sway No. 5 | Plate (A) thickness 12 mm | 280 X 280 mm</t>
  </si>
  <si>
    <t>Doubling stantion and sway No. 5 | Plate (A) thickness 12 mm | 200 X 180 mm @ 2 sht</t>
  </si>
  <si>
    <t>ST. 5-6, STF. 1 | Angle bar size. 100 x 100 x 10 mm | 490 mm</t>
  </si>
  <si>
    <t>ST. 5-6, STF. 4&amp;5 | Angle bar size. 100 x 100 x 10 mm | 2790 mm @ 2 pcs</t>
  </si>
  <si>
    <t>ST. 5-6, STF. 6 | Angle bar size. 100 x 100 x 10 mm | 2950 mm</t>
  </si>
  <si>
    <t>ST. 5-6, Bracket STF. | Plate (A) thickness 10 mm | 250 X 150 mm @ 5 sht</t>
  </si>
  <si>
    <t>ST. 5-6, Doubling siku | Plate (A) thickness 10 mm | 250 X 100 mm</t>
  </si>
  <si>
    <t>Stantion No. 6 | H-beam size. 200 x 200 x 8 x 12 mm | 1050 mm</t>
  </si>
  <si>
    <t>Sway No. 6 | H-beam size. 200 x 200 x 8 x 12 mm | 1090 mm</t>
  </si>
  <si>
    <t>Foundation foot stantion No. 6 | Plate (A) thickness 12 mm | 250 X 250 mm</t>
  </si>
  <si>
    <t>Foundation foot sway No. 6 | Plate (A) thickness 12 mm | 280 X 280 mm</t>
  </si>
  <si>
    <t>Doubling stantion and sway No. 6 | Plate (A) thickness 12 mm | 200 X 180 mm @ 2 sht</t>
  </si>
  <si>
    <t>ST. 6-7 STF. 4-6 | Angle bar size. 100 x 100 x 10 mm | 3110 mm @ 3 pcs</t>
  </si>
  <si>
    <t>ST. 6-7, Bracket STF. | Plate (A) thickness 10 mm | 250 X 150 mm</t>
  </si>
  <si>
    <t>ST. 6-7, Doubling siku | Plate (A) thickness 10 mm | 250 X 100 mm</t>
  </si>
  <si>
    <t>Sway No. 7 | H-beam size. 200 x 200 x 8 x 12 mm | 1040 mm</t>
  </si>
  <si>
    <t>Foundation foot stantion No. 7 | Plate (A) thickness 12 mm | 250 X 250 mm</t>
  </si>
  <si>
    <t>Foundation foot sway No. 7 | Plate (A) thickness 12 mm | 280 X 280 mm</t>
  </si>
  <si>
    <t>Doubling sway No. 7 | Plate (A) thickness 12 mm | 200 X 180 mm</t>
  </si>
  <si>
    <t>ST. 7-8 STF. 4-6 | Angle bar size. 100 x 100 x 10 mm | 2960 mm @ 3 pcs</t>
  </si>
  <si>
    <t>ST. 7-8, Bracket STF. | Plate (A) thickness 10 mm | 250 X 150 mm @ 2 sht</t>
  </si>
  <si>
    <t>Stantion No. 8 | H-beam size. 200 x 200 x 8 x 12 mm | 1280 mm</t>
  </si>
  <si>
    <t>Sway No. 8 | H-beam size. 200 x 200 x 8 x 12 mm | 1050 mm</t>
  </si>
  <si>
    <t>Foundation foot stantion No. 8 | Plate (A) thickness 12 mm | 250 X 250 mm</t>
  </si>
  <si>
    <t>Foundation foot sway No. 8 | Plate (A) thickness 12 mm | 280 X 280 mm</t>
  </si>
  <si>
    <t>Doubling stantion and sway No. 8 | Plate (A) thickness 12 mm | 200 X 180 mm @ 2 sht</t>
  </si>
  <si>
    <t>ST. 8-9 STF. 4-6 | Angle bar size. 100 x 100 x 10 mm | 1830 mm @ 3 pcs</t>
  </si>
  <si>
    <t>ST. 8-9, Bracket STF. | Plate (A) thickness 10 mm | 250 X 150 mm @ 5 sht</t>
  </si>
  <si>
    <t>Stantion No. 9 | H-beam size. 200 x 200 x 8 x 12 mm | 3640 mm</t>
  </si>
  <si>
    <t>Sway No. 9 | H-beam size. 200 x 200 x 8 x 12 mm | 3070 mm</t>
  </si>
  <si>
    <t>Foundation foot stantion No. 9 | Plate (A) thickness 12 mm | 250 X 250 mm</t>
  </si>
  <si>
    <t>Foundation foot sway No. 9 | Plate (A) thickness 12 mm | 280 X 280 mm</t>
  </si>
  <si>
    <t>Doubling sway No. 9 | Plate (A) thickness 12 mm | 200 X 180 mm</t>
  </si>
  <si>
    <t>ST. 0/1-8/9, STF. 0/1 | Plate (A) thickness 8 mm | 21780 X 450 mm</t>
  </si>
  <si>
    <t>ST. 4-5, STF. 1-2 | Plate (A) thickness 8 mm | 680 X 450 mm</t>
  </si>
  <si>
    <t>ST. 0/1-8/9, STF. 3/4-6 (Straightening) | Plate (A) thickness 8 mm | 21780 X 1830 mm</t>
  </si>
  <si>
    <t>ST. 1-2, STF. 1 &amp; 6 | Angle bar size. 100 x 100 x 10 mm | 600 mm @ 2 pcs</t>
  </si>
  <si>
    <t>ST. 1-2, STF. 2 | Angle bar size. 100 x 100 x 10 mm | 500 mm</t>
  </si>
  <si>
    <t>ST. 1-2, STF. 3 | Angle bar size. 100 x 100 x 10 mm | 3340 mm</t>
  </si>
  <si>
    <t>ST. 1-2, STF. 4 | Angle bar size. 100 x 100 x 10 mm | 480 mm</t>
  </si>
  <si>
    <t>ST. 1-2, STF. 5 | Angle bar size. 100 x 100 x 10 mm | 700 mm</t>
  </si>
  <si>
    <t>Sway No. 2 | H-beam size. 200 x 200 x 8 x 12 mm | 3170 mm</t>
  </si>
  <si>
    <t>ST. 3-4, Bracket STF. 1-6 | Plate (A) thickness 10 mm | 250 X 170 mm @ 6 sht</t>
  </si>
  <si>
    <t>Sway No. 3 | H-beam size. 200 x 200 x 8 x 12 mm | 3170 mm</t>
  </si>
  <si>
    <t>Longitudinal stiffener | Angle bar size. 150 x 150 x 12 mm | 5370 mm @ 3 pcs</t>
  </si>
  <si>
    <t>Vertikal stiffener | Angle bar size. 150 x 150 x 12 mm | 1190 mm @ 6 pcs</t>
  </si>
  <si>
    <t>Portable sidedoor plate | Plate (A) thickness 8 mm | 5390 X 1200 mm</t>
  </si>
  <si>
    <t>Diamond bracket | Plate (A) thickness 10 mm | 280 X 280 mm @ 4 sht</t>
  </si>
  <si>
    <t>Half diamond bracket | Plate (A) thickness 10 mm | 300 X 150 mm @ 10 sht</t>
  </si>
  <si>
    <t>Bracket side | Plate (A) thickness 10 mm | 150 X 150 mm @ 4 sht</t>
  </si>
  <si>
    <t>Pad eye | Plate (A) thickness 12 mm | 170 X 100 mm @ 2 sht</t>
  </si>
  <si>
    <t>ST. 0-1, STF. 0/1 | Plate (A) thickness 8 mm | 450 X 400 mm</t>
  </si>
  <si>
    <t>ST. 0-1, STF. 2/3-3/4 | Plate (A) thickness 8 mm | 410 X 440 mm</t>
  </si>
  <si>
    <t>ST. 1-2, STF. 0-1/2 | Plate (A) thickness 8 mm | 710 X 710 mm</t>
  </si>
  <si>
    <t>ST. 3-4, STF. 0-1 | Plate (A) thickness 8 mm | 700 X 500 mm</t>
  </si>
  <si>
    <t>Sideboard emergency access</t>
  </si>
  <si>
    <t>Hinge | Plate (A) thickness 12 mm | 60 X 90 mm @ 4 sht</t>
  </si>
  <si>
    <t>Hinge | Deformed bar size. 19 mm | 360 mm</t>
  </si>
  <si>
    <t>| B/N SS size. 3/4" X 2 1/2" @16 pcs</t>
  </si>
  <si>
    <t>Handle | Roundbar size. 3/4" | 350 mm @ 2 pcs</t>
  </si>
  <si>
    <t>Bongkar Pasang Ring Manhole</t>
  </si>
  <si>
    <t>| B/N SS size. 3/4" X 2 1/2" @24 pcs</t>
  </si>
  <si>
    <t>| B/N SS size. 3/4" X 2 1/2" @15 pcs</t>
  </si>
  <si>
    <t>| B/N SS size. 3/4" X 2 1/2" @20 pcs</t>
  </si>
  <si>
    <t>| B/N SS size. 3/4" X 2 1/2" @ 24 pcs</t>
  </si>
  <si>
    <t>Cover manhole | Plate (A) thickness 10 mm | 760 X 560 mm</t>
  </si>
  <si>
    <t>Ring manhole | Plate (A) thickness 10 mm | 760 X 560 mm</t>
  </si>
  <si>
    <t>Ring manhole | Flat bar size. 4" x 10 mm | 2170 mm</t>
  </si>
  <si>
    <t>| B/N SS size. 3/4" X 2 1/2" @ 19 pcs</t>
  </si>
  <si>
    <t>| B/N SS size. 3/4" X 2 1/2" @ 13 pcs</t>
  </si>
  <si>
    <t>| B/N SS size. 3/4" X 2 1/2" @ 20 pcs</t>
  </si>
  <si>
    <t>| B/N SS size. 3/4" X 2 1/2" @ 23 pcs</t>
  </si>
  <si>
    <t>| B/N SS size. 3/4" X 2 1/2" @19 pcs</t>
  </si>
  <si>
    <t>| B/N SS size. 3/4" X 2 1/2" @17 pcs</t>
  </si>
  <si>
    <t>| B/N SS size. 3/4" X 2 1/2" @ 18 pcs</t>
  </si>
  <si>
    <t>| B/N SS size. 3/4" X 2 1/2" @ 11 pcs</t>
  </si>
  <si>
    <t>Side cover | Plate (A) thickness 10 mm | 450 X 100 mm @ 2 sht</t>
  </si>
  <si>
    <t>Top cover | Plate (A) thickness 10 mm | 1200 X 450 mm</t>
  </si>
  <si>
    <t>Doubling plate | Plate (A) thickness 10 mm | 1300 X 550 mm</t>
  </si>
  <si>
    <t>Top cover pipe | Plate (A) thickness 10 mm | 320 X 320 mm @ 2 sht</t>
  </si>
  <si>
    <t>Pipe bolder | Pipe seamless size. 12" Sch 80 | 600 mm @ 2 pcs</t>
  </si>
  <si>
    <t>Thrust bolder | Roundbar size. 2" | 1400 mm</t>
  </si>
  <si>
    <t>Side cover | Plate (A) thickness 10 mm | 440 X 100 mm @ 2 sht</t>
  </si>
  <si>
    <t>Top cover pipe | Plate (A) thickness 10 mm | 330 X 330 mm @ 2 sht</t>
  </si>
  <si>
    <t>Pipe bolder | Pipe seamless size. 12" Sch 80 | 620 mm @ 2 pcs</t>
  </si>
  <si>
    <t>Thrust bolder | Roundbar size. 2" | 1500 mm</t>
  </si>
  <si>
    <t>Double bolder No. 5 PS</t>
  </si>
  <si>
    <t>Top cover | Plate (A) thickness 10 mm | 1200 X 480 mm</t>
  </si>
  <si>
    <t>Top cover pipe | Plate (A) thickness 10 mm | 330 X 330 mm</t>
  </si>
  <si>
    <t>Single bolder No. 1 PS</t>
  </si>
  <si>
    <t>Side cover | Plate (A) thickness 10 mm | 470 X 100 mm @ 4 sht</t>
  </si>
  <si>
    <t>Doubling plate | Plate (A) thickness 10 mm | 540 X 540 mm</t>
  </si>
  <si>
    <t>Side cover | Plate (A) thickness 10 mm | 1210 X 100 mm @ 2 sht</t>
  </si>
  <si>
    <t>Side cover | Plate (A) thickness 10 mm | 470 X 100 mm @ 2 sht</t>
  </si>
  <si>
    <t>Top cover | Plate (A) thickness 10 mm | 1210 X 450 mm</t>
  </si>
  <si>
    <t>Top cover pipe | Plate (A) thickness 10 mm | 340 X 340 mm @ 1 sht</t>
  </si>
  <si>
    <t>Pipe bolder | Pipe seamless size. 12" Sch 80 | 600 mm</t>
  </si>
  <si>
    <t>Thrust bolder | Roundbar size. 2" | 1550 mm</t>
  </si>
  <si>
    <t>Top cover pipe | Plate (A) thickness 10 mm | 370 X 370 mm @ 2 sht</t>
  </si>
  <si>
    <t>Side cover | Plate (A) thickness 10 mm | 490 X 100 mm @ 2 sht</t>
  </si>
  <si>
    <t>Top cover | Plate (A) thickness 10 mm | 1220 X 460 mm</t>
  </si>
  <si>
    <t>Double bolder No. 5 SB</t>
  </si>
  <si>
    <t>Side cover | Plate (A) thickness 10 mm | 1220 X 100 mm @ 2 sht</t>
  </si>
  <si>
    <t>Side cover | Plate (A) thickness 10 mm | 480 X 100 mm @ 2 sht</t>
  </si>
  <si>
    <t>Top cover | Plate (A) thickness 10 mm | 1200 X 460 mm</t>
  </si>
  <si>
    <t>Doubling plate | Plate (A) thickness 10 mm | 1300 X 560 mm</t>
  </si>
  <si>
    <t>Single bolder No. 1 SB</t>
  </si>
  <si>
    <t>Side cover | Plate (A) thickness 10 mm | 450 X 100 mm @ 4 sht</t>
  </si>
  <si>
    <t>Top cover | Plate (A) thickness 10 mm | 450 X 450 mm</t>
  </si>
  <si>
    <t>Doubling plate | Plate (A) thickness 10 mm | 550 X 550 mm</t>
  </si>
  <si>
    <t>Single bolder AP PS</t>
  </si>
  <si>
    <t>Doubling plate | Plate (A) thickness 10 mm | 500 X 500 mm</t>
  </si>
  <si>
    <t>Unpack and reinstall existing bolder pipe</t>
  </si>
  <si>
    <t>Single bolder AP SB</t>
  </si>
  <si>
    <t>Top cover | Plate (A) thickness 10 mm | 330 X 330 mm</t>
  </si>
  <si>
    <t>Bracket | Plate (A) thickness 10 mm | 390 X 590 mm @ 2 sht</t>
  </si>
  <si>
    <t>Sandblasting Material internal (S.A 2.0)</t>
  </si>
  <si>
    <t>Pengecatan Material internal (1x primer)</t>
  </si>
  <si>
    <t xml:space="preserve">Cleaning pasir double </t>
  </si>
  <si>
    <t>Longitudinal girder | Angle bar unequal size. 500 x 100 x 10 mm | 7440 mm @ 2 pcs</t>
  </si>
  <si>
    <t>Longitudinal girder | Angle bar unequal size. 500 x 100 x 10 mm | 1900 mm</t>
  </si>
  <si>
    <t>Web bottom trans | Angle bar unequal size. 500 x 100 x 10 mm | 7650 mm</t>
  </si>
  <si>
    <t>Web bottom trans | Angle bar unequal size. 500 x 100 x 10 mm | 7460 mm</t>
  </si>
  <si>
    <t>Web bottom trans | Angle bar unequal size. 500 x 100 x 10 mm | 5780 mm</t>
  </si>
  <si>
    <t>Bottom trans | Angle bar size. 120 x 120 x 10 mm | 5810 mm</t>
  </si>
  <si>
    <t>Bottom trans | Angle bar size. 120 x 120 x 10 mm | 3880 mm @ 2 pcs</t>
  </si>
  <si>
    <t>Bottom trans | Angle bar size. 120 x 120 x 10 mm | 7470 mm @ 9 pcs</t>
  </si>
  <si>
    <t>Ordinary chine | Angle bar unequal size. 400 x 100 x 10 mm | 1360 mm</t>
  </si>
  <si>
    <t>Ordinary chine | Angle bar unequal size. 400 x 100 x 10 mm | 1400 mm</t>
  </si>
  <si>
    <t>Ordinary chine | Angle bar unequal size. 400 x 100 x 10 mm | 1480 mm</t>
  </si>
  <si>
    <t>Ordinary chine | Angle bar unequal size. 400 x 100 x 10 mm | 1490 mm</t>
  </si>
  <si>
    <t>Ordinary chine | Angle bar unequal size. 400 x 100 x 10 mm | 1500 mm</t>
  </si>
  <si>
    <t>Ordinary chine | Angle bar unequal size. 400 x 100 x 10 mm | 1610 mm</t>
  </si>
  <si>
    <t>Ordinary chine | Angle bar unequal size. 400 x 100 x 10 mm | 1550 mm @ 2 pcs</t>
  </si>
  <si>
    <t>Web chine | Angle bar unequal size. 500 x 100 x 10 mm | 250 mm</t>
  </si>
  <si>
    <t>Web chine | Angle bar unequal size. 500 x 100 x 10 mm | 920 mm</t>
  </si>
  <si>
    <t>Web chine | Angle bar unequal size. 500 x 100 x 10 mm | 1350 mm</t>
  </si>
  <si>
    <t>Web chine | Angle bar unequal size. 500 x 100 x 10 mm | 1380 mm</t>
  </si>
  <si>
    <t>Carling longitudinal bottom | Angle bar size. 120 x 120 x 10 mm | 400 mm</t>
  </si>
  <si>
    <t>Carling longitudinal bottom | Angle bar size. 120 x 120 x 10 mm | 430 mm</t>
  </si>
  <si>
    <t>Carling longitudinal bottom | Angle bar size. 120 x 120 x 10 mm | 460 mm</t>
  </si>
  <si>
    <t>Carling longitudinal bottom | Angle bar size. 120 x 120 x 10 mm | 600 mm</t>
  </si>
  <si>
    <t>Carling longitudinal bottom | Angle bar size. 120 x 120 x 10 mm | 700 mm</t>
  </si>
  <si>
    <t>Carling longitudinal bottom | Angle bar size. 120 x 120 x 10 mm | 720 mm</t>
  </si>
  <si>
    <t>Carling longitudinal bottom | Angle bar size. 120 x 120 x 10 mm | 740 mm</t>
  </si>
  <si>
    <t>Carling longitudinal bottom | Angle bar size. 120 x 120 x 10 mm | 1000 mm</t>
  </si>
  <si>
    <t>Ordinary frame | Angle bar size. 150 x 150 x 12 mm | 350 mm</t>
  </si>
  <si>
    <t>Vertikal stiffener TBHD | Angle bar size. 120 x 120 x 10 mm | 130 mm</t>
  </si>
  <si>
    <t>Vertikal stiffener TBHD | Angle bar size. 120 x 120 x 10 mm | 260 mm</t>
  </si>
  <si>
    <t>Bracket long. Bottom - STF. TBHD | Plate (A) thickness 10 mm | 420 X 300 mm @ 7 sht</t>
  </si>
  <si>
    <t>Bracket long. Bottom - STF. TBHD | Angle bar unequal size. 500 x 100 x 10 mm | 530 mm @ 12 pcs</t>
  </si>
  <si>
    <t>Bracket long. bottom- trans bottom | Plate (A) thickness 10 mm | 280 X 370 mm @ 3 sht</t>
  </si>
  <si>
    <t>Bracket long. girder - STF. TBHD | Angle bar unequal size. 500 x 100 x 10 mm | 550 mm @ 3 pcs</t>
  </si>
  <si>
    <t>Stripping bracket pillar | Plate (A) thickness 10 mm | 430 X 90 mm @ 6 sht</t>
  </si>
  <si>
    <t>Vertical stringer transome | Angle bar unequal size. 400 x 100 x 10 mm | 600 mm</t>
  </si>
  <si>
    <t>Deck framing joint prop | Plate (A) thickness 10 mm | 250 X 50 mm @ 22 sht</t>
  </si>
  <si>
    <t>Tank 1 SB</t>
  </si>
  <si>
    <t>Bottom girder | Angle bar unequal size. 500 x 100 x 10 mm | 5240 mm</t>
  </si>
  <si>
    <t>Bottom girder | Angle bar unequal size. 500 x 100 x 10 mm | 5370 mm</t>
  </si>
  <si>
    <t>Longitudinal bottom | Angle bar size. 120 x 120 x 10 mm | 4430 mm</t>
  </si>
  <si>
    <t>Longitudinal bottom | Angle bar size. 120 x 120 x 10 mm | 5810 mm</t>
  </si>
  <si>
    <t>Longitudinal bottom | Angle bar size. 120 x 120 x 10 mm | 7420 mm</t>
  </si>
  <si>
    <t>Longitudinal bottom | Angle bar size. 120 x 120 x 10 mm | 3820 mm @ 2 pcs</t>
  </si>
  <si>
    <t>Longitudinal bottom | Angle bar size. 120 x 120 x 10 mm | 5180 mm @ 2 pcs</t>
  </si>
  <si>
    <t>Longitudinal bottom | Angle bar size. 120 x 120 x 10 mm | 7420 mm @ 5 pcs</t>
  </si>
  <si>
    <t>Bottom trans | Angle bar unequal size. 500 x 100 x 10 mm | 870 mm</t>
  </si>
  <si>
    <t>Bottom trans | Angle bar unequal size. 500 x 100 x 10 mm | 1600 mm</t>
  </si>
  <si>
    <t>Bottom trans | Angle bar unequal size. 500 x 100 x 10 mm | 4280 mm</t>
  </si>
  <si>
    <t>Bottom trans | Angle bar unequal size. 500 x 100 x 10 mm | 5420 mm</t>
  </si>
  <si>
    <t>Bottom trans | Angle bar unequal size. 500 x 100 x 10 mm | 8140 mm</t>
  </si>
  <si>
    <t>Web bottom trans | Angle bar unequal size. 500 x 100 x 10 mm | 1390 mm</t>
  </si>
  <si>
    <t>Deck longitudinal | Angle bar size. 120 x 120 x 10 mm | 1750 mm @ 2 pcs</t>
  </si>
  <si>
    <t>Vertical stringer transome | Angle bar unequal size. 400 x 100 x 10 mm | 400 mm</t>
  </si>
  <si>
    <t>Vertical stringer transome | Angle bar unequal size. 400 x 100 x 10 mm | 500 mm</t>
  </si>
  <si>
    <t>Vertical stringer transome | Angle bar unequal size. 400 x 100 x 10 mm | 540 mm</t>
  </si>
  <si>
    <t>Vertical stringer transome | Angle bar unequal size. 400 x 100 x 10 mm | 350 mm @ 2 pcs</t>
  </si>
  <si>
    <t>Vertical stringer transome | Angle bar unequal size. 400 x 100 x 10 mm | 380 mm @ 2 pcs</t>
  </si>
  <si>
    <t>Vertical stringer transome | Angle bar unequal size. 400 x 100 x 10 mm | 600 mm @ 2 pcs</t>
  </si>
  <si>
    <t>Ordinary chine | Angle bar unequal size. 400 x 100 x 10 mm | 380 mm</t>
  </si>
  <si>
    <t>Ordinary chine | Angle bar unequal size. 400 x 100 x 10 mm | 1140 mm</t>
  </si>
  <si>
    <t>Carling longitudinal bottom | Angle bar size. 120 x 120 x 10 mm | 770 mm</t>
  </si>
  <si>
    <t>Carling longitudinal bottom | Angle bar size. 120 x 120 x 10 mm | 1040 mm</t>
  </si>
  <si>
    <t>LBHD | Plate (A) thickness 8 mm | 3080 X 580 mm</t>
  </si>
  <si>
    <t>Bracket long. bottom-TBHD | Angle bar unequal size. 500 x 100 x 10 mm | 450 mm @ 12 pcs</t>
  </si>
  <si>
    <t>Bracket long. bottom- trans bottom | Plate (A) thickness 10 mm | 360 X 250 mm @ 2 sht</t>
  </si>
  <si>
    <t>Bracket long. bottom- trans bottom | Plate (A) thickness 10 mm | 400 X 280 mm @ 3 sht</t>
  </si>
  <si>
    <t>Bracket trans bottom -  LBHD | Angle bar unequal size. 500 x 100 x 10 mm | 490 mm @ 2 pcs</t>
  </si>
  <si>
    <t>Bracket trans bottom -  TBHD | Angle bar unequal size. 500 x 100 x 10 mm | 450 mm</t>
  </si>
  <si>
    <t>Bracket transsome to bottom | Plate (A) thickness 10 mm | 400 X 280 mm</t>
  </si>
  <si>
    <t>Stripping bracket pillar | Plate (A) thickness 10 mm | 410 X 100 mm @ 6 sht</t>
  </si>
  <si>
    <t>Collar | Plate (A) thickness 10 mm | 180 X 80 mm @ 9 sht</t>
  </si>
  <si>
    <t>Deck framing joint prop | Plate (A) thickness 10 mm | 250 X 50 mm @ 24 sht</t>
  </si>
  <si>
    <t>Deck longitudinal | Angle bar size. 120 x 120 x 10 mm | 9040 mm @ 2 pcs</t>
  </si>
  <si>
    <t>Longitudinal bottom | Angle bar size. 120 x 120 x 10 mm | 1860 mm</t>
  </si>
  <si>
    <t>Longitudinal bottom | Angle bar size. 120 x 120 x 10 mm | 3590 mm</t>
  </si>
  <si>
    <t>Longitudinal bottom | Angle bar size. 120 x 120 x 10 mm | 5490 mm</t>
  </si>
  <si>
    <t>Longitudinal bottom | Angle bar size. 120 x 120 x 10 mm | 9150 mm @ 4 pcs</t>
  </si>
  <si>
    <t>Carling bottom | Angle bar size. 120 x 120 x 10 mm | 250 mm</t>
  </si>
  <si>
    <t>Carling bottom | Angle bar size. 120 x 120 x 10 mm | 360 mm</t>
  </si>
  <si>
    <t>Carling bottom | Angle bar size. 120 x 120 x 10 mm | 400 mm</t>
  </si>
  <si>
    <t>Carling bottom | Angle bar size. 120 x 120 x 10 mm | 500 mm</t>
  </si>
  <si>
    <t>Carling bottom | Angle bar size. 120 x 120 x 10 mm | 560 mm</t>
  </si>
  <si>
    <t>Carling bottom | Angle bar size. 120 x 120 x 10 mm | 570 mm</t>
  </si>
  <si>
    <t>Carling bottom | Angle bar size. 120 x 120 x 10 mm | 700 mm</t>
  </si>
  <si>
    <t>Carling bottom | Angle bar size. 120 x 120 x 10 mm | 800 mm</t>
  </si>
  <si>
    <t>Carling bottom | Angle bar size. 120 x 120 x 10 mm | 960 mm</t>
  </si>
  <si>
    <t>Carling bottom | Angle bar size. 120 x 120 x 10 mm | 1010 mm</t>
  </si>
  <si>
    <t>Web transverse bottom | Angle bar unequal size. 500 x 100 x 10 mm | 4950 mm</t>
  </si>
  <si>
    <t>Web transverse bottom | Angle bar unequal size. 500 x 100 x 10 mm | 5050 mm</t>
  </si>
  <si>
    <t>Web transverse bottom | Angle bar unequal size. 500 x 100 x 10 mm | 5150 mm</t>
  </si>
  <si>
    <t>Longitudinal bottom girder | Angle bar unequal size. 500 x 100 x 10 mm | 6970 mm</t>
  </si>
  <si>
    <t>Ordinary chine | Angle bar unequal size. 400 x 100 x 10 mm | 510 mm</t>
  </si>
  <si>
    <t>Ordinary chine | Angle bar unequal size. 400 x 100 x 10 mm | 630 mm</t>
  </si>
  <si>
    <t>Ordinary chine | Angle bar unequal size. 400 x 100 x 10 mm | 1150 mm</t>
  </si>
  <si>
    <t>Ordinary chine | Angle bar unequal size. 400 x 100 x 10 mm | 1580 mm</t>
  </si>
  <si>
    <t>Ordinary chine | Angle bar unequal size. 400 x 100 x 10 mm | 800 mm @ 2 pcs</t>
  </si>
  <si>
    <t>Ordinary chine | Angle bar unequal size. 500 x 100 x 10 mm | 1500 mm @ 2 pcs</t>
  </si>
  <si>
    <t>Ordinary chine | Angle bar unequal size. 500 x 100 x 10 mm | 1550 mm @ 2 pcs</t>
  </si>
  <si>
    <t>Web chine | Angle bar unequal size. 500 x 100 x 10 mm | 1330 mm</t>
  </si>
  <si>
    <t>Web chine | Angle bar unequal size. 500 x 100 x 10 mm | 1360 mm</t>
  </si>
  <si>
    <t>Web frame | Angle bar unequal size. 500 x 100 x 10 mm | 1800 mm</t>
  </si>
  <si>
    <t>Ordinary frame | Angle bar size. 120 x 120 x 10 mm | 1000 mm</t>
  </si>
  <si>
    <t>Ordinary frame | Angle bar size. 120 x 120 x 10 mm | 1070 mm</t>
  </si>
  <si>
    <t>Ordinary frame | Angle bar size. 120 x 120 x 10 mm | 1160 mm</t>
  </si>
  <si>
    <t>Vertikal stiffener TBHD | Angle bar size. 120 x 120 x 10 mm | 410 mm</t>
  </si>
  <si>
    <t>Vertikal stiffener TBHD | Angle bar size. 120 x 120 x 10 mm | 760 mm</t>
  </si>
  <si>
    <t>Vertikal stiffener TBHD | Angle bar size. 120 x 120 x 10 mm | 750 mm @ 2 pcs</t>
  </si>
  <si>
    <t>Vertikal stiffener TBHD | Angle bar size. 120 x 120 x 10 mm | 770 mm @ 2 pcs</t>
  </si>
  <si>
    <t>Diagonal stiffener TBHD | Angle bar size. 120 x 120 x 10 mm | 350 mm</t>
  </si>
  <si>
    <t>TBHD to tank 1 PS | Plate (A) thickness 8 mm | 4560 X 780 mm</t>
  </si>
  <si>
    <t>TBHD to tank 3 PS | Plate (A) thickness 8 mm | 3020 X 770 mm</t>
  </si>
  <si>
    <t>Bracket longitudinal bottom to TBHD tank 3 PS | Angle bar unequal size. 500 x 100 x 10 mm | 700 mm @ 5 pcs</t>
  </si>
  <si>
    <t>Bracket longitudinal bottom to TBHD tank 1 PS | Angle bar unequal size. 500 x 100 x 10 mm | 700 mm @ 6 pcs</t>
  </si>
  <si>
    <t>Bracket longitudinal girder to TBHD tank 3 PS | Angle bar unequal size. 500 x 100 x 10 mm | 730 mm</t>
  </si>
  <si>
    <t>Bracket web transverse bottom to TBHD tank 2 CTPS | Angle bar unequal size. 400 x 100 x 10 mm | 690 mm @ 3 pcs</t>
  </si>
  <si>
    <t>Bracket web transverse bottom lo longitudinal bottom | Plate (A) thickness 10 mm | 300 X 400 mm @ 3 sht</t>
  </si>
  <si>
    <t>Bracket stiffener TBHD to chine | Plate (A) thickness 10 mm | 330 X 350 mm</t>
  </si>
  <si>
    <t>Doubling longitudinal bottom | Plate (A) thickness 10 mm | 200 X 100 mm @ 3 sht</t>
  </si>
  <si>
    <t>Stripping bracket | Plate (A) thickness 10 mm | 470 X 100 mm @ 3 sht</t>
  </si>
  <si>
    <t>Collar | Plate (A) thickness 10 mm | 180 X 80 mm @ 8 sht</t>
  </si>
  <si>
    <t>Deck framing joint prop | Plate (A) thickness 10 mm | 250 X 50 mm @ 8 sht</t>
  </si>
  <si>
    <t>Deck longitudinal | Angle bar size. 120 x 120 x 10 mm | 4530 mm</t>
  </si>
  <si>
    <t>Deck longitudinal | Angle bar size. 120 x 120 x 10 mm | 9010 mm @ 2 pcs</t>
  </si>
  <si>
    <t>Longitudinal bottom | Angle bar size. 120 x 120 x 10 mm | 1600 mm @ 2 pcs</t>
  </si>
  <si>
    <t>Deck framing joint prop | Plate (A) thickness 10 mm | 250 X 50 mm @ 4 sht</t>
  </si>
  <si>
    <t>Longitudinal bottom girder | Angle bar unequal size. 500 x 100 x 10 mm | 1360 mm</t>
  </si>
  <si>
    <t>Web bottom trans | Angle bar unequal size. 500 x 100 x 10 mm | 1980 mm</t>
  </si>
  <si>
    <t>Ordinary chine | Angle bar unequal size. 400 x 100 x 10 mm | 1590 mm</t>
  </si>
  <si>
    <t>Bracket longitudinal gider to TBHD | Angle bar unequal size. 400 x 100 x 10 mm | 640 mm</t>
  </si>
  <si>
    <t>Collar | Plate (A) thickness 10 mm | 180 X 80 mm @ 3 sht</t>
  </si>
  <si>
    <t>Deck framing joint prop | Plate (A) thickness 10 mm | 250 X 50 mm @ 9 sht</t>
  </si>
  <si>
    <t>Deck framing joint prop | Plate (A) thickness 10 mm | 250 X 50 mm @ 101 sht</t>
  </si>
  <si>
    <t>Longitudinal bottom | Angle bar size. 120 x 120 x 10 mm | 9030 mm @ 7 pcs</t>
  </si>
  <si>
    <t>Longitudinal bottom girder | Angle bar unequal size. 500 x 100 x 10 mm | 9140 mm</t>
  </si>
  <si>
    <t>Web bottom trans | Angle bar unequal size. 500 x 100 x 10 mm | 5110 mm @ 4 pcs</t>
  </si>
  <si>
    <t>Web Chine, Web side | Plate (A) thickness 10 mm | 1530 X 660 mm @ 4 sht</t>
  </si>
  <si>
    <t>Web Chine, face side | Plate (A) thickness 10 mm | 870 X 140 mm @ 4 sht</t>
  </si>
  <si>
    <t>Ordinary chine | Angle bar unequal size. 400 x 100 x 10 mm | 500 mm</t>
  </si>
  <si>
    <t>Vertical stf TBHD | Angle bar size. 120 x 120 x 10 mm | 480 mm</t>
  </si>
  <si>
    <t>Vertical stf TBHD | Angle bar size. 120 x 120 x 10 mm | 540 mm</t>
  </si>
  <si>
    <t>Vertical stf TBHD | Angle bar size. 120 x 120 x 10 mm | 630 mm</t>
  </si>
  <si>
    <t>Vertical stf TBHD | Angle bar size. 120 x 120 x 10 mm | 730 mm</t>
  </si>
  <si>
    <t>Vertical stf TBHD | Angle bar size. 120 x 120 x 10 mm | 530 mm @ 2 pcs</t>
  </si>
  <si>
    <t>Carling bottom | Angle bar size. 120 x 120 x 10 mm | 470 mm</t>
  </si>
  <si>
    <t>Bracket longitudinal bottom to stiffener TBHD | Angle bar unequal size. 500 x 100 x 10 mm | 700 mm @ 6 pcs</t>
  </si>
  <si>
    <t>Bracket longitudinal bottom to stiffener TBHD | Angle bar unequal size. 400 x 100 x 10 mm | 630 mm</t>
  </si>
  <si>
    <t>Bracket longitudinal bottom to TBHD | Angle bar unequal size. 400 x 100 x 10 mm | 630 mm @ 7 pcs</t>
  </si>
  <si>
    <t>Bracket longitudinal bottom to trans bottom | Plate (A) thickness 10 mm | 310 X 400 mm @ 8 sht</t>
  </si>
  <si>
    <t>Bracket trans bottom to LBHD | Angle bar unequal size. 500 x 100 x 10 mm | 670 mm</t>
  </si>
  <si>
    <t>Bracket trans bottom to LBHD | Angle bar unequal size. 400 x 100 x 10 mm | 720 mm @ 3 pcs</t>
  </si>
  <si>
    <t>Bracket web chine to long chine | Plate (A) thickness 10 mm | 620 X 300 mm @ 4 sht</t>
  </si>
  <si>
    <t>Bracket longitudinal girder to TBHD | Angle bar unequal size. 400 x 100 x 10 mm | 670 mm</t>
  </si>
  <si>
    <t>Deck framing joint prop | Plate (A) thickness 10 mm | 250 X 50 mm @ 32 sht</t>
  </si>
  <si>
    <t>Deck framing joint prop | Plate (A) thickness 10 mm | 300 X 50 mm @ 83 sht</t>
  </si>
  <si>
    <t>Longitudinal Bottom girder | Angle bar unequal size. 500 x 100 x 10 mm | 9130 mm</t>
  </si>
  <si>
    <t>Web Chine, web | Plate (A) thickness 10 mm | 1470 X 730 mm @ 4 sht</t>
  </si>
  <si>
    <t>Web Chine, face | Plate (A) thickness 10 mm | 800 X 90 mm @ 4 sht</t>
  </si>
  <si>
    <t>Longitudinal Chine | Angle bar size. 120 x 120 x 10 mm | 7150 mm</t>
  </si>
  <si>
    <t>TBHD tank 2 | Plate (A) thickness 8 mm | 980 X 480 mm</t>
  </si>
  <si>
    <t>Bracket longitudinal bottom to trans bottom | Plate (A) thickness 10 mm | 440 X 250 mm @ 4 sht</t>
  </si>
  <si>
    <t>Bracket longitudinal girder to TBHD | Angle bar unequal size. 400 x 100 x 10 mm | 650 mm</t>
  </si>
  <si>
    <t>Bracket tran bottom to LBHD | Angle bar unequal size. 400 x 100 x 10 mm | 650 mm @ 4 pcs</t>
  </si>
  <si>
    <t>Bracket web chine to long chine | Plate (A) thickness 10 mm | 570 X 250 mm @ 4 sht</t>
  </si>
  <si>
    <t>Deck framing joint prop | Plate (A) thickness 10 mm | 250 X 50 mm @ 42 sht</t>
  </si>
  <si>
    <t>Deck longitudinal | Angle bar size. 120 x 120 x 10 mm | 6020 mm</t>
  </si>
  <si>
    <t>Deck longitudinal | Angle bar size. 120 x 120 x 10 mm | 7080 mm</t>
  </si>
  <si>
    <t>Deck longitudinal | Angle bar size. 120 x 120 x 10 mm | 7130 mm</t>
  </si>
  <si>
    <t>Deck longitudinal | Angle bar size. 120 x 120 x 10 mm | 7220 mm</t>
  </si>
  <si>
    <t>Deck longitudinal | Angle bar size. 120 x 120 x 10 mm | 7180 mm @ 4 pcs</t>
  </si>
  <si>
    <t>Deck framing joint prop | Plate (A) thickness 10 mm | 250 X 50 mm @ 6 sht</t>
  </si>
  <si>
    <t>Longitudinal bottom | Angle bar size. 120 x 120 x 10 mm | 7600 mm</t>
  </si>
  <si>
    <t>Longitudinal bottom | Angle bar size. 120 x 120 x 10 mm | 8050 mm</t>
  </si>
  <si>
    <t>Longitudinal bottom | Angle bar size. 120 x 120 x 10 mm | 9020 mm @ 5 pcs</t>
  </si>
  <si>
    <t>Web transverse bottom | Angle bar unequal size. 500 x 100 x 10 mm | 5070 mm</t>
  </si>
  <si>
    <t>Web transverse bottom | Angle bar unequal size. 500 x 100 x 10 mm | 5440 mm</t>
  </si>
  <si>
    <t>Web transverse bottom | Angle bar unequal size. 500 x 100 x 10 mm | 5540 mm</t>
  </si>
  <si>
    <t>Web transverse bottom | Angle bar unequal size. 500 x 100 x 10 mm | 5610 mm</t>
  </si>
  <si>
    <t>Longitudinal bottom girder | Angle bar unequal size. 500 x 100 x 10 mm | 9120 mm</t>
  </si>
  <si>
    <t>Web Chine, Web side | Plate (A) thickness 10 mm | 300 X 200 mm @ 2 sht</t>
  </si>
  <si>
    <t>Web Chine, face side | Plate (A) thickness 10 mm | 270 X 120 mm @ 2 sht</t>
  </si>
  <si>
    <t>Longitudinal chine | Angle bar size. 120 x 120 x 10 mm | 1350 mm</t>
  </si>
  <si>
    <t>Stripping bracket pillar | Plate (A) thickness 10 mm | 440 X 90 mm @ 4 sht</t>
  </si>
  <si>
    <t>Bracket longitudinal bottom to stiffener TBHD | Angle bar unequal size. 400 x 100 x 10 mm | 650 mm @ 5 pcs</t>
  </si>
  <si>
    <t>Bracket longitudinal bottom to TBHD | Angle bar unequal size. 400 x 100 x 10 mm | 600 mm @ 7 pcs</t>
  </si>
  <si>
    <t>Bracket longitudinal bottom to trans bottom | Plate (A) thickness 10 mm | 460 X 300 mm @ 8 sht</t>
  </si>
  <si>
    <t>Bracket trans bottom to LBHD | Angle bar unequal size. 400 x 100 x 10 mm | 650 mm @ 4 pcs</t>
  </si>
  <si>
    <t>Bracket longitudinal chine to TBHD | Angle bar unequal size. 400 x 100 x 10 mm | 560 mm</t>
  </si>
  <si>
    <t>Collar | Plate (A) thickness 10 mm | 180 X 80 mm @ 17 sht</t>
  </si>
  <si>
    <t>Deck framing joint prop | Plate (A) thickness 10 mm | 250 X 50 mm @ 56 sht</t>
  </si>
  <si>
    <t>Deck framing joint prop | Plate (A) thickness 10 mm | 300 X 50 mm @ 69 sht</t>
  </si>
  <si>
    <t>Longitudinal Bottom | Angle bar size. 120 x 120 x 10 mm | 3020 mm</t>
  </si>
  <si>
    <t>Web transverse bottom | Angle bar unequal size. 500 x 100 x 10 mm | 800 mm</t>
  </si>
  <si>
    <t>Longitudinal chine | Angle bar size. 120 x 120 x 10 mm | 1200 mm</t>
  </si>
  <si>
    <t>Web Chine, web | Plate (A) thickness 10 mm | 1500 X 680 mm @ 3 sht</t>
  </si>
  <si>
    <t>Web Chine, face | Plate (A) thickness 10 mm | 850 X 90 mm @ 3 sht</t>
  </si>
  <si>
    <t>Bracket web chine to long chine | Plate (A) thickness 10 mm | 570 X 250 mm @ 3 sht</t>
  </si>
  <si>
    <t>Deck longitudinal | Angle bar size. 120 x 120 x 10 mm | 5200 mm</t>
  </si>
  <si>
    <t>Deck longitudinal | Angle bar size. 120 x 120 x 10 mm | 5360 mm</t>
  </si>
  <si>
    <t>Deck longitudinal | Angle bar size. 120 x 120 x 10 mm | 7140 mm</t>
  </si>
  <si>
    <t>Deck longitudinal | Angle bar size. 120 x 120 x 10 mm | 7200 mm</t>
  </si>
  <si>
    <t>Deck longitudinal | Angle bar size. 120 x 120 x 10 mm | 7190 mm @ 2 pcs</t>
  </si>
  <si>
    <t>Deck longitudinal | Angle bar size. 120 x 120 x 10 mm | 9120 mm @ 2 pcs</t>
  </si>
  <si>
    <t>Collar | Plate (A) thickness 10 mm | 180 X 80 mm @ 11 sht</t>
  </si>
  <si>
    <t>Deck framing joint prop | Plate (A) thickness 10 mm | 250 X 50 mm @ 11 sht</t>
  </si>
  <si>
    <t>TBHD 5/6 plate | Plate (A) thickness 8 mm | 6070 X 600 mm</t>
  </si>
  <si>
    <t>Web bottom trans | Angle bar unequal size. 500 x 100 x 10 mm | 2000 mm @ 3 pcs</t>
  </si>
  <si>
    <t>Web bottom trans | Angle bar unequal size. 500 x 100 x 10 mm | 630 mm</t>
  </si>
  <si>
    <t>Bottom girder | Angle bar unequal size. 500 x 100 x 10 mm | 1160 mm</t>
  </si>
  <si>
    <t>Bottom girder | Angle bar unequal size. 500 x 100 x 10 mm | 1680 mm</t>
  </si>
  <si>
    <t>Web Chine, web | Plate (A) thickness 10 mm | 1520 X 680 mm @ 4 sht</t>
  </si>
  <si>
    <t>Web Chine, face | Plate (A) thickness 10 mm | 890 X 130 mm @ 4 sht</t>
  </si>
  <si>
    <t>Web frame | Angle bar unequal size. 500 x 100 x 10 mm | 1160 mm</t>
  </si>
  <si>
    <t>Web frame | Angle bar unequal size. 500 x 100 x 10 mm | 1000 mm</t>
  </si>
  <si>
    <t>Web frame | Angle bar unequal size. 500 x 100 x 10 mm | 1650 mm</t>
  </si>
  <si>
    <t>Web frame | Angle bar unequal size. 500 x 100 x 10 mm | 1050 mm</t>
  </si>
  <si>
    <t>Longitudinal side shell | Angle bar size. 120 x 120 x 10 mm | 9000 mm @ 2 pcs</t>
  </si>
  <si>
    <t>Deck longitudinal | Angle bar size. 120 x 120 x 10 mm | 6020 mm @ 4 pcs</t>
  </si>
  <si>
    <t>Stripping bracket pillar | Plate (A) thickness 10 mm | 460 X 100 mm @ 3 sht</t>
  </si>
  <si>
    <t>Bracket long. bottom-TBHD 5/6 | Angle bar unequal size. 400 x 100 x 10 mm | 550 mm @ 7 pcs</t>
  </si>
  <si>
    <t>Bracket bottom girder-TBHD 5/6 | Angle bar unequal size. 400 x 100 x 10 mm | 620 mm</t>
  </si>
  <si>
    <t>Bracket long. bottom-web bottom trans | Plate (A) thickness 10 mm | 400 X 320 mm @ 3 sht</t>
  </si>
  <si>
    <t>Bracket long. chine-web chine | Plate (A) thickness 10 mm | 560 X 250 mm @ 4 sht</t>
  </si>
  <si>
    <t>Bracket long. side shell-TBHD 5/6 | Angle bar unequal size. 400 x 100 x 10 mm | 560 mm @ 2 pcs</t>
  </si>
  <si>
    <t>Collar | Plate (A) thickness 10 mm | 180 X 80 mm @ 7 sht</t>
  </si>
  <si>
    <t>Deck framing joint prop | Plate (A) thickness 10 mm | 250 X 50 mm @ 21 sht</t>
  </si>
  <si>
    <t>Deck longitudinal | Angle bar size. 120 x 120 x 10 mm | 7650 mm</t>
  </si>
  <si>
    <t>Deck longitudinal | Angle bar size. 120 x 120 x 10 mm | 6020 mm @ 3 pcs</t>
  </si>
  <si>
    <t>Deck longitudinal | Angle bar size. 120 x 120 x 10 mm | 7220 mm @ 3 pcs</t>
  </si>
  <si>
    <t>Deck framing joint prop | Plate (A) thickness 10 mm | 250 X 50 mm @ 14 sht</t>
  </si>
  <si>
    <t>Longitudinal side shell | Angle bar size. 120 x 120 x 10 mm | 2670 mm</t>
  </si>
  <si>
    <t>Deck framing joint prop | Plate (A) thickness 10 mm | 250 X 150 mm @ 24 sht</t>
  </si>
  <si>
    <t>Deck longitudinal | Angle bar size. 120 x 120 x 10 mm | 6020 mm @ 2 pcs</t>
  </si>
  <si>
    <t>Deck framing joint prop | Plate (A) thickness 10 mm | 250 X 50 mm @ 10 sht</t>
  </si>
  <si>
    <t>Longitudinal side shell | Angle bar size. 120 x 120 x 10 mm | 5100 mm</t>
  </si>
  <si>
    <t>Longitudinal side shell | Angle bar size. 120 x 120 x 10 mm | 5200 mm</t>
  </si>
  <si>
    <t>Deck framing joint prop | Plate (A) thickness 10 mm | 250 X 50 mm @ 40 sht</t>
  </si>
  <si>
    <t>Deck framing joint prop | Plate (A) thickness 10 mm | 250 X 50 mm @ 30 sht</t>
  </si>
  <si>
    <t>Web frame, web | Plate (A) thickness 10 mm | 1480 X 480 mm</t>
  </si>
  <si>
    <t>web frame, face | Plate (A) thickness 10 mm | 1480 X 140 mm</t>
  </si>
  <si>
    <t>TBHD 6/7 plate | Plate (A) thickness 8 mm | 6060 X 600 mm</t>
  </si>
  <si>
    <t>Longitudinal bottom | Angle bar size. 120 x 120 x 10 mm | 9020 mm @ 7 pcs</t>
  </si>
  <si>
    <t>Bottom girder | Angle bar unequal size. 500 x 100 x 10 mm | 9120 mm</t>
  </si>
  <si>
    <t>Web bottom trans | Angle bar unequal size. 500 x 100 x 10 mm | 5380 mm @ 2 pcs</t>
  </si>
  <si>
    <t>Web bottom trans | Angle bar unequal size. 500 x 100 x 10 mm | 4220 mm @ 2 pcs</t>
  </si>
  <si>
    <t>Web Chine, face | Plate (A) thickness 10 mm | 650 X 90 mm @ 4 sht</t>
  </si>
  <si>
    <t>Longitudinal side shell | Angle bar size. 120 x 120 x 10 mm | 3200 mm @ 2 pcs</t>
  </si>
  <si>
    <t>Stripping bracket pillar | Plate (A) thickness 10 mm | 450 X 100 mm @ 4 sht</t>
  </si>
  <si>
    <t>Bracket long chine to web chine | Plate (A) thickness 10 mm | 300 X 480 mm @ 4 sht</t>
  </si>
  <si>
    <t>Bracket long bottom to web trans bottom | Plate (A) thickness 10 mm | 300 X 350 mm @ 4 sht</t>
  </si>
  <si>
    <t>Bracket long bottom to TBHD tank 5 SB | Angle bar unequal size. 300 x 100 x 10 mm | 500 mm @ 7 pcs</t>
  </si>
  <si>
    <t>Bracket long bottom to TBHD tank 7 SB | Angle bar unequal size. 300 x 100 x 10 mm | 500 mm @ 7 pcs</t>
  </si>
  <si>
    <t>Bracket web trans bottom to LBHD | Angle bar unequal size. 400 x 100 x 10 mm | 600 mm @ 4 pcs</t>
  </si>
  <si>
    <t>Collar | Plate (A) thickness 10 mm | 180 X 80 mm @ 18 sht</t>
  </si>
  <si>
    <t>Deck framing joint prop | Plate (A) thickness 10 mm | 250 X 100 mm @ 39 sht</t>
  </si>
  <si>
    <t>Deck longitudinal| Angle bar size. 120 x 120 x 10 mm | 9030 mm @ 5 pcs</t>
  </si>
  <si>
    <t>Deck longitudinal| Angle bar size. 120 x 120 x 10 mm | 7650 mm @ 1 pcs</t>
  </si>
  <si>
    <t>Deck longitudinal| Angle bar size. 120 x 120 x 10 mm | 7200 mm @ 2 pcs</t>
  </si>
  <si>
    <t>TBHD 7/8 plate | Plate (A) thickness 8 mm | 5620 X 600 mm</t>
  </si>
  <si>
    <t>TBHD 7/8 plate | Plate (A) thickness 8 mm | 450 X 1120 mm</t>
  </si>
  <si>
    <t>Vertical Str. TBHD 7/6 | Angle bar unequal size. 500 x 100 x 10 mm | 700 mm</t>
  </si>
  <si>
    <t>Web bottom trans | Angle bar unequal size. 500 x 100 x 10 mm | 5780 mm @ 4 pcs</t>
  </si>
  <si>
    <t>Longitudinal chine | Angle bar size. 120 x 120 x 10 mm | 9020 mm @ 1 pcs</t>
  </si>
  <si>
    <t>Web Chine, web | Plate (A) thickness 10 mm | 1450 X 780 mm @ 4 sht</t>
  </si>
  <si>
    <t>Web Chine, face | Plate (A) thickness 10 mm | 790 X 100 mm @ 4 sht</t>
  </si>
  <si>
    <t>Longitudinal side shell | Angle bar size. 120 x 120 x 10 mm | 9020 mm @ 2 pcs</t>
  </si>
  <si>
    <t>Web frame | Angle bar unequal size. 500 x 100 x 10 mm | 1100 mm @ 4 pcs</t>
  </si>
  <si>
    <t>Deck longitudinal | Angle bar size. 120 x 120 x 10 mm | 3320 mm</t>
  </si>
  <si>
    <t>Deck longitudinal | Angle bar size. 120 x 120 x 10 mm | 5280 mm</t>
  </si>
  <si>
    <t>Stripping bracket chine | Plate (A) thickness 10 mm | 470 X 90 mm @ 4 sht</t>
  </si>
  <si>
    <t>Stripping bracket pillar | Plate (A) thickness 10 mm | 490 X 90 mm @ 4 sht</t>
  </si>
  <si>
    <t>Bracket long. bottom-vertical stf. TBHD 7/6 | Angle bar unequal size. 300 x 100 x 10 mm | 500 mm @ 7 pcs</t>
  </si>
  <si>
    <t>Bracket long. bottom-TBHD 7/8 | Angle bar unequal size. 300 x 100 x 10 mm | 420 mm @ 7 pcs</t>
  </si>
  <si>
    <t>Bracket long. bottom-web bottom trans | Plate (A) thickness 10 mm | 320 X 250 mm @ 8 sht</t>
  </si>
  <si>
    <t>Bracket bottom girder-TBHD 7/8 | Angle bar unequal size. 300 x 100 x 10 mm | 630 mm</t>
  </si>
  <si>
    <t>Bracket web bottom trans-LBHD | Angle bar unequal size. 400 x 100 x 10 mm | 620 mm @ 4 pcs</t>
  </si>
  <si>
    <t>Bracket long. chine-vertical stf. TBHD 7/6 | Angle bar unequal size. 300 x 100 x 10 mm | 460 mm</t>
  </si>
  <si>
    <t>Bracket long. chine-TBHD 7/8 | Angle bar unequal size. 300 x 100 x 10 mm | 460 mm</t>
  </si>
  <si>
    <t>Bracket long. chine-web cine | Plate (A) thickness 10 mm | 620 X 310 mm @ 4 sht</t>
  </si>
  <si>
    <t>Bracket long. side shell-TBHD 7/8 | Angle bar unequal size. 300 x 100 x 10 mm | 420 mm @ 2 pcs</t>
  </si>
  <si>
    <t>Collar | Plate (A) thickness 10 mm | 180 X 80 mm @ 12 sht</t>
  </si>
  <si>
    <t>Deck framing joint prop | Plate (A) thickness 10 mm | 250 X 50 mm @ 19 sht</t>
  </si>
  <si>
    <t>Deck longitudinal | Angle bar size. 120 x 120 x 10 mm | 3500 mm</t>
  </si>
  <si>
    <t>Deck longitudinal| Angle bar size. 120 x 120 x 10 mm | 2520 mm</t>
  </si>
  <si>
    <t>Deck framing joint prop | Plate (A) thickness 10 mm | 250 X 50 mm @ 31 sht</t>
  </si>
  <si>
    <t>TBHD 7/8 plate | Plate (A) thickness 8 mm | 6060 X 600 mm</t>
  </si>
  <si>
    <t>Longitudinal bottom | Angle bar size. 120 x 120 x 10 mm | 9010 mm @ 7 pcs</t>
  </si>
  <si>
    <t>Bottom girder | Angle bar unequal size. 500 x 100 x 10 mm | 9130 mm</t>
  </si>
  <si>
    <t>Web bottom trans | Angle bar unequal size. 500 x 100 x 10 mm | 5070 mm @ 4 pcs</t>
  </si>
  <si>
    <t>Web Chine, web | Plate (A) thickness 10 mm | 1500 X 650 mm @ 4 sht</t>
  </si>
  <si>
    <t>Web Chine, face | Plate (A) thickness 10 mm | 630 X 100 mm @ 4 sht</t>
  </si>
  <si>
    <t>Longitudinal chine | Angle bar size. 120 x 120 x 10 mm | 9010 mm</t>
  </si>
  <si>
    <t>Deck longitudinal | Angle bar size. 120 x 120 x 10 mm | 6000 mm @ 3 pcs</t>
  </si>
  <si>
    <t>Deck longitudinal | Angle bar size. 120 x 120 x 10 mm | 9010 mm</t>
  </si>
  <si>
    <t>Bracket long. bottom-vertical stf. TBHD 7/6 | Angle bar unequal size. 300 x 100 x 10 mm | 420 mm @ 7 pcs</t>
  </si>
  <si>
    <t>Bracket long. bottom-web bottom trans | Plate (A) thickness 10 mm | 410 X 250 mm @ 8 sht</t>
  </si>
  <si>
    <t>Bracket long. chine-vertical stf. TBHD 7/6 | Angle bar unequal size. 300 x 100 x 10 mm | 440 mm</t>
  </si>
  <si>
    <t>Bracket long. chine-web chine | Plate (A) thickness 10 mm | 610 X 260 mm @ 4 sht</t>
  </si>
  <si>
    <t>Bracket bottom girder-TBHD 7/8 | Angle bar unequal size. 400 x 100 x 10 mm | 650 mm</t>
  </si>
  <si>
    <t>Bracket web bottom trans-LBHD | Angle bar unequal size. 400 x 100 x 10 mm | 650 mm @ 4 pcs</t>
  </si>
  <si>
    <t>Collar | Plate (A) thickness 10 mm | 200 X 90 mm @ 23 sht</t>
  </si>
  <si>
    <t>Deck framing joint prop | Plate (A) thickness 10 mm | 250 X 50 mm @ 5 sht</t>
  </si>
  <si>
    <t>Deck longitudinal| Angle bar size. 120 x 120 x 10 mm | 7150 mm @ 2 pcs</t>
  </si>
  <si>
    <t xml:space="preserve">Deck longitudinal| Angle bar size. 120 x 120 x 10 mm | 7650 mm </t>
  </si>
  <si>
    <t>Longitudinal bottom | Angle bar size. 120 x 120 x 10 mm | 9020 mm @ 3 pcs</t>
  </si>
  <si>
    <t>Web bottom trans | Angle bar unequal size. 500 x 100 x 10 mm | 5150 mm @ 4 pcs</t>
  </si>
  <si>
    <t>Longitudinal chine | Angle bar size. 120 x 120 x 10 mm | 1040 mm</t>
  </si>
  <si>
    <t>Web Chine, web | Plate (A) thickness 10 mm | 1420 X 680 mm @ 4 sht</t>
  </si>
  <si>
    <t>Web Chine, face | Plate (A) thickness 10 mm | 820 X 110 mm @ 4 sht</t>
  </si>
  <si>
    <t>Web frame | Angle bar unequal size. 500 x 100 x 10 mm | 1580 mm</t>
  </si>
  <si>
    <t>Longitudinal side shell | Angle bar size. 120 x 120 x 10 mm | 8500 mm</t>
  </si>
  <si>
    <t>Longitudinal deck | Angle bar size. 120 x 120 x 10 mm | 9030 mm 3 pcs</t>
  </si>
  <si>
    <t>Longitudinal deck | Angle bar size. 120 x 120 x 10 mm | 6020 mm</t>
  </si>
  <si>
    <t>Longitudinal deck | Angle bar size. 120 x 120 x 10 mm | 900 mm</t>
  </si>
  <si>
    <t>Vertical stiffener TBHD 8/7 | Angle bar size. 120 x 120 x 10 mm | 400 mm @ 3 pcs</t>
  </si>
  <si>
    <t>TBHD 7/8 plate | Plate (A) thickness 8 mm | 2480 X 620 mm</t>
  </si>
  <si>
    <t>Bracket long. bottom-vertical stf. TBHD 8/7 | Angle bar unequal size. 300 x 100 x 10 mm | 470 mm @ 3 pcs</t>
  </si>
  <si>
    <t>Bracket long sideshell to TBHD tank 7 | Angle bar unequal size. 300 x 100 x 10 mm | 780 mm @ 2 pcs</t>
  </si>
  <si>
    <t>Bracket long sideshell to TBHD tank 9 | Angle bar unequal size. 300 x 100 x 10 mm | 500 mm @ 3 pcs</t>
  </si>
  <si>
    <t>Bracket long sideshell to web frame | Plate (A) thickness 10 mm | 450 X 240 mm @ 4 sht</t>
  </si>
  <si>
    <t>Bracket web chine to long chine | Plate (A) thickness 10 mm | 650 X 300 mm @ 4 sht</t>
  </si>
  <si>
    <t>Stripping bracket chine | Plate (A) thickness 10 mm | 520 X 90 mm @ 4 sht</t>
  </si>
  <si>
    <t>Stripping bracket pillar | Plate (A) thickness 10 mm | 380 X 90 mm @ 4 sht</t>
  </si>
  <si>
    <t>Bracket long bottom to web trans bottom | Plate (A) thickness 10 mm | 650 X 280 mm @ 8 sht</t>
  </si>
  <si>
    <t>Bracket long bottom to TBHD tank 9 | Angle bar unequal size. 300 x 100 x 10 mm | 470 mm @ 3 pcs</t>
  </si>
  <si>
    <t>Bracket long bottom to TBHD tank 7 | Angle bar unequal size. 400 x 100 x 10 mm | 650 mm</t>
  </si>
  <si>
    <t>Bracket web trans bottom to LBHD | Angle bar unequal size. 400 x 100 x 10 mm | 650 mm @ 4 pcs</t>
  </si>
  <si>
    <t>Collar | Plate (A) thickness 10 mm | 180 X 80 mm @ 24 sht</t>
  </si>
  <si>
    <t>Deck framing joint prop | Plate (A) thickness 10 mm | 250 X 50 mm @ 58 sht</t>
  </si>
  <si>
    <t>Vertical stiffener TBHD 8/7 | Angle bar size. 120 x 120 x 10 mm | 900 mm</t>
  </si>
  <si>
    <t>Vertical stiffener TBHD 8/7 | Angle bar size. 120 x 120 x 10 mm | 1000 mm @ 3 pcs</t>
  </si>
  <si>
    <t>Vertical stiffener TBHD 8/7 | Angle bar size. 120 x 120 x 10 mm | 700 mm @ 3 pcs</t>
  </si>
  <si>
    <t>Web bottom trans | Angle bar unequal size. 500 x 100 x 10 mm | 5050 mm @ 4 pcs</t>
  </si>
  <si>
    <t>Longitudinal chine | Angle bar size. 120 x 120 x 10 mm | 9020 mm</t>
  </si>
  <si>
    <t>Web Chine, web | Plate (A) thickness 10 mm | 1500 X 700 mm @ 4 sht</t>
  </si>
  <si>
    <t>Web Chine, face | Plate (A) thickness 10 mm | 850 X 100 mm @ 4 sht</t>
  </si>
  <si>
    <t>Longitudinal side shell | Angle bar size. 120 x 120 x 10 mm | 6770 mm</t>
  </si>
  <si>
    <t>Longitudinal side shell | Angle bar size. 120 x 120 x 10 mm | 6950 mm</t>
  </si>
  <si>
    <t>Web frame | Angle bar unequal size. 500 x 100 x 10 mm | 1380 mm</t>
  </si>
  <si>
    <t>Stripping bracket pillar | Plate (A) thickness 10 mm | 390 X 100 mm @ 4 sht</t>
  </si>
  <si>
    <t>Bracket long. bottom-vertical stf. TBHD 8/7 | Angle bar unequal size. 300 x 100 x 10 mm | 440 mm @ 7 pcs</t>
  </si>
  <si>
    <t>Bracket long. bottom-TBHD 8/9 | Angle bar unequal size. 300 x 100 x 10 mm | 440 mm @ 7 pcs</t>
  </si>
  <si>
    <t>Bracket long. chine-TBHD | Angle bar unequal size. 300 x 100 x 10 mm | 450 mm @ 2 pcs</t>
  </si>
  <si>
    <t>Bracket long. bottom-web chine | Plate (A) thickness 10 mm | 600 X 250 mm @ 4 sht</t>
  </si>
  <si>
    <t>Bracket long. side shell-TBHD 8/7 | Angle bar unequal size. 400 x 100 x 10 mm | 430 mm</t>
  </si>
  <si>
    <t>Bracket long. side shell-TBHD 8/9 | Angle bar unequal size. 400 x 100 x 10 mm | 390 mm</t>
  </si>
  <si>
    <t>Bracket bottom girder-TBHD 8/9 | Angle bar unequal size. 400 x 100 x 10 mm | 650 mm</t>
  </si>
  <si>
    <t>Deck framing joint prop | Plate (A) thickness 10 mm | 170 X 70 mm @ 3 sht</t>
  </si>
  <si>
    <t>Deck framing joint prop | Plate (A) thickness 10 mm | 250 X 50 mm @ 13 sht</t>
  </si>
  <si>
    <t>Deck longitudinal| Angle bar size. 120 x 120 x 10 mm | 7170 mm @ 2 pcs</t>
  </si>
  <si>
    <t>Deck longitudinal| Angle bar size. 120 x 120 x 10 mm | 6020 mm</t>
  </si>
  <si>
    <t>Web bottom trans | Angle bar unequal size. 500 x 100 x 10 mm | 2610 mm @ 4 pcs</t>
  </si>
  <si>
    <t>Web Chine, Web side | Plate (A) thickness 10 mm | 1500 X 730 mm @ 4 sht</t>
  </si>
  <si>
    <t>Web Chine, face side | Plate (A) thickness 10 mm | 850 X 100 mm @ 4 sht</t>
  </si>
  <si>
    <t>Longitudinal side shell | Angle bar size. 120 x 120 x 10 mm | 8030 mm</t>
  </si>
  <si>
    <t>Web frame | Angle bar unequal size. 500 x 100 x 10 mm | 1610 mm</t>
  </si>
  <si>
    <t>Web frame | Angle bar unequal size. 500 x 100 x 10 mm | 1700 mm</t>
  </si>
  <si>
    <t>Web frame | Angle bar unequal size. 500 x 100 x 10 mm | 1710 mm</t>
  </si>
  <si>
    <t>Web frame | Angle bar unequal size. 500 x 100 x 10 mm | 2200 mm</t>
  </si>
  <si>
    <t>Vertikal web stiffener | Angle bar unequal size. 500 x 100 x 10 mm | 810 mm</t>
  </si>
  <si>
    <t>Vertikal web stiffener | Angle bar unequal size. 500 x 100 x 10 mm | 910 mm</t>
  </si>
  <si>
    <t>Stringer | Angle bar unequal size. 500 x 100 x 10 mm | 1070 mm</t>
  </si>
  <si>
    <t>Stringer | Angle bar unequal size. 500 x 100 x 10 mm | 1600 mm</t>
  </si>
  <si>
    <t>Bracket longitudinal bottom to web trans bottom | Plate (A) thickness 10 mm | 350 X 270 mm @ 4 sht</t>
  </si>
  <si>
    <t>Bracket long chine to web chine | Plate (A) thickness 10 mm | 620 X 300 mm @ 4 sht</t>
  </si>
  <si>
    <t>Bracket long sideshell to TBHD 10 | Angle bar unequal size. 300 x 100 x 10 mm | 640 mm @ 2 pcs</t>
  </si>
  <si>
    <t>Bracket long sideshell to TBHD 8 | Angle bar unequal size. 300 x 100 x 10 mm | 700 mm @ 2 pcs</t>
  </si>
  <si>
    <t>Bracket long sideshell to stringer | Angle bar unequal size. 500 x 100 x 10 mm | 500 mm @ 2 pcs</t>
  </si>
  <si>
    <t>Bracket long sideshell to web frame | Plate (A) thickness 10 mm | 440 X 260 mm @ 4 sht</t>
  </si>
  <si>
    <t>Stripping bracket pillar | Plate (A) thickness 10 mm | 360 X 90 mm @ 4 sht</t>
  </si>
  <si>
    <t>Stripping bracket web chine | Plate (A) thickness 10 mm | 620 X 300 mm @ 4 sht</t>
  </si>
  <si>
    <t>Collar | Plate (A) thickness 10 mm | 180 X 80 mm @ 19 sht</t>
  </si>
  <si>
    <t>Deck framing joint prop | Plate (A) thickness 10 mm | 250 X 50 mm @ 15 sht</t>
  </si>
  <si>
    <t>TBHD 9/8 plate | Plate (A) thickness 8 mm | 1200 X 600 mm</t>
  </si>
  <si>
    <t>Web Chine, web | Plate (A) thickness 10 mm | 1550 X 680 mm @ 4 sht</t>
  </si>
  <si>
    <t>Web Chine, face | Plate (A) thickness 10 mm | 860 X 100 mm @ 4 sht</t>
  </si>
  <si>
    <t>Collar | Plate (A) thickness 10 mm | 200 X 90 mm @ 4 sht</t>
  </si>
  <si>
    <t>Stripping bracket chine | Plate (A) thickness 10 mm | 670 X 250 mm</t>
  </si>
  <si>
    <t>ai</t>
  </si>
  <si>
    <t>Longitudinal girder | Angle bar unequal size. 500 x 100 x 10 mm | 2810 mm</t>
  </si>
  <si>
    <t>Web bottom trans | Angle bar unequal size. 500 x 100 x 10 mm | 850 mm</t>
  </si>
  <si>
    <t>Web bottom trans | Angle bar unequal size. 500 x 100 x 10 mm | 2740 mm</t>
  </si>
  <si>
    <t>Longitudinal side shell | Angle bar size. 120 x 120 x 10 mm | 1150 mm</t>
  </si>
  <si>
    <t>Longitudinal side shell | Angle bar size. 120 x 120 x 10 mm | 2300 mm</t>
  </si>
  <si>
    <t>Longitudinal side shell | Angle bar size. 120 x 120 x 10 mm | 2980 mm</t>
  </si>
  <si>
    <t>Vertikal side shell | Angle bar size. 120 x 120 x 10 mm | 470 mm</t>
  </si>
  <si>
    <t>Bottom carling | Angle bar size. 120 x 120 x 10 mm | 600 mm @ 3 pcs</t>
  </si>
  <si>
    <t>Web chine (web) | Plate (A) thickness 10 mm | 720 X 630 mm</t>
  </si>
  <si>
    <t>Web chine (web) | Plate (A) thickness 10 mm | 1460 X 720 mm</t>
  </si>
  <si>
    <t>Web chine (face) | Plate (A) thickness 10 mm | 510 X 100 mm</t>
  </si>
  <si>
    <t>Web chine (face) | Plate (A) thickness 10 mm | 890 X 110 mm</t>
  </si>
  <si>
    <t>Ordinary chine | Angle bar unequal size. 500 x 100 x 10 mm | 950 mm</t>
  </si>
  <si>
    <t>Web frame | Angle bar unequal size. 500 x 100 x 10 mm | 1300 mm</t>
  </si>
  <si>
    <t>TBHD 9/10 plate | Plate (A) thickness 8 mm | 2510 X 760 mm</t>
  </si>
  <si>
    <t>Bracket long sideshell to TBHD | Angle bar unequal size. 300 x 100 x 10 mm | 440 mm @ 3 pcs</t>
  </si>
  <si>
    <t>Bracket long girder to TBHD | Angle bar unequal size. 400 x 100 x 10 mm | 580 mm</t>
  </si>
  <si>
    <t>Bracket long bottom to web trans bottom | Plate (A) thickness 10 mm | 370 X 290 mm @ 2 sht</t>
  </si>
  <si>
    <t>aj</t>
  </si>
  <si>
    <t>Bottom girder | Angle bar unequal size. 500 x 100 x 10 mm | 1000 mm</t>
  </si>
  <si>
    <t>Web bottom trans | Angle bar unequal size. 500 x 100 x 10 mm | 1000 mm</t>
  </si>
  <si>
    <t>Web bottom trans | Angle bar unequal size. 500 x 100 x 10 mm | 900 mm</t>
  </si>
  <si>
    <t>Chine PS</t>
  </si>
  <si>
    <t>Lajur F PS | Plate (ABS) thickness 12 mm | 11110 X 990 mm</t>
  </si>
  <si>
    <t>Upper chine | Roundbar size. 2" | 2000 mm</t>
  </si>
  <si>
    <t>Lower chine | Roundbar size. 2" | 10220 mm</t>
  </si>
  <si>
    <t>Fr 5-6</t>
  </si>
  <si>
    <t>Access | Plate (ABS) thickness 12 mm | 340 X 380 mm</t>
  </si>
  <si>
    <t>Fr 5/6-6/7</t>
  </si>
  <si>
    <t>Access | Plate (ABS) thickness 12 mm | 1860 X 800 mm</t>
  </si>
  <si>
    <t>Fr 10/11-11/12</t>
  </si>
  <si>
    <t>Access | Plate (ABS) thickness 12 mm | 1020 X 800 mm</t>
  </si>
  <si>
    <t>Fr 16-17</t>
  </si>
  <si>
    <t>Access | Plate (ABS) thickness 12 mm | 1000 X 800 mm</t>
  </si>
  <si>
    <t>Fr 21-22</t>
  </si>
  <si>
    <t>Fr 26-27</t>
  </si>
  <si>
    <t>Access | Plate (ABS) thickness 12 mm | 1000 X 790 mm</t>
  </si>
  <si>
    <t>Fr 31-32</t>
  </si>
  <si>
    <t>Fr 37-38</t>
  </si>
  <si>
    <t>Access | Plate (ABS) thickness 12 mm | 1010 X 800 mm</t>
  </si>
  <si>
    <t>Fr 41-42</t>
  </si>
  <si>
    <t>Access | Plate (ABS) thickness 12 mm | 940 X 890 mm</t>
  </si>
  <si>
    <t>Chine SB</t>
  </si>
  <si>
    <t>Fr 25/26-27/28</t>
  </si>
  <si>
    <t>Lajur F | Plate (ABS) thickness 12 mm | 2500 X 530 mm</t>
  </si>
  <si>
    <t>Upper chine | Roundbar size. 2" | 1600 mm</t>
  </si>
  <si>
    <t>Access | Plate (ABS) thickness 12 mm | 2360 X 780 mm</t>
  </si>
  <si>
    <t>Access | Plate (ABS) thickness 12 mm | 2640 X 800 mm</t>
  </si>
  <si>
    <t>Fr 15-16</t>
  </si>
  <si>
    <t>Fr 20-21</t>
  </si>
  <si>
    <t>Access | Plate (ABS) thickness 12 mm | 930 X 800 mm</t>
  </si>
  <si>
    <t>Fr 25-26</t>
  </si>
  <si>
    <t>Access | Plate (ABS) thickness 12 mm | 1190 X 810 mm</t>
  </si>
  <si>
    <t>Fr 30-31</t>
  </si>
  <si>
    <t>Access | Plate (ABS) thickness 12 mm | 1010 X 810 mm</t>
  </si>
  <si>
    <t>Fr 36-37</t>
  </si>
  <si>
    <t>Access | Plate (ABS) thickness 12 mm | 1060 X 830 mm</t>
  </si>
  <si>
    <t>Fr 46-47</t>
  </si>
  <si>
    <t>Access | Plate (ABS) thickness 12 mm | 1000 X 990 mm</t>
  </si>
  <si>
    <t>Sideshell &amp; Corner PS</t>
  </si>
  <si>
    <t>Fr 27/28-31/32</t>
  </si>
  <si>
    <t>Lajur G | Plate (ABS) thickness 12 mm | 7410 X 920 mm</t>
  </si>
  <si>
    <t>Fr. 46/47-47/48</t>
  </si>
  <si>
    <t>Lajur G | Plate (ABS) thickness 12 mm | 2000 X 1020 mm</t>
  </si>
  <si>
    <t>Fr. 49-50</t>
  </si>
  <si>
    <t>Lajur H | Plate (ABS) thickness 12 mm | 2900 X 1000 mm</t>
  </si>
  <si>
    <t>Corner AP</t>
  </si>
  <si>
    <t xml:space="preserve"> | Plate (ABS) thickness 12 mm | 1630 X 1840 mm</t>
  </si>
  <si>
    <t>Corner FP</t>
  </si>
  <si>
    <t xml:space="preserve"> | Plate (ABS) thickness 12 mm | 2500 X 1220 mm</t>
  </si>
  <si>
    <t>Sideshell &amp; Corner SB</t>
  </si>
  <si>
    <t>Lajur G | Plate (ABS) thickness 12 mm | 1310 X 410 mm</t>
  </si>
  <si>
    <t>Upper chine | Roundbar size. 2" | 1000 mm</t>
  </si>
  <si>
    <t>Fr 22/23-24/25</t>
  </si>
  <si>
    <t>Lajur H | Plate (ABS) thickness 12 mm | 3600 X 1540 mm</t>
  </si>
  <si>
    <t>Lajur G | Plate (ABS) thickness 12 mm | 2510 X 1000 mm</t>
  </si>
  <si>
    <t xml:space="preserve"> | Plate (ABS) thickness 12 mm | 1260 X 1840 mm</t>
  </si>
  <si>
    <t>Trasome haluan kiri | Plate (ABS) thickness 12 mm | 2640 X 1220 mm</t>
  </si>
  <si>
    <t>Lower chine | Roundbar size. 2" | 2000 mm</t>
  </si>
  <si>
    <t>Trasome haluan kanan | Plate (ABS) thickness 12 mm | 3400 X 1220 mm</t>
  </si>
  <si>
    <t>Lower chine | Roundbar size. 2" | 3000 mm</t>
  </si>
  <si>
    <t>Aft | Plate (ABS) thickness 12 mm | 1230 X 1830 mm</t>
  </si>
  <si>
    <t>Side | Plate (ABS) thickness 12 mm | 1200 X 1830 mm @ 2 sht</t>
  </si>
  <si>
    <t>Fore | Plate (ABS) thickness 12 mm | 1830 X 630 mm</t>
  </si>
  <si>
    <t>Top | Plate (ABS) thickness 12 mm | 1830 X 1600 mm</t>
  </si>
  <si>
    <t>Les | Roundbar size. 2" | 1600 mm</t>
  </si>
  <si>
    <t>Les | Roundbar size. 2" | 2000 mm @ 2 pcs</t>
  </si>
  <si>
    <t>Les | Roundbar size. 2" | 1750 mm</t>
  </si>
  <si>
    <t>Doubling bottom | Plate (ABS) thickness 10 mm | 650 X 650 mm</t>
  </si>
  <si>
    <t>Les hawse pipe | Roundbar size. 2" | 1200 mm @ 2 pcs</t>
  </si>
  <si>
    <t>Bracket hawse pipe to bottom | Plate (A) thickness 10 mm | 560 X 500 mm</t>
  </si>
  <si>
    <t>Bracket hawse pipe to bottom | Plate (A) thickness 10 mm | 490 X 500 mm</t>
  </si>
  <si>
    <t>Bracket anchor pocket to transome | Plate (A) thickness 8 mm | 250 X 400 mm @ 2 sht</t>
  </si>
  <si>
    <t>Bracket anchor pocket to transome | Plate (A) thickness 10 mm | 550 X 340 mm @ 3 sht</t>
  </si>
  <si>
    <t>Fabrication winch house &amp; chain locker</t>
  </si>
  <si>
    <t>Extraction existing winch and reinstall new winch</t>
  </si>
  <si>
    <t>Unpack and reinstall existing winch house</t>
  </si>
  <si>
    <t>Gypsy bracket | Angle bar size. 80 x 80 x 8 mm | 550 mm</t>
  </si>
  <si>
    <t>Spurling pipe | Pipe seamless size. 6" Sch 80</t>
  </si>
  <si>
    <t>Winch house wall | Plate (A) thickness 8 mm | 1500 X 600 mm</t>
  </si>
  <si>
    <t>Winch house wall | Plate (A) thickness 8 mm | 940 X 800 mm</t>
  </si>
  <si>
    <t>Y bracket | Plate (A) thickness 25 mm | 420 X 250 mm</t>
  </si>
  <si>
    <t>Pad eye | Plate (A) thickness 12 mm | 700 X 100 mm @ 2 sht</t>
  </si>
  <si>
    <t xml:space="preserve"> | B/N SS size. 3/4" X 2 1/2"</t>
  </si>
  <si>
    <t>Side plate | Plate (A) thickness 8 mm | 2830 X 1310 mm @ 2 sht</t>
  </si>
  <si>
    <t>Side plate | Plate (A) thickness 8 mm | 2430 X 1310 mm @ 2 sht</t>
  </si>
  <si>
    <t>Top plate | Plate (A) thickness 8 mm | 2830 X 2450 mm</t>
  </si>
  <si>
    <t>Frame | Angle bar size. 120 x 120 x 10 mm | 1320 mm @ 2 pcs</t>
  </si>
  <si>
    <t>Frame | Angle bar size. 120 x 120 x 10 mm | 1000 mm @ 3 pcs</t>
  </si>
  <si>
    <t>Frame | Angle bar size. 120 x 120 x 10 mm | 1270 mm</t>
  </si>
  <si>
    <t>Frame | Angle bar size. 120 x 120 x 10 mm | 280 mm</t>
  </si>
  <si>
    <t>Pillar | H-beam size. 200 x 200 x 8 x 12 mm | 1100 mm @ 8 pcs</t>
  </si>
  <si>
    <t>Longitudinal main frame | H-beam size. 200 x 200 x 8 x 12 mm | 2210 mm @ 3 pcs</t>
  </si>
  <si>
    <t>Transversal main frame | H-beam size. 200 x 200 x 8 x 12 mm | 2820 mm @ 3 pcs</t>
  </si>
  <si>
    <t>Ventilation canopy | Plate (A) thickness 8 mm | 1020 X 110 mm @ 2 sht</t>
  </si>
  <si>
    <t>Ventilation frame | Flat bar size. 1 1/2" x 8 mm | 1860 mm @ 2 pcs</t>
  </si>
  <si>
    <t>Ventilation grille | Roundbar size. 3/4" | 380 mm @ 10 pcs</t>
  </si>
  <si>
    <t>Lifebuoy holder 1 | Flat bar size. 3" x 8 mm | 400 mm @ 3 pcs</t>
  </si>
  <si>
    <t>Lifebuoy holder 2 | Flat bar size. 3" x 8 mm | 400 mm @ 3 pcs</t>
  </si>
  <si>
    <t>Fabrication chain locker door</t>
  </si>
  <si>
    <t>Cover | Plate (A) thickness 8 mm | 900 X 720 mm</t>
  </si>
  <si>
    <t>Outer les | Flat bar size. 1 1/2" x 8 mm | 3180 mm</t>
  </si>
  <si>
    <t>Inner les | Flat bar size. 1 1/2" x 8 mm | 2720 mm</t>
  </si>
  <si>
    <t>Coaming | Flat bar size. 1 1/2" x 8 mm | 2890 mm</t>
  </si>
  <si>
    <t>Handle | Roundbar size. 3/4" | 600 mm</t>
  </si>
  <si>
    <t xml:space="preserve"> | Pipe seamless size. 2 1/2" Sch 40</t>
  </si>
  <si>
    <t xml:space="preserve"> | Pipe seamless size. 1 1/2" Sch 40</t>
  </si>
  <si>
    <t xml:space="preserve"> | Elbow black size. 1 1/2" Sch. 40</t>
  </si>
  <si>
    <t>Flange custom | Plate (A) thickness 10 mm | 100 X 70 mm</t>
  </si>
  <si>
    <t>Cover | Plate (A) thickness 8 mm | 1520 X 640 mm</t>
  </si>
  <si>
    <t>Outer les | Flat bar size. 1 1/2" x 8 mm | 4150 mm</t>
  </si>
  <si>
    <t>Outer les | Flat bar size. 1 1/2" x 8 mm | 4260 mm</t>
  </si>
  <si>
    <t>Diagonal stiffener | Flat bar size. 1 1/2" x 8 mm | 1360 mm</t>
  </si>
  <si>
    <t>Hinge plate | Plate (A) thickness 8 mm | 280 X 100 mm @ 2 sht</t>
  </si>
  <si>
    <t>Hinge plate | Plate (A) thickness 12 mm | 140 X 70 mm @ 4 sht</t>
  </si>
  <si>
    <t>Hinge pin | B/N SS size. 3/4" X 2 1/2"</t>
  </si>
  <si>
    <t>Handle | Deformed bar size. 19 mm | 270 mm</t>
  </si>
  <si>
    <t>Lock plate | Plate (A) thickness 10 mm | 200 X 80 mm</t>
  </si>
  <si>
    <t>Lock plate | Plate (A) thickness 10 mm | 70 X 90 mm</t>
  </si>
  <si>
    <t>Ventilation canopy | Plate (A) thickness 8 mm | 1020 X 110 mm</t>
  </si>
  <si>
    <t>Platform | Plate (A) thickness 8 mm | 1100 X 820 mm</t>
  </si>
  <si>
    <t>Platform frame | Angle bar size. 120 x 120 x 10 mm | 760 mm @ 2 pcs</t>
  </si>
  <si>
    <t>Platform frame | Angle bar size. 120 x 120 x 10 mm | 1270 mm</t>
  </si>
  <si>
    <t>Bracket pilar - frame platform | Plate (A) thickness 8 mm | 280 X 300 mm @ 2 sht</t>
  </si>
  <si>
    <t>Stair | Angle bar size. 100 x 100 x 10 mm | 1800 mm</t>
  </si>
  <si>
    <t>Baseplate | Plate (A) thickness 8 mm | 200 X 150 mm</t>
  </si>
  <si>
    <t>Step stair | Plat grating size. 1" x 3/16"x 3ft x 20ft | 650 X 220 mm</t>
  </si>
  <si>
    <t>Bracket stairs | Plate (A) thickness 8 mm | 230 X 60 mm @ 10 sht</t>
  </si>
  <si>
    <t>Platform railing | Pipe seamless size. 1 1/2" Sch 40 | 730 mm @ 2 pcs</t>
  </si>
  <si>
    <t>Platform railing | Elbow black size.  11/2" Sch. 40 | 950 mm @ 2 pcs</t>
  </si>
  <si>
    <t>Railing pillar | Pipe seamless size. 1 1/2" Sch 40 | 900 mm @ 3 pcs</t>
  </si>
  <si>
    <t>Bottom | Plate (A) thickness 12 mm | 690 X 340 mm @ 2 sht</t>
  </si>
  <si>
    <t>Side | Plate (A) thickness 12 mm | 340 X 350 mm @ 2 sht</t>
  </si>
  <si>
    <t>Les | Roundbar size. 3/4" | 1100 mm</t>
  </si>
  <si>
    <t>Bushing | Bushing Bronze size. ID-3" OD-4" | 100 mm @ 2 pcs</t>
  </si>
  <si>
    <t>Shaft | Roundbar size. 3" | 400 mm</t>
  </si>
  <si>
    <t>Fabrication navigation light seating PS</t>
  </si>
  <si>
    <t>Base | Plate (A) thickness 8 mm | 300 X 300 mm</t>
  </si>
  <si>
    <t>Side | Plate (A) thickness 8 mm | 300 X 250 mm @ 2 sht</t>
  </si>
  <si>
    <t>Fabrication navigation light seating SB</t>
  </si>
  <si>
    <t>Holder | Plate (A) thickness 8 mm | 150 X 150 mm @ 8 sht</t>
  </si>
  <si>
    <t>Holder | Plate (A) thickness 8 mm | 160 X 160 mm @ 2 sht</t>
  </si>
  <si>
    <t>Bracket | Plate (A) thickness 8 mm | 120 X 150 mm @ 3 sht</t>
  </si>
  <si>
    <t xml:space="preserve">Fabrication tonnage measurement number </t>
  </si>
  <si>
    <t>Base | Plate (A) thickness 6 mm | 1500 X 350 mm</t>
  </si>
  <si>
    <t>Letter &amp; Number | Plate (A) thickness 10 mm | 120 X 100 mm @ 25 sht</t>
  </si>
  <si>
    <t>Letter m | Plate (A) thickness 10 mm | 70 X 70 mm @ 2 sht</t>
  </si>
  <si>
    <t>Slash and Letter 1 | Plate (A) thickness 10 mm | 120 X 60 mm @ 4 sht</t>
  </si>
  <si>
    <t>Sheerstrake PS | Angle bar size. 120 x 120 x 10 mm | 86250 mm</t>
  </si>
  <si>
    <t>Sheerstrake SB | Angle bar size. 120 x 120 x 10 mm | 89680 mm</t>
  </si>
  <si>
    <t>Sheerstrake AP | Angle bar size. 120 x 120 x 10 mm | 21070 mm</t>
  </si>
  <si>
    <t>Sheerstrake FP | Angle bar size. 120 x 120 x 10 mm | 16180 mm</t>
  </si>
  <si>
    <t>Sheerstrake Corner AP PS | Angle bar size. 120 x 120 x 10 mm | 2750 mm</t>
  </si>
  <si>
    <t>Sheerstrake Corner AP SB | Angle bar size. 120 x 120 x 10 mm | 2430 mm</t>
  </si>
  <si>
    <t>Letter K,R | Plate (A) thickness 10 mm | 120 X 80 mm @ 4 sht</t>
  </si>
  <si>
    <t>Letter I,I | Plate (A) thickness 10 mm | 120 X 50 mm @ 4 sht</t>
  </si>
  <si>
    <t>Fabrication side vertical ladder PS</t>
  </si>
  <si>
    <t xml:space="preserve"> | Halfed pipe seamless size. 14" Sch 80 | 4150 mm @ 2 pcs</t>
  </si>
  <si>
    <t>Baseplate | Plate (ABS) thickness 12 mm | 4090 X 460 mm @ 2 sht</t>
  </si>
  <si>
    <t>Step | Deformed bar size. 19 mm | 460 mm @ 12 pcs</t>
  </si>
  <si>
    <t>End plate | Plate (A) thickness 10 mm | 350 X 240 mm @ 4 sht</t>
  </si>
  <si>
    <t>Pillar | Pipe seamless size. 2" Sch 40 | 900 mm @ 2 pcs</t>
  </si>
  <si>
    <t>Pillar | Pipe seamless size. 2" Sch 40 | 970 mm @ 2 pcs</t>
  </si>
  <si>
    <t>Railing | Pipe seamless size. 2" Sch 40 | 300 mm @ 2 pcs</t>
  </si>
  <si>
    <t>Railing | Pipe seamless size. 2" Sch 40 | 470 mm @ 2 pcs</t>
  </si>
  <si>
    <t>Railing | Elbow black size. 2" Sch. 40</t>
  </si>
  <si>
    <t>Baseplate | Plate (A) thickness 12 mm | 90 X 90 mm @ 4 sht</t>
  </si>
  <si>
    <t>Bracket | Plate (A) thickness 10 mm | 200 X 240 mm @ 4 sht</t>
  </si>
  <si>
    <t>Fabrication side vertical ladder SB</t>
  </si>
  <si>
    <t>Fabrication railing side vertical ladder SB</t>
  </si>
  <si>
    <t>Sideboard PS hole punching for drainage (type square hole)</t>
  </si>
  <si>
    <t>Sideboard SB hole punching for drainage (type square hole)</t>
  </si>
  <si>
    <t>Sideboard AP hole punching for drainage (type square hole)</t>
  </si>
  <si>
    <t>Stantion | H-beam size. 200 x 200 x 8 x 12 mm | 3600 mm</t>
  </si>
  <si>
    <t>Sway | H-beam size. 200 x 200 x 8 x 12 mm | 2400 mm</t>
  </si>
  <si>
    <t>Foundation foot stantion and sway | Plate (A) thickness 12 mm | 250 X 250 mm @ 2 sht</t>
  </si>
  <si>
    <t>Handrail PS | Deformed bar size. 19 mm | 610 mm @ 37 pcs</t>
  </si>
  <si>
    <t>Handrail SB | Deformed bar size. 19 mm | 610 mm @ 37 pcs</t>
  </si>
  <si>
    <t>Stopper | Plate (A) thickness 25 mm | 230 X 200 mm</t>
  </si>
  <si>
    <t>Hinge pin | Roundbar size. 3/4" | 100 mm</t>
  </si>
  <si>
    <t>Lock pin | Roundbar size. 3/4" | 500 mm</t>
  </si>
  <si>
    <t>JR. Rev. 08 Additional Work Req by OS (21/04/25)</t>
  </si>
  <si>
    <t>Portable sidedoor PS</t>
  </si>
  <si>
    <t>Plate pintu | Plate (A) thickness 8 mm | 2000 X 600 mm</t>
  </si>
  <si>
    <t>Plate pintu | Plate (A) thickness 8 mm | 600 X 600 mm @ 3 sht</t>
  </si>
  <si>
    <t>Safety pintu | H-beam size. 150 x 150 x 7 x 10 mm | 4200 mm</t>
  </si>
  <si>
    <t>Safety pintu stopper horizontal | H-beam size. 150 x 150 x 7 x 10 mm | 320 mm @ 2 pcs</t>
  </si>
  <si>
    <t>Safety pintu stopper vertikal | H-beam size. 150 x 150 x 7 x 10 mm | 200 mm @ 2 pcs</t>
  </si>
  <si>
    <t>Safety pintu, Lock roundbar | Roundbar size. 1 1/2" | 400 mm @ 2 pcs</t>
  </si>
  <si>
    <t>Safety pintu, Lock roundbar | Plate (A) thickness 8 mm | 100 X 100 mm @ 2 sht</t>
  </si>
  <si>
    <t>Portable sidedoor SB</t>
  </si>
  <si>
    <t>Plate pintu | Plate (A) thickness 8 mm | 100 X 100 mm @ 2 sht</t>
  </si>
  <si>
    <t>Portable sidedoor FP</t>
  </si>
  <si>
    <t>Safety pintu | H-beam size. 150 x 150 x 7 x 10 mm | 5500 mm</t>
  </si>
  <si>
    <t>Sideboard FP (Numbering from PS to SB)</t>
  </si>
  <si>
    <t>Sway no 1 | H-beam size. 200 x 200 x 8 x 12 mm | 600 mm</t>
  </si>
  <si>
    <t>Pcs</t>
  </si>
  <si>
    <t>Fabrication navigation light holder, 2 Joint</t>
  </si>
  <si>
    <t>Holder | Pipe seamless size. 1 1/2" Sch 40| 800 mm</t>
  </si>
  <si>
    <t>Fabrication railing side vertical ladder PS, (16 Joint)</t>
  </si>
  <si>
    <t xml:space="preserve">Grand Total   </t>
  </si>
  <si>
    <t>I.8</t>
  </si>
  <si>
    <t>Bongkar, Pasang, Pelurusan Sideboard SB</t>
  </si>
  <si>
    <t>I.9</t>
  </si>
  <si>
    <t>Bongkar, Pasang, Pelurusan Sideboard PS</t>
  </si>
  <si>
    <t>I.10</t>
  </si>
  <si>
    <t>Bongkar, Pasang, Pelurusan Sideboard AP</t>
  </si>
  <si>
    <r>
      <t xml:space="preserve">Stantion No. 5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</si>
  <si>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5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</si>
  <si>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8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</si>
  <si>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8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</si>
  <si>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10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</si>
  <si>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13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</si>
  <si>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13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</si>
  <si>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14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</si>
  <si>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19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</si>
  <si>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21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</si>
  <si>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22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</si>
  <si>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22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</si>
  <si>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23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</si>
  <si>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26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</si>
  <si>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26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</si>
  <si>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27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</si>
  <si>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27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</si>
  <si>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28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</si>
  <si>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29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</si>
  <si>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31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</si>
  <si>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32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</si>
  <si>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Stantion No. 33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</si>
  <si>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33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</si>
  <si>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34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</si>
  <si>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34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</si>
  <si>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36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</si>
  <si>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37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</si>
  <si>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Stiffener ST. 0-37 | Angle bar size. 100 x 100 x 10 mm | 269480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</si>
  <si>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8000 x 3200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</si>
  <si>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20380 x 2750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</si>
  <si>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12160 x 3200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</si>
  <si>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6530 x 2750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</si>
  <si>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28850 x 3230 mm </t>
    </r>
    <r>
      <rPr>
        <b/>
        <i/>
        <sz val="11"/>
        <rFont val="Arial"/>
        <family val="2"/>
      </rPr>
      <t>(Material lama)</t>
    </r>
  </si>
  <si>
    <r>
      <t xml:space="preserve">Stantion No. 1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</si>
  <si>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1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</si>
  <si>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2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</si>
  <si>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4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</si>
  <si>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4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</si>
  <si>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7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</si>
  <si>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9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</si>
  <si>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14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</si>
  <si>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Sway No. 16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</si>
  <si>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21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</si>
  <si>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Stantion No. 23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</si>
  <si>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Stantion No. 24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</si>
  <si>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24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</si>
  <si>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28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</si>
  <si>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Stantion No. 29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</si>
  <si>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Stantion No. 30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</si>
  <si>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30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</si>
  <si>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31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</si>
  <si>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32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</si>
  <si>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35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</si>
  <si>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Sway No. 35 | H-beam size. 200 x 200 x 8 x 12 mm | 3100 mm </t>
    </r>
    <r>
      <rPr>
        <b/>
        <i/>
        <sz val="11"/>
        <rFont val="Arial"/>
        <family val="2"/>
      </rPr>
      <t>(Material lama)</t>
    </r>
  </si>
  <si>
    <r>
      <t xml:space="preserve">Stantion No. 36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</si>
  <si>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Stantion No. 37 | H-beam size. 200 x 200 x 8 x 12 mm | 3610 mm </t>
    </r>
    <r>
      <rPr>
        <b/>
        <i/>
        <sz val="11"/>
        <rFont val="Arial"/>
        <family val="2"/>
      </rPr>
      <t>(Material lama)</t>
    </r>
  </si>
  <si>
    <r>
      <t xml:space="preserve">Stiffener ST. 0-37 | Angle bar size. 100 x 100 x 10 mm | 214290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</si>
  <si>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47550 x 3200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</si>
  <si>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24170 x 3200 mm </t>
    </r>
    <r>
      <rPr>
        <b/>
        <i/>
        <sz val="11"/>
        <rFont val="Arial"/>
        <family val="2"/>
      </rPr>
      <t>(Material lama)</t>
    </r>
  </si>
  <si>
    <r>
      <t xml:space="preserve">Plat sideboard ST. 0-37, STF. 0-6 | Plate (A) thickness 8 mm | 8200 x 3200 mm </t>
    </r>
    <r>
      <rPr>
        <b/>
        <i/>
        <sz val="11"/>
        <rFont val="Arial"/>
        <family val="2"/>
      </rPr>
      <t>(Material lama)</t>
    </r>
  </si>
  <si>
    <r>
      <t xml:space="preserve">Stantion No. 2 | H-beam size. 200 x 200 x 8 x 12 mm | 2660 mm </t>
    </r>
    <r>
      <rPr>
        <b/>
        <i/>
        <sz val="11"/>
        <rFont val="Arial"/>
        <family val="2"/>
      </rPr>
      <t>(Material lama)</t>
    </r>
  </si>
  <si>
    <r>
      <t xml:space="preserve">Sway No. 2 | H-beam size. 200 x 200 x 8 x 12 mm | 1850 mm </t>
    </r>
    <r>
      <rPr>
        <b/>
        <i/>
        <sz val="11"/>
        <rFont val="Arial"/>
        <family val="2"/>
      </rPr>
      <t>(Material lama)</t>
    </r>
  </si>
  <si>
    <r>
      <t xml:space="preserve">Stantion No. 3 | H-beam size. 200 x 200 x 8 x 12 mm | 2670 mm </t>
    </r>
    <r>
      <rPr>
        <b/>
        <i/>
        <sz val="11"/>
        <rFont val="Arial"/>
        <family val="2"/>
      </rPr>
      <t>(Material lama)</t>
    </r>
  </si>
  <si>
    <r>
      <t xml:space="preserve">Sway No. 3 | H-beam size. 200 x 200 x 8 x 12 mm | 2260 mm </t>
    </r>
    <r>
      <rPr>
        <b/>
        <i/>
        <sz val="11"/>
        <rFont val="Arial"/>
        <family val="2"/>
      </rPr>
      <t>(Material lama)</t>
    </r>
  </si>
  <si>
    <r>
      <t xml:space="preserve">Sway No. 4 | H-beam size. 200 x 200 x 8 x 12 mm | 2260 mm </t>
    </r>
    <r>
      <rPr>
        <b/>
        <i/>
        <sz val="11"/>
        <rFont val="Arial"/>
        <family val="2"/>
      </rPr>
      <t>(Material lama)</t>
    </r>
  </si>
  <si>
    <r>
      <t xml:space="preserve">Stantion No. 5 | H-beam size. 200 x 200 x 8 x 12 mm | 2670 mm </t>
    </r>
    <r>
      <rPr>
        <b/>
        <i/>
        <sz val="11"/>
        <rFont val="Arial"/>
        <family val="2"/>
      </rPr>
      <t>(Material lama)</t>
    </r>
  </si>
  <si>
    <r>
      <t xml:space="preserve">Sway No. 5 | H-beam size. 200 x 200 x 8 x 12 mm | 2260 mm </t>
    </r>
    <r>
      <rPr>
        <b/>
        <i/>
        <sz val="11"/>
        <rFont val="Arial"/>
        <family val="2"/>
      </rPr>
      <t>(Material lama)</t>
    </r>
  </si>
  <si>
    <r>
      <t xml:space="preserve">Stantion No. 6 | H-beam size. 200 x 200 x 8 x 12 mm | 2600 mm </t>
    </r>
    <r>
      <rPr>
        <b/>
        <i/>
        <sz val="11"/>
        <rFont val="Arial"/>
        <family val="2"/>
      </rPr>
      <t>(Material lama)</t>
    </r>
  </si>
  <si>
    <r>
      <t xml:space="preserve">Sway No. 6 | H-beam size. 200 x 200 x 8 x 12 mm | 2200 mm </t>
    </r>
    <r>
      <rPr>
        <b/>
        <i/>
        <sz val="11"/>
        <rFont val="Arial"/>
        <family val="2"/>
      </rPr>
      <t>(Material lama)</t>
    </r>
  </si>
  <si>
    <r>
      <t xml:space="preserve">Stantion No. 7 | H-beam size. 200 x 200 x 8 x 12 mm | 2130 mm </t>
    </r>
    <r>
      <rPr>
        <b/>
        <i/>
        <sz val="11"/>
        <rFont val="Arial"/>
        <family val="2"/>
      </rPr>
      <t>(Material lama)</t>
    </r>
  </si>
  <si>
    <r>
      <t xml:space="preserve">Sway No. 7 | H-beam size. 200 x 200 x 8 x 12 mm | 2360 mm </t>
    </r>
    <r>
      <rPr>
        <b/>
        <i/>
        <sz val="11"/>
        <rFont val="Arial"/>
        <family val="2"/>
      </rPr>
      <t>(Material lama)</t>
    </r>
  </si>
  <si>
    <r>
      <t xml:space="preserve">Stantion No. 8 | H-beam size. 200 x 200 x 8 x 12 mm | 2200 mm </t>
    </r>
    <r>
      <rPr>
        <b/>
        <i/>
        <sz val="11"/>
        <rFont val="Arial"/>
        <family val="2"/>
      </rPr>
      <t>(Material lama)</t>
    </r>
  </si>
  <si>
    <r>
      <t xml:space="preserve">Stiffener ST. 1-9 | Angle bar size. 100 x 100 x 10 mm | 62870 mm </t>
    </r>
    <r>
      <rPr>
        <b/>
        <i/>
        <sz val="11"/>
        <rFont val="Arial"/>
        <family val="2"/>
      </rPr>
      <t>(Material lama)</t>
    </r>
  </si>
  <si>
    <r>
      <t xml:space="preserve">Plat sideboard ST. 1-9, STF. 1-6 | Plate (A) thickness 8 mm | 21780 X 3230 mm </t>
    </r>
    <r>
      <rPr>
        <b/>
        <i/>
        <sz val="11"/>
        <rFont val="Arial"/>
        <family val="2"/>
      </rPr>
      <t>(Material lama)</t>
    </r>
  </si>
  <si>
    <t xml:space="preserve">Discount   </t>
  </si>
  <si>
    <t xml:space="preserve">Grand Total After Discount   </t>
  </si>
  <si>
    <t>Balikpapan, 23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</si>
</sst>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-&quot;IDR&quot;* #,##0_-;\-&quot;IDR&quot;* #,##0_-;_-&quot;IDR&quot;* &quot;-&quot;_-;_-@_-"/>
    <numFmt numFmtId="166" formatCode="_([$IDR]\ * #,##0_);_([$IDR]\ * \(#,##0\);_([$IDR]\ * &quot;-&quot;??_);_(@_)"/>
    <numFmt numFmtId="167" formatCode="_(&quot;IDR&quot;* #,##0_);_(&quot;IDR&quot;* \(#,##0\);_(&quot;IDR&quot;* &quot;-&quot;_);_(@_)"/>
    <numFmt numFmtId="168" formatCode="_([$IDR]\ * #,##0.00_);_([$IDR]\ * \(#,##0.00\);_([$IDR]\ * &quot;-&quot;??_);_(@_)"/>
    <numFmt numFmtId="169" formatCode="_-* #,##0_-;\-* #,##0_-;_-* &quot;-&quot;??_-;_-@_-"/>
    <numFmt numFmtId="170" formatCode="_-[$IDR]\ * #,##0.00_-;\-[$IDR]\ * #,##0.00_-;_-[$IDR]\ * &quot;-&quot;??_-;_-@_-"/>
    <numFmt numFmtId="171" formatCode="0.0"/>
    <numFmt numFmtId="172" formatCode="0.0000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Arial"/>
      <family val="2"/>
    </font>
    <font>
      <b/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29">
    <xf numFmtId="0" fontId="0" fillId="0" borderId="0"/>
    <xf numFmtId="165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93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5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5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2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3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6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5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5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6" fontId="9" fillId="3" borderId="11" xfId="0" applyNumberFormat="1" applyFont="1" applyFill="1" applyBorder="1" applyAlignment="1">
      <alignment vertical="center"/>
    </xf>
    <xf numFmtId="166" fontId="9" fillId="4" borderId="0" xfId="0" applyNumberFormat="1" applyFont="1" applyFill="1" applyAlignment="1">
      <alignment vertical="center"/>
    </xf>
    <xf numFmtId="165" fontId="3" fillId="2" borderId="6" xfId="1" applyFont="1" applyFill="1" applyBorder="1"/>
    <xf numFmtId="0" fontId="9" fillId="3" borderId="0" xfId="0" applyFont="1" applyFill="1"/>
    <xf numFmtId="165" fontId="3" fillId="2" borderId="15" xfId="1" applyFont="1" applyFill="1" applyBorder="1"/>
    <xf numFmtId="0" fontId="3" fillId="2" borderId="11" xfId="0" applyFont="1" applyFill="1" applyBorder="1"/>
    <xf numFmtId="165" fontId="9" fillId="3" borderId="11" xfId="1" applyFont="1" applyFill="1" applyBorder="1" applyAlignment="1">
      <alignment vertical="center"/>
    </xf>
    <xf numFmtId="166" fontId="9" fillId="3" borderId="0" xfId="0" applyNumberFormat="1" applyFont="1" applyFill="1" applyAlignment="1">
      <alignment vertical="center"/>
    </xf>
    <xf numFmtId="167" fontId="9" fillId="3" borderId="6" xfId="0" applyNumberFormat="1" applyFont="1" applyFill="1" applyBorder="1"/>
    <xf numFmtId="0" fontId="8" fillId="4" borderId="6" xfId="0" applyFont="1" applyFill="1" applyBorder="1" applyAlignment="1">
      <alignment horizontal="center"/>
    </xf>
    <xf numFmtId="0" fontId="8" fillId="4" borderId="0" xfId="0" applyFont="1" applyFill="1"/>
    <xf numFmtId="0" fontId="8" fillId="4" borderId="0" xfId="0" quotePrefix="1" applyFont="1" applyFill="1"/>
    <xf numFmtId="0" fontId="8" fillId="4" borderId="6" xfId="0" applyFont="1" applyFill="1" applyBorder="1"/>
    <xf numFmtId="0" fontId="9" fillId="3" borderId="6" xfId="0" applyFont="1" applyFill="1" applyBorder="1"/>
    <xf numFmtId="166" fontId="9" fillId="3" borderId="6" xfId="0" applyNumberFormat="1" applyFont="1" applyFill="1" applyBorder="1" applyAlignment="1">
      <alignment vertical="center"/>
    </xf>
    <xf numFmtId="165" fontId="9" fillId="4" borderId="11" xfId="1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164" fontId="0" fillId="0" borderId="0" xfId="0" applyNumberFormat="1"/>
    <xf numFmtId="166" fontId="0" fillId="0" borderId="0" xfId="0" applyNumberFormat="1"/>
    <xf numFmtId="0" fontId="16" fillId="5" borderId="0" xfId="112" applyFont="1" applyFill="1"/>
    <xf numFmtId="0" fontId="16" fillId="5" borderId="6" xfId="112" applyFont="1" applyFill="1" applyBorder="1"/>
    <xf numFmtId="168" fontId="0" fillId="2" borderId="0" xfId="0" applyNumberFormat="1" applyFill="1"/>
    <xf numFmtId="0" fontId="8" fillId="3" borderId="6" xfId="0" applyFont="1" applyFill="1" applyBorder="1"/>
    <xf numFmtId="165" fontId="0" fillId="2" borderId="0" xfId="0" applyNumberFormat="1" applyFill="1"/>
    <xf numFmtId="0" fontId="14" fillId="6" borderId="5" xfId="112" quotePrefix="1" applyFont="1" applyFill="1" applyBorder="1" applyAlignment="1">
      <alignment horizontal="left" vertical="center"/>
    </xf>
    <xf numFmtId="0" fontId="9" fillId="6" borderId="0" xfId="112" quotePrefix="1" applyFont="1" applyFill="1" applyAlignment="1">
      <alignment horizontal="center" vertical="center"/>
    </xf>
    <xf numFmtId="0" fontId="9" fillId="6" borderId="6" xfId="112" quotePrefix="1" applyFont="1" applyFill="1" applyBorder="1" applyAlignment="1">
      <alignment horizontal="right" vertical="center"/>
    </xf>
    <xf numFmtId="0" fontId="11" fillId="6" borderId="0" xfId="112" applyFont="1" applyFill="1"/>
    <xf numFmtId="0" fontId="3" fillId="6" borderId="0" xfId="112" applyFont="1" applyFill="1"/>
    <xf numFmtId="0" fontId="3" fillId="6" borderId="6" xfId="112" applyFont="1" applyFill="1" applyBorder="1"/>
    <xf numFmtId="2" fontId="3" fillId="6" borderId="0" xfId="112" applyNumberFormat="1" applyFont="1" applyFill="1"/>
    <xf numFmtId="169" fontId="0" fillId="2" borderId="0" xfId="127" applyNumberFormat="1" applyFont="1" applyFill="1"/>
    <xf numFmtId="168" fontId="0" fillId="0" borderId="0" xfId="0" applyNumberFormat="1"/>
    <xf numFmtId="9" fontId="0" fillId="0" borderId="0" xfId="0" applyNumberFormat="1"/>
    <xf numFmtId="166" fontId="9" fillId="2" borderId="0" xfId="0" applyNumberFormat="1" applyFont="1" applyFill="1" applyAlignment="1">
      <alignment vertical="center"/>
    </xf>
    <xf numFmtId="0" fontId="15" fillId="6" borderId="0" xfId="114" applyFont="1" applyFill="1" applyAlignment="1">
      <alignment vertical="center"/>
    </xf>
    <xf numFmtId="1" fontId="15" fillId="6" borderId="5" xfId="114" applyNumberFormat="1" applyFont="1" applyFill="1" applyBorder="1" applyAlignment="1">
      <alignment vertical="center"/>
    </xf>
    <xf numFmtId="0" fontId="16" fillId="5" borderId="0" xfId="114" applyFont="1" applyFill="1"/>
    <xf numFmtId="0" fontId="17" fillId="6" borderId="5" xfId="114" applyFont="1" applyFill="1" applyBorder="1"/>
    <xf numFmtId="0" fontId="17" fillId="6" borderId="0" xfId="114" applyFont="1" applyFill="1" applyAlignment="1">
      <alignment horizontal="center" vertical="center"/>
    </xf>
    <xf numFmtId="0" fontId="17" fillId="6" borderId="6" xfId="114" applyFont="1" applyFill="1" applyBorder="1" applyAlignment="1">
      <alignment horizontal="right"/>
    </xf>
    <xf numFmtId="0" fontId="17" fillId="6" borderId="0" xfId="114" applyFont="1" applyFill="1" applyAlignment="1">
      <alignment vertical="center"/>
    </xf>
    <xf numFmtId="0" fontId="17" fillId="6" borderId="0" xfId="114" applyFont="1" applyFill="1"/>
    <xf numFmtId="0" fontId="16" fillId="6" borderId="0" xfId="114" applyFont="1" applyFill="1"/>
    <xf numFmtId="2" fontId="17" fillId="6" borderId="5" xfId="114" applyNumberFormat="1" applyFont="1" applyFill="1" applyBorder="1" applyAlignment="1">
      <alignment vertical="center"/>
    </xf>
    <xf numFmtId="0" fontId="17" fillId="6" borderId="6" xfId="114" applyFont="1" applyFill="1" applyBorder="1" applyAlignment="1">
      <alignment vertical="center"/>
    </xf>
    <xf numFmtId="0" fontId="18" fillId="6" borderId="5" xfId="114" applyFont="1" applyFill="1" applyBorder="1"/>
    <xf numFmtId="0" fontId="18" fillId="6" borderId="0" xfId="114" applyFont="1" applyFill="1" applyAlignment="1">
      <alignment horizontal="center" vertical="center"/>
    </xf>
    <xf numFmtId="0" fontId="18" fillId="6" borderId="6" xfId="114" applyFont="1" applyFill="1" applyBorder="1" applyAlignment="1">
      <alignment horizontal="right"/>
    </xf>
    <xf numFmtId="0" fontId="18" fillId="6" borderId="0" xfId="114" applyFont="1" applyFill="1" applyAlignment="1">
      <alignment vertical="center"/>
    </xf>
    <xf numFmtId="0" fontId="18" fillId="6" borderId="0" xfId="114" applyFont="1" applyFill="1"/>
    <xf numFmtId="0" fontId="8" fillId="6" borderId="0" xfId="114" applyFont="1" applyFill="1"/>
    <xf numFmtId="2" fontId="18" fillId="6" borderId="5" xfId="114" applyNumberFormat="1" applyFont="1" applyFill="1" applyBorder="1" applyAlignment="1">
      <alignment vertical="center"/>
    </xf>
    <xf numFmtId="0" fontId="18" fillId="6" borderId="6" xfId="114" applyFont="1" applyFill="1" applyBorder="1" applyAlignment="1">
      <alignment vertical="center"/>
    </xf>
    <xf numFmtId="1" fontId="18" fillId="6" borderId="5" xfId="114" applyNumberFormat="1" applyFont="1" applyFill="1" applyBorder="1" applyAlignment="1">
      <alignment vertical="center"/>
    </xf>
    <xf numFmtId="170" fontId="0" fillId="0" borderId="0" xfId="0" applyNumberFormat="1"/>
    <xf numFmtId="0" fontId="16" fillId="6" borderId="5" xfId="0" quotePrefix="1" applyFont="1" applyFill="1" applyBorder="1" applyAlignment="1">
      <alignment horizontal="left" vertical="center"/>
    </xf>
    <xf numFmtId="0" fontId="16" fillId="6" borderId="0" xfId="0" quotePrefix="1" applyFont="1" applyFill="1" applyAlignment="1">
      <alignment horizontal="center" vertical="center"/>
    </xf>
    <xf numFmtId="0" fontId="16" fillId="6" borderId="6" xfId="0" quotePrefix="1" applyFont="1" applyFill="1" applyBorder="1" applyAlignment="1">
      <alignment horizontal="center" vertical="center"/>
    </xf>
    <xf numFmtId="0" fontId="16" fillId="6" borderId="0" xfId="0" applyFont="1" applyFill="1"/>
    <xf numFmtId="0" fontId="16" fillId="6" borderId="6" xfId="0" applyFont="1" applyFill="1" applyBorder="1"/>
    <xf numFmtId="0" fontId="8" fillId="6" borderId="5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0" xfId="0" applyFont="1" applyFill="1"/>
    <xf numFmtId="0" fontId="8" fillId="6" borderId="6" xfId="0" applyFont="1" applyFill="1" applyBorder="1"/>
    <xf numFmtId="0" fontId="8" fillId="3" borderId="5" xfId="0" applyFont="1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8" fillId="6" borderId="5" xfId="0" applyFont="1" applyFill="1" applyBorder="1"/>
    <xf numFmtId="0" fontId="16" fillId="6" borderId="5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/>
    </xf>
    <xf numFmtId="0" fontId="16" fillId="6" borderId="5" xfId="0" applyFont="1" applyFill="1" applyBorder="1" applyAlignment="1">
      <alignment horizontal="left"/>
    </xf>
    <xf numFmtId="1" fontId="16" fillId="6" borderId="5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8" fillId="6" borderId="5" xfId="0" applyFont="1" applyFill="1" applyBorder="1" applyAlignment="1">
      <alignment horizontal="left"/>
    </xf>
    <xf numFmtId="0" fontId="16" fillId="6" borderId="5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0" xfId="0" applyFont="1" applyFill="1"/>
    <xf numFmtId="0" fontId="8" fillId="3" borderId="0" xfId="0" quotePrefix="1" applyFont="1" applyFill="1"/>
    <xf numFmtId="1" fontId="8" fillId="3" borderId="5" xfId="0" applyNumberFormat="1" applyFont="1" applyFill="1" applyBorder="1"/>
    <xf numFmtId="0" fontId="8" fillId="6" borderId="6" xfId="0" applyFont="1" applyFill="1" applyBorder="1" applyAlignment="1">
      <alignment horizontal="center" vertical="center"/>
    </xf>
    <xf numFmtId="1" fontId="8" fillId="6" borderId="0" xfId="0" applyNumberFormat="1" applyFont="1" applyFill="1"/>
    <xf numFmtId="0" fontId="8" fillId="6" borderId="6" xfId="0" applyFont="1" applyFill="1" applyBorder="1" applyAlignment="1">
      <alignment vertical="center"/>
    </xf>
    <xf numFmtId="0" fontId="8" fillId="7" borderId="17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0" xfId="0" applyFont="1" applyFill="1"/>
    <xf numFmtId="0" fontId="19" fillId="6" borderId="0" xfId="0" applyFont="1" applyFill="1"/>
    <xf numFmtId="0" fontId="8" fillId="6" borderId="5" xfId="0" quotePrefix="1" applyFont="1" applyFill="1" applyBorder="1" applyAlignment="1">
      <alignment horizontal="left" vertical="center"/>
    </xf>
    <xf numFmtId="0" fontId="8" fillId="6" borderId="0" xfId="0" quotePrefix="1" applyFont="1" applyFill="1" applyAlignment="1">
      <alignment horizontal="center" vertical="center"/>
    </xf>
    <xf numFmtId="2" fontId="8" fillId="3" borderId="5" xfId="0" applyNumberFormat="1" applyFont="1" applyFill="1" applyBorder="1"/>
    <xf numFmtId="0" fontId="16" fillId="3" borderId="6" xfId="0" applyFont="1" applyFill="1" applyBorder="1" applyAlignment="1">
      <alignment horizontal="center"/>
    </xf>
    <xf numFmtId="0" fontId="16" fillId="3" borderId="0" xfId="0" applyFont="1" applyFill="1"/>
    <xf numFmtId="0" fontId="16" fillId="3" borderId="0" xfId="0" quotePrefix="1" applyFont="1" applyFill="1"/>
    <xf numFmtId="0" fontId="16" fillId="3" borderId="6" xfId="0" applyFont="1" applyFill="1" applyBorder="1"/>
    <xf numFmtId="2" fontId="16" fillId="3" borderId="5" xfId="0" applyNumberFormat="1" applyFont="1" applyFill="1" applyBorder="1"/>
    <xf numFmtId="0" fontId="8" fillId="7" borderId="16" xfId="0" applyFont="1" applyFill="1" applyBorder="1" applyAlignment="1">
      <alignment horizontal="center"/>
    </xf>
    <xf numFmtId="0" fontId="8" fillId="6" borderId="0" xfId="0" applyFont="1" applyFill="1" applyAlignment="1">
      <alignment vertical="center"/>
    </xf>
    <xf numFmtId="0" fontId="8" fillId="7" borderId="17" xfId="0" applyFont="1" applyFill="1" applyBorder="1" applyAlignment="1">
      <alignment horizontal="left"/>
    </xf>
    <xf numFmtId="0" fontId="8" fillId="7" borderId="0" xfId="0" applyFont="1" applyFill="1" applyAlignment="1">
      <alignment horizontal="center"/>
    </xf>
    <xf numFmtId="0" fontId="16" fillId="7" borderId="17" xfId="0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16" fillId="7" borderId="16" xfId="0" applyFont="1" applyFill="1" applyBorder="1" applyAlignment="1">
      <alignment horizontal="center" vertical="center"/>
    </xf>
    <xf numFmtId="0" fontId="16" fillId="7" borderId="0" xfId="0" applyFont="1" applyFill="1"/>
    <xf numFmtId="2" fontId="16" fillId="7" borderId="0" xfId="0" applyNumberFormat="1" applyFont="1" applyFill="1"/>
    <xf numFmtId="0" fontId="16" fillId="7" borderId="6" xfId="0" applyFont="1" applyFill="1" applyBorder="1"/>
    <xf numFmtId="2" fontId="8" fillId="7" borderId="0" xfId="0" applyNumberFormat="1" applyFont="1" applyFill="1"/>
    <xf numFmtId="0" fontId="8" fillId="7" borderId="6" xfId="0" applyFont="1" applyFill="1" applyBorder="1"/>
    <xf numFmtId="0" fontId="8" fillId="3" borderId="5" xfId="0" applyFont="1" applyFill="1" applyBorder="1"/>
    <xf numFmtId="0" fontId="8" fillId="6" borderId="0" xfId="112" applyFont="1" applyFill="1"/>
    <xf numFmtId="0" fontId="8" fillId="6" borderId="6" xfId="112" applyFont="1" applyFill="1" applyBorder="1"/>
    <xf numFmtId="0" fontId="16" fillId="5" borderId="5" xfId="112" quotePrefix="1" applyFont="1" applyFill="1" applyBorder="1" applyAlignment="1">
      <alignment horizontal="left" vertical="center"/>
    </xf>
    <xf numFmtId="0" fontId="16" fillId="5" borderId="0" xfId="112" quotePrefix="1" applyFont="1" applyFill="1" applyAlignment="1">
      <alignment horizontal="center" vertical="center"/>
    </xf>
    <xf numFmtId="0" fontId="16" fillId="5" borderId="6" xfId="112" quotePrefix="1" applyFont="1" applyFill="1" applyBorder="1" applyAlignment="1">
      <alignment horizontal="right" vertical="center"/>
    </xf>
    <xf numFmtId="0" fontId="16" fillId="6" borderId="5" xfId="112" quotePrefix="1" applyFont="1" applyFill="1" applyBorder="1" applyAlignment="1">
      <alignment horizontal="left" vertical="center"/>
    </xf>
    <xf numFmtId="0" fontId="16" fillId="6" borderId="0" xfId="112" quotePrefix="1" applyFont="1" applyFill="1" applyAlignment="1">
      <alignment horizontal="center" vertical="center"/>
    </xf>
    <xf numFmtId="0" fontId="16" fillId="6" borderId="6" xfId="112" quotePrefix="1" applyFont="1" applyFill="1" applyBorder="1" applyAlignment="1">
      <alignment horizontal="right" vertical="center"/>
    </xf>
    <xf numFmtId="0" fontId="16" fillId="6" borderId="0" xfId="112" applyFont="1" applyFill="1"/>
    <xf numFmtId="0" fontId="16" fillId="6" borderId="6" xfId="112" applyFont="1" applyFill="1" applyBorder="1"/>
    <xf numFmtId="2" fontId="16" fillId="6" borderId="0" xfId="112" applyNumberFormat="1" applyFont="1" applyFill="1"/>
    <xf numFmtId="0" fontId="8" fillId="6" borderId="5" xfId="112" quotePrefix="1" applyFont="1" applyFill="1" applyBorder="1" applyAlignment="1">
      <alignment horizontal="left" vertical="center"/>
    </xf>
    <xf numFmtId="0" fontId="8" fillId="6" borderId="0" xfId="112" quotePrefix="1" applyFont="1" applyFill="1" applyAlignment="1">
      <alignment horizontal="center" vertical="center"/>
    </xf>
    <xf numFmtId="0" fontId="8" fillId="6" borderId="6" xfId="112" quotePrefix="1" applyFont="1" applyFill="1" applyBorder="1" applyAlignment="1">
      <alignment horizontal="right" vertical="center"/>
    </xf>
    <xf numFmtId="2" fontId="8" fillId="6" borderId="0" xfId="112" applyNumberFormat="1" applyFont="1" applyFill="1"/>
    <xf numFmtId="1" fontId="8" fillId="6" borderId="0" xfId="112" applyNumberFormat="1" applyFont="1" applyFill="1"/>
    <xf numFmtId="0" fontId="8" fillId="6" borderId="0" xfId="0" applyFont="1" applyFill="1" applyAlignment="1">
      <alignment horizontal="left"/>
    </xf>
    <xf numFmtId="0" fontId="16" fillId="3" borderId="5" xfId="0" applyFont="1" applyFill="1" applyBorder="1"/>
    <xf numFmtId="0" fontId="8" fillId="6" borderId="6" xfId="0" quotePrefix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right"/>
    </xf>
    <xf numFmtId="0" fontId="8" fillId="6" borderId="5" xfId="112" applyFont="1" applyFill="1" applyBorder="1" applyAlignment="1">
      <alignment horizontal="center"/>
    </xf>
    <xf numFmtId="0" fontId="8" fillId="6" borderId="0" xfId="112" applyFont="1" applyFill="1" applyAlignment="1">
      <alignment horizontal="center"/>
    </xf>
    <xf numFmtId="0" fontId="8" fillId="6" borderId="6" xfId="112" applyFont="1" applyFill="1" applyBorder="1" applyAlignment="1">
      <alignment horizontal="center"/>
    </xf>
    <xf numFmtId="0" fontId="8" fillId="3" borderId="6" xfId="112" applyFont="1" applyFill="1" applyBorder="1" applyAlignment="1">
      <alignment vertical="center"/>
    </xf>
    <xf numFmtId="0" fontId="8" fillId="7" borderId="5" xfId="112" applyFont="1" applyFill="1" applyBorder="1" applyAlignment="1">
      <alignment horizontal="left" vertical="center"/>
    </xf>
    <xf numFmtId="0" fontId="8" fillId="6" borderId="0" xfId="112" applyFont="1" applyFill="1" applyAlignment="1">
      <alignment vertical="center"/>
    </xf>
    <xf numFmtId="0" fontId="8" fillId="7" borderId="16" xfId="112" applyFont="1" applyFill="1" applyBorder="1" applyAlignment="1">
      <alignment horizontal="center"/>
    </xf>
    <xf numFmtId="0" fontId="8" fillId="7" borderId="5" xfId="112" applyFont="1" applyFill="1" applyBorder="1"/>
    <xf numFmtId="0" fontId="19" fillId="6" borderId="0" xfId="112" applyFont="1" applyFill="1"/>
    <xf numFmtId="0" fontId="8" fillId="6" borderId="6" xfId="112" applyFont="1" applyFill="1" applyBorder="1" applyAlignment="1">
      <alignment vertical="center"/>
    </xf>
    <xf numFmtId="0" fontId="8" fillId="7" borderId="5" xfId="112" applyFont="1" applyFill="1" applyBorder="1" applyAlignment="1">
      <alignment horizontal="right"/>
    </xf>
    <xf numFmtId="0" fontId="8" fillId="7" borderId="0" xfId="112" applyFont="1" applyFill="1" applyAlignment="1">
      <alignment horizontal="center"/>
    </xf>
    <xf numFmtId="0" fontId="18" fillId="7" borderId="16" xfId="112" applyFont="1" applyFill="1" applyBorder="1" applyAlignment="1">
      <alignment horizontal="center"/>
    </xf>
    <xf numFmtId="0" fontId="18" fillId="7" borderId="0" xfId="112" applyFont="1" applyFill="1"/>
    <xf numFmtId="0" fontId="8" fillId="7" borderId="16" xfId="112" applyFont="1" applyFill="1" applyBorder="1"/>
    <xf numFmtId="0" fontId="8" fillId="7" borderId="6" xfId="112" applyFont="1" applyFill="1" applyBorder="1"/>
    <xf numFmtId="0" fontId="8" fillId="7" borderId="0" xfId="112" applyFont="1" applyFill="1" applyAlignment="1">
      <alignment horizontal="center" vertical="center"/>
    </xf>
    <xf numFmtId="0" fontId="8" fillId="7" borderId="16" xfId="112" applyFont="1" applyFill="1" applyBorder="1" applyAlignment="1">
      <alignment horizontal="center" vertical="center"/>
    </xf>
    <xf numFmtId="0" fontId="8" fillId="7" borderId="0" xfId="112" applyFont="1" applyFill="1"/>
    <xf numFmtId="0" fontId="8" fillId="6" borderId="5" xfId="112" applyFont="1" applyFill="1" applyBorder="1" applyAlignment="1">
      <alignment horizontal="left" vertical="center"/>
    </xf>
    <xf numFmtId="0" fontId="8" fillId="6" borderId="0" xfId="112" applyFont="1" applyFill="1" applyAlignment="1">
      <alignment horizontal="center" vertical="center"/>
    </xf>
    <xf numFmtId="0" fontId="8" fillId="6" borderId="5" xfId="112" applyFont="1" applyFill="1" applyBorder="1"/>
    <xf numFmtId="0" fontId="8" fillId="3" borderId="5" xfId="112" applyFont="1" applyFill="1" applyBorder="1" applyAlignment="1">
      <alignment horizontal="left"/>
    </xf>
    <xf numFmtId="0" fontId="8" fillId="3" borderId="0" xfId="112" applyFont="1" applyFill="1" applyAlignment="1">
      <alignment horizontal="center"/>
    </xf>
    <xf numFmtId="0" fontId="8" fillId="6" borderId="5" xfId="112" applyFont="1" applyFill="1" applyBorder="1" applyAlignment="1">
      <alignment horizontal="left"/>
    </xf>
    <xf numFmtId="0" fontId="8" fillId="7" borderId="5" xfId="112" applyFont="1" applyFill="1" applyBorder="1" applyAlignment="1">
      <alignment horizontal="left"/>
    </xf>
    <xf numFmtId="2" fontId="8" fillId="7" borderId="0" xfId="112" applyNumberFormat="1" applyFont="1" applyFill="1"/>
    <xf numFmtId="0" fontId="20" fillId="6" borderId="5" xfId="112" applyFont="1" applyFill="1" applyBorder="1" applyAlignment="1">
      <alignment horizontal="center"/>
    </xf>
    <xf numFmtId="0" fontId="18" fillId="6" borderId="0" xfId="112" applyFont="1" applyFill="1"/>
    <xf numFmtId="0" fontId="18" fillId="6" borderId="6" xfId="112" applyFont="1" applyFill="1" applyBorder="1"/>
    <xf numFmtId="0" fontId="8" fillId="6" borderId="0" xfId="112" applyFont="1" applyFill="1" applyAlignment="1">
      <alignment horizontal="left"/>
    </xf>
    <xf numFmtId="2" fontId="8" fillId="6" borderId="5" xfId="112" applyNumberFormat="1" applyFont="1" applyFill="1" applyBorder="1"/>
    <xf numFmtId="0" fontId="8" fillId="3" borderId="6" xfId="128" applyFont="1" applyFill="1" applyBorder="1"/>
    <xf numFmtId="1" fontId="16" fillId="6" borderId="0" xfId="112" applyNumberFormat="1" applyFont="1" applyFill="1"/>
    <xf numFmtId="1" fontId="16" fillId="5" borderId="0" xfId="112" applyNumberFormat="1" applyFont="1" applyFill="1"/>
    <xf numFmtId="171" fontId="8" fillId="6" borderId="0" xfId="112" quotePrefix="1" applyNumberFormat="1" applyFont="1" applyFill="1" applyAlignment="1">
      <alignment horizontal="center" vertical="center"/>
    </xf>
    <xf numFmtId="1" fontId="8" fillId="6" borderId="5" xfId="112" applyNumberFormat="1" applyFont="1" applyFill="1" applyBorder="1"/>
    <xf numFmtId="0" fontId="19" fillId="6" borderId="5" xfId="112" applyFont="1" applyFill="1" applyBorder="1" applyAlignment="1">
      <alignment horizontal="left"/>
    </xf>
    <xf numFmtId="0" fontId="8" fillId="6" borderId="6" xfId="112" applyFont="1" applyFill="1" applyBorder="1" applyAlignment="1">
      <alignment horizontal="right" vertical="center"/>
    </xf>
    <xf numFmtId="0" fontId="8" fillId="6" borderId="6" xfId="112" applyFont="1" applyFill="1" applyBorder="1" applyAlignment="1">
      <alignment horizontal="right"/>
    </xf>
    <xf numFmtId="0" fontId="19" fillId="6" borderId="6" xfId="112" applyFont="1" applyFill="1" applyBorder="1" applyAlignment="1">
      <alignment horizontal="right"/>
    </xf>
    <xf numFmtId="0" fontId="8" fillId="6" borderId="6" xfId="114" applyFont="1" applyFill="1" applyBorder="1" applyAlignment="1">
      <alignment vertical="center"/>
    </xf>
    <xf numFmtId="1" fontId="16" fillId="6" borderId="5" xfId="112" applyNumberFormat="1" applyFont="1" applyFill="1" applyBorder="1"/>
    <xf numFmtId="0" fontId="16" fillId="5" borderId="0" xfId="114" applyFont="1" applyFill="1" applyAlignment="1">
      <alignment vertical="center"/>
    </xf>
    <xf numFmtId="0" fontId="16" fillId="6" borderId="5" xfId="114" applyFont="1" applyFill="1" applyBorder="1"/>
    <xf numFmtId="0" fontId="16" fillId="6" borderId="0" xfId="114" applyFont="1" applyFill="1" applyAlignment="1">
      <alignment horizontal="center" vertical="center"/>
    </xf>
    <xf numFmtId="0" fontId="16" fillId="6" borderId="6" xfId="114" applyFont="1" applyFill="1" applyBorder="1" applyAlignment="1">
      <alignment horizontal="right"/>
    </xf>
    <xf numFmtId="0" fontId="16" fillId="6" borderId="0" xfId="114" applyFont="1" applyFill="1" applyAlignment="1">
      <alignment vertical="center"/>
    </xf>
    <xf numFmtId="1" fontId="16" fillId="6" borderId="5" xfId="114" applyNumberFormat="1" applyFont="1" applyFill="1" applyBorder="1" applyAlignment="1">
      <alignment vertical="center"/>
    </xf>
    <xf numFmtId="0" fontId="16" fillId="6" borderId="6" xfId="114" applyFont="1" applyFill="1" applyBorder="1" applyAlignment="1">
      <alignment vertical="center"/>
    </xf>
    <xf numFmtId="0" fontId="8" fillId="6" borderId="5" xfId="114" applyFont="1" applyFill="1" applyBorder="1"/>
    <xf numFmtId="0" fontId="8" fillId="6" borderId="0" xfId="114" applyFont="1" applyFill="1" applyAlignment="1">
      <alignment horizontal="center" vertical="center"/>
    </xf>
    <xf numFmtId="0" fontId="8" fillId="6" borderId="6" xfId="114" applyFont="1" applyFill="1" applyBorder="1" applyAlignment="1">
      <alignment horizontal="right"/>
    </xf>
    <xf numFmtId="0" fontId="8" fillId="6" borderId="0" xfId="114" applyFont="1" applyFill="1" applyAlignment="1">
      <alignment vertical="center"/>
    </xf>
    <xf numFmtId="1" fontId="8" fillId="6" borderId="5" xfId="114" applyNumberFormat="1" applyFont="1" applyFill="1" applyBorder="1" applyAlignment="1">
      <alignment vertical="center"/>
    </xf>
    <xf numFmtId="2" fontId="8" fillId="6" borderId="5" xfId="114" applyNumberFormat="1" applyFont="1" applyFill="1" applyBorder="1" applyAlignment="1">
      <alignment vertical="center"/>
    </xf>
    <xf numFmtId="2" fontId="16" fillId="6" borderId="5" xfId="114" applyNumberFormat="1" applyFont="1" applyFill="1" applyBorder="1" applyAlignment="1">
      <alignment vertical="center"/>
    </xf>
    <xf numFmtId="2" fontId="8" fillId="6" borderId="5" xfId="0" applyNumberFormat="1" applyFont="1" applyFill="1" applyBorder="1"/>
    <xf numFmtId="2" fontId="8" fillId="6" borderId="0" xfId="0" applyNumberFormat="1" applyFont="1" applyFill="1"/>
    <xf numFmtId="172" fontId="8" fillId="6" borderId="0" xfId="112" applyNumberFormat="1" applyFont="1" applyFill="1"/>
    <xf numFmtId="2" fontId="8" fillId="3" borderId="0" xfId="0" applyNumberFormat="1" applyFont="1" applyFill="1"/>
    <xf numFmtId="2" fontId="8" fillId="3" borderId="5" xfId="112" applyNumberFormat="1" applyFont="1" applyFill="1" applyBorder="1"/>
    <xf numFmtId="2" fontId="21" fillId="6" borderId="5" xfId="112" applyNumberFormat="1" applyFont="1" applyFill="1" applyBorder="1" applyAlignment="1">
      <alignment horizontal="center"/>
    </xf>
    <xf numFmtId="0" fontId="8" fillId="6" borderId="6" xfId="112" applyFont="1" applyFill="1" applyBorder="1" applyAlignment="1">
      <alignment horizontal="left" vertical="center"/>
    </xf>
    <xf numFmtId="2" fontId="16" fillId="6" borderId="5" xfId="112" applyNumberFormat="1" applyFont="1" applyFill="1" applyBorder="1"/>
    <xf numFmtId="2" fontId="16" fillId="2" borderId="0" xfId="112" applyNumberFormat="1" applyFont="1" applyFill="1"/>
    <xf numFmtId="0" fontId="16" fillId="2" borderId="6" xfId="112" applyFont="1" applyFill="1" applyBorder="1"/>
    <xf numFmtId="0" fontId="16" fillId="2" borderId="5" xfId="112" quotePrefix="1" applyFont="1" applyFill="1" applyBorder="1" applyAlignment="1">
      <alignment horizontal="left" vertical="center"/>
    </xf>
    <xf numFmtId="0" fontId="16" fillId="2" borderId="0" xfId="112" quotePrefix="1" applyFont="1" applyFill="1" applyAlignment="1">
      <alignment horizontal="center" vertical="center"/>
    </xf>
    <xf numFmtId="0" fontId="16" fillId="2" borderId="6" xfId="112" quotePrefix="1" applyFont="1" applyFill="1" applyBorder="1" applyAlignment="1">
      <alignment horizontal="right" vertical="center"/>
    </xf>
    <xf numFmtId="0" fontId="18" fillId="2" borderId="5" xfId="114" applyFont="1" applyFill="1" applyBorder="1"/>
    <xf numFmtId="0" fontId="18" fillId="2" borderId="0" xfId="114" applyFont="1" applyFill="1" applyAlignment="1">
      <alignment horizontal="center" vertical="center"/>
    </xf>
    <xf numFmtId="0" fontId="18" fillId="2" borderId="6" xfId="114" applyFont="1" applyFill="1" applyBorder="1" applyAlignment="1">
      <alignment horizontal="right"/>
    </xf>
    <xf numFmtId="0" fontId="18" fillId="2" borderId="0" xfId="114" applyFont="1" applyFill="1" applyAlignment="1">
      <alignment vertical="center"/>
    </xf>
    <xf numFmtId="0" fontId="18" fillId="2" borderId="0" xfId="114" applyFont="1" applyFill="1"/>
    <xf numFmtId="0" fontId="8" fillId="2" borderId="0" xfId="114" applyFont="1" applyFill="1"/>
    <xf numFmtId="1" fontId="18" fillId="2" borderId="5" xfId="114" applyNumberFormat="1" applyFont="1" applyFill="1" applyBorder="1" applyAlignment="1">
      <alignment vertical="center"/>
    </xf>
    <xf numFmtId="0" fontId="18" fillId="2" borderId="6" xfId="114" applyFont="1" applyFill="1" applyBorder="1" applyAlignment="1">
      <alignment vertical="center"/>
    </xf>
    <xf numFmtId="43" fontId="0" fillId="0" borderId="0" xfId="0" applyNumberFormat="1"/>
    <xf numFmtId="1" fontId="3" fillId="6" borderId="5" xfId="112" applyNumberFormat="1" applyFont="1" applyFill="1" applyBorder="1"/>
    <xf numFmtId="1" fontId="16" fillId="2" borderId="0" xfId="112" applyNumberFormat="1" applyFont="1" applyFill="1"/>
    <xf numFmtId="0" fontId="16" fillId="2" borderId="0" xfId="112" applyFont="1" applyFill="1"/>
    <xf numFmtId="1" fontId="16" fillId="2" borderId="5" xfId="112" applyNumberFormat="1" applyFont="1" applyFill="1" applyBorder="1"/>
    <xf numFmtId="0" fontId="16" fillId="2" borderId="5" xfId="114" applyFont="1" applyFill="1" applyBorder="1"/>
    <xf numFmtId="0" fontId="16" fillId="2" borderId="0" xfId="114" applyFont="1" applyFill="1" applyAlignment="1">
      <alignment horizontal="center" vertical="center"/>
    </xf>
    <xf numFmtId="0" fontId="16" fillId="2" borderId="6" xfId="114" applyFont="1" applyFill="1" applyBorder="1" applyAlignment="1">
      <alignment horizontal="right"/>
    </xf>
    <xf numFmtId="1" fontId="16" fillId="2" borderId="5" xfId="114" applyNumberFormat="1" applyFont="1" applyFill="1" applyBorder="1" applyAlignment="1">
      <alignment vertical="center"/>
    </xf>
    <xf numFmtId="0" fontId="16" fillId="2" borderId="6" xfId="114" applyFont="1" applyFill="1" applyBorder="1" applyAlignment="1">
      <alignment vertical="center"/>
    </xf>
    <xf numFmtId="2" fontId="16" fillId="2" borderId="5" xfId="114" applyNumberFormat="1" applyFont="1" applyFill="1" applyBorder="1" applyAlignment="1">
      <alignment vertical="center"/>
    </xf>
    <xf numFmtId="0" fontId="18" fillId="5" borderId="0" xfId="114" applyFont="1" applyFill="1" applyAlignment="1">
      <alignment vertical="center"/>
    </xf>
    <xf numFmtId="0" fontId="18" fillId="5" borderId="0" xfId="114" applyFont="1" applyFill="1"/>
    <xf numFmtId="0" fontId="8" fillId="5" borderId="0" xfId="114" applyFont="1" applyFill="1"/>
    <xf numFmtId="49" fontId="3" fillId="2" borderId="0" xfId="0" quotePrefix="1" applyNumberFormat="1" applyFont="1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29">
    <cellStyle name="Comma" xfId="127" builtinId="3"/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10" xfId="128" xr:uid="{5460436C-93A7-49E4-82D4-F6A65D4BB5FB}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11">
    <dxf>
      <font>
        <b val="0"/>
        <i/>
        <strike val="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u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4CEE8-449E-43A0-B209-67BE5EF42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0879" y="546964"/>
          <a:ext cx="3504904" cy="9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2B13CA-CB32-4C77-87C2-464C58DEE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758" y="250637"/>
          <a:ext cx="3211330" cy="108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4DAA-76BB-456A-9076-47EF177A82A7}">
  <sheetPr>
    <tabColor theme="3" tint="0.39997558519241921"/>
  </sheetPr>
  <dimension ref="A7:W2699"/>
  <sheetViews>
    <sheetView showGridLines="0" tabSelected="1" view="pageBreakPreview" topLeftCell="A2680" zoomScale="70" zoomScaleSheetLayoutView="70" workbookViewId="0">
      <selection activeCell="L16" sqref="L16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38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39</v>
      </c>
      <c r="M12" s="18"/>
    </row>
    <row r="13" spans="2:13" x14ac:dyDescent="0.35">
      <c r="B13" s="18" t="s">
        <v>4</v>
      </c>
      <c r="J13" s="18" t="s">
        <v>32</v>
      </c>
      <c r="K13" s="18" t="s">
        <v>40</v>
      </c>
      <c r="M13" s="18"/>
    </row>
    <row r="14" spans="2:13" x14ac:dyDescent="0.35">
      <c r="B14" s="18" t="s">
        <v>5</v>
      </c>
      <c r="J14" s="18" t="s">
        <v>33</v>
      </c>
      <c r="K14" s="18" t="s">
        <v>41</v>
      </c>
      <c r="M14" s="18"/>
    </row>
    <row r="15" spans="2:13" x14ac:dyDescent="0.35">
      <c r="F15" s="275"/>
      <c r="G15" s="275"/>
      <c r="J15" s="18" t="s">
        <v>34</v>
      </c>
      <c r="K15" s="18" t="s">
        <v>42</v>
      </c>
      <c r="M15" s="18"/>
    </row>
    <row r="16" spans="2:13" x14ac:dyDescent="0.35">
      <c r="F16" s="6"/>
    </row>
    <row r="18" spans="2:20" s="33" customFormat="1" ht="15" customHeight="1" x14ac:dyDescent="0.35">
      <c r="B18" s="276" t="s">
        <v>0</v>
      </c>
      <c r="C18" s="277"/>
      <c r="D18" s="278"/>
      <c r="E18" s="276" t="s">
        <v>1</v>
      </c>
      <c r="F18" s="277"/>
      <c r="G18" s="278"/>
      <c r="H18" s="276" t="s">
        <v>2</v>
      </c>
      <c r="I18" s="278"/>
      <c r="J18" s="282" t="s">
        <v>3</v>
      </c>
      <c r="K18" s="282" t="s">
        <v>22</v>
      </c>
      <c r="L18" s="282" t="s">
        <v>23</v>
      </c>
    </row>
    <row r="19" spans="2:20" s="33" customFormat="1" ht="15" customHeight="1" x14ac:dyDescent="0.35">
      <c r="B19" s="279"/>
      <c r="C19" s="280"/>
      <c r="D19" s="281"/>
      <c r="E19" s="279"/>
      <c r="F19" s="280"/>
      <c r="G19" s="281"/>
      <c r="H19" s="279"/>
      <c r="I19" s="281"/>
      <c r="J19" s="283"/>
      <c r="K19" s="283"/>
      <c r="L19" s="283"/>
    </row>
    <row r="20" spans="2:20" x14ac:dyDescent="0.35">
      <c r="B20" s="106" t="s">
        <v>43</v>
      </c>
      <c r="C20" s="107"/>
      <c r="D20" s="108"/>
      <c r="E20" s="109" t="s">
        <v>10</v>
      </c>
      <c r="F20" s="109"/>
      <c r="G20" s="110"/>
      <c r="H20" s="109"/>
      <c r="I20" s="110"/>
      <c r="J20" s="46"/>
      <c r="K20" s="46"/>
      <c r="L20" s="55"/>
    </row>
    <row r="21" spans="2:20" x14ac:dyDescent="0.35">
      <c r="B21" s="111"/>
      <c r="C21" s="112"/>
      <c r="D21" s="113" t="s">
        <v>44</v>
      </c>
      <c r="E21" s="114"/>
      <c r="F21" s="115" t="s">
        <v>45</v>
      </c>
      <c r="G21" s="116"/>
      <c r="H21" s="115">
        <v>1</v>
      </c>
      <c r="I21" s="116" t="s">
        <v>46</v>
      </c>
      <c r="J21" s="56">
        <v>25000000</v>
      </c>
      <c r="K21" s="56">
        <f>J21*H21</f>
        <v>25000000</v>
      </c>
      <c r="L21" s="46"/>
      <c r="M21" s="18"/>
      <c r="N21" s="292" t="s">
        <v>15</v>
      </c>
      <c r="O21" s="292"/>
    </row>
    <row r="22" spans="2:20" x14ac:dyDescent="0.35">
      <c r="B22" s="111"/>
      <c r="C22" s="112"/>
      <c r="D22" s="113" t="s">
        <v>47</v>
      </c>
      <c r="E22" s="114"/>
      <c r="F22" s="115" t="s">
        <v>48</v>
      </c>
      <c r="G22" s="116"/>
      <c r="H22" s="115">
        <v>1</v>
      </c>
      <c r="I22" s="116" t="s">
        <v>46</v>
      </c>
      <c r="J22" s="56">
        <v>7500000</v>
      </c>
      <c r="K22" s="56">
        <f t="shared" ref="K22:K42" si="0">J22*H22</f>
        <v>7500000</v>
      </c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111"/>
      <c r="C23" s="112"/>
      <c r="D23" s="113" t="s">
        <v>49</v>
      </c>
      <c r="E23" s="114"/>
      <c r="F23" s="115" t="s">
        <v>50</v>
      </c>
      <c r="G23" s="116"/>
      <c r="H23" s="115">
        <v>1</v>
      </c>
      <c r="I23" s="116" t="s">
        <v>46</v>
      </c>
      <c r="J23" s="56">
        <v>6000000</v>
      </c>
      <c r="K23" s="56">
        <f t="shared" si="0"/>
        <v>6000000</v>
      </c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s="34" customFormat="1" x14ac:dyDescent="0.35">
      <c r="B24" s="111"/>
      <c r="C24" s="112"/>
      <c r="D24" s="113" t="s">
        <v>62</v>
      </c>
      <c r="E24" s="114"/>
      <c r="F24" s="115" t="s">
        <v>293</v>
      </c>
      <c r="G24" s="116"/>
      <c r="H24" s="115">
        <v>65</v>
      </c>
      <c r="I24" s="116" t="s">
        <v>52</v>
      </c>
      <c r="J24" s="65">
        <v>1750000</v>
      </c>
      <c r="K24" s="65">
        <f t="shared" si="0"/>
        <v>113750000</v>
      </c>
      <c r="L24" s="46"/>
      <c r="M24" s="71"/>
    </row>
    <row r="25" spans="2:20" x14ac:dyDescent="0.35">
      <c r="B25" s="117"/>
      <c r="C25" s="118"/>
      <c r="D25" s="113" t="s">
        <v>51</v>
      </c>
      <c r="E25" s="114"/>
      <c r="F25" s="115" t="s">
        <v>294</v>
      </c>
      <c r="G25" s="116"/>
      <c r="H25" s="115">
        <v>31</v>
      </c>
      <c r="I25" s="116" t="s">
        <v>52</v>
      </c>
      <c r="J25" s="56">
        <v>450000</v>
      </c>
      <c r="K25" s="56">
        <f t="shared" si="0"/>
        <v>13950000</v>
      </c>
      <c r="L25" s="46"/>
      <c r="N25" s="23" t="s">
        <v>12</v>
      </c>
      <c r="O25" s="23" t="e">
        <f>#REF!-#REF!</f>
        <v>#REF!</v>
      </c>
      <c r="P25">
        <f>140*50%</f>
        <v>70</v>
      </c>
    </row>
    <row r="26" spans="2:20" x14ac:dyDescent="0.35">
      <c r="B26" s="117"/>
      <c r="C26" s="118"/>
      <c r="D26" s="113" t="s">
        <v>53</v>
      </c>
      <c r="E26" s="114"/>
      <c r="F26" s="115" t="s">
        <v>54</v>
      </c>
      <c r="G26" s="116"/>
      <c r="H26" s="115">
        <v>1</v>
      </c>
      <c r="I26" s="116" t="s">
        <v>46</v>
      </c>
      <c r="J26" s="56">
        <v>2000000</v>
      </c>
      <c r="K26" s="56">
        <f t="shared" si="0"/>
        <v>2000000</v>
      </c>
      <c r="L26" s="46"/>
      <c r="M26" s="18"/>
      <c r="N26" s="23" t="s">
        <v>13</v>
      </c>
      <c r="O26" s="23">
        <f>(O22+O23)*2</f>
        <v>71.960000000000008</v>
      </c>
      <c r="Q26">
        <f>O22-(1.83*4)</f>
        <v>19.66</v>
      </c>
      <c r="R26" t="s">
        <v>19</v>
      </c>
    </row>
    <row r="27" spans="2:20" x14ac:dyDescent="0.35">
      <c r="B27" s="111"/>
      <c r="C27" s="112"/>
      <c r="D27" s="112" t="s">
        <v>55</v>
      </c>
      <c r="E27" s="119"/>
      <c r="F27" s="115" t="s">
        <v>56</v>
      </c>
      <c r="G27" s="116"/>
      <c r="H27" s="115">
        <v>1</v>
      </c>
      <c r="I27" s="116" t="s">
        <v>46</v>
      </c>
      <c r="J27" s="56">
        <v>12500000</v>
      </c>
      <c r="K27" s="56">
        <f t="shared" si="0"/>
        <v>12500000</v>
      </c>
      <c r="L27" s="46"/>
      <c r="M27" s="18"/>
      <c r="N27" s="23" t="s">
        <v>14</v>
      </c>
      <c r="O27" s="23">
        <f>(O22-5)*O23</f>
        <v>197.82</v>
      </c>
      <c r="Q27">
        <f>O23-2</f>
        <v>7</v>
      </c>
      <c r="R27" t="s">
        <v>20</v>
      </c>
    </row>
    <row r="28" spans="2:20" x14ac:dyDescent="0.35">
      <c r="B28" s="120" t="s">
        <v>57</v>
      </c>
      <c r="C28" s="121"/>
      <c r="D28" s="122"/>
      <c r="E28" s="123" t="s">
        <v>295</v>
      </c>
      <c r="F28" s="109"/>
      <c r="G28" s="110"/>
      <c r="H28" s="124"/>
      <c r="I28" s="125"/>
      <c r="J28" s="50"/>
      <c r="K28" s="57"/>
      <c r="L28" s="46"/>
      <c r="M28" s="18"/>
      <c r="N28" s="23"/>
      <c r="O28" s="23" t="e">
        <f>#REF!*40%</f>
        <v>#REF!</v>
      </c>
      <c r="P28" t="e">
        <f>#REF!+#REF!</f>
        <v>#REF!</v>
      </c>
      <c r="Q28" t="e">
        <f>#REF!*25%</f>
        <v>#REF!</v>
      </c>
    </row>
    <row r="29" spans="2:20" x14ac:dyDescent="0.35">
      <c r="B29" s="111"/>
      <c r="C29" s="112"/>
      <c r="D29" s="113" t="s">
        <v>44</v>
      </c>
      <c r="E29" s="114"/>
      <c r="F29" s="115" t="s">
        <v>58</v>
      </c>
      <c r="G29" s="116"/>
      <c r="H29" s="115">
        <v>2756</v>
      </c>
      <c r="I29" s="66" t="s">
        <v>59</v>
      </c>
      <c r="J29" s="56">
        <v>7000</v>
      </c>
      <c r="K29" s="56">
        <f t="shared" si="0"/>
        <v>19292000</v>
      </c>
      <c r="L29" s="46"/>
      <c r="M29" s="18"/>
      <c r="N29" s="23"/>
      <c r="O29" s="23" t="e">
        <f>#REF!+O28</f>
        <v>#REF!</v>
      </c>
    </row>
    <row r="30" spans="2:20" x14ac:dyDescent="0.35">
      <c r="B30" s="111"/>
      <c r="C30" s="112"/>
      <c r="D30" s="113" t="s">
        <v>47</v>
      </c>
      <c r="E30" s="114"/>
      <c r="F30" s="115" t="s">
        <v>60</v>
      </c>
      <c r="G30" s="116"/>
      <c r="H30" s="115">
        <v>2756</v>
      </c>
      <c r="I30" s="66" t="s">
        <v>59</v>
      </c>
      <c r="J30" s="56">
        <v>70000</v>
      </c>
      <c r="K30" s="56">
        <f t="shared" si="0"/>
        <v>192920000</v>
      </c>
      <c r="L30" s="46"/>
      <c r="M30" s="18"/>
      <c r="N30" s="23"/>
      <c r="O30" s="23"/>
    </row>
    <row r="31" spans="2:20" x14ac:dyDescent="0.35">
      <c r="B31" s="111"/>
      <c r="C31" s="112"/>
      <c r="D31" s="113" t="s">
        <v>49</v>
      </c>
      <c r="E31" s="114"/>
      <c r="F31" s="115" t="s">
        <v>61</v>
      </c>
      <c r="G31" s="116"/>
      <c r="H31" s="115">
        <v>1417</v>
      </c>
      <c r="I31" s="66" t="s">
        <v>59</v>
      </c>
      <c r="J31" s="56">
        <v>70000</v>
      </c>
      <c r="K31" s="56">
        <f t="shared" si="0"/>
        <v>99190000</v>
      </c>
      <c r="L31" s="46"/>
      <c r="M31" s="18"/>
      <c r="N31" s="23"/>
      <c r="O31" s="23"/>
    </row>
    <row r="32" spans="2:20" x14ac:dyDescent="0.35">
      <c r="B32" s="111"/>
      <c r="C32" s="112"/>
      <c r="D32" s="113" t="s">
        <v>62</v>
      </c>
      <c r="E32" s="114"/>
      <c r="F32" s="115" t="s">
        <v>63</v>
      </c>
      <c r="G32" s="116"/>
      <c r="H32" s="115">
        <v>794</v>
      </c>
      <c r="I32" s="66" t="s">
        <v>59</v>
      </c>
      <c r="J32" s="56">
        <v>70000</v>
      </c>
      <c r="K32" s="56">
        <f t="shared" si="0"/>
        <v>55580000</v>
      </c>
      <c r="L32" s="46"/>
      <c r="M32" s="18"/>
      <c r="N32" s="23">
        <v>1</v>
      </c>
      <c r="O32" s="23" t="s">
        <v>10</v>
      </c>
    </row>
    <row r="33" spans="2:15" x14ac:dyDescent="0.35">
      <c r="B33" s="111"/>
      <c r="C33" s="112"/>
      <c r="D33" s="113" t="s">
        <v>51</v>
      </c>
      <c r="E33" s="114"/>
      <c r="F33" s="115" t="s">
        <v>64</v>
      </c>
      <c r="G33" s="116"/>
      <c r="H33" s="115">
        <v>1233</v>
      </c>
      <c r="I33" s="66" t="s">
        <v>59</v>
      </c>
      <c r="J33" s="56">
        <v>70000</v>
      </c>
      <c r="K33" s="56">
        <f t="shared" si="0"/>
        <v>86310000</v>
      </c>
      <c r="L33" s="46"/>
      <c r="M33" s="18"/>
      <c r="N33" s="23"/>
      <c r="O33" s="23"/>
    </row>
    <row r="34" spans="2:15" x14ac:dyDescent="0.35">
      <c r="B34" s="117"/>
      <c r="C34" s="118"/>
      <c r="D34" s="113" t="s">
        <v>53</v>
      </c>
      <c r="E34" s="114"/>
      <c r="F34" s="115" t="s">
        <v>66</v>
      </c>
      <c r="G34" s="116"/>
      <c r="H34" s="115">
        <v>123</v>
      </c>
      <c r="I34" s="66" t="s">
        <v>59</v>
      </c>
      <c r="J34" s="56">
        <v>70000</v>
      </c>
      <c r="K34" s="56">
        <f t="shared" si="0"/>
        <v>8610000</v>
      </c>
      <c r="L34" s="46"/>
      <c r="M34" s="18"/>
      <c r="N34" s="23"/>
      <c r="O34" s="23"/>
    </row>
    <row r="35" spans="2:15" x14ac:dyDescent="0.35">
      <c r="B35" s="117"/>
      <c r="C35" s="118"/>
      <c r="D35" s="113" t="s">
        <v>55</v>
      </c>
      <c r="E35" s="114"/>
      <c r="F35" s="115" t="s">
        <v>68</v>
      </c>
      <c r="G35" s="116"/>
      <c r="H35" s="115">
        <v>2756</v>
      </c>
      <c r="I35" s="66" t="s">
        <v>59</v>
      </c>
      <c r="J35" s="56">
        <v>21000</v>
      </c>
      <c r="K35" s="56">
        <f t="shared" si="0"/>
        <v>57876000</v>
      </c>
      <c r="L35" s="46"/>
      <c r="M35" s="18"/>
      <c r="N35" s="23">
        <v>2</v>
      </c>
      <c r="O35" s="23" t="s">
        <v>16</v>
      </c>
    </row>
    <row r="36" spans="2:15" x14ac:dyDescent="0.35">
      <c r="B36" s="126"/>
      <c r="C36" s="113"/>
      <c r="D36" s="113" t="s">
        <v>65</v>
      </c>
      <c r="E36" s="114"/>
      <c r="F36" s="115" t="s">
        <v>70</v>
      </c>
      <c r="G36" s="116"/>
      <c r="H36" s="115">
        <v>1417</v>
      </c>
      <c r="I36" s="66" t="s">
        <v>59</v>
      </c>
      <c r="J36" s="56">
        <v>14000</v>
      </c>
      <c r="K36" s="56">
        <f t="shared" si="0"/>
        <v>19838000</v>
      </c>
      <c r="L36" s="46"/>
      <c r="M36" s="18"/>
      <c r="N36" s="23">
        <v>4</v>
      </c>
      <c r="O36" s="23" t="s">
        <v>17</v>
      </c>
    </row>
    <row r="37" spans="2:15" x14ac:dyDescent="0.35">
      <c r="B37" s="126"/>
      <c r="C37" s="113"/>
      <c r="D37" s="113" t="s">
        <v>141</v>
      </c>
      <c r="E37" s="114"/>
      <c r="F37" s="115" t="s">
        <v>72</v>
      </c>
      <c r="G37" s="116"/>
      <c r="H37" s="115">
        <v>794</v>
      </c>
      <c r="I37" s="66" t="s">
        <v>59</v>
      </c>
      <c r="J37" s="56">
        <v>14000</v>
      </c>
      <c r="K37" s="56">
        <f t="shared" si="0"/>
        <v>11116000</v>
      </c>
      <c r="L37" s="46"/>
      <c r="M37" s="18"/>
      <c r="N37" s="23"/>
      <c r="O37" s="23"/>
    </row>
    <row r="38" spans="2:15" x14ac:dyDescent="0.35">
      <c r="B38" s="126"/>
      <c r="C38" s="113"/>
      <c r="D38" s="113" t="s">
        <v>143</v>
      </c>
      <c r="E38" s="114"/>
      <c r="F38" s="115" t="s">
        <v>74</v>
      </c>
      <c r="G38" s="116"/>
      <c r="H38" s="115">
        <v>1233</v>
      </c>
      <c r="I38" s="66" t="s">
        <v>59</v>
      </c>
      <c r="J38" s="56">
        <v>14000</v>
      </c>
      <c r="K38" s="56">
        <f t="shared" si="0"/>
        <v>17262000</v>
      </c>
      <c r="L38" s="46"/>
      <c r="M38" s="18"/>
      <c r="N38" s="23"/>
      <c r="O38" s="23"/>
    </row>
    <row r="39" spans="2:15" x14ac:dyDescent="0.35">
      <c r="B39" s="126"/>
      <c r="C39" s="113"/>
      <c r="D39" s="113" t="s">
        <v>67</v>
      </c>
      <c r="E39" s="114"/>
      <c r="F39" s="115" t="s">
        <v>77</v>
      </c>
      <c r="G39" s="116"/>
      <c r="H39" s="115">
        <v>123</v>
      </c>
      <c r="I39" s="66" t="s">
        <v>59</v>
      </c>
      <c r="J39" s="56">
        <v>14000</v>
      </c>
      <c r="K39" s="56">
        <f t="shared" si="0"/>
        <v>1722000</v>
      </c>
      <c r="L39" s="46"/>
      <c r="M39" s="18"/>
      <c r="N39" s="23">
        <v>15</v>
      </c>
      <c r="O39" s="23" t="s">
        <v>27</v>
      </c>
    </row>
    <row r="40" spans="2:15" x14ac:dyDescent="0.35">
      <c r="B40" s="126"/>
      <c r="C40" s="113"/>
      <c r="D40" s="113" t="s">
        <v>69</v>
      </c>
      <c r="E40" s="114"/>
      <c r="F40" s="115" t="s">
        <v>79</v>
      </c>
      <c r="G40" s="116"/>
      <c r="H40" s="115">
        <v>54</v>
      </c>
      <c r="I40" s="66" t="s">
        <v>80</v>
      </c>
      <c r="J40" s="56">
        <v>100000</v>
      </c>
      <c r="K40" s="56">
        <f t="shared" si="0"/>
        <v>5400000</v>
      </c>
      <c r="L40" s="46"/>
      <c r="M40" s="18"/>
      <c r="N40" s="23"/>
      <c r="O40" s="23"/>
    </row>
    <row r="41" spans="2:15" x14ac:dyDescent="0.35">
      <c r="B41" s="126"/>
      <c r="C41" s="113"/>
      <c r="D41" s="113" t="s">
        <v>71</v>
      </c>
      <c r="E41" s="126"/>
      <c r="F41" s="115" t="s">
        <v>82</v>
      </c>
      <c r="G41" s="116"/>
      <c r="H41" s="115">
        <v>1</v>
      </c>
      <c r="I41" s="66" t="s">
        <v>46</v>
      </c>
      <c r="J41" s="56">
        <v>1200000</v>
      </c>
      <c r="K41" s="56">
        <f t="shared" si="0"/>
        <v>1200000</v>
      </c>
      <c r="L41" s="46"/>
      <c r="M41" s="18"/>
      <c r="N41" s="23"/>
      <c r="O41" s="23"/>
    </row>
    <row r="42" spans="2:15" x14ac:dyDescent="0.35">
      <c r="B42" s="126"/>
      <c r="C42" s="113"/>
      <c r="D42" s="113" t="s">
        <v>73</v>
      </c>
      <c r="E42" s="126"/>
      <c r="F42" s="115" t="s">
        <v>84</v>
      </c>
      <c r="G42" s="116"/>
      <c r="H42" s="115">
        <v>1</v>
      </c>
      <c r="I42" s="66" t="s">
        <v>46</v>
      </c>
      <c r="J42" s="56">
        <v>30000000</v>
      </c>
      <c r="K42" s="56">
        <f t="shared" si="0"/>
        <v>30000000</v>
      </c>
      <c r="L42" s="46"/>
      <c r="M42" s="18"/>
      <c r="N42" s="23"/>
      <c r="O42" s="23"/>
    </row>
    <row r="43" spans="2:15" x14ac:dyDescent="0.35">
      <c r="B43" s="127" t="s">
        <v>85</v>
      </c>
      <c r="C43" s="122"/>
      <c r="D43" s="128"/>
      <c r="E43" s="109" t="s">
        <v>296</v>
      </c>
      <c r="F43" s="109"/>
      <c r="G43" s="110"/>
      <c r="H43" s="109"/>
      <c r="I43" s="110"/>
      <c r="J43" s="58"/>
      <c r="K43" s="58"/>
      <c r="L43" s="46"/>
      <c r="M43" s="18"/>
      <c r="N43" s="23"/>
      <c r="O43" s="23"/>
    </row>
    <row r="44" spans="2:15" x14ac:dyDescent="0.35">
      <c r="B44" s="114"/>
      <c r="C44" s="113"/>
      <c r="D44" s="129" t="s">
        <v>44</v>
      </c>
      <c r="E44" s="113"/>
      <c r="F44" s="115" t="s">
        <v>91</v>
      </c>
      <c r="G44" s="116"/>
      <c r="H44" s="115">
        <v>38</v>
      </c>
      <c r="I44" s="66" t="s">
        <v>92</v>
      </c>
      <c r="J44" s="52">
        <v>200000</v>
      </c>
      <c r="K44" s="56">
        <f t="shared" ref="K44:K45" si="1">J44*H44</f>
        <v>7600000</v>
      </c>
      <c r="L44" s="46"/>
      <c r="M44" s="18"/>
      <c r="N44" s="23"/>
      <c r="O44" s="23"/>
    </row>
    <row r="45" spans="2:15" x14ac:dyDescent="0.35">
      <c r="B45" s="114"/>
      <c r="C45" s="113"/>
      <c r="D45" s="129" t="s">
        <v>47</v>
      </c>
      <c r="E45" s="115"/>
      <c r="F45" s="115" t="s">
        <v>93</v>
      </c>
      <c r="G45" s="116"/>
      <c r="H45" s="115">
        <v>38</v>
      </c>
      <c r="I45" s="66" t="s">
        <v>92</v>
      </c>
      <c r="J45" s="52">
        <v>185000</v>
      </c>
      <c r="K45" s="56">
        <f t="shared" si="1"/>
        <v>7030000</v>
      </c>
      <c r="L45" s="46"/>
      <c r="M45" s="18"/>
      <c r="N45" s="23"/>
      <c r="O45" s="23"/>
    </row>
    <row r="46" spans="2:15" x14ac:dyDescent="0.35">
      <c r="B46" s="114"/>
      <c r="C46" s="113"/>
      <c r="D46" s="129" t="s">
        <v>49</v>
      </c>
      <c r="E46" s="113"/>
      <c r="F46" s="115" t="s">
        <v>94</v>
      </c>
      <c r="G46" s="116"/>
      <c r="H46" s="115">
        <v>38</v>
      </c>
      <c r="I46" s="66" t="s">
        <v>92</v>
      </c>
      <c r="J46" s="64">
        <v>220000</v>
      </c>
      <c r="K46" s="57"/>
      <c r="L46" s="46">
        <f>J46*H46</f>
        <v>8360000</v>
      </c>
      <c r="M46" s="18"/>
      <c r="N46" s="23"/>
      <c r="O46" s="23"/>
    </row>
    <row r="47" spans="2:15" x14ac:dyDescent="0.35">
      <c r="B47" s="114"/>
      <c r="C47" s="113"/>
      <c r="D47" s="130"/>
      <c r="E47" s="131"/>
      <c r="F47" s="132" t="s">
        <v>89</v>
      </c>
      <c r="G47" s="72" t="s">
        <v>297</v>
      </c>
      <c r="H47" s="133"/>
      <c r="I47" s="66"/>
      <c r="J47" s="52"/>
      <c r="K47" s="56"/>
      <c r="L47" s="46"/>
      <c r="M47" s="18"/>
      <c r="N47" s="23"/>
      <c r="O47" s="23"/>
    </row>
    <row r="48" spans="2:15" x14ac:dyDescent="0.35">
      <c r="B48" s="126"/>
      <c r="C48" s="112"/>
      <c r="D48" s="134" t="s">
        <v>62</v>
      </c>
      <c r="E48" s="115"/>
      <c r="F48" s="115" t="s">
        <v>95</v>
      </c>
      <c r="G48" s="116"/>
      <c r="H48" s="135">
        <v>38</v>
      </c>
      <c r="I48" s="136" t="s">
        <v>96</v>
      </c>
      <c r="J48" s="52">
        <v>250000</v>
      </c>
      <c r="K48" s="56">
        <f t="shared" ref="K48:K49" si="2">J48*H48</f>
        <v>9500000</v>
      </c>
      <c r="L48" s="46"/>
      <c r="M48" s="18"/>
      <c r="N48" s="23"/>
      <c r="O48" s="23"/>
    </row>
    <row r="49" spans="2:15" x14ac:dyDescent="0.35">
      <c r="B49" s="126"/>
      <c r="C49" s="112"/>
      <c r="D49" s="134" t="s">
        <v>51</v>
      </c>
      <c r="E49" s="115"/>
      <c r="F49" s="115" t="s">
        <v>97</v>
      </c>
      <c r="G49" s="116"/>
      <c r="H49" s="135">
        <v>38</v>
      </c>
      <c r="I49" s="136" t="s">
        <v>96</v>
      </c>
      <c r="J49" s="52">
        <v>1700000</v>
      </c>
      <c r="K49" s="56">
        <f t="shared" si="2"/>
        <v>64600000</v>
      </c>
      <c r="L49" s="46"/>
      <c r="M49" s="18"/>
      <c r="N49" s="23"/>
      <c r="O49" s="23"/>
    </row>
    <row r="50" spans="2:15" x14ac:dyDescent="0.35">
      <c r="B50" s="137"/>
      <c r="C50" s="138" t="s">
        <v>86</v>
      </c>
      <c r="D50" s="139"/>
      <c r="E50" s="140"/>
      <c r="F50" s="115" t="s">
        <v>98</v>
      </c>
      <c r="G50" s="116"/>
      <c r="H50" s="135"/>
      <c r="I50" s="136"/>
      <c r="J50" s="65"/>
      <c r="K50" s="65"/>
      <c r="L50" s="46"/>
      <c r="M50" s="18"/>
      <c r="N50" s="23"/>
      <c r="O50" s="23"/>
    </row>
    <row r="51" spans="2:15" x14ac:dyDescent="0.35">
      <c r="B51" s="126"/>
      <c r="C51" s="113"/>
      <c r="D51" s="129" t="s">
        <v>44</v>
      </c>
      <c r="E51" s="141"/>
      <c r="F51" s="115" t="s">
        <v>298</v>
      </c>
      <c r="G51" s="116"/>
      <c r="H51" s="135">
        <v>20</v>
      </c>
      <c r="I51" s="136" t="s">
        <v>299</v>
      </c>
      <c r="J51" s="65">
        <v>200000</v>
      </c>
      <c r="K51" s="65">
        <f>J51*H51</f>
        <v>4000000</v>
      </c>
      <c r="L51" s="46"/>
      <c r="M51" s="18"/>
      <c r="N51" s="23"/>
      <c r="O51" s="23"/>
    </row>
    <row r="52" spans="2:15" x14ac:dyDescent="0.35">
      <c r="B52" s="126"/>
      <c r="C52" s="113"/>
      <c r="D52" s="129"/>
      <c r="E52" s="141"/>
      <c r="F52" s="115" t="s">
        <v>89</v>
      </c>
      <c r="G52" s="116" t="s">
        <v>300</v>
      </c>
      <c r="H52" s="135">
        <v>59500</v>
      </c>
      <c r="I52" s="136" t="s">
        <v>100</v>
      </c>
      <c r="J52" s="65">
        <v>332</v>
      </c>
      <c r="K52" s="65"/>
      <c r="L52" s="46">
        <f>J52*H52</f>
        <v>19754000</v>
      </c>
      <c r="M52" s="18"/>
      <c r="N52" s="23"/>
      <c r="O52" s="23"/>
    </row>
    <row r="53" spans="2:15" x14ac:dyDescent="0.35">
      <c r="B53" s="126"/>
      <c r="C53" s="113"/>
      <c r="D53" s="129"/>
      <c r="E53" s="141"/>
      <c r="F53" s="115" t="s">
        <v>89</v>
      </c>
      <c r="G53" s="116" t="s">
        <v>301</v>
      </c>
      <c r="H53" s="135">
        <v>10</v>
      </c>
      <c r="I53" s="136" t="s">
        <v>92</v>
      </c>
      <c r="J53" s="65">
        <v>145000</v>
      </c>
      <c r="K53" s="65"/>
      <c r="L53" s="46">
        <f t="shared" ref="L53:L55" si="3">J53*H53</f>
        <v>1450000</v>
      </c>
      <c r="M53" s="18"/>
      <c r="N53" s="23"/>
      <c r="O53" s="23"/>
    </row>
    <row r="54" spans="2:15" x14ac:dyDescent="0.35">
      <c r="B54" s="126"/>
      <c r="C54" s="112"/>
      <c r="D54" s="134"/>
      <c r="E54" s="115"/>
      <c r="F54" s="115" t="s">
        <v>89</v>
      </c>
      <c r="G54" s="116" t="s">
        <v>302</v>
      </c>
      <c r="H54" s="135">
        <v>10</v>
      </c>
      <c r="I54" s="136" t="s">
        <v>92</v>
      </c>
      <c r="J54" s="65">
        <v>90000</v>
      </c>
      <c r="K54" s="65"/>
      <c r="L54" s="46">
        <f t="shared" si="3"/>
        <v>900000</v>
      </c>
      <c r="M54" s="18"/>
      <c r="N54" s="23"/>
      <c r="O54" s="23"/>
    </row>
    <row r="55" spans="2:15" x14ac:dyDescent="0.35">
      <c r="B55" s="137"/>
      <c r="C55" s="138"/>
      <c r="D55" s="139"/>
      <c r="E55" s="140"/>
      <c r="F55" s="115" t="s">
        <v>89</v>
      </c>
      <c r="G55" s="116" t="s">
        <v>303</v>
      </c>
      <c r="H55" s="135">
        <v>10</v>
      </c>
      <c r="I55" s="136" t="s">
        <v>1513</v>
      </c>
      <c r="J55" s="65">
        <v>35000</v>
      </c>
      <c r="K55" s="65"/>
      <c r="L55" s="46">
        <f t="shared" si="3"/>
        <v>350000</v>
      </c>
      <c r="M55" s="18"/>
      <c r="N55" s="23"/>
      <c r="O55" s="23"/>
    </row>
    <row r="56" spans="2:15" x14ac:dyDescent="0.35">
      <c r="B56" s="126"/>
      <c r="C56" s="113"/>
      <c r="D56" s="129" t="s">
        <v>47</v>
      </c>
      <c r="E56" s="141"/>
      <c r="F56" s="115" t="s">
        <v>304</v>
      </c>
      <c r="G56" s="116"/>
      <c r="H56" s="135">
        <v>20</v>
      </c>
      <c r="I56" s="136" t="s">
        <v>299</v>
      </c>
      <c r="J56" s="65">
        <v>200000</v>
      </c>
      <c r="K56" s="65">
        <f>J56*H56</f>
        <v>4000000</v>
      </c>
      <c r="L56" s="46"/>
    </row>
    <row r="57" spans="2:15" x14ac:dyDescent="0.35">
      <c r="B57" s="126"/>
      <c r="C57" s="113"/>
      <c r="D57" s="129"/>
      <c r="E57" s="141"/>
      <c r="F57" s="115" t="s">
        <v>89</v>
      </c>
      <c r="G57" s="116" t="s">
        <v>300</v>
      </c>
      <c r="H57" s="135">
        <v>59500</v>
      </c>
      <c r="I57" s="136" t="s">
        <v>100</v>
      </c>
      <c r="J57" s="65">
        <v>332</v>
      </c>
      <c r="K57" s="65"/>
      <c r="L57" s="46">
        <f>J57*H57</f>
        <v>19754000</v>
      </c>
    </row>
    <row r="58" spans="2:15" x14ac:dyDescent="0.35">
      <c r="B58" s="126"/>
      <c r="C58" s="113"/>
      <c r="D58" s="129"/>
      <c r="E58" s="141"/>
      <c r="F58" s="115" t="s">
        <v>89</v>
      </c>
      <c r="G58" s="116" t="s">
        <v>301</v>
      </c>
      <c r="H58" s="135">
        <v>10</v>
      </c>
      <c r="I58" s="136" t="s">
        <v>92</v>
      </c>
      <c r="J58" s="65">
        <v>145000</v>
      </c>
      <c r="K58" s="65"/>
      <c r="L58" s="46">
        <f t="shared" ref="L58:L60" si="4">J58*H58</f>
        <v>1450000</v>
      </c>
    </row>
    <row r="59" spans="2:15" x14ac:dyDescent="0.35">
      <c r="B59" s="142"/>
      <c r="C59" s="143"/>
      <c r="D59" s="130"/>
      <c r="E59" s="131"/>
      <c r="F59" s="132" t="s">
        <v>89</v>
      </c>
      <c r="G59" s="72" t="s">
        <v>302</v>
      </c>
      <c r="H59" s="133">
        <v>10</v>
      </c>
      <c r="I59" s="72" t="s">
        <v>92</v>
      </c>
      <c r="J59" s="65">
        <v>90000</v>
      </c>
      <c r="K59" s="65"/>
      <c r="L59" s="46">
        <f t="shared" si="4"/>
        <v>900000</v>
      </c>
    </row>
    <row r="60" spans="2:15" x14ac:dyDescent="0.35">
      <c r="B60" s="142"/>
      <c r="C60" s="143"/>
      <c r="D60" s="130"/>
      <c r="E60" s="131"/>
      <c r="F60" s="132" t="s">
        <v>89</v>
      </c>
      <c r="G60" s="72" t="s">
        <v>303</v>
      </c>
      <c r="H60" s="133">
        <v>10</v>
      </c>
      <c r="I60" s="72" t="s">
        <v>92</v>
      </c>
      <c r="J60" s="65">
        <v>35000</v>
      </c>
      <c r="K60" s="65"/>
      <c r="L60" s="46">
        <f t="shared" si="4"/>
        <v>350000</v>
      </c>
    </row>
    <row r="61" spans="2:15" x14ac:dyDescent="0.35">
      <c r="B61" s="106" t="s">
        <v>90</v>
      </c>
      <c r="C61" s="107"/>
      <c r="D61" s="145"/>
      <c r="E61" s="146" t="s">
        <v>102</v>
      </c>
      <c r="F61" s="147"/>
      <c r="G61" s="148"/>
      <c r="H61" s="149"/>
      <c r="I61" s="148"/>
      <c r="J61" s="50"/>
      <c r="K61" s="57"/>
      <c r="L61" s="46"/>
    </row>
    <row r="62" spans="2:15" x14ac:dyDescent="0.35">
      <c r="B62" s="142"/>
      <c r="C62" s="143"/>
      <c r="D62" s="129" t="s">
        <v>44</v>
      </c>
      <c r="E62" s="115"/>
      <c r="F62" s="115" t="s">
        <v>103</v>
      </c>
      <c r="G62" s="116"/>
      <c r="H62" s="115">
        <v>1</v>
      </c>
      <c r="I62" s="136" t="s">
        <v>99</v>
      </c>
      <c r="J62" s="52">
        <v>2000000</v>
      </c>
      <c r="K62" s="56">
        <f t="shared" ref="K62" si="5">J62*H62</f>
        <v>2000000</v>
      </c>
      <c r="L62" s="46"/>
    </row>
    <row r="63" spans="2:15" x14ac:dyDescent="0.35">
      <c r="B63" s="106" t="s">
        <v>101</v>
      </c>
      <c r="C63" s="107"/>
      <c r="D63" s="145"/>
      <c r="E63" s="146" t="s">
        <v>105</v>
      </c>
      <c r="F63" s="147"/>
      <c r="G63" s="148"/>
      <c r="H63" s="149"/>
      <c r="I63" s="148"/>
      <c r="J63" s="50"/>
      <c r="K63" s="57"/>
      <c r="L63" s="46"/>
    </row>
    <row r="64" spans="2:15" x14ac:dyDescent="0.35">
      <c r="B64" s="137"/>
      <c r="C64" s="138"/>
      <c r="D64" s="150" t="s">
        <v>44</v>
      </c>
      <c r="E64" s="115"/>
      <c r="F64" s="151" t="s">
        <v>106</v>
      </c>
      <c r="G64" s="116"/>
      <c r="H64" s="115">
        <v>1</v>
      </c>
      <c r="I64" s="116" t="s">
        <v>46</v>
      </c>
      <c r="J64" s="29">
        <v>7500000</v>
      </c>
      <c r="K64" s="51">
        <f t="shared" ref="K64:K65" si="6">H64*J64</f>
        <v>7500000</v>
      </c>
      <c r="L64" s="46"/>
    </row>
    <row r="65" spans="2:23" x14ac:dyDescent="0.35">
      <c r="B65" s="152"/>
      <c r="C65" s="153"/>
      <c r="D65" s="139" t="s">
        <v>47</v>
      </c>
      <c r="E65" s="140"/>
      <c r="F65" s="115" t="s">
        <v>305</v>
      </c>
      <c r="G65" s="116"/>
      <c r="H65" s="135">
        <v>1</v>
      </c>
      <c r="I65" s="136" t="s">
        <v>46</v>
      </c>
      <c r="J65" s="29">
        <v>7500000</v>
      </c>
      <c r="K65" s="51">
        <f t="shared" si="6"/>
        <v>7500000</v>
      </c>
      <c r="L65" s="46"/>
    </row>
    <row r="66" spans="2:23" x14ac:dyDescent="0.35">
      <c r="B66" s="154" t="s">
        <v>104</v>
      </c>
      <c r="C66" s="155"/>
      <c r="D66" s="156"/>
      <c r="E66" s="157" t="s">
        <v>107</v>
      </c>
      <c r="F66" s="109"/>
      <c r="G66" s="110"/>
      <c r="H66" s="158"/>
      <c r="I66" s="159"/>
      <c r="J66" s="50"/>
      <c r="K66" s="57"/>
      <c r="L66" s="46"/>
    </row>
    <row r="67" spans="2:23" x14ac:dyDescent="0.35">
      <c r="B67" s="152"/>
      <c r="C67" s="153" t="s">
        <v>108</v>
      </c>
      <c r="D67" s="139"/>
      <c r="E67" s="140"/>
      <c r="F67" s="115" t="s">
        <v>109</v>
      </c>
      <c r="G67" s="116"/>
      <c r="H67" s="160"/>
      <c r="I67" s="161"/>
      <c r="J67" s="50"/>
      <c r="K67" s="57"/>
      <c r="L67" s="46"/>
    </row>
    <row r="68" spans="2:23" x14ac:dyDescent="0.35">
      <c r="B68" s="126"/>
      <c r="C68" s="113"/>
      <c r="D68" s="129" t="s">
        <v>44</v>
      </c>
      <c r="E68" s="115"/>
      <c r="F68" s="131" t="s">
        <v>306</v>
      </c>
      <c r="G68" s="72"/>
      <c r="H68" s="162">
        <v>50</v>
      </c>
      <c r="I68" s="72" t="s">
        <v>133</v>
      </c>
      <c r="J68" s="29">
        <v>250000</v>
      </c>
      <c r="K68" s="51"/>
      <c r="L68" s="46">
        <f>J68*H68</f>
        <v>12500000</v>
      </c>
    </row>
    <row r="69" spans="2:23" x14ac:dyDescent="0.35">
      <c r="B69" s="114"/>
      <c r="C69" s="113"/>
      <c r="D69" s="129"/>
      <c r="E69" s="163"/>
      <c r="F69" s="163" t="s">
        <v>89</v>
      </c>
      <c r="G69" s="164" t="s">
        <v>307</v>
      </c>
      <c r="H69" s="240"/>
      <c r="I69" s="116"/>
      <c r="J69" s="50"/>
      <c r="K69" s="57"/>
      <c r="L69" s="46"/>
    </row>
    <row r="70" spans="2:23" x14ac:dyDescent="0.35">
      <c r="B70" s="111"/>
      <c r="C70" s="112"/>
      <c r="D70" s="113"/>
      <c r="E70" s="114"/>
      <c r="F70" s="115" t="s">
        <v>89</v>
      </c>
      <c r="G70" s="116" t="s">
        <v>308</v>
      </c>
      <c r="H70" s="241"/>
      <c r="I70" s="136"/>
      <c r="J70" s="50"/>
      <c r="K70" s="57"/>
      <c r="L70" s="46"/>
    </row>
    <row r="71" spans="2:23" x14ac:dyDescent="0.35">
      <c r="B71" s="47"/>
      <c r="C71" s="48"/>
      <c r="D71" s="59"/>
      <c r="E71" s="60"/>
      <c r="F71" s="61"/>
      <c r="G71" s="62"/>
      <c r="H71" s="53"/>
      <c r="I71" s="63"/>
      <c r="J71" s="52"/>
      <c r="K71" s="56"/>
      <c r="L71" s="46"/>
    </row>
    <row r="72" spans="2:23" x14ac:dyDescent="0.35">
      <c r="B72" s="47"/>
      <c r="C72" s="48"/>
      <c r="D72" s="24"/>
      <c r="G72" s="22"/>
      <c r="I72" s="22"/>
      <c r="J72" s="50"/>
      <c r="K72" s="29"/>
      <c r="L72" s="52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900746000</v>
      </c>
      <c r="L73" s="7">
        <f>SUM(L20:L72)</f>
        <v>65768000</v>
      </c>
      <c r="M73" s="14">
        <f>K73+L73</f>
        <v>966514000</v>
      </c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284" t="s">
        <v>1600</v>
      </c>
      <c r="L77" s="285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284" t="s">
        <v>28</v>
      </c>
      <c r="L78" s="285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L83" s="22"/>
    </row>
    <row r="84" spans="2:13" x14ac:dyDescent="0.35">
      <c r="B84" s="45"/>
      <c r="E84" s="5"/>
      <c r="F84" s="5"/>
      <c r="G84" s="5"/>
      <c r="J84" s="40"/>
      <c r="K84" s="286" t="s">
        <v>36</v>
      </c>
      <c r="L84" s="287"/>
      <c r="M84" s="40"/>
    </row>
    <row r="85" spans="2:13" x14ac:dyDescent="0.35">
      <c r="B85" s="45"/>
      <c r="K85" s="288" t="s">
        <v>37</v>
      </c>
      <c r="L85" s="289"/>
      <c r="M85" s="42"/>
    </row>
    <row r="86" spans="2:13" x14ac:dyDescent="0.35">
      <c r="B86" s="290"/>
      <c r="C86" s="291"/>
      <c r="D86" s="291"/>
      <c r="E86" s="41"/>
      <c r="F86" s="41"/>
      <c r="G86" s="41"/>
      <c r="H86" s="2"/>
      <c r="I86" s="2"/>
      <c r="J86" s="2"/>
      <c r="K86" s="2"/>
      <c r="L86" s="21"/>
    </row>
    <row r="87" spans="2:13" x14ac:dyDescent="0.35">
      <c r="B87" s="47"/>
      <c r="C87" s="48"/>
      <c r="D87" s="49"/>
      <c r="G87" s="22"/>
      <c r="H87" s="1"/>
      <c r="I87" s="1"/>
      <c r="J87" s="43"/>
      <c r="K87" s="30"/>
      <c r="L87" s="44"/>
    </row>
    <row r="88" spans="2:13" x14ac:dyDescent="0.35">
      <c r="B88" s="250"/>
      <c r="C88" s="251"/>
      <c r="D88" s="252"/>
      <c r="E88" s="69" t="s">
        <v>110</v>
      </c>
      <c r="F88" s="69"/>
      <c r="G88" s="70"/>
      <c r="H88" s="248"/>
      <c r="I88" s="249"/>
      <c r="J88" s="50"/>
      <c r="K88" s="57"/>
      <c r="L88" s="46"/>
    </row>
    <row r="89" spans="2:13" x14ac:dyDescent="0.35">
      <c r="B89" s="168" t="s">
        <v>43</v>
      </c>
      <c r="C89" s="169"/>
      <c r="D89" s="170"/>
      <c r="E89" s="171" t="s">
        <v>111</v>
      </c>
      <c r="F89" s="171"/>
      <c r="G89" s="172"/>
      <c r="H89" s="173"/>
      <c r="I89" s="172"/>
      <c r="J89" s="52"/>
      <c r="K89" s="56"/>
      <c r="L89" s="46"/>
    </row>
    <row r="90" spans="2:13" x14ac:dyDescent="0.35">
      <c r="B90" s="174"/>
      <c r="C90" s="175" t="s">
        <v>112</v>
      </c>
      <c r="D90" s="176"/>
      <c r="E90" s="163"/>
      <c r="F90" s="163" t="s">
        <v>14</v>
      </c>
      <c r="G90" s="164"/>
      <c r="H90" s="177"/>
      <c r="I90" s="164"/>
      <c r="J90" s="50"/>
      <c r="K90" s="57"/>
      <c r="L90" s="46"/>
    </row>
    <row r="91" spans="2:13" x14ac:dyDescent="0.35">
      <c r="B91" s="174"/>
      <c r="C91" s="175"/>
      <c r="D91" s="176" t="s">
        <v>44</v>
      </c>
      <c r="E91" s="163"/>
      <c r="F91" s="163" t="s">
        <v>309</v>
      </c>
      <c r="G91" s="164"/>
      <c r="H91" s="177"/>
      <c r="I91" s="164"/>
      <c r="J91" s="29"/>
      <c r="K91" s="51"/>
      <c r="L91" s="46"/>
      <c r="M91" s="67"/>
    </row>
    <row r="92" spans="2:13" x14ac:dyDescent="0.35">
      <c r="B92" s="174"/>
      <c r="C92" s="175"/>
      <c r="D92" s="176"/>
      <c r="E92" s="163"/>
      <c r="F92" s="163" t="s">
        <v>89</v>
      </c>
      <c r="G92" s="164" t="s">
        <v>310</v>
      </c>
      <c r="H92" s="177">
        <v>141.29999999999998</v>
      </c>
      <c r="I92" s="164" t="s">
        <v>87</v>
      </c>
      <c r="J92" s="50">
        <v>31000</v>
      </c>
      <c r="K92" s="56"/>
      <c r="L92" s="46">
        <f>J92*H92</f>
        <v>4380299.9999999991</v>
      </c>
    </row>
    <row r="93" spans="2:13" x14ac:dyDescent="0.35">
      <c r="B93" s="174"/>
      <c r="C93" s="175"/>
      <c r="D93" s="176" t="s">
        <v>47</v>
      </c>
      <c r="E93" s="163"/>
      <c r="F93" s="163" t="s">
        <v>311</v>
      </c>
      <c r="G93" s="164"/>
      <c r="H93" s="177"/>
      <c r="I93" s="164"/>
      <c r="J93" s="46"/>
      <c r="K93" s="65"/>
      <c r="L93" s="46"/>
    </row>
    <row r="94" spans="2:13" x14ac:dyDescent="0.35">
      <c r="B94" s="174"/>
      <c r="C94" s="175"/>
      <c r="D94" s="176"/>
      <c r="E94" s="163"/>
      <c r="F94" s="163" t="s">
        <v>89</v>
      </c>
      <c r="G94" s="164" t="s">
        <v>312</v>
      </c>
      <c r="H94" s="177">
        <v>693.3119999999999</v>
      </c>
      <c r="I94" s="164" t="s">
        <v>87</v>
      </c>
      <c r="J94" s="50">
        <v>31000</v>
      </c>
      <c r="K94" s="56"/>
      <c r="L94" s="46">
        <f>J94*H94</f>
        <v>21492671.999999996</v>
      </c>
    </row>
    <row r="95" spans="2:13" x14ac:dyDescent="0.35">
      <c r="B95" s="174"/>
      <c r="C95" s="175"/>
      <c r="D95" s="176" t="s">
        <v>49</v>
      </c>
      <c r="E95" s="163"/>
      <c r="F95" s="163" t="s">
        <v>313</v>
      </c>
      <c r="G95" s="164"/>
      <c r="H95" s="177"/>
      <c r="I95" s="164"/>
      <c r="J95" s="46"/>
      <c r="K95" s="65"/>
      <c r="L95" s="46"/>
      <c r="M95" s="68"/>
    </row>
    <row r="96" spans="2:13" s="34" customFormat="1" x14ac:dyDescent="0.35">
      <c r="B96" s="174"/>
      <c r="C96" s="175"/>
      <c r="D96" s="176"/>
      <c r="E96" s="163"/>
      <c r="F96" s="163" t="s">
        <v>89</v>
      </c>
      <c r="G96" s="164" t="s">
        <v>312</v>
      </c>
      <c r="H96" s="177">
        <v>693.3119999999999</v>
      </c>
      <c r="I96" s="164" t="s">
        <v>87</v>
      </c>
      <c r="J96" s="50">
        <v>31000</v>
      </c>
      <c r="K96" s="56"/>
      <c r="L96" s="46">
        <f>J96*H96</f>
        <v>21492671.999999996</v>
      </c>
    </row>
    <row r="97" spans="1:13" x14ac:dyDescent="0.35">
      <c r="B97" s="174"/>
      <c r="C97" s="175"/>
      <c r="D97" s="176" t="s">
        <v>62</v>
      </c>
      <c r="E97" s="163"/>
      <c r="F97" s="163" t="s">
        <v>228</v>
      </c>
      <c r="G97" s="164"/>
      <c r="H97" s="177"/>
      <c r="I97" s="164"/>
      <c r="J97" s="50"/>
      <c r="K97" s="56"/>
      <c r="L97" s="46"/>
    </row>
    <row r="98" spans="1:13" s="34" customFormat="1" x14ac:dyDescent="0.35">
      <c r="B98" s="174"/>
      <c r="C98" s="175"/>
      <c r="D98" s="176"/>
      <c r="E98" s="163"/>
      <c r="F98" s="163" t="s">
        <v>89</v>
      </c>
      <c r="G98" s="164" t="s">
        <v>312</v>
      </c>
      <c r="H98" s="177">
        <v>693.3119999999999</v>
      </c>
      <c r="I98" s="164" t="s">
        <v>87</v>
      </c>
      <c r="J98" s="50">
        <v>31000</v>
      </c>
      <c r="K98" s="56"/>
      <c r="L98" s="46">
        <f>J98*H98</f>
        <v>21492671.999999996</v>
      </c>
    </row>
    <row r="99" spans="1:13" s="34" customFormat="1" x14ac:dyDescent="0.35">
      <c r="B99" s="174"/>
      <c r="C99" s="175"/>
      <c r="D99" s="176" t="s">
        <v>51</v>
      </c>
      <c r="E99" s="163"/>
      <c r="F99" s="163" t="s">
        <v>314</v>
      </c>
      <c r="G99" s="164"/>
      <c r="H99" s="177"/>
      <c r="I99" s="164"/>
      <c r="J99" s="65"/>
      <c r="K99" s="65"/>
      <c r="L99" s="46"/>
      <c r="M99" s="71"/>
    </row>
    <row r="100" spans="1:13" s="34" customFormat="1" x14ac:dyDescent="0.35">
      <c r="B100" s="174"/>
      <c r="C100" s="175"/>
      <c r="D100" s="176"/>
      <c r="E100" s="163"/>
      <c r="F100" s="163" t="s">
        <v>89</v>
      </c>
      <c r="G100" s="164" t="s">
        <v>315</v>
      </c>
      <c r="H100" s="177">
        <v>2114.6015999999995</v>
      </c>
      <c r="I100" s="164" t="s">
        <v>87</v>
      </c>
      <c r="J100" s="50">
        <v>31000</v>
      </c>
      <c r="K100" s="56"/>
      <c r="L100" s="46">
        <f>J100*H100</f>
        <v>65552649.599999987</v>
      </c>
    </row>
    <row r="101" spans="1:13" s="34" customFormat="1" x14ac:dyDescent="0.35">
      <c r="B101" s="174"/>
      <c r="C101" s="175"/>
      <c r="D101" s="176"/>
      <c r="E101" s="163"/>
      <c r="F101" s="163" t="s">
        <v>89</v>
      </c>
      <c r="G101" s="164" t="s">
        <v>316</v>
      </c>
      <c r="H101" s="177">
        <v>1402.0727999999997</v>
      </c>
      <c r="I101" s="164" t="s">
        <v>87</v>
      </c>
      <c r="J101" s="50">
        <v>31000</v>
      </c>
      <c r="K101" s="56"/>
      <c r="L101" s="46">
        <f>J101*H101</f>
        <v>43464256.79999999</v>
      </c>
      <c r="M101" s="73"/>
    </row>
    <row r="102" spans="1:13" x14ac:dyDescent="0.35">
      <c r="B102" s="174"/>
      <c r="C102" s="175"/>
      <c r="D102" s="176" t="s">
        <v>53</v>
      </c>
      <c r="E102" s="163"/>
      <c r="F102" s="163" t="s">
        <v>317</v>
      </c>
      <c r="G102" s="164"/>
      <c r="H102" s="177"/>
      <c r="I102" s="164"/>
      <c r="J102" s="50"/>
      <c r="K102" s="57"/>
      <c r="L102" s="46"/>
    </row>
    <row r="103" spans="1:13" s="34" customFormat="1" x14ac:dyDescent="0.35">
      <c r="A103" s="81"/>
      <c r="B103" s="174"/>
      <c r="C103" s="175"/>
      <c r="D103" s="176"/>
      <c r="E103" s="163"/>
      <c r="F103" s="163" t="s">
        <v>89</v>
      </c>
      <c r="G103" s="164" t="s">
        <v>318</v>
      </c>
      <c r="H103" s="177">
        <v>647.98295999999993</v>
      </c>
      <c r="I103" s="164" t="s">
        <v>87</v>
      </c>
      <c r="J103" s="50">
        <v>31000</v>
      </c>
      <c r="K103" s="56"/>
      <c r="L103" s="46">
        <f>J103*H103</f>
        <v>20087471.759999998</v>
      </c>
    </row>
    <row r="104" spans="1:13" s="34" customFormat="1" x14ac:dyDescent="0.35">
      <c r="B104" s="174"/>
      <c r="C104" s="175"/>
      <c r="D104" s="176" t="s">
        <v>55</v>
      </c>
      <c r="E104" s="163"/>
      <c r="F104" s="163" t="s">
        <v>319</v>
      </c>
      <c r="G104" s="164"/>
      <c r="H104" s="177"/>
      <c r="I104" s="164"/>
      <c r="J104" s="50"/>
      <c r="K104" s="58"/>
      <c r="L104" s="46"/>
    </row>
    <row r="105" spans="1:13" x14ac:dyDescent="0.35">
      <c r="B105" s="174"/>
      <c r="C105" s="175"/>
      <c r="D105" s="176"/>
      <c r="E105" s="163"/>
      <c r="F105" s="163" t="s">
        <v>89</v>
      </c>
      <c r="G105" s="164" t="s">
        <v>320</v>
      </c>
      <c r="H105" s="177">
        <v>368.88719999999995</v>
      </c>
      <c r="I105" s="164" t="s">
        <v>87</v>
      </c>
      <c r="J105" s="50">
        <v>31000</v>
      </c>
      <c r="K105" s="56"/>
      <c r="L105" s="46">
        <f>J105*H105</f>
        <v>11435503.199999999</v>
      </c>
    </row>
    <row r="106" spans="1:13" x14ac:dyDescent="0.35">
      <c r="B106" s="174"/>
      <c r="C106" s="175"/>
      <c r="D106" s="176" t="s">
        <v>65</v>
      </c>
      <c r="E106" s="163"/>
      <c r="F106" s="163" t="s">
        <v>321</v>
      </c>
      <c r="G106" s="164"/>
      <c r="H106" s="177"/>
      <c r="I106" s="164"/>
      <c r="J106" s="50"/>
      <c r="K106" s="56"/>
      <c r="L106" s="46"/>
    </row>
    <row r="107" spans="1:13" x14ac:dyDescent="0.35">
      <c r="B107" s="174"/>
      <c r="C107" s="175"/>
      <c r="D107" s="176"/>
      <c r="E107" s="163"/>
      <c r="F107" s="163" t="s">
        <v>89</v>
      </c>
      <c r="G107" s="164" t="s">
        <v>322</v>
      </c>
      <c r="H107" s="177">
        <v>1057.3007999999998</v>
      </c>
      <c r="I107" s="164" t="s">
        <v>87</v>
      </c>
      <c r="J107" s="50">
        <v>31000</v>
      </c>
      <c r="K107" s="56"/>
      <c r="L107" s="46">
        <f>J107*H107</f>
        <v>32776324.799999993</v>
      </c>
    </row>
    <row r="108" spans="1:13" x14ac:dyDescent="0.35">
      <c r="B108" s="174"/>
      <c r="C108" s="175"/>
      <c r="D108" s="176" t="s">
        <v>141</v>
      </c>
      <c r="E108" s="163"/>
      <c r="F108" s="163" t="s">
        <v>323</v>
      </c>
      <c r="G108" s="164"/>
      <c r="H108" s="177"/>
      <c r="I108" s="164"/>
      <c r="J108" s="50"/>
      <c r="K108" s="56"/>
      <c r="L108" s="46"/>
    </row>
    <row r="109" spans="1:13" x14ac:dyDescent="0.35">
      <c r="B109" s="174"/>
      <c r="C109" s="175"/>
      <c r="D109" s="176"/>
      <c r="E109" s="163"/>
      <c r="F109" s="163" t="s">
        <v>89</v>
      </c>
      <c r="G109" s="164" t="s">
        <v>324</v>
      </c>
      <c r="H109" s="177">
        <v>384.99539999999996</v>
      </c>
      <c r="I109" s="164" t="s">
        <v>87</v>
      </c>
      <c r="J109" s="50">
        <v>31000</v>
      </c>
      <c r="K109" s="56"/>
      <c r="L109" s="46">
        <f>J109*H109</f>
        <v>11934857.399999999</v>
      </c>
    </row>
    <row r="110" spans="1:13" x14ac:dyDescent="0.35">
      <c r="B110" s="174"/>
      <c r="C110" s="175"/>
      <c r="D110" s="176" t="s">
        <v>143</v>
      </c>
      <c r="E110" s="163"/>
      <c r="F110" s="163" t="s">
        <v>325</v>
      </c>
      <c r="G110" s="164"/>
      <c r="H110" s="177"/>
      <c r="I110" s="164"/>
      <c r="J110" s="50"/>
      <c r="K110" s="56"/>
      <c r="L110" s="46"/>
    </row>
    <row r="111" spans="1:13" x14ac:dyDescent="0.35">
      <c r="B111" s="174"/>
      <c r="C111" s="175"/>
      <c r="D111" s="176"/>
      <c r="E111" s="163"/>
      <c r="F111" s="163"/>
      <c r="G111" s="164" t="s">
        <v>326</v>
      </c>
      <c r="H111" s="177">
        <v>70.898687999999993</v>
      </c>
      <c r="I111" s="164" t="s">
        <v>87</v>
      </c>
      <c r="J111" s="50">
        <v>31000</v>
      </c>
      <c r="K111" s="56"/>
      <c r="L111" s="46">
        <f>J111*H111</f>
        <v>2197859.3279999997</v>
      </c>
    </row>
    <row r="112" spans="1:13" x14ac:dyDescent="0.35">
      <c r="B112" s="174"/>
      <c r="C112" s="175"/>
      <c r="D112" s="176" t="s">
        <v>67</v>
      </c>
      <c r="E112" s="163"/>
      <c r="F112" s="163" t="s">
        <v>327</v>
      </c>
      <c r="G112" s="164"/>
      <c r="H112" s="177"/>
      <c r="I112" s="164"/>
      <c r="J112" s="46"/>
      <c r="K112" s="56"/>
      <c r="L112" s="46"/>
    </row>
    <row r="113" spans="2:12" x14ac:dyDescent="0.35">
      <c r="B113" s="174"/>
      <c r="C113" s="175"/>
      <c r="D113" s="176"/>
      <c r="E113" s="163"/>
      <c r="F113" s="163"/>
      <c r="G113" s="164" t="s">
        <v>328</v>
      </c>
      <c r="H113" s="177">
        <v>226.07999999999998</v>
      </c>
      <c r="I113" s="164" t="s">
        <v>87</v>
      </c>
      <c r="J113" s="50">
        <v>31000</v>
      </c>
      <c r="K113" s="56"/>
      <c r="L113" s="46">
        <f>J113*H113</f>
        <v>7008479.9999999991</v>
      </c>
    </row>
    <row r="114" spans="2:12" x14ac:dyDescent="0.35">
      <c r="B114" s="174"/>
      <c r="C114" s="175"/>
      <c r="D114" s="176" t="s">
        <v>69</v>
      </c>
      <c r="E114" s="163"/>
      <c r="F114" s="163" t="s">
        <v>229</v>
      </c>
      <c r="G114" s="164"/>
      <c r="H114" s="177"/>
      <c r="I114" s="164"/>
      <c r="J114" s="50"/>
      <c r="K114" s="56"/>
      <c r="L114" s="46"/>
    </row>
    <row r="115" spans="2:12" x14ac:dyDescent="0.35">
      <c r="B115" s="174"/>
      <c r="C115" s="175"/>
      <c r="D115" s="176"/>
      <c r="E115" s="163"/>
      <c r="F115" s="163" t="s">
        <v>89</v>
      </c>
      <c r="G115" s="164" t="s">
        <v>329</v>
      </c>
      <c r="H115" s="177">
        <v>1057.3007999999998</v>
      </c>
      <c r="I115" s="164" t="s">
        <v>87</v>
      </c>
      <c r="J115" s="50">
        <v>31000</v>
      </c>
      <c r="K115" s="56"/>
      <c r="L115" s="46">
        <f t="shared" ref="L115:L120" si="7">J115*H115</f>
        <v>32776324.799999993</v>
      </c>
    </row>
    <row r="116" spans="2:12" x14ac:dyDescent="0.35">
      <c r="B116" s="174"/>
      <c r="C116" s="175"/>
      <c r="D116" s="176"/>
      <c r="E116" s="163"/>
      <c r="F116" s="163" t="s">
        <v>89</v>
      </c>
      <c r="G116" s="164" t="s">
        <v>330</v>
      </c>
      <c r="H116" s="177">
        <v>1057.3007999999998</v>
      </c>
      <c r="I116" s="164" t="s">
        <v>87</v>
      </c>
      <c r="J116" s="50">
        <v>31000</v>
      </c>
      <c r="K116" s="56"/>
      <c r="L116" s="46">
        <f t="shared" si="7"/>
        <v>32776324.799999993</v>
      </c>
    </row>
    <row r="117" spans="2:12" x14ac:dyDescent="0.35">
      <c r="B117" s="174"/>
      <c r="C117" s="175"/>
      <c r="D117" s="176"/>
      <c r="E117" s="163"/>
      <c r="F117" s="163" t="s">
        <v>89</v>
      </c>
      <c r="G117" s="164" t="s">
        <v>331</v>
      </c>
      <c r="H117" s="177">
        <v>1057.3007999999998</v>
      </c>
      <c r="I117" s="164" t="s">
        <v>87</v>
      </c>
      <c r="J117" s="50">
        <v>31000</v>
      </c>
      <c r="K117" s="56"/>
      <c r="L117" s="46">
        <f t="shared" si="7"/>
        <v>32776324.799999993</v>
      </c>
    </row>
    <row r="118" spans="2:12" x14ac:dyDescent="0.35">
      <c r="B118" s="174"/>
      <c r="C118" s="175"/>
      <c r="D118" s="176"/>
      <c r="E118" s="163"/>
      <c r="F118" s="163" t="s">
        <v>89</v>
      </c>
      <c r="G118" s="164" t="s">
        <v>332</v>
      </c>
      <c r="H118" s="177">
        <v>1057.3007999999998</v>
      </c>
      <c r="I118" s="164" t="s">
        <v>87</v>
      </c>
      <c r="J118" s="50">
        <v>31000</v>
      </c>
      <c r="K118" s="56"/>
      <c r="L118" s="46">
        <f t="shared" si="7"/>
        <v>32776324.799999993</v>
      </c>
    </row>
    <row r="119" spans="2:12" x14ac:dyDescent="0.35">
      <c r="B119" s="174"/>
      <c r="C119" s="175"/>
      <c r="D119" s="176"/>
      <c r="E119" s="163"/>
      <c r="F119" s="163" t="s">
        <v>89</v>
      </c>
      <c r="G119" s="164" t="s">
        <v>333</v>
      </c>
      <c r="H119" s="177">
        <v>1057.3007999999998</v>
      </c>
      <c r="I119" s="164" t="s">
        <v>87</v>
      </c>
      <c r="J119" s="50">
        <v>31000</v>
      </c>
      <c r="K119" s="56"/>
      <c r="L119" s="46">
        <f t="shared" si="7"/>
        <v>32776324.799999993</v>
      </c>
    </row>
    <row r="120" spans="2:12" x14ac:dyDescent="0.35">
      <c r="B120" s="174"/>
      <c r="C120" s="175"/>
      <c r="D120" s="176"/>
      <c r="E120" s="163"/>
      <c r="F120" s="163" t="s">
        <v>89</v>
      </c>
      <c r="G120" s="164" t="s">
        <v>334</v>
      </c>
      <c r="H120" s="177">
        <v>1057.3007999999998</v>
      </c>
      <c r="I120" s="164" t="s">
        <v>87</v>
      </c>
      <c r="J120" s="50">
        <v>31000</v>
      </c>
      <c r="K120" s="56"/>
      <c r="L120" s="46">
        <f t="shared" si="7"/>
        <v>32776324.799999993</v>
      </c>
    </row>
    <row r="121" spans="2:12" x14ac:dyDescent="0.35">
      <c r="B121" s="174"/>
      <c r="C121" s="175"/>
      <c r="D121" s="176" t="s">
        <v>71</v>
      </c>
      <c r="E121" s="163"/>
      <c r="F121" s="163" t="s">
        <v>335</v>
      </c>
      <c r="G121" s="164"/>
      <c r="H121" s="177"/>
      <c r="I121" s="164"/>
      <c r="J121" s="65"/>
      <c r="K121" s="65"/>
      <c r="L121" s="46"/>
    </row>
    <row r="122" spans="2:12" x14ac:dyDescent="0.35">
      <c r="B122" s="174"/>
      <c r="C122" s="175"/>
      <c r="D122" s="176"/>
      <c r="E122" s="163"/>
      <c r="F122" s="163" t="s">
        <v>89</v>
      </c>
      <c r="G122" s="164" t="s">
        <v>336</v>
      </c>
      <c r="H122" s="177">
        <v>1057.3007999999998</v>
      </c>
      <c r="I122" s="164" t="s">
        <v>87</v>
      </c>
      <c r="J122" s="50">
        <v>31000</v>
      </c>
      <c r="K122" s="56"/>
      <c r="L122" s="46">
        <f>J122*H122</f>
        <v>32776324.799999993</v>
      </c>
    </row>
    <row r="123" spans="2:12" x14ac:dyDescent="0.35">
      <c r="B123" s="174"/>
      <c r="C123" s="175"/>
      <c r="D123" s="176"/>
      <c r="E123" s="163"/>
      <c r="F123" s="163" t="s">
        <v>89</v>
      </c>
      <c r="G123" s="164" t="s">
        <v>337</v>
      </c>
      <c r="H123" s="177">
        <v>1057.3007999999998</v>
      </c>
      <c r="I123" s="164" t="s">
        <v>87</v>
      </c>
      <c r="J123" s="50">
        <v>31000</v>
      </c>
      <c r="K123" s="56"/>
      <c r="L123" s="46">
        <f>J123*H123</f>
        <v>32776324.799999993</v>
      </c>
    </row>
    <row r="124" spans="2:12" x14ac:dyDescent="0.35">
      <c r="B124" s="174"/>
      <c r="C124" s="175"/>
      <c r="D124" s="176"/>
      <c r="E124" s="163"/>
      <c r="F124" s="163" t="s">
        <v>89</v>
      </c>
      <c r="G124" s="164" t="s">
        <v>338</v>
      </c>
      <c r="H124" s="177">
        <v>1057.3007999999998</v>
      </c>
      <c r="I124" s="164" t="s">
        <v>87</v>
      </c>
      <c r="J124" s="50">
        <v>31000</v>
      </c>
      <c r="K124" s="56"/>
      <c r="L124" s="46">
        <f>J124*H124</f>
        <v>32776324.799999993</v>
      </c>
    </row>
    <row r="125" spans="2:12" x14ac:dyDescent="0.35">
      <c r="B125" s="174"/>
      <c r="C125" s="175"/>
      <c r="D125" s="176" t="s">
        <v>73</v>
      </c>
      <c r="E125" s="163"/>
      <c r="F125" s="163" t="s">
        <v>339</v>
      </c>
      <c r="G125" s="164"/>
      <c r="H125" s="177"/>
      <c r="I125" s="164"/>
      <c r="J125" s="50"/>
      <c r="K125" s="56"/>
      <c r="L125" s="46"/>
    </row>
    <row r="126" spans="2:12" x14ac:dyDescent="0.35">
      <c r="B126" s="174"/>
      <c r="C126" s="175"/>
      <c r="D126" s="176"/>
      <c r="E126" s="163"/>
      <c r="F126" s="163"/>
      <c r="G126" s="164" t="s">
        <v>340</v>
      </c>
      <c r="H126" s="177">
        <v>111.79655999999999</v>
      </c>
      <c r="I126" s="164" t="s">
        <v>87</v>
      </c>
      <c r="J126" s="50">
        <v>31000</v>
      </c>
      <c r="K126" s="56"/>
      <c r="L126" s="46">
        <f>J126*H126</f>
        <v>3465693.3599999994</v>
      </c>
    </row>
    <row r="127" spans="2:12" x14ac:dyDescent="0.35">
      <c r="B127" s="174"/>
      <c r="C127" s="175"/>
      <c r="D127" s="176" t="s">
        <v>75</v>
      </c>
      <c r="E127" s="163"/>
      <c r="F127" s="163" t="s">
        <v>341</v>
      </c>
      <c r="G127" s="164"/>
      <c r="H127" s="177"/>
      <c r="I127" s="164"/>
      <c r="J127" s="50"/>
      <c r="K127" s="56"/>
      <c r="L127" s="46"/>
    </row>
    <row r="128" spans="2:12" x14ac:dyDescent="0.35">
      <c r="B128" s="174"/>
      <c r="C128" s="175"/>
      <c r="D128" s="176"/>
      <c r="E128" s="163"/>
      <c r="F128" s="163"/>
      <c r="G128" s="164" t="s">
        <v>342</v>
      </c>
      <c r="H128" s="177">
        <v>311.99039999999991</v>
      </c>
      <c r="I128" s="164" t="s">
        <v>87</v>
      </c>
      <c r="J128" s="50">
        <v>31000</v>
      </c>
      <c r="K128" s="56"/>
      <c r="L128" s="46">
        <f>J128*H128</f>
        <v>9671702.3999999966</v>
      </c>
    </row>
    <row r="129" spans="2:12" x14ac:dyDescent="0.35">
      <c r="B129" s="174"/>
      <c r="C129" s="175"/>
      <c r="D129" s="176" t="s">
        <v>76</v>
      </c>
      <c r="E129" s="163"/>
      <c r="F129" s="163" t="s">
        <v>343</v>
      </c>
      <c r="G129" s="164"/>
      <c r="H129" s="177"/>
      <c r="I129" s="164"/>
      <c r="J129" s="50"/>
      <c r="K129" s="56"/>
      <c r="L129" s="46"/>
    </row>
    <row r="130" spans="2:12" x14ac:dyDescent="0.35">
      <c r="B130" s="174"/>
      <c r="C130" s="175"/>
      <c r="D130" s="176"/>
      <c r="E130" s="163"/>
      <c r="F130" s="163" t="s">
        <v>89</v>
      </c>
      <c r="G130" s="164" t="s">
        <v>344</v>
      </c>
      <c r="H130" s="177">
        <v>736.64399999999989</v>
      </c>
      <c r="I130" s="164" t="s">
        <v>87</v>
      </c>
      <c r="J130" s="50">
        <v>31000</v>
      </c>
      <c r="K130" s="56"/>
      <c r="L130" s="46">
        <f>J130*H130</f>
        <v>22835963.999999996</v>
      </c>
    </row>
    <row r="131" spans="2:12" x14ac:dyDescent="0.35">
      <c r="B131" s="174"/>
      <c r="C131" s="175"/>
      <c r="D131" s="176"/>
      <c r="E131" s="163"/>
      <c r="F131" s="163" t="s">
        <v>89</v>
      </c>
      <c r="G131" s="164" t="s">
        <v>345</v>
      </c>
      <c r="H131" s="177">
        <v>736.64399999999989</v>
      </c>
      <c r="I131" s="164" t="s">
        <v>87</v>
      </c>
      <c r="J131" s="50">
        <v>31000</v>
      </c>
      <c r="K131" s="56"/>
      <c r="L131" s="46">
        <f>J131*H131</f>
        <v>22835963.999999996</v>
      </c>
    </row>
    <row r="132" spans="2:12" x14ac:dyDescent="0.35">
      <c r="B132" s="174"/>
      <c r="C132" s="175"/>
      <c r="D132" s="176"/>
      <c r="E132" s="163"/>
      <c r="F132" s="163" t="s">
        <v>89</v>
      </c>
      <c r="G132" s="164" t="s">
        <v>346</v>
      </c>
      <c r="H132" s="177">
        <v>736.64399999999989</v>
      </c>
      <c r="I132" s="164" t="s">
        <v>87</v>
      </c>
      <c r="J132" s="50">
        <v>31000</v>
      </c>
      <c r="K132" s="56"/>
      <c r="L132" s="46">
        <f>J132*H132</f>
        <v>22835963.999999996</v>
      </c>
    </row>
    <row r="133" spans="2:12" x14ac:dyDescent="0.35">
      <c r="B133" s="174"/>
      <c r="C133" s="175"/>
      <c r="D133" s="176"/>
      <c r="E133" s="163"/>
      <c r="F133" s="163" t="s">
        <v>89</v>
      </c>
      <c r="G133" s="164" t="s">
        <v>347</v>
      </c>
      <c r="H133" s="177">
        <v>736.64399999999989</v>
      </c>
      <c r="I133" s="164" t="s">
        <v>87</v>
      </c>
      <c r="J133" s="50">
        <v>31000</v>
      </c>
      <c r="K133" s="56"/>
      <c r="L133" s="46">
        <f>J133*H133</f>
        <v>22835963.999999996</v>
      </c>
    </row>
    <row r="134" spans="2:12" x14ac:dyDescent="0.35">
      <c r="B134" s="174"/>
      <c r="C134" s="175"/>
      <c r="D134" s="176" t="s">
        <v>194</v>
      </c>
      <c r="E134" s="163"/>
      <c r="F134" s="163" t="s">
        <v>348</v>
      </c>
      <c r="G134" s="164"/>
      <c r="H134" s="177"/>
      <c r="I134" s="164"/>
      <c r="J134" s="50"/>
      <c r="K134" s="56"/>
      <c r="L134" s="46"/>
    </row>
    <row r="135" spans="2:12" x14ac:dyDescent="0.35">
      <c r="B135" s="174"/>
      <c r="C135" s="175"/>
      <c r="D135" s="176"/>
      <c r="E135" s="163"/>
      <c r="F135" s="163" t="s">
        <v>89</v>
      </c>
      <c r="G135" s="164" t="s">
        <v>349</v>
      </c>
      <c r="H135" s="177">
        <v>736.64399999999989</v>
      </c>
      <c r="I135" s="164" t="s">
        <v>87</v>
      </c>
      <c r="J135" s="50">
        <v>31000</v>
      </c>
      <c r="K135" s="56"/>
      <c r="L135" s="46">
        <f>J135*H135</f>
        <v>22835963.999999996</v>
      </c>
    </row>
    <row r="136" spans="2:12" x14ac:dyDescent="0.35">
      <c r="B136" s="174"/>
      <c r="C136" s="175"/>
      <c r="D136" s="176"/>
      <c r="E136" s="163"/>
      <c r="F136" s="163" t="s">
        <v>89</v>
      </c>
      <c r="G136" s="164" t="s">
        <v>350</v>
      </c>
      <c r="H136" s="177">
        <v>736.64399999999989</v>
      </c>
      <c r="I136" s="164" t="s">
        <v>87</v>
      </c>
      <c r="J136" s="50">
        <v>31000</v>
      </c>
      <c r="K136" s="56"/>
      <c r="L136" s="46">
        <f>J136*H136</f>
        <v>22835963.999999996</v>
      </c>
    </row>
    <row r="137" spans="2:12" x14ac:dyDescent="0.35">
      <c r="B137" s="174"/>
      <c r="C137" s="175"/>
      <c r="D137" s="176"/>
      <c r="E137" s="163"/>
      <c r="F137" s="163" t="s">
        <v>89</v>
      </c>
      <c r="G137" s="164" t="s">
        <v>351</v>
      </c>
      <c r="H137" s="177">
        <v>736.64399999999989</v>
      </c>
      <c r="I137" s="164" t="s">
        <v>87</v>
      </c>
      <c r="J137" s="50">
        <v>31000</v>
      </c>
      <c r="K137" s="56"/>
      <c r="L137" s="46">
        <f>J137*H137</f>
        <v>22835963.999999996</v>
      </c>
    </row>
    <row r="138" spans="2:12" x14ac:dyDescent="0.35">
      <c r="B138" s="174"/>
      <c r="C138" s="175"/>
      <c r="D138" s="176"/>
      <c r="E138" s="163"/>
      <c r="F138" s="163"/>
      <c r="G138" s="164"/>
      <c r="H138" s="177"/>
      <c r="I138" s="164"/>
      <c r="J138" s="50"/>
      <c r="K138" s="29"/>
      <c r="L138" s="52"/>
    </row>
    <row r="139" spans="2:12" x14ac:dyDescent="0.35">
      <c r="B139" s="174"/>
      <c r="C139" s="175"/>
      <c r="D139" s="176"/>
      <c r="E139" s="163"/>
      <c r="F139" s="163"/>
      <c r="G139" s="164"/>
      <c r="H139" s="177"/>
      <c r="I139" s="164"/>
      <c r="J139" s="50"/>
      <c r="K139" s="29"/>
      <c r="L139" s="52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0</v>
      </c>
      <c r="L140" s="7">
        <f>SUM(L87:L139)</f>
        <v>731291785.84799993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22</v>
      </c>
      <c r="L141" s="36" t="s">
        <v>23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284" t="s">
        <v>1600</v>
      </c>
      <c r="L144" s="285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284" t="s">
        <v>28</v>
      </c>
      <c r="L145" s="285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286" t="s">
        <v>36</v>
      </c>
      <c r="L151" s="287"/>
    </row>
    <row r="152" spans="2:12" x14ac:dyDescent="0.35">
      <c r="B152" s="45"/>
      <c r="K152" s="288" t="s">
        <v>37</v>
      </c>
      <c r="L152" s="289"/>
    </row>
    <row r="153" spans="2:12" x14ac:dyDescent="0.35">
      <c r="B153" s="290"/>
      <c r="C153" s="291"/>
      <c r="D153" s="291"/>
      <c r="E153" s="41"/>
      <c r="F153" s="41"/>
      <c r="G153" s="41"/>
      <c r="H153" s="2"/>
      <c r="I153" s="2"/>
      <c r="J153" s="2"/>
      <c r="K153" s="2"/>
      <c r="L153" s="21"/>
    </row>
    <row r="154" spans="2:12" x14ac:dyDescent="0.35">
      <c r="B154" s="47"/>
      <c r="C154" s="48"/>
      <c r="D154" s="49"/>
      <c r="G154" s="22"/>
      <c r="H154" s="1"/>
      <c r="I154" s="1"/>
      <c r="J154" s="43"/>
      <c r="K154" s="30"/>
      <c r="L154" s="44"/>
    </row>
    <row r="155" spans="2:12" x14ac:dyDescent="0.35">
      <c r="B155" s="174"/>
      <c r="C155" s="175"/>
      <c r="D155" s="176" t="s">
        <v>196</v>
      </c>
      <c r="E155" s="163"/>
      <c r="F155" s="163" t="s">
        <v>352</v>
      </c>
      <c r="G155" s="164"/>
      <c r="H155" s="177"/>
      <c r="I155" s="164"/>
      <c r="J155" s="29"/>
      <c r="K155" s="51"/>
      <c r="L155" s="46"/>
    </row>
    <row r="156" spans="2:12" x14ac:dyDescent="0.35">
      <c r="B156" s="174"/>
      <c r="C156" s="175"/>
      <c r="D156" s="176"/>
      <c r="E156" s="163"/>
      <c r="F156" s="163"/>
      <c r="G156" s="164" t="s">
        <v>353</v>
      </c>
      <c r="H156" s="177">
        <v>120.63628799999996</v>
      </c>
      <c r="I156" s="164" t="s">
        <v>87</v>
      </c>
      <c r="J156" s="50">
        <v>31000</v>
      </c>
      <c r="K156" s="56"/>
      <c r="L156" s="46">
        <f>J156*H156</f>
        <v>3739724.9279999989</v>
      </c>
    </row>
    <row r="157" spans="2:12" x14ac:dyDescent="0.35">
      <c r="B157" s="174"/>
      <c r="C157" s="175" t="s">
        <v>113</v>
      </c>
      <c r="D157" s="176"/>
      <c r="E157" s="163"/>
      <c r="F157" s="163" t="s">
        <v>114</v>
      </c>
      <c r="G157" s="164"/>
      <c r="H157" s="177"/>
      <c r="I157" s="164"/>
      <c r="J157" s="50"/>
      <c r="K157" s="56"/>
      <c r="L157" s="46"/>
    </row>
    <row r="158" spans="2:12" x14ac:dyDescent="0.35">
      <c r="B158" s="174"/>
      <c r="C158" s="175"/>
      <c r="D158" s="176" t="s">
        <v>44</v>
      </c>
      <c r="E158" s="163"/>
      <c r="F158" s="163" t="s">
        <v>354</v>
      </c>
      <c r="G158" s="164"/>
      <c r="H158" s="177"/>
      <c r="I158" s="164"/>
      <c r="J158" s="50"/>
      <c r="K158" s="56"/>
      <c r="L158" s="46"/>
    </row>
    <row r="159" spans="2:12" x14ac:dyDescent="0.35">
      <c r="B159" s="174"/>
      <c r="C159" s="175"/>
      <c r="D159" s="176"/>
      <c r="E159" s="163"/>
      <c r="F159" s="163" t="s">
        <v>89</v>
      </c>
      <c r="G159" s="164" t="s">
        <v>355</v>
      </c>
      <c r="H159" s="177">
        <v>879.16859999999986</v>
      </c>
      <c r="I159" s="164" t="s">
        <v>87</v>
      </c>
      <c r="J159" s="50">
        <v>31000</v>
      </c>
      <c r="K159" s="56"/>
      <c r="L159" s="46">
        <f t="shared" ref="L159:L165" si="8">J159*H159</f>
        <v>27254226.599999994</v>
      </c>
    </row>
    <row r="160" spans="2:12" x14ac:dyDescent="0.35">
      <c r="B160" s="174"/>
      <c r="C160" s="175"/>
      <c r="D160" s="176"/>
      <c r="E160" s="163"/>
      <c r="F160" s="163" t="s">
        <v>89</v>
      </c>
      <c r="G160" s="164" t="s">
        <v>356</v>
      </c>
      <c r="H160" s="177">
        <v>1051.5545999999999</v>
      </c>
      <c r="I160" s="164" t="s">
        <v>87</v>
      </c>
      <c r="J160" s="50">
        <v>31000</v>
      </c>
      <c r="K160" s="56"/>
      <c r="L160" s="46">
        <f t="shared" si="8"/>
        <v>32598192.599999998</v>
      </c>
    </row>
    <row r="161" spans="2:12" x14ac:dyDescent="0.35">
      <c r="B161" s="174"/>
      <c r="C161" s="175"/>
      <c r="D161" s="176"/>
      <c r="E161" s="163"/>
      <c r="F161" s="163" t="s">
        <v>89</v>
      </c>
      <c r="G161" s="164" t="s">
        <v>357</v>
      </c>
      <c r="H161" s="177">
        <v>1051.5545999999999</v>
      </c>
      <c r="I161" s="164" t="s">
        <v>87</v>
      </c>
      <c r="J161" s="50">
        <v>31000</v>
      </c>
      <c r="K161" s="56"/>
      <c r="L161" s="46">
        <f t="shared" si="8"/>
        <v>32598192.599999998</v>
      </c>
    </row>
    <row r="162" spans="2:12" x14ac:dyDescent="0.35">
      <c r="B162" s="174"/>
      <c r="C162" s="175"/>
      <c r="D162" s="176"/>
      <c r="E162" s="163"/>
      <c r="F162" s="163" t="s">
        <v>89</v>
      </c>
      <c r="G162" s="164" t="s">
        <v>358</v>
      </c>
      <c r="H162" s="177">
        <v>1051.5545999999999</v>
      </c>
      <c r="I162" s="164" t="s">
        <v>87</v>
      </c>
      <c r="J162" s="50">
        <v>31000</v>
      </c>
      <c r="K162" s="56"/>
      <c r="L162" s="46">
        <f t="shared" si="8"/>
        <v>32598192.599999998</v>
      </c>
    </row>
    <row r="163" spans="2:12" x14ac:dyDescent="0.35">
      <c r="B163" s="174"/>
      <c r="C163" s="175"/>
      <c r="D163" s="176"/>
      <c r="E163" s="163"/>
      <c r="F163" s="163" t="s">
        <v>89</v>
      </c>
      <c r="G163" s="164" t="s">
        <v>359</v>
      </c>
      <c r="H163" s="177">
        <v>1057.3007999999998</v>
      </c>
      <c r="I163" s="164" t="s">
        <v>87</v>
      </c>
      <c r="J163" s="50">
        <v>31000</v>
      </c>
      <c r="K163" s="56"/>
      <c r="L163" s="46">
        <f t="shared" si="8"/>
        <v>32776324.799999993</v>
      </c>
    </row>
    <row r="164" spans="2:12" x14ac:dyDescent="0.35">
      <c r="B164" s="174"/>
      <c r="C164" s="175"/>
      <c r="D164" s="176"/>
      <c r="E164" s="163"/>
      <c r="F164" s="163" t="s">
        <v>89</v>
      </c>
      <c r="G164" s="164" t="s">
        <v>360</v>
      </c>
      <c r="H164" s="177">
        <v>948.12299999999982</v>
      </c>
      <c r="I164" s="164" t="s">
        <v>87</v>
      </c>
      <c r="J164" s="50">
        <v>31000</v>
      </c>
      <c r="K164" s="56"/>
      <c r="L164" s="46">
        <f t="shared" si="8"/>
        <v>29391812.999999996</v>
      </c>
    </row>
    <row r="165" spans="2:12" x14ac:dyDescent="0.35">
      <c r="B165" s="174"/>
      <c r="C165" s="175"/>
      <c r="D165" s="176"/>
      <c r="E165" s="163"/>
      <c r="F165" s="163" t="s">
        <v>89</v>
      </c>
      <c r="G165" s="164" t="s">
        <v>361</v>
      </c>
      <c r="H165" s="177">
        <v>879.16859999999986</v>
      </c>
      <c r="I165" s="164" t="s">
        <v>87</v>
      </c>
      <c r="J165" s="50">
        <v>31000</v>
      </c>
      <c r="K165" s="56"/>
      <c r="L165" s="46">
        <f t="shared" si="8"/>
        <v>27254226.599999994</v>
      </c>
    </row>
    <row r="166" spans="2:12" x14ac:dyDescent="0.35">
      <c r="B166" s="174"/>
      <c r="C166" s="175"/>
      <c r="D166" s="176" t="s">
        <v>47</v>
      </c>
      <c r="E166" s="163"/>
      <c r="F166" s="163" t="s">
        <v>362</v>
      </c>
      <c r="G166" s="164"/>
      <c r="H166" s="177"/>
      <c r="I166" s="164"/>
      <c r="J166" s="50"/>
      <c r="K166" s="56"/>
      <c r="L166" s="46"/>
    </row>
    <row r="167" spans="2:12" x14ac:dyDescent="0.35">
      <c r="B167" s="174"/>
      <c r="C167" s="175"/>
      <c r="D167" s="176"/>
      <c r="E167" s="163"/>
      <c r="F167" s="163" t="s">
        <v>89</v>
      </c>
      <c r="G167" s="164" t="s">
        <v>355</v>
      </c>
      <c r="H167" s="177">
        <v>879.16859999999986</v>
      </c>
      <c r="I167" s="164" t="s">
        <v>87</v>
      </c>
      <c r="J167" s="50">
        <v>31000</v>
      </c>
      <c r="K167" s="56"/>
      <c r="L167" s="46">
        <f t="shared" ref="L167:L173" si="9">J167*H167</f>
        <v>27254226.599999994</v>
      </c>
    </row>
    <row r="168" spans="2:12" x14ac:dyDescent="0.35">
      <c r="B168" s="174"/>
      <c r="C168" s="175"/>
      <c r="D168" s="176"/>
      <c r="E168" s="163"/>
      <c r="F168" s="163" t="s">
        <v>89</v>
      </c>
      <c r="G168" s="164" t="s">
        <v>363</v>
      </c>
      <c r="H168" s="177">
        <v>1057.3007999999998</v>
      </c>
      <c r="I168" s="164" t="s">
        <v>87</v>
      </c>
      <c r="J168" s="50">
        <v>31000</v>
      </c>
      <c r="K168" s="56"/>
      <c r="L168" s="46">
        <f t="shared" si="9"/>
        <v>32776324.799999993</v>
      </c>
    </row>
    <row r="169" spans="2:12" x14ac:dyDescent="0.35">
      <c r="B169" s="174"/>
      <c r="C169" s="175"/>
      <c r="D169" s="176"/>
      <c r="E169" s="163"/>
      <c r="F169" s="163" t="s">
        <v>89</v>
      </c>
      <c r="G169" s="164" t="s">
        <v>364</v>
      </c>
      <c r="H169" s="177">
        <v>1057.3007999999998</v>
      </c>
      <c r="I169" s="164" t="s">
        <v>87</v>
      </c>
      <c r="J169" s="50">
        <v>31000</v>
      </c>
      <c r="K169" s="56"/>
      <c r="L169" s="46">
        <f t="shared" si="9"/>
        <v>32776324.799999993</v>
      </c>
    </row>
    <row r="170" spans="2:12" x14ac:dyDescent="0.35">
      <c r="B170" s="174"/>
      <c r="C170" s="175"/>
      <c r="D170" s="176"/>
      <c r="E170" s="163"/>
      <c r="F170" s="163" t="s">
        <v>89</v>
      </c>
      <c r="G170" s="164" t="s">
        <v>358</v>
      </c>
      <c r="H170" s="177">
        <v>1051.5545999999999</v>
      </c>
      <c r="I170" s="164" t="s">
        <v>87</v>
      </c>
      <c r="J170" s="50">
        <v>31000</v>
      </c>
      <c r="K170" s="56"/>
      <c r="L170" s="46">
        <f t="shared" si="9"/>
        <v>32598192.599999998</v>
      </c>
    </row>
    <row r="171" spans="2:12" x14ac:dyDescent="0.35">
      <c r="B171" s="174"/>
      <c r="C171" s="175"/>
      <c r="D171" s="176"/>
      <c r="E171" s="163"/>
      <c r="F171" s="163" t="s">
        <v>89</v>
      </c>
      <c r="G171" s="164" t="s">
        <v>359</v>
      </c>
      <c r="H171" s="177">
        <v>1057.3007999999998</v>
      </c>
      <c r="I171" s="164" t="s">
        <v>87</v>
      </c>
      <c r="J171" s="50">
        <v>31000</v>
      </c>
      <c r="K171" s="56"/>
      <c r="L171" s="46">
        <f t="shared" si="9"/>
        <v>32776324.799999993</v>
      </c>
    </row>
    <row r="172" spans="2:12" x14ac:dyDescent="0.35">
      <c r="B172" s="174"/>
      <c r="C172" s="175"/>
      <c r="D172" s="176"/>
      <c r="E172" s="163"/>
      <c r="F172" s="163" t="s">
        <v>89</v>
      </c>
      <c r="G172" s="164" t="s">
        <v>365</v>
      </c>
      <c r="H172" s="177">
        <v>1057.3007999999998</v>
      </c>
      <c r="I172" s="164" t="s">
        <v>87</v>
      </c>
      <c r="J172" s="50">
        <v>31000</v>
      </c>
      <c r="K172" s="56"/>
      <c r="L172" s="46">
        <f t="shared" si="9"/>
        <v>32776324.799999993</v>
      </c>
    </row>
    <row r="173" spans="2:12" x14ac:dyDescent="0.35">
      <c r="B173" s="174"/>
      <c r="C173" s="175"/>
      <c r="D173" s="176"/>
      <c r="E173" s="163"/>
      <c r="F173" s="163" t="s">
        <v>89</v>
      </c>
      <c r="G173" s="164" t="s">
        <v>366</v>
      </c>
      <c r="H173" s="177">
        <v>850.43759999999986</v>
      </c>
      <c r="I173" s="164" t="s">
        <v>87</v>
      </c>
      <c r="J173" s="50">
        <v>31000</v>
      </c>
      <c r="K173" s="56"/>
      <c r="L173" s="46">
        <f t="shared" si="9"/>
        <v>26363565.599999994</v>
      </c>
    </row>
    <row r="174" spans="2:12" x14ac:dyDescent="0.35">
      <c r="B174" s="174"/>
      <c r="C174" s="175"/>
      <c r="D174" s="176" t="s">
        <v>49</v>
      </c>
      <c r="E174" s="163"/>
      <c r="F174" s="163" t="s">
        <v>367</v>
      </c>
      <c r="G174" s="164"/>
      <c r="H174" s="177"/>
      <c r="I174" s="164"/>
      <c r="J174" s="50"/>
      <c r="K174" s="56"/>
      <c r="L174" s="46"/>
    </row>
    <row r="175" spans="2:12" x14ac:dyDescent="0.35">
      <c r="B175" s="174"/>
      <c r="C175" s="175"/>
      <c r="D175" s="176"/>
      <c r="E175" s="163"/>
      <c r="F175" s="163" t="s">
        <v>89</v>
      </c>
      <c r="G175" s="164" t="s">
        <v>355</v>
      </c>
      <c r="H175" s="177">
        <v>879.16859999999986</v>
      </c>
      <c r="I175" s="164" t="s">
        <v>87</v>
      </c>
      <c r="J175" s="50">
        <v>31000</v>
      </c>
      <c r="K175" s="56"/>
      <c r="L175" s="46">
        <f t="shared" ref="L175:L181" si="10">J175*H175</f>
        <v>27254226.599999994</v>
      </c>
    </row>
    <row r="176" spans="2:12" x14ac:dyDescent="0.35">
      <c r="B176" s="174"/>
      <c r="C176" s="175"/>
      <c r="D176" s="176"/>
      <c r="E176" s="163"/>
      <c r="F176" s="163" t="s">
        <v>89</v>
      </c>
      <c r="G176" s="164" t="s">
        <v>356</v>
      </c>
      <c r="H176" s="177">
        <v>1051.5545999999999</v>
      </c>
      <c r="I176" s="164" t="s">
        <v>87</v>
      </c>
      <c r="J176" s="50">
        <v>31000</v>
      </c>
      <c r="K176" s="56"/>
      <c r="L176" s="46">
        <f t="shared" si="10"/>
        <v>32598192.599999998</v>
      </c>
    </row>
    <row r="177" spans="2:12" x14ac:dyDescent="0.35">
      <c r="B177" s="174"/>
      <c r="C177" s="175"/>
      <c r="D177" s="176"/>
      <c r="E177" s="163"/>
      <c r="F177" s="163" t="s">
        <v>89</v>
      </c>
      <c r="G177" s="164" t="s">
        <v>357</v>
      </c>
      <c r="H177" s="177">
        <v>1051.5545999999999</v>
      </c>
      <c r="I177" s="164" t="s">
        <v>87</v>
      </c>
      <c r="J177" s="50">
        <v>31000</v>
      </c>
      <c r="K177" s="56"/>
      <c r="L177" s="46">
        <f t="shared" si="10"/>
        <v>32598192.599999998</v>
      </c>
    </row>
    <row r="178" spans="2:12" x14ac:dyDescent="0.35">
      <c r="B178" s="174"/>
      <c r="C178" s="175"/>
      <c r="D178" s="176"/>
      <c r="E178" s="163"/>
      <c r="F178" s="163" t="s">
        <v>89</v>
      </c>
      <c r="G178" s="164" t="s">
        <v>358</v>
      </c>
      <c r="H178" s="177">
        <v>1051.5545999999999</v>
      </c>
      <c r="I178" s="164" t="s">
        <v>87</v>
      </c>
      <c r="J178" s="50">
        <v>31000</v>
      </c>
      <c r="K178" s="56"/>
      <c r="L178" s="46">
        <f t="shared" si="10"/>
        <v>32598192.599999998</v>
      </c>
    </row>
    <row r="179" spans="2:12" x14ac:dyDescent="0.35">
      <c r="B179" s="174"/>
      <c r="C179" s="175"/>
      <c r="D179" s="176"/>
      <c r="E179" s="163"/>
      <c r="F179" s="163" t="s">
        <v>89</v>
      </c>
      <c r="G179" s="164" t="s">
        <v>359</v>
      </c>
      <c r="H179" s="177">
        <v>1057.3007999999998</v>
      </c>
      <c r="I179" s="164" t="s">
        <v>87</v>
      </c>
      <c r="J179" s="50">
        <v>31000</v>
      </c>
      <c r="K179" s="56"/>
      <c r="L179" s="46">
        <f t="shared" si="10"/>
        <v>32776324.799999993</v>
      </c>
    </row>
    <row r="180" spans="2:12" x14ac:dyDescent="0.35">
      <c r="B180" s="174"/>
      <c r="C180" s="175"/>
      <c r="D180" s="176"/>
      <c r="E180" s="163"/>
      <c r="F180" s="163" t="s">
        <v>89</v>
      </c>
      <c r="G180" s="164" t="s">
        <v>360</v>
      </c>
      <c r="H180" s="177">
        <v>948.12299999999982</v>
      </c>
      <c r="I180" s="164" t="s">
        <v>87</v>
      </c>
      <c r="J180" s="50">
        <v>31000</v>
      </c>
      <c r="K180" s="56"/>
      <c r="L180" s="46">
        <f t="shared" si="10"/>
        <v>29391812.999999996</v>
      </c>
    </row>
    <row r="181" spans="2:12" x14ac:dyDescent="0.35">
      <c r="B181" s="174"/>
      <c r="C181" s="175"/>
      <c r="D181" s="176"/>
      <c r="E181" s="163"/>
      <c r="F181" s="163" t="s">
        <v>89</v>
      </c>
      <c r="G181" s="164" t="s">
        <v>361</v>
      </c>
      <c r="H181" s="177">
        <v>879.16859999999986</v>
      </c>
      <c r="I181" s="164" t="s">
        <v>87</v>
      </c>
      <c r="J181" s="50">
        <v>31000</v>
      </c>
      <c r="K181" s="56"/>
      <c r="L181" s="46">
        <f t="shared" si="10"/>
        <v>27254226.599999994</v>
      </c>
    </row>
    <row r="182" spans="2:12" x14ac:dyDescent="0.35">
      <c r="B182" s="174"/>
      <c r="C182" s="175"/>
      <c r="D182" s="176" t="s">
        <v>62</v>
      </c>
      <c r="E182" s="163"/>
      <c r="F182" s="163" t="s">
        <v>368</v>
      </c>
      <c r="G182" s="164"/>
      <c r="H182" s="177"/>
      <c r="I182" s="164"/>
      <c r="J182" s="50"/>
      <c r="K182" s="56"/>
      <c r="L182" s="46"/>
    </row>
    <row r="183" spans="2:12" x14ac:dyDescent="0.35">
      <c r="B183" s="174"/>
      <c r="C183" s="175"/>
      <c r="D183" s="176"/>
      <c r="E183" s="163"/>
      <c r="F183" s="163" t="s">
        <v>89</v>
      </c>
      <c r="G183" s="164" t="s">
        <v>355</v>
      </c>
      <c r="H183" s="177">
        <v>879.16859999999986</v>
      </c>
      <c r="I183" s="164" t="s">
        <v>87</v>
      </c>
      <c r="J183" s="50">
        <v>31000</v>
      </c>
      <c r="K183" s="56"/>
      <c r="L183" s="46">
        <f t="shared" ref="L183:L189" si="11">J183*H183</f>
        <v>27254226.599999994</v>
      </c>
    </row>
    <row r="184" spans="2:12" x14ac:dyDescent="0.35">
      <c r="B184" s="174"/>
      <c r="C184" s="175"/>
      <c r="D184" s="176"/>
      <c r="E184" s="163"/>
      <c r="F184" s="163" t="s">
        <v>89</v>
      </c>
      <c r="G184" s="164" t="s">
        <v>363</v>
      </c>
      <c r="H184" s="177">
        <v>1057.3007999999998</v>
      </c>
      <c r="I184" s="164" t="s">
        <v>87</v>
      </c>
      <c r="J184" s="50">
        <v>31000</v>
      </c>
      <c r="K184" s="56"/>
      <c r="L184" s="46">
        <f t="shared" si="11"/>
        <v>32776324.799999993</v>
      </c>
    </row>
    <row r="185" spans="2:12" x14ac:dyDescent="0.35">
      <c r="B185" s="174"/>
      <c r="C185" s="175"/>
      <c r="D185" s="176"/>
      <c r="E185" s="163"/>
      <c r="F185" s="163" t="s">
        <v>89</v>
      </c>
      <c r="G185" s="164" t="s">
        <v>364</v>
      </c>
      <c r="H185" s="177">
        <v>1057.3007999999998</v>
      </c>
      <c r="I185" s="164" t="s">
        <v>87</v>
      </c>
      <c r="J185" s="50">
        <v>31000</v>
      </c>
      <c r="K185" s="56"/>
      <c r="L185" s="46">
        <f t="shared" si="11"/>
        <v>32776324.799999993</v>
      </c>
    </row>
    <row r="186" spans="2:12" x14ac:dyDescent="0.35">
      <c r="B186" s="174"/>
      <c r="C186" s="175"/>
      <c r="D186" s="176"/>
      <c r="E186" s="163"/>
      <c r="F186" s="163" t="s">
        <v>89</v>
      </c>
      <c r="G186" s="164" t="s">
        <v>358</v>
      </c>
      <c r="H186" s="177">
        <v>1051.5545999999999</v>
      </c>
      <c r="I186" s="164" t="s">
        <v>87</v>
      </c>
      <c r="J186" s="50">
        <v>31000</v>
      </c>
      <c r="K186" s="56"/>
      <c r="L186" s="46">
        <f t="shared" si="11"/>
        <v>32598192.599999998</v>
      </c>
    </row>
    <row r="187" spans="2:12" x14ac:dyDescent="0.35">
      <c r="B187" s="174"/>
      <c r="C187" s="175"/>
      <c r="D187" s="176"/>
      <c r="E187" s="163"/>
      <c r="F187" s="163" t="s">
        <v>89</v>
      </c>
      <c r="G187" s="164" t="s">
        <v>359</v>
      </c>
      <c r="H187" s="177">
        <v>1057.3007999999998</v>
      </c>
      <c r="I187" s="164" t="s">
        <v>87</v>
      </c>
      <c r="J187" s="50">
        <v>31000</v>
      </c>
      <c r="K187" s="56"/>
      <c r="L187" s="46">
        <f t="shared" si="11"/>
        <v>32776324.799999993</v>
      </c>
    </row>
    <row r="188" spans="2:12" x14ac:dyDescent="0.35">
      <c r="B188" s="174"/>
      <c r="C188" s="175"/>
      <c r="D188" s="176"/>
      <c r="E188" s="163"/>
      <c r="F188" s="163" t="s">
        <v>89</v>
      </c>
      <c r="G188" s="164" t="s">
        <v>365</v>
      </c>
      <c r="H188" s="177">
        <v>1057.3007999999998</v>
      </c>
      <c r="I188" s="164" t="s">
        <v>87</v>
      </c>
      <c r="J188" s="50">
        <v>31000</v>
      </c>
      <c r="K188" s="56"/>
      <c r="L188" s="46">
        <f t="shared" si="11"/>
        <v>32776324.799999993</v>
      </c>
    </row>
    <row r="189" spans="2:12" x14ac:dyDescent="0.35">
      <c r="B189" s="174"/>
      <c r="C189" s="175"/>
      <c r="D189" s="176"/>
      <c r="E189" s="163"/>
      <c r="F189" s="163" t="s">
        <v>89</v>
      </c>
      <c r="G189" s="164" t="s">
        <v>366</v>
      </c>
      <c r="H189" s="177">
        <v>850.43759999999986</v>
      </c>
      <c r="I189" s="164" t="s">
        <v>87</v>
      </c>
      <c r="J189" s="50">
        <v>31000</v>
      </c>
      <c r="K189" s="56"/>
      <c r="L189" s="46">
        <f t="shared" si="11"/>
        <v>26363565.599999994</v>
      </c>
    </row>
    <row r="190" spans="2:12" x14ac:dyDescent="0.35">
      <c r="B190" s="174"/>
      <c r="C190" s="175"/>
      <c r="D190" s="176" t="s">
        <v>51</v>
      </c>
      <c r="E190" s="163"/>
      <c r="F190" s="163" t="s">
        <v>369</v>
      </c>
      <c r="G190" s="164"/>
      <c r="H190" s="177"/>
      <c r="I190" s="164"/>
      <c r="J190" s="50"/>
      <c r="K190" s="56"/>
      <c r="L190" s="46"/>
    </row>
    <row r="191" spans="2:12" x14ac:dyDescent="0.35">
      <c r="B191" s="174"/>
      <c r="C191" s="175"/>
      <c r="D191" s="176"/>
      <c r="E191" s="163"/>
      <c r="F191" s="163" t="s">
        <v>89</v>
      </c>
      <c r="G191" s="164" t="s">
        <v>355</v>
      </c>
      <c r="H191" s="177">
        <v>879.16859999999986</v>
      </c>
      <c r="I191" s="164" t="s">
        <v>87</v>
      </c>
      <c r="J191" s="50">
        <v>31000</v>
      </c>
      <c r="K191" s="56"/>
      <c r="L191" s="46">
        <f t="shared" ref="L191:L197" si="12">J191*H191</f>
        <v>27254226.599999994</v>
      </c>
    </row>
    <row r="192" spans="2:12" x14ac:dyDescent="0.35">
      <c r="B192" s="174"/>
      <c r="C192" s="175"/>
      <c r="D192" s="176"/>
      <c r="E192" s="163"/>
      <c r="F192" s="163" t="s">
        <v>89</v>
      </c>
      <c r="G192" s="164" t="s">
        <v>356</v>
      </c>
      <c r="H192" s="177">
        <v>1051.5545999999999</v>
      </c>
      <c r="I192" s="164" t="s">
        <v>87</v>
      </c>
      <c r="J192" s="50">
        <v>31000</v>
      </c>
      <c r="K192" s="56"/>
      <c r="L192" s="46">
        <f t="shared" si="12"/>
        <v>32598192.599999998</v>
      </c>
    </row>
    <row r="193" spans="2:12" x14ac:dyDescent="0.35">
      <c r="B193" s="174"/>
      <c r="C193" s="175"/>
      <c r="D193" s="176"/>
      <c r="E193" s="163"/>
      <c r="F193" s="163" t="s">
        <v>89</v>
      </c>
      <c r="G193" s="164" t="s">
        <v>357</v>
      </c>
      <c r="H193" s="177">
        <v>1051.5545999999999</v>
      </c>
      <c r="I193" s="164" t="s">
        <v>87</v>
      </c>
      <c r="J193" s="50">
        <v>31000</v>
      </c>
      <c r="K193" s="56"/>
      <c r="L193" s="46">
        <f t="shared" si="12"/>
        <v>32598192.599999998</v>
      </c>
    </row>
    <row r="194" spans="2:12" x14ac:dyDescent="0.35">
      <c r="B194" s="174"/>
      <c r="C194" s="175"/>
      <c r="D194" s="176"/>
      <c r="E194" s="163"/>
      <c r="F194" s="163" t="s">
        <v>89</v>
      </c>
      <c r="G194" s="164" t="s">
        <v>358</v>
      </c>
      <c r="H194" s="177">
        <v>1051.5545999999999</v>
      </c>
      <c r="I194" s="164" t="s">
        <v>87</v>
      </c>
      <c r="J194" s="50">
        <v>31000</v>
      </c>
      <c r="K194" s="56"/>
      <c r="L194" s="46">
        <f t="shared" si="12"/>
        <v>32598192.599999998</v>
      </c>
    </row>
    <row r="195" spans="2:12" x14ac:dyDescent="0.35">
      <c r="B195" s="174"/>
      <c r="C195" s="175"/>
      <c r="D195" s="176"/>
      <c r="E195" s="163"/>
      <c r="F195" s="163" t="s">
        <v>89</v>
      </c>
      <c r="G195" s="164" t="s">
        <v>359</v>
      </c>
      <c r="H195" s="177">
        <v>1057.3007999999998</v>
      </c>
      <c r="I195" s="164" t="s">
        <v>87</v>
      </c>
      <c r="J195" s="50">
        <v>31000</v>
      </c>
      <c r="K195" s="56"/>
      <c r="L195" s="46">
        <f t="shared" si="12"/>
        <v>32776324.799999993</v>
      </c>
    </row>
    <row r="196" spans="2:12" x14ac:dyDescent="0.35">
      <c r="B196" s="174"/>
      <c r="C196" s="175"/>
      <c r="D196" s="176"/>
      <c r="E196" s="163"/>
      <c r="F196" s="163" t="s">
        <v>89</v>
      </c>
      <c r="G196" s="164" t="s">
        <v>360</v>
      </c>
      <c r="H196" s="177">
        <v>948.12299999999982</v>
      </c>
      <c r="I196" s="164" t="s">
        <v>87</v>
      </c>
      <c r="J196" s="50">
        <v>31000</v>
      </c>
      <c r="K196" s="56"/>
      <c r="L196" s="46">
        <f t="shared" si="12"/>
        <v>29391812.999999996</v>
      </c>
    </row>
    <row r="197" spans="2:12" x14ac:dyDescent="0.35">
      <c r="B197" s="174"/>
      <c r="C197" s="175"/>
      <c r="D197" s="176"/>
      <c r="E197" s="163"/>
      <c r="F197" s="163" t="s">
        <v>89</v>
      </c>
      <c r="G197" s="164" t="s">
        <v>361</v>
      </c>
      <c r="H197" s="177">
        <v>879.16859999999986</v>
      </c>
      <c r="I197" s="164" t="s">
        <v>87</v>
      </c>
      <c r="J197" s="50">
        <v>31000</v>
      </c>
      <c r="K197" s="56"/>
      <c r="L197" s="46">
        <f t="shared" si="12"/>
        <v>27254226.599999994</v>
      </c>
    </row>
    <row r="198" spans="2:12" x14ac:dyDescent="0.35">
      <c r="B198" s="174"/>
      <c r="C198" s="175"/>
      <c r="D198" s="176" t="s">
        <v>53</v>
      </c>
      <c r="E198" s="163"/>
      <c r="F198" s="163" t="s">
        <v>370</v>
      </c>
      <c r="G198" s="164"/>
      <c r="H198" s="177"/>
      <c r="I198" s="164"/>
      <c r="J198" s="50"/>
      <c r="K198" s="56"/>
      <c r="L198" s="46"/>
    </row>
    <row r="199" spans="2:12" x14ac:dyDescent="0.35">
      <c r="B199" s="174"/>
      <c r="C199" s="175"/>
      <c r="D199" s="176"/>
      <c r="E199" s="163"/>
      <c r="F199" s="163" t="s">
        <v>89</v>
      </c>
      <c r="G199" s="164" t="s">
        <v>355</v>
      </c>
      <c r="H199" s="177">
        <v>879.16859999999986</v>
      </c>
      <c r="I199" s="164" t="s">
        <v>87</v>
      </c>
      <c r="J199" s="50">
        <v>31000</v>
      </c>
      <c r="K199" s="56"/>
      <c r="L199" s="46">
        <f t="shared" ref="L199:L205" si="13">J199*H199</f>
        <v>27254226.599999994</v>
      </c>
    </row>
    <row r="200" spans="2:12" x14ac:dyDescent="0.35">
      <c r="B200" s="174"/>
      <c r="C200" s="175"/>
      <c r="D200" s="176"/>
      <c r="E200" s="163"/>
      <c r="F200" s="163" t="s">
        <v>89</v>
      </c>
      <c r="G200" s="164" t="s">
        <v>363</v>
      </c>
      <c r="H200" s="177">
        <v>1057.3007999999998</v>
      </c>
      <c r="I200" s="164" t="s">
        <v>87</v>
      </c>
      <c r="J200" s="50">
        <v>31000</v>
      </c>
      <c r="K200" s="56"/>
      <c r="L200" s="46">
        <f t="shared" si="13"/>
        <v>32776324.799999993</v>
      </c>
    </row>
    <row r="201" spans="2:12" x14ac:dyDescent="0.35">
      <c r="B201" s="174"/>
      <c r="C201" s="175"/>
      <c r="D201" s="176"/>
      <c r="E201" s="163"/>
      <c r="F201" s="163" t="s">
        <v>89</v>
      </c>
      <c r="G201" s="164" t="s">
        <v>364</v>
      </c>
      <c r="H201" s="177">
        <v>1057.3007999999998</v>
      </c>
      <c r="I201" s="164" t="s">
        <v>87</v>
      </c>
      <c r="J201" s="50">
        <v>31000</v>
      </c>
      <c r="K201" s="56"/>
      <c r="L201" s="46">
        <f t="shared" si="13"/>
        <v>32776324.799999993</v>
      </c>
    </row>
    <row r="202" spans="2:12" x14ac:dyDescent="0.35">
      <c r="B202" s="174"/>
      <c r="C202" s="175"/>
      <c r="D202" s="176"/>
      <c r="E202" s="163"/>
      <c r="F202" s="163" t="s">
        <v>89</v>
      </c>
      <c r="G202" s="164" t="s">
        <v>358</v>
      </c>
      <c r="H202" s="177">
        <v>1051.5545999999999</v>
      </c>
      <c r="I202" s="164" t="s">
        <v>87</v>
      </c>
      <c r="J202" s="50">
        <v>31000</v>
      </c>
      <c r="K202" s="56"/>
      <c r="L202" s="46">
        <f t="shared" si="13"/>
        <v>32598192.599999998</v>
      </c>
    </row>
    <row r="203" spans="2:12" x14ac:dyDescent="0.35">
      <c r="B203" s="174"/>
      <c r="C203" s="175"/>
      <c r="D203" s="176"/>
      <c r="E203" s="163"/>
      <c r="F203" s="163" t="s">
        <v>89</v>
      </c>
      <c r="G203" s="164" t="s">
        <v>359</v>
      </c>
      <c r="H203" s="177">
        <v>1057.3007999999998</v>
      </c>
      <c r="I203" s="164" t="s">
        <v>87</v>
      </c>
      <c r="J203" s="50">
        <v>31000</v>
      </c>
      <c r="K203" s="56"/>
      <c r="L203" s="46">
        <f t="shared" si="13"/>
        <v>32776324.799999993</v>
      </c>
    </row>
    <row r="204" spans="2:12" x14ac:dyDescent="0.35">
      <c r="B204" s="174"/>
      <c r="C204" s="175"/>
      <c r="D204" s="176"/>
      <c r="E204" s="163"/>
      <c r="F204" s="163" t="s">
        <v>89</v>
      </c>
      <c r="G204" s="164" t="s">
        <v>365</v>
      </c>
      <c r="H204" s="177">
        <v>1057.3007999999998</v>
      </c>
      <c r="I204" s="164" t="s">
        <v>87</v>
      </c>
      <c r="J204" s="50">
        <v>31000</v>
      </c>
      <c r="K204" s="56"/>
      <c r="L204" s="46">
        <f t="shared" si="13"/>
        <v>32776324.799999993</v>
      </c>
    </row>
    <row r="205" spans="2:12" x14ac:dyDescent="0.35">
      <c r="B205" s="174"/>
      <c r="C205" s="175"/>
      <c r="D205" s="176"/>
      <c r="E205" s="163"/>
      <c r="F205" s="163" t="s">
        <v>89</v>
      </c>
      <c r="G205" s="164" t="s">
        <v>366</v>
      </c>
      <c r="H205" s="177">
        <v>850.43759999999986</v>
      </c>
      <c r="I205" s="164" t="s">
        <v>87</v>
      </c>
      <c r="J205" s="50">
        <v>31000</v>
      </c>
      <c r="K205" s="56"/>
      <c r="L205" s="46">
        <f t="shared" si="13"/>
        <v>26363565.599999994</v>
      </c>
    </row>
    <row r="206" spans="2:12" x14ac:dyDescent="0.35">
      <c r="B206" s="74"/>
      <c r="C206" s="75"/>
      <c r="D206" s="76"/>
      <c r="E206" s="77"/>
      <c r="F206" s="78"/>
      <c r="G206" s="79"/>
      <c r="H206" s="80"/>
      <c r="I206" s="78"/>
      <c r="J206" s="50"/>
      <c r="K206" s="56"/>
      <c r="L206" s="46"/>
    </row>
    <row r="207" spans="2:12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0</v>
      </c>
      <c r="L207" s="7">
        <f>SUM(L154:L206)</f>
        <v>1299117083.3279996</v>
      </c>
    </row>
    <row r="208" spans="2:12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5" t="s">
        <v>22</v>
      </c>
      <c r="L208" s="36" t="s">
        <v>23</v>
      </c>
    </row>
    <row r="209" spans="2:12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2" x14ac:dyDescent="0.35">
      <c r="B210" s="37"/>
      <c r="C210" s="1"/>
      <c r="D210" s="1"/>
      <c r="E210" s="38"/>
      <c r="F210" s="38"/>
      <c r="G210" s="38"/>
      <c r="H210" s="1"/>
      <c r="I210" s="1"/>
      <c r="J210" s="1"/>
      <c r="K210" s="1"/>
      <c r="L210" s="19"/>
    </row>
    <row r="211" spans="2:12" x14ac:dyDescent="0.35">
      <c r="B211" s="28" t="s">
        <v>6</v>
      </c>
      <c r="C211" s="27"/>
      <c r="D211" s="27"/>
      <c r="E211" s="26"/>
      <c r="F211" s="26"/>
      <c r="G211" s="5"/>
      <c r="K211" s="284" t="s">
        <v>1600</v>
      </c>
      <c r="L211" s="285"/>
    </row>
    <row r="212" spans="2:12" x14ac:dyDescent="0.35">
      <c r="B212" s="28">
        <v>1</v>
      </c>
      <c r="C212" s="27"/>
      <c r="D212" s="27"/>
      <c r="E212" s="26" t="s">
        <v>7</v>
      </c>
      <c r="F212" s="26"/>
      <c r="G212" s="5"/>
      <c r="K212" s="284" t="s">
        <v>28</v>
      </c>
      <c r="L212" s="285"/>
    </row>
    <row r="213" spans="2:12" x14ac:dyDescent="0.35">
      <c r="B213" s="39"/>
      <c r="C213" s="27"/>
      <c r="D213" s="27"/>
      <c r="E213" s="26"/>
      <c r="F213" s="26"/>
      <c r="G213" s="5"/>
      <c r="J213" s="25"/>
      <c r="K213" s="25"/>
      <c r="L213" s="24"/>
    </row>
    <row r="214" spans="2:12" x14ac:dyDescent="0.35">
      <c r="B214" s="28"/>
      <c r="C214" s="27"/>
      <c r="D214" s="27"/>
      <c r="E214" s="26"/>
      <c r="F214" s="26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L216" s="22"/>
    </row>
    <row r="217" spans="2:12" x14ac:dyDescent="0.35">
      <c r="B217" s="45"/>
      <c r="E217" s="5"/>
      <c r="F217" s="5"/>
      <c r="G217" s="5"/>
      <c r="L217" s="22"/>
    </row>
    <row r="218" spans="2:12" x14ac:dyDescent="0.35">
      <c r="B218" s="45"/>
      <c r="E218" s="5"/>
      <c r="F218" s="5"/>
      <c r="G218" s="5"/>
      <c r="J218" s="40"/>
      <c r="K218" s="286" t="s">
        <v>36</v>
      </c>
      <c r="L218" s="287"/>
    </row>
    <row r="219" spans="2:12" x14ac:dyDescent="0.35">
      <c r="B219" s="45"/>
      <c r="K219" s="288" t="s">
        <v>37</v>
      </c>
      <c r="L219" s="289"/>
    </row>
    <row r="220" spans="2:12" x14ac:dyDescent="0.35">
      <c r="B220" s="290"/>
      <c r="C220" s="291"/>
      <c r="D220" s="291"/>
      <c r="E220" s="41"/>
      <c r="F220" s="41"/>
      <c r="G220" s="41"/>
      <c r="H220" s="2"/>
      <c r="I220" s="2"/>
      <c r="J220" s="2"/>
      <c r="K220" s="2"/>
      <c r="L220" s="21"/>
    </row>
    <row r="221" spans="2:12" x14ac:dyDescent="0.35">
      <c r="B221" s="47"/>
      <c r="C221" s="48"/>
      <c r="D221" s="49"/>
      <c r="G221" s="22"/>
      <c r="H221" s="1"/>
      <c r="I221" s="1"/>
      <c r="J221" s="43"/>
      <c r="K221" s="30"/>
      <c r="L221" s="44"/>
    </row>
    <row r="222" spans="2:12" x14ac:dyDescent="0.35">
      <c r="B222" s="174"/>
      <c r="C222" s="175"/>
      <c r="D222" s="176" t="s">
        <v>55</v>
      </c>
      <c r="E222" s="163"/>
      <c r="F222" s="163" t="s">
        <v>371</v>
      </c>
      <c r="G222" s="164"/>
      <c r="H222" s="177"/>
      <c r="I222" s="164"/>
      <c r="J222" s="50"/>
      <c r="K222" s="58"/>
      <c r="L222" s="46"/>
    </row>
    <row r="223" spans="2:12" x14ac:dyDescent="0.35">
      <c r="B223" s="174"/>
      <c r="C223" s="175"/>
      <c r="D223" s="176"/>
      <c r="E223" s="163"/>
      <c r="F223" s="163" t="s">
        <v>89</v>
      </c>
      <c r="G223" s="164" t="s">
        <v>355</v>
      </c>
      <c r="H223" s="177">
        <v>879.16859999999986</v>
      </c>
      <c r="I223" s="164" t="s">
        <v>87</v>
      </c>
      <c r="J223" s="50">
        <v>31000</v>
      </c>
      <c r="K223" s="56"/>
      <c r="L223" s="46">
        <f t="shared" ref="L223:L229" si="14">J223*H223</f>
        <v>27254226.599999994</v>
      </c>
    </row>
    <row r="224" spans="2:12" x14ac:dyDescent="0.35">
      <c r="B224" s="174"/>
      <c r="C224" s="175"/>
      <c r="D224" s="176"/>
      <c r="E224" s="163"/>
      <c r="F224" s="163" t="s">
        <v>89</v>
      </c>
      <c r="G224" s="164" t="s">
        <v>356</v>
      </c>
      <c r="H224" s="177">
        <v>1051.5545999999999</v>
      </c>
      <c r="I224" s="164" t="s">
        <v>87</v>
      </c>
      <c r="J224" s="50">
        <v>31000</v>
      </c>
      <c r="K224" s="56"/>
      <c r="L224" s="46">
        <f t="shared" si="14"/>
        <v>32598192.599999998</v>
      </c>
    </row>
    <row r="225" spans="2:12" x14ac:dyDescent="0.35">
      <c r="B225" s="174"/>
      <c r="C225" s="175"/>
      <c r="D225" s="176"/>
      <c r="E225" s="163"/>
      <c r="F225" s="163" t="s">
        <v>89</v>
      </c>
      <c r="G225" s="164" t="s">
        <v>357</v>
      </c>
      <c r="H225" s="177">
        <v>1051.5545999999999</v>
      </c>
      <c r="I225" s="164" t="s">
        <v>87</v>
      </c>
      <c r="J225" s="50">
        <v>31000</v>
      </c>
      <c r="K225" s="56"/>
      <c r="L225" s="46">
        <f t="shared" si="14"/>
        <v>32598192.599999998</v>
      </c>
    </row>
    <row r="226" spans="2:12" x14ac:dyDescent="0.35">
      <c r="B226" s="174"/>
      <c r="C226" s="175"/>
      <c r="D226" s="176"/>
      <c r="E226" s="163"/>
      <c r="F226" s="163" t="s">
        <v>89</v>
      </c>
      <c r="G226" s="164" t="s">
        <v>358</v>
      </c>
      <c r="H226" s="177">
        <v>1051.5545999999999</v>
      </c>
      <c r="I226" s="164" t="s">
        <v>87</v>
      </c>
      <c r="J226" s="50">
        <v>31000</v>
      </c>
      <c r="K226" s="56"/>
      <c r="L226" s="46">
        <f t="shared" si="14"/>
        <v>32598192.599999998</v>
      </c>
    </row>
    <row r="227" spans="2:12" x14ac:dyDescent="0.35">
      <c r="B227" s="174"/>
      <c r="C227" s="175"/>
      <c r="D227" s="176"/>
      <c r="E227" s="163"/>
      <c r="F227" s="163" t="s">
        <v>89</v>
      </c>
      <c r="G227" s="164" t="s">
        <v>359</v>
      </c>
      <c r="H227" s="177">
        <v>1057.3007999999998</v>
      </c>
      <c r="I227" s="164" t="s">
        <v>87</v>
      </c>
      <c r="J227" s="50">
        <v>31000</v>
      </c>
      <c r="K227" s="56"/>
      <c r="L227" s="46">
        <f t="shared" si="14"/>
        <v>32776324.799999993</v>
      </c>
    </row>
    <row r="228" spans="2:12" x14ac:dyDescent="0.35">
      <c r="B228" s="174"/>
      <c r="C228" s="175"/>
      <c r="D228" s="176"/>
      <c r="E228" s="163"/>
      <c r="F228" s="163" t="s">
        <v>89</v>
      </c>
      <c r="G228" s="164" t="s">
        <v>360</v>
      </c>
      <c r="H228" s="177">
        <v>948.12299999999982</v>
      </c>
      <c r="I228" s="164" t="s">
        <v>87</v>
      </c>
      <c r="J228" s="50">
        <v>31000</v>
      </c>
      <c r="K228" s="56"/>
      <c r="L228" s="46">
        <f t="shared" si="14"/>
        <v>29391812.999999996</v>
      </c>
    </row>
    <row r="229" spans="2:12" x14ac:dyDescent="0.35">
      <c r="B229" s="174"/>
      <c r="C229" s="175"/>
      <c r="D229" s="176"/>
      <c r="E229" s="163"/>
      <c r="F229" s="163" t="s">
        <v>89</v>
      </c>
      <c r="G229" s="164" t="s">
        <v>361</v>
      </c>
      <c r="H229" s="177">
        <v>879.16859999999986</v>
      </c>
      <c r="I229" s="164" t="s">
        <v>87</v>
      </c>
      <c r="J229" s="50">
        <v>31000</v>
      </c>
      <c r="K229" s="56"/>
      <c r="L229" s="46">
        <f t="shared" si="14"/>
        <v>27254226.599999994</v>
      </c>
    </row>
    <row r="230" spans="2:12" x14ac:dyDescent="0.35">
      <c r="B230" s="174"/>
      <c r="C230" s="175"/>
      <c r="D230" s="176" t="s">
        <v>65</v>
      </c>
      <c r="E230" s="163"/>
      <c r="F230" s="163" t="s">
        <v>372</v>
      </c>
      <c r="G230" s="164"/>
      <c r="H230" s="177"/>
      <c r="I230" s="164"/>
      <c r="J230" s="50"/>
      <c r="K230" s="56"/>
      <c r="L230" s="46"/>
    </row>
    <row r="231" spans="2:12" x14ac:dyDescent="0.35">
      <c r="B231" s="174"/>
      <c r="C231" s="175"/>
      <c r="D231" s="176"/>
      <c r="E231" s="163"/>
      <c r="F231" s="163" t="s">
        <v>89</v>
      </c>
      <c r="G231" s="164" t="s">
        <v>355</v>
      </c>
      <c r="H231" s="177">
        <v>879.16859999999986</v>
      </c>
      <c r="I231" s="164" t="s">
        <v>87</v>
      </c>
      <c r="J231" s="50">
        <v>31000</v>
      </c>
      <c r="K231" s="56"/>
      <c r="L231" s="46">
        <f t="shared" ref="L231:L237" si="15">J231*H231</f>
        <v>27254226.599999994</v>
      </c>
    </row>
    <row r="232" spans="2:12" x14ac:dyDescent="0.35">
      <c r="B232" s="174"/>
      <c r="C232" s="175"/>
      <c r="D232" s="176"/>
      <c r="E232" s="163"/>
      <c r="F232" s="163" t="s">
        <v>89</v>
      </c>
      <c r="G232" s="164" t="s">
        <v>363</v>
      </c>
      <c r="H232" s="177">
        <v>1057.3007999999998</v>
      </c>
      <c r="I232" s="164" t="s">
        <v>87</v>
      </c>
      <c r="J232" s="50">
        <v>31000</v>
      </c>
      <c r="K232" s="56"/>
      <c r="L232" s="46">
        <f t="shared" si="15"/>
        <v>32776324.799999993</v>
      </c>
    </row>
    <row r="233" spans="2:12" x14ac:dyDescent="0.35">
      <c r="B233" s="174"/>
      <c r="C233" s="175"/>
      <c r="D233" s="176"/>
      <c r="E233" s="163"/>
      <c r="F233" s="163" t="s">
        <v>89</v>
      </c>
      <c r="G233" s="164" t="s">
        <v>364</v>
      </c>
      <c r="H233" s="177">
        <v>1057.3007999999998</v>
      </c>
      <c r="I233" s="164" t="s">
        <v>87</v>
      </c>
      <c r="J233" s="50">
        <v>31000</v>
      </c>
      <c r="K233" s="56"/>
      <c r="L233" s="46">
        <f t="shared" si="15"/>
        <v>32776324.799999993</v>
      </c>
    </row>
    <row r="234" spans="2:12" x14ac:dyDescent="0.35">
      <c r="B234" s="174"/>
      <c r="C234" s="175"/>
      <c r="D234" s="176"/>
      <c r="E234" s="163"/>
      <c r="F234" s="163" t="s">
        <v>89</v>
      </c>
      <c r="G234" s="164" t="s">
        <v>358</v>
      </c>
      <c r="H234" s="177">
        <v>1051.5545999999999</v>
      </c>
      <c r="I234" s="164" t="s">
        <v>87</v>
      </c>
      <c r="J234" s="50">
        <v>31000</v>
      </c>
      <c r="K234" s="56"/>
      <c r="L234" s="46">
        <f t="shared" si="15"/>
        <v>32598192.599999998</v>
      </c>
    </row>
    <row r="235" spans="2:12" x14ac:dyDescent="0.35">
      <c r="B235" s="174"/>
      <c r="C235" s="175"/>
      <c r="D235" s="176"/>
      <c r="E235" s="163"/>
      <c r="F235" s="163" t="s">
        <v>89</v>
      </c>
      <c r="G235" s="164" t="s">
        <v>359</v>
      </c>
      <c r="H235" s="177">
        <v>1057.3007999999998</v>
      </c>
      <c r="I235" s="164" t="s">
        <v>87</v>
      </c>
      <c r="J235" s="50">
        <v>31000</v>
      </c>
      <c r="K235" s="56"/>
      <c r="L235" s="46">
        <f t="shared" si="15"/>
        <v>32776324.799999993</v>
      </c>
    </row>
    <row r="236" spans="2:12" x14ac:dyDescent="0.35">
      <c r="B236" s="174"/>
      <c r="C236" s="175"/>
      <c r="D236" s="176"/>
      <c r="E236" s="163"/>
      <c r="F236" s="163" t="s">
        <v>89</v>
      </c>
      <c r="G236" s="164" t="s">
        <v>365</v>
      </c>
      <c r="H236" s="177">
        <v>1057.3007999999998</v>
      </c>
      <c r="I236" s="164" t="s">
        <v>87</v>
      </c>
      <c r="J236" s="50">
        <v>31000</v>
      </c>
      <c r="K236" s="56"/>
      <c r="L236" s="46">
        <f t="shared" si="15"/>
        <v>32776324.799999993</v>
      </c>
    </row>
    <row r="237" spans="2:12" x14ac:dyDescent="0.35">
      <c r="B237" s="174"/>
      <c r="C237" s="175"/>
      <c r="D237" s="176"/>
      <c r="E237" s="163"/>
      <c r="F237" s="163" t="s">
        <v>89</v>
      </c>
      <c r="G237" s="164" t="s">
        <v>366</v>
      </c>
      <c r="H237" s="177">
        <v>850.43759999999986</v>
      </c>
      <c r="I237" s="164" t="s">
        <v>87</v>
      </c>
      <c r="J237" s="50">
        <v>31000</v>
      </c>
      <c r="K237" s="56"/>
      <c r="L237" s="46">
        <f t="shared" si="15"/>
        <v>26363565.599999994</v>
      </c>
    </row>
    <row r="238" spans="2:12" x14ac:dyDescent="0.35">
      <c r="B238" s="174"/>
      <c r="C238" s="175"/>
      <c r="D238" s="176" t="s">
        <v>141</v>
      </c>
      <c r="E238" s="163"/>
      <c r="F238" s="163" t="s">
        <v>373</v>
      </c>
      <c r="G238" s="164"/>
      <c r="H238" s="177"/>
      <c r="I238" s="164"/>
      <c r="J238" s="50"/>
      <c r="K238" s="56"/>
      <c r="L238" s="46"/>
    </row>
    <row r="239" spans="2:12" x14ac:dyDescent="0.35">
      <c r="B239" s="174"/>
      <c r="C239" s="175"/>
      <c r="D239" s="176"/>
      <c r="E239" s="163"/>
      <c r="F239" s="163" t="s">
        <v>89</v>
      </c>
      <c r="G239" s="164" t="s">
        <v>355</v>
      </c>
      <c r="H239" s="177">
        <v>879.16859999999986</v>
      </c>
      <c r="I239" s="164" t="s">
        <v>87</v>
      </c>
      <c r="J239" s="50">
        <v>31000</v>
      </c>
      <c r="K239" s="56"/>
      <c r="L239" s="46">
        <f t="shared" ref="L239:L245" si="16">J239*H239</f>
        <v>27254226.599999994</v>
      </c>
    </row>
    <row r="240" spans="2:12" x14ac:dyDescent="0.35">
      <c r="B240" s="174"/>
      <c r="C240" s="175"/>
      <c r="D240" s="176"/>
      <c r="E240" s="163"/>
      <c r="F240" s="163" t="s">
        <v>89</v>
      </c>
      <c r="G240" s="164" t="s">
        <v>356</v>
      </c>
      <c r="H240" s="177">
        <v>1051.5545999999999</v>
      </c>
      <c r="I240" s="164" t="s">
        <v>87</v>
      </c>
      <c r="J240" s="50">
        <v>31000</v>
      </c>
      <c r="K240" s="56"/>
      <c r="L240" s="46">
        <f t="shared" si="16"/>
        <v>32598192.599999998</v>
      </c>
    </row>
    <row r="241" spans="2:12" x14ac:dyDescent="0.35">
      <c r="B241" s="174"/>
      <c r="C241" s="175"/>
      <c r="D241" s="176"/>
      <c r="E241" s="163"/>
      <c r="F241" s="163" t="s">
        <v>89</v>
      </c>
      <c r="G241" s="164" t="s">
        <v>357</v>
      </c>
      <c r="H241" s="177">
        <v>1051.5545999999999</v>
      </c>
      <c r="I241" s="164" t="s">
        <v>87</v>
      </c>
      <c r="J241" s="50">
        <v>31000</v>
      </c>
      <c r="K241" s="56"/>
      <c r="L241" s="46">
        <f t="shared" si="16"/>
        <v>32598192.599999998</v>
      </c>
    </row>
    <row r="242" spans="2:12" x14ac:dyDescent="0.35">
      <c r="B242" s="174"/>
      <c r="C242" s="175"/>
      <c r="D242" s="176"/>
      <c r="E242" s="163"/>
      <c r="F242" s="163" t="s">
        <v>89</v>
      </c>
      <c r="G242" s="164" t="s">
        <v>358</v>
      </c>
      <c r="H242" s="177">
        <v>1051.5545999999999</v>
      </c>
      <c r="I242" s="164" t="s">
        <v>87</v>
      </c>
      <c r="J242" s="50">
        <v>31000</v>
      </c>
      <c r="K242" s="56"/>
      <c r="L242" s="46">
        <f t="shared" si="16"/>
        <v>32598192.599999998</v>
      </c>
    </row>
    <row r="243" spans="2:12" x14ac:dyDescent="0.35">
      <c r="B243" s="174"/>
      <c r="C243" s="175"/>
      <c r="D243" s="176"/>
      <c r="E243" s="163"/>
      <c r="F243" s="163" t="s">
        <v>89</v>
      </c>
      <c r="G243" s="164" t="s">
        <v>359</v>
      </c>
      <c r="H243" s="177">
        <v>1057.3007999999998</v>
      </c>
      <c r="I243" s="164" t="s">
        <v>87</v>
      </c>
      <c r="J243" s="50">
        <v>31000</v>
      </c>
      <c r="K243" s="56"/>
      <c r="L243" s="46">
        <f t="shared" si="16"/>
        <v>32776324.799999993</v>
      </c>
    </row>
    <row r="244" spans="2:12" x14ac:dyDescent="0.35">
      <c r="B244" s="174"/>
      <c r="C244" s="175"/>
      <c r="D244" s="176"/>
      <c r="E244" s="163"/>
      <c r="F244" s="163" t="s">
        <v>89</v>
      </c>
      <c r="G244" s="164" t="s">
        <v>360</v>
      </c>
      <c r="H244" s="177">
        <v>948.12299999999982</v>
      </c>
      <c r="I244" s="164" t="s">
        <v>87</v>
      </c>
      <c r="J244" s="50">
        <v>31000</v>
      </c>
      <c r="K244" s="56"/>
      <c r="L244" s="46">
        <f t="shared" si="16"/>
        <v>29391812.999999996</v>
      </c>
    </row>
    <row r="245" spans="2:12" x14ac:dyDescent="0.35">
      <c r="B245" s="174"/>
      <c r="C245" s="175"/>
      <c r="D245" s="176"/>
      <c r="E245" s="163"/>
      <c r="F245" s="163" t="s">
        <v>89</v>
      </c>
      <c r="G245" s="164" t="s">
        <v>361</v>
      </c>
      <c r="H245" s="177">
        <v>879.16859999999986</v>
      </c>
      <c r="I245" s="164" t="s">
        <v>87</v>
      </c>
      <c r="J245" s="50">
        <v>31000</v>
      </c>
      <c r="K245" s="56"/>
      <c r="L245" s="46">
        <f t="shared" si="16"/>
        <v>27254226.599999994</v>
      </c>
    </row>
    <row r="246" spans="2:12" x14ac:dyDescent="0.35">
      <c r="B246" s="174"/>
      <c r="C246" s="175"/>
      <c r="D246" s="176" t="s">
        <v>143</v>
      </c>
      <c r="E246" s="163"/>
      <c r="F246" s="163" t="s">
        <v>374</v>
      </c>
      <c r="G246" s="164"/>
      <c r="H246" s="177"/>
      <c r="I246" s="164"/>
      <c r="J246" s="50"/>
      <c r="K246" s="56"/>
      <c r="L246" s="46"/>
    </row>
    <row r="247" spans="2:12" x14ac:dyDescent="0.35">
      <c r="B247" s="174"/>
      <c r="C247" s="175"/>
      <c r="D247" s="176"/>
      <c r="E247" s="163"/>
      <c r="F247" s="163" t="s">
        <v>89</v>
      </c>
      <c r="G247" s="164" t="s">
        <v>355</v>
      </c>
      <c r="H247" s="177">
        <v>879.16859999999986</v>
      </c>
      <c r="I247" s="164" t="s">
        <v>87</v>
      </c>
      <c r="J247" s="50">
        <v>31000</v>
      </c>
      <c r="K247" s="56"/>
      <c r="L247" s="46">
        <f t="shared" ref="L247:L253" si="17">J247*H247</f>
        <v>27254226.599999994</v>
      </c>
    </row>
    <row r="248" spans="2:12" x14ac:dyDescent="0.35">
      <c r="B248" s="174"/>
      <c r="C248" s="175"/>
      <c r="D248" s="176"/>
      <c r="E248" s="163"/>
      <c r="F248" s="163" t="s">
        <v>89</v>
      </c>
      <c r="G248" s="164" t="s">
        <v>363</v>
      </c>
      <c r="H248" s="177">
        <v>1057.3007999999998</v>
      </c>
      <c r="I248" s="164" t="s">
        <v>87</v>
      </c>
      <c r="J248" s="50">
        <v>31000</v>
      </c>
      <c r="K248" s="56"/>
      <c r="L248" s="46">
        <f t="shared" si="17"/>
        <v>32776324.799999993</v>
      </c>
    </row>
    <row r="249" spans="2:12" x14ac:dyDescent="0.35">
      <c r="B249" s="174"/>
      <c r="C249" s="175"/>
      <c r="D249" s="176"/>
      <c r="E249" s="163"/>
      <c r="F249" s="163" t="s">
        <v>89</v>
      </c>
      <c r="G249" s="164" t="s">
        <v>364</v>
      </c>
      <c r="H249" s="177">
        <v>1057.3007999999998</v>
      </c>
      <c r="I249" s="164" t="s">
        <v>87</v>
      </c>
      <c r="J249" s="50">
        <v>31000</v>
      </c>
      <c r="K249" s="56"/>
      <c r="L249" s="46">
        <f t="shared" si="17"/>
        <v>32776324.799999993</v>
      </c>
    </row>
    <row r="250" spans="2:12" x14ac:dyDescent="0.35">
      <c r="B250" s="174"/>
      <c r="C250" s="175"/>
      <c r="D250" s="176"/>
      <c r="E250" s="163"/>
      <c r="F250" s="163" t="s">
        <v>89</v>
      </c>
      <c r="G250" s="164" t="s">
        <v>358</v>
      </c>
      <c r="H250" s="177">
        <v>1051.5545999999999</v>
      </c>
      <c r="I250" s="164" t="s">
        <v>87</v>
      </c>
      <c r="J250" s="50">
        <v>31000</v>
      </c>
      <c r="K250" s="56"/>
      <c r="L250" s="46">
        <f t="shared" si="17"/>
        <v>32598192.599999998</v>
      </c>
    </row>
    <row r="251" spans="2:12" x14ac:dyDescent="0.35">
      <c r="B251" s="174"/>
      <c r="C251" s="175"/>
      <c r="D251" s="176"/>
      <c r="E251" s="163"/>
      <c r="F251" s="163" t="s">
        <v>89</v>
      </c>
      <c r="G251" s="164" t="s">
        <v>359</v>
      </c>
      <c r="H251" s="177">
        <v>1057.3007999999998</v>
      </c>
      <c r="I251" s="164" t="s">
        <v>87</v>
      </c>
      <c r="J251" s="50">
        <v>31000</v>
      </c>
      <c r="K251" s="56"/>
      <c r="L251" s="46">
        <f t="shared" si="17"/>
        <v>32776324.799999993</v>
      </c>
    </row>
    <row r="252" spans="2:12" x14ac:dyDescent="0.35">
      <c r="B252" s="174"/>
      <c r="C252" s="175"/>
      <c r="D252" s="176"/>
      <c r="E252" s="163"/>
      <c r="F252" s="163" t="s">
        <v>89</v>
      </c>
      <c r="G252" s="164" t="s">
        <v>365</v>
      </c>
      <c r="H252" s="177">
        <v>1057.3007999999998</v>
      </c>
      <c r="I252" s="164" t="s">
        <v>87</v>
      </c>
      <c r="J252" s="50">
        <v>31000</v>
      </c>
      <c r="K252" s="56"/>
      <c r="L252" s="46">
        <f t="shared" si="17"/>
        <v>32776324.799999993</v>
      </c>
    </row>
    <row r="253" spans="2:12" x14ac:dyDescent="0.35">
      <c r="B253" s="174"/>
      <c r="C253" s="175"/>
      <c r="D253" s="176"/>
      <c r="E253" s="163"/>
      <c r="F253" s="163" t="s">
        <v>89</v>
      </c>
      <c r="G253" s="164" t="s">
        <v>366</v>
      </c>
      <c r="H253" s="177">
        <v>850.43759999999986</v>
      </c>
      <c r="I253" s="164" t="s">
        <v>87</v>
      </c>
      <c r="J253" s="50">
        <v>31000</v>
      </c>
      <c r="K253" s="56"/>
      <c r="L253" s="46">
        <f t="shared" si="17"/>
        <v>26363565.599999994</v>
      </c>
    </row>
    <row r="254" spans="2:12" x14ac:dyDescent="0.35">
      <c r="B254" s="174"/>
      <c r="C254" s="175"/>
      <c r="D254" s="176" t="s">
        <v>67</v>
      </c>
      <c r="E254" s="163"/>
      <c r="F254" s="163" t="s">
        <v>375</v>
      </c>
      <c r="G254" s="164"/>
      <c r="H254" s="177"/>
      <c r="I254" s="164"/>
      <c r="J254" s="50"/>
      <c r="K254" s="56"/>
      <c r="L254" s="46"/>
    </row>
    <row r="255" spans="2:12" x14ac:dyDescent="0.35">
      <c r="B255" s="174"/>
      <c r="C255" s="175"/>
      <c r="D255" s="176"/>
      <c r="E255" s="163"/>
      <c r="F255" s="163" t="s">
        <v>89</v>
      </c>
      <c r="G255" s="164" t="s">
        <v>355</v>
      </c>
      <c r="H255" s="177">
        <v>879.16859999999986</v>
      </c>
      <c r="I255" s="164" t="s">
        <v>87</v>
      </c>
      <c r="J255" s="50">
        <v>31000</v>
      </c>
      <c r="K255" s="56"/>
      <c r="L255" s="46">
        <f t="shared" ref="L255:L261" si="18">J255*H255</f>
        <v>27254226.599999994</v>
      </c>
    </row>
    <row r="256" spans="2:12" x14ac:dyDescent="0.35">
      <c r="B256" s="174"/>
      <c r="C256" s="175"/>
      <c r="D256" s="176"/>
      <c r="E256" s="163"/>
      <c r="F256" s="163" t="s">
        <v>89</v>
      </c>
      <c r="G256" s="164" t="s">
        <v>356</v>
      </c>
      <c r="H256" s="177">
        <v>1051.5545999999999</v>
      </c>
      <c r="I256" s="164" t="s">
        <v>87</v>
      </c>
      <c r="J256" s="50">
        <v>31000</v>
      </c>
      <c r="K256" s="56"/>
      <c r="L256" s="46">
        <f t="shared" si="18"/>
        <v>32598192.599999998</v>
      </c>
    </row>
    <row r="257" spans="2:12" x14ac:dyDescent="0.35">
      <c r="B257" s="174"/>
      <c r="C257" s="175"/>
      <c r="D257" s="176"/>
      <c r="E257" s="163"/>
      <c r="F257" s="163" t="s">
        <v>89</v>
      </c>
      <c r="G257" s="164" t="s">
        <v>357</v>
      </c>
      <c r="H257" s="177">
        <v>1051.5545999999999</v>
      </c>
      <c r="I257" s="164" t="s">
        <v>87</v>
      </c>
      <c r="J257" s="50">
        <v>31000</v>
      </c>
      <c r="K257" s="56"/>
      <c r="L257" s="46">
        <f t="shared" si="18"/>
        <v>32598192.599999998</v>
      </c>
    </row>
    <row r="258" spans="2:12" x14ac:dyDescent="0.35">
      <c r="B258" s="174"/>
      <c r="C258" s="175"/>
      <c r="D258" s="176"/>
      <c r="E258" s="163"/>
      <c r="F258" s="163" t="s">
        <v>89</v>
      </c>
      <c r="G258" s="164" t="s">
        <v>358</v>
      </c>
      <c r="H258" s="177">
        <v>1051.5545999999999</v>
      </c>
      <c r="I258" s="164" t="s">
        <v>87</v>
      </c>
      <c r="J258" s="50">
        <v>31000</v>
      </c>
      <c r="K258" s="56"/>
      <c r="L258" s="46">
        <f t="shared" si="18"/>
        <v>32598192.599999998</v>
      </c>
    </row>
    <row r="259" spans="2:12" x14ac:dyDescent="0.35">
      <c r="B259" s="174"/>
      <c r="C259" s="175"/>
      <c r="D259" s="176"/>
      <c r="E259" s="163"/>
      <c r="F259" s="163" t="s">
        <v>89</v>
      </c>
      <c r="G259" s="164" t="s">
        <v>359</v>
      </c>
      <c r="H259" s="177">
        <v>1057.3007999999998</v>
      </c>
      <c r="I259" s="164" t="s">
        <v>87</v>
      </c>
      <c r="J259" s="50">
        <v>31000</v>
      </c>
      <c r="K259" s="56"/>
      <c r="L259" s="46">
        <f t="shared" si="18"/>
        <v>32776324.799999993</v>
      </c>
    </row>
    <row r="260" spans="2:12" x14ac:dyDescent="0.35">
      <c r="B260" s="174"/>
      <c r="C260" s="175"/>
      <c r="D260" s="176"/>
      <c r="E260" s="163"/>
      <c r="F260" s="163" t="s">
        <v>89</v>
      </c>
      <c r="G260" s="164" t="s">
        <v>360</v>
      </c>
      <c r="H260" s="177">
        <v>948.12299999999982</v>
      </c>
      <c r="I260" s="164" t="s">
        <v>87</v>
      </c>
      <c r="J260" s="50">
        <v>31000</v>
      </c>
      <c r="K260" s="56"/>
      <c r="L260" s="46">
        <f t="shared" si="18"/>
        <v>29391812.999999996</v>
      </c>
    </row>
    <row r="261" spans="2:12" x14ac:dyDescent="0.35">
      <c r="B261" s="174"/>
      <c r="C261" s="175"/>
      <c r="D261" s="176"/>
      <c r="E261" s="163"/>
      <c r="F261" s="163" t="s">
        <v>89</v>
      </c>
      <c r="G261" s="164" t="s">
        <v>361</v>
      </c>
      <c r="H261" s="177">
        <v>879.16859999999986</v>
      </c>
      <c r="I261" s="164" t="s">
        <v>87</v>
      </c>
      <c r="J261" s="50">
        <v>31000</v>
      </c>
      <c r="K261" s="56"/>
      <c r="L261" s="46">
        <f t="shared" si="18"/>
        <v>27254226.599999994</v>
      </c>
    </row>
    <row r="262" spans="2:12" x14ac:dyDescent="0.35">
      <c r="B262" s="174"/>
      <c r="C262" s="175"/>
      <c r="D262" s="176" t="s">
        <v>69</v>
      </c>
      <c r="E262" s="163"/>
      <c r="F262" s="163" t="s">
        <v>376</v>
      </c>
      <c r="G262" s="164"/>
      <c r="H262" s="177"/>
      <c r="I262" s="164"/>
      <c r="J262" s="50"/>
      <c r="K262" s="56"/>
      <c r="L262" s="46"/>
    </row>
    <row r="263" spans="2:12" x14ac:dyDescent="0.35">
      <c r="B263" s="174"/>
      <c r="C263" s="175"/>
      <c r="D263" s="176"/>
      <c r="E263" s="163"/>
      <c r="F263" s="163" t="s">
        <v>89</v>
      </c>
      <c r="G263" s="164" t="s">
        <v>355</v>
      </c>
      <c r="H263" s="177">
        <v>879.16859999999986</v>
      </c>
      <c r="I263" s="164" t="s">
        <v>87</v>
      </c>
      <c r="J263" s="50">
        <v>31000</v>
      </c>
      <c r="K263" s="56"/>
      <c r="L263" s="46">
        <f t="shared" ref="L263:L269" si="19">J263*H263</f>
        <v>27254226.599999994</v>
      </c>
    </row>
    <row r="264" spans="2:12" x14ac:dyDescent="0.35">
      <c r="B264" s="174"/>
      <c r="C264" s="175"/>
      <c r="D264" s="176"/>
      <c r="E264" s="163"/>
      <c r="F264" s="163" t="s">
        <v>89</v>
      </c>
      <c r="G264" s="164" t="s">
        <v>363</v>
      </c>
      <c r="H264" s="177">
        <v>1057.3007999999998</v>
      </c>
      <c r="I264" s="164" t="s">
        <v>87</v>
      </c>
      <c r="J264" s="50">
        <v>31000</v>
      </c>
      <c r="K264" s="56"/>
      <c r="L264" s="46">
        <f t="shared" si="19"/>
        <v>32776324.799999993</v>
      </c>
    </row>
    <row r="265" spans="2:12" x14ac:dyDescent="0.35">
      <c r="B265" s="174"/>
      <c r="C265" s="175"/>
      <c r="D265" s="176"/>
      <c r="E265" s="163"/>
      <c r="F265" s="163" t="s">
        <v>89</v>
      </c>
      <c r="G265" s="164" t="s">
        <v>364</v>
      </c>
      <c r="H265" s="177">
        <v>1057.3007999999998</v>
      </c>
      <c r="I265" s="164" t="s">
        <v>87</v>
      </c>
      <c r="J265" s="50">
        <v>31000</v>
      </c>
      <c r="K265" s="56"/>
      <c r="L265" s="46">
        <f t="shared" si="19"/>
        <v>32776324.799999993</v>
      </c>
    </row>
    <row r="266" spans="2:12" x14ac:dyDescent="0.35">
      <c r="B266" s="174"/>
      <c r="C266" s="175"/>
      <c r="D266" s="176"/>
      <c r="E266" s="163"/>
      <c r="F266" s="163" t="s">
        <v>89</v>
      </c>
      <c r="G266" s="164" t="s">
        <v>358</v>
      </c>
      <c r="H266" s="177">
        <v>1051.5545999999999</v>
      </c>
      <c r="I266" s="164" t="s">
        <v>87</v>
      </c>
      <c r="J266" s="50">
        <v>31000</v>
      </c>
      <c r="K266" s="56"/>
      <c r="L266" s="46">
        <f t="shared" si="19"/>
        <v>32598192.599999998</v>
      </c>
    </row>
    <row r="267" spans="2:12" x14ac:dyDescent="0.35">
      <c r="B267" s="174"/>
      <c r="C267" s="175"/>
      <c r="D267" s="176"/>
      <c r="E267" s="163"/>
      <c r="F267" s="163" t="s">
        <v>89</v>
      </c>
      <c r="G267" s="164" t="s">
        <v>359</v>
      </c>
      <c r="H267" s="177">
        <v>1057.3007999999998</v>
      </c>
      <c r="I267" s="164" t="s">
        <v>87</v>
      </c>
      <c r="J267" s="50">
        <v>31000</v>
      </c>
      <c r="K267" s="56"/>
      <c r="L267" s="46">
        <f t="shared" si="19"/>
        <v>32776324.799999993</v>
      </c>
    </row>
    <row r="268" spans="2:12" x14ac:dyDescent="0.35">
      <c r="B268" s="174"/>
      <c r="C268" s="175"/>
      <c r="D268" s="176"/>
      <c r="E268" s="163"/>
      <c r="F268" s="163" t="s">
        <v>89</v>
      </c>
      <c r="G268" s="164" t="s">
        <v>365</v>
      </c>
      <c r="H268" s="177">
        <v>1057.3007999999998</v>
      </c>
      <c r="I268" s="164" t="s">
        <v>87</v>
      </c>
      <c r="J268" s="50">
        <v>31000</v>
      </c>
      <c r="K268" s="56"/>
      <c r="L268" s="46">
        <f t="shared" si="19"/>
        <v>32776324.799999993</v>
      </c>
    </row>
    <row r="269" spans="2:12" x14ac:dyDescent="0.35">
      <c r="B269" s="174"/>
      <c r="C269" s="175"/>
      <c r="D269" s="176"/>
      <c r="E269" s="163"/>
      <c r="F269" s="163" t="s">
        <v>89</v>
      </c>
      <c r="G269" s="164" t="s">
        <v>366</v>
      </c>
      <c r="H269" s="177">
        <v>850.43759999999986</v>
      </c>
      <c r="I269" s="164" t="s">
        <v>87</v>
      </c>
      <c r="J269" s="50">
        <v>31000</v>
      </c>
      <c r="K269" s="56"/>
      <c r="L269" s="46">
        <f t="shared" si="19"/>
        <v>26363565.599999994</v>
      </c>
    </row>
    <row r="270" spans="2:12" x14ac:dyDescent="0.35">
      <c r="B270" s="174"/>
      <c r="C270" s="175"/>
      <c r="D270" s="176" t="s">
        <v>71</v>
      </c>
      <c r="E270" s="163"/>
      <c r="F270" s="163" t="s">
        <v>377</v>
      </c>
      <c r="G270" s="164"/>
      <c r="H270" s="177"/>
      <c r="I270" s="164"/>
      <c r="J270" s="50"/>
      <c r="K270" s="56"/>
      <c r="L270" s="46"/>
    </row>
    <row r="271" spans="2:12" x14ac:dyDescent="0.35">
      <c r="B271" s="174"/>
      <c r="C271" s="175"/>
      <c r="D271" s="176"/>
      <c r="E271" s="163"/>
      <c r="F271" s="163" t="s">
        <v>89</v>
      </c>
      <c r="G271" s="164" t="s">
        <v>355</v>
      </c>
      <c r="H271" s="177">
        <v>879.16859999999986</v>
      </c>
      <c r="I271" s="164" t="s">
        <v>87</v>
      </c>
      <c r="J271" s="50">
        <v>31000</v>
      </c>
      <c r="K271" s="56"/>
      <c r="L271" s="46">
        <f t="shared" ref="L271:L272" si="20">J271*H271</f>
        <v>27254226.599999994</v>
      </c>
    </row>
    <row r="272" spans="2:12" x14ac:dyDescent="0.35">
      <c r="B272" s="174"/>
      <c r="C272" s="175"/>
      <c r="D272" s="176"/>
      <c r="E272" s="163"/>
      <c r="F272" s="163" t="s">
        <v>89</v>
      </c>
      <c r="G272" s="164" t="s">
        <v>356</v>
      </c>
      <c r="H272" s="177">
        <v>1051.5545999999999</v>
      </c>
      <c r="I272" s="164" t="s">
        <v>87</v>
      </c>
      <c r="J272" s="50">
        <v>31000</v>
      </c>
      <c r="K272" s="56"/>
      <c r="L272" s="46">
        <f t="shared" si="20"/>
        <v>32598192.599999998</v>
      </c>
    </row>
    <row r="273" spans="2:12" x14ac:dyDescent="0.35">
      <c r="B273" s="47"/>
      <c r="C273" s="48"/>
      <c r="D273" s="24"/>
      <c r="G273" s="22"/>
      <c r="I273" s="22"/>
      <c r="J273" s="50"/>
      <c r="K273" s="29"/>
      <c r="L273" s="52"/>
    </row>
    <row r="274" spans="2:12" x14ac:dyDescent="0.35">
      <c r="B274" s="8"/>
      <c r="C274" s="9"/>
      <c r="D274" s="10"/>
      <c r="E274" s="4"/>
      <c r="F274" s="4"/>
      <c r="G274" s="4"/>
      <c r="H274" s="1"/>
      <c r="I274" s="1"/>
      <c r="J274" s="11" t="s">
        <v>8</v>
      </c>
      <c r="K274" s="7">
        <f>SUM(K221:K273)</f>
        <v>0</v>
      </c>
      <c r="L274" s="7">
        <f>SUM(L221:L273)</f>
        <v>1355229777.5999992</v>
      </c>
    </row>
    <row r="275" spans="2:12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5" t="s">
        <v>22</v>
      </c>
      <c r="L275" s="36" t="s">
        <v>23</v>
      </c>
    </row>
    <row r="276" spans="2:12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</row>
    <row r="277" spans="2:12" x14ac:dyDescent="0.35">
      <c r="B277" s="37"/>
      <c r="C277" s="1"/>
      <c r="D277" s="1"/>
      <c r="E277" s="38"/>
      <c r="F277" s="38"/>
      <c r="G277" s="38"/>
      <c r="H277" s="1"/>
      <c r="I277" s="1"/>
      <c r="J277" s="1"/>
      <c r="K277" s="1"/>
      <c r="L277" s="19"/>
    </row>
    <row r="278" spans="2:12" x14ac:dyDescent="0.35">
      <c r="B278" s="28" t="s">
        <v>6</v>
      </c>
      <c r="C278" s="27"/>
      <c r="D278" s="27"/>
      <c r="E278" s="26"/>
      <c r="F278" s="26"/>
      <c r="G278" s="5"/>
      <c r="K278" s="284" t="s">
        <v>1600</v>
      </c>
      <c r="L278" s="285"/>
    </row>
    <row r="279" spans="2:12" x14ac:dyDescent="0.35">
      <c r="B279" s="28">
        <v>1</v>
      </c>
      <c r="C279" s="27"/>
      <c r="D279" s="27"/>
      <c r="E279" s="26" t="s">
        <v>7</v>
      </c>
      <c r="F279" s="26"/>
      <c r="G279" s="5"/>
      <c r="K279" s="284" t="s">
        <v>28</v>
      </c>
      <c r="L279" s="285"/>
    </row>
    <row r="280" spans="2:12" x14ac:dyDescent="0.35">
      <c r="B280" s="39"/>
      <c r="C280" s="27"/>
      <c r="D280" s="27"/>
      <c r="E280" s="26"/>
      <c r="F280" s="26"/>
      <c r="G280" s="5"/>
      <c r="J280" s="25"/>
      <c r="K280" s="25"/>
      <c r="L280" s="24"/>
    </row>
    <row r="281" spans="2:12" x14ac:dyDescent="0.35">
      <c r="B281" s="28"/>
      <c r="C281" s="27"/>
      <c r="D281" s="27"/>
      <c r="E281" s="26"/>
      <c r="F281" s="26"/>
      <c r="G281" s="5"/>
      <c r="L281" s="22"/>
    </row>
    <row r="282" spans="2:12" x14ac:dyDescent="0.35">
      <c r="B282" s="45"/>
      <c r="E282" s="5"/>
      <c r="F282" s="5"/>
      <c r="G282" s="5"/>
      <c r="L282" s="22"/>
    </row>
    <row r="283" spans="2:12" x14ac:dyDescent="0.35">
      <c r="B283" s="45"/>
      <c r="E283" s="5"/>
      <c r="F283" s="5"/>
      <c r="G283" s="5"/>
      <c r="L283" s="22"/>
    </row>
    <row r="284" spans="2:12" x14ac:dyDescent="0.35">
      <c r="B284" s="45"/>
      <c r="E284" s="5"/>
      <c r="F284" s="5"/>
      <c r="G284" s="5"/>
      <c r="L284" s="22"/>
    </row>
    <row r="285" spans="2:12" x14ac:dyDescent="0.35">
      <c r="B285" s="45"/>
      <c r="E285" s="5"/>
      <c r="F285" s="5"/>
      <c r="G285" s="5"/>
      <c r="J285" s="40"/>
      <c r="K285" s="286" t="s">
        <v>36</v>
      </c>
      <c r="L285" s="287"/>
    </row>
    <row r="286" spans="2:12" x14ac:dyDescent="0.35">
      <c r="B286" s="45"/>
      <c r="K286" s="288" t="s">
        <v>37</v>
      </c>
      <c r="L286" s="289"/>
    </row>
    <row r="287" spans="2:12" x14ac:dyDescent="0.35">
      <c r="B287" s="290"/>
      <c r="C287" s="291"/>
      <c r="D287" s="291"/>
      <c r="E287" s="41"/>
      <c r="F287" s="41"/>
      <c r="G287" s="41"/>
      <c r="H287" s="2"/>
      <c r="I287" s="2"/>
      <c r="J287" s="2"/>
      <c r="K287" s="2"/>
      <c r="L287" s="21"/>
    </row>
    <row r="288" spans="2:12" x14ac:dyDescent="0.35">
      <c r="B288" s="47"/>
      <c r="C288" s="48"/>
      <c r="D288" s="49"/>
      <c r="G288" s="22"/>
      <c r="H288" s="1"/>
      <c r="I288" s="1"/>
      <c r="J288" s="43"/>
      <c r="K288" s="30"/>
      <c r="L288" s="44"/>
    </row>
    <row r="289" spans="2:12" x14ac:dyDescent="0.35">
      <c r="B289" s="174"/>
      <c r="C289" s="175"/>
      <c r="D289" s="176"/>
      <c r="E289" s="163"/>
      <c r="F289" s="163" t="s">
        <v>89</v>
      </c>
      <c r="G289" s="164" t="s">
        <v>357</v>
      </c>
      <c r="H289" s="177">
        <v>1051.5545999999999</v>
      </c>
      <c r="I289" s="164" t="s">
        <v>87</v>
      </c>
      <c r="J289" s="50">
        <v>31000</v>
      </c>
      <c r="K289" s="56"/>
      <c r="L289" s="46">
        <f t="shared" ref="L289:L293" si="21">J289*H289</f>
        <v>32598192.599999998</v>
      </c>
    </row>
    <row r="290" spans="2:12" x14ac:dyDescent="0.35">
      <c r="B290" s="174"/>
      <c r="C290" s="175"/>
      <c r="D290" s="176"/>
      <c r="E290" s="163"/>
      <c r="F290" s="163" t="s">
        <v>89</v>
      </c>
      <c r="G290" s="164" t="s">
        <v>358</v>
      </c>
      <c r="H290" s="177">
        <v>1051.5545999999999</v>
      </c>
      <c r="I290" s="164" t="s">
        <v>87</v>
      </c>
      <c r="J290" s="50">
        <v>31000</v>
      </c>
      <c r="K290" s="56"/>
      <c r="L290" s="46">
        <f t="shared" si="21"/>
        <v>32598192.599999998</v>
      </c>
    </row>
    <row r="291" spans="2:12" x14ac:dyDescent="0.35">
      <c r="B291" s="174"/>
      <c r="C291" s="175"/>
      <c r="D291" s="176"/>
      <c r="E291" s="163"/>
      <c r="F291" s="163" t="s">
        <v>89</v>
      </c>
      <c r="G291" s="164" t="s">
        <v>359</v>
      </c>
      <c r="H291" s="177">
        <v>1057.3007999999998</v>
      </c>
      <c r="I291" s="164" t="s">
        <v>87</v>
      </c>
      <c r="J291" s="50">
        <v>31000</v>
      </c>
      <c r="K291" s="56"/>
      <c r="L291" s="46">
        <f t="shared" si="21"/>
        <v>32776324.799999993</v>
      </c>
    </row>
    <row r="292" spans="2:12" x14ac:dyDescent="0.35">
      <c r="B292" s="174"/>
      <c r="C292" s="175"/>
      <c r="D292" s="176"/>
      <c r="E292" s="163"/>
      <c r="F292" s="163" t="s">
        <v>89</v>
      </c>
      <c r="G292" s="164" t="s">
        <v>360</v>
      </c>
      <c r="H292" s="177">
        <v>948.12299999999982</v>
      </c>
      <c r="I292" s="164" t="s">
        <v>87</v>
      </c>
      <c r="J292" s="50">
        <v>31000</v>
      </c>
      <c r="K292" s="56"/>
      <c r="L292" s="46">
        <f t="shared" si="21"/>
        <v>29391812.999999996</v>
      </c>
    </row>
    <row r="293" spans="2:12" x14ac:dyDescent="0.35">
      <c r="B293" s="174"/>
      <c r="C293" s="175"/>
      <c r="D293" s="176"/>
      <c r="E293" s="163"/>
      <c r="F293" s="163" t="s">
        <v>89</v>
      </c>
      <c r="G293" s="164" t="s">
        <v>361</v>
      </c>
      <c r="H293" s="177">
        <v>879.16859999999986</v>
      </c>
      <c r="I293" s="164" t="s">
        <v>87</v>
      </c>
      <c r="J293" s="50">
        <v>31000</v>
      </c>
      <c r="K293" s="56"/>
      <c r="L293" s="46">
        <f t="shared" si="21"/>
        <v>27254226.599999994</v>
      </c>
    </row>
    <row r="294" spans="2:12" x14ac:dyDescent="0.35">
      <c r="B294" s="174"/>
      <c r="C294" s="175"/>
      <c r="D294" s="176" t="s">
        <v>73</v>
      </c>
      <c r="E294" s="163"/>
      <c r="F294" s="163" t="s">
        <v>378</v>
      </c>
      <c r="G294" s="164"/>
      <c r="H294" s="177"/>
      <c r="I294" s="164"/>
      <c r="J294" s="50"/>
      <c r="K294" s="56"/>
      <c r="L294" s="46"/>
    </row>
    <row r="295" spans="2:12" x14ac:dyDescent="0.35">
      <c r="B295" s="174"/>
      <c r="C295" s="175"/>
      <c r="D295" s="176"/>
      <c r="E295" s="163"/>
      <c r="F295" s="163" t="s">
        <v>89</v>
      </c>
      <c r="G295" s="164" t="s">
        <v>355</v>
      </c>
      <c r="H295" s="177">
        <v>879.16859999999986</v>
      </c>
      <c r="I295" s="164" t="s">
        <v>87</v>
      </c>
      <c r="J295" s="50">
        <v>31000</v>
      </c>
      <c r="K295" s="56"/>
      <c r="L295" s="46">
        <f t="shared" ref="L295:L301" si="22">J295*H295</f>
        <v>27254226.599999994</v>
      </c>
    </row>
    <row r="296" spans="2:12" x14ac:dyDescent="0.35">
      <c r="B296" s="174"/>
      <c r="C296" s="175"/>
      <c r="D296" s="176"/>
      <c r="E296" s="163"/>
      <c r="F296" s="163" t="s">
        <v>89</v>
      </c>
      <c r="G296" s="164" t="s">
        <v>363</v>
      </c>
      <c r="H296" s="177">
        <v>1057.3007999999998</v>
      </c>
      <c r="I296" s="164" t="s">
        <v>87</v>
      </c>
      <c r="J296" s="50">
        <v>31000</v>
      </c>
      <c r="K296" s="56"/>
      <c r="L296" s="46">
        <f t="shared" si="22"/>
        <v>32776324.799999993</v>
      </c>
    </row>
    <row r="297" spans="2:12" x14ac:dyDescent="0.35">
      <c r="B297" s="174"/>
      <c r="C297" s="175"/>
      <c r="D297" s="176"/>
      <c r="E297" s="163"/>
      <c r="F297" s="163" t="s">
        <v>89</v>
      </c>
      <c r="G297" s="164" t="s">
        <v>364</v>
      </c>
      <c r="H297" s="177">
        <v>1057.3007999999998</v>
      </c>
      <c r="I297" s="164" t="s">
        <v>87</v>
      </c>
      <c r="J297" s="50">
        <v>31000</v>
      </c>
      <c r="K297" s="56"/>
      <c r="L297" s="46">
        <f t="shared" si="22"/>
        <v>32776324.799999993</v>
      </c>
    </row>
    <row r="298" spans="2:12" x14ac:dyDescent="0.35">
      <c r="B298" s="174"/>
      <c r="C298" s="175"/>
      <c r="D298" s="176"/>
      <c r="E298" s="163"/>
      <c r="F298" s="163" t="s">
        <v>89</v>
      </c>
      <c r="G298" s="164" t="s">
        <v>358</v>
      </c>
      <c r="H298" s="177">
        <v>1051.5545999999999</v>
      </c>
      <c r="I298" s="164" t="s">
        <v>87</v>
      </c>
      <c r="J298" s="50">
        <v>31000</v>
      </c>
      <c r="K298" s="56"/>
      <c r="L298" s="46">
        <f t="shared" si="22"/>
        <v>32598192.599999998</v>
      </c>
    </row>
    <row r="299" spans="2:12" x14ac:dyDescent="0.35">
      <c r="B299" s="174"/>
      <c r="C299" s="175"/>
      <c r="D299" s="176"/>
      <c r="E299" s="163"/>
      <c r="F299" s="163" t="s">
        <v>89</v>
      </c>
      <c r="G299" s="164" t="s">
        <v>359</v>
      </c>
      <c r="H299" s="177">
        <v>1057.3007999999998</v>
      </c>
      <c r="I299" s="164" t="s">
        <v>87</v>
      </c>
      <c r="J299" s="50">
        <v>31000</v>
      </c>
      <c r="K299" s="56"/>
      <c r="L299" s="46">
        <f t="shared" si="22"/>
        <v>32776324.799999993</v>
      </c>
    </row>
    <row r="300" spans="2:12" x14ac:dyDescent="0.35">
      <c r="B300" s="174"/>
      <c r="C300" s="175"/>
      <c r="D300" s="176"/>
      <c r="E300" s="163"/>
      <c r="F300" s="163" t="s">
        <v>89</v>
      </c>
      <c r="G300" s="164" t="s">
        <v>365</v>
      </c>
      <c r="H300" s="177">
        <v>1057.3007999999998</v>
      </c>
      <c r="I300" s="164" t="s">
        <v>87</v>
      </c>
      <c r="J300" s="50">
        <v>31000</v>
      </c>
      <c r="K300" s="56"/>
      <c r="L300" s="46">
        <f t="shared" si="22"/>
        <v>32776324.799999993</v>
      </c>
    </row>
    <row r="301" spans="2:12" x14ac:dyDescent="0.35">
      <c r="B301" s="174"/>
      <c r="C301" s="175"/>
      <c r="D301" s="176"/>
      <c r="E301" s="163"/>
      <c r="F301" s="163" t="s">
        <v>89</v>
      </c>
      <c r="G301" s="164" t="s">
        <v>366</v>
      </c>
      <c r="H301" s="177">
        <v>850.43759999999986</v>
      </c>
      <c r="I301" s="164" t="s">
        <v>87</v>
      </c>
      <c r="J301" s="50">
        <v>31000</v>
      </c>
      <c r="K301" s="56"/>
      <c r="L301" s="46">
        <f t="shared" si="22"/>
        <v>26363565.599999994</v>
      </c>
    </row>
    <row r="302" spans="2:12" x14ac:dyDescent="0.35">
      <c r="B302" s="174"/>
      <c r="C302" s="175"/>
      <c r="D302" s="176" t="s">
        <v>75</v>
      </c>
      <c r="E302" s="163"/>
      <c r="F302" s="163" t="s">
        <v>379</v>
      </c>
      <c r="G302" s="164"/>
      <c r="H302" s="177"/>
      <c r="I302" s="164"/>
      <c r="J302" s="50"/>
      <c r="K302" s="56"/>
      <c r="L302" s="46"/>
    </row>
    <row r="303" spans="2:12" x14ac:dyDescent="0.35">
      <c r="B303" s="174"/>
      <c r="C303" s="175"/>
      <c r="D303" s="176"/>
      <c r="E303" s="163"/>
      <c r="F303" s="163" t="s">
        <v>89</v>
      </c>
      <c r="G303" s="164" t="s">
        <v>355</v>
      </c>
      <c r="H303" s="177">
        <v>879.16859999999986</v>
      </c>
      <c r="I303" s="164" t="s">
        <v>87</v>
      </c>
      <c r="J303" s="50">
        <v>31000</v>
      </c>
      <c r="K303" s="56"/>
      <c r="L303" s="46">
        <f t="shared" ref="L303:L309" si="23">J303*H303</f>
        <v>27254226.599999994</v>
      </c>
    </row>
    <row r="304" spans="2:12" x14ac:dyDescent="0.35">
      <c r="B304" s="174"/>
      <c r="C304" s="175"/>
      <c r="D304" s="176"/>
      <c r="E304" s="163"/>
      <c r="F304" s="163" t="s">
        <v>89</v>
      </c>
      <c r="G304" s="164" t="s">
        <v>356</v>
      </c>
      <c r="H304" s="177">
        <v>1051.5545999999999</v>
      </c>
      <c r="I304" s="164" t="s">
        <v>87</v>
      </c>
      <c r="J304" s="50">
        <v>31000</v>
      </c>
      <c r="K304" s="56"/>
      <c r="L304" s="46">
        <f t="shared" si="23"/>
        <v>32598192.599999998</v>
      </c>
    </row>
    <row r="305" spans="2:12" x14ac:dyDescent="0.35">
      <c r="B305" s="174"/>
      <c r="C305" s="175"/>
      <c r="D305" s="176"/>
      <c r="E305" s="163"/>
      <c r="F305" s="163" t="s">
        <v>89</v>
      </c>
      <c r="G305" s="164" t="s">
        <v>357</v>
      </c>
      <c r="H305" s="177">
        <v>1051.5545999999999</v>
      </c>
      <c r="I305" s="164" t="s">
        <v>87</v>
      </c>
      <c r="J305" s="50">
        <v>31000</v>
      </c>
      <c r="K305" s="56"/>
      <c r="L305" s="46">
        <f t="shared" si="23"/>
        <v>32598192.599999998</v>
      </c>
    </row>
    <row r="306" spans="2:12" x14ac:dyDescent="0.35">
      <c r="B306" s="174"/>
      <c r="C306" s="175"/>
      <c r="D306" s="176"/>
      <c r="E306" s="163"/>
      <c r="F306" s="163" t="s">
        <v>89</v>
      </c>
      <c r="G306" s="164" t="s">
        <v>358</v>
      </c>
      <c r="H306" s="177">
        <v>1051.5545999999999</v>
      </c>
      <c r="I306" s="164" t="s">
        <v>87</v>
      </c>
      <c r="J306" s="50">
        <v>31000</v>
      </c>
      <c r="K306" s="56"/>
      <c r="L306" s="46">
        <f t="shared" si="23"/>
        <v>32598192.599999998</v>
      </c>
    </row>
    <row r="307" spans="2:12" x14ac:dyDescent="0.35">
      <c r="B307" s="174"/>
      <c r="C307" s="175"/>
      <c r="D307" s="176"/>
      <c r="E307" s="163"/>
      <c r="F307" s="163" t="s">
        <v>89</v>
      </c>
      <c r="G307" s="164" t="s">
        <v>359</v>
      </c>
      <c r="H307" s="177">
        <v>1057.3007999999998</v>
      </c>
      <c r="I307" s="164" t="s">
        <v>87</v>
      </c>
      <c r="J307" s="50">
        <v>31000</v>
      </c>
      <c r="K307" s="56"/>
      <c r="L307" s="46">
        <f t="shared" si="23"/>
        <v>32776324.799999993</v>
      </c>
    </row>
    <row r="308" spans="2:12" x14ac:dyDescent="0.35">
      <c r="B308" s="174"/>
      <c r="C308" s="175"/>
      <c r="D308" s="176"/>
      <c r="E308" s="163"/>
      <c r="F308" s="163" t="s">
        <v>89</v>
      </c>
      <c r="G308" s="164" t="s">
        <v>360</v>
      </c>
      <c r="H308" s="177">
        <v>948.12299999999982</v>
      </c>
      <c r="I308" s="164" t="s">
        <v>87</v>
      </c>
      <c r="J308" s="50">
        <v>31000</v>
      </c>
      <c r="K308" s="56"/>
      <c r="L308" s="46">
        <f t="shared" si="23"/>
        <v>29391812.999999996</v>
      </c>
    </row>
    <row r="309" spans="2:12" x14ac:dyDescent="0.35">
      <c r="B309" s="174"/>
      <c r="C309" s="175"/>
      <c r="D309" s="176"/>
      <c r="E309" s="163"/>
      <c r="F309" s="163" t="s">
        <v>89</v>
      </c>
      <c r="G309" s="164" t="s">
        <v>361</v>
      </c>
      <c r="H309" s="177">
        <v>879.16859999999986</v>
      </c>
      <c r="I309" s="164" t="s">
        <v>87</v>
      </c>
      <c r="J309" s="50">
        <v>31000</v>
      </c>
      <c r="K309" s="56"/>
      <c r="L309" s="46">
        <f t="shared" si="23"/>
        <v>27254226.599999994</v>
      </c>
    </row>
    <row r="310" spans="2:12" x14ac:dyDescent="0.35">
      <c r="B310" s="174"/>
      <c r="C310" s="175"/>
      <c r="D310" s="176" t="s">
        <v>76</v>
      </c>
      <c r="E310" s="163"/>
      <c r="F310" s="163" t="s">
        <v>380</v>
      </c>
      <c r="G310" s="164"/>
      <c r="H310" s="177"/>
      <c r="I310" s="164"/>
      <c r="J310" s="50"/>
      <c r="K310" s="56"/>
      <c r="L310" s="46"/>
    </row>
    <row r="311" spans="2:12" x14ac:dyDescent="0.35">
      <c r="B311" s="174"/>
      <c r="C311" s="175"/>
      <c r="D311" s="176"/>
      <c r="E311" s="163"/>
      <c r="F311" s="163" t="s">
        <v>89</v>
      </c>
      <c r="G311" s="164" t="s">
        <v>355</v>
      </c>
      <c r="H311" s="177">
        <v>879.16859999999986</v>
      </c>
      <c r="I311" s="164" t="s">
        <v>87</v>
      </c>
      <c r="J311" s="50">
        <v>31000</v>
      </c>
      <c r="K311" s="56"/>
      <c r="L311" s="46">
        <f t="shared" ref="L311:L317" si="24">J311*H311</f>
        <v>27254226.599999994</v>
      </c>
    </row>
    <row r="312" spans="2:12" x14ac:dyDescent="0.35">
      <c r="B312" s="174"/>
      <c r="C312" s="175"/>
      <c r="D312" s="176"/>
      <c r="E312" s="163"/>
      <c r="F312" s="163" t="s">
        <v>89</v>
      </c>
      <c r="G312" s="164" t="s">
        <v>363</v>
      </c>
      <c r="H312" s="177">
        <v>1057.3007999999998</v>
      </c>
      <c r="I312" s="164" t="s">
        <v>87</v>
      </c>
      <c r="J312" s="50">
        <v>31000</v>
      </c>
      <c r="K312" s="56"/>
      <c r="L312" s="46">
        <f t="shared" si="24"/>
        <v>32776324.799999993</v>
      </c>
    </row>
    <row r="313" spans="2:12" x14ac:dyDescent="0.35">
      <c r="B313" s="174"/>
      <c r="C313" s="175"/>
      <c r="D313" s="176"/>
      <c r="E313" s="163"/>
      <c r="F313" s="163" t="s">
        <v>89</v>
      </c>
      <c r="G313" s="164" t="s">
        <v>364</v>
      </c>
      <c r="H313" s="177">
        <v>1057.3007999999998</v>
      </c>
      <c r="I313" s="164" t="s">
        <v>87</v>
      </c>
      <c r="J313" s="50">
        <v>31000</v>
      </c>
      <c r="K313" s="56"/>
      <c r="L313" s="46">
        <f t="shared" si="24"/>
        <v>32776324.799999993</v>
      </c>
    </row>
    <row r="314" spans="2:12" x14ac:dyDescent="0.35">
      <c r="B314" s="174"/>
      <c r="C314" s="175"/>
      <c r="D314" s="176"/>
      <c r="E314" s="163"/>
      <c r="F314" s="163" t="s">
        <v>89</v>
      </c>
      <c r="G314" s="164" t="s">
        <v>358</v>
      </c>
      <c r="H314" s="177">
        <v>1051.5545999999999</v>
      </c>
      <c r="I314" s="164" t="s">
        <v>87</v>
      </c>
      <c r="J314" s="50">
        <v>31000</v>
      </c>
      <c r="K314" s="56"/>
      <c r="L314" s="46">
        <f t="shared" si="24"/>
        <v>32598192.599999998</v>
      </c>
    </row>
    <row r="315" spans="2:12" x14ac:dyDescent="0.35">
      <c r="B315" s="174"/>
      <c r="C315" s="175"/>
      <c r="D315" s="176"/>
      <c r="E315" s="163"/>
      <c r="F315" s="163" t="s">
        <v>89</v>
      </c>
      <c r="G315" s="164" t="s">
        <v>359</v>
      </c>
      <c r="H315" s="177">
        <v>1057.3007999999998</v>
      </c>
      <c r="I315" s="164" t="s">
        <v>87</v>
      </c>
      <c r="J315" s="50">
        <v>31000</v>
      </c>
      <c r="K315" s="56"/>
      <c r="L315" s="46">
        <f t="shared" si="24"/>
        <v>32776324.799999993</v>
      </c>
    </row>
    <row r="316" spans="2:12" x14ac:dyDescent="0.35">
      <c r="B316" s="174"/>
      <c r="C316" s="175"/>
      <c r="D316" s="176"/>
      <c r="E316" s="163"/>
      <c r="F316" s="163" t="s">
        <v>89</v>
      </c>
      <c r="G316" s="164" t="s">
        <v>365</v>
      </c>
      <c r="H316" s="177">
        <v>1057.3007999999998</v>
      </c>
      <c r="I316" s="164" t="s">
        <v>87</v>
      </c>
      <c r="J316" s="50">
        <v>31000</v>
      </c>
      <c r="K316" s="56"/>
      <c r="L316" s="46">
        <f t="shared" si="24"/>
        <v>32776324.799999993</v>
      </c>
    </row>
    <row r="317" spans="2:12" x14ac:dyDescent="0.35">
      <c r="B317" s="174"/>
      <c r="C317" s="175"/>
      <c r="D317" s="176"/>
      <c r="E317" s="163"/>
      <c r="F317" s="163" t="s">
        <v>89</v>
      </c>
      <c r="G317" s="164" t="s">
        <v>366</v>
      </c>
      <c r="H317" s="177">
        <v>850.43759999999986</v>
      </c>
      <c r="I317" s="164" t="s">
        <v>87</v>
      </c>
      <c r="J317" s="50">
        <v>31000</v>
      </c>
      <c r="K317" s="56"/>
      <c r="L317" s="46">
        <f t="shared" si="24"/>
        <v>26363565.599999994</v>
      </c>
    </row>
    <row r="318" spans="2:12" x14ac:dyDescent="0.35">
      <c r="B318" s="174"/>
      <c r="C318" s="175"/>
      <c r="D318" s="176" t="s">
        <v>194</v>
      </c>
      <c r="E318" s="163"/>
      <c r="F318" s="163" t="s">
        <v>381</v>
      </c>
      <c r="G318" s="164"/>
      <c r="H318" s="177"/>
      <c r="I318" s="164"/>
      <c r="J318" s="50"/>
      <c r="K318" s="56"/>
      <c r="L318" s="46"/>
    </row>
    <row r="319" spans="2:12" x14ac:dyDescent="0.35">
      <c r="B319" s="174"/>
      <c r="C319" s="175"/>
      <c r="D319" s="176"/>
      <c r="E319" s="163"/>
      <c r="F319" s="163" t="s">
        <v>89</v>
      </c>
      <c r="G319" s="164" t="s">
        <v>355</v>
      </c>
      <c r="H319" s="177">
        <v>879.16859999999986</v>
      </c>
      <c r="I319" s="164" t="s">
        <v>87</v>
      </c>
      <c r="J319" s="50">
        <v>31000</v>
      </c>
      <c r="K319" s="56"/>
      <c r="L319" s="46">
        <f t="shared" ref="L319:L325" si="25">J319*H319</f>
        <v>27254226.599999994</v>
      </c>
    </row>
    <row r="320" spans="2:12" x14ac:dyDescent="0.35">
      <c r="B320" s="174"/>
      <c r="C320" s="175"/>
      <c r="D320" s="176"/>
      <c r="E320" s="163"/>
      <c r="F320" s="163" t="s">
        <v>89</v>
      </c>
      <c r="G320" s="164" t="s">
        <v>356</v>
      </c>
      <c r="H320" s="177">
        <v>1051.5545999999999</v>
      </c>
      <c r="I320" s="164" t="s">
        <v>87</v>
      </c>
      <c r="J320" s="50">
        <v>31000</v>
      </c>
      <c r="K320" s="56"/>
      <c r="L320" s="46">
        <f t="shared" si="25"/>
        <v>32598192.599999998</v>
      </c>
    </row>
    <row r="321" spans="2:12" x14ac:dyDescent="0.35">
      <c r="B321" s="174"/>
      <c r="C321" s="175"/>
      <c r="D321" s="176"/>
      <c r="E321" s="163"/>
      <c r="F321" s="163" t="s">
        <v>89</v>
      </c>
      <c r="G321" s="164" t="s">
        <v>357</v>
      </c>
      <c r="H321" s="177">
        <v>1051.5545999999999</v>
      </c>
      <c r="I321" s="164" t="s">
        <v>87</v>
      </c>
      <c r="J321" s="50">
        <v>31000</v>
      </c>
      <c r="K321" s="56"/>
      <c r="L321" s="46">
        <f t="shared" si="25"/>
        <v>32598192.599999998</v>
      </c>
    </row>
    <row r="322" spans="2:12" x14ac:dyDescent="0.35">
      <c r="B322" s="174"/>
      <c r="C322" s="175"/>
      <c r="D322" s="176"/>
      <c r="E322" s="163"/>
      <c r="F322" s="163" t="s">
        <v>89</v>
      </c>
      <c r="G322" s="164" t="s">
        <v>358</v>
      </c>
      <c r="H322" s="177">
        <v>1051.5545999999999</v>
      </c>
      <c r="I322" s="164" t="s">
        <v>87</v>
      </c>
      <c r="J322" s="50">
        <v>31000</v>
      </c>
      <c r="K322" s="56"/>
      <c r="L322" s="46">
        <f t="shared" si="25"/>
        <v>32598192.599999998</v>
      </c>
    </row>
    <row r="323" spans="2:12" x14ac:dyDescent="0.35">
      <c r="B323" s="174"/>
      <c r="C323" s="175"/>
      <c r="D323" s="176"/>
      <c r="E323" s="163"/>
      <c r="F323" s="163" t="s">
        <v>89</v>
      </c>
      <c r="G323" s="164" t="s">
        <v>359</v>
      </c>
      <c r="H323" s="177">
        <v>1057.3007999999998</v>
      </c>
      <c r="I323" s="164" t="s">
        <v>87</v>
      </c>
      <c r="J323" s="50">
        <v>31000</v>
      </c>
      <c r="K323" s="56"/>
      <c r="L323" s="46">
        <f t="shared" si="25"/>
        <v>32776324.799999993</v>
      </c>
    </row>
    <row r="324" spans="2:12" x14ac:dyDescent="0.35">
      <c r="B324" s="174"/>
      <c r="C324" s="175"/>
      <c r="D324" s="176"/>
      <c r="E324" s="163"/>
      <c r="F324" s="163" t="s">
        <v>89</v>
      </c>
      <c r="G324" s="164" t="s">
        <v>360</v>
      </c>
      <c r="H324" s="177">
        <v>948.12299999999982</v>
      </c>
      <c r="I324" s="164" t="s">
        <v>87</v>
      </c>
      <c r="J324" s="50">
        <v>31000</v>
      </c>
      <c r="K324" s="56"/>
      <c r="L324" s="46">
        <f t="shared" si="25"/>
        <v>29391812.999999996</v>
      </c>
    </row>
    <row r="325" spans="2:12" x14ac:dyDescent="0.35">
      <c r="B325" s="174"/>
      <c r="C325" s="175"/>
      <c r="D325" s="176"/>
      <c r="E325" s="163"/>
      <c r="F325" s="163" t="s">
        <v>89</v>
      </c>
      <c r="G325" s="164" t="s">
        <v>361</v>
      </c>
      <c r="H325" s="177">
        <v>879.16859999999986</v>
      </c>
      <c r="I325" s="164" t="s">
        <v>87</v>
      </c>
      <c r="J325" s="50">
        <v>31000</v>
      </c>
      <c r="K325" s="56"/>
      <c r="L325" s="46">
        <f t="shared" si="25"/>
        <v>27254226.599999994</v>
      </c>
    </row>
    <row r="326" spans="2:12" x14ac:dyDescent="0.35">
      <c r="B326" s="174"/>
      <c r="C326" s="175"/>
      <c r="D326" s="176" t="s">
        <v>196</v>
      </c>
      <c r="E326" s="163"/>
      <c r="F326" s="163" t="s">
        <v>382</v>
      </c>
      <c r="G326" s="164"/>
      <c r="H326" s="177"/>
      <c r="I326" s="164"/>
      <c r="J326" s="50"/>
      <c r="K326" s="56"/>
      <c r="L326" s="46"/>
    </row>
    <row r="327" spans="2:12" x14ac:dyDescent="0.35">
      <c r="B327" s="174"/>
      <c r="C327" s="175"/>
      <c r="D327" s="176"/>
      <c r="E327" s="163"/>
      <c r="F327" s="163" t="s">
        <v>89</v>
      </c>
      <c r="G327" s="164" t="s">
        <v>355</v>
      </c>
      <c r="H327" s="177">
        <v>879.16859999999986</v>
      </c>
      <c r="I327" s="164" t="s">
        <v>87</v>
      </c>
      <c r="J327" s="50">
        <v>31000</v>
      </c>
      <c r="K327" s="56"/>
      <c r="L327" s="46">
        <f t="shared" ref="L327:L333" si="26">J327*H327</f>
        <v>27254226.599999994</v>
      </c>
    </row>
    <row r="328" spans="2:12" x14ac:dyDescent="0.35">
      <c r="B328" s="174"/>
      <c r="C328" s="175"/>
      <c r="D328" s="176"/>
      <c r="E328" s="163"/>
      <c r="F328" s="163" t="s">
        <v>89</v>
      </c>
      <c r="G328" s="164" t="s">
        <v>363</v>
      </c>
      <c r="H328" s="177">
        <v>1057.3007999999998</v>
      </c>
      <c r="I328" s="164" t="s">
        <v>87</v>
      </c>
      <c r="J328" s="50">
        <v>31000</v>
      </c>
      <c r="K328" s="56"/>
      <c r="L328" s="46">
        <f t="shared" si="26"/>
        <v>32776324.799999993</v>
      </c>
    </row>
    <row r="329" spans="2:12" x14ac:dyDescent="0.35">
      <c r="B329" s="174"/>
      <c r="C329" s="175"/>
      <c r="D329" s="176"/>
      <c r="E329" s="163"/>
      <c r="F329" s="163" t="s">
        <v>89</v>
      </c>
      <c r="G329" s="164" t="s">
        <v>364</v>
      </c>
      <c r="H329" s="177">
        <v>1057.3007999999998</v>
      </c>
      <c r="I329" s="164" t="s">
        <v>87</v>
      </c>
      <c r="J329" s="50">
        <v>31000</v>
      </c>
      <c r="K329" s="56"/>
      <c r="L329" s="46">
        <f t="shared" si="26"/>
        <v>32776324.799999993</v>
      </c>
    </row>
    <row r="330" spans="2:12" x14ac:dyDescent="0.35">
      <c r="B330" s="174"/>
      <c r="C330" s="175"/>
      <c r="D330" s="176"/>
      <c r="E330" s="163"/>
      <c r="F330" s="163" t="s">
        <v>89</v>
      </c>
      <c r="G330" s="164" t="s">
        <v>358</v>
      </c>
      <c r="H330" s="177">
        <v>1051.5545999999999</v>
      </c>
      <c r="I330" s="164" t="s">
        <v>87</v>
      </c>
      <c r="J330" s="50">
        <v>31000</v>
      </c>
      <c r="K330" s="56"/>
      <c r="L330" s="46">
        <f t="shared" si="26"/>
        <v>32598192.599999998</v>
      </c>
    </row>
    <row r="331" spans="2:12" x14ac:dyDescent="0.35">
      <c r="B331" s="174"/>
      <c r="C331" s="175"/>
      <c r="D331" s="176"/>
      <c r="E331" s="163"/>
      <c r="F331" s="163" t="s">
        <v>89</v>
      </c>
      <c r="G331" s="164" t="s">
        <v>359</v>
      </c>
      <c r="H331" s="177">
        <v>1057.3007999999998</v>
      </c>
      <c r="I331" s="164" t="s">
        <v>87</v>
      </c>
      <c r="J331" s="50">
        <v>31000</v>
      </c>
      <c r="K331" s="56"/>
      <c r="L331" s="46">
        <f t="shared" si="26"/>
        <v>32776324.799999993</v>
      </c>
    </row>
    <row r="332" spans="2:12" x14ac:dyDescent="0.35">
      <c r="B332" s="174"/>
      <c r="C332" s="175"/>
      <c r="D332" s="176"/>
      <c r="E332" s="163"/>
      <c r="F332" s="163" t="s">
        <v>89</v>
      </c>
      <c r="G332" s="164" t="s">
        <v>365</v>
      </c>
      <c r="H332" s="177">
        <v>1057.3007999999998</v>
      </c>
      <c r="I332" s="164" t="s">
        <v>87</v>
      </c>
      <c r="J332" s="50">
        <v>31000</v>
      </c>
      <c r="K332" s="56"/>
      <c r="L332" s="46">
        <f t="shared" si="26"/>
        <v>32776324.799999993</v>
      </c>
    </row>
    <row r="333" spans="2:12" x14ac:dyDescent="0.35">
      <c r="B333" s="174"/>
      <c r="C333" s="175"/>
      <c r="D333" s="176"/>
      <c r="E333" s="163"/>
      <c r="F333" s="163" t="s">
        <v>89</v>
      </c>
      <c r="G333" s="164" t="s">
        <v>366</v>
      </c>
      <c r="H333" s="177">
        <v>850.43759999999986</v>
      </c>
      <c r="I333" s="164" t="s">
        <v>87</v>
      </c>
      <c r="J333" s="50">
        <v>31000</v>
      </c>
      <c r="K333" s="56"/>
      <c r="L333" s="46">
        <f t="shared" si="26"/>
        <v>26363565.599999994</v>
      </c>
    </row>
    <row r="334" spans="2:12" x14ac:dyDescent="0.35">
      <c r="B334" s="174"/>
      <c r="C334" s="175"/>
      <c r="D334" s="176" t="s">
        <v>78</v>
      </c>
      <c r="E334" s="163"/>
      <c r="F334" s="163" t="s">
        <v>383</v>
      </c>
      <c r="G334" s="164"/>
      <c r="H334" s="177"/>
      <c r="I334" s="164"/>
      <c r="J334" s="50"/>
      <c r="K334" s="56"/>
      <c r="L334" s="46"/>
    </row>
    <row r="335" spans="2:12" x14ac:dyDescent="0.35">
      <c r="B335" s="174"/>
      <c r="C335" s="175"/>
      <c r="D335" s="176"/>
      <c r="E335" s="163"/>
      <c r="F335" s="163" t="s">
        <v>89</v>
      </c>
      <c r="G335" s="164" t="s">
        <v>355</v>
      </c>
      <c r="H335" s="177">
        <v>879.16859999999986</v>
      </c>
      <c r="I335" s="164" t="s">
        <v>87</v>
      </c>
      <c r="J335" s="50">
        <v>31000</v>
      </c>
      <c r="K335" s="56"/>
      <c r="L335" s="46">
        <f t="shared" ref="L335:L339" si="27">J335*H335</f>
        <v>27254226.599999994</v>
      </c>
    </row>
    <row r="336" spans="2:12" x14ac:dyDescent="0.35">
      <c r="B336" s="174"/>
      <c r="C336" s="175"/>
      <c r="D336" s="176"/>
      <c r="E336" s="163"/>
      <c r="F336" s="163" t="s">
        <v>89</v>
      </c>
      <c r="G336" s="164" t="s">
        <v>356</v>
      </c>
      <c r="H336" s="177">
        <v>1051.5545999999999</v>
      </c>
      <c r="I336" s="164" t="s">
        <v>87</v>
      </c>
      <c r="J336" s="50">
        <v>31000</v>
      </c>
      <c r="K336" s="56"/>
      <c r="L336" s="46">
        <f t="shared" si="27"/>
        <v>32598192.599999998</v>
      </c>
    </row>
    <row r="337" spans="2:12" x14ac:dyDescent="0.35">
      <c r="B337" s="174"/>
      <c r="C337" s="175"/>
      <c r="D337" s="176"/>
      <c r="E337" s="163"/>
      <c r="F337" s="163" t="s">
        <v>89</v>
      </c>
      <c r="G337" s="164" t="s">
        <v>357</v>
      </c>
      <c r="H337" s="177">
        <v>1051.5545999999999</v>
      </c>
      <c r="I337" s="164" t="s">
        <v>87</v>
      </c>
      <c r="J337" s="50">
        <v>31000</v>
      </c>
      <c r="K337" s="56"/>
      <c r="L337" s="46">
        <f t="shared" si="27"/>
        <v>32598192.599999998</v>
      </c>
    </row>
    <row r="338" spans="2:12" x14ac:dyDescent="0.35">
      <c r="B338" s="174"/>
      <c r="C338" s="175"/>
      <c r="D338" s="176"/>
      <c r="E338" s="163"/>
      <c r="F338" s="163" t="s">
        <v>89</v>
      </c>
      <c r="G338" s="164" t="s">
        <v>358</v>
      </c>
      <c r="H338" s="177">
        <v>1051.5545999999999</v>
      </c>
      <c r="I338" s="164" t="s">
        <v>87</v>
      </c>
      <c r="J338" s="50">
        <v>31000</v>
      </c>
      <c r="K338" s="56"/>
      <c r="L338" s="46">
        <f t="shared" si="27"/>
        <v>32598192.599999998</v>
      </c>
    </row>
    <row r="339" spans="2:12" x14ac:dyDescent="0.35">
      <c r="B339" s="174"/>
      <c r="C339" s="175"/>
      <c r="D339" s="176"/>
      <c r="E339" s="163"/>
      <c r="F339" s="163" t="s">
        <v>89</v>
      </c>
      <c r="G339" s="164" t="s">
        <v>359</v>
      </c>
      <c r="H339" s="177">
        <v>1057.3007999999998</v>
      </c>
      <c r="I339" s="164" t="s">
        <v>87</v>
      </c>
      <c r="J339" s="50">
        <v>31000</v>
      </c>
      <c r="K339" s="56"/>
      <c r="L339" s="46">
        <f t="shared" si="27"/>
        <v>32776324.799999993</v>
      </c>
    </row>
    <row r="340" spans="2:12" x14ac:dyDescent="0.35">
      <c r="B340" s="47"/>
      <c r="C340" s="48"/>
      <c r="D340" s="24"/>
      <c r="G340" s="22"/>
      <c r="I340" s="22"/>
      <c r="J340" s="50"/>
      <c r="K340" s="29"/>
      <c r="L340" s="52"/>
    </row>
    <row r="341" spans="2:12" x14ac:dyDescent="0.35">
      <c r="B341" s="8"/>
      <c r="C341" s="9"/>
      <c r="D341" s="10"/>
      <c r="E341" s="4"/>
      <c r="F341" s="4"/>
      <c r="G341" s="4"/>
      <c r="H341" s="1"/>
      <c r="I341" s="1"/>
      <c r="J341" s="11" t="s">
        <v>8</v>
      </c>
      <c r="K341" s="7">
        <f>SUM(K288:K340)</f>
        <v>0</v>
      </c>
      <c r="L341" s="7">
        <f>SUM(L288:L340)</f>
        <v>1393350068.3999991</v>
      </c>
    </row>
    <row r="342" spans="2:12" x14ac:dyDescent="0.35">
      <c r="B342" s="8"/>
      <c r="C342" s="9"/>
      <c r="D342" s="9"/>
      <c r="E342" s="4"/>
      <c r="F342" s="4"/>
      <c r="G342" s="4"/>
      <c r="H342" s="1"/>
      <c r="I342" s="1"/>
      <c r="J342" s="11"/>
      <c r="K342" s="35" t="s">
        <v>22</v>
      </c>
      <c r="L342" s="36" t="s">
        <v>23</v>
      </c>
    </row>
    <row r="343" spans="2:12" x14ac:dyDescent="0.35">
      <c r="B343" s="3" t="s">
        <v>9</v>
      </c>
      <c r="C343" s="4"/>
      <c r="D343" s="4"/>
      <c r="E343" s="4"/>
      <c r="F343" s="4"/>
      <c r="G343" s="4"/>
      <c r="H343" s="1"/>
      <c r="I343" s="1"/>
      <c r="J343" s="12"/>
      <c r="K343" s="12"/>
      <c r="L343" s="13"/>
    </row>
    <row r="344" spans="2:12" x14ac:dyDescent="0.35">
      <c r="B344" s="37"/>
      <c r="C344" s="1"/>
      <c r="D344" s="1"/>
      <c r="E344" s="38"/>
      <c r="F344" s="38"/>
      <c r="G344" s="38"/>
      <c r="H344" s="1"/>
      <c r="I344" s="1"/>
      <c r="J344" s="1"/>
      <c r="K344" s="1"/>
      <c r="L344" s="19"/>
    </row>
    <row r="345" spans="2:12" x14ac:dyDescent="0.35">
      <c r="B345" s="28" t="s">
        <v>6</v>
      </c>
      <c r="C345" s="27"/>
      <c r="D345" s="27"/>
      <c r="E345" s="26"/>
      <c r="F345" s="26"/>
      <c r="G345" s="5"/>
      <c r="K345" s="284" t="s">
        <v>1600</v>
      </c>
      <c r="L345" s="285"/>
    </row>
    <row r="346" spans="2:12" x14ac:dyDescent="0.35">
      <c r="B346" s="28">
        <v>1</v>
      </c>
      <c r="C346" s="27"/>
      <c r="D346" s="27"/>
      <c r="E346" s="26" t="s">
        <v>7</v>
      </c>
      <c r="F346" s="26"/>
      <c r="G346" s="5"/>
      <c r="K346" s="284" t="s">
        <v>28</v>
      </c>
      <c r="L346" s="285"/>
    </row>
    <row r="347" spans="2:12" x14ac:dyDescent="0.35">
      <c r="B347" s="39"/>
      <c r="C347" s="27"/>
      <c r="D347" s="27"/>
      <c r="E347" s="26"/>
      <c r="F347" s="26"/>
      <c r="G347" s="5"/>
      <c r="J347" s="25"/>
      <c r="K347" s="25"/>
      <c r="L347" s="24"/>
    </row>
    <row r="348" spans="2:12" x14ac:dyDescent="0.35">
      <c r="B348" s="28"/>
      <c r="C348" s="27"/>
      <c r="D348" s="27"/>
      <c r="E348" s="26"/>
      <c r="F348" s="26"/>
      <c r="G348" s="5"/>
      <c r="L348" s="22"/>
    </row>
    <row r="349" spans="2:12" x14ac:dyDescent="0.35">
      <c r="B349" s="45"/>
      <c r="E349" s="5"/>
      <c r="F349" s="5"/>
      <c r="G349" s="5"/>
      <c r="L349" s="22"/>
    </row>
    <row r="350" spans="2:12" x14ac:dyDescent="0.35">
      <c r="B350" s="45"/>
      <c r="E350" s="5"/>
      <c r="F350" s="5"/>
      <c r="G350" s="5"/>
      <c r="L350" s="22"/>
    </row>
    <row r="351" spans="2:12" x14ac:dyDescent="0.35">
      <c r="B351" s="45"/>
      <c r="E351" s="5"/>
      <c r="F351" s="5"/>
      <c r="G351" s="5"/>
      <c r="L351" s="22"/>
    </row>
    <row r="352" spans="2:12" x14ac:dyDescent="0.35">
      <c r="B352" s="45"/>
      <c r="E352" s="5"/>
      <c r="F352" s="5"/>
      <c r="G352" s="5"/>
      <c r="J352" s="40"/>
      <c r="K352" s="286" t="s">
        <v>36</v>
      </c>
      <c r="L352" s="287"/>
    </row>
    <row r="353" spans="2:12" x14ac:dyDescent="0.35">
      <c r="B353" s="45"/>
      <c r="K353" s="288" t="s">
        <v>37</v>
      </c>
      <c r="L353" s="289"/>
    </row>
    <row r="354" spans="2:12" x14ac:dyDescent="0.35">
      <c r="B354" s="290"/>
      <c r="C354" s="291"/>
      <c r="D354" s="291"/>
      <c r="E354" s="41"/>
      <c r="F354" s="41"/>
      <c r="G354" s="41"/>
      <c r="H354" s="2"/>
      <c r="I354" s="2"/>
      <c r="J354" s="2"/>
      <c r="K354" s="2"/>
      <c r="L354" s="21"/>
    </row>
    <row r="355" spans="2:12" x14ac:dyDescent="0.35">
      <c r="B355" s="47"/>
      <c r="C355" s="48"/>
      <c r="D355" s="49"/>
      <c r="G355" s="22"/>
      <c r="H355" s="1"/>
      <c r="I355" s="1"/>
      <c r="J355" s="43"/>
      <c r="K355" s="30"/>
      <c r="L355" s="44"/>
    </row>
    <row r="356" spans="2:12" x14ac:dyDescent="0.35">
      <c r="B356" s="174"/>
      <c r="C356" s="175"/>
      <c r="D356" s="176"/>
      <c r="E356" s="163"/>
      <c r="F356" s="163" t="s">
        <v>89</v>
      </c>
      <c r="G356" s="164" t="s">
        <v>360</v>
      </c>
      <c r="H356" s="177">
        <v>948.12299999999982</v>
      </c>
      <c r="I356" s="164" t="s">
        <v>87</v>
      </c>
      <c r="J356" s="50">
        <v>31000</v>
      </c>
      <c r="K356" s="56"/>
      <c r="L356" s="46">
        <f t="shared" ref="L356:L357" si="28">J356*H356</f>
        <v>29391812.999999996</v>
      </c>
    </row>
    <row r="357" spans="2:12" x14ac:dyDescent="0.35">
      <c r="B357" s="174"/>
      <c r="C357" s="175"/>
      <c r="D357" s="176"/>
      <c r="E357" s="163"/>
      <c r="F357" s="163" t="s">
        <v>89</v>
      </c>
      <c r="G357" s="164" t="s">
        <v>361</v>
      </c>
      <c r="H357" s="177">
        <v>879.16859999999986</v>
      </c>
      <c r="I357" s="164" t="s">
        <v>87</v>
      </c>
      <c r="J357" s="50">
        <v>31000</v>
      </c>
      <c r="K357" s="56"/>
      <c r="L357" s="46">
        <f t="shared" si="28"/>
        <v>27254226.599999994</v>
      </c>
    </row>
    <row r="358" spans="2:12" x14ac:dyDescent="0.35">
      <c r="B358" s="174"/>
      <c r="C358" s="175"/>
      <c r="D358" s="176" t="s">
        <v>81</v>
      </c>
      <c r="E358" s="163"/>
      <c r="F358" s="163" t="s">
        <v>384</v>
      </c>
      <c r="G358" s="164"/>
      <c r="H358" s="177"/>
      <c r="I358" s="164"/>
      <c r="J358" s="50"/>
      <c r="K358" s="56"/>
      <c r="L358" s="46"/>
    </row>
    <row r="359" spans="2:12" x14ac:dyDescent="0.35">
      <c r="B359" s="174"/>
      <c r="C359" s="175"/>
      <c r="D359" s="176"/>
      <c r="E359" s="163"/>
      <c r="F359" s="163" t="s">
        <v>89</v>
      </c>
      <c r="G359" s="164" t="s">
        <v>355</v>
      </c>
      <c r="H359" s="177">
        <v>879.16859999999986</v>
      </c>
      <c r="I359" s="164" t="s">
        <v>87</v>
      </c>
      <c r="J359" s="50">
        <v>31000</v>
      </c>
      <c r="K359" s="56"/>
      <c r="L359" s="46">
        <f t="shared" ref="L359:L365" si="29">J359*H359</f>
        <v>27254226.599999994</v>
      </c>
    </row>
    <row r="360" spans="2:12" x14ac:dyDescent="0.35">
      <c r="B360" s="174"/>
      <c r="C360" s="175"/>
      <c r="D360" s="176"/>
      <c r="E360" s="163"/>
      <c r="F360" s="163" t="s">
        <v>89</v>
      </c>
      <c r="G360" s="164" t="s">
        <v>363</v>
      </c>
      <c r="H360" s="177">
        <v>1057.3007999999998</v>
      </c>
      <c r="I360" s="164" t="s">
        <v>87</v>
      </c>
      <c r="J360" s="50">
        <v>31000</v>
      </c>
      <c r="K360" s="56"/>
      <c r="L360" s="46">
        <f t="shared" si="29"/>
        <v>32776324.799999993</v>
      </c>
    </row>
    <row r="361" spans="2:12" x14ac:dyDescent="0.35">
      <c r="B361" s="174"/>
      <c r="C361" s="175"/>
      <c r="D361" s="176"/>
      <c r="E361" s="163"/>
      <c r="F361" s="163" t="s">
        <v>89</v>
      </c>
      <c r="G361" s="164" t="s">
        <v>364</v>
      </c>
      <c r="H361" s="177">
        <v>1057.3007999999998</v>
      </c>
      <c r="I361" s="164" t="s">
        <v>87</v>
      </c>
      <c r="J361" s="50">
        <v>31000</v>
      </c>
      <c r="K361" s="56"/>
      <c r="L361" s="46">
        <f t="shared" si="29"/>
        <v>32776324.799999993</v>
      </c>
    </row>
    <row r="362" spans="2:12" x14ac:dyDescent="0.35">
      <c r="B362" s="174"/>
      <c r="C362" s="175"/>
      <c r="D362" s="176"/>
      <c r="E362" s="163"/>
      <c r="F362" s="163" t="s">
        <v>89</v>
      </c>
      <c r="G362" s="164" t="s">
        <v>358</v>
      </c>
      <c r="H362" s="177">
        <v>1051.5545999999999</v>
      </c>
      <c r="I362" s="164" t="s">
        <v>87</v>
      </c>
      <c r="J362" s="50">
        <v>31000</v>
      </c>
      <c r="K362" s="56"/>
      <c r="L362" s="46">
        <f t="shared" si="29"/>
        <v>32598192.599999998</v>
      </c>
    </row>
    <row r="363" spans="2:12" x14ac:dyDescent="0.35">
      <c r="B363" s="174"/>
      <c r="C363" s="175"/>
      <c r="D363" s="176"/>
      <c r="E363" s="163"/>
      <c r="F363" s="163" t="s">
        <v>89</v>
      </c>
      <c r="G363" s="164" t="s">
        <v>359</v>
      </c>
      <c r="H363" s="177">
        <v>1057.3007999999998</v>
      </c>
      <c r="I363" s="164" t="s">
        <v>87</v>
      </c>
      <c r="J363" s="50">
        <v>31000</v>
      </c>
      <c r="K363" s="56"/>
      <c r="L363" s="46">
        <f t="shared" si="29"/>
        <v>32776324.799999993</v>
      </c>
    </row>
    <row r="364" spans="2:12" x14ac:dyDescent="0.35">
      <c r="B364" s="174"/>
      <c r="C364" s="175"/>
      <c r="D364" s="176"/>
      <c r="E364" s="163"/>
      <c r="F364" s="163" t="s">
        <v>89</v>
      </c>
      <c r="G364" s="164" t="s">
        <v>365</v>
      </c>
      <c r="H364" s="177">
        <v>1057.3007999999998</v>
      </c>
      <c r="I364" s="164" t="s">
        <v>87</v>
      </c>
      <c r="J364" s="50">
        <v>31000</v>
      </c>
      <c r="K364" s="56"/>
      <c r="L364" s="46">
        <f t="shared" si="29"/>
        <v>32776324.799999993</v>
      </c>
    </row>
    <row r="365" spans="2:12" x14ac:dyDescent="0.35">
      <c r="B365" s="174"/>
      <c r="C365" s="175"/>
      <c r="D365" s="176"/>
      <c r="E365" s="163"/>
      <c r="F365" s="163" t="s">
        <v>89</v>
      </c>
      <c r="G365" s="164" t="s">
        <v>366</v>
      </c>
      <c r="H365" s="177">
        <v>850.43759999999986</v>
      </c>
      <c r="I365" s="164" t="s">
        <v>87</v>
      </c>
      <c r="J365" s="50">
        <v>31000</v>
      </c>
      <c r="K365" s="56"/>
      <c r="L365" s="46">
        <f t="shared" si="29"/>
        <v>26363565.599999994</v>
      </c>
    </row>
    <row r="366" spans="2:12" x14ac:dyDescent="0.35">
      <c r="B366" s="174"/>
      <c r="C366" s="175"/>
      <c r="D366" s="176" t="s">
        <v>83</v>
      </c>
      <c r="E366" s="163"/>
      <c r="F366" s="163" t="s">
        <v>385</v>
      </c>
      <c r="G366" s="164"/>
      <c r="H366" s="178"/>
      <c r="I366" s="164"/>
      <c r="J366" s="50"/>
      <c r="K366" s="56"/>
      <c r="L366" s="46"/>
    </row>
    <row r="367" spans="2:12" x14ac:dyDescent="0.35">
      <c r="B367" s="174"/>
      <c r="C367" s="175"/>
      <c r="D367" s="176"/>
      <c r="E367" s="163"/>
      <c r="F367" s="163" t="s">
        <v>89</v>
      </c>
      <c r="G367" s="164" t="s">
        <v>355</v>
      </c>
      <c r="H367" s="177">
        <v>879.16859999999986</v>
      </c>
      <c r="I367" s="164" t="s">
        <v>87</v>
      </c>
      <c r="J367" s="50">
        <v>31000</v>
      </c>
      <c r="K367" s="56"/>
      <c r="L367" s="46">
        <f t="shared" ref="L367:L373" si="30">J367*H367</f>
        <v>27254226.599999994</v>
      </c>
    </row>
    <row r="368" spans="2:12" x14ac:dyDescent="0.35">
      <c r="B368" s="174"/>
      <c r="C368" s="175"/>
      <c r="D368" s="176"/>
      <c r="E368" s="163"/>
      <c r="F368" s="163" t="s">
        <v>89</v>
      </c>
      <c r="G368" s="164" t="s">
        <v>356</v>
      </c>
      <c r="H368" s="177">
        <v>1051.5545999999999</v>
      </c>
      <c r="I368" s="164" t="s">
        <v>87</v>
      </c>
      <c r="J368" s="50">
        <v>31000</v>
      </c>
      <c r="K368" s="56"/>
      <c r="L368" s="46">
        <f t="shared" si="30"/>
        <v>32598192.599999998</v>
      </c>
    </row>
    <row r="369" spans="2:12" x14ac:dyDescent="0.35">
      <c r="B369" s="174"/>
      <c r="C369" s="175"/>
      <c r="D369" s="176"/>
      <c r="E369" s="163"/>
      <c r="F369" s="163" t="s">
        <v>89</v>
      </c>
      <c r="G369" s="164" t="s">
        <v>357</v>
      </c>
      <c r="H369" s="177">
        <v>1051.5545999999999</v>
      </c>
      <c r="I369" s="164" t="s">
        <v>87</v>
      </c>
      <c r="J369" s="50">
        <v>31000</v>
      </c>
      <c r="K369" s="56"/>
      <c r="L369" s="46">
        <f t="shared" si="30"/>
        <v>32598192.599999998</v>
      </c>
    </row>
    <row r="370" spans="2:12" x14ac:dyDescent="0.35">
      <c r="B370" s="174"/>
      <c r="C370" s="175"/>
      <c r="D370" s="176"/>
      <c r="E370" s="163"/>
      <c r="F370" s="163" t="s">
        <v>89</v>
      </c>
      <c r="G370" s="164" t="s">
        <v>358</v>
      </c>
      <c r="H370" s="177">
        <v>1051.5545999999999</v>
      </c>
      <c r="I370" s="164" t="s">
        <v>87</v>
      </c>
      <c r="J370" s="50">
        <v>31000</v>
      </c>
      <c r="K370" s="56"/>
      <c r="L370" s="46">
        <f t="shared" si="30"/>
        <v>32598192.599999998</v>
      </c>
    </row>
    <row r="371" spans="2:12" x14ac:dyDescent="0.35">
      <c r="B371" s="174"/>
      <c r="C371" s="175"/>
      <c r="D371" s="176"/>
      <c r="E371" s="163"/>
      <c r="F371" s="163" t="s">
        <v>89</v>
      </c>
      <c r="G371" s="164" t="s">
        <v>359</v>
      </c>
      <c r="H371" s="177">
        <v>1057.3007999999998</v>
      </c>
      <c r="I371" s="164" t="s">
        <v>87</v>
      </c>
      <c r="J371" s="50">
        <v>31000</v>
      </c>
      <c r="K371" s="56"/>
      <c r="L371" s="46">
        <f t="shared" si="30"/>
        <v>32776324.799999993</v>
      </c>
    </row>
    <row r="372" spans="2:12" x14ac:dyDescent="0.35">
      <c r="B372" s="174"/>
      <c r="C372" s="175"/>
      <c r="D372" s="176"/>
      <c r="E372" s="163"/>
      <c r="F372" s="163" t="s">
        <v>89</v>
      </c>
      <c r="G372" s="164" t="s">
        <v>360</v>
      </c>
      <c r="H372" s="177">
        <v>948.12299999999982</v>
      </c>
      <c r="I372" s="164" t="s">
        <v>87</v>
      </c>
      <c r="J372" s="50">
        <v>31000</v>
      </c>
      <c r="K372" s="56"/>
      <c r="L372" s="46">
        <f t="shared" si="30"/>
        <v>29391812.999999996</v>
      </c>
    </row>
    <row r="373" spans="2:12" x14ac:dyDescent="0.35">
      <c r="B373" s="174"/>
      <c r="C373" s="175"/>
      <c r="D373" s="176"/>
      <c r="E373" s="163"/>
      <c r="F373" s="163" t="s">
        <v>89</v>
      </c>
      <c r="G373" s="164" t="s">
        <v>361</v>
      </c>
      <c r="H373" s="177">
        <v>879.16859999999986</v>
      </c>
      <c r="I373" s="164" t="s">
        <v>87</v>
      </c>
      <c r="J373" s="50">
        <v>31000</v>
      </c>
      <c r="K373" s="56"/>
      <c r="L373" s="46">
        <f t="shared" si="30"/>
        <v>27254226.599999994</v>
      </c>
    </row>
    <row r="374" spans="2:12" x14ac:dyDescent="0.35">
      <c r="B374" s="174"/>
      <c r="C374" s="175"/>
      <c r="D374" s="176" t="s">
        <v>201</v>
      </c>
      <c r="E374" s="163"/>
      <c r="F374" s="163" t="s">
        <v>386</v>
      </c>
      <c r="G374" s="164"/>
      <c r="H374" s="177"/>
      <c r="I374" s="164"/>
      <c r="J374" s="65"/>
      <c r="K374" s="65"/>
      <c r="L374" s="46"/>
    </row>
    <row r="375" spans="2:12" x14ac:dyDescent="0.35">
      <c r="B375" s="174"/>
      <c r="C375" s="175"/>
      <c r="D375" s="176"/>
      <c r="E375" s="163"/>
      <c r="F375" s="163" t="s">
        <v>89</v>
      </c>
      <c r="G375" s="164" t="s">
        <v>355</v>
      </c>
      <c r="H375" s="177">
        <v>879.16859999999986</v>
      </c>
      <c r="I375" s="164" t="s">
        <v>87</v>
      </c>
      <c r="J375" s="50">
        <v>31000</v>
      </c>
      <c r="K375" s="56"/>
      <c r="L375" s="46">
        <f t="shared" ref="L375:L381" si="31">J375*H375</f>
        <v>27254226.599999994</v>
      </c>
    </row>
    <row r="376" spans="2:12" x14ac:dyDescent="0.35">
      <c r="B376" s="174"/>
      <c r="C376" s="175"/>
      <c r="D376" s="176"/>
      <c r="E376" s="163"/>
      <c r="F376" s="163" t="s">
        <v>89</v>
      </c>
      <c r="G376" s="164" t="s">
        <v>363</v>
      </c>
      <c r="H376" s="177">
        <v>1057.3007999999998</v>
      </c>
      <c r="I376" s="164" t="s">
        <v>87</v>
      </c>
      <c r="J376" s="50">
        <v>31000</v>
      </c>
      <c r="K376" s="56"/>
      <c r="L376" s="46">
        <f t="shared" si="31"/>
        <v>32776324.799999993</v>
      </c>
    </row>
    <row r="377" spans="2:12" x14ac:dyDescent="0.35">
      <c r="B377" s="174"/>
      <c r="C377" s="175"/>
      <c r="D377" s="176"/>
      <c r="E377" s="163"/>
      <c r="F377" s="163" t="s">
        <v>89</v>
      </c>
      <c r="G377" s="164" t="s">
        <v>364</v>
      </c>
      <c r="H377" s="177">
        <v>1057.3007999999998</v>
      </c>
      <c r="I377" s="164" t="s">
        <v>87</v>
      </c>
      <c r="J377" s="50">
        <v>31000</v>
      </c>
      <c r="K377" s="56"/>
      <c r="L377" s="46">
        <f t="shared" si="31"/>
        <v>32776324.799999993</v>
      </c>
    </row>
    <row r="378" spans="2:12" x14ac:dyDescent="0.35">
      <c r="B378" s="174"/>
      <c r="C378" s="175"/>
      <c r="D378" s="176"/>
      <c r="E378" s="163"/>
      <c r="F378" s="163" t="s">
        <v>89</v>
      </c>
      <c r="G378" s="164" t="s">
        <v>358</v>
      </c>
      <c r="H378" s="177">
        <v>1051.5545999999999</v>
      </c>
      <c r="I378" s="164" t="s">
        <v>87</v>
      </c>
      <c r="J378" s="50">
        <v>31000</v>
      </c>
      <c r="K378" s="56"/>
      <c r="L378" s="46">
        <f t="shared" si="31"/>
        <v>32598192.599999998</v>
      </c>
    </row>
    <row r="379" spans="2:12" x14ac:dyDescent="0.35">
      <c r="B379" s="174"/>
      <c r="C379" s="175"/>
      <c r="D379" s="176"/>
      <c r="E379" s="163"/>
      <c r="F379" s="163" t="s">
        <v>89</v>
      </c>
      <c r="G379" s="164" t="s">
        <v>359</v>
      </c>
      <c r="H379" s="177">
        <v>1057.3007999999998</v>
      </c>
      <c r="I379" s="164" t="s">
        <v>87</v>
      </c>
      <c r="J379" s="50">
        <v>31000</v>
      </c>
      <c r="K379" s="56"/>
      <c r="L379" s="46">
        <f t="shared" si="31"/>
        <v>32776324.799999993</v>
      </c>
    </row>
    <row r="380" spans="2:12" x14ac:dyDescent="0.35">
      <c r="B380" s="174"/>
      <c r="C380" s="175"/>
      <c r="D380" s="176"/>
      <c r="E380" s="163"/>
      <c r="F380" s="163" t="s">
        <v>89</v>
      </c>
      <c r="G380" s="164" t="s">
        <v>365</v>
      </c>
      <c r="H380" s="177">
        <v>1057.3007999999998</v>
      </c>
      <c r="I380" s="164" t="s">
        <v>87</v>
      </c>
      <c r="J380" s="50">
        <v>31000</v>
      </c>
      <c r="K380" s="56"/>
      <c r="L380" s="46">
        <f t="shared" si="31"/>
        <v>32776324.799999993</v>
      </c>
    </row>
    <row r="381" spans="2:12" x14ac:dyDescent="0.35">
      <c r="B381" s="174"/>
      <c r="C381" s="175"/>
      <c r="D381" s="176"/>
      <c r="E381" s="163"/>
      <c r="F381" s="163" t="s">
        <v>89</v>
      </c>
      <c r="G381" s="164" t="s">
        <v>366</v>
      </c>
      <c r="H381" s="177">
        <v>850.43759999999986</v>
      </c>
      <c r="I381" s="164" t="s">
        <v>87</v>
      </c>
      <c r="J381" s="50">
        <v>31000</v>
      </c>
      <c r="K381" s="56"/>
      <c r="L381" s="46">
        <f t="shared" si="31"/>
        <v>26363565.599999994</v>
      </c>
    </row>
    <row r="382" spans="2:12" x14ac:dyDescent="0.35">
      <c r="B382" s="174"/>
      <c r="C382" s="175"/>
      <c r="D382" s="176" t="s">
        <v>203</v>
      </c>
      <c r="E382" s="163"/>
      <c r="F382" s="163" t="s">
        <v>387</v>
      </c>
      <c r="G382" s="164"/>
      <c r="H382" s="177"/>
      <c r="I382" s="164"/>
      <c r="J382" s="65"/>
      <c r="K382" s="65"/>
      <c r="L382" s="46"/>
    </row>
    <row r="383" spans="2:12" x14ac:dyDescent="0.35">
      <c r="B383" s="174"/>
      <c r="C383" s="175"/>
      <c r="D383" s="176"/>
      <c r="E383" s="163"/>
      <c r="F383" s="163" t="s">
        <v>89</v>
      </c>
      <c r="G383" s="164" t="s">
        <v>355</v>
      </c>
      <c r="H383" s="177">
        <v>879.16859999999986</v>
      </c>
      <c r="I383" s="164" t="s">
        <v>87</v>
      </c>
      <c r="J383" s="50">
        <v>31000</v>
      </c>
      <c r="K383" s="56"/>
      <c r="L383" s="46">
        <f t="shared" ref="L383:L389" si="32">J383*H383</f>
        <v>27254226.599999994</v>
      </c>
    </row>
    <row r="384" spans="2:12" x14ac:dyDescent="0.35">
      <c r="B384" s="174"/>
      <c r="C384" s="175"/>
      <c r="D384" s="176"/>
      <c r="E384" s="163"/>
      <c r="F384" s="163" t="s">
        <v>89</v>
      </c>
      <c r="G384" s="164" t="s">
        <v>356</v>
      </c>
      <c r="H384" s="177">
        <v>1051.5545999999999</v>
      </c>
      <c r="I384" s="164" t="s">
        <v>87</v>
      </c>
      <c r="J384" s="50">
        <v>31000</v>
      </c>
      <c r="K384" s="56"/>
      <c r="L384" s="46">
        <f t="shared" si="32"/>
        <v>32598192.599999998</v>
      </c>
    </row>
    <row r="385" spans="2:14" x14ac:dyDescent="0.35">
      <c r="B385" s="174"/>
      <c r="C385" s="175"/>
      <c r="D385" s="176"/>
      <c r="E385" s="163"/>
      <c r="F385" s="163" t="s">
        <v>89</v>
      </c>
      <c r="G385" s="164" t="s">
        <v>357</v>
      </c>
      <c r="H385" s="177">
        <v>1051.5545999999999</v>
      </c>
      <c r="I385" s="164" t="s">
        <v>87</v>
      </c>
      <c r="J385" s="50">
        <v>31000</v>
      </c>
      <c r="K385" s="56"/>
      <c r="L385" s="46">
        <f t="shared" si="32"/>
        <v>32598192.599999998</v>
      </c>
    </row>
    <row r="386" spans="2:14" x14ac:dyDescent="0.35">
      <c r="B386" s="174"/>
      <c r="C386" s="175"/>
      <c r="D386" s="176"/>
      <c r="E386" s="163"/>
      <c r="F386" s="163" t="s">
        <v>89</v>
      </c>
      <c r="G386" s="164" t="s">
        <v>358</v>
      </c>
      <c r="H386" s="177">
        <v>1051.5545999999999</v>
      </c>
      <c r="I386" s="164" t="s">
        <v>87</v>
      </c>
      <c r="J386" s="50">
        <v>31000</v>
      </c>
      <c r="K386" s="56"/>
      <c r="L386" s="46">
        <f t="shared" si="32"/>
        <v>32598192.599999998</v>
      </c>
    </row>
    <row r="387" spans="2:14" x14ac:dyDescent="0.35">
      <c r="B387" s="174"/>
      <c r="C387" s="175"/>
      <c r="D387" s="176"/>
      <c r="E387" s="163"/>
      <c r="F387" s="163" t="s">
        <v>89</v>
      </c>
      <c r="G387" s="164" t="s">
        <v>359</v>
      </c>
      <c r="H387" s="177">
        <v>1057.3007999999998</v>
      </c>
      <c r="I387" s="164" t="s">
        <v>87</v>
      </c>
      <c r="J387" s="50">
        <v>31000</v>
      </c>
      <c r="K387" s="56"/>
      <c r="L387" s="46">
        <f t="shared" si="32"/>
        <v>32776324.799999993</v>
      </c>
    </row>
    <row r="388" spans="2:14" x14ac:dyDescent="0.35">
      <c r="B388" s="174"/>
      <c r="C388" s="175"/>
      <c r="D388" s="176"/>
      <c r="E388" s="163"/>
      <c r="F388" s="163" t="s">
        <v>89</v>
      </c>
      <c r="G388" s="164" t="s">
        <v>360</v>
      </c>
      <c r="H388" s="242">
        <v>948.12299999999982</v>
      </c>
      <c r="I388" s="164" t="s">
        <v>87</v>
      </c>
      <c r="J388" s="50">
        <v>31000</v>
      </c>
      <c r="K388" s="56"/>
      <c r="L388" s="46">
        <f t="shared" si="32"/>
        <v>29391812.999999996</v>
      </c>
    </row>
    <row r="389" spans="2:14" x14ac:dyDescent="0.35">
      <c r="B389" s="174"/>
      <c r="C389" s="175"/>
      <c r="D389" s="176"/>
      <c r="E389" s="163"/>
      <c r="F389" s="163" t="s">
        <v>89</v>
      </c>
      <c r="G389" s="164" t="s">
        <v>361</v>
      </c>
      <c r="H389" s="177">
        <v>879.16859999999986</v>
      </c>
      <c r="I389" s="164" t="s">
        <v>87</v>
      </c>
      <c r="J389" s="50">
        <v>31000</v>
      </c>
      <c r="K389" s="56"/>
      <c r="L389" s="46">
        <f t="shared" si="32"/>
        <v>27254226.599999994</v>
      </c>
    </row>
    <row r="390" spans="2:14" x14ac:dyDescent="0.35">
      <c r="B390" s="174"/>
      <c r="C390" s="175"/>
      <c r="D390" s="176" t="s">
        <v>205</v>
      </c>
      <c r="E390" s="163"/>
      <c r="F390" s="163" t="s">
        <v>388</v>
      </c>
      <c r="G390" s="164"/>
      <c r="H390" s="177"/>
      <c r="I390" s="164"/>
      <c r="J390" s="65"/>
      <c r="K390" s="65"/>
      <c r="L390" s="46"/>
    </row>
    <row r="391" spans="2:14" x14ac:dyDescent="0.35">
      <c r="B391" s="174"/>
      <c r="C391" s="175"/>
      <c r="D391" s="176"/>
      <c r="E391" s="163"/>
      <c r="F391" s="163" t="s">
        <v>89</v>
      </c>
      <c r="G391" s="164" t="s">
        <v>355</v>
      </c>
      <c r="H391" s="177">
        <v>879.16859999999986</v>
      </c>
      <c r="I391" s="164" t="s">
        <v>87</v>
      </c>
      <c r="J391" s="50">
        <v>31000</v>
      </c>
      <c r="K391" s="56"/>
      <c r="L391" s="46">
        <f t="shared" ref="L391:L397" si="33">J391*H391</f>
        <v>27254226.599999994</v>
      </c>
    </row>
    <row r="392" spans="2:14" x14ac:dyDescent="0.35">
      <c r="B392" s="174"/>
      <c r="C392" s="175"/>
      <c r="D392" s="176"/>
      <c r="E392" s="163"/>
      <c r="F392" s="163" t="s">
        <v>89</v>
      </c>
      <c r="G392" s="164" t="s">
        <v>363</v>
      </c>
      <c r="H392" s="177">
        <v>1057.3007999999998</v>
      </c>
      <c r="I392" s="164" t="s">
        <v>87</v>
      </c>
      <c r="J392" s="50">
        <v>31000</v>
      </c>
      <c r="K392" s="56"/>
      <c r="L392" s="46">
        <f t="shared" si="33"/>
        <v>32776324.799999993</v>
      </c>
    </row>
    <row r="393" spans="2:14" x14ac:dyDescent="0.35">
      <c r="B393" s="174"/>
      <c r="C393" s="175"/>
      <c r="D393" s="176"/>
      <c r="E393" s="163"/>
      <c r="F393" s="163" t="s">
        <v>89</v>
      </c>
      <c r="G393" s="164" t="s">
        <v>364</v>
      </c>
      <c r="H393" s="177">
        <v>1057.3007999999998</v>
      </c>
      <c r="I393" s="164" t="s">
        <v>87</v>
      </c>
      <c r="J393" s="50">
        <v>31000</v>
      </c>
      <c r="K393" s="56"/>
      <c r="L393" s="46">
        <f t="shared" si="33"/>
        <v>32776324.799999993</v>
      </c>
      <c r="M393" s="82"/>
    </row>
    <row r="394" spans="2:14" x14ac:dyDescent="0.35">
      <c r="B394" s="174"/>
      <c r="C394" s="175"/>
      <c r="D394" s="176"/>
      <c r="E394" s="163"/>
      <c r="F394" s="163" t="s">
        <v>89</v>
      </c>
      <c r="G394" s="164" t="s">
        <v>358</v>
      </c>
      <c r="H394" s="177">
        <v>1051.5545999999999</v>
      </c>
      <c r="I394" s="164" t="s">
        <v>87</v>
      </c>
      <c r="J394" s="50">
        <v>31000</v>
      </c>
      <c r="K394" s="56"/>
      <c r="L394" s="46">
        <f t="shared" si="33"/>
        <v>32598192.599999998</v>
      </c>
      <c r="M394" s="82"/>
    </row>
    <row r="395" spans="2:14" x14ac:dyDescent="0.35">
      <c r="B395" s="174"/>
      <c r="C395" s="175"/>
      <c r="D395" s="176"/>
      <c r="E395" s="163"/>
      <c r="F395" s="163" t="s">
        <v>89</v>
      </c>
      <c r="G395" s="164" t="s">
        <v>359</v>
      </c>
      <c r="H395" s="177">
        <v>1057.3007999999998</v>
      </c>
      <c r="I395" s="164" t="s">
        <v>87</v>
      </c>
      <c r="J395" s="50">
        <v>31000</v>
      </c>
      <c r="K395" s="56"/>
      <c r="L395" s="46">
        <f t="shared" si="33"/>
        <v>32776324.799999993</v>
      </c>
      <c r="M395" s="82"/>
    </row>
    <row r="396" spans="2:14" x14ac:dyDescent="0.35">
      <c r="B396" s="174"/>
      <c r="C396" s="175"/>
      <c r="D396" s="176"/>
      <c r="E396" s="163"/>
      <c r="F396" s="163" t="s">
        <v>89</v>
      </c>
      <c r="G396" s="164" t="s">
        <v>365</v>
      </c>
      <c r="H396" s="177">
        <v>1057.3007999999998</v>
      </c>
      <c r="I396" s="164" t="s">
        <v>87</v>
      </c>
      <c r="J396" s="50">
        <v>31000</v>
      </c>
      <c r="K396" s="56"/>
      <c r="L396" s="46">
        <f t="shared" si="33"/>
        <v>32776324.799999993</v>
      </c>
      <c r="M396" s="82"/>
      <c r="N396" s="82"/>
    </row>
    <row r="397" spans="2:14" x14ac:dyDescent="0.35">
      <c r="B397" s="174"/>
      <c r="C397" s="175"/>
      <c r="D397" s="176"/>
      <c r="E397" s="163"/>
      <c r="F397" s="163" t="s">
        <v>89</v>
      </c>
      <c r="G397" s="164" t="s">
        <v>366</v>
      </c>
      <c r="H397" s="177">
        <v>850.43759999999986</v>
      </c>
      <c r="I397" s="164" t="s">
        <v>87</v>
      </c>
      <c r="J397" s="50">
        <v>31000</v>
      </c>
      <c r="K397" s="56"/>
      <c r="L397" s="46">
        <f t="shared" si="33"/>
        <v>26363565.599999994</v>
      </c>
    </row>
    <row r="398" spans="2:14" x14ac:dyDescent="0.35">
      <c r="B398" s="174"/>
      <c r="C398" s="175"/>
      <c r="D398" s="176" t="s">
        <v>207</v>
      </c>
      <c r="E398" s="163"/>
      <c r="F398" s="163" t="s">
        <v>389</v>
      </c>
      <c r="G398" s="164"/>
      <c r="H398" s="177"/>
      <c r="I398" s="164"/>
      <c r="J398" s="65"/>
      <c r="K398" s="65"/>
      <c r="L398" s="46"/>
      <c r="M398" s="83"/>
    </row>
    <row r="399" spans="2:14" x14ac:dyDescent="0.35">
      <c r="B399" s="174"/>
      <c r="C399" s="175"/>
      <c r="D399" s="176"/>
      <c r="E399" s="163"/>
      <c r="F399" s="163" t="s">
        <v>89</v>
      </c>
      <c r="G399" s="164" t="s">
        <v>355</v>
      </c>
      <c r="H399" s="177">
        <v>879.16859999999986</v>
      </c>
      <c r="I399" s="164" t="s">
        <v>87</v>
      </c>
      <c r="J399" s="50">
        <v>31000</v>
      </c>
      <c r="K399" s="56"/>
      <c r="L399" s="46">
        <f t="shared" ref="L399:L405" si="34">J399*H399</f>
        <v>27254226.599999994</v>
      </c>
    </row>
    <row r="400" spans="2:14" x14ac:dyDescent="0.35">
      <c r="B400" s="174"/>
      <c r="C400" s="175"/>
      <c r="D400" s="176"/>
      <c r="E400" s="163"/>
      <c r="F400" s="163" t="s">
        <v>89</v>
      </c>
      <c r="G400" s="164" t="s">
        <v>356</v>
      </c>
      <c r="H400" s="177">
        <v>1051.5545999999999</v>
      </c>
      <c r="I400" s="164" t="s">
        <v>87</v>
      </c>
      <c r="J400" s="50">
        <v>31000</v>
      </c>
      <c r="K400" s="56"/>
      <c r="L400" s="46">
        <f t="shared" si="34"/>
        <v>32598192.599999998</v>
      </c>
    </row>
    <row r="401" spans="2:12" x14ac:dyDescent="0.35">
      <c r="B401" s="174"/>
      <c r="C401" s="175"/>
      <c r="D401" s="176"/>
      <c r="E401" s="163"/>
      <c r="F401" s="163" t="s">
        <v>89</v>
      </c>
      <c r="G401" s="164" t="s">
        <v>357</v>
      </c>
      <c r="H401" s="177">
        <v>1051.5545999999999</v>
      </c>
      <c r="I401" s="164" t="s">
        <v>87</v>
      </c>
      <c r="J401" s="50">
        <v>31000</v>
      </c>
      <c r="K401" s="56"/>
      <c r="L401" s="46">
        <f t="shared" si="34"/>
        <v>32598192.599999998</v>
      </c>
    </row>
    <row r="402" spans="2:12" x14ac:dyDescent="0.35">
      <c r="B402" s="174"/>
      <c r="C402" s="175"/>
      <c r="D402" s="176"/>
      <c r="E402" s="163"/>
      <c r="F402" s="163" t="s">
        <v>89</v>
      </c>
      <c r="G402" s="164" t="s">
        <v>358</v>
      </c>
      <c r="H402" s="177">
        <v>1051.5545999999999</v>
      </c>
      <c r="I402" s="164" t="s">
        <v>87</v>
      </c>
      <c r="J402" s="50">
        <v>31000</v>
      </c>
      <c r="K402" s="56"/>
      <c r="L402" s="46">
        <f t="shared" si="34"/>
        <v>32598192.599999998</v>
      </c>
    </row>
    <row r="403" spans="2:12" x14ac:dyDescent="0.35">
      <c r="B403" s="174"/>
      <c r="C403" s="175"/>
      <c r="D403" s="176"/>
      <c r="E403" s="163"/>
      <c r="F403" s="163" t="s">
        <v>89</v>
      </c>
      <c r="G403" s="164" t="s">
        <v>359</v>
      </c>
      <c r="H403" s="177">
        <v>1057.3007999999998</v>
      </c>
      <c r="I403" s="164" t="s">
        <v>87</v>
      </c>
      <c r="J403" s="50">
        <v>31000</v>
      </c>
      <c r="K403" s="56"/>
      <c r="L403" s="46">
        <f t="shared" si="34"/>
        <v>32776324.799999993</v>
      </c>
    </row>
    <row r="404" spans="2:12" x14ac:dyDescent="0.35">
      <c r="B404" s="174"/>
      <c r="C404" s="175"/>
      <c r="D404" s="176"/>
      <c r="E404" s="163"/>
      <c r="F404" s="163" t="s">
        <v>89</v>
      </c>
      <c r="G404" s="164" t="s">
        <v>360</v>
      </c>
      <c r="H404" s="177">
        <v>948.12299999999982</v>
      </c>
      <c r="I404" s="164" t="s">
        <v>87</v>
      </c>
      <c r="J404" s="50">
        <v>31000</v>
      </c>
      <c r="K404" s="56"/>
      <c r="L404" s="46">
        <f t="shared" si="34"/>
        <v>29391812.999999996</v>
      </c>
    </row>
    <row r="405" spans="2:12" x14ac:dyDescent="0.35">
      <c r="B405" s="174"/>
      <c r="C405" s="175"/>
      <c r="D405" s="176"/>
      <c r="E405" s="163"/>
      <c r="F405" s="163" t="s">
        <v>89</v>
      </c>
      <c r="G405" s="164" t="s">
        <v>361</v>
      </c>
      <c r="H405" s="177">
        <v>879.16859999999986</v>
      </c>
      <c r="I405" s="164" t="s">
        <v>87</v>
      </c>
      <c r="J405" s="50">
        <v>31000</v>
      </c>
      <c r="K405" s="56"/>
      <c r="L405" s="46">
        <f t="shared" si="34"/>
        <v>27254226.599999994</v>
      </c>
    </row>
    <row r="406" spans="2:12" x14ac:dyDescent="0.35">
      <c r="B406" s="47"/>
      <c r="C406" s="48"/>
      <c r="D406" s="24"/>
      <c r="G406" s="22"/>
      <c r="I406" s="22"/>
      <c r="J406" s="50"/>
      <c r="K406" s="29"/>
      <c r="L406" s="52"/>
    </row>
    <row r="407" spans="2:12" x14ac:dyDescent="0.35">
      <c r="B407" s="47"/>
      <c r="C407" s="48"/>
      <c r="D407" s="24"/>
      <c r="G407" s="22"/>
      <c r="I407" s="22"/>
      <c r="J407" s="50"/>
      <c r="K407" s="29"/>
      <c r="L407" s="52"/>
    </row>
    <row r="408" spans="2:12" x14ac:dyDescent="0.35">
      <c r="B408" s="8"/>
      <c r="C408" s="9"/>
      <c r="D408" s="10"/>
      <c r="E408" s="4"/>
      <c r="F408" s="4"/>
      <c r="G408" s="4"/>
      <c r="H408" s="1"/>
      <c r="I408" s="1"/>
      <c r="J408" s="11" t="s">
        <v>8</v>
      </c>
      <c r="K408" s="7">
        <f>SUM(K355:K407)</f>
        <v>0</v>
      </c>
      <c r="L408" s="7">
        <f>SUM(L355:L407)</f>
        <v>1352023397.9999993</v>
      </c>
    </row>
    <row r="409" spans="2:12" x14ac:dyDescent="0.35">
      <c r="B409" s="8"/>
      <c r="C409" s="9"/>
      <c r="D409" s="9"/>
      <c r="E409" s="4"/>
      <c r="F409" s="4"/>
      <c r="G409" s="4"/>
      <c r="H409" s="1"/>
      <c r="I409" s="1"/>
      <c r="J409" s="11"/>
      <c r="K409" s="35" t="s">
        <v>22</v>
      </c>
      <c r="L409" s="36" t="s">
        <v>23</v>
      </c>
    </row>
    <row r="410" spans="2:12" x14ac:dyDescent="0.35">
      <c r="B410" s="3" t="s">
        <v>9</v>
      </c>
      <c r="C410" s="4"/>
      <c r="D410" s="4"/>
      <c r="E410" s="4"/>
      <c r="F410" s="4"/>
      <c r="G410" s="4"/>
      <c r="H410" s="1"/>
      <c r="I410" s="1"/>
      <c r="J410" s="12"/>
      <c r="K410" s="12"/>
      <c r="L410" s="13"/>
    </row>
    <row r="411" spans="2:12" x14ac:dyDescent="0.35">
      <c r="B411" s="37"/>
      <c r="C411" s="1"/>
      <c r="D411" s="1"/>
      <c r="E411" s="38"/>
      <c r="F411" s="38"/>
      <c r="G411" s="38"/>
      <c r="H411" s="1"/>
      <c r="I411" s="1"/>
      <c r="J411" s="1"/>
      <c r="K411" s="1"/>
      <c r="L411" s="19"/>
    </row>
    <row r="412" spans="2:12" x14ac:dyDescent="0.35">
      <c r="B412" s="28" t="s">
        <v>6</v>
      </c>
      <c r="C412" s="27"/>
      <c r="D412" s="27"/>
      <c r="E412" s="26"/>
      <c r="F412" s="26"/>
      <c r="G412" s="5"/>
      <c r="K412" s="284" t="s">
        <v>1600</v>
      </c>
      <c r="L412" s="285"/>
    </row>
    <row r="413" spans="2:12" x14ac:dyDescent="0.35">
      <c r="B413" s="28">
        <v>1</v>
      </c>
      <c r="C413" s="27"/>
      <c r="D413" s="27"/>
      <c r="E413" s="26" t="s">
        <v>7</v>
      </c>
      <c r="F413" s="26"/>
      <c r="G413" s="5"/>
      <c r="K413" s="284" t="s">
        <v>28</v>
      </c>
      <c r="L413" s="285"/>
    </row>
    <row r="414" spans="2:12" x14ac:dyDescent="0.35">
      <c r="B414" s="39"/>
      <c r="C414" s="27"/>
      <c r="D414" s="27"/>
      <c r="E414" s="26"/>
      <c r="F414" s="26"/>
      <c r="G414" s="5"/>
      <c r="J414" s="25"/>
      <c r="K414" s="25"/>
      <c r="L414" s="24"/>
    </row>
    <row r="415" spans="2:12" x14ac:dyDescent="0.35">
      <c r="B415" s="28"/>
      <c r="C415" s="27"/>
      <c r="D415" s="27"/>
      <c r="E415" s="26"/>
      <c r="F415" s="26"/>
      <c r="G415" s="5"/>
      <c r="L415" s="22"/>
    </row>
    <row r="416" spans="2:12" x14ac:dyDescent="0.35">
      <c r="B416" s="45"/>
      <c r="E416" s="5"/>
      <c r="F416" s="5"/>
      <c r="G416" s="5"/>
      <c r="L416" s="22"/>
    </row>
    <row r="417" spans="2:13" x14ac:dyDescent="0.35">
      <c r="B417" s="45"/>
      <c r="E417" s="5"/>
      <c r="F417" s="5"/>
      <c r="G417" s="5"/>
      <c r="L417" s="22"/>
    </row>
    <row r="418" spans="2:13" x14ac:dyDescent="0.35">
      <c r="B418" s="45"/>
      <c r="E418" s="5"/>
      <c r="F418" s="5"/>
      <c r="G418" s="5"/>
      <c r="L418" s="22"/>
    </row>
    <row r="419" spans="2:13" x14ac:dyDescent="0.35">
      <c r="B419" s="45"/>
      <c r="E419" s="5"/>
      <c r="F419" s="5"/>
      <c r="G419" s="5"/>
      <c r="J419" s="40"/>
      <c r="K419" s="286" t="s">
        <v>36</v>
      </c>
      <c r="L419" s="287"/>
    </row>
    <row r="420" spans="2:13" x14ac:dyDescent="0.35">
      <c r="B420" s="45"/>
      <c r="K420" s="288" t="s">
        <v>37</v>
      </c>
      <c r="L420" s="289"/>
    </row>
    <row r="421" spans="2:13" x14ac:dyDescent="0.35">
      <c r="B421" s="290"/>
      <c r="C421" s="291"/>
      <c r="D421" s="291"/>
      <c r="E421" s="41"/>
      <c r="F421" s="41"/>
      <c r="G421" s="41"/>
      <c r="H421" s="2"/>
      <c r="I421" s="2"/>
      <c r="J421" s="2"/>
      <c r="K421" s="2"/>
      <c r="L421" s="21"/>
    </row>
    <row r="422" spans="2:13" x14ac:dyDescent="0.35">
      <c r="B422" s="47"/>
      <c r="C422" s="48"/>
      <c r="D422" s="49"/>
      <c r="G422" s="22"/>
      <c r="H422" s="1"/>
      <c r="I422" s="1"/>
      <c r="J422" s="43"/>
      <c r="K422" s="30"/>
      <c r="L422" s="44"/>
    </row>
    <row r="423" spans="2:13" x14ac:dyDescent="0.35">
      <c r="B423" s="174"/>
      <c r="C423" s="175"/>
      <c r="D423" s="176" t="s">
        <v>209</v>
      </c>
      <c r="E423" s="163"/>
      <c r="F423" s="163" t="s">
        <v>390</v>
      </c>
      <c r="G423" s="164"/>
      <c r="H423" s="177"/>
      <c r="I423" s="164"/>
      <c r="J423" s="65"/>
      <c r="K423" s="65"/>
      <c r="L423" s="46"/>
    </row>
    <row r="424" spans="2:13" x14ac:dyDescent="0.35">
      <c r="B424" s="174"/>
      <c r="C424" s="175"/>
      <c r="D424" s="176"/>
      <c r="E424" s="163"/>
      <c r="F424" s="163" t="s">
        <v>89</v>
      </c>
      <c r="G424" s="164" t="s">
        <v>355</v>
      </c>
      <c r="H424" s="177">
        <v>879.16859999999986</v>
      </c>
      <c r="I424" s="164" t="s">
        <v>87</v>
      </c>
      <c r="J424" s="50">
        <v>31000</v>
      </c>
      <c r="K424" s="56"/>
      <c r="L424" s="46">
        <f t="shared" ref="L424:L430" si="35">J424*H424</f>
        <v>27254226.599999994</v>
      </c>
    </row>
    <row r="425" spans="2:13" x14ac:dyDescent="0.35">
      <c r="B425" s="174"/>
      <c r="C425" s="175"/>
      <c r="D425" s="176"/>
      <c r="E425" s="163"/>
      <c r="F425" s="163" t="s">
        <v>89</v>
      </c>
      <c r="G425" s="164" t="s">
        <v>363</v>
      </c>
      <c r="H425" s="177">
        <v>1057.3007999999998</v>
      </c>
      <c r="I425" s="164" t="s">
        <v>87</v>
      </c>
      <c r="J425" s="50">
        <v>31000</v>
      </c>
      <c r="K425" s="56"/>
      <c r="L425" s="46">
        <f t="shared" si="35"/>
        <v>32776324.799999993</v>
      </c>
    </row>
    <row r="426" spans="2:13" x14ac:dyDescent="0.35">
      <c r="B426" s="174"/>
      <c r="C426" s="175"/>
      <c r="D426" s="176"/>
      <c r="E426" s="163"/>
      <c r="F426" s="163" t="s">
        <v>89</v>
      </c>
      <c r="G426" s="164" t="s">
        <v>364</v>
      </c>
      <c r="H426" s="177">
        <v>1057.3007999999998</v>
      </c>
      <c r="I426" s="164" t="s">
        <v>87</v>
      </c>
      <c r="J426" s="50">
        <v>31000</v>
      </c>
      <c r="K426" s="56"/>
      <c r="L426" s="46">
        <f t="shared" si="35"/>
        <v>32776324.799999993</v>
      </c>
    </row>
    <row r="427" spans="2:13" x14ac:dyDescent="0.35">
      <c r="B427" s="174"/>
      <c r="C427" s="175"/>
      <c r="D427" s="176"/>
      <c r="E427" s="163"/>
      <c r="F427" s="163" t="s">
        <v>89</v>
      </c>
      <c r="G427" s="164" t="s">
        <v>358</v>
      </c>
      <c r="H427" s="177">
        <v>1051.5545999999999</v>
      </c>
      <c r="I427" s="164" t="s">
        <v>87</v>
      </c>
      <c r="J427" s="50">
        <v>31000</v>
      </c>
      <c r="K427" s="56"/>
      <c r="L427" s="46">
        <f t="shared" si="35"/>
        <v>32598192.599999998</v>
      </c>
    </row>
    <row r="428" spans="2:13" x14ac:dyDescent="0.35">
      <c r="B428" s="174"/>
      <c r="C428" s="175"/>
      <c r="D428" s="176"/>
      <c r="E428" s="163"/>
      <c r="F428" s="163" t="s">
        <v>89</v>
      </c>
      <c r="G428" s="164" t="s">
        <v>359</v>
      </c>
      <c r="H428" s="177">
        <v>1057.3007999999998</v>
      </c>
      <c r="I428" s="164" t="s">
        <v>87</v>
      </c>
      <c r="J428" s="50">
        <v>31000</v>
      </c>
      <c r="K428" s="56"/>
      <c r="L428" s="46">
        <f t="shared" si="35"/>
        <v>32776324.799999993</v>
      </c>
    </row>
    <row r="429" spans="2:13" x14ac:dyDescent="0.35">
      <c r="B429" s="174"/>
      <c r="C429" s="175"/>
      <c r="D429" s="176"/>
      <c r="E429" s="163"/>
      <c r="F429" s="163" t="s">
        <v>89</v>
      </c>
      <c r="G429" s="164" t="s">
        <v>365</v>
      </c>
      <c r="H429" s="177">
        <v>1057.3007999999998</v>
      </c>
      <c r="I429" s="164" t="s">
        <v>87</v>
      </c>
      <c r="J429" s="50">
        <v>31000</v>
      </c>
      <c r="K429" s="56"/>
      <c r="L429" s="46">
        <f t="shared" si="35"/>
        <v>32776324.799999993</v>
      </c>
    </row>
    <row r="430" spans="2:13" x14ac:dyDescent="0.35">
      <c r="B430" s="174"/>
      <c r="C430" s="175"/>
      <c r="D430" s="176"/>
      <c r="E430" s="163"/>
      <c r="F430" s="163" t="s">
        <v>89</v>
      </c>
      <c r="G430" s="164" t="s">
        <v>366</v>
      </c>
      <c r="H430" s="177">
        <v>850.43759999999986</v>
      </c>
      <c r="I430" s="164" t="s">
        <v>87</v>
      </c>
      <c r="J430" s="50">
        <v>31000</v>
      </c>
      <c r="K430" s="56"/>
      <c r="L430" s="46">
        <f t="shared" si="35"/>
        <v>26363565.599999994</v>
      </c>
    </row>
    <row r="431" spans="2:13" x14ac:dyDescent="0.35">
      <c r="B431" s="174"/>
      <c r="C431" s="175"/>
      <c r="D431" s="176" t="s">
        <v>211</v>
      </c>
      <c r="E431" s="163"/>
      <c r="F431" s="163" t="s">
        <v>391</v>
      </c>
      <c r="G431" s="164"/>
      <c r="H431" s="178"/>
      <c r="I431" s="164"/>
      <c r="J431" s="65"/>
      <c r="K431" s="65"/>
      <c r="L431" s="46"/>
      <c r="M431" s="82"/>
    </row>
    <row r="432" spans="2:13" x14ac:dyDescent="0.35">
      <c r="B432" s="174"/>
      <c r="C432" s="175"/>
      <c r="D432" s="176"/>
      <c r="E432" s="163"/>
      <c r="F432" s="163" t="s">
        <v>89</v>
      </c>
      <c r="G432" s="164" t="s">
        <v>355</v>
      </c>
      <c r="H432" s="177">
        <v>879.16859999999986</v>
      </c>
      <c r="I432" s="164" t="s">
        <v>87</v>
      </c>
      <c r="J432" s="50">
        <v>31000</v>
      </c>
      <c r="K432" s="56"/>
      <c r="L432" s="46">
        <f t="shared" ref="L432:L438" si="36">J432*H432</f>
        <v>27254226.599999994</v>
      </c>
      <c r="M432" s="82"/>
    </row>
    <row r="433" spans="2:15" x14ac:dyDescent="0.35">
      <c r="B433" s="174"/>
      <c r="C433" s="175"/>
      <c r="D433" s="176"/>
      <c r="E433" s="163"/>
      <c r="F433" s="163" t="s">
        <v>89</v>
      </c>
      <c r="G433" s="164" t="s">
        <v>356</v>
      </c>
      <c r="H433" s="177">
        <v>1051.5545999999999</v>
      </c>
      <c r="I433" s="164" t="s">
        <v>87</v>
      </c>
      <c r="J433" s="50">
        <v>31000</v>
      </c>
      <c r="K433" s="56"/>
      <c r="L433" s="46">
        <f t="shared" si="36"/>
        <v>32598192.599999998</v>
      </c>
      <c r="M433" s="82"/>
    </row>
    <row r="434" spans="2:15" x14ac:dyDescent="0.35">
      <c r="B434" s="174"/>
      <c r="C434" s="175"/>
      <c r="D434" s="176"/>
      <c r="E434" s="163"/>
      <c r="F434" s="163" t="s">
        <v>89</v>
      </c>
      <c r="G434" s="164" t="s">
        <v>357</v>
      </c>
      <c r="H434" s="177">
        <v>1051.5545999999999</v>
      </c>
      <c r="I434" s="164" t="s">
        <v>87</v>
      </c>
      <c r="J434" s="50">
        <v>31000</v>
      </c>
      <c r="K434" s="56"/>
      <c r="L434" s="46">
        <f t="shared" si="36"/>
        <v>32598192.599999998</v>
      </c>
      <c r="M434" s="82"/>
      <c r="N434" s="82"/>
    </row>
    <row r="435" spans="2:15" x14ac:dyDescent="0.35">
      <c r="B435" s="174"/>
      <c r="C435" s="175"/>
      <c r="D435" s="176"/>
      <c r="E435" s="163"/>
      <c r="F435" s="163" t="s">
        <v>89</v>
      </c>
      <c r="G435" s="164" t="s">
        <v>358</v>
      </c>
      <c r="H435" s="177">
        <v>1051.5545999999999</v>
      </c>
      <c r="I435" s="164" t="s">
        <v>87</v>
      </c>
      <c r="J435" s="50">
        <v>31000</v>
      </c>
      <c r="K435" s="56"/>
      <c r="L435" s="46">
        <f t="shared" si="36"/>
        <v>32598192.599999998</v>
      </c>
    </row>
    <row r="436" spans="2:15" x14ac:dyDescent="0.35">
      <c r="B436" s="174"/>
      <c r="C436" s="175"/>
      <c r="D436" s="176"/>
      <c r="E436" s="163"/>
      <c r="F436" s="163" t="s">
        <v>89</v>
      </c>
      <c r="G436" s="164" t="s">
        <v>359</v>
      </c>
      <c r="H436" s="177">
        <v>1057.3007999999998</v>
      </c>
      <c r="I436" s="164" t="s">
        <v>87</v>
      </c>
      <c r="J436" s="50">
        <v>31000</v>
      </c>
      <c r="K436" s="56"/>
      <c r="L436" s="46">
        <f t="shared" si="36"/>
        <v>32776324.799999993</v>
      </c>
    </row>
    <row r="437" spans="2:15" x14ac:dyDescent="0.35">
      <c r="B437" s="174"/>
      <c r="C437" s="175"/>
      <c r="D437" s="176"/>
      <c r="E437" s="163"/>
      <c r="F437" s="163" t="s">
        <v>89</v>
      </c>
      <c r="G437" s="164" t="s">
        <v>360</v>
      </c>
      <c r="H437" s="177">
        <v>948.12299999999982</v>
      </c>
      <c r="I437" s="164" t="s">
        <v>87</v>
      </c>
      <c r="J437" s="50">
        <v>31000</v>
      </c>
      <c r="K437" s="56"/>
      <c r="L437" s="46">
        <f t="shared" si="36"/>
        <v>29391812.999999996</v>
      </c>
    </row>
    <row r="438" spans="2:15" x14ac:dyDescent="0.35">
      <c r="B438" s="174"/>
      <c r="C438" s="175"/>
      <c r="D438" s="176"/>
      <c r="E438" s="163"/>
      <c r="F438" s="163" t="s">
        <v>89</v>
      </c>
      <c r="G438" s="164" t="s">
        <v>361</v>
      </c>
      <c r="H438" s="177">
        <v>879.16859999999986</v>
      </c>
      <c r="I438" s="164" t="s">
        <v>87</v>
      </c>
      <c r="J438" s="50">
        <v>31000</v>
      </c>
      <c r="K438" s="56"/>
      <c r="L438" s="46">
        <f t="shared" si="36"/>
        <v>27254226.599999994</v>
      </c>
      <c r="M438" s="67"/>
    </row>
    <row r="439" spans="2:15" x14ac:dyDescent="0.35">
      <c r="B439" s="174"/>
      <c r="C439" s="175"/>
      <c r="D439" s="176" t="s">
        <v>213</v>
      </c>
      <c r="E439" s="163"/>
      <c r="F439" s="163" t="s">
        <v>392</v>
      </c>
      <c r="G439" s="164"/>
      <c r="H439" s="177"/>
      <c r="I439" s="164"/>
      <c r="J439" s="29"/>
      <c r="K439" s="51"/>
      <c r="L439" s="46"/>
      <c r="M439" s="67"/>
    </row>
    <row r="440" spans="2:15" x14ac:dyDescent="0.35">
      <c r="B440" s="174"/>
      <c r="C440" s="175"/>
      <c r="D440" s="176"/>
      <c r="E440" s="163"/>
      <c r="F440" s="163" t="s">
        <v>89</v>
      </c>
      <c r="G440" s="164" t="s">
        <v>355</v>
      </c>
      <c r="H440" s="177">
        <v>879.16859999999986</v>
      </c>
      <c r="I440" s="164" t="s">
        <v>87</v>
      </c>
      <c r="J440" s="50">
        <v>31000</v>
      </c>
      <c r="K440" s="56"/>
      <c r="L440" s="46">
        <f t="shared" ref="L440:L446" si="37">J440*H440</f>
        <v>27254226.599999994</v>
      </c>
      <c r="M440" s="67"/>
    </row>
    <row r="441" spans="2:15" x14ac:dyDescent="0.35">
      <c r="B441" s="174"/>
      <c r="C441" s="175"/>
      <c r="D441" s="176"/>
      <c r="E441" s="163"/>
      <c r="F441" s="163" t="s">
        <v>89</v>
      </c>
      <c r="G441" s="164" t="s">
        <v>363</v>
      </c>
      <c r="H441" s="177">
        <v>1057.3007999999998</v>
      </c>
      <c r="I441" s="164" t="s">
        <v>87</v>
      </c>
      <c r="J441" s="50">
        <v>31000</v>
      </c>
      <c r="K441" s="56"/>
      <c r="L441" s="46">
        <f t="shared" si="37"/>
        <v>32776324.799999993</v>
      </c>
      <c r="M441" s="67"/>
    </row>
    <row r="442" spans="2:15" x14ac:dyDescent="0.35">
      <c r="B442" s="174"/>
      <c r="C442" s="175"/>
      <c r="D442" s="176"/>
      <c r="E442" s="163"/>
      <c r="F442" s="163" t="s">
        <v>89</v>
      </c>
      <c r="G442" s="164" t="s">
        <v>364</v>
      </c>
      <c r="H442" s="177">
        <v>1057.3007999999998</v>
      </c>
      <c r="I442" s="164" t="s">
        <v>87</v>
      </c>
      <c r="J442" s="50">
        <v>31000</v>
      </c>
      <c r="K442" s="56"/>
      <c r="L442" s="46">
        <f t="shared" si="37"/>
        <v>32776324.799999993</v>
      </c>
      <c r="M442" s="67"/>
    </row>
    <row r="443" spans="2:15" x14ac:dyDescent="0.35">
      <c r="B443" s="174"/>
      <c r="C443" s="175"/>
      <c r="D443" s="176"/>
      <c r="E443" s="163"/>
      <c r="F443" s="163" t="s">
        <v>89</v>
      </c>
      <c r="G443" s="164" t="s">
        <v>358</v>
      </c>
      <c r="H443" s="177">
        <v>1051.5545999999999</v>
      </c>
      <c r="I443" s="164" t="s">
        <v>87</v>
      </c>
      <c r="J443" s="50">
        <v>31000</v>
      </c>
      <c r="K443" s="56"/>
      <c r="L443" s="46">
        <f t="shared" si="37"/>
        <v>32598192.599999998</v>
      </c>
      <c r="M443" s="67"/>
    </row>
    <row r="444" spans="2:15" x14ac:dyDescent="0.35">
      <c r="B444" s="174"/>
      <c r="C444" s="175"/>
      <c r="D444" s="176"/>
      <c r="E444" s="163"/>
      <c r="F444" s="163" t="s">
        <v>89</v>
      </c>
      <c r="G444" s="164" t="s">
        <v>359</v>
      </c>
      <c r="H444" s="177">
        <v>1057.3007999999998</v>
      </c>
      <c r="I444" s="164" t="s">
        <v>87</v>
      </c>
      <c r="J444" s="50">
        <v>31000</v>
      </c>
      <c r="K444" s="56"/>
      <c r="L444" s="46">
        <f t="shared" si="37"/>
        <v>32776324.799999993</v>
      </c>
      <c r="M444" s="67"/>
      <c r="N444" s="67"/>
      <c r="O444" s="83"/>
    </row>
    <row r="445" spans="2:15" x14ac:dyDescent="0.35">
      <c r="B445" s="174"/>
      <c r="C445" s="175"/>
      <c r="D445" s="176"/>
      <c r="E445" s="163"/>
      <c r="F445" s="163" t="s">
        <v>89</v>
      </c>
      <c r="G445" s="164" t="s">
        <v>365</v>
      </c>
      <c r="H445" s="177">
        <v>1057.3007999999998</v>
      </c>
      <c r="I445" s="164" t="s">
        <v>87</v>
      </c>
      <c r="J445" s="50">
        <v>31000</v>
      </c>
      <c r="K445" s="56"/>
      <c r="L445" s="46">
        <f t="shared" si="37"/>
        <v>32776324.799999993</v>
      </c>
    </row>
    <row r="446" spans="2:15" x14ac:dyDescent="0.35">
      <c r="B446" s="174"/>
      <c r="C446" s="175"/>
      <c r="D446" s="176"/>
      <c r="E446" s="163"/>
      <c r="F446" s="163" t="s">
        <v>89</v>
      </c>
      <c r="G446" s="164" t="s">
        <v>366</v>
      </c>
      <c r="H446" s="177">
        <v>850.43759999999986</v>
      </c>
      <c r="I446" s="164" t="s">
        <v>87</v>
      </c>
      <c r="J446" s="50">
        <v>31000</v>
      </c>
      <c r="K446" s="56"/>
      <c r="L446" s="46">
        <f t="shared" si="37"/>
        <v>26363565.599999994</v>
      </c>
      <c r="M446" s="67"/>
    </row>
    <row r="447" spans="2:15" x14ac:dyDescent="0.35">
      <c r="B447" s="174"/>
      <c r="C447" s="175"/>
      <c r="D447" s="176" t="s">
        <v>215</v>
      </c>
      <c r="E447" s="163"/>
      <c r="F447" s="163" t="s">
        <v>393</v>
      </c>
      <c r="G447" s="164"/>
      <c r="H447" s="177"/>
      <c r="I447" s="164"/>
      <c r="J447" s="29"/>
      <c r="K447" s="51"/>
      <c r="L447" s="46"/>
      <c r="M447" s="67"/>
    </row>
    <row r="448" spans="2:15" x14ac:dyDescent="0.35">
      <c r="B448" s="174"/>
      <c r="C448" s="175"/>
      <c r="D448" s="176"/>
      <c r="E448" s="163"/>
      <c r="F448" s="163" t="s">
        <v>89</v>
      </c>
      <c r="G448" s="164" t="s">
        <v>394</v>
      </c>
      <c r="H448" s="177">
        <v>860.43221999999992</v>
      </c>
      <c r="I448" s="164" t="s">
        <v>87</v>
      </c>
      <c r="J448" s="50">
        <v>31000</v>
      </c>
      <c r="K448" s="56"/>
      <c r="L448" s="46">
        <f t="shared" ref="L448:L451" si="38">J448*H448</f>
        <v>26673398.819999997</v>
      </c>
      <c r="M448" s="67"/>
    </row>
    <row r="449" spans="2:15" x14ac:dyDescent="0.35">
      <c r="B449" s="174"/>
      <c r="C449" s="175"/>
      <c r="D449" s="176"/>
      <c r="E449" s="163"/>
      <c r="F449" s="163" t="s">
        <v>89</v>
      </c>
      <c r="G449" s="164" t="s">
        <v>395</v>
      </c>
      <c r="H449" s="177">
        <v>1029.1444199999999</v>
      </c>
      <c r="I449" s="164" t="s">
        <v>87</v>
      </c>
      <c r="J449" s="50">
        <v>31000</v>
      </c>
      <c r="K449" s="56"/>
      <c r="L449" s="46">
        <f t="shared" si="38"/>
        <v>31903477.019999996</v>
      </c>
      <c r="M449" s="67"/>
    </row>
    <row r="450" spans="2:15" x14ac:dyDescent="0.35">
      <c r="B450" s="174"/>
      <c r="C450" s="175"/>
      <c r="D450" s="176"/>
      <c r="E450" s="163"/>
      <c r="F450" s="163" t="s">
        <v>89</v>
      </c>
      <c r="G450" s="164" t="s">
        <v>396</v>
      </c>
      <c r="H450" s="177">
        <v>860.43221999999992</v>
      </c>
      <c r="I450" s="164" t="s">
        <v>87</v>
      </c>
      <c r="J450" s="50">
        <v>31000</v>
      </c>
      <c r="K450" s="56"/>
      <c r="L450" s="46">
        <f t="shared" si="38"/>
        <v>26673398.819999997</v>
      </c>
      <c r="M450" s="67"/>
    </row>
    <row r="451" spans="2:15" x14ac:dyDescent="0.35">
      <c r="B451" s="174"/>
      <c r="C451" s="175"/>
      <c r="D451" s="176"/>
      <c r="E451" s="163"/>
      <c r="F451" s="163" t="s">
        <v>89</v>
      </c>
      <c r="G451" s="164" t="s">
        <v>397</v>
      </c>
      <c r="H451" s="177">
        <v>1034.7681599999999</v>
      </c>
      <c r="I451" s="164" t="s">
        <v>87</v>
      </c>
      <c r="J451" s="50">
        <v>31000</v>
      </c>
      <c r="K451" s="56"/>
      <c r="L451" s="46">
        <f t="shared" si="38"/>
        <v>32077812.959999997</v>
      </c>
      <c r="M451" s="67"/>
    </row>
    <row r="452" spans="2:15" x14ac:dyDescent="0.35">
      <c r="B452" s="174"/>
      <c r="C452" s="175"/>
      <c r="D452" s="176" t="s">
        <v>217</v>
      </c>
      <c r="E452" s="163"/>
      <c r="F452" s="163" t="s">
        <v>398</v>
      </c>
      <c r="G452" s="164"/>
      <c r="H452" s="177"/>
      <c r="I452" s="164"/>
      <c r="J452" s="65"/>
      <c r="K452" s="65"/>
      <c r="L452" s="46"/>
      <c r="M452" s="67"/>
      <c r="N452" s="67"/>
      <c r="O452" s="83"/>
    </row>
    <row r="453" spans="2:15" x14ac:dyDescent="0.35">
      <c r="B453" s="174"/>
      <c r="C453" s="175"/>
      <c r="D453" s="176"/>
      <c r="E453" s="163"/>
      <c r="F453" s="163" t="s">
        <v>89</v>
      </c>
      <c r="G453" s="164" t="s">
        <v>399</v>
      </c>
      <c r="H453" s="177">
        <v>74.18249999999999</v>
      </c>
      <c r="I453" s="164" t="s">
        <v>87</v>
      </c>
      <c r="J453" s="50">
        <v>31000</v>
      </c>
      <c r="K453" s="56"/>
      <c r="L453" s="46">
        <f t="shared" ref="L453" si="39">J453*H453</f>
        <v>2299657.4999999995</v>
      </c>
    </row>
    <row r="454" spans="2:15" x14ac:dyDescent="0.35">
      <c r="B454" s="174"/>
      <c r="C454" s="175" t="s">
        <v>115</v>
      </c>
      <c r="D454" s="176"/>
      <c r="E454" s="163"/>
      <c r="F454" s="163" t="s">
        <v>116</v>
      </c>
      <c r="G454" s="164"/>
      <c r="H454" s="177"/>
      <c r="I454" s="164"/>
      <c r="J454" s="65"/>
      <c r="K454" s="65"/>
      <c r="L454" s="46"/>
      <c r="M454" s="67"/>
    </row>
    <row r="455" spans="2:15" x14ac:dyDescent="0.35">
      <c r="B455" s="174"/>
      <c r="C455" s="175"/>
      <c r="D455" s="176" t="s">
        <v>44</v>
      </c>
      <c r="E455" s="163"/>
      <c r="F455" s="163" t="s">
        <v>117</v>
      </c>
      <c r="G455" s="164"/>
      <c r="H455" s="178"/>
      <c r="I455" s="164"/>
      <c r="J455" s="29"/>
      <c r="K455" s="51"/>
      <c r="L455" s="46"/>
      <c r="M455" s="67"/>
    </row>
    <row r="456" spans="2:15" x14ac:dyDescent="0.35">
      <c r="B456" s="174"/>
      <c r="C456" s="175"/>
      <c r="D456" s="176"/>
      <c r="E456" s="163"/>
      <c r="F456" s="163" t="s">
        <v>89</v>
      </c>
      <c r="G456" s="164" t="s">
        <v>400</v>
      </c>
      <c r="H456" s="177">
        <v>171.44400000000002</v>
      </c>
      <c r="I456" s="164" t="s">
        <v>87</v>
      </c>
      <c r="J456" s="50">
        <v>29000</v>
      </c>
      <c r="K456" s="56"/>
      <c r="L456" s="46">
        <f t="shared" ref="L456:L472" si="40">J456*H456</f>
        <v>4971876.0000000009</v>
      </c>
      <c r="M456" s="67"/>
    </row>
    <row r="457" spans="2:15" x14ac:dyDescent="0.35">
      <c r="B457" s="174"/>
      <c r="C457" s="175"/>
      <c r="D457" s="176"/>
      <c r="E457" s="163"/>
      <c r="F457" s="163" t="s">
        <v>89</v>
      </c>
      <c r="G457" s="164" t="s">
        <v>401</v>
      </c>
      <c r="H457" s="177">
        <v>18.840000000000003</v>
      </c>
      <c r="I457" s="164" t="s">
        <v>87</v>
      </c>
      <c r="J457" s="50">
        <v>29000</v>
      </c>
      <c r="K457" s="56"/>
      <c r="L457" s="46">
        <f t="shared" si="40"/>
        <v>546360.00000000012</v>
      </c>
      <c r="M457" s="67"/>
    </row>
    <row r="458" spans="2:15" x14ac:dyDescent="0.35">
      <c r="B458" s="174"/>
      <c r="C458" s="175"/>
      <c r="D458" s="176"/>
      <c r="E458" s="163"/>
      <c r="F458" s="163" t="s">
        <v>89</v>
      </c>
      <c r="G458" s="164" t="s">
        <v>402</v>
      </c>
      <c r="H458" s="177">
        <v>35.325000000000003</v>
      </c>
      <c r="I458" s="164" t="s">
        <v>87</v>
      </c>
      <c r="J458" s="50">
        <v>29000</v>
      </c>
      <c r="K458" s="56"/>
      <c r="L458" s="46">
        <f t="shared" si="40"/>
        <v>1024425.0000000001</v>
      </c>
      <c r="M458" s="67"/>
    </row>
    <row r="459" spans="2:15" x14ac:dyDescent="0.35">
      <c r="B459" s="174"/>
      <c r="C459" s="175"/>
      <c r="D459" s="176"/>
      <c r="E459" s="163"/>
      <c r="F459" s="163" t="s">
        <v>89</v>
      </c>
      <c r="G459" s="164" t="s">
        <v>403</v>
      </c>
      <c r="H459" s="177">
        <v>215.56799999999998</v>
      </c>
      <c r="I459" s="164" t="s">
        <v>87</v>
      </c>
      <c r="J459" s="50">
        <v>29000</v>
      </c>
      <c r="K459" s="56"/>
      <c r="L459" s="46">
        <f t="shared" si="40"/>
        <v>6251471.9999999991</v>
      </c>
      <c r="M459" s="67"/>
    </row>
    <row r="460" spans="2:15" x14ac:dyDescent="0.35">
      <c r="B460" s="174"/>
      <c r="C460" s="175"/>
      <c r="D460" s="176"/>
      <c r="E460" s="163"/>
      <c r="F460" s="163" t="s">
        <v>89</v>
      </c>
      <c r="G460" s="164" t="s">
        <v>404</v>
      </c>
      <c r="H460" s="177">
        <v>68.577600000000004</v>
      </c>
      <c r="I460" s="164" t="s">
        <v>87</v>
      </c>
      <c r="J460" s="50">
        <v>29000</v>
      </c>
      <c r="K460" s="56"/>
      <c r="L460" s="46">
        <f t="shared" si="40"/>
        <v>1988750.4000000001</v>
      </c>
      <c r="M460" s="67"/>
      <c r="N460" s="67"/>
      <c r="O460" s="83"/>
    </row>
    <row r="461" spans="2:15" x14ac:dyDescent="0.35">
      <c r="B461" s="174"/>
      <c r="C461" s="175"/>
      <c r="D461" s="176"/>
      <c r="E461" s="163"/>
      <c r="F461" s="163" t="s">
        <v>89</v>
      </c>
      <c r="G461" s="164" t="s">
        <v>405</v>
      </c>
      <c r="H461" s="177">
        <v>21.195</v>
      </c>
      <c r="I461" s="164" t="s">
        <v>87</v>
      </c>
      <c r="J461" s="50">
        <v>29000</v>
      </c>
      <c r="K461" s="56"/>
      <c r="L461" s="46">
        <f t="shared" si="40"/>
        <v>614655</v>
      </c>
    </row>
    <row r="462" spans="2:15" x14ac:dyDescent="0.35">
      <c r="B462" s="174"/>
      <c r="C462" s="175"/>
      <c r="D462" s="176"/>
      <c r="E462" s="163"/>
      <c r="F462" s="163" t="s">
        <v>89</v>
      </c>
      <c r="G462" s="164" t="s">
        <v>406</v>
      </c>
      <c r="H462" s="177">
        <v>215.56799999999998</v>
      </c>
      <c r="I462" s="164" t="s">
        <v>87</v>
      </c>
      <c r="J462" s="50">
        <v>29000</v>
      </c>
      <c r="K462" s="56"/>
      <c r="L462" s="46">
        <f t="shared" si="40"/>
        <v>6251471.9999999991</v>
      </c>
      <c r="M462" s="67"/>
    </row>
    <row r="463" spans="2:15" x14ac:dyDescent="0.35">
      <c r="B463" s="174"/>
      <c r="C463" s="175"/>
      <c r="D463" s="176"/>
      <c r="E463" s="163"/>
      <c r="F463" s="163" t="s">
        <v>89</v>
      </c>
      <c r="G463" s="164" t="s">
        <v>407</v>
      </c>
      <c r="H463" s="177">
        <v>182.63399999999999</v>
      </c>
      <c r="I463" s="164" t="s">
        <v>87</v>
      </c>
      <c r="J463" s="50">
        <v>29000</v>
      </c>
      <c r="K463" s="56"/>
      <c r="L463" s="46">
        <f t="shared" si="40"/>
        <v>5296386</v>
      </c>
      <c r="M463" s="67"/>
    </row>
    <row r="464" spans="2:15" x14ac:dyDescent="0.35">
      <c r="B464" s="174"/>
      <c r="C464" s="175"/>
      <c r="D464" s="176"/>
      <c r="E464" s="163"/>
      <c r="F464" s="163" t="s">
        <v>89</v>
      </c>
      <c r="G464" s="164" t="s">
        <v>408</v>
      </c>
      <c r="H464" s="177">
        <v>19.782000000000004</v>
      </c>
      <c r="I464" s="164" t="s">
        <v>87</v>
      </c>
      <c r="J464" s="50">
        <v>29000</v>
      </c>
      <c r="K464" s="56"/>
      <c r="L464" s="46">
        <f t="shared" si="40"/>
        <v>573678.00000000012</v>
      </c>
      <c r="M464" s="67"/>
    </row>
    <row r="465" spans="2:13" x14ac:dyDescent="0.35">
      <c r="B465" s="174"/>
      <c r="C465" s="175"/>
      <c r="D465" s="176"/>
      <c r="E465" s="163"/>
      <c r="F465" s="163" t="s">
        <v>89</v>
      </c>
      <c r="G465" s="164" t="s">
        <v>409</v>
      </c>
      <c r="H465" s="177">
        <v>19.970400000000001</v>
      </c>
      <c r="I465" s="164" t="s">
        <v>87</v>
      </c>
      <c r="J465" s="50">
        <v>29000</v>
      </c>
      <c r="K465" s="56"/>
      <c r="L465" s="46">
        <f t="shared" si="40"/>
        <v>579141.60000000009</v>
      </c>
      <c r="M465" s="67"/>
    </row>
    <row r="466" spans="2:13" x14ac:dyDescent="0.35">
      <c r="B466" s="174"/>
      <c r="C466" s="175"/>
      <c r="D466" s="176"/>
      <c r="E466" s="163"/>
      <c r="F466" s="163" t="s">
        <v>89</v>
      </c>
      <c r="G466" s="164" t="s">
        <v>410</v>
      </c>
      <c r="H466" s="177">
        <v>34.288800000000002</v>
      </c>
      <c r="I466" s="164" t="s">
        <v>87</v>
      </c>
      <c r="J466" s="50">
        <v>29000</v>
      </c>
      <c r="K466" s="56"/>
      <c r="L466" s="46">
        <f t="shared" si="40"/>
        <v>994375.20000000007</v>
      </c>
      <c r="M466" s="67"/>
    </row>
    <row r="467" spans="2:13" x14ac:dyDescent="0.35">
      <c r="B467" s="174"/>
      <c r="C467" s="175"/>
      <c r="D467" s="176"/>
      <c r="E467" s="163"/>
      <c r="F467" s="163" t="s">
        <v>89</v>
      </c>
      <c r="G467" s="164" t="s">
        <v>411</v>
      </c>
      <c r="H467" s="177">
        <v>24.727500000000003</v>
      </c>
      <c r="I467" s="164" t="s">
        <v>87</v>
      </c>
      <c r="J467" s="50">
        <v>29000</v>
      </c>
      <c r="K467" s="56"/>
      <c r="L467" s="46">
        <f t="shared" si="40"/>
        <v>717097.50000000012</v>
      </c>
      <c r="M467" s="67"/>
    </row>
    <row r="468" spans="2:13" x14ac:dyDescent="0.35">
      <c r="B468" s="174"/>
      <c r="C468" s="175"/>
      <c r="D468" s="176"/>
      <c r="E468" s="163"/>
      <c r="F468" s="163" t="s">
        <v>89</v>
      </c>
      <c r="G468" s="164" t="s">
        <v>412</v>
      </c>
      <c r="H468" s="177">
        <v>68.577600000000004</v>
      </c>
      <c r="I468" s="164" t="s">
        <v>87</v>
      </c>
      <c r="J468" s="50">
        <v>29000</v>
      </c>
      <c r="K468" s="56"/>
      <c r="L468" s="46">
        <f t="shared" si="40"/>
        <v>1988750.4000000001</v>
      </c>
    </row>
    <row r="469" spans="2:13" x14ac:dyDescent="0.35">
      <c r="B469" s="174"/>
      <c r="C469" s="175"/>
      <c r="D469" s="176"/>
      <c r="E469" s="163"/>
      <c r="F469" s="163" t="s">
        <v>89</v>
      </c>
      <c r="G469" s="164" t="s">
        <v>413</v>
      </c>
      <c r="H469" s="177">
        <v>21.195</v>
      </c>
      <c r="I469" s="164" t="s">
        <v>87</v>
      </c>
      <c r="J469" s="50">
        <v>29000</v>
      </c>
      <c r="K469" s="56"/>
      <c r="L469" s="46">
        <f t="shared" si="40"/>
        <v>614655</v>
      </c>
    </row>
    <row r="470" spans="2:13" x14ac:dyDescent="0.35">
      <c r="B470" s="174"/>
      <c r="C470" s="175"/>
      <c r="D470" s="176"/>
      <c r="E470" s="163"/>
      <c r="F470" s="163" t="s">
        <v>89</v>
      </c>
      <c r="G470" s="164" t="s">
        <v>414</v>
      </c>
      <c r="H470" s="177">
        <v>215.56799999999998</v>
      </c>
      <c r="I470" s="164" t="s">
        <v>87</v>
      </c>
      <c r="J470" s="50">
        <v>29000</v>
      </c>
      <c r="K470" s="56"/>
      <c r="L470" s="46">
        <f t="shared" si="40"/>
        <v>6251471.9999999991</v>
      </c>
    </row>
    <row r="471" spans="2:13" x14ac:dyDescent="0.35">
      <c r="B471" s="174"/>
      <c r="C471" s="175"/>
      <c r="D471" s="176"/>
      <c r="E471" s="163"/>
      <c r="F471" s="163" t="s">
        <v>89</v>
      </c>
      <c r="G471" s="164" t="s">
        <v>415</v>
      </c>
      <c r="H471" s="177">
        <v>11.304000000000002</v>
      </c>
      <c r="I471" s="164" t="s">
        <v>87</v>
      </c>
      <c r="J471" s="50">
        <v>29000</v>
      </c>
      <c r="K471" s="56"/>
      <c r="L471" s="46">
        <f t="shared" si="40"/>
        <v>327816.00000000006</v>
      </c>
    </row>
    <row r="472" spans="2:13" x14ac:dyDescent="0.35">
      <c r="B472" s="174"/>
      <c r="C472" s="175"/>
      <c r="D472" s="176"/>
      <c r="E472" s="163"/>
      <c r="F472" s="163" t="s">
        <v>89</v>
      </c>
      <c r="G472" s="164" t="s">
        <v>416</v>
      </c>
      <c r="H472" s="177">
        <v>5.4636000000000005</v>
      </c>
      <c r="I472" s="164" t="s">
        <v>87</v>
      </c>
      <c r="J472" s="50">
        <v>29000</v>
      </c>
      <c r="K472" s="56"/>
      <c r="L472" s="46">
        <f t="shared" si="40"/>
        <v>158444.40000000002</v>
      </c>
    </row>
    <row r="473" spans="2:13" x14ac:dyDescent="0.35">
      <c r="B473" s="174"/>
      <c r="C473" s="175"/>
      <c r="D473" s="176"/>
      <c r="E473" s="163"/>
      <c r="F473" s="163"/>
      <c r="G473" s="164"/>
      <c r="H473" s="177"/>
      <c r="I473" s="164"/>
      <c r="J473" s="50"/>
      <c r="K473" s="56"/>
      <c r="L473" s="46"/>
    </row>
    <row r="474" spans="2:13" x14ac:dyDescent="0.35">
      <c r="B474" s="47"/>
      <c r="C474" s="48"/>
      <c r="D474" s="24"/>
      <c r="G474" s="22"/>
      <c r="I474" s="22"/>
      <c r="J474" s="50"/>
      <c r="K474" s="29"/>
      <c r="L474" s="52"/>
    </row>
    <row r="475" spans="2:13" x14ac:dyDescent="0.35">
      <c r="B475" s="8"/>
      <c r="C475" s="9"/>
      <c r="D475" s="10"/>
      <c r="E475" s="4"/>
      <c r="F475" s="4"/>
      <c r="G475" s="4"/>
      <c r="H475" s="1"/>
      <c r="I475" s="1"/>
      <c r="J475" s="11" t="s">
        <v>8</v>
      </c>
      <c r="K475" s="7">
        <f>SUM(K422:K474)</f>
        <v>0</v>
      </c>
      <c r="L475" s="7">
        <f>SUM(L422:L474)</f>
        <v>807892308.42000008</v>
      </c>
    </row>
    <row r="476" spans="2:13" x14ac:dyDescent="0.35">
      <c r="B476" s="8"/>
      <c r="C476" s="9"/>
      <c r="D476" s="9"/>
      <c r="E476" s="4"/>
      <c r="F476" s="4"/>
      <c r="G476" s="4"/>
      <c r="H476" s="1"/>
      <c r="I476" s="1"/>
      <c r="J476" s="11"/>
      <c r="K476" s="35" t="s">
        <v>22</v>
      </c>
      <c r="L476" s="36" t="s">
        <v>23</v>
      </c>
    </row>
    <row r="477" spans="2:13" x14ac:dyDescent="0.35">
      <c r="B477" s="3" t="s">
        <v>9</v>
      </c>
      <c r="C477" s="4"/>
      <c r="D477" s="4"/>
      <c r="E477" s="4"/>
      <c r="F477" s="4"/>
      <c r="G477" s="4"/>
      <c r="H477" s="1"/>
      <c r="I477" s="1"/>
      <c r="J477" s="12"/>
      <c r="K477" s="12"/>
      <c r="L477" s="13"/>
    </row>
    <row r="478" spans="2:13" x14ac:dyDescent="0.35">
      <c r="B478" s="37"/>
      <c r="C478" s="1"/>
      <c r="D478" s="1"/>
      <c r="E478" s="38"/>
      <c r="F478" s="38"/>
      <c r="G478" s="38"/>
      <c r="H478" s="1"/>
      <c r="I478" s="1"/>
      <c r="J478" s="1"/>
      <c r="K478" s="1"/>
      <c r="L478" s="19"/>
    </row>
    <row r="479" spans="2:13" x14ac:dyDescent="0.35">
      <c r="B479" s="28" t="s">
        <v>6</v>
      </c>
      <c r="C479" s="27"/>
      <c r="D479" s="27"/>
      <c r="E479" s="26"/>
      <c r="F479" s="26"/>
      <c r="G479" s="5"/>
      <c r="K479" s="284" t="s">
        <v>1600</v>
      </c>
      <c r="L479" s="285"/>
    </row>
    <row r="480" spans="2:13" x14ac:dyDescent="0.35">
      <c r="B480" s="28">
        <v>1</v>
      </c>
      <c r="C480" s="27"/>
      <c r="D480" s="27"/>
      <c r="E480" s="26" t="s">
        <v>7</v>
      </c>
      <c r="F480" s="26"/>
      <c r="G480" s="5"/>
      <c r="K480" s="284" t="s">
        <v>28</v>
      </c>
      <c r="L480" s="285"/>
    </row>
    <row r="481" spans="2:13" x14ac:dyDescent="0.35">
      <c r="B481" s="39"/>
      <c r="C481" s="27"/>
      <c r="D481" s="27"/>
      <c r="E481" s="26"/>
      <c r="F481" s="26"/>
      <c r="G481" s="5"/>
      <c r="J481" s="25"/>
      <c r="K481" s="25"/>
      <c r="L481" s="24"/>
    </row>
    <row r="482" spans="2:13" x14ac:dyDescent="0.35">
      <c r="B482" s="28"/>
      <c r="C482" s="27"/>
      <c r="D482" s="27"/>
      <c r="E482" s="26"/>
      <c r="F482" s="26"/>
      <c r="G482" s="5"/>
      <c r="L482" s="22"/>
    </row>
    <row r="483" spans="2:13" x14ac:dyDescent="0.35">
      <c r="B483" s="45"/>
      <c r="E483" s="5"/>
      <c r="F483" s="5"/>
      <c r="G483" s="5"/>
      <c r="L483" s="22"/>
    </row>
    <row r="484" spans="2:13" x14ac:dyDescent="0.35">
      <c r="B484" s="45"/>
      <c r="E484" s="5"/>
      <c r="F484" s="5"/>
      <c r="G484" s="5"/>
      <c r="L484" s="22"/>
    </row>
    <row r="485" spans="2:13" x14ac:dyDescent="0.35">
      <c r="B485" s="45"/>
      <c r="E485" s="5"/>
      <c r="F485" s="5"/>
      <c r="G485" s="5"/>
      <c r="L485" s="22"/>
    </row>
    <row r="486" spans="2:13" x14ac:dyDescent="0.35">
      <c r="B486" s="45"/>
      <c r="E486" s="5"/>
      <c r="F486" s="5"/>
      <c r="G486" s="5"/>
      <c r="J486" s="40"/>
      <c r="K486" s="286" t="s">
        <v>36</v>
      </c>
      <c r="L486" s="287"/>
    </row>
    <row r="487" spans="2:13" x14ac:dyDescent="0.35">
      <c r="B487" s="45"/>
      <c r="K487" s="288" t="s">
        <v>37</v>
      </c>
      <c r="L487" s="289"/>
    </row>
    <row r="488" spans="2:13" x14ac:dyDescent="0.35">
      <c r="B488" s="290"/>
      <c r="C488" s="291"/>
      <c r="D488" s="291"/>
      <c r="E488" s="41"/>
      <c r="F488" s="41"/>
      <c r="G488" s="41"/>
      <c r="H488" s="2"/>
      <c r="I488" s="2"/>
      <c r="J488" s="2"/>
      <c r="K488" s="2"/>
      <c r="L488" s="21"/>
    </row>
    <row r="489" spans="2:13" x14ac:dyDescent="0.35">
      <c r="B489" s="47"/>
      <c r="C489" s="48"/>
      <c r="D489" s="49"/>
      <c r="G489" s="22"/>
      <c r="H489" s="1"/>
      <c r="I489" s="1"/>
      <c r="J489" s="43"/>
      <c r="K489" s="30"/>
      <c r="L489" s="44"/>
    </row>
    <row r="490" spans="2:13" x14ac:dyDescent="0.35">
      <c r="B490" s="174"/>
      <c r="C490" s="175"/>
      <c r="D490" s="176"/>
      <c r="E490" s="163"/>
      <c r="F490" s="163" t="s">
        <v>89</v>
      </c>
      <c r="G490" s="164" t="s">
        <v>417</v>
      </c>
      <c r="H490" s="177">
        <v>11.304000000000002</v>
      </c>
      <c r="I490" s="164" t="s">
        <v>87</v>
      </c>
      <c r="J490" s="50">
        <v>29000</v>
      </c>
      <c r="K490" s="56"/>
      <c r="L490" s="46">
        <f t="shared" ref="L490:L539" si="41">J490*H490</f>
        <v>327816.00000000006</v>
      </c>
    </row>
    <row r="491" spans="2:13" x14ac:dyDescent="0.35">
      <c r="B491" s="174"/>
      <c r="C491" s="175"/>
      <c r="D491" s="176"/>
      <c r="E491" s="163"/>
      <c r="F491" s="163" t="s">
        <v>89</v>
      </c>
      <c r="G491" s="164" t="s">
        <v>418</v>
      </c>
      <c r="H491" s="177">
        <v>35.325000000000003</v>
      </c>
      <c r="I491" s="164" t="s">
        <v>87</v>
      </c>
      <c r="J491" s="50">
        <v>29000</v>
      </c>
      <c r="K491" s="56"/>
      <c r="L491" s="46">
        <f t="shared" si="41"/>
        <v>1024425.0000000001</v>
      </c>
    </row>
    <row r="492" spans="2:13" x14ac:dyDescent="0.35">
      <c r="B492" s="174"/>
      <c r="C492" s="175"/>
      <c r="D492" s="176"/>
      <c r="E492" s="163"/>
      <c r="F492" s="163" t="s">
        <v>89</v>
      </c>
      <c r="G492" s="164" t="s">
        <v>419</v>
      </c>
      <c r="H492" s="177">
        <v>215.56799999999998</v>
      </c>
      <c r="I492" s="164" t="s">
        <v>87</v>
      </c>
      <c r="J492" s="50">
        <v>29000</v>
      </c>
      <c r="K492" s="56"/>
      <c r="L492" s="46">
        <f t="shared" si="41"/>
        <v>6251471.9999999991</v>
      </c>
    </row>
    <row r="493" spans="2:13" x14ac:dyDescent="0.35">
      <c r="B493" s="174"/>
      <c r="C493" s="175"/>
      <c r="D493" s="176"/>
      <c r="E493" s="163"/>
      <c r="F493" s="163" t="s">
        <v>89</v>
      </c>
      <c r="G493" s="164" t="s">
        <v>420</v>
      </c>
      <c r="H493" s="177">
        <v>185.62799999999999</v>
      </c>
      <c r="I493" s="164" t="s">
        <v>87</v>
      </c>
      <c r="J493" s="50">
        <v>29000</v>
      </c>
      <c r="K493" s="56"/>
      <c r="L493" s="46">
        <f t="shared" si="41"/>
        <v>5383212</v>
      </c>
    </row>
    <row r="494" spans="2:13" x14ac:dyDescent="0.35">
      <c r="B494" s="174"/>
      <c r="C494" s="175"/>
      <c r="D494" s="176"/>
      <c r="E494" s="163"/>
      <c r="F494" s="163" t="s">
        <v>89</v>
      </c>
      <c r="G494" s="164" t="s">
        <v>421</v>
      </c>
      <c r="H494" s="177">
        <v>22.608000000000004</v>
      </c>
      <c r="I494" s="164" t="s">
        <v>87</v>
      </c>
      <c r="J494" s="50">
        <v>29000</v>
      </c>
      <c r="K494" s="56"/>
      <c r="L494" s="46">
        <f t="shared" si="41"/>
        <v>655632.00000000012</v>
      </c>
    </row>
    <row r="495" spans="2:13" x14ac:dyDescent="0.35">
      <c r="B495" s="174"/>
      <c r="C495" s="175"/>
      <c r="D495" s="176"/>
      <c r="E495" s="163"/>
      <c r="F495" s="163" t="s">
        <v>89</v>
      </c>
      <c r="G495" s="164" t="s">
        <v>422</v>
      </c>
      <c r="H495" s="177">
        <v>10.362000000000002</v>
      </c>
      <c r="I495" s="164" t="s">
        <v>87</v>
      </c>
      <c r="J495" s="50">
        <v>29000</v>
      </c>
      <c r="K495" s="56"/>
      <c r="L495" s="46">
        <f t="shared" si="41"/>
        <v>300498.00000000006</v>
      </c>
      <c r="M495" s="67"/>
    </row>
    <row r="496" spans="2:13" x14ac:dyDescent="0.35">
      <c r="B496" s="174"/>
      <c r="C496" s="175"/>
      <c r="D496" s="176"/>
      <c r="E496" s="163"/>
      <c r="F496" s="163" t="s">
        <v>89</v>
      </c>
      <c r="G496" s="164" t="s">
        <v>423</v>
      </c>
      <c r="H496" s="177">
        <v>35.325000000000003</v>
      </c>
      <c r="I496" s="164" t="s">
        <v>87</v>
      </c>
      <c r="J496" s="50">
        <v>29000</v>
      </c>
      <c r="K496" s="56"/>
      <c r="L496" s="46">
        <f t="shared" si="41"/>
        <v>1024425.0000000001</v>
      </c>
      <c r="M496" s="67"/>
    </row>
    <row r="497" spans="2:15" x14ac:dyDescent="0.35">
      <c r="B497" s="174"/>
      <c r="C497" s="175"/>
      <c r="D497" s="176"/>
      <c r="E497" s="163"/>
      <c r="F497" s="163" t="s">
        <v>89</v>
      </c>
      <c r="G497" s="164" t="s">
        <v>424</v>
      </c>
      <c r="H497" s="177">
        <v>215.56799999999998</v>
      </c>
      <c r="I497" s="164" t="s">
        <v>87</v>
      </c>
      <c r="J497" s="50">
        <v>29000</v>
      </c>
      <c r="K497" s="56"/>
      <c r="L497" s="46">
        <f t="shared" si="41"/>
        <v>6251471.9999999991</v>
      </c>
      <c r="M497" s="67"/>
    </row>
    <row r="498" spans="2:15" x14ac:dyDescent="0.35">
      <c r="B498" s="174"/>
      <c r="C498" s="175"/>
      <c r="D498" s="176"/>
      <c r="E498" s="163"/>
      <c r="F498" s="163" t="s">
        <v>89</v>
      </c>
      <c r="G498" s="164" t="s">
        <v>425</v>
      </c>
      <c r="H498" s="177">
        <v>1.8839999999999997</v>
      </c>
      <c r="I498" s="164" t="s">
        <v>87</v>
      </c>
      <c r="J498" s="50">
        <v>29000</v>
      </c>
      <c r="K498" s="56"/>
      <c r="L498" s="46">
        <f t="shared" si="41"/>
        <v>54635.999999999993</v>
      </c>
      <c r="M498" s="67"/>
    </row>
    <row r="499" spans="2:15" x14ac:dyDescent="0.35">
      <c r="B499" s="174"/>
      <c r="C499" s="175"/>
      <c r="D499" s="176"/>
      <c r="E499" s="163"/>
      <c r="F499" s="163" t="s">
        <v>89</v>
      </c>
      <c r="G499" s="164" t="s">
        <v>426</v>
      </c>
      <c r="H499" s="177">
        <v>35.325000000000003</v>
      </c>
      <c r="I499" s="164" t="s">
        <v>87</v>
      </c>
      <c r="J499" s="50">
        <v>29000</v>
      </c>
      <c r="K499" s="56"/>
      <c r="L499" s="46">
        <f t="shared" si="41"/>
        <v>1024425.0000000001</v>
      </c>
      <c r="M499" s="67"/>
    </row>
    <row r="500" spans="2:15" x14ac:dyDescent="0.35">
      <c r="B500" s="174"/>
      <c r="C500" s="175"/>
      <c r="D500" s="176"/>
      <c r="E500" s="163"/>
      <c r="F500" s="163" t="s">
        <v>89</v>
      </c>
      <c r="G500" s="164" t="s">
        <v>427</v>
      </c>
      <c r="H500" s="177">
        <v>215.56799999999998</v>
      </c>
      <c r="I500" s="164" t="s">
        <v>87</v>
      </c>
      <c r="J500" s="50">
        <v>29000</v>
      </c>
      <c r="K500" s="56"/>
      <c r="L500" s="46">
        <f t="shared" si="41"/>
        <v>6251471.9999999991</v>
      </c>
      <c r="M500" s="67"/>
    </row>
    <row r="501" spans="2:15" x14ac:dyDescent="0.35">
      <c r="B501" s="174"/>
      <c r="C501" s="175"/>
      <c r="D501" s="176"/>
      <c r="E501" s="163"/>
      <c r="F501" s="163" t="s">
        <v>89</v>
      </c>
      <c r="G501" s="164" t="s">
        <v>428</v>
      </c>
      <c r="H501" s="177">
        <v>68.577600000000004</v>
      </c>
      <c r="I501" s="164" t="s">
        <v>87</v>
      </c>
      <c r="J501" s="50">
        <v>29000</v>
      </c>
      <c r="K501" s="56"/>
      <c r="L501" s="46">
        <f t="shared" si="41"/>
        <v>1988750.4000000001</v>
      </c>
      <c r="M501" s="67"/>
      <c r="N501" s="67"/>
      <c r="O501" s="83"/>
    </row>
    <row r="502" spans="2:15" x14ac:dyDescent="0.35">
      <c r="B502" s="174"/>
      <c r="C502" s="175"/>
      <c r="D502" s="176"/>
      <c r="E502" s="163"/>
      <c r="F502" s="163" t="s">
        <v>89</v>
      </c>
      <c r="G502" s="164" t="s">
        <v>429</v>
      </c>
      <c r="H502" s="177">
        <v>21.195</v>
      </c>
      <c r="I502" s="164" t="s">
        <v>87</v>
      </c>
      <c r="J502" s="50">
        <v>29000</v>
      </c>
      <c r="K502" s="56"/>
      <c r="L502" s="46">
        <f t="shared" si="41"/>
        <v>614655</v>
      </c>
    </row>
    <row r="503" spans="2:15" x14ac:dyDescent="0.35">
      <c r="B503" s="174"/>
      <c r="C503" s="175"/>
      <c r="D503" s="176"/>
      <c r="E503" s="163"/>
      <c r="F503" s="163" t="s">
        <v>89</v>
      </c>
      <c r="G503" s="164" t="s">
        <v>430</v>
      </c>
      <c r="H503" s="177">
        <v>215.56799999999998</v>
      </c>
      <c r="I503" s="164" t="s">
        <v>87</v>
      </c>
      <c r="J503" s="50">
        <v>29000</v>
      </c>
      <c r="K503" s="56"/>
      <c r="L503" s="46">
        <f t="shared" si="41"/>
        <v>6251471.9999999991</v>
      </c>
      <c r="M503" s="67"/>
    </row>
    <row r="504" spans="2:15" x14ac:dyDescent="0.35">
      <c r="B504" s="174"/>
      <c r="C504" s="175"/>
      <c r="D504" s="176"/>
      <c r="E504" s="163"/>
      <c r="F504" s="163" t="s">
        <v>89</v>
      </c>
      <c r="G504" s="164" t="s">
        <v>431</v>
      </c>
      <c r="H504" s="177">
        <v>11.304000000000002</v>
      </c>
      <c r="I504" s="164" t="s">
        <v>87</v>
      </c>
      <c r="J504" s="50">
        <v>29000</v>
      </c>
      <c r="K504" s="56"/>
      <c r="L504" s="46">
        <f t="shared" si="41"/>
        <v>327816.00000000006</v>
      </c>
      <c r="M504" s="67"/>
    </row>
    <row r="505" spans="2:15" x14ac:dyDescent="0.35">
      <c r="B505" s="174"/>
      <c r="C505" s="175"/>
      <c r="D505" s="176"/>
      <c r="E505" s="163"/>
      <c r="F505" s="163" t="s">
        <v>89</v>
      </c>
      <c r="G505" s="164" t="s">
        <v>432</v>
      </c>
      <c r="H505" s="177">
        <v>20.347200000000004</v>
      </c>
      <c r="I505" s="164" t="s">
        <v>87</v>
      </c>
      <c r="J505" s="50">
        <v>29000</v>
      </c>
      <c r="K505" s="56"/>
      <c r="L505" s="46">
        <f t="shared" si="41"/>
        <v>590068.80000000016</v>
      </c>
      <c r="M505" s="67"/>
    </row>
    <row r="506" spans="2:15" x14ac:dyDescent="0.35">
      <c r="B506" s="174"/>
      <c r="C506" s="175"/>
      <c r="D506" s="176"/>
      <c r="E506" s="163"/>
      <c r="F506" s="163" t="s">
        <v>89</v>
      </c>
      <c r="G506" s="164" t="s">
        <v>433</v>
      </c>
      <c r="H506" s="177">
        <v>19.782000000000004</v>
      </c>
      <c r="I506" s="164" t="s">
        <v>87</v>
      </c>
      <c r="J506" s="50">
        <v>29000</v>
      </c>
      <c r="K506" s="56"/>
      <c r="L506" s="46">
        <f t="shared" si="41"/>
        <v>573678.00000000012</v>
      </c>
      <c r="M506" s="67"/>
    </row>
    <row r="507" spans="2:15" x14ac:dyDescent="0.35">
      <c r="B507" s="174"/>
      <c r="C507" s="175"/>
      <c r="D507" s="176"/>
      <c r="E507" s="163"/>
      <c r="F507" s="163" t="s">
        <v>89</v>
      </c>
      <c r="G507" s="164" t="s">
        <v>434</v>
      </c>
      <c r="H507" s="177">
        <v>34.477200000000003</v>
      </c>
      <c r="I507" s="164" t="s">
        <v>87</v>
      </c>
      <c r="J507" s="50">
        <v>29000</v>
      </c>
      <c r="K507" s="56"/>
      <c r="L507" s="46">
        <f t="shared" si="41"/>
        <v>999838.8</v>
      </c>
      <c r="M507" s="67"/>
    </row>
    <row r="508" spans="2:15" x14ac:dyDescent="0.35">
      <c r="B508" s="174"/>
      <c r="C508" s="175"/>
      <c r="D508" s="176"/>
      <c r="E508" s="163"/>
      <c r="F508" s="163" t="s">
        <v>89</v>
      </c>
      <c r="G508" s="164" t="s">
        <v>435</v>
      </c>
      <c r="H508" s="177">
        <v>21.195</v>
      </c>
      <c r="I508" s="164" t="s">
        <v>87</v>
      </c>
      <c r="J508" s="50">
        <v>29000</v>
      </c>
      <c r="K508" s="56"/>
      <c r="L508" s="46">
        <f t="shared" si="41"/>
        <v>614655</v>
      </c>
      <c r="M508" s="67"/>
    </row>
    <row r="509" spans="2:15" x14ac:dyDescent="0.35">
      <c r="B509" s="174"/>
      <c r="C509" s="175"/>
      <c r="D509" s="176"/>
      <c r="E509" s="163"/>
      <c r="F509" s="163" t="s">
        <v>89</v>
      </c>
      <c r="G509" s="164" t="s">
        <v>436</v>
      </c>
      <c r="H509" s="177">
        <v>215.56799999999998</v>
      </c>
      <c r="I509" s="164" t="s">
        <v>87</v>
      </c>
      <c r="J509" s="50">
        <v>29000</v>
      </c>
      <c r="K509" s="56"/>
      <c r="L509" s="46">
        <f t="shared" si="41"/>
        <v>6251471.9999999991</v>
      </c>
      <c r="M509" s="67"/>
      <c r="N509" s="67"/>
      <c r="O509" s="83"/>
    </row>
    <row r="510" spans="2:15" x14ac:dyDescent="0.35">
      <c r="B510" s="174"/>
      <c r="C510" s="175"/>
      <c r="D510" s="176"/>
      <c r="E510" s="163"/>
      <c r="F510" s="163" t="s">
        <v>89</v>
      </c>
      <c r="G510" s="164" t="s">
        <v>437</v>
      </c>
      <c r="H510" s="177">
        <v>1.8839999999999997</v>
      </c>
      <c r="I510" s="164" t="s">
        <v>87</v>
      </c>
      <c r="J510" s="50">
        <v>29000</v>
      </c>
      <c r="K510" s="56"/>
      <c r="L510" s="46">
        <f t="shared" si="41"/>
        <v>54635.999999999993</v>
      </c>
    </row>
    <row r="511" spans="2:15" x14ac:dyDescent="0.35">
      <c r="B511" s="174"/>
      <c r="C511" s="175"/>
      <c r="D511" s="176"/>
      <c r="E511" s="163"/>
      <c r="F511" s="163" t="s">
        <v>89</v>
      </c>
      <c r="G511" s="164" t="s">
        <v>438</v>
      </c>
      <c r="H511" s="177">
        <v>171.44400000000002</v>
      </c>
      <c r="I511" s="164" t="s">
        <v>87</v>
      </c>
      <c r="J511" s="50">
        <v>29000</v>
      </c>
      <c r="K511" s="56"/>
      <c r="L511" s="46">
        <f t="shared" si="41"/>
        <v>4971876.0000000009</v>
      </c>
      <c r="M511" s="67"/>
    </row>
    <row r="512" spans="2:15" x14ac:dyDescent="0.35">
      <c r="B512" s="174"/>
      <c r="C512" s="175"/>
      <c r="D512" s="176"/>
      <c r="E512" s="163"/>
      <c r="F512" s="163" t="s">
        <v>89</v>
      </c>
      <c r="G512" s="164" t="s">
        <v>439</v>
      </c>
      <c r="H512" s="177">
        <v>20.724000000000004</v>
      </c>
      <c r="I512" s="164" t="s">
        <v>87</v>
      </c>
      <c r="J512" s="50">
        <v>29000</v>
      </c>
      <c r="K512" s="56"/>
      <c r="L512" s="46">
        <f t="shared" si="41"/>
        <v>600996.00000000012</v>
      </c>
      <c r="M512" s="67"/>
    </row>
    <row r="513" spans="2:15" x14ac:dyDescent="0.35">
      <c r="B513" s="174"/>
      <c r="C513" s="175"/>
      <c r="D513" s="176"/>
      <c r="E513" s="163"/>
      <c r="F513" s="163" t="s">
        <v>89</v>
      </c>
      <c r="G513" s="164" t="s">
        <v>440</v>
      </c>
      <c r="H513" s="177">
        <v>215.56799999999998</v>
      </c>
      <c r="I513" s="164" t="s">
        <v>87</v>
      </c>
      <c r="J513" s="50">
        <v>29000</v>
      </c>
      <c r="K513" s="56"/>
      <c r="L513" s="46">
        <f t="shared" si="41"/>
        <v>6251471.9999999991</v>
      </c>
      <c r="M513" s="67"/>
    </row>
    <row r="514" spans="2:15" x14ac:dyDescent="0.35">
      <c r="B514" s="174"/>
      <c r="C514" s="175"/>
      <c r="D514" s="176"/>
      <c r="E514" s="163"/>
      <c r="F514" s="163" t="s">
        <v>89</v>
      </c>
      <c r="G514" s="164" t="s">
        <v>441</v>
      </c>
      <c r="H514" s="177">
        <v>184.43039999999999</v>
      </c>
      <c r="I514" s="164" t="s">
        <v>87</v>
      </c>
      <c r="J514" s="50">
        <v>29000</v>
      </c>
      <c r="K514" s="56"/>
      <c r="L514" s="46">
        <f t="shared" si="41"/>
        <v>5348481.5999999996</v>
      </c>
      <c r="M514" s="67"/>
    </row>
    <row r="515" spans="2:15" x14ac:dyDescent="0.35">
      <c r="B515" s="174"/>
      <c r="C515" s="175"/>
      <c r="D515" s="176"/>
      <c r="E515" s="163"/>
      <c r="F515" s="163" t="s">
        <v>89</v>
      </c>
      <c r="G515" s="164" t="s">
        <v>442</v>
      </c>
      <c r="H515" s="177">
        <v>47.100000000000009</v>
      </c>
      <c r="I515" s="164" t="s">
        <v>87</v>
      </c>
      <c r="J515" s="50">
        <v>29000</v>
      </c>
      <c r="K515" s="56"/>
      <c r="L515" s="46">
        <f t="shared" si="41"/>
        <v>1365900.0000000002</v>
      </c>
      <c r="M515" s="67"/>
    </row>
    <row r="516" spans="2:15" x14ac:dyDescent="0.35">
      <c r="B516" s="174"/>
      <c r="C516" s="175"/>
      <c r="D516" s="176"/>
      <c r="E516" s="163"/>
      <c r="F516" s="163" t="s">
        <v>89</v>
      </c>
      <c r="G516" s="164" t="s">
        <v>443</v>
      </c>
      <c r="H516" s="177">
        <v>35.325000000000003</v>
      </c>
      <c r="I516" s="164" t="s">
        <v>87</v>
      </c>
      <c r="J516" s="50">
        <v>29000</v>
      </c>
      <c r="K516" s="56"/>
      <c r="L516" s="46">
        <f t="shared" si="41"/>
        <v>1024425.0000000001</v>
      </c>
      <c r="M516" s="67"/>
    </row>
    <row r="517" spans="2:15" x14ac:dyDescent="0.35">
      <c r="B517" s="174"/>
      <c r="C517" s="175"/>
      <c r="D517" s="176"/>
      <c r="E517" s="163"/>
      <c r="F517" s="163" t="s">
        <v>89</v>
      </c>
      <c r="G517" s="164" t="s">
        <v>444</v>
      </c>
      <c r="H517" s="177">
        <v>215.56799999999998</v>
      </c>
      <c r="I517" s="164" t="s">
        <v>87</v>
      </c>
      <c r="J517" s="50">
        <v>29000</v>
      </c>
      <c r="K517" s="56"/>
      <c r="L517" s="46">
        <f t="shared" si="41"/>
        <v>6251471.9999999991</v>
      </c>
      <c r="M517" s="67"/>
      <c r="N517" s="67"/>
      <c r="O517" s="83"/>
    </row>
    <row r="518" spans="2:15" x14ac:dyDescent="0.35">
      <c r="B518" s="174"/>
      <c r="C518" s="175"/>
      <c r="D518" s="176"/>
      <c r="E518" s="163"/>
      <c r="F518" s="163" t="s">
        <v>89</v>
      </c>
      <c r="G518" s="164" t="s">
        <v>445</v>
      </c>
      <c r="H518" s="177">
        <v>185.62799999999999</v>
      </c>
      <c r="I518" s="164" t="s">
        <v>87</v>
      </c>
      <c r="J518" s="50">
        <v>29000</v>
      </c>
      <c r="K518" s="56"/>
      <c r="L518" s="46">
        <f t="shared" si="41"/>
        <v>5383212</v>
      </c>
    </row>
    <row r="519" spans="2:15" x14ac:dyDescent="0.35">
      <c r="B519" s="174"/>
      <c r="C519" s="175"/>
      <c r="D519" s="176"/>
      <c r="E519" s="163"/>
      <c r="F519" s="163" t="s">
        <v>89</v>
      </c>
      <c r="G519" s="164" t="s">
        <v>446</v>
      </c>
      <c r="H519" s="177">
        <v>40.694400000000009</v>
      </c>
      <c r="I519" s="164" t="s">
        <v>87</v>
      </c>
      <c r="J519" s="50">
        <v>29000</v>
      </c>
      <c r="K519" s="56"/>
      <c r="L519" s="46">
        <f t="shared" si="41"/>
        <v>1180137.6000000003</v>
      </c>
    </row>
    <row r="520" spans="2:15" x14ac:dyDescent="0.35">
      <c r="B520" s="174"/>
      <c r="C520" s="175"/>
      <c r="D520" s="176"/>
      <c r="E520" s="163"/>
      <c r="F520" s="163" t="s">
        <v>89</v>
      </c>
      <c r="G520" s="164" t="s">
        <v>447</v>
      </c>
      <c r="H520" s="177">
        <v>19.593600000000002</v>
      </c>
      <c r="I520" s="164" t="s">
        <v>87</v>
      </c>
      <c r="J520" s="50">
        <v>29000</v>
      </c>
      <c r="K520" s="56"/>
      <c r="L520" s="46">
        <f t="shared" si="41"/>
        <v>568214.4</v>
      </c>
      <c r="M520" s="82"/>
    </row>
    <row r="521" spans="2:15" x14ac:dyDescent="0.35">
      <c r="B521" s="174"/>
      <c r="C521" s="175"/>
      <c r="D521" s="176"/>
      <c r="E521" s="163"/>
      <c r="F521" s="163" t="s">
        <v>89</v>
      </c>
      <c r="G521" s="164" t="s">
        <v>448</v>
      </c>
      <c r="H521" s="177">
        <v>33.912000000000006</v>
      </c>
      <c r="I521" s="164" t="s">
        <v>87</v>
      </c>
      <c r="J521" s="50">
        <v>29000</v>
      </c>
      <c r="K521" s="56"/>
      <c r="L521" s="46">
        <f t="shared" si="41"/>
        <v>983448.00000000023</v>
      </c>
      <c r="M521" s="82"/>
    </row>
    <row r="522" spans="2:15" x14ac:dyDescent="0.35">
      <c r="B522" s="174"/>
      <c r="C522" s="175"/>
      <c r="D522" s="176"/>
      <c r="E522" s="163"/>
      <c r="F522" s="163" t="s">
        <v>89</v>
      </c>
      <c r="G522" s="164" t="s">
        <v>449</v>
      </c>
      <c r="H522" s="177">
        <v>19.782000000000004</v>
      </c>
      <c r="I522" s="164" t="s">
        <v>87</v>
      </c>
      <c r="J522" s="50">
        <v>29000</v>
      </c>
      <c r="K522" s="56"/>
      <c r="L522" s="46">
        <f t="shared" si="41"/>
        <v>573678.00000000012</v>
      </c>
      <c r="M522" s="82"/>
      <c r="N522" s="82"/>
      <c r="O522" s="83"/>
    </row>
    <row r="523" spans="2:15" x14ac:dyDescent="0.35">
      <c r="B523" s="174"/>
      <c r="C523" s="175"/>
      <c r="D523" s="176"/>
      <c r="E523" s="163"/>
      <c r="F523" s="163" t="s">
        <v>89</v>
      </c>
      <c r="G523" s="164" t="s">
        <v>450</v>
      </c>
      <c r="H523" s="177">
        <v>17.662500000000001</v>
      </c>
      <c r="I523" s="164" t="s">
        <v>87</v>
      </c>
      <c r="J523" s="50">
        <v>29000</v>
      </c>
      <c r="K523" s="56"/>
      <c r="L523" s="46">
        <f t="shared" si="41"/>
        <v>512212.50000000006</v>
      </c>
    </row>
    <row r="524" spans="2:15" x14ac:dyDescent="0.35">
      <c r="B524" s="174"/>
      <c r="C524" s="175"/>
      <c r="D524" s="176"/>
      <c r="E524" s="163"/>
      <c r="F524" s="163" t="s">
        <v>89</v>
      </c>
      <c r="G524" s="164" t="s">
        <v>451</v>
      </c>
      <c r="H524" s="177">
        <v>215.56799999999998</v>
      </c>
      <c r="I524" s="164" t="s">
        <v>87</v>
      </c>
      <c r="J524" s="50">
        <v>29000</v>
      </c>
      <c r="K524" s="56"/>
      <c r="L524" s="46">
        <f t="shared" si="41"/>
        <v>6251471.9999999991</v>
      </c>
      <c r="M524" s="82"/>
    </row>
    <row r="525" spans="2:15" x14ac:dyDescent="0.35">
      <c r="B525" s="174"/>
      <c r="C525" s="175"/>
      <c r="D525" s="176"/>
      <c r="E525" s="163"/>
      <c r="F525" s="163" t="s">
        <v>89</v>
      </c>
      <c r="G525" s="164" t="s">
        <v>452</v>
      </c>
      <c r="H525" s="177">
        <v>21.195</v>
      </c>
      <c r="I525" s="164" t="s">
        <v>87</v>
      </c>
      <c r="J525" s="50">
        <v>29000</v>
      </c>
      <c r="K525" s="56"/>
      <c r="L525" s="46">
        <f t="shared" si="41"/>
        <v>614655</v>
      </c>
      <c r="M525" s="82"/>
    </row>
    <row r="526" spans="2:15" x14ac:dyDescent="0.35">
      <c r="B526" s="174"/>
      <c r="C526" s="175"/>
      <c r="D526" s="176"/>
      <c r="E526" s="163"/>
      <c r="F526" s="163" t="s">
        <v>89</v>
      </c>
      <c r="G526" s="164" t="s">
        <v>453</v>
      </c>
      <c r="H526" s="177">
        <v>215.56799999999998</v>
      </c>
      <c r="I526" s="164" t="s">
        <v>87</v>
      </c>
      <c r="J526" s="50">
        <v>29000</v>
      </c>
      <c r="K526" s="56"/>
      <c r="L526" s="46">
        <f t="shared" si="41"/>
        <v>6251471.9999999991</v>
      </c>
      <c r="M526" s="82"/>
      <c r="N526" s="82"/>
      <c r="O526" s="83"/>
    </row>
    <row r="527" spans="2:15" x14ac:dyDescent="0.35">
      <c r="B527" s="174"/>
      <c r="C527" s="175"/>
      <c r="D527" s="176"/>
      <c r="E527" s="163"/>
      <c r="F527" s="163" t="s">
        <v>89</v>
      </c>
      <c r="G527" s="164" t="s">
        <v>454</v>
      </c>
      <c r="H527" s="177">
        <v>17.662500000000001</v>
      </c>
      <c r="I527" s="164" t="s">
        <v>87</v>
      </c>
      <c r="J527" s="50">
        <v>29000</v>
      </c>
      <c r="K527" s="56"/>
      <c r="L527" s="46">
        <f t="shared" si="41"/>
        <v>512212.50000000006</v>
      </c>
    </row>
    <row r="528" spans="2:15" x14ac:dyDescent="0.35">
      <c r="B528" s="174"/>
      <c r="C528" s="175"/>
      <c r="D528" s="176"/>
      <c r="E528" s="163"/>
      <c r="F528" s="163" t="s">
        <v>89</v>
      </c>
      <c r="G528" s="164" t="s">
        <v>455</v>
      </c>
      <c r="H528" s="177">
        <v>215.56799999999998</v>
      </c>
      <c r="I528" s="164" t="s">
        <v>87</v>
      </c>
      <c r="J528" s="50">
        <v>29000</v>
      </c>
      <c r="K528" s="56"/>
      <c r="L528" s="46">
        <f t="shared" si="41"/>
        <v>6251471.9999999991</v>
      </c>
    </row>
    <row r="529" spans="2:13" x14ac:dyDescent="0.35">
      <c r="B529" s="174"/>
      <c r="C529" s="175"/>
      <c r="D529" s="176"/>
      <c r="E529" s="163"/>
      <c r="F529" s="163" t="s">
        <v>89</v>
      </c>
      <c r="G529" s="164" t="s">
        <v>456</v>
      </c>
      <c r="H529" s="177">
        <v>183.2328</v>
      </c>
      <c r="I529" s="164" t="s">
        <v>87</v>
      </c>
      <c r="J529" s="50">
        <v>29000</v>
      </c>
      <c r="K529" s="56"/>
      <c r="L529" s="46">
        <f t="shared" si="41"/>
        <v>5313751.2</v>
      </c>
    </row>
    <row r="530" spans="2:13" x14ac:dyDescent="0.35">
      <c r="B530" s="174"/>
      <c r="C530" s="175"/>
      <c r="D530" s="176"/>
      <c r="E530" s="163"/>
      <c r="F530" s="163" t="s">
        <v>89</v>
      </c>
      <c r="G530" s="164" t="s">
        <v>457</v>
      </c>
      <c r="H530" s="177">
        <v>1.8839999999999997</v>
      </c>
      <c r="I530" s="164" t="s">
        <v>87</v>
      </c>
      <c r="J530" s="50">
        <v>29000</v>
      </c>
      <c r="K530" s="56"/>
      <c r="L530" s="46">
        <f t="shared" si="41"/>
        <v>54635.999999999993</v>
      </c>
    </row>
    <row r="531" spans="2:13" x14ac:dyDescent="0.35">
      <c r="B531" s="174"/>
      <c r="C531" s="175"/>
      <c r="D531" s="176"/>
      <c r="E531" s="163"/>
      <c r="F531" s="163" t="s">
        <v>89</v>
      </c>
      <c r="G531" s="164" t="s">
        <v>458</v>
      </c>
      <c r="H531" s="177">
        <v>87.606000000000023</v>
      </c>
      <c r="I531" s="164" t="s">
        <v>87</v>
      </c>
      <c r="J531" s="50">
        <v>29000</v>
      </c>
      <c r="K531" s="56"/>
      <c r="L531" s="46">
        <f t="shared" si="41"/>
        <v>2540574.0000000005</v>
      </c>
    </row>
    <row r="532" spans="2:13" x14ac:dyDescent="0.35">
      <c r="B532" s="174"/>
      <c r="C532" s="175"/>
      <c r="D532" s="176"/>
      <c r="E532" s="163"/>
      <c r="F532" s="163" t="s">
        <v>89</v>
      </c>
      <c r="G532" s="164" t="s">
        <v>459</v>
      </c>
      <c r="H532" s="177">
        <v>5.652000000000001</v>
      </c>
      <c r="I532" s="164" t="s">
        <v>87</v>
      </c>
      <c r="J532" s="50">
        <v>29000</v>
      </c>
      <c r="K532" s="56"/>
      <c r="L532" s="46">
        <f t="shared" si="41"/>
        <v>163908.00000000003</v>
      </c>
      <c r="M532" s="67"/>
    </row>
    <row r="533" spans="2:13" x14ac:dyDescent="0.35">
      <c r="B533" s="174"/>
      <c r="C533" s="175"/>
      <c r="D533" s="176"/>
      <c r="E533" s="163"/>
      <c r="F533" s="163" t="s">
        <v>89</v>
      </c>
      <c r="G533" s="164" t="s">
        <v>460</v>
      </c>
      <c r="H533" s="177">
        <v>14.13</v>
      </c>
      <c r="I533" s="164" t="s">
        <v>87</v>
      </c>
      <c r="J533" s="50">
        <v>29000</v>
      </c>
      <c r="K533" s="56"/>
      <c r="L533" s="46">
        <f t="shared" si="41"/>
        <v>409770</v>
      </c>
    </row>
    <row r="534" spans="2:13" x14ac:dyDescent="0.35">
      <c r="B534" s="174"/>
      <c r="C534" s="175"/>
      <c r="D534" s="176"/>
      <c r="E534" s="163"/>
      <c r="F534" s="163" t="s">
        <v>89</v>
      </c>
      <c r="G534" s="164" t="s">
        <v>461</v>
      </c>
      <c r="H534" s="177">
        <v>215.56799999999998</v>
      </c>
      <c r="I534" s="164" t="s">
        <v>87</v>
      </c>
      <c r="J534" s="50">
        <v>29000</v>
      </c>
      <c r="K534" s="56"/>
      <c r="L534" s="46">
        <f t="shared" si="41"/>
        <v>6251471.9999999991</v>
      </c>
    </row>
    <row r="535" spans="2:13" x14ac:dyDescent="0.35">
      <c r="B535" s="174"/>
      <c r="C535" s="175"/>
      <c r="D535" s="176"/>
      <c r="E535" s="163"/>
      <c r="F535" s="163" t="s">
        <v>89</v>
      </c>
      <c r="G535" s="164" t="s">
        <v>462</v>
      </c>
      <c r="H535" s="177">
        <v>1.8839999999999997</v>
      </c>
      <c r="I535" s="164" t="s">
        <v>87</v>
      </c>
      <c r="J535" s="50">
        <v>29000</v>
      </c>
      <c r="K535" s="56"/>
      <c r="L535" s="46">
        <f t="shared" si="41"/>
        <v>54635.999999999993</v>
      </c>
    </row>
    <row r="536" spans="2:13" x14ac:dyDescent="0.35">
      <c r="B536" s="174"/>
      <c r="C536" s="175"/>
      <c r="D536" s="176"/>
      <c r="E536" s="163"/>
      <c r="F536" s="163" t="s">
        <v>89</v>
      </c>
      <c r="G536" s="164" t="s">
        <v>463</v>
      </c>
      <c r="H536" s="177">
        <v>35.325000000000003</v>
      </c>
      <c r="I536" s="164" t="s">
        <v>87</v>
      </c>
      <c r="J536" s="50">
        <v>29000</v>
      </c>
      <c r="K536" s="56"/>
      <c r="L536" s="46">
        <f t="shared" si="41"/>
        <v>1024425.0000000001</v>
      </c>
      <c r="M536" s="67"/>
    </row>
    <row r="537" spans="2:13" x14ac:dyDescent="0.35">
      <c r="B537" s="174"/>
      <c r="C537" s="175"/>
      <c r="D537" s="176"/>
      <c r="E537" s="163"/>
      <c r="F537" s="163" t="s">
        <v>89</v>
      </c>
      <c r="G537" s="164" t="s">
        <v>464</v>
      </c>
      <c r="H537" s="177">
        <v>215.56799999999998</v>
      </c>
      <c r="I537" s="164" t="s">
        <v>87</v>
      </c>
      <c r="J537" s="50">
        <v>29000</v>
      </c>
      <c r="K537" s="56"/>
      <c r="L537" s="46">
        <f t="shared" si="41"/>
        <v>6251471.9999999991</v>
      </c>
    </row>
    <row r="538" spans="2:13" x14ac:dyDescent="0.35">
      <c r="B538" s="174"/>
      <c r="C538" s="175"/>
      <c r="D538" s="176"/>
      <c r="E538" s="163"/>
      <c r="F538" s="163" t="s">
        <v>89</v>
      </c>
      <c r="G538" s="164" t="s">
        <v>465</v>
      </c>
      <c r="H538" s="177">
        <v>185.62799999999999</v>
      </c>
      <c r="I538" s="164" t="s">
        <v>87</v>
      </c>
      <c r="J538" s="50">
        <v>29000</v>
      </c>
      <c r="K538" s="56"/>
      <c r="L538" s="46">
        <f t="shared" si="41"/>
        <v>5383212</v>
      </c>
    </row>
    <row r="539" spans="2:13" x14ac:dyDescent="0.35">
      <c r="B539" s="174"/>
      <c r="C539" s="175"/>
      <c r="D539" s="176"/>
      <c r="E539" s="163"/>
      <c r="F539" s="163" t="s">
        <v>89</v>
      </c>
      <c r="G539" s="164" t="s">
        <v>466</v>
      </c>
      <c r="H539" s="177">
        <v>59.346000000000011</v>
      </c>
      <c r="I539" s="164" t="s">
        <v>87</v>
      </c>
      <c r="J539" s="50">
        <v>29000</v>
      </c>
      <c r="K539" s="56"/>
      <c r="L539" s="46">
        <f t="shared" si="41"/>
        <v>1721034.0000000002</v>
      </c>
    </row>
    <row r="540" spans="2:13" x14ac:dyDescent="0.35">
      <c r="B540" s="47"/>
      <c r="C540" s="48"/>
      <c r="D540" s="24"/>
      <c r="G540" s="22"/>
      <c r="I540" s="22"/>
      <c r="J540" s="50"/>
      <c r="K540" s="29"/>
      <c r="L540" s="52"/>
    </row>
    <row r="541" spans="2:13" x14ac:dyDescent="0.35">
      <c r="B541" s="47"/>
      <c r="C541" s="48"/>
      <c r="D541" s="24"/>
      <c r="G541" s="22"/>
      <c r="I541" s="22"/>
      <c r="J541" s="50"/>
      <c r="K541" s="29"/>
      <c r="L541" s="52"/>
    </row>
    <row r="542" spans="2:13" x14ac:dyDescent="0.35">
      <c r="B542" s="8"/>
      <c r="C542" s="9"/>
      <c r="D542" s="10"/>
      <c r="E542" s="4"/>
      <c r="F542" s="4"/>
      <c r="G542" s="4"/>
      <c r="H542" s="1"/>
      <c r="I542" s="1"/>
      <c r="J542" s="11" t="s">
        <v>8</v>
      </c>
      <c r="K542" s="7">
        <f>SUM(K489:K541)</f>
        <v>0</v>
      </c>
      <c r="L542" s="7">
        <f>SUM(L489:L541)</f>
        <v>130882225.8</v>
      </c>
    </row>
    <row r="543" spans="2:13" x14ac:dyDescent="0.35">
      <c r="B543" s="8"/>
      <c r="C543" s="9"/>
      <c r="D543" s="9"/>
      <c r="E543" s="4"/>
      <c r="F543" s="4"/>
      <c r="G543" s="4"/>
      <c r="H543" s="1"/>
      <c r="I543" s="1"/>
      <c r="J543" s="11"/>
      <c r="K543" s="35" t="s">
        <v>22</v>
      </c>
      <c r="L543" s="36" t="s">
        <v>23</v>
      </c>
    </row>
    <row r="544" spans="2:13" x14ac:dyDescent="0.35">
      <c r="B544" s="3" t="s">
        <v>9</v>
      </c>
      <c r="C544" s="4"/>
      <c r="D544" s="4"/>
      <c r="E544" s="4"/>
      <c r="F544" s="4"/>
      <c r="G544" s="4"/>
      <c r="H544" s="1"/>
      <c r="I544" s="1"/>
      <c r="J544" s="12"/>
      <c r="K544" s="12"/>
      <c r="L544" s="13"/>
    </row>
    <row r="545" spans="2:12" x14ac:dyDescent="0.35">
      <c r="B545" s="37"/>
      <c r="C545" s="1"/>
      <c r="D545" s="1"/>
      <c r="E545" s="38"/>
      <c r="F545" s="38"/>
      <c r="G545" s="38"/>
      <c r="H545" s="1"/>
      <c r="I545" s="1"/>
      <c r="J545" s="1"/>
      <c r="K545" s="1"/>
      <c r="L545" s="19"/>
    </row>
    <row r="546" spans="2:12" x14ac:dyDescent="0.35">
      <c r="B546" s="28" t="s">
        <v>6</v>
      </c>
      <c r="C546" s="27"/>
      <c r="D546" s="27"/>
      <c r="E546" s="26"/>
      <c r="F546" s="26"/>
      <c r="G546" s="5"/>
      <c r="K546" s="284" t="s">
        <v>1600</v>
      </c>
      <c r="L546" s="285"/>
    </row>
    <row r="547" spans="2:12" x14ac:dyDescent="0.35">
      <c r="B547" s="28">
        <v>1</v>
      </c>
      <c r="C547" s="27"/>
      <c r="D547" s="27"/>
      <c r="E547" s="26" t="s">
        <v>7</v>
      </c>
      <c r="F547" s="26"/>
      <c r="G547" s="5"/>
      <c r="K547" s="284" t="s">
        <v>28</v>
      </c>
      <c r="L547" s="285"/>
    </row>
    <row r="548" spans="2:12" x14ac:dyDescent="0.35">
      <c r="B548" s="39"/>
      <c r="C548" s="27"/>
      <c r="D548" s="27"/>
      <c r="E548" s="26"/>
      <c r="F548" s="26"/>
      <c r="G548" s="5"/>
      <c r="J548" s="25"/>
      <c r="K548" s="25"/>
      <c r="L548" s="24"/>
    </row>
    <row r="549" spans="2:12" x14ac:dyDescent="0.35">
      <c r="B549" s="28"/>
      <c r="C549" s="27"/>
      <c r="D549" s="27"/>
      <c r="E549" s="26"/>
      <c r="F549" s="26"/>
      <c r="G549" s="5"/>
      <c r="L549" s="22"/>
    </row>
    <row r="550" spans="2:12" x14ac:dyDescent="0.35">
      <c r="B550" s="45"/>
      <c r="E550" s="5"/>
      <c r="F550" s="5"/>
      <c r="G550" s="5"/>
      <c r="L550" s="22"/>
    </row>
    <row r="551" spans="2:12" x14ac:dyDescent="0.35">
      <c r="B551" s="45"/>
      <c r="E551" s="5"/>
      <c r="F551" s="5"/>
      <c r="G551" s="5"/>
      <c r="L551" s="22"/>
    </row>
    <row r="552" spans="2:12" x14ac:dyDescent="0.35">
      <c r="B552" s="45"/>
      <c r="E552" s="5"/>
      <c r="F552" s="5"/>
      <c r="G552" s="5"/>
      <c r="L552" s="22"/>
    </row>
    <row r="553" spans="2:12" x14ac:dyDescent="0.35">
      <c r="B553" s="45"/>
      <c r="E553" s="5"/>
      <c r="F553" s="5"/>
      <c r="G553" s="5"/>
      <c r="J553" s="40"/>
      <c r="K553" s="286" t="s">
        <v>36</v>
      </c>
      <c r="L553" s="287"/>
    </row>
    <row r="554" spans="2:12" x14ac:dyDescent="0.35">
      <c r="B554" s="45"/>
      <c r="K554" s="288" t="s">
        <v>37</v>
      </c>
      <c r="L554" s="289"/>
    </row>
    <row r="555" spans="2:12" x14ac:dyDescent="0.35">
      <c r="B555" s="290"/>
      <c r="C555" s="291"/>
      <c r="D555" s="291"/>
      <c r="E555" s="41"/>
      <c r="F555" s="41"/>
      <c r="G555" s="41"/>
      <c r="H555" s="2"/>
      <c r="I555" s="2"/>
      <c r="J555" s="2"/>
      <c r="K555" s="2"/>
      <c r="L555" s="21"/>
    </row>
    <row r="556" spans="2:12" x14ac:dyDescent="0.35">
      <c r="B556" s="47"/>
      <c r="C556" s="48"/>
      <c r="D556" s="49"/>
      <c r="G556" s="22"/>
      <c r="H556" s="1"/>
      <c r="I556" s="1"/>
      <c r="J556" s="43"/>
      <c r="K556" s="30"/>
      <c r="L556" s="44"/>
    </row>
    <row r="557" spans="2:12" x14ac:dyDescent="0.35">
      <c r="B557" s="174"/>
      <c r="C557" s="175"/>
      <c r="D557" s="176"/>
      <c r="E557" s="163"/>
      <c r="F557" s="163" t="s">
        <v>89</v>
      </c>
      <c r="G557" s="164" t="s">
        <v>467</v>
      </c>
      <c r="H557" s="177">
        <v>39.940800000000003</v>
      </c>
      <c r="I557" s="164" t="s">
        <v>87</v>
      </c>
      <c r="J557" s="50">
        <v>29000</v>
      </c>
      <c r="K557" s="56"/>
      <c r="L557" s="46">
        <f t="shared" ref="L557:L606" si="42">J557*H557</f>
        <v>1158283.2000000002</v>
      </c>
    </row>
    <row r="558" spans="2:12" x14ac:dyDescent="0.35">
      <c r="B558" s="174"/>
      <c r="C558" s="175"/>
      <c r="D558" s="176"/>
      <c r="E558" s="163"/>
      <c r="F558" s="163" t="s">
        <v>89</v>
      </c>
      <c r="G558" s="164" t="s">
        <v>468</v>
      </c>
      <c r="H558" s="177">
        <v>17.662500000000001</v>
      </c>
      <c r="I558" s="164" t="s">
        <v>87</v>
      </c>
      <c r="J558" s="50">
        <v>29000</v>
      </c>
      <c r="K558" s="56"/>
      <c r="L558" s="46">
        <f t="shared" si="42"/>
        <v>512212.50000000006</v>
      </c>
    </row>
    <row r="559" spans="2:12" x14ac:dyDescent="0.35">
      <c r="B559" s="174"/>
      <c r="C559" s="175"/>
      <c r="D559" s="176"/>
      <c r="E559" s="163"/>
      <c r="F559" s="163" t="s">
        <v>89</v>
      </c>
      <c r="G559" s="164" t="s">
        <v>469</v>
      </c>
      <c r="H559" s="177">
        <v>215.56799999999998</v>
      </c>
      <c r="I559" s="164" t="s">
        <v>87</v>
      </c>
      <c r="J559" s="50">
        <v>29000</v>
      </c>
      <c r="K559" s="56"/>
      <c r="L559" s="46">
        <f t="shared" si="42"/>
        <v>6251471.9999999991</v>
      </c>
    </row>
    <row r="560" spans="2:12" x14ac:dyDescent="0.35">
      <c r="B560" s="174"/>
      <c r="C560" s="175"/>
      <c r="D560" s="176"/>
      <c r="E560" s="163"/>
      <c r="F560" s="163" t="s">
        <v>89</v>
      </c>
      <c r="G560" s="164" t="s">
        <v>470</v>
      </c>
      <c r="H560" s="177">
        <v>185.62799999999999</v>
      </c>
      <c r="I560" s="164" t="s">
        <v>87</v>
      </c>
      <c r="J560" s="50">
        <v>29000</v>
      </c>
      <c r="K560" s="56"/>
      <c r="L560" s="46">
        <f t="shared" si="42"/>
        <v>5383212</v>
      </c>
    </row>
    <row r="561" spans="2:13" x14ac:dyDescent="0.35">
      <c r="B561" s="174"/>
      <c r="C561" s="175"/>
      <c r="D561" s="176"/>
      <c r="E561" s="163"/>
      <c r="F561" s="163" t="s">
        <v>89</v>
      </c>
      <c r="G561" s="164" t="s">
        <v>471</v>
      </c>
      <c r="H561" s="177">
        <v>35.325000000000003</v>
      </c>
      <c r="I561" s="164" t="s">
        <v>87</v>
      </c>
      <c r="J561" s="50">
        <v>29000</v>
      </c>
      <c r="K561" s="56"/>
      <c r="L561" s="46">
        <f t="shared" si="42"/>
        <v>1024425.0000000001</v>
      </c>
    </row>
    <row r="562" spans="2:13" x14ac:dyDescent="0.35">
      <c r="B562" s="174"/>
      <c r="C562" s="175"/>
      <c r="D562" s="176"/>
      <c r="E562" s="163"/>
      <c r="F562" s="163" t="s">
        <v>89</v>
      </c>
      <c r="G562" s="164" t="s">
        <v>472</v>
      </c>
      <c r="H562" s="177">
        <v>215.56799999999998</v>
      </c>
      <c r="I562" s="164" t="s">
        <v>87</v>
      </c>
      <c r="J562" s="50">
        <v>29000</v>
      </c>
      <c r="K562" s="56"/>
      <c r="L562" s="46">
        <f t="shared" si="42"/>
        <v>6251471.9999999991</v>
      </c>
    </row>
    <row r="563" spans="2:13" x14ac:dyDescent="0.35">
      <c r="B563" s="174"/>
      <c r="C563" s="175"/>
      <c r="D563" s="176"/>
      <c r="E563" s="163"/>
      <c r="F563" s="163" t="s">
        <v>89</v>
      </c>
      <c r="G563" s="164" t="s">
        <v>473</v>
      </c>
      <c r="H563" s="177">
        <v>185.62799999999999</v>
      </c>
      <c r="I563" s="164" t="s">
        <v>87</v>
      </c>
      <c r="J563" s="50">
        <v>29000</v>
      </c>
      <c r="K563" s="56"/>
      <c r="L563" s="46">
        <f t="shared" si="42"/>
        <v>5383212</v>
      </c>
    </row>
    <row r="564" spans="2:13" x14ac:dyDescent="0.35">
      <c r="B564" s="174"/>
      <c r="C564" s="175"/>
      <c r="D564" s="176"/>
      <c r="E564" s="163"/>
      <c r="F564" s="163" t="s">
        <v>89</v>
      </c>
      <c r="G564" s="164" t="s">
        <v>474</v>
      </c>
      <c r="H564" s="177">
        <v>33.912000000000006</v>
      </c>
      <c r="I564" s="164" t="s">
        <v>87</v>
      </c>
      <c r="J564" s="50">
        <v>29000</v>
      </c>
      <c r="K564" s="56"/>
      <c r="L564" s="46">
        <f t="shared" si="42"/>
        <v>983448.00000000023</v>
      </c>
    </row>
    <row r="565" spans="2:13" x14ac:dyDescent="0.35">
      <c r="B565" s="174"/>
      <c r="C565" s="175"/>
      <c r="D565" s="176"/>
      <c r="E565" s="163"/>
      <c r="F565" s="163" t="s">
        <v>89</v>
      </c>
      <c r="G565" s="164" t="s">
        <v>475</v>
      </c>
      <c r="H565" s="177">
        <v>14.506800000000002</v>
      </c>
      <c r="I565" s="164" t="s">
        <v>87</v>
      </c>
      <c r="J565" s="50">
        <v>29000</v>
      </c>
      <c r="K565" s="56"/>
      <c r="L565" s="46">
        <f t="shared" si="42"/>
        <v>420697.20000000007</v>
      </c>
      <c r="M565" s="67"/>
    </row>
    <row r="566" spans="2:13" x14ac:dyDescent="0.35">
      <c r="B566" s="174"/>
      <c r="C566" s="175"/>
      <c r="D566" s="176"/>
      <c r="E566" s="163"/>
      <c r="F566" s="163" t="s">
        <v>89</v>
      </c>
      <c r="G566" s="164" t="s">
        <v>476</v>
      </c>
      <c r="H566" s="177">
        <v>28.26</v>
      </c>
      <c r="I566" s="164" t="s">
        <v>87</v>
      </c>
      <c r="J566" s="50">
        <v>29000</v>
      </c>
      <c r="K566" s="56"/>
      <c r="L566" s="46">
        <f t="shared" si="42"/>
        <v>819540</v>
      </c>
    </row>
    <row r="567" spans="2:13" x14ac:dyDescent="0.35">
      <c r="B567" s="174"/>
      <c r="C567" s="175"/>
      <c r="D567" s="176"/>
      <c r="E567" s="163"/>
      <c r="F567" s="163" t="s">
        <v>89</v>
      </c>
      <c r="G567" s="164" t="s">
        <v>477</v>
      </c>
      <c r="H567" s="177">
        <v>215.56799999999998</v>
      </c>
      <c r="I567" s="164" t="s">
        <v>87</v>
      </c>
      <c r="J567" s="50">
        <v>29000</v>
      </c>
      <c r="K567" s="56"/>
      <c r="L567" s="46">
        <f t="shared" si="42"/>
        <v>6251471.9999999991</v>
      </c>
    </row>
    <row r="568" spans="2:13" x14ac:dyDescent="0.35">
      <c r="B568" s="174"/>
      <c r="C568" s="175"/>
      <c r="D568" s="176"/>
      <c r="E568" s="163"/>
      <c r="F568" s="163" t="s">
        <v>89</v>
      </c>
      <c r="G568" s="164" t="s">
        <v>478</v>
      </c>
      <c r="H568" s="177">
        <v>185.62799999999999</v>
      </c>
      <c r="I568" s="164" t="s">
        <v>87</v>
      </c>
      <c r="J568" s="50">
        <v>29000</v>
      </c>
      <c r="K568" s="56"/>
      <c r="L568" s="46">
        <f t="shared" si="42"/>
        <v>5383212</v>
      </c>
    </row>
    <row r="569" spans="2:13" x14ac:dyDescent="0.35">
      <c r="B569" s="174"/>
      <c r="C569" s="175"/>
      <c r="D569" s="176"/>
      <c r="E569" s="163"/>
      <c r="F569" s="163" t="s">
        <v>89</v>
      </c>
      <c r="G569" s="164" t="s">
        <v>479</v>
      </c>
      <c r="H569" s="177">
        <v>4.4839200000000003</v>
      </c>
      <c r="I569" s="164" t="s">
        <v>87</v>
      </c>
      <c r="J569" s="50">
        <v>29000</v>
      </c>
      <c r="K569" s="56"/>
      <c r="L569" s="46">
        <f t="shared" si="42"/>
        <v>130033.68000000001</v>
      </c>
    </row>
    <row r="570" spans="2:13" x14ac:dyDescent="0.35">
      <c r="B570" s="174"/>
      <c r="C570" s="175"/>
      <c r="D570" s="176"/>
      <c r="E570" s="163"/>
      <c r="F570" s="163" t="s">
        <v>89</v>
      </c>
      <c r="G570" s="164" t="s">
        <v>480</v>
      </c>
      <c r="H570" s="177">
        <v>28.260000000000005</v>
      </c>
      <c r="I570" s="164" t="s">
        <v>87</v>
      </c>
      <c r="J570" s="50">
        <v>29000</v>
      </c>
      <c r="K570" s="56"/>
      <c r="L570" s="46">
        <f t="shared" si="42"/>
        <v>819540.00000000012</v>
      </c>
    </row>
    <row r="571" spans="2:13" x14ac:dyDescent="0.35">
      <c r="B571" s="174"/>
      <c r="C571" s="175"/>
      <c r="D571" s="176"/>
      <c r="E571" s="163"/>
      <c r="F571" s="163" t="s">
        <v>89</v>
      </c>
      <c r="G571" s="164" t="s">
        <v>481</v>
      </c>
      <c r="H571" s="177">
        <v>17.521200000000004</v>
      </c>
      <c r="I571" s="164" t="s">
        <v>87</v>
      </c>
      <c r="J571" s="50">
        <v>29000</v>
      </c>
      <c r="K571" s="56"/>
      <c r="L571" s="46">
        <f t="shared" si="42"/>
        <v>508114.8000000001</v>
      </c>
    </row>
    <row r="572" spans="2:13" x14ac:dyDescent="0.35">
      <c r="B572" s="174"/>
      <c r="C572" s="175"/>
      <c r="D572" s="176"/>
      <c r="E572" s="163"/>
      <c r="F572" s="163" t="s">
        <v>89</v>
      </c>
      <c r="G572" s="164" t="s">
        <v>482</v>
      </c>
      <c r="H572" s="177">
        <v>16.014000000000003</v>
      </c>
      <c r="I572" s="164" t="s">
        <v>87</v>
      </c>
      <c r="J572" s="50">
        <v>29000</v>
      </c>
      <c r="K572" s="56"/>
      <c r="L572" s="46">
        <f t="shared" si="42"/>
        <v>464406.00000000006</v>
      </c>
    </row>
    <row r="573" spans="2:13" x14ac:dyDescent="0.35">
      <c r="B573" s="174"/>
      <c r="C573" s="175"/>
      <c r="D573" s="176"/>
      <c r="E573" s="163"/>
      <c r="F573" s="163" t="s">
        <v>89</v>
      </c>
      <c r="G573" s="164" t="s">
        <v>483</v>
      </c>
      <c r="H573" s="177">
        <v>28.26</v>
      </c>
      <c r="I573" s="164" t="s">
        <v>87</v>
      </c>
      <c r="J573" s="50">
        <v>29000</v>
      </c>
      <c r="K573" s="56"/>
      <c r="L573" s="46">
        <f t="shared" si="42"/>
        <v>819540</v>
      </c>
    </row>
    <row r="574" spans="2:13" x14ac:dyDescent="0.35">
      <c r="B574" s="174"/>
      <c r="C574" s="175"/>
      <c r="D574" s="176"/>
      <c r="E574" s="163"/>
      <c r="F574" s="163" t="s">
        <v>89</v>
      </c>
      <c r="G574" s="164" t="s">
        <v>484</v>
      </c>
      <c r="H574" s="177">
        <v>68.954400000000007</v>
      </c>
      <c r="I574" s="164" t="s">
        <v>87</v>
      </c>
      <c r="J574" s="50">
        <v>29000</v>
      </c>
      <c r="K574" s="56"/>
      <c r="L574" s="46">
        <f t="shared" si="42"/>
        <v>1999677.6</v>
      </c>
    </row>
    <row r="575" spans="2:13" x14ac:dyDescent="0.35">
      <c r="B575" s="174"/>
      <c r="C575" s="175"/>
      <c r="D575" s="176"/>
      <c r="E575" s="163"/>
      <c r="F575" s="163" t="s">
        <v>89</v>
      </c>
      <c r="G575" s="164" t="s">
        <v>485</v>
      </c>
      <c r="H575" s="177">
        <v>21.195</v>
      </c>
      <c r="I575" s="164" t="s">
        <v>87</v>
      </c>
      <c r="J575" s="50">
        <v>29000</v>
      </c>
      <c r="K575" s="56"/>
      <c r="L575" s="46">
        <f t="shared" si="42"/>
        <v>614655</v>
      </c>
    </row>
    <row r="576" spans="2:13" x14ac:dyDescent="0.35">
      <c r="B576" s="174"/>
      <c r="C576" s="175"/>
      <c r="D576" s="176"/>
      <c r="E576" s="163"/>
      <c r="F576" s="163" t="s">
        <v>89</v>
      </c>
      <c r="G576" s="164" t="s">
        <v>486</v>
      </c>
      <c r="H576" s="177">
        <v>215.56799999999998</v>
      </c>
      <c r="I576" s="164" t="s">
        <v>87</v>
      </c>
      <c r="J576" s="50">
        <v>29000</v>
      </c>
      <c r="K576" s="56"/>
      <c r="L576" s="46">
        <f t="shared" si="42"/>
        <v>6251471.9999999991</v>
      </c>
    </row>
    <row r="577" spans="2:12" x14ac:dyDescent="0.35">
      <c r="B577" s="174"/>
      <c r="C577" s="175"/>
      <c r="D577" s="176"/>
      <c r="E577" s="163"/>
      <c r="F577" s="163" t="s">
        <v>89</v>
      </c>
      <c r="G577" s="164" t="s">
        <v>487</v>
      </c>
      <c r="H577" s="177">
        <v>165.79200000000003</v>
      </c>
      <c r="I577" s="164" t="s">
        <v>87</v>
      </c>
      <c r="J577" s="50">
        <v>29000</v>
      </c>
      <c r="K577" s="56"/>
      <c r="L577" s="46">
        <f t="shared" si="42"/>
        <v>4807968.0000000009</v>
      </c>
    </row>
    <row r="578" spans="2:12" x14ac:dyDescent="0.35">
      <c r="B578" s="174"/>
      <c r="C578" s="175"/>
      <c r="D578" s="176"/>
      <c r="E578" s="163"/>
      <c r="F578" s="163" t="s">
        <v>89</v>
      </c>
      <c r="G578" s="164" t="s">
        <v>488</v>
      </c>
      <c r="H578" s="177">
        <v>10.362000000000002</v>
      </c>
      <c r="I578" s="164" t="s">
        <v>87</v>
      </c>
      <c r="J578" s="50">
        <v>29000</v>
      </c>
      <c r="K578" s="56"/>
      <c r="L578" s="46">
        <f t="shared" si="42"/>
        <v>300498.00000000006</v>
      </c>
    </row>
    <row r="579" spans="2:12" x14ac:dyDescent="0.35">
      <c r="B579" s="174"/>
      <c r="C579" s="175"/>
      <c r="D579" s="176"/>
      <c r="E579" s="163"/>
      <c r="F579" s="163" t="s">
        <v>89</v>
      </c>
      <c r="G579" s="164" t="s">
        <v>489</v>
      </c>
      <c r="H579" s="177">
        <v>17.662500000000001</v>
      </c>
      <c r="I579" s="164" t="s">
        <v>87</v>
      </c>
      <c r="J579" s="50">
        <v>29000</v>
      </c>
      <c r="K579" s="56"/>
      <c r="L579" s="46">
        <f t="shared" si="42"/>
        <v>512212.50000000006</v>
      </c>
    </row>
    <row r="580" spans="2:12" x14ac:dyDescent="0.35">
      <c r="B580" s="174"/>
      <c r="C580" s="175"/>
      <c r="D580" s="176"/>
      <c r="E580" s="163"/>
      <c r="F580" s="163" t="s">
        <v>89</v>
      </c>
      <c r="G580" s="164" t="s">
        <v>490</v>
      </c>
      <c r="H580" s="177">
        <v>64.056000000000012</v>
      </c>
      <c r="I580" s="164" t="s">
        <v>87</v>
      </c>
      <c r="J580" s="50">
        <v>29000</v>
      </c>
      <c r="K580" s="56"/>
      <c r="L580" s="46">
        <f t="shared" si="42"/>
        <v>1857624.0000000002</v>
      </c>
    </row>
    <row r="581" spans="2:12" x14ac:dyDescent="0.35">
      <c r="B581" s="174"/>
      <c r="C581" s="175"/>
      <c r="D581" s="176"/>
      <c r="E581" s="163"/>
      <c r="F581" s="163" t="s">
        <v>89</v>
      </c>
      <c r="G581" s="164" t="s">
        <v>491</v>
      </c>
      <c r="H581" s="177">
        <v>30.144000000000005</v>
      </c>
      <c r="I581" s="164" t="s">
        <v>87</v>
      </c>
      <c r="J581" s="50">
        <v>29000</v>
      </c>
      <c r="K581" s="56"/>
      <c r="L581" s="46">
        <f t="shared" si="42"/>
        <v>874176.00000000012</v>
      </c>
    </row>
    <row r="582" spans="2:12" x14ac:dyDescent="0.35">
      <c r="B582" s="174"/>
      <c r="C582" s="175"/>
      <c r="D582" s="176"/>
      <c r="E582" s="163"/>
      <c r="F582" s="163" t="s">
        <v>89</v>
      </c>
      <c r="G582" s="164" t="s">
        <v>492</v>
      </c>
      <c r="H582" s="177">
        <v>24.727500000000003</v>
      </c>
      <c r="I582" s="164" t="s">
        <v>87</v>
      </c>
      <c r="J582" s="50">
        <v>29000</v>
      </c>
      <c r="K582" s="56"/>
      <c r="L582" s="46">
        <f t="shared" si="42"/>
        <v>717097.50000000012</v>
      </c>
    </row>
    <row r="583" spans="2:12" x14ac:dyDescent="0.35">
      <c r="B583" s="174"/>
      <c r="C583" s="175"/>
      <c r="D583" s="176"/>
      <c r="E583" s="163"/>
      <c r="F583" s="163" t="s">
        <v>89</v>
      </c>
      <c r="G583" s="164" t="s">
        <v>493</v>
      </c>
      <c r="H583" s="177">
        <v>30.709200000000003</v>
      </c>
      <c r="I583" s="164" t="s">
        <v>87</v>
      </c>
      <c r="J583" s="50">
        <v>29000</v>
      </c>
      <c r="K583" s="56"/>
      <c r="L583" s="46">
        <f t="shared" si="42"/>
        <v>890566.8</v>
      </c>
    </row>
    <row r="584" spans="2:12" x14ac:dyDescent="0.35">
      <c r="B584" s="174"/>
      <c r="C584" s="175"/>
      <c r="D584" s="176"/>
      <c r="E584" s="163"/>
      <c r="F584" s="163" t="s">
        <v>89</v>
      </c>
      <c r="G584" s="164" t="s">
        <v>494</v>
      </c>
      <c r="H584" s="177">
        <v>28.26</v>
      </c>
      <c r="I584" s="164" t="s">
        <v>87</v>
      </c>
      <c r="J584" s="50">
        <v>29000</v>
      </c>
      <c r="K584" s="56"/>
      <c r="L584" s="46">
        <f t="shared" si="42"/>
        <v>819540</v>
      </c>
    </row>
    <row r="585" spans="2:12" x14ac:dyDescent="0.35">
      <c r="B585" s="174"/>
      <c r="C585" s="175"/>
      <c r="D585" s="176"/>
      <c r="E585" s="163"/>
      <c r="F585" s="163" t="s">
        <v>89</v>
      </c>
      <c r="G585" s="164" t="s">
        <v>495</v>
      </c>
      <c r="H585" s="177">
        <v>215.56799999999998</v>
      </c>
      <c r="I585" s="164" t="s">
        <v>87</v>
      </c>
      <c r="J585" s="50">
        <v>29000</v>
      </c>
      <c r="K585" s="56"/>
      <c r="L585" s="46">
        <f t="shared" si="42"/>
        <v>6251471.9999999991</v>
      </c>
    </row>
    <row r="586" spans="2:12" x14ac:dyDescent="0.35">
      <c r="B586" s="174"/>
      <c r="C586" s="175"/>
      <c r="D586" s="176"/>
      <c r="E586" s="163"/>
      <c r="F586" s="163" t="s">
        <v>89</v>
      </c>
      <c r="G586" s="164" t="s">
        <v>496</v>
      </c>
      <c r="H586" s="177">
        <v>185.62799999999999</v>
      </c>
      <c r="I586" s="164" t="s">
        <v>87</v>
      </c>
      <c r="J586" s="50">
        <v>29000</v>
      </c>
      <c r="K586" s="56"/>
      <c r="L586" s="46">
        <f t="shared" si="42"/>
        <v>5383212</v>
      </c>
    </row>
    <row r="587" spans="2:12" x14ac:dyDescent="0.35">
      <c r="B587" s="174"/>
      <c r="C587" s="175"/>
      <c r="D587" s="176"/>
      <c r="E587" s="163"/>
      <c r="F587" s="163" t="s">
        <v>89</v>
      </c>
      <c r="G587" s="164" t="s">
        <v>497</v>
      </c>
      <c r="H587" s="177">
        <v>29.955600000000004</v>
      </c>
      <c r="I587" s="164" t="s">
        <v>87</v>
      </c>
      <c r="J587" s="50">
        <v>29000</v>
      </c>
      <c r="K587" s="56"/>
      <c r="L587" s="46">
        <f t="shared" si="42"/>
        <v>868712.40000000014</v>
      </c>
    </row>
    <row r="588" spans="2:12" x14ac:dyDescent="0.35">
      <c r="B588" s="174"/>
      <c r="C588" s="175"/>
      <c r="D588" s="176"/>
      <c r="E588" s="163"/>
      <c r="F588" s="163" t="s">
        <v>89</v>
      </c>
      <c r="G588" s="164" t="s">
        <v>498</v>
      </c>
      <c r="H588" s="177">
        <v>32.028000000000006</v>
      </c>
      <c r="I588" s="164" t="s">
        <v>87</v>
      </c>
      <c r="J588" s="50">
        <v>29000</v>
      </c>
      <c r="K588" s="56"/>
      <c r="L588" s="46">
        <f t="shared" si="42"/>
        <v>928812.00000000012</v>
      </c>
    </row>
    <row r="589" spans="2:12" x14ac:dyDescent="0.35">
      <c r="B589" s="174"/>
      <c r="C589" s="175"/>
      <c r="D589" s="176"/>
      <c r="E589" s="163"/>
      <c r="F589" s="163" t="s">
        <v>89</v>
      </c>
      <c r="G589" s="164" t="s">
        <v>499</v>
      </c>
      <c r="H589" s="177">
        <v>28.26</v>
      </c>
      <c r="I589" s="164" t="s">
        <v>87</v>
      </c>
      <c r="J589" s="50">
        <v>29000</v>
      </c>
      <c r="K589" s="56"/>
      <c r="L589" s="46">
        <f t="shared" si="42"/>
        <v>819540</v>
      </c>
    </row>
    <row r="590" spans="2:12" x14ac:dyDescent="0.35">
      <c r="B590" s="174"/>
      <c r="C590" s="175"/>
      <c r="D590" s="176"/>
      <c r="E590" s="163"/>
      <c r="F590" s="163" t="s">
        <v>89</v>
      </c>
      <c r="G590" s="164" t="s">
        <v>500</v>
      </c>
      <c r="H590" s="177">
        <v>23.951999999999998</v>
      </c>
      <c r="I590" s="164" t="s">
        <v>87</v>
      </c>
      <c r="J590" s="50">
        <v>29000</v>
      </c>
      <c r="K590" s="56"/>
      <c r="L590" s="46">
        <f t="shared" si="42"/>
        <v>694608</v>
      </c>
    </row>
    <row r="591" spans="2:12" x14ac:dyDescent="0.35">
      <c r="B591" s="174"/>
      <c r="C591" s="175"/>
      <c r="D591" s="176"/>
      <c r="E591" s="163"/>
      <c r="F591" s="163" t="s">
        <v>89</v>
      </c>
      <c r="G591" s="164" t="s">
        <v>501</v>
      </c>
      <c r="H591" s="177">
        <v>137.34360000000001</v>
      </c>
      <c r="I591" s="164" t="s">
        <v>87</v>
      </c>
      <c r="J591" s="50">
        <v>29000</v>
      </c>
      <c r="K591" s="56"/>
      <c r="L591" s="46">
        <f t="shared" si="42"/>
        <v>3982964.4000000004</v>
      </c>
    </row>
    <row r="592" spans="2:12" x14ac:dyDescent="0.35">
      <c r="B592" s="174"/>
      <c r="C592" s="175"/>
      <c r="D592" s="176"/>
      <c r="E592" s="163"/>
      <c r="F592" s="163" t="s">
        <v>89</v>
      </c>
      <c r="G592" s="164" t="s">
        <v>502</v>
      </c>
      <c r="H592" s="177">
        <v>7.0650000000000004</v>
      </c>
      <c r="I592" s="164" t="s">
        <v>87</v>
      </c>
      <c r="J592" s="50">
        <v>29000</v>
      </c>
      <c r="K592" s="56"/>
      <c r="L592" s="46">
        <f t="shared" si="42"/>
        <v>204885</v>
      </c>
    </row>
    <row r="593" spans="2:13" x14ac:dyDescent="0.35">
      <c r="B593" s="174"/>
      <c r="C593" s="175"/>
      <c r="D593" s="176"/>
      <c r="E593" s="163"/>
      <c r="F593" s="163" t="s">
        <v>89</v>
      </c>
      <c r="G593" s="164" t="s">
        <v>503</v>
      </c>
      <c r="H593" s="177">
        <v>113.77199999999999</v>
      </c>
      <c r="I593" s="164" t="s">
        <v>87</v>
      </c>
      <c r="J593" s="50">
        <v>29000</v>
      </c>
      <c r="K593" s="56"/>
      <c r="L593" s="46">
        <f t="shared" si="42"/>
        <v>3299387.9999999995</v>
      </c>
    </row>
    <row r="594" spans="2:13" x14ac:dyDescent="0.35">
      <c r="B594" s="174"/>
      <c r="C594" s="175"/>
      <c r="D594" s="176"/>
      <c r="E594" s="163"/>
      <c r="F594" s="163" t="s">
        <v>89</v>
      </c>
      <c r="G594" s="164" t="s">
        <v>504</v>
      </c>
      <c r="H594" s="177">
        <v>205.73280000000003</v>
      </c>
      <c r="I594" s="164" t="s">
        <v>87</v>
      </c>
      <c r="J594" s="50">
        <v>29000</v>
      </c>
      <c r="K594" s="56"/>
      <c r="L594" s="46">
        <f t="shared" si="42"/>
        <v>5966251.2000000011</v>
      </c>
      <c r="M594" s="67"/>
    </row>
    <row r="595" spans="2:13" x14ac:dyDescent="0.35">
      <c r="B595" s="174"/>
      <c r="C595" s="175"/>
      <c r="D595" s="176"/>
      <c r="E595" s="163"/>
      <c r="F595" s="163" t="s">
        <v>89</v>
      </c>
      <c r="G595" s="164" t="s">
        <v>505</v>
      </c>
      <c r="H595" s="177">
        <v>7.0650000000000004</v>
      </c>
      <c r="I595" s="164" t="s">
        <v>87</v>
      </c>
      <c r="J595" s="50">
        <v>29000</v>
      </c>
      <c r="K595" s="56"/>
      <c r="L595" s="46">
        <f t="shared" si="42"/>
        <v>204885</v>
      </c>
    </row>
    <row r="596" spans="2:13" x14ac:dyDescent="0.35">
      <c r="B596" s="174"/>
      <c r="C596" s="175"/>
      <c r="D596" s="176"/>
      <c r="E596" s="163"/>
      <c r="F596" s="163" t="s">
        <v>89</v>
      </c>
      <c r="G596" s="164" t="s">
        <v>506</v>
      </c>
      <c r="H596" s="177">
        <v>7.0650000000000004</v>
      </c>
      <c r="I596" s="164" t="s">
        <v>87</v>
      </c>
      <c r="J596" s="50">
        <v>29000</v>
      </c>
      <c r="K596" s="56"/>
      <c r="L596" s="46">
        <f t="shared" si="42"/>
        <v>204885</v>
      </c>
    </row>
    <row r="597" spans="2:13" x14ac:dyDescent="0.35">
      <c r="B597" s="174"/>
      <c r="C597" s="175"/>
      <c r="D597" s="176"/>
      <c r="E597" s="163"/>
      <c r="F597" s="163" t="s">
        <v>89</v>
      </c>
      <c r="G597" s="164" t="s">
        <v>507</v>
      </c>
      <c r="H597" s="177">
        <v>155.68799999999999</v>
      </c>
      <c r="I597" s="164" t="s">
        <v>87</v>
      </c>
      <c r="J597" s="50">
        <v>29000</v>
      </c>
      <c r="K597" s="56"/>
      <c r="L597" s="46">
        <f t="shared" si="42"/>
        <v>4514952</v>
      </c>
    </row>
    <row r="598" spans="2:13" x14ac:dyDescent="0.35">
      <c r="B598" s="174"/>
      <c r="C598" s="175"/>
      <c r="D598" s="176"/>
      <c r="E598" s="163"/>
      <c r="F598" s="163" t="s">
        <v>89</v>
      </c>
      <c r="G598" s="164" t="s">
        <v>508</v>
      </c>
      <c r="H598" s="177">
        <v>24.492000000000004</v>
      </c>
      <c r="I598" s="164" t="s">
        <v>87</v>
      </c>
      <c r="J598" s="50">
        <v>29000</v>
      </c>
      <c r="K598" s="56"/>
      <c r="L598" s="46">
        <f t="shared" si="42"/>
        <v>710268.00000000012</v>
      </c>
      <c r="M598" s="67"/>
    </row>
    <row r="599" spans="2:13" x14ac:dyDescent="0.35">
      <c r="B599" s="174"/>
      <c r="C599" s="175"/>
      <c r="D599" s="176"/>
      <c r="E599" s="163"/>
      <c r="F599" s="163" t="s">
        <v>89</v>
      </c>
      <c r="G599" s="164" t="s">
        <v>509</v>
      </c>
      <c r="H599" s="177">
        <v>154.29960000000003</v>
      </c>
      <c r="I599" s="164" t="s">
        <v>87</v>
      </c>
      <c r="J599" s="50">
        <v>29000</v>
      </c>
      <c r="K599" s="56"/>
      <c r="L599" s="46">
        <f t="shared" si="42"/>
        <v>4474688.4000000004</v>
      </c>
    </row>
    <row r="600" spans="2:13" x14ac:dyDescent="0.35">
      <c r="B600" s="174"/>
      <c r="C600" s="175"/>
      <c r="D600" s="176"/>
      <c r="E600" s="163"/>
      <c r="F600" s="163" t="s">
        <v>89</v>
      </c>
      <c r="G600" s="164" t="s">
        <v>510</v>
      </c>
      <c r="H600" s="177">
        <v>7.0650000000000004</v>
      </c>
      <c r="I600" s="164" t="s">
        <v>87</v>
      </c>
      <c r="J600" s="50">
        <v>29000</v>
      </c>
      <c r="K600" s="56"/>
      <c r="L600" s="46">
        <f t="shared" si="42"/>
        <v>204885</v>
      </c>
    </row>
    <row r="601" spans="2:13" x14ac:dyDescent="0.35">
      <c r="B601" s="174"/>
      <c r="C601" s="175"/>
      <c r="D601" s="176"/>
      <c r="E601" s="163"/>
      <c r="F601" s="163" t="s">
        <v>89</v>
      </c>
      <c r="G601" s="164" t="s">
        <v>511</v>
      </c>
      <c r="H601" s="177">
        <v>153.73440000000002</v>
      </c>
      <c r="I601" s="164" t="s">
        <v>87</v>
      </c>
      <c r="J601" s="50">
        <v>29000</v>
      </c>
      <c r="K601" s="56"/>
      <c r="L601" s="46">
        <f t="shared" si="42"/>
        <v>4458297.6000000006</v>
      </c>
    </row>
    <row r="602" spans="2:13" x14ac:dyDescent="0.35">
      <c r="B602" s="174"/>
      <c r="C602" s="175"/>
      <c r="D602" s="176"/>
      <c r="E602" s="163"/>
      <c r="F602" s="163" t="s">
        <v>89</v>
      </c>
      <c r="G602" s="164" t="s">
        <v>512</v>
      </c>
      <c r="H602" s="177">
        <v>10.5975</v>
      </c>
      <c r="I602" s="164" t="s">
        <v>87</v>
      </c>
      <c r="J602" s="50">
        <v>29000</v>
      </c>
      <c r="K602" s="56"/>
      <c r="L602" s="46">
        <f t="shared" si="42"/>
        <v>307327.5</v>
      </c>
    </row>
    <row r="603" spans="2:13" x14ac:dyDescent="0.35">
      <c r="B603" s="174"/>
      <c r="C603" s="175"/>
      <c r="D603" s="176"/>
      <c r="E603" s="163"/>
      <c r="F603" s="163" t="s">
        <v>89</v>
      </c>
      <c r="G603" s="164" t="s">
        <v>513</v>
      </c>
      <c r="H603" s="177">
        <v>215.56799999999998</v>
      </c>
      <c r="I603" s="164" t="s">
        <v>87</v>
      </c>
      <c r="J603" s="50">
        <v>29000</v>
      </c>
      <c r="K603" s="56"/>
      <c r="L603" s="46">
        <f t="shared" si="42"/>
        <v>6251471.9999999991</v>
      </c>
    </row>
    <row r="604" spans="2:13" x14ac:dyDescent="0.35">
      <c r="B604" s="174"/>
      <c r="C604" s="175"/>
      <c r="D604" s="176"/>
      <c r="E604" s="163"/>
      <c r="F604" s="163" t="s">
        <v>89</v>
      </c>
      <c r="G604" s="164" t="s">
        <v>514</v>
      </c>
      <c r="H604" s="177">
        <v>135.64800000000002</v>
      </c>
      <c r="I604" s="164" t="s">
        <v>87</v>
      </c>
      <c r="J604" s="50">
        <v>29000</v>
      </c>
      <c r="K604" s="56"/>
      <c r="L604" s="46">
        <f t="shared" si="42"/>
        <v>3933792.0000000009</v>
      </c>
    </row>
    <row r="605" spans="2:13" x14ac:dyDescent="0.35">
      <c r="B605" s="174"/>
      <c r="C605" s="175"/>
      <c r="D605" s="176"/>
      <c r="E605" s="163"/>
      <c r="F605" s="163" t="s">
        <v>89</v>
      </c>
      <c r="G605" s="164" t="s">
        <v>515</v>
      </c>
      <c r="H605" s="177">
        <v>10.362000000000002</v>
      </c>
      <c r="I605" s="164" t="s">
        <v>87</v>
      </c>
      <c r="J605" s="50">
        <v>29000</v>
      </c>
      <c r="K605" s="56"/>
      <c r="L605" s="46">
        <f t="shared" si="42"/>
        <v>300498.00000000006</v>
      </c>
    </row>
    <row r="606" spans="2:13" x14ac:dyDescent="0.35">
      <c r="B606" s="174"/>
      <c r="C606" s="175"/>
      <c r="D606" s="176"/>
      <c r="E606" s="163"/>
      <c r="F606" s="163" t="s">
        <v>89</v>
      </c>
      <c r="G606" s="164" t="s">
        <v>516</v>
      </c>
      <c r="H606" s="177">
        <v>10.738800000000001</v>
      </c>
      <c r="I606" s="164" t="s">
        <v>87</v>
      </c>
      <c r="J606" s="50">
        <v>29000</v>
      </c>
      <c r="K606" s="56"/>
      <c r="L606" s="46">
        <f t="shared" si="42"/>
        <v>311425.2</v>
      </c>
    </row>
    <row r="607" spans="2:13" x14ac:dyDescent="0.35">
      <c r="B607" s="47"/>
      <c r="C607" s="48"/>
      <c r="D607" s="24"/>
      <c r="G607" s="22"/>
      <c r="I607" s="22"/>
      <c r="J607" s="50"/>
      <c r="K607" s="29"/>
      <c r="L607" s="52"/>
    </row>
    <row r="608" spans="2:13" x14ac:dyDescent="0.35">
      <c r="B608" s="47"/>
      <c r="C608" s="48"/>
      <c r="D608" s="24"/>
      <c r="G608" s="22"/>
      <c r="I608" s="22"/>
      <c r="J608" s="50"/>
      <c r="K608" s="29"/>
      <c r="L608" s="52"/>
    </row>
    <row r="609" spans="2:12" x14ac:dyDescent="0.35">
      <c r="B609" s="8"/>
      <c r="C609" s="9"/>
      <c r="D609" s="10"/>
      <c r="E609" s="4"/>
      <c r="F609" s="4"/>
      <c r="G609" s="4"/>
      <c r="H609" s="1"/>
      <c r="I609" s="1"/>
      <c r="J609" s="11" t="s">
        <v>8</v>
      </c>
      <c r="K609" s="7">
        <f>SUM(K556:K608)</f>
        <v>0</v>
      </c>
      <c r="L609" s="7">
        <f>SUM(L556:L608)</f>
        <v>116487000.48</v>
      </c>
    </row>
    <row r="610" spans="2:12" x14ac:dyDescent="0.35">
      <c r="B610" s="8"/>
      <c r="C610" s="9"/>
      <c r="D610" s="9"/>
      <c r="E610" s="4"/>
      <c r="F610" s="4"/>
      <c r="G610" s="4"/>
      <c r="H610" s="1"/>
      <c r="I610" s="1"/>
      <c r="J610" s="11"/>
      <c r="K610" s="35" t="s">
        <v>22</v>
      </c>
      <c r="L610" s="36" t="s">
        <v>23</v>
      </c>
    </row>
    <row r="611" spans="2:12" x14ac:dyDescent="0.35">
      <c r="B611" s="3" t="s">
        <v>9</v>
      </c>
      <c r="C611" s="4"/>
      <c r="D611" s="4"/>
      <c r="E611" s="4"/>
      <c r="F611" s="4"/>
      <c r="G611" s="4"/>
      <c r="H611" s="1"/>
      <c r="I611" s="1"/>
      <c r="J611" s="12"/>
      <c r="K611" s="12"/>
      <c r="L611" s="13"/>
    </row>
    <row r="612" spans="2:12" x14ac:dyDescent="0.35">
      <c r="B612" s="37"/>
      <c r="C612" s="1"/>
      <c r="D612" s="1"/>
      <c r="E612" s="38"/>
      <c r="F612" s="38"/>
      <c r="G612" s="38"/>
      <c r="H612" s="1"/>
      <c r="I612" s="1"/>
      <c r="J612" s="1"/>
      <c r="K612" s="1"/>
      <c r="L612" s="19"/>
    </row>
    <row r="613" spans="2:12" x14ac:dyDescent="0.35">
      <c r="B613" s="28" t="s">
        <v>6</v>
      </c>
      <c r="C613" s="27"/>
      <c r="D613" s="27"/>
      <c r="E613" s="26"/>
      <c r="F613" s="26"/>
      <c r="G613" s="5"/>
      <c r="K613" s="284" t="s">
        <v>1600</v>
      </c>
      <c r="L613" s="285"/>
    </row>
    <row r="614" spans="2:12" x14ac:dyDescent="0.35">
      <c r="B614" s="28">
        <v>1</v>
      </c>
      <c r="C614" s="27"/>
      <c r="D614" s="27"/>
      <c r="E614" s="26" t="s">
        <v>7</v>
      </c>
      <c r="F614" s="26"/>
      <c r="G614" s="5"/>
      <c r="K614" s="284" t="s">
        <v>28</v>
      </c>
      <c r="L614" s="285"/>
    </row>
    <row r="615" spans="2:12" x14ac:dyDescent="0.35">
      <c r="B615" s="39"/>
      <c r="C615" s="27"/>
      <c r="D615" s="27"/>
      <c r="E615" s="26"/>
      <c r="F615" s="26"/>
      <c r="G615" s="5"/>
      <c r="J615" s="25"/>
      <c r="K615" s="25"/>
      <c r="L615" s="24"/>
    </row>
    <row r="616" spans="2:12" x14ac:dyDescent="0.35">
      <c r="B616" s="28"/>
      <c r="C616" s="27"/>
      <c r="D616" s="27"/>
      <c r="E616" s="26"/>
      <c r="F616" s="26"/>
      <c r="G616" s="5"/>
      <c r="L616" s="22"/>
    </row>
    <row r="617" spans="2:12" x14ac:dyDescent="0.35">
      <c r="B617" s="45"/>
      <c r="E617" s="5"/>
      <c r="F617" s="5"/>
      <c r="G617" s="5"/>
      <c r="L617" s="22"/>
    </row>
    <row r="618" spans="2:12" x14ac:dyDescent="0.35">
      <c r="B618" s="45"/>
      <c r="E618" s="5"/>
      <c r="F618" s="5"/>
      <c r="G618" s="5"/>
      <c r="L618" s="22"/>
    </row>
    <row r="619" spans="2:12" x14ac:dyDescent="0.35">
      <c r="B619" s="45"/>
      <c r="E619" s="5"/>
      <c r="F619" s="5"/>
      <c r="G619" s="5"/>
      <c r="L619" s="22"/>
    </row>
    <row r="620" spans="2:12" x14ac:dyDescent="0.35">
      <c r="B620" s="45"/>
      <c r="E620" s="5"/>
      <c r="F620" s="5"/>
      <c r="G620" s="5"/>
      <c r="J620" s="40"/>
      <c r="K620" s="286" t="s">
        <v>36</v>
      </c>
      <c r="L620" s="287"/>
    </row>
    <row r="621" spans="2:12" x14ac:dyDescent="0.35">
      <c r="B621" s="45"/>
      <c r="K621" s="288" t="s">
        <v>37</v>
      </c>
      <c r="L621" s="289"/>
    </row>
    <row r="622" spans="2:12" x14ac:dyDescent="0.35">
      <c r="B622" s="290"/>
      <c r="C622" s="291"/>
      <c r="D622" s="291"/>
      <c r="E622" s="41"/>
      <c r="F622" s="41"/>
      <c r="G622" s="41"/>
      <c r="H622" s="2"/>
      <c r="I622" s="2"/>
      <c r="J622" s="2"/>
      <c r="K622" s="2"/>
      <c r="L622" s="21"/>
    </row>
    <row r="623" spans="2:12" x14ac:dyDescent="0.35">
      <c r="B623" s="47"/>
      <c r="C623" s="48"/>
      <c r="D623" s="49"/>
      <c r="G623" s="22"/>
      <c r="H623" s="1"/>
      <c r="I623" s="1"/>
      <c r="J623" s="43"/>
      <c r="K623" s="30"/>
      <c r="L623" s="44"/>
    </row>
    <row r="624" spans="2:12" x14ac:dyDescent="0.35">
      <c r="B624" s="174"/>
      <c r="C624" s="175"/>
      <c r="D624" s="176"/>
      <c r="E624" s="163"/>
      <c r="F624" s="163" t="s">
        <v>89</v>
      </c>
      <c r="G624" s="164" t="s">
        <v>517</v>
      </c>
      <c r="H624" s="177">
        <v>11.304000000000002</v>
      </c>
      <c r="I624" s="164" t="s">
        <v>87</v>
      </c>
      <c r="J624" s="50">
        <v>29000</v>
      </c>
      <c r="K624" s="56"/>
      <c r="L624" s="46">
        <f t="shared" ref="L624:L663" si="43">J624*H624</f>
        <v>327816.00000000006</v>
      </c>
    </row>
    <row r="625" spans="2:13" x14ac:dyDescent="0.35">
      <c r="B625" s="174"/>
      <c r="C625" s="175"/>
      <c r="D625" s="176"/>
      <c r="E625" s="163"/>
      <c r="F625" s="163" t="s">
        <v>89</v>
      </c>
      <c r="G625" s="164" t="s">
        <v>518</v>
      </c>
      <c r="H625" s="177">
        <v>40.506000000000007</v>
      </c>
      <c r="I625" s="164" t="s">
        <v>87</v>
      </c>
      <c r="J625" s="50">
        <v>29000</v>
      </c>
      <c r="K625" s="56"/>
      <c r="L625" s="46">
        <f t="shared" si="43"/>
        <v>1174674.0000000002</v>
      </c>
    </row>
    <row r="626" spans="2:13" x14ac:dyDescent="0.35">
      <c r="B626" s="174"/>
      <c r="C626" s="175"/>
      <c r="D626" s="176"/>
      <c r="E626" s="163"/>
      <c r="F626" s="163" t="s">
        <v>89</v>
      </c>
      <c r="G626" s="164" t="s">
        <v>519</v>
      </c>
      <c r="H626" s="177">
        <v>28.26</v>
      </c>
      <c r="I626" s="164" t="s">
        <v>87</v>
      </c>
      <c r="J626" s="50">
        <v>29000</v>
      </c>
      <c r="K626" s="56"/>
      <c r="L626" s="46">
        <f t="shared" si="43"/>
        <v>819540</v>
      </c>
    </row>
    <row r="627" spans="2:13" x14ac:dyDescent="0.35">
      <c r="B627" s="174"/>
      <c r="C627" s="175"/>
      <c r="D627" s="176"/>
      <c r="E627" s="163"/>
      <c r="F627" s="163" t="s">
        <v>89</v>
      </c>
      <c r="G627" s="164" t="s">
        <v>520</v>
      </c>
      <c r="H627" s="177">
        <v>179.64</v>
      </c>
      <c r="I627" s="164" t="s">
        <v>87</v>
      </c>
      <c r="J627" s="50">
        <v>29000</v>
      </c>
      <c r="K627" s="56"/>
      <c r="L627" s="46">
        <f t="shared" si="43"/>
        <v>5209560</v>
      </c>
      <c r="M627" s="67"/>
    </row>
    <row r="628" spans="2:13" x14ac:dyDescent="0.35">
      <c r="B628" s="174"/>
      <c r="C628" s="175"/>
      <c r="D628" s="176"/>
      <c r="E628" s="163"/>
      <c r="F628" s="163" t="s">
        <v>89</v>
      </c>
      <c r="G628" s="164" t="s">
        <v>521</v>
      </c>
      <c r="H628" s="177">
        <v>47.665200000000006</v>
      </c>
      <c r="I628" s="164" t="s">
        <v>87</v>
      </c>
      <c r="J628" s="50">
        <v>29000</v>
      </c>
      <c r="K628" s="56"/>
      <c r="L628" s="46">
        <f t="shared" si="43"/>
        <v>1382290.8000000003</v>
      </c>
    </row>
    <row r="629" spans="2:13" x14ac:dyDescent="0.35">
      <c r="B629" s="174"/>
      <c r="C629" s="175"/>
      <c r="D629" s="176"/>
      <c r="E629" s="163"/>
      <c r="F629" s="163" t="s">
        <v>89</v>
      </c>
      <c r="G629" s="164" t="s">
        <v>522</v>
      </c>
      <c r="H629" s="177">
        <v>49.549200000000006</v>
      </c>
      <c r="I629" s="164" t="s">
        <v>87</v>
      </c>
      <c r="J629" s="50">
        <v>29000</v>
      </c>
      <c r="K629" s="56"/>
      <c r="L629" s="46">
        <f t="shared" si="43"/>
        <v>1436926.8000000003</v>
      </c>
    </row>
    <row r="630" spans="2:13" x14ac:dyDescent="0.35">
      <c r="B630" s="174"/>
      <c r="C630" s="175"/>
      <c r="D630" s="176"/>
      <c r="E630" s="163"/>
      <c r="F630" s="163" t="s">
        <v>89</v>
      </c>
      <c r="G630" s="164" t="s">
        <v>523</v>
      </c>
      <c r="H630" s="177">
        <v>51.433200000000006</v>
      </c>
      <c r="I630" s="164" t="s">
        <v>87</v>
      </c>
      <c r="J630" s="50">
        <v>29000</v>
      </c>
      <c r="K630" s="56"/>
      <c r="L630" s="46">
        <f t="shared" si="43"/>
        <v>1491562.8000000003</v>
      </c>
    </row>
    <row r="631" spans="2:13" x14ac:dyDescent="0.35">
      <c r="B631" s="174"/>
      <c r="C631" s="175"/>
      <c r="D631" s="176"/>
      <c r="E631" s="163"/>
      <c r="F631" s="163" t="s">
        <v>89</v>
      </c>
      <c r="G631" s="164" t="s">
        <v>524</v>
      </c>
      <c r="H631" s="177">
        <v>31.7925</v>
      </c>
      <c r="I631" s="164" t="s">
        <v>87</v>
      </c>
      <c r="J631" s="50">
        <v>29000</v>
      </c>
      <c r="K631" s="56"/>
      <c r="L631" s="46">
        <f t="shared" si="43"/>
        <v>921982.5</v>
      </c>
    </row>
    <row r="632" spans="2:13" x14ac:dyDescent="0.35">
      <c r="B632" s="174"/>
      <c r="C632" s="175"/>
      <c r="D632" s="176"/>
      <c r="E632" s="163"/>
      <c r="F632" s="163" t="s">
        <v>89</v>
      </c>
      <c r="G632" s="164" t="s">
        <v>525</v>
      </c>
      <c r="H632" s="177">
        <v>215.56799999999998</v>
      </c>
      <c r="I632" s="164" t="s">
        <v>87</v>
      </c>
      <c r="J632" s="50">
        <v>29000</v>
      </c>
      <c r="K632" s="56"/>
      <c r="L632" s="46">
        <f t="shared" si="43"/>
        <v>6251471.9999999991</v>
      </c>
    </row>
    <row r="633" spans="2:13" x14ac:dyDescent="0.35">
      <c r="B633" s="174"/>
      <c r="C633" s="175"/>
      <c r="D633" s="176"/>
      <c r="E633" s="163"/>
      <c r="F633" s="163" t="s">
        <v>89</v>
      </c>
      <c r="G633" s="164" t="s">
        <v>526</v>
      </c>
      <c r="H633" s="177">
        <v>184.43039999999999</v>
      </c>
      <c r="I633" s="164" t="s">
        <v>87</v>
      </c>
      <c r="J633" s="50">
        <v>29000</v>
      </c>
      <c r="K633" s="56"/>
      <c r="L633" s="46">
        <f t="shared" si="43"/>
        <v>5348481.5999999996</v>
      </c>
    </row>
    <row r="634" spans="2:13" x14ac:dyDescent="0.35">
      <c r="B634" s="174"/>
      <c r="C634" s="175"/>
      <c r="D634" s="176"/>
      <c r="E634" s="163"/>
      <c r="F634" s="163" t="s">
        <v>89</v>
      </c>
      <c r="G634" s="164" t="s">
        <v>527</v>
      </c>
      <c r="H634" s="177">
        <v>95.330400000000012</v>
      </c>
      <c r="I634" s="164" t="s">
        <v>87</v>
      </c>
      <c r="J634" s="50">
        <v>29000</v>
      </c>
      <c r="K634" s="56"/>
      <c r="L634" s="46">
        <f t="shared" si="43"/>
        <v>2764581.6000000006</v>
      </c>
    </row>
    <row r="635" spans="2:13" x14ac:dyDescent="0.35">
      <c r="B635" s="174"/>
      <c r="C635" s="175"/>
      <c r="D635" s="176"/>
      <c r="E635" s="163"/>
      <c r="F635" s="163" t="s">
        <v>89</v>
      </c>
      <c r="G635" s="164" t="s">
        <v>528</v>
      </c>
      <c r="H635" s="177">
        <v>51.433200000000006</v>
      </c>
      <c r="I635" s="164" t="s">
        <v>87</v>
      </c>
      <c r="J635" s="50">
        <v>29000</v>
      </c>
      <c r="K635" s="56"/>
      <c r="L635" s="46">
        <f t="shared" si="43"/>
        <v>1491562.8000000003</v>
      </c>
    </row>
    <row r="636" spans="2:13" x14ac:dyDescent="0.35">
      <c r="B636" s="174"/>
      <c r="C636" s="175"/>
      <c r="D636" s="176"/>
      <c r="E636" s="163"/>
      <c r="F636" s="163" t="s">
        <v>89</v>
      </c>
      <c r="G636" s="164" t="s">
        <v>529</v>
      </c>
      <c r="H636" s="177">
        <v>28.26</v>
      </c>
      <c r="I636" s="164" t="s">
        <v>87</v>
      </c>
      <c r="J636" s="50">
        <v>29000</v>
      </c>
      <c r="K636" s="56"/>
      <c r="L636" s="46">
        <f t="shared" si="43"/>
        <v>819540</v>
      </c>
    </row>
    <row r="637" spans="2:13" x14ac:dyDescent="0.35">
      <c r="B637" s="174"/>
      <c r="C637" s="175"/>
      <c r="D637" s="176"/>
      <c r="E637" s="163"/>
      <c r="F637" s="163" t="s">
        <v>89</v>
      </c>
      <c r="G637" s="164" t="s">
        <v>530</v>
      </c>
      <c r="H637" s="177">
        <v>215.56799999999998</v>
      </c>
      <c r="I637" s="164" t="s">
        <v>87</v>
      </c>
      <c r="J637" s="50">
        <v>29000</v>
      </c>
      <c r="K637" s="56"/>
      <c r="L637" s="46">
        <f t="shared" si="43"/>
        <v>6251471.9999999991</v>
      </c>
    </row>
    <row r="638" spans="2:13" x14ac:dyDescent="0.35">
      <c r="B638" s="174"/>
      <c r="C638" s="175"/>
      <c r="D638" s="176"/>
      <c r="E638" s="163"/>
      <c r="F638" s="163" t="s">
        <v>89</v>
      </c>
      <c r="G638" s="164" t="s">
        <v>531</v>
      </c>
      <c r="H638" s="177">
        <v>184.43039999999999</v>
      </c>
      <c r="I638" s="164" t="s">
        <v>87</v>
      </c>
      <c r="J638" s="50">
        <v>29000</v>
      </c>
      <c r="K638" s="56"/>
      <c r="L638" s="46">
        <f t="shared" si="43"/>
        <v>5348481.5999999996</v>
      </c>
    </row>
    <row r="639" spans="2:13" x14ac:dyDescent="0.35">
      <c r="B639" s="174"/>
      <c r="C639" s="175"/>
      <c r="D639" s="176"/>
      <c r="E639" s="163"/>
      <c r="F639" s="163" t="s">
        <v>89</v>
      </c>
      <c r="G639" s="164" t="s">
        <v>532</v>
      </c>
      <c r="H639" s="177">
        <v>15.260400000000002</v>
      </c>
      <c r="I639" s="164" t="s">
        <v>87</v>
      </c>
      <c r="J639" s="50">
        <v>29000</v>
      </c>
      <c r="K639" s="56"/>
      <c r="L639" s="46">
        <f t="shared" si="43"/>
        <v>442551.60000000009</v>
      </c>
    </row>
    <row r="640" spans="2:13" x14ac:dyDescent="0.35">
      <c r="B640" s="174"/>
      <c r="C640" s="175"/>
      <c r="D640" s="176"/>
      <c r="E640" s="163"/>
      <c r="F640" s="163" t="s">
        <v>89</v>
      </c>
      <c r="G640" s="164" t="s">
        <v>533</v>
      </c>
      <c r="H640" s="177">
        <v>134.14080000000001</v>
      </c>
      <c r="I640" s="164" t="s">
        <v>87</v>
      </c>
      <c r="J640" s="50">
        <v>29000</v>
      </c>
      <c r="K640" s="56"/>
      <c r="L640" s="46">
        <f t="shared" si="43"/>
        <v>3890083.2</v>
      </c>
    </row>
    <row r="641" spans="2:13" x14ac:dyDescent="0.35">
      <c r="B641" s="174"/>
      <c r="C641" s="175"/>
      <c r="D641" s="176"/>
      <c r="E641" s="163"/>
      <c r="F641" s="163" t="s">
        <v>89</v>
      </c>
      <c r="G641" s="164" t="s">
        <v>534</v>
      </c>
      <c r="H641" s="177">
        <v>68.954400000000007</v>
      </c>
      <c r="I641" s="164" t="s">
        <v>87</v>
      </c>
      <c r="J641" s="50">
        <v>29000</v>
      </c>
      <c r="K641" s="56"/>
      <c r="L641" s="46">
        <f t="shared" si="43"/>
        <v>1999677.6</v>
      </c>
    </row>
    <row r="642" spans="2:13" x14ac:dyDescent="0.35">
      <c r="B642" s="174"/>
      <c r="C642" s="175"/>
      <c r="D642" s="176"/>
      <c r="E642" s="163"/>
      <c r="F642" s="163" t="s">
        <v>89</v>
      </c>
      <c r="G642" s="164" t="s">
        <v>535</v>
      </c>
      <c r="H642" s="177">
        <v>24.727500000000003</v>
      </c>
      <c r="I642" s="164" t="s">
        <v>87</v>
      </c>
      <c r="J642" s="50">
        <v>29000</v>
      </c>
      <c r="K642" s="56"/>
      <c r="L642" s="46">
        <f t="shared" si="43"/>
        <v>717097.50000000012</v>
      </c>
    </row>
    <row r="643" spans="2:13" x14ac:dyDescent="0.35">
      <c r="B643" s="174"/>
      <c r="C643" s="175"/>
      <c r="D643" s="176"/>
      <c r="E643" s="163"/>
      <c r="F643" s="163" t="s">
        <v>89</v>
      </c>
      <c r="G643" s="164" t="s">
        <v>536</v>
      </c>
      <c r="H643" s="177">
        <v>215.56799999999998</v>
      </c>
      <c r="I643" s="164" t="s">
        <v>87</v>
      </c>
      <c r="J643" s="50">
        <v>29000</v>
      </c>
      <c r="K643" s="56"/>
      <c r="L643" s="46">
        <f t="shared" si="43"/>
        <v>6251471.9999999991</v>
      </c>
    </row>
    <row r="644" spans="2:13" x14ac:dyDescent="0.35">
      <c r="B644" s="174"/>
      <c r="C644" s="175"/>
      <c r="D644" s="176"/>
      <c r="E644" s="163"/>
      <c r="F644" s="163" t="s">
        <v>89</v>
      </c>
      <c r="G644" s="164" t="s">
        <v>537</v>
      </c>
      <c r="H644" s="177">
        <v>62.275199999999998</v>
      </c>
      <c r="I644" s="164" t="s">
        <v>87</v>
      </c>
      <c r="J644" s="50">
        <v>29000</v>
      </c>
      <c r="K644" s="56"/>
      <c r="L644" s="46">
        <f t="shared" si="43"/>
        <v>1805980.8</v>
      </c>
    </row>
    <row r="645" spans="2:13" x14ac:dyDescent="0.35">
      <c r="B645" s="174"/>
      <c r="C645" s="175"/>
      <c r="D645" s="176"/>
      <c r="E645" s="163"/>
      <c r="F645" s="163" t="s">
        <v>89</v>
      </c>
      <c r="G645" s="164" t="s">
        <v>538</v>
      </c>
      <c r="H645" s="177">
        <v>4.4839200000000003</v>
      </c>
      <c r="I645" s="164" t="s">
        <v>87</v>
      </c>
      <c r="J645" s="50">
        <v>29000</v>
      </c>
      <c r="K645" s="56"/>
      <c r="L645" s="46">
        <f t="shared" si="43"/>
        <v>130033.68000000001</v>
      </c>
      <c r="M645" s="14"/>
    </row>
    <row r="646" spans="2:13" x14ac:dyDescent="0.35">
      <c r="B646" s="174"/>
      <c r="C646" s="175"/>
      <c r="D646" s="176"/>
      <c r="E646" s="163"/>
      <c r="F646" s="163" t="s">
        <v>89</v>
      </c>
      <c r="G646" s="164" t="s">
        <v>539</v>
      </c>
      <c r="H646" s="177">
        <v>12.434400000000002</v>
      </c>
      <c r="I646" s="164" t="s">
        <v>87</v>
      </c>
      <c r="J646" s="50">
        <v>29000</v>
      </c>
      <c r="K646" s="56"/>
      <c r="L646" s="46">
        <f t="shared" si="43"/>
        <v>360597.60000000003</v>
      </c>
    </row>
    <row r="647" spans="2:13" x14ac:dyDescent="0.35">
      <c r="B647" s="174"/>
      <c r="C647" s="175"/>
      <c r="D647" s="176"/>
      <c r="E647" s="163"/>
      <c r="F647" s="163" t="s">
        <v>89</v>
      </c>
      <c r="G647" s="164" t="s">
        <v>540</v>
      </c>
      <c r="H647" s="177">
        <v>16.956000000000003</v>
      </c>
      <c r="I647" s="164" t="s">
        <v>87</v>
      </c>
      <c r="J647" s="50">
        <v>29000</v>
      </c>
      <c r="K647" s="56"/>
      <c r="L647" s="46">
        <f t="shared" si="43"/>
        <v>491724.00000000012</v>
      </c>
    </row>
    <row r="648" spans="2:13" x14ac:dyDescent="0.35">
      <c r="B648" s="174"/>
      <c r="C648" s="175"/>
      <c r="D648" s="176"/>
      <c r="E648" s="163"/>
      <c r="F648" s="163" t="s">
        <v>89</v>
      </c>
      <c r="G648" s="164" t="s">
        <v>541</v>
      </c>
      <c r="H648" s="177">
        <v>8.6664000000000012</v>
      </c>
      <c r="I648" s="164" t="s">
        <v>87</v>
      </c>
      <c r="J648" s="50">
        <v>29000</v>
      </c>
      <c r="K648" s="56"/>
      <c r="L648" s="46">
        <f t="shared" si="43"/>
        <v>251325.60000000003</v>
      </c>
      <c r="M648" s="67"/>
    </row>
    <row r="649" spans="2:13" x14ac:dyDescent="0.35">
      <c r="B649" s="174"/>
      <c r="C649" s="175"/>
      <c r="D649" s="176"/>
      <c r="E649" s="163"/>
      <c r="F649" s="163" t="s">
        <v>89</v>
      </c>
      <c r="G649" s="164" t="s">
        <v>542</v>
      </c>
      <c r="H649" s="177">
        <v>18.086400000000001</v>
      </c>
      <c r="I649" s="164" t="s">
        <v>87</v>
      </c>
      <c r="J649" s="50">
        <v>29000</v>
      </c>
      <c r="K649" s="56"/>
      <c r="L649" s="46">
        <f t="shared" si="43"/>
        <v>524505.59999999998</v>
      </c>
    </row>
    <row r="650" spans="2:13" x14ac:dyDescent="0.35">
      <c r="B650" s="174"/>
      <c r="C650" s="175"/>
      <c r="D650" s="176"/>
      <c r="E650" s="163"/>
      <c r="F650" s="163" t="s">
        <v>89</v>
      </c>
      <c r="G650" s="164" t="s">
        <v>543</v>
      </c>
      <c r="H650" s="177">
        <v>7.5360000000000014</v>
      </c>
      <c r="I650" s="164" t="s">
        <v>87</v>
      </c>
      <c r="J650" s="50">
        <v>29000</v>
      </c>
      <c r="K650" s="56"/>
      <c r="L650" s="46">
        <f t="shared" si="43"/>
        <v>218544.00000000003</v>
      </c>
    </row>
    <row r="651" spans="2:13" x14ac:dyDescent="0.35">
      <c r="B651" s="174"/>
      <c r="C651" s="175"/>
      <c r="D651" s="176"/>
      <c r="E651" s="163"/>
      <c r="F651" s="163" t="s">
        <v>89</v>
      </c>
      <c r="G651" s="164" t="s">
        <v>544</v>
      </c>
      <c r="H651" s="177">
        <v>50.302800000000005</v>
      </c>
      <c r="I651" s="164" t="s">
        <v>87</v>
      </c>
      <c r="J651" s="50">
        <v>29000</v>
      </c>
      <c r="K651" s="56"/>
      <c r="L651" s="46">
        <f t="shared" si="43"/>
        <v>1458781.2000000002</v>
      </c>
    </row>
    <row r="652" spans="2:13" x14ac:dyDescent="0.35">
      <c r="B652" s="174"/>
      <c r="C652" s="175"/>
      <c r="D652" s="176"/>
      <c r="E652" s="163"/>
      <c r="F652" s="163" t="s">
        <v>89</v>
      </c>
      <c r="G652" s="164" t="s">
        <v>545</v>
      </c>
      <c r="H652" s="177">
        <v>35.325000000000003</v>
      </c>
      <c r="I652" s="164" t="s">
        <v>87</v>
      </c>
      <c r="J652" s="50">
        <v>29000</v>
      </c>
      <c r="K652" s="56"/>
      <c r="L652" s="46">
        <f t="shared" si="43"/>
        <v>1024425.0000000001</v>
      </c>
    </row>
    <row r="653" spans="2:13" x14ac:dyDescent="0.35">
      <c r="B653" s="174"/>
      <c r="C653" s="175"/>
      <c r="D653" s="176"/>
      <c r="E653" s="163"/>
      <c r="F653" s="163" t="s">
        <v>89</v>
      </c>
      <c r="G653" s="164" t="s">
        <v>546</v>
      </c>
      <c r="H653" s="177">
        <v>215.56799999999998</v>
      </c>
      <c r="I653" s="164" t="s">
        <v>87</v>
      </c>
      <c r="J653" s="50">
        <v>29000</v>
      </c>
      <c r="K653" s="56"/>
      <c r="L653" s="46">
        <f t="shared" si="43"/>
        <v>6251471.9999999991</v>
      </c>
    </row>
    <row r="654" spans="2:13" x14ac:dyDescent="0.35">
      <c r="B654" s="174"/>
      <c r="C654" s="175"/>
      <c r="D654" s="176"/>
      <c r="E654" s="163"/>
      <c r="F654" s="163" t="s">
        <v>89</v>
      </c>
      <c r="G654" s="164" t="s">
        <v>547</v>
      </c>
      <c r="H654" s="177">
        <v>184.43039999999999</v>
      </c>
      <c r="I654" s="164" t="s">
        <v>87</v>
      </c>
      <c r="J654" s="50">
        <v>29000</v>
      </c>
      <c r="K654" s="56"/>
      <c r="L654" s="46">
        <f t="shared" si="43"/>
        <v>5348481.5999999996</v>
      </c>
    </row>
    <row r="655" spans="2:13" x14ac:dyDescent="0.35">
      <c r="B655" s="174"/>
      <c r="C655" s="175"/>
      <c r="D655" s="176"/>
      <c r="E655" s="163"/>
      <c r="F655" s="163" t="s">
        <v>89</v>
      </c>
      <c r="G655" s="164" t="s">
        <v>548</v>
      </c>
      <c r="H655" s="177">
        <v>37.680000000000007</v>
      </c>
      <c r="I655" s="164" t="s">
        <v>87</v>
      </c>
      <c r="J655" s="50">
        <v>29000</v>
      </c>
      <c r="K655" s="56"/>
      <c r="L655" s="46">
        <f t="shared" si="43"/>
        <v>1092720.0000000002</v>
      </c>
    </row>
    <row r="656" spans="2:13" x14ac:dyDescent="0.35">
      <c r="B656" s="174"/>
      <c r="C656" s="175"/>
      <c r="D656" s="176"/>
      <c r="E656" s="163"/>
      <c r="F656" s="163" t="s">
        <v>89</v>
      </c>
      <c r="G656" s="164" t="s">
        <v>549</v>
      </c>
      <c r="H656" s="177">
        <v>57.273600000000009</v>
      </c>
      <c r="I656" s="164" t="s">
        <v>87</v>
      </c>
      <c r="J656" s="50">
        <v>29000</v>
      </c>
      <c r="K656" s="56"/>
      <c r="L656" s="46">
        <f t="shared" si="43"/>
        <v>1660934.4000000004</v>
      </c>
    </row>
    <row r="657" spans="2:12" x14ac:dyDescent="0.35">
      <c r="B657" s="174"/>
      <c r="C657" s="175"/>
      <c r="D657" s="176"/>
      <c r="E657" s="163"/>
      <c r="F657" s="163" t="s">
        <v>89</v>
      </c>
      <c r="G657" s="164" t="s">
        <v>550</v>
      </c>
      <c r="H657" s="177">
        <v>28.26</v>
      </c>
      <c r="I657" s="164" t="s">
        <v>87</v>
      </c>
      <c r="J657" s="50">
        <v>29000</v>
      </c>
      <c r="K657" s="56"/>
      <c r="L657" s="46">
        <f t="shared" si="43"/>
        <v>819540</v>
      </c>
    </row>
    <row r="658" spans="2:12" x14ac:dyDescent="0.35">
      <c r="B658" s="174"/>
      <c r="C658" s="175"/>
      <c r="D658" s="176"/>
      <c r="E658" s="163"/>
      <c r="F658" s="163" t="s">
        <v>89</v>
      </c>
      <c r="G658" s="164" t="s">
        <v>551</v>
      </c>
      <c r="H658" s="177">
        <v>215.56799999999998</v>
      </c>
      <c r="I658" s="164" t="s">
        <v>87</v>
      </c>
      <c r="J658" s="50">
        <v>29000</v>
      </c>
      <c r="K658" s="56"/>
      <c r="L658" s="46">
        <f t="shared" si="43"/>
        <v>6251471.9999999991</v>
      </c>
    </row>
    <row r="659" spans="2:12" x14ac:dyDescent="0.35">
      <c r="B659" s="174"/>
      <c r="C659" s="175"/>
      <c r="D659" s="176"/>
      <c r="E659" s="163"/>
      <c r="F659" s="163" t="s">
        <v>89</v>
      </c>
      <c r="G659" s="164" t="s">
        <v>552</v>
      </c>
      <c r="H659" s="177">
        <v>68.766000000000005</v>
      </c>
      <c r="I659" s="164" t="s">
        <v>87</v>
      </c>
      <c r="J659" s="50">
        <v>29000</v>
      </c>
      <c r="K659" s="56"/>
      <c r="L659" s="46">
        <f t="shared" si="43"/>
        <v>1994214.0000000002</v>
      </c>
    </row>
    <row r="660" spans="2:12" x14ac:dyDescent="0.35">
      <c r="B660" s="174"/>
      <c r="C660" s="175"/>
      <c r="D660" s="176"/>
      <c r="E660" s="163"/>
      <c r="F660" s="163" t="s">
        <v>89</v>
      </c>
      <c r="G660" s="164" t="s">
        <v>553</v>
      </c>
      <c r="H660" s="177">
        <v>35.325000000000003</v>
      </c>
      <c r="I660" s="164" t="s">
        <v>87</v>
      </c>
      <c r="J660" s="50">
        <v>29000</v>
      </c>
      <c r="K660" s="56"/>
      <c r="L660" s="46">
        <f t="shared" si="43"/>
        <v>1024425.0000000001</v>
      </c>
    </row>
    <row r="661" spans="2:12" x14ac:dyDescent="0.35">
      <c r="B661" s="114"/>
      <c r="C661" s="113"/>
      <c r="D661" s="129"/>
      <c r="E661" s="179"/>
      <c r="F661" s="115" t="s">
        <v>89</v>
      </c>
      <c r="G661" s="116" t="s">
        <v>554</v>
      </c>
      <c r="H661" s="241">
        <v>184.43039999999999</v>
      </c>
      <c r="I661" s="66" t="s">
        <v>87</v>
      </c>
      <c r="J661" s="50">
        <v>29000</v>
      </c>
      <c r="K661" s="56"/>
      <c r="L661" s="46">
        <f t="shared" si="43"/>
        <v>5348481.5999999996</v>
      </c>
    </row>
    <row r="662" spans="2:12" x14ac:dyDescent="0.35">
      <c r="B662" s="114"/>
      <c r="C662" s="113"/>
      <c r="D662" s="130"/>
      <c r="E662" s="131"/>
      <c r="F662" s="132" t="s">
        <v>89</v>
      </c>
      <c r="G662" s="72" t="s">
        <v>555</v>
      </c>
      <c r="H662" s="144">
        <v>268.46999999999997</v>
      </c>
      <c r="I662" s="66" t="s">
        <v>87</v>
      </c>
      <c r="J662" s="50">
        <v>29000</v>
      </c>
      <c r="K662" s="56"/>
      <c r="L662" s="46">
        <f t="shared" si="43"/>
        <v>7785629.9999999991</v>
      </c>
    </row>
    <row r="663" spans="2:12" x14ac:dyDescent="0.35">
      <c r="B663" s="142"/>
      <c r="C663" s="143"/>
      <c r="D663" s="130"/>
      <c r="E663" s="131"/>
      <c r="F663" s="132" t="s">
        <v>89</v>
      </c>
      <c r="G663" s="72" t="s">
        <v>556</v>
      </c>
      <c r="H663" s="243">
        <v>268.46999999999997</v>
      </c>
      <c r="I663" s="72" t="s">
        <v>87</v>
      </c>
      <c r="J663" s="50">
        <v>29000</v>
      </c>
      <c r="K663" s="56"/>
      <c r="L663" s="46">
        <f t="shared" si="43"/>
        <v>7785629.9999999991</v>
      </c>
    </row>
    <row r="664" spans="2:12" x14ac:dyDescent="0.35">
      <c r="B664" s="174"/>
      <c r="C664" s="175"/>
      <c r="D664" s="176" t="s">
        <v>47</v>
      </c>
      <c r="E664" s="163"/>
      <c r="F664" s="163" t="s">
        <v>118</v>
      </c>
      <c r="G664" s="164"/>
      <c r="H664" s="178"/>
      <c r="I664" s="164"/>
      <c r="J664" s="29"/>
      <c r="K664" s="51"/>
      <c r="L664" s="46"/>
    </row>
    <row r="665" spans="2:12" x14ac:dyDescent="0.35">
      <c r="B665" s="96"/>
      <c r="C665" s="97"/>
      <c r="D665" s="98"/>
      <c r="E665" s="99"/>
      <c r="F665" s="100" t="s">
        <v>89</v>
      </c>
      <c r="G665" s="101" t="s">
        <v>557</v>
      </c>
      <c r="H665" s="102">
        <v>227.54952</v>
      </c>
      <c r="I665" s="103" t="s">
        <v>87</v>
      </c>
      <c r="J665" s="50">
        <v>29000</v>
      </c>
      <c r="K665" s="56"/>
      <c r="L665" s="46">
        <f t="shared" ref="L665:L674" si="44">J665*H665</f>
        <v>6598936.0800000001</v>
      </c>
    </row>
    <row r="666" spans="2:12" x14ac:dyDescent="0.35">
      <c r="B666" s="96"/>
      <c r="C666" s="97"/>
      <c r="D666" s="98"/>
      <c r="E666" s="99"/>
      <c r="F666" s="100" t="s">
        <v>89</v>
      </c>
      <c r="G666" s="101" t="s">
        <v>558</v>
      </c>
      <c r="H666" s="102">
        <v>1648.7637599999998</v>
      </c>
      <c r="I666" s="103" t="s">
        <v>87</v>
      </c>
      <c r="J666" s="50">
        <v>29000</v>
      </c>
      <c r="K666" s="56"/>
      <c r="L666" s="46">
        <f t="shared" si="44"/>
        <v>47814149.039999992</v>
      </c>
    </row>
    <row r="667" spans="2:12" x14ac:dyDescent="0.35">
      <c r="B667" s="96"/>
      <c r="C667" s="97"/>
      <c r="D667" s="98"/>
      <c r="E667" s="99"/>
      <c r="F667" s="100" t="s">
        <v>89</v>
      </c>
      <c r="G667" s="101" t="s">
        <v>559</v>
      </c>
      <c r="H667" s="102">
        <v>6.7824</v>
      </c>
      <c r="I667" s="103" t="s">
        <v>87</v>
      </c>
      <c r="J667" s="50">
        <v>29000</v>
      </c>
      <c r="K667" s="56"/>
      <c r="L667" s="46">
        <f t="shared" si="44"/>
        <v>196689.6</v>
      </c>
    </row>
    <row r="668" spans="2:12" x14ac:dyDescent="0.35">
      <c r="B668" s="96"/>
      <c r="C668" s="97"/>
      <c r="D668" s="98"/>
      <c r="E668" s="99"/>
      <c r="F668" s="100" t="s">
        <v>89</v>
      </c>
      <c r="G668" s="101" t="s">
        <v>560</v>
      </c>
      <c r="H668" s="102">
        <v>6.7824</v>
      </c>
      <c r="I668" s="103" t="s">
        <v>87</v>
      </c>
      <c r="J668" s="50">
        <v>29000</v>
      </c>
      <c r="K668" s="56"/>
      <c r="L668" s="46">
        <f t="shared" si="44"/>
        <v>196689.6</v>
      </c>
    </row>
    <row r="669" spans="2:12" x14ac:dyDescent="0.35">
      <c r="B669" s="96"/>
      <c r="C669" s="97"/>
      <c r="D669" s="98"/>
      <c r="E669" s="99"/>
      <c r="F669" s="100" t="s">
        <v>89</v>
      </c>
      <c r="G669" s="101" t="s">
        <v>561</v>
      </c>
      <c r="H669" s="102">
        <v>13.5648</v>
      </c>
      <c r="I669" s="103" t="s">
        <v>87</v>
      </c>
      <c r="J669" s="50">
        <v>29000</v>
      </c>
      <c r="K669" s="56"/>
      <c r="L669" s="46">
        <f t="shared" si="44"/>
        <v>393379.2</v>
      </c>
    </row>
    <row r="670" spans="2:12" x14ac:dyDescent="0.35">
      <c r="B670" s="96"/>
      <c r="C670" s="97"/>
      <c r="D670" s="98"/>
      <c r="E670" s="99"/>
      <c r="F670" s="100" t="s">
        <v>89</v>
      </c>
      <c r="G670" s="101" t="s">
        <v>562</v>
      </c>
      <c r="H670" s="102">
        <v>8.9678399999999989</v>
      </c>
      <c r="I670" s="103" t="s">
        <v>87</v>
      </c>
      <c r="J670" s="50">
        <v>29000</v>
      </c>
      <c r="K670" s="56"/>
      <c r="L670" s="46">
        <f t="shared" si="44"/>
        <v>260067.35999999996</v>
      </c>
    </row>
    <row r="671" spans="2:12" x14ac:dyDescent="0.35">
      <c r="B671" s="96"/>
      <c r="C671" s="97"/>
      <c r="D671" s="98"/>
      <c r="E671" s="99"/>
      <c r="F671" s="100" t="s">
        <v>89</v>
      </c>
      <c r="G671" s="101" t="s">
        <v>563</v>
      </c>
      <c r="H671" s="102">
        <v>16.006463999999998</v>
      </c>
      <c r="I671" s="103" t="s">
        <v>87</v>
      </c>
      <c r="J671" s="50">
        <v>29000</v>
      </c>
      <c r="K671" s="56"/>
      <c r="L671" s="46">
        <f t="shared" si="44"/>
        <v>464187.45599999995</v>
      </c>
    </row>
    <row r="672" spans="2:12" x14ac:dyDescent="0.35">
      <c r="B672" s="96"/>
      <c r="C672" s="97"/>
      <c r="D672" s="98"/>
      <c r="E672" s="99"/>
      <c r="F672" s="100" t="s">
        <v>89</v>
      </c>
      <c r="G672" s="101" t="s">
        <v>564</v>
      </c>
      <c r="H672" s="102">
        <v>15.825599999999998</v>
      </c>
      <c r="I672" s="103" t="s">
        <v>87</v>
      </c>
      <c r="J672" s="50">
        <v>29000</v>
      </c>
      <c r="K672" s="56"/>
      <c r="L672" s="46">
        <f t="shared" si="44"/>
        <v>458942.39999999997</v>
      </c>
    </row>
    <row r="673" spans="2:12" x14ac:dyDescent="0.35">
      <c r="B673" s="96"/>
      <c r="C673" s="97"/>
      <c r="D673" s="98"/>
      <c r="E673" s="99"/>
      <c r="F673" s="100" t="s">
        <v>89</v>
      </c>
      <c r="G673" s="101" t="s">
        <v>565</v>
      </c>
      <c r="H673" s="102">
        <v>108.51839999999999</v>
      </c>
      <c r="I673" s="103" t="s">
        <v>87</v>
      </c>
      <c r="J673" s="50">
        <v>29000</v>
      </c>
      <c r="K673" s="56"/>
      <c r="L673" s="46">
        <f t="shared" si="44"/>
        <v>3147033.5999999996</v>
      </c>
    </row>
    <row r="674" spans="2:12" x14ac:dyDescent="0.35">
      <c r="B674" s="96"/>
      <c r="C674" s="97"/>
      <c r="D674" s="98"/>
      <c r="E674" s="99"/>
      <c r="F674" s="100" t="s">
        <v>89</v>
      </c>
      <c r="G674" s="101" t="s">
        <v>566</v>
      </c>
      <c r="H674" s="102">
        <v>1111.2962399999999</v>
      </c>
      <c r="I674" s="103" t="s">
        <v>87</v>
      </c>
      <c r="J674" s="50">
        <v>29000</v>
      </c>
      <c r="K674" s="56"/>
      <c r="L674" s="46">
        <f t="shared" si="44"/>
        <v>32227590.959999997</v>
      </c>
    </row>
    <row r="675" spans="2:12" x14ac:dyDescent="0.35">
      <c r="B675" s="47"/>
      <c r="C675" s="48"/>
      <c r="D675" s="24"/>
      <c r="G675" s="22"/>
      <c r="I675" s="22"/>
      <c r="J675" s="50"/>
      <c r="K675" s="29"/>
      <c r="L675" s="52"/>
    </row>
    <row r="676" spans="2:12" x14ac:dyDescent="0.35">
      <c r="B676" s="8"/>
      <c r="C676" s="9"/>
      <c r="D676" s="10"/>
      <c r="E676" s="4"/>
      <c r="F676" s="4"/>
      <c r="G676" s="4"/>
      <c r="H676" s="1"/>
      <c r="I676" s="1"/>
      <c r="J676" s="11" t="s">
        <v>8</v>
      </c>
      <c r="K676" s="7">
        <f>SUM(K623:K675)</f>
        <v>0</v>
      </c>
      <c r="L676" s="7">
        <f>SUM(L623:L675)</f>
        <v>197727409.77599999</v>
      </c>
    </row>
    <row r="677" spans="2:12" x14ac:dyDescent="0.35">
      <c r="B677" s="8"/>
      <c r="C677" s="9"/>
      <c r="D677" s="9"/>
      <c r="E677" s="4"/>
      <c r="F677" s="4"/>
      <c r="G677" s="4"/>
      <c r="H677" s="1"/>
      <c r="I677" s="1"/>
      <c r="J677" s="11"/>
      <c r="K677" s="35" t="s">
        <v>22</v>
      </c>
      <c r="L677" s="36" t="s">
        <v>23</v>
      </c>
    </row>
    <row r="678" spans="2:12" x14ac:dyDescent="0.35">
      <c r="B678" s="3" t="s">
        <v>9</v>
      </c>
      <c r="C678" s="4"/>
      <c r="D678" s="4"/>
      <c r="E678" s="4"/>
      <c r="F678" s="4"/>
      <c r="G678" s="4"/>
      <c r="H678" s="1"/>
      <c r="I678" s="1"/>
      <c r="J678" s="12"/>
      <c r="K678" s="12"/>
      <c r="L678" s="13"/>
    </row>
    <row r="679" spans="2:12" x14ac:dyDescent="0.35">
      <c r="B679" s="37"/>
      <c r="C679" s="1"/>
      <c r="D679" s="1"/>
      <c r="E679" s="38"/>
      <c r="F679" s="38"/>
      <c r="G679" s="38"/>
      <c r="H679" s="1"/>
      <c r="I679" s="1"/>
      <c r="J679" s="1"/>
      <c r="K679" s="1"/>
      <c r="L679" s="19"/>
    </row>
    <row r="680" spans="2:12" x14ac:dyDescent="0.35">
      <c r="B680" s="28" t="s">
        <v>6</v>
      </c>
      <c r="C680" s="27"/>
      <c r="D680" s="27"/>
      <c r="E680" s="26"/>
      <c r="F680" s="26"/>
      <c r="G680" s="5"/>
      <c r="K680" s="284" t="s">
        <v>1600</v>
      </c>
      <c r="L680" s="285"/>
    </row>
    <row r="681" spans="2:12" x14ac:dyDescent="0.35">
      <c r="B681" s="28">
        <v>1</v>
      </c>
      <c r="C681" s="27"/>
      <c r="D681" s="27"/>
      <c r="E681" s="26" t="s">
        <v>7</v>
      </c>
      <c r="F681" s="26"/>
      <c r="G681" s="5"/>
      <c r="K681" s="284" t="s">
        <v>28</v>
      </c>
      <c r="L681" s="285"/>
    </row>
    <row r="682" spans="2:12" x14ac:dyDescent="0.35">
      <c r="B682" s="39"/>
      <c r="C682" s="27"/>
      <c r="D682" s="27"/>
      <c r="E682" s="26"/>
      <c r="F682" s="26"/>
      <c r="G682" s="5"/>
      <c r="J682" s="25"/>
      <c r="K682" s="25"/>
      <c r="L682" s="24"/>
    </row>
    <row r="683" spans="2:12" x14ac:dyDescent="0.35">
      <c r="B683" s="28"/>
      <c r="C683" s="27"/>
      <c r="D683" s="27"/>
      <c r="E683" s="26"/>
      <c r="F683" s="26"/>
      <c r="G683" s="5"/>
      <c r="L683" s="22"/>
    </row>
    <row r="684" spans="2:12" x14ac:dyDescent="0.35">
      <c r="B684" s="45"/>
      <c r="E684" s="5"/>
      <c r="F684" s="5"/>
      <c r="G684" s="5"/>
      <c r="L684" s="22"/>
    </row>
    <row r="685" spans="2:12" x14ac:dyDescent="0.35">
      <c r="B685" s="45"/>
      <c r="E685" s="5"/>
      <c r="F685" s="5"/>
      <c r="G685" s="5"/>
      <c r="L685" s="22"/>
    </row>
    <row r="686" spans="2:12" x14ac:dyDescent="0.35">
      <c r="B686" s="45"/>
      <c r="E686" s="5"/>
      <c r="F686" s="5"/>
      <c r="G686" s="5"/>
      <c r="L686" s="22"/>
    </row>
    <row r="687" spans="2:12" x14ac:dyDescent="0.35">
      <c r="B687" s="45"/>
      <c r="E687" s="5"/>
      <c r="F687" s="5"/>
      <c r="G687" s="5"/>
      <c r="J687" s="40"/>
      <c r="K687" s="286" t="s">
        <v>36</v>
      </c>
      <c r="L687" s="287"/>
    </row>
    <row r="688" spans="2:12" x14ac:dyDescent="0.35">
      <c r="B688" s="45"/>
      <c r="K688" s="288" t="s">
        <v>37</v>
      </c>
      <c r="L688" s="289"/>
    </row>
    <row r="689" spans="2:12" x14ac:dyDescent="0.35">
      <c r="B689" s="290"/>
      <c r="C689" s="291"/>
      <c r="D689" s="291"/>
      <c r="E689" s="41"/>
      <c r="F689" s="41"/>
      <c r="G689" s="41"/>
      <c r="H689" s="2"/>
      <c r="I689" s="2"/>
      <c r="J689" s="2"/>
      <c r="K689" s="2"/>
      <c r="L689" s="21"/>
    </row>
    <row r="690" spans="2:12" x14ac:dyDescent="0.35">
      <c r="B690" s="47"/>
      <c r="C690" s="48"/>
      <c r="D690" s="49"/>
      <c r="G690" s="22"/>
      <c r="H690" s="1"/>
      <c r="I690" s="1"/>
      <c r="J690" s="43"/>
      <c r="K690" s="30"/>
      <c r="L690" s="44"/>
    </row>
    <row r="691" spans="2:12" x14ac:dyDescent="0.35">
      <c r="B691" s="96"/>
      <c r="C691" s="97"/>
      <c r="D691" s="98"/>
      <c r="E691" s="99"/>
      <c r="F691" s="100" t="s">
        <v>89</v>
      </c>
      <c r="G691" s="101" t="s">
        <v>567</v>
      </c>
      <c r="H691" s="102">
        <v>324.65087999999997</v>
      </c>
      <c r="I691" s="103" t="s">
        <v>87</v>
      </c>
      <c r="J691" s="50">
        <v>29000</v>
      </c>
      <c r="K691" s="56"/>
      <c r="L691" s="46">
        <f t="shared" ref="L691:L694" si="45">J691*H691</f>
        <v>9414875.5199999996</v>
      </c>
    </row>
    <row r="692" spans="2:12" x14ac:dyDescent="0.35">
      <c r="B692" s="96"/>
      <c r="C692" s="97"/>
      <c r="D692" s="98"/>
      <c r="E692" s="99"/>
      <c r="F692" s="100" t="s">
        <v>89</v>
      </c>
      <c r="G692" s="101" t="s">
        <v>568</v>
      </c>
      <c r="H692" s="102">
        <v>236.12799999999999</v>
      </c>
      <c r="I692" s="103" t="s">
        <v>87</v>
      </c>
      <c r="J692" s="50">
        <v>29000</v>
      </c>
      <c r="K692" s="56"/>
      <c r="L692" s="46">
        <f t="shared" si="45"/>
        <v>6847712</v>
      </c>
    </row>
    <row r="693" spans="2:12" x14ac:dyDescent="0.35">
      <c r="B693" s="96"/>
      <c r="C693" s="97"/>
      <c r="D693" s="98"/>
      <c r="E693" s="99"/>
      <c r="F693" s="100" t="s">
        <v>89</v>
      </c>
      <c r="G693" s="101" t="s">
        <v>569</v>
      </c>
      <c r="H693" s="102">
        <v>96.460799999999978</v>
      </c>
      <c r="I693" s="103" t="s">
        <v>87</v>
      </c>
      <c r="J693" s="50">
        <v>29000</v>
      </c>
      <c r="K693" s="56"/>
      <c r="L693" s="46">
        <f t="shared" si="45"/>
        <v>2797363.1999999993</v>
      </c>
    </row>
    <row r="694" spans="2:12" x14ac:dyDescent="0.35">
      <c r="B694" s="96"/>
      <c r="C694" s="97"/>
      <c r="D694" s="98"/>
      <c r="E694" s="99"/>
      <c r="F694" s="100" t="s">
        <v>89</v>
      </c>
      <c r="G694" s="101" t="s">
        <v>570</v>
      </c>
      <c r="H694" s="102">
        <v>197.59391999999994</v>
      </c>
      <c r="I694" s="103" t="s">
        <v>87</v>
      </c>
      <c r="J694" s="50">
        <v>29000</v>
      </c>
      <c r="K694" s="56"/>
      <c r="L694" s="46">
        <f t="shared" si="45"/>
        <v>5730223.6799999978</v>
      </c>
    </row>
    <row r="695" spans="2:12" x14ac:dyDescent="0.35">
      <c r="B695" s="96"/>
      <c r="C695" s="97"/>
      <c r="D695" s="98" t="s">
        <v>49</v>
      </c>
      <c r="E695" s="99"/>
      <c r="F695" s="100" t="s">
        <v>119</v>
      </c>
      <c r="G695" s="101"/>
      <c r="H695" s="102"/>
      <c r="I695" s="103"/>
      <c r="J695" s="65"/>
      <c r="K695" s="65"/>
      <c r="L695" s="46"/>
    </row>
    <row r="696" spans="2:12" x14ac:dyDescent="0.35">
      <c r="B696" s="96"/>
      <c r="C696" s="97"/>
      <c r="D696" s="98"/>
      <c r="E696" s="99"/>
      <c r="F696" s="100" t="s">
        <v>89</v>
      </c>
      <c r="G696" s="101" t="s">
        <v>120</v>
      </c>
      <c r="H696" s="104">
        <v>1</v>
      </c>
      <c r="I696" s="103" t="s">
        <v>46</v>
      </c>
      <c r="J696" s="65"/>
      <c r="K696" s="65"/>
      <c r="L696" s="46"/>
    </row>
    <row r="697" spans="2:12" x14ac:dyDescent="0.35">
      <c r="B697" s="96"/>
      <c r="C697" s="97" t="s">
        <v>121</v>
      </c>
      <c r="D697" s="98"/>
      <c r="E697" s="99"/>
      <c r="F697" s="100" t="s">
        <v>122</v>
      </c>
      <c r="G697" s="101"/>
      <c r="H697" s="102"/>
      <c r="I697" s="103"/>
      <c r="J697" s="65"/>
      <c r="K697" s="65"/>
      <c r="L697" s="46"/>
    </row>
    <row r="698" spans="2:12" x14ac:dyDescent="0.35">
      <c r="B698" s="96"/>
      <c r="C698" s="97"/>
      <c r="D698" s="98" t="s">
        <v>44</v>
      </c>
      <c r="E698" s="99"/>
      <c r="F698" s="100" t="s">
        <v>571</v>
      </c>
      <c r="G698" s="101"/>
      <c r="H698" s="102" t="s">
        <v>572</v>
      </c>
      <c r="I698" s="103"/>
      <c r="J698" s="65"/>
      <c r="K698" s="65"/>
      <c r="L698" s="46"/>
    </row>
    <row r="699" spans="2:12" x14ac:dyDescent="0.35">
      <c r="B699" s="96"/>
      <c r="C699" s="97"/>
      <c r="D699" s="98"/>
      <c r="E699" s="99"/>
      <c r="F699" s="100" t="s">
        <v>89</v>
      </c>
      <c r="G699" s="101" t="s">
        <v>573</v>
      </c>
      <c r="H699" s="102">
        <v>19.782000000000004</v>
      </c>
      <c r="I699" s="103" t="s">
        <v>87</v>
      </c>
      <c r="J699" s="50">
        <v>29000</v>
      </c>
      <c r="K699" s="56"/>
      <c r="L699" s="46">
        <f t="shared" ref="L699:L740" si="46">J699*H699</f>
        <v>573678.00000000012</v>
      </c>
    </row>
    <row r="700" spans="2:12" x14ac:dyDescent="0.35">
      <c r="B700" s="96"/>
      <c r="C700" s="97"/>
      <c r="D700" s="98"/>
      <c r="E700" s="99"/>
      <c r="F700" s="100" t="s">
        <v>89</v>
      </c>
      <c r="G700" s="101" t="s">
        <v>574</v>
      </c>
      <c r="H700" s="102">
        <v>37.680000000000007</v>
      </c>
      <c r="I700" s="103" t="s">
        <v>87</v>
      </c>
      <c r="J700" s="50">
        <v>29000</v>
      </c>
      <c r="K700" s="56"/>
      <c r="L700" s="46">
        <f t="shared" si="46"/>
        <v>1092720.0000000002</v>
      </c>
    </row>
    <row r="701" spans="2:12" x14ac:dyDescent="0.35">
      <c r="B701" s="96"/>
      <c r="C701" s="97"/>
      <c r="D701" s="98"/>
      <c r="E701" s="99"/>
      <c r="F701" s="100" t="s">
        <v>89</v>
      </c>
      <c r="G701" s="101" t="s">
        <v>575</v>
      </c>
      <c r="H701" s="102">
        <v>20.158800000000003</v>
      </c>
      <c r="I701" s="103" t="s">
        <v>87</v>
      </c>
      <c r="J701" s="50">
        <v>29000</v>
      </c>
      <c r="K701" s="56"/>
      <c r="L701" s="46">
        <f t="shared" si="46"/>
        <v>584605.20000000007</v>
      </c>
    </row>
    <row r="702" spans="2:12" x14ac:dyDescent="0.35">
      <c r="B702" s="96"/>
      <c r="C702" s="97"/>
      <c r="D702" s="98"/>
      <c r="E702" s="99"/>
      <c r="F702" s="100" t="s">
        <v>89</v>
      </c>
      <c r="G702" s="101" t="s">
        <v>576</v>
      </c>
      <c r="H702" s="102">
        <v>19.782000000000004</v>
      </c>
      <c r="I702" s="103" t="s">
        <v>87</v>
      </c>
      <c r="J702" s="50">
        <v>29000</v>
      </c>
      <c r="K702" s="56"/>
      <c r="L702" s="46">
        <f t="shared" si="46"/>
        <v>573678.00000000012</v>
      </c>
    </row>
    <row r="703" spans="2:12" x14ac:dyDescent="0.35">
      <c r="B703" s="96"/>
      <c r="C703" s="97"/>
      <c r="D703" s="98"/>
      <c r="E703" s="99"/>
      <c r="F703" s="100" t="s">
        <v>89</v>
      </c>
      <c r="G703" s="101" t="s">
        <v>577</v>
      </c>
      <c r="H703" s="102">
        <v>35.230800000000002</v>
      </c>
      <c r="I703" s="103" t="s">
        <v>87</v>
      </c>
      <c r="J703" s="50">
        <v>29000</v>
      </c>
      <c r="K703" s="56"/>
      <c r="L703" s="46">
        <f t="shared" si="46"/>
        <v>1021693.2000000001</v>
      </c>
    </row>
    <row r="704" spans="2:12" x14ac:dyDescent="0.35">
      <c r="B704" s="96"/>
      <c r="C704" s="97"/>
      <c r="D704" s="98"/>
      <c r="E704" s="99"/>
      <c r="F704" s="100" t="s">
        <v>89</v>
      </c>
      <c r="G704" s="101" t="s">
        <v>578</v>
      </c>
      <c r="H704" s="102">
        <v>20.818199999999997</v>
      </c>
      <c r="I704" s="103" t="s">
        <v>87</v>
      </c>
      <c r="J704" s="50">
        <v>29000</v>
      </c>
      <c r="K704" s="56"/>
      <c r="L704" s="46">
        <f t="shared" si="46"/>
        <v>603727.79999999993</v>
      </c>
    </row>
    <row r="705" spans="2:12" x14ac:dyDescent="0.35">
      <c r="B705" s="96"/>
      <c r="C705" s="97"/>
      <c r="D705" s="98"/>
      <c r="E705" s="99"/>
      <c r="F705" s="100" t="s">
        <v>89</v>
      </c>
      <c r="G705" s="101" t="s">
        <v>579</v>
      </c>
      <c r="H705" s="102">
        <v>33.912000000000006</v>
      </c>
      <c r="I705" s="103" t="s">
        <v>87</v>
      </c>
      <c r="J705" s="50">
        <v>29000</v>
      </c>
      <c r="K705" s="56"/>
      <c r="L705" s="46">
        <f t="shared" si="46"/>
        <v>983448.00000000023</v>
      </c>
    </row>
    <row r="706" spans="2:12" x14ac:dyDescent="0.35">
      <c r="B706" s="96"/>
      <c r="C706" s="97"/>
      <c r="D706" s="98"/>
      <c r="E706" s="99"/>
      <c r="F706" s="100" t="s">
        <v>89</v>
      </c>
      <c r="G706" s="101" t="s">
        <v>580</v>
      </c>
      <c r="H706" s="102">
        <v>2.2608000000000001</v>
      </c>
      <c r="I706" s="103" t="s">
        <v>87</v>
      </c>
      <c r="J706" s="50">
        <v>29000</v>
      </c>
      <c r="K706" s="56"/>
      <c r="L706" s="46">
        <f t="shared" si="46"/>
        <v>65563.199999999997</v>
      </c>
    </row>
    <row r="707" spans="2:12" x14ac:dyDescent="0.35">
      <c r="B707" s="96"/>
      <c r="C707" s="97"/>
      <c r="D707" s="98"/>
      <c r="E707" s="99"/>
      <c r="F707" s="100" t="s">
        <v>89</v>
      </c>
      <c r="G707" s="101" t="s">
        <v>581</v>
      </c>
      <c r="H707" s="102">
        <v>41.636399999999995</v>
      </c>
      <c r="I707" s="103" t="s">
        <v>87</v>
      </c>
      <c r="J707" s="50">
        <v>29000</v>
      </c>
      <c r="K707" s="56"/>
      <c r="L707" s="46">
        <f t="shared" si="46"/>
        <v>1207455.5999999999</v>
      </c>
    </row>
    <row r="708" spans="2:12" x14ac:dyDescent="0.35">
      <c r="B708" s="96"/>
      <c r="C708" s="97"/>
      <c r="D708" s="98"/>
      <c r="E708" s="99"/>
      <c r="F708" s="100" t="s">
        <v>89</v>
      </c>
      <c r="G708" s="101" t="s">
        <v>582</v>
      </c>
      <c r="H708" s="102">
        <v>216.16679999999999</v>
      </c>
      <c r="I708" s="103" t="s">
        <v>87</v>
      </c>
      <c r="J708" s="50">
        <v>29000</v>
      </c>
      <c r="K708" s="56"/>
      <c r="L708" s="46">
        <f t="shared" si="46"/>
        <v>6268837.2000000002</v>
      </c>
    </row>
    <row r="709" spans="2:12" x14ac:dyDescent="0.35">
      <c r="B709" s="96"/>
      <c r="C709" s="97"/>
      <c r="D709" s="98"/>
      <c r="E709" s="99"/>
      <c r="F709" s="100" t="s">
        <v>89</v>
      </c>
      <c r="G709" s="101" t="s">
        <v>583</v>
      </c>
      <c r="H709" s="102">
        <v>185.62799999999999</v>
      </c>
      <c r="I709" s="103" t="s">
        <v>87</v>
      </c>
      <c r="J709" s="50">
        <v>29000</v>
      </c>
      <c r="K709" s="56"/>
      <c r="L709" s="46">
        <f t="shared" si="46"/>
        <v>5383212</v>
      </c>
    </row>
    <row r="710" spans="2:12" x14ac:dyDescent="0.35">
      <c r="B710" s="96"/>
      <c r="C710" s="97"/>
      <c r="D710" s="98"/>
      <c r="E710" s="99"/>
      <c r="F710" s="100" t="s">
        <v>89</v>
      </c>
      <c r="G710" s="101" t="s">
        <v>584</v>
      </c>
      <c r="H710" s="102">
        <v>216.16679999999999</v>
      </c>
      <c r="I710" s="103" t="s">
        <v>87</v>
      </c>
      <c r="J710" s="50">
        <v>29000</v>
      </c>
      <c r="K710" s="56"/>
      <c r="L710" s="46">
        <f t="shared" si="46"/>
        <v>6268837.2000000002</v>
      </c>
    </row>
    <row r="711" spans="2:12" x14ac:dyDescent="0.35">
      <c r="B711" s="96"/>
      <c r="C711" s="97"/>
      <c r="D711" s="98"/>
      <c r="E711" s="99"/>
      <c r="F711" s="100" t="s">
        <v>89</v>
      </c>
      <c r="G711" s="101" t="s">
        <v>585</v>
      </c>
      <c r="H711" s="102">
        <v>185.62799999999999</v>
      </c>
      <c r="I711" s="103" t="s">
        <v>87</v>
      </c>
      <c r="J711" s="50">
        <v>29000</v>
      </c>
      <c r="K711" s="56"/>
      <c r="L711" s="46">
        <f t="shared" si="46"/>
        <v>5383212</v>
      </c>
    </row>
    <row r="712" spans="2:12" x14ac:dyDescent="0.35">
      <c r="B712" s="96"/>
      <c r="C712" s="97"/>
      <c r="D712" s="98"/>
      <c r="E712" s="99"/>
      <c r="F712" s="100" t="s">
        <v>89</v>
      </c>
      <c r="G712" s="101" t="s">
        <v>586</v>
      </c>
      <c r="H712" s="102">
        <v>104.56200000000001</v>
      </c>
      <c r="I712" s="103" t="s">
        <v>87</v>
      </c>
      <c r="J712" s="50">
        <v>29000</v>
      </c>
      <c r="K712" s="56"/>
      <c r="L712" s="46">
        <f t="shared" si="46"/>
        <v>3032298.0000000005</v>
      </c>
    </row>
    <row r="713" spans="2:12" x14ac:dyDescent="0.35">
      <c r="B713" s="96"/>
      <c r="C713" s="97"/>
      <c r="D713" s="98"/>
      <c r="E713" s="99"/>
      <c r="F713" s="100" t="s">
        <v>89</v>
      </c>
      <c r="G713" s="101" t="s">
        <v>587</v>
      </c>
      <c r="H713" s="102">
        <v>3.5796000000000006</v>
      </c>
      <c r="I713" s="103" t="s">
        <v>87</v>
      </c>
      <c r="J713" s="50">
        <v>29000</v>
      </c>
      <c r="K713" s="56"/>
      <c r="L713" s="46">
        <f t="shared" si="46"/>
        <v>103808.40000000002</v>
      </c>
    </row>
    <row r="714" spans="2:12" x14ac:dyDescent="0.35">
      <c r="B714" s="96"/>
      <c r="C714" s="97"/>
      <c r="D714" s="98"/>
      <c r="E714" s="99"/>
      <c r="F714" s="100" t="s">
        <v>89</v>
      </c>
      <c r="G714" s="101" t="s">
        <v>588</v>
      </c>
      <c r="H714" s="102">
        <v>24.981839999999995</v>
      </c>
      <c r="I714" s="103" t="s">
        <v>87</v>
      </c>
      <c r="J714" s="50">
        <v>29000</v>
      </c>
      <c r="K714" s="56"/>
      <c r="L714" s="46">
        <f t="shared" si="46"/>
        <v>724473.35999999987</v>
      </c>
    </row>
    <row r="715" spans="2:12" x14ac:dyDescent="0.35">
      <c r="B715" s="96"/>
      <c r="C715" s="97"/>
      <c r="D715" s="98"/>
      <c r="E715" s="99"/>
      <c r="F715" s="100" t="s">
        <v>89</v>
      </c>
      <c r="G715" s="101" t="s">
        <v>589</v>
      </c>
      <c r="H715" s="102">
        <v>216.16679999999999</v>
      </c>
      <c r="I715" s="103" t="s">
        <v>87</v>
      </c>
      <c r="J715" s="50">
        <v>29000</v>
      </c>
      <c r="K715" s="56"/>
      <c r="L715" s="46">
        <f t="shared" si="46"/>
        <v>6268837.2000000002</v>
      </c>
    </row>
    <row r="716" spans="2:12" x14ac:dyDescent="0.35">
      <c r="B716" s="96"/>
      <c r="C716" s="97"/>
      <c r="D716" s="98"/>
      <c r="E716" s="99"/>
      <c r="F716" s="100" t="s">
        <v>89</v>
      </c>
      <c r="G716" s="101" t="s">
        <v>590</v>
      </c>
      <c r="H716" s="102">
        <v>185.62799999999999</v>
      </c>
      <c r="I716" s="103" t="s">
        <v>87</v>
      </c>
      <c r="J716" s="50">
        <v>29000</v>
      </c>
      <c r="K716" s="56"/>
      <c r="L716" s="46">
        <f t="shared" si="46"/>
        <v>5383212</v>
      </c>
    </row>
    <row r="717" spans="2:12" x14ac:dyDescent="0.35">
      <c r="B717" s="96"/>
      <c r="C717" s="97"/>
      <c r="D717" s="98"/>
      <c r="E717" s="99"/>
      <c r="F717" s="100" t="s">
        <v>89</v>
      </c>
      <c r="G717" s="101" t="s">
        <v>591</v>
      </c>
      <c r="H717" s="102">
        <v>10.362000000000002</v>
      </c>
      <c r="I717" s="103" t="s">
        <v>87</v>
      </c>
      <c r="J717" s="50">
        <v>29000</v>
      </c>
      <c r="K717" s="56"/>
      <c r="L717" s="46">
        <f t="shared" si="46"/>
        <v>300498.00000000006</v>
      </c>
    </row>
    <row r="718" spans="2:12" x14ac:dyDescent="0.35">
      <c r="B718" s="96"/>
      <c r="C718" s="97"/>
      <c r="D718" s="98"/>
      <c r="E718" s="99"/>
      <c r="F718" s="100" t="s">
        <v>89</v>
      </c>
      <c r="G718" s="101" t="s">
        <v>592</v>
      </c>
      <c r="H718" s="102">
        <v>16.390800000000002</v>
      </c>
      <c r="I718" s="103" t="s">
        <v>87</v>
      </c>
      <c r="J718" s="50">
        <v>29000</v>
      </c>
      <c r="K718" s="56"/>
      <c r="L718" s="46">
        <f t="shared" si="46"/>
        <v>475333.20000000007</v>
      </c>
    </row>
    <row r="719" spans="2:12" x14ac:dyDescent="0.35">
      <c r="B719" s="96"/>
      <c r="C719" s="97"/>
      <c r="D719" s="98"/>
      <c r="E719" s="99"/>
      <c r="F719" s="100" t="s">
        <v>89</v>
      </c>
      <c r="G719" s="101" t="s">
        <v>593</v>
      </c>
      <c r="H719" s="102">
        <v>16.956000000000003</v>
      </c>
      <c r="I719" s="103" t="s">
        <v>87</v>
      </c>
      <c r="J719" s="50">
        <v>29000</v>
      </c>
      <c r="K719" s="56"/>
      <c r="L719" s="46">
        <f t="shared" si="46"/>
        <v>491724.00000000012</v>
      </c>
    </row>
    <row r="720" spans="2:12" x14ac:dyDescent="0.35">
      <c r="B720" s="96"/>
      <c r="C720" s="97"/>
      <c r="D720" s="98"/>
      <c r="E720" s="99"/>
      <c r="F720" s="100" t="s">
        <v>89</v>
      </c>
      <c r="G720" s="101" t="s">
        <v>594</v>
      </c>
      <c r="H720" s="102">
        <v>34.477200000000003</v>
      </c>
      <c r="I720" s="103" t="s">
        <v>87</v>
      </c>
      <c r="J720" s="50">
        <v>29000</v>
      </c>
      <c r="K720" s="56"/>
      <c r="L720" s="46">
        <f t="shared" si="46"/>
        <v>999838.8</v>
      </c>
    </row>
    <row r="721" spans="2:12" x14ac:dyDescent="0.35">
      <c r="B721" s="96"/>
      <c r="C721" s="97"/>
      <c r="D721" s="98"/>
      <c r="E721" s="99"/>
      <c r="F721" s="100" t="s">
        <v>89</v>
      </c>
      <c r="G721" s="101" t="s">
        <v>595</v>
      </c>
      <c r="H721" s="102">
        <v>19.782000000000004</v>
      </c>
      <c r="I721" s="103" t="s">
        <v>87</v>
      </c>
      <c r="J721" s="50">
        <v>29000</v>
      </c>
      <c r="K721" s="56"/>
      <c r="L721" s="46">
        <f t="shared" si="46"/>
        <v>573678.00000000012</v>
      </c>
    </row>
    <row r="722" spans="2:12" x14ac:dyDescent="0.35">
      <c r="B722" s="96"/>
      <c r="C722" s="97"/>
      <c r="D722" s="98"/>
      <c r="E722" s="99"/>
      <c r="F722" s="100" t="s">
        <v>89</v>
      </c>
      <c r="G722" s="101" t="s">
        <v>596</v>
      </c>
      <c r="H722" s="102">
        <v>34.477200000000003</v>
      </c>
      <c r="I722" s="103" t="s">
        <v>87</v>
      </c>
      <c r="J722" s="50">
        <v>29000</v>
      </c>
      <c r="K722" s="56"/>
      <c r="L722" s="46">
        <f t="shared" si="46"/>
        <v>999838.8</v>
      </c>
    </row>
    <row r="723" spans="2:12" x14ac:dyDescent="0.35">
      <c r="B723" s="96"/>
      <c r="C723" s="97"/>
      <c r="D723" s="98"/>
      <c r="E723" s="99"/>
      <c r="F723" s="100" t="s">
        <v>89</v>
      </c>
      <c r="G723" s="101" t="s">
        <v>597</v>
      </c>
      <c r="H723" s="102">
        <v>3.5796000000000006</v>
      </c>
      <c r="I723" s="103" t="s">
        <v>87</v>
      </c>
      <c r="J723" s="50">
        <v>29000</v>
      </c>
      <c r="K723" s="56"/>
      <c r="L723" s="46">
        <f t="shared" si="46"/>
        <v>103808.40000000002</v>
      </c>
    </row>
    <row r="724" spans="2:12" x14ac:dyDescent="0.35">
      <c r="B724" s="96"/>
      <c r="C724" s="97"/>
      <c r="D724" s="98"/>
      <c r="E724" s="99"/>
      <c r="F724" s="100" t="s">
        <v>89</v>
      </c>
      <c r="G724" s="101" t="s">
        <v>598</v>
      </c>
      <c r="H724" s="102">
        <v>29.145479999999992</v>
      </c>
      <c r="I724" s="103" t="s">
        <v>87</v>
      </c>
      <c r="J724" s="50">
        <v>29000</v>
      </c>
      <c r="K724" s="56"/>
      <c r="L724" s="46">
        <f t="shared" si="46"/>
        <v>845218.91999999981</v>
      </c>
    </row>
    <row r="725" spans="2:12" x14ac:dyDescent="0.35">
      <c r="B725" s="96"/>
      <c r="C725" s="97"/>
      <c r="D725" s="98"/>
      <c r="E725" s="99"/>
      <c r="F725" s="100" t="s">
        <v>89</v>
      </c>
      <c r="G725" s="101" t="s">
        <v>599</v>
      </c>
      <c r="H725" s="102">
        <v>216.16679999999999</v>
      </c>
      <c r="I725" s="103" t="s">
        <v>87</v>
      </c>
      <c r="J725" s="50">
        <v>29000</v>
      </c>
      <c r="K725" s="56"/>
      <c r="L725" s="46">
        <f t="shared" si="46"/>
        <v>6268837.2000000002</v>
      </c>
    </row>
    <row r="726" spans="2:12" x14ac:dyDescent="0.35">
      <c r="B726" s="96"/>
      <c r="C726" s="97"/>
      <c r="D726" s="98"/>
      <c r="E726" s="99"/>
      <c r="F726" s="100" t="s">
        <v>89</v>
      </c>
      <c r="G726" s="101" t="s">
        <v>600</v>
      </c>
      <c r="H726" s="102">
        <v>185.62799999999999</v>
      </c>
      <c r="I726" s="103" t="s">
        <v>87</v>
      </c>
      <c r="J726" s="50">
        <v>29000</v>
      </c>
      <c r="K726" s="56"/>
      <c r="L726" s="46">
        <f t="shared" si="46"/>
        <v>5383212</v>
      </c>
    </row>
    <row r="727" spans="2:12" x14ac:dyDescent="0.35">
      <c r="B727" s="96"/>
      <c r="C727" s="97"/>
      <c r="D727" s="98"/>
      <c r="E727" s="99"/>
      <c r="F727" s="100" t="s">
        <v>89</v>
      </c>
      <c r="G727" s="101" t="s">
        <v>601</v>
      </c>
      <c r="H727" s="102">
        <v>33.912000000000006</v>
      </c>
      <c r="I727" s="103" t="s">
        <v>87</v>
      </c>
      <c r="J727" s="50">
        <v>29000</v>
      </c>
      <c r="K727" s="56"/>
      <c r="L727" s="46">
        <f t="shared" si="46"/>
        <v>983448.00000000023</v>
      </c>
    </row>
    <row r="728" spans="2:12" x14ac:dyDescent="0.35">
      <c r="B728" s="96"/>
      <c r="C728" s="97"/>
      <c r="D728" s="98"/>
      <c r="E728" s="99"/>
      <c r="F728" s="100" t="s">
        <v>89</v>
      </c>
      <c r="G728" s="101" t="s">
        <v>602</v>
      </c>
      <c r="H728" s="102">
        <v>10.362000000000002</v>
      </c>
      <c r="I728" s="103" t="s">
        <v>87</v>
      </c>
      <c r="J728" s="50">
        <v>29000</v>
      </c>
      <c r="K728" s="56"/>
      <c r="L728" s="46">
        <f t="shared" si="46"/>
        <v>300498.00000000006</v>
      </c>
    </row>
    <row r="729" spans="2:12" x14ac:dyDescent="0.35">
      <c r="B729" s="96"/>
      <c r="C729" s="97"/>
      <c r="D729" s="98"/>
      <c r="E729" s="99"/>
      <c r="F729" s="100" t="s">
        <v>89</v>
      </c>
      <c r="G729" s="101" t="s">
        <v>603</v>
      </c>
      <c r="H729" s="102">
        <v>21.477600000000002</v>
      </c>
      <c r="I729" s="103" t="s">
        <v>87</v>
      </c>
      <c r="J729" s="50">
        <v>29000</v>
      </c>
      <c r="K729" s="56"/>
      <c r="L729" s="46">
        <f t="shared" si="46"/>
        <v>622850.4</v>
      </c>
    </row>
    <row r="730" spans="2:12" x14ac:dyDescent="0.35">
      <c r="B730" s="96"/>
      <c r="C730" s="97"/>
      <c r="D730" s="98"/>
      <c r="E730" s="99"/>
      <c r="F730" s="100" t="s">
        <v>89</v>
      </c>
      <c r="G730" s="101" t="s">
        <v>604</v>
      </c>
      <c r="H730" s="102">
        <v>7.1592000000000011</v>
      </c>
      <c r="I730" s="103" t="s">
        <v>87</v>
      </c>
      <c r="J730" s="50">
        <v>29000</v>
      </c>
      <c r="K730" s="56"/>
      <c r="L730" s="46">
        <f t="shared" si="46"/>
        <v>207616.80000000005</v>
      </c>
    </row>
    <row r="731" spans="2:12" x14ac:dyDescent="0.35">
      <c r="B731" s="96"/>
      <c r="C731" s="97"/>
      <c r="D731" s="98"/>
      <c r="E731" s="99"/>
      <c r="F731" s="100" t="s">
        <v>89</v>
      </c>
      <c r="G731" s="101" t="s">
        <v>605</v>
      </c>
      <c r="H731" s="102">
        <v>29.145479999999992</v>
      </c>
      <c r="I731" s="103" t="s">
        <v>87</v>
      </c>
      <c r="J731" s="50">
        <v>29000</v>
      </c>
      <c r="K731" s="56"/>
      <c r="L731" s="46">
        <f t="shared" si="46"/>
        <v>845218.91999999981</v>
      </c>
    </row>
    <row r="732" spans="2:12" x14ac:dyDescent="0.35">
      <c r="B732" s="96"/>
      <c r="C732" s="97"/>
      <c r="D732" s="98"/>
      <c r="E732" s="99"/>
      <c r="F732" s="100" t="s">
        <v>89</v>
      </c>
      <c r="G732" s="101" t="s">
        <v>606</v>
      </c>
      <c r="H732" s="102">
        <v>34.854000000000006</v>
      </c>
      <c r="I732" s="103" t="s">
        <v>87</v>
      </c>
      <c r="J732" s="50">
        <v>29000</v>
      </c>
      <c r="K732" s="56"/>
      <c r="L732" s="46">
        <f t="shared" si="46"/>
        <v>1010766.0000000002</v>
      </c>
    </row>
    <row r="733" spans="2:12" x14ac:dyDescent="0.35">
      <c r="B733" s="96"/>
      <c r="C733" s="97"/>
      <c r="D733" s="98"/>
      <c r="E733" s="99"/>
      <c r="F733" s="100" t="s">
        <v>89</v>
      </c>
      <c r="G733" s="101" t="s">
        <v>607</v>
      </c>
      <c r="H733" s="102">
        <v>34.854000000000006</v>
      </c>
      <c r="I733" s="103" t="s">
        <v>87</v>
      </c>
      <c r="J733" s="50">
        <v>29000</v>
      </c>
      <c r="K733" s="56"/>
      <c r="L733" s="46">
        <f t="shared" si="46"/>
        <v>1010766.0000000002</v>
      </c>
    </row>
    <row r="734" spans="2:12" x14ac:dyDescent="0.35">
      <c r="B734" s="96"/>
      <c r="C734" s="97"/>
      <c r="D734" s="98"/>
      <c r="E734" s="99"/>
      <c r="F734" s="100" t="s">
        <v>89</v>
      </c>
      <c r="G734" s="101" t="s">
        <v>608</v>
      </c>
      <c r="H734" s="102">
        <v>33.309119999999993</v>
      </c>
      <c r="I734" s="103" t="s">
        <v>87</v>
      </c>
      <c r="J734" s="50">
        <v>29000</v>
      </c>
      <c r="K734" s="56"/>
      <c r="L734" s="46">
        <f t="shared" si="46"/>
        <v>965964.47999999975</v>
      </c>
    </row>
    <row r="735" spans="2:12" x14ac:dyDescent="0.35">
      <c r="B735" s="96"/>
      <c r="C735" s="97"/>
      <c r="D735" s="98"/>
      <c r="E735" s="99"/>
      <c r="F735" s="100" t="s">
        <v>89</v>
      </c>
      <c r="G735" s="101" t="s">
        <v>609</v>
      </c>
      <c r="H735" s="102">
        <v>216.16679999999999</v>
      </c>
      <c r="I735" s="103" t="s">
        <v>87</v>
      </c>
      <c r="J735" s="50">
        <v>29000</v>
      </c>
      <c r="K735" s="56"/>
      <c r="L735" s="46">
        <f t="shared" si="46"/>
        <v>6268837.2000000002</v>
      </c>
    </row>
    <row r="736" spans="2:12" x14ac:dyDescent="0.35">
      <c r="B736" s="96"/>
      <c r="C736" s="97"/>
      <c r="D736" s="98"/>
      <c r="E736" s="99"/>
      <c r="F736" s="100" t="s">
        <v>89</v>
      </c>
      <c r="G736" s="101" t="s">
        <v>420</v>
      </c>
      <c r="H736" s="102">
        <v>185.62799999999999</v>
      </c>
      <c r="I736" s="103" t="s">
        <v>87</v>
      </c>
      <c r="J736" s="50">
        <v>29000</v>
      </c>
      <c r="K736" s="56"/>
      <c r="L736" s="46">
        <f t="shared" si="46"/>
        <v>5383212</v>
      </c>
    </row>
    <row r="737" spans="2:12" x14ac:dyDescent="0.35">
      <c r="B737" s="96"/>
      <c r="C737" s="97"/>
      <c r="D737" s="98"/>
      <c r="E737" s="99"/>
      <c r="F737" s="100" t="s">
        <v>89</v>
      </c>
      <c r="G737" s="101" t="s">
        <v>610</v>
      </c>
      <c r="H737" s="102">
        <v>11.304000000000002</v>
      </c>
      <c r="I737" s="103" t="s">
        <v>87</v>
      </c>
      <c r="J737" s="50">
        <v>29000</v>
      </c>
      <c r="K737" s="56"/>
      <c r="L737" s="46">
        <f t="shared" si="46"/>
        <v>327816.00000000006</v>
      </c>
    </row>
    <row r="738" spans="2:12" x14ac:dyDescent="0.35">
      <c r="B738" s="96"/>
      <c r="C738" s="97"/>
      <c r="D738" s="98"/>
      <c r="E738" s="99"/>
      <c r="F738" s="100" t="s">
        <v>89</v>
      </c>
      <c r="G738" s="101" t="s">
        <v>611</v>
      </c>
      <c r="H738" s="102">
        <v>22.608000000000004</v>
      </c>
      <c r="I738" s="103" t="s">
        <v>87</v>
      </c>
      <c r="J738" s="50">
        <v>29000</v>
      </c>
      <c r="K738" s="56"/>
      <c r="L738" s="46">
        <f t="shared" si="46"/>
        <v>655632.00000000012</v>
      </c>
    </row>
    <row r="739" spans="2:12" x14ac:dyDescent="0.35">
      <c r="B739" s="96"/>
      <c r="C739" s="97"/>
      <c r="D739" s="98"/>
      <c r="E739" s="99"/>
      <c r="F739" s="100" t="s">
        <v>89</v>
      </c>
      <c r="G739" s="101" t="s">
        <v>612</v>
      </c>
      <c r="H739" s="102">
        <v>10.550400000000002</v>
      </c>
      <c r="I739" s="103" t="s">
        <v>87</v>
      </c>
      <c r="J739" s="50">
        <v>29000</v>
      </c>
      <c r="K739" s="56"/>
      <c r="L739" s="46">
        <f t="shared" si="46"/>
        <v>305961.60000000003</v>
      </c>
    </row>
    <row r="740" spans="2:12" x14ac:dyDescent="0.35">
      <c r="B740" s="96"/>
      <c r="C740" s="97"/>
      <c r="D740" s="98"/>
      <c r="E740" s="99"/>
      <c r="F740" s="100" t="s">
        <v>89</v>
      </c>
      <c r="G740" s="101" t="s">
        <v>613</v>
      </c>
      <c r="H740" s="102">
        <v>20.724000000000004</v>
      </c>
      <c r="I740" s="103" t="s">
        <v>87</v>
      </c>
      <c r="J740" s="50">
        <v>29000</v>
      </c>
      <c r="K740" s="56"/>
      <c r="L740" s="46">
        <f t="shared" si="46"/>
        <v>600996.00000000012</v>
      </c>
    </row>
    <row r="741" spans="2:12" x14ac:dyDescent="0.35">
      <c r="B741" s="47"/>
      <c r="C741" s="48"/>
      <c r="D741" s="24"/>
      <c r="G741" s="22"/>
      <c r="I741" s="22"/>
      <c r="J741" s="50"/>
      <c r="K741" s="29"/>
      <c r="L741" s="52"/>
    </row>
    <row r="742" spans="2:12" x14ac:dyDescent="0.35">
      <c r="B742" s="47"/>
      <c r="C742" s="48"/>
      <c r="D742" s="24"/>
      <c r="G742" s="22"/>
      <c r="I742" s="22"/>
      <c r="J742" s="50"/>
      <c r="K742" s="29"/>
      <c r="L742" s="52"/>
    </row>
    <row r="743" spans="2:12" x14ac:dyDescent="0.35">
      <c r="B743" s="8"/>
      <c r="C743" s="9"/>
      <c r="D743" s="10"/>
      <c r="E743" s="4"/>
      <c r="F743" s="4"/>
      <c r="G743" s="4"/>
      <c r="H743" s="1"/>
      <c r="I743" s="1"/>
      <c r="J743" s="11" t="s">
        <v>8</v>
      </c>
      <c r="K743" s="7">
        <f>SUM(K690:K742)</f>
        <v>0</v>
      </c>
      <c r="L743" s="7">
        <f>SUM(L690:L742)</f>
        <v>106245041.48000002</v>
      </c>
    </row>
    <row r="744" spans="2:12" x14ac:dyDescent="0.35">
      <c r="B744" s="8"/>
      <c r="C744" s="9"/>
      <c r="D744" s="9"/>
      <c r="E744" s="4"/>
      <c r="F744" s="4"/>
      <c r="G744" s="4"/>
      <c r="H744" s="1"/>
      <c r="I744" s="1"/>
      <c r="J744" s="11"/>
      <c r="K744" s="35" t="s">
        <v>22</v>
      </c>
      <c r="L744" s="36" t="s">
        <v>23</v>
      </c>
    </row>
    <row r="745" spans="2:12" x14ac:dyDescent="0.35">
      <c r="B745" s="3" t="s">
        <v>9</v>
      </c>
      <c r="C745" s="4"/>
      <c r="D745" s="4"/>
      <c r="E745" s="4"/>
      <c r="F745" s="4"/>
      <c r="G745" s="4"/>
      <c r="H745" s="1"/>
      <c r="I745" s="1"/>
      <c r="J745" s="12"/>
      <c r="K745" s="12"/>
      <c r="L745" s="13"/>
    </row>
    <row r="746" spans="2:12" x14ac:dyDescent="0.35">
      <c r="B746" s="37"/>
      <c r="C746" s="1"/>
      <c r="D746" s="1"/>
      <c r="E746" s="38"/>
      <c r="F746" s="38"/>
      <c r="G746" s="38"/>
      <c r="H746" s="1"/>
      <c r="I746" s="1"/>
      <c r="J746" s="1"/>
      <c r="K746" s="1"/>
      <c r="L746" s="19"/>
    </row>
    <row r="747" spans="2:12" x14ac:dyDescent="0.35">
      <c r="B747" s="28" t="s">
        <v>6</v>
      </c>
      <c r="C747" s="27"/>
      <c r="D747" s="27"/>
      <c r="E747" s="26"/>
      <c r="F747" s="26"/>
      <c r="G747" s="5"/>
      <c r="K747" s="284" t="s">
        <v>1600</v>
      </c>
      <c r="L747" s="285"/>
    </row>
    <row r="748" spans="2:12" x14ac:dyDescent="0.35">
      <c r="B748" s="28">
        <v>1</v>
      </c>
      <c r="C748" s="27"/>
      <c r="D748" s="27"/>
      <c r="E748" s="26" t="s">
        <v>7</v>
      </c>
      <c r="F748" s="26"/>
      <c r="G748" s="5"/>
      <c r="K748" s="284" t="s">
        <v>28</v>
      </c>
      <c r="L748" s="285"/>
    </row>
    <row r="749" spans="2:12" x14ac:dyDescent="0.35">
      <c r="B749" s="39"/>
      <c r="C749" s="27"/>
      <c r="D749" s="27"/>
      <c r="E749" s="26"/>
      <c r="F749" s="26"/>
      <c r="G749" s="5"/>
      <c r="J749" s="25"/>
      <c r="K749" s="25"/>
      <c r="L749" s="24"/>
    </row>
    <row r="750" spans="2:12" x14ac:dyDescent="0.35">
      <c r="B750" s="28"/>
      <c r="C750" s="27"/>
      <c r="D750" s="27"/>
      <c r="E750" s="26"/>
      <c r="F750" s="26"/>
      <c r="G750" s="5"/>
      <c r="L750" s="22"/>
    </row>
    <row r="751" spans="2:12" x14ac:dyDescent="0.35">
      <c r="B751" s="45"/>
      <c r="E751" s="5"/>
      <c r="F751" s="5"/>
      <c r="G751" s="5"/>
      <c r="L751" s="22"/>
    </row>
    <row r="752" spans="2:12" x14ac:dyDescent="0.35">
      <c r="B752" s="45"/>
      <c r="E752" s="5"/>
      <c r="F752" s="5"/>
      <c r="G752" s="5"/>
      <c r="L752" s="22"/>
    </row>
    <row r="753" spans="2:12" x14ac:dyDescent="0.35">
      <c r="B753" s="45"/>
      <c r="E753" s="5"/>
      <c r="F753" s="5"/>
      <c r="G753" s="5"/>
      <c r="L753" s="22"/>
    </row>
    <row r="754" spans="2:12" x14ac:dyDescent="0.35">
      <c r="B754" s="45"/>
      <c r="E754" s="5"/>
      <c r="F754" s="5"/>
      <c r="G754" s="5"/>
      <c r="J754" s="40"/>
      <c r="K754" s="286" t="s">
        <v>36</v>
      </c>
      <c r="L754" s="287"/>
    </row>
    <row r="755" spans="2:12" x14ac:dyDescent="0.35">
      <c r="B755" s="45"/>
      <c r="K755" s="288" t="s">
        <v>37</v>
      </c>
      <c r="L755" s="289"/>
    </row>
    <row r="756" spans="2:12" x14ac:dyDescent="0.35">
      <c r="B756" s="290"/>
      <c r="C756" s="291"/>
      <c r="D756" s="291"/>
      <c r="E756" s="41"/>
      <c r="F756" s="41"/>
      <c r="G756" s="41"/>
      <c r="H756" s="2"/>
      <c r="I756" s="2"/>
      <c r="J756" s="2"/>
      <c r="K756" s="2"/>
      <c r="L756" s="21"/>
    </row>
    <row r="757" spans="2:12" x14ac:dyDescent="0.35">
      <c r="B757" s="47"/>
      <c r="C757" s="48"/>
      <c r="D757" s="49"/>
      <c r="G757" s="22"/>
      <c r="H757" s="1"/>
      <c r="I757" s="1"/>
      <c r="J757" s="43"/>
      <c r="K757" s="30"/>
      <c r="L757" s="44"/>
    </row>
    <row r="758" spans="2:12" x14ac:dyDescent="0.35">
      <c r="B758" s="96"/>
      <c r="C758" s="97"/>
      <c r="D758" s="98"/>
      <c r="E758" s="99"/>
      <c r="F758" s="100" t="s">
        <v>89</v>
      </c>
      <c r="G758" s="101" t="s">
        <v>614</v>
      </c>
      <c r="H758" s="102">
        <v>34.288800000000002</v>
      </c>
      <c r="I758" s="103" t="s">
        <v>87</v>
      </c>
      <c r="J758" s="50">
        <v>29000</v>
      </c>
      <c r="K758" s="56"/>
      <c r="L758" s="46">
        <f t="shared" ref="L758:L807" si="47">J758*H758</f>
        <v>994375.20000000007</v>
      </c>
    </row>
    <row r="759" spans="2:12" x14ac:dyDescent="0.35">
      <c r="B759" s="96"/>
      <c r="C759" s="97"/>
      <c r="D759" s="98"/>
      <c r="E759" s="99"/>
      <c r="F759" s="100" t="s">
        <v>89</v>
      </c>
      <c r="G759" s="101" t="s">
        <v>615</v>
      </c>
      <c r="H759" s="102">
        <v>34.288800000000002</v>
      </c>
      <c r="I759" s="103" t="s">
        <v>87</v>
      </c>
      <c r="J759" s="50">
        <v>29000</v>
      </c>
      <c r="K759" s="56"/>
      <c r="L759" s="46">
        <f t="shared" si="47"/>
        <v>994375.20000000007</v>
      </c>
    </row>
    <row r="760" spans="2:12" x14ac:dyDescent="0.35">
      <c r="B760" s="96"/>
      <c r="C760" s="97"/>
      <c r="D760" s="98"/>
      <c r="E760" s="99"/>
      <c r="F760" s="100" t="s">
        <v>89</v>
      </c>
      <c r="G760" s="101" t="s">
        <v>616</v>
      </c>
      <c r="H760" s="102">
        <v>29.145479999999992</v>
      </c>
      <c r="I760" s="103" t="s">
        <v>87</v>
      </c>
      <c r="J760" s="50">
        <v>29000</v>
      </c>
      <c r="K760" s="56"/>
      <c r="L760" s="46">
        <f t="shared" si="47"/>
        <v>845218.91999999981</v>
      </c>
    </row>
    <row r="761" spans="2:12" x14ac:dyDescent="0.35">
      <c r="B761" s="96"/>
      <c r="C761" s="97"/>
      <c r="D761" s="98"/>
      <c r="E761" s="99"/>
      <c r="F761" s="100" t="s">
        <v>89</v>
      </c>
      <c r="G761" s="101" t="s">
        <v>617</v>
      </c>
      <c r="H761" s="102">
        <v>216.16679999999999</v>
      </c>
      <c r="I761" s="103" t="s">
        <v>87</v>
      </c>
      <c r="J761" s="50">
        <v>29000</v>
      </c>
      <c r="K761" s="56"/>
      <c r="L761" s="46">
        <f t="shared" si="47"/>
        <v>6268837.2000000002</v>
      </c>
    </row>
    <row r="762" spans="2:12" x14ac:dyDescent="0.35">
      <c r="B762" s="96"/>
      <c r="C762" s="97"/>
      <c r="D762" s="98"/>
      <c r="E762" s="99"/>
      <c r="F762" s="100" t="s">
        <v>89</v>
      </c>
      <c r="G762" s="101" t="s">
        <v>618</v>
      </c>
      <c r="H762" s="102">
        <v>185.62799999999999</v>
      </c>
      <c r="I762" s="103" t="s">
        <v>87</v>
      </c>
      <c r="J762" s="50">
        <v>29000</v>
      </c>
      <c r="K762" s="56"/>
      <c r="L762" s="46">
        <f t="shared" si="47"/>
        <v>5383212</v>
      </c>
    </row>
    <row r="763" spans="2:12" x14ac:dyDescent="0.35">
      <c r="B763" s="96"/>
      <c r="C763" s="97"/>
      <c r="D763" s="98"/>
      <c r="E763" s="99"/>
      <c r="F763" s="100" t="s">
        <v>89</v>
      </c>
      <c r="G763" s="101" t="s">
        <v>619</v>
      </c>
      <c r="H763" s="102">
        <v>67.447200000000009</v>
      </c>
      <c r="I763" s="103" t="s">
        <v>87</v>
      </c>
      <c r="J763" s="50">
        <v>29000</v>
      </c>
      <c r="K763" s="56"/>
      <c r="L763" s="46">
        <f t="shared" si="47"/>
        <v>1955968.8000000003</v>
      </c>
    </row>
    <row r="764" spans="2:12" x14ac:dyDescent="0.35">
      <c r="B764" s="96"/>
      <c r="C764" s="97"/>
      <c r="D764" s="98"/>
      <c r="E764" s="99"/>
      <c r="F764" s="100" t="s">
        <v>89</v>
      </c>
      <c r="G764" s="101" t="s">
        <v>620</v>
      </c>
      <c r="H764" s="102">
        <v>33.309119999999993</v>
      </c>
      <c r="I764" s="103" t="s">
        <v>87</v>
      </c>
      <c r="J764" s="50">
        <v>29000</v>
      </c>
      <c r="K764" s="56"/>
      <c r="L764" s="46">
        <f t="shared" si="47"/>
        <v>965964.47999999975</v>
      </c>
    </row>
    <row r="765" spans="2:12" x14ac:dyDescent="0.35">
      <c r="B765" s="96"/>
      <c r="C765" s="97"/>
      <c r="D765" s="98"/>
      <c r="E765" s="99"/>
      <c r="F765" s="100" t="s">
        <v>89</v>
      </c>
      <c r="G765" s="101" t="s">
        <v>621</v>
      </c>
      <c r="H765" s="102">
        <v>69.708000000000013</v>
      </c>
      <c r="I765" s="103" t="s">
        <v>87</v>
      </c>
      <c r="J765" s="50">
        <v>29000</v>
      </c>
      <c r="K765" s="56"/>
      <c r="L765" s="46">
        <f t="shared" si="47"/>
        <v>2021532.0000000005</v>
      </c>
    </row>
    <row r="766" spans="2:12" x14ac:dyDescent="0.35">
      <c r="B766" s="96"/>
      <c r="C766" s="97"/>
      <c r="D766" s="98"/>
      <c r="E766" s="99"/>
      <c r="F766" s="100" t="s">
        <v>89</v>
      </c>
      <c r="G766" s="101" t="s">
        <v>622</v>
      </c>
      <c r="H766" s="102">
        <v>33.309119999999993</v>
      </c>
      <c r="I766" s="103" t="s">
        <v>87</v>
      </c>
      <c r="J766" s="50">
        <v>29000</v>
      </c>
      <c r="K766" s="56"/>
      <c r="L766" s="46">
        <f t="shared" si="47"/>
        <v>965964.47999999975</v>
      </c>
    </row>
    <row r="767" spans="2:12" x14ac:dyDescent="0.35">
      <c r="B767" s="96"/>
      <c r="C767" s="97"/>
      <c r="D767" s="98"/>
      <c r="E767" s="99"/>
      <c r="F767" s="100" t="s">
        <v>89</v>
      </c>
      <c r="G767" s="101" t="s">
        <v>623</v>
      </c>
      <c r="H767" s="102">
        <v>3.5796000000000006</v>
      </c>
      <c r="I767" s="103" t="s">
        <v>87</v>
      </c>
      <c r="J767" s="50">
        <v>29000</v>
      </c>
      <c r="K767" s="56"/>
      <c r="L767" s="46">
        <f t="shared" si="47"/>
        <v>103808.40000000002</v>
      </c>
    </row>
    <row r="768" spans="2:12" x14ac:dyDescent="0.35">
      <c r="B768" s="96"/>
      <c r="C768" s="97"/>
      <c r="D768" s="98"/>
      <c r="E768" s="99"/>
      <c r="F768" s="100" t="s">
        <v>89</v>
      </c>
      <c r="G768" s="101" t="s">
        <v>624</v>
      </c>
      <c r="H768" s="102">
        <v>216.16679999999999</v>
      </c>
      <c r="I768" s="103" t="s">
        <v>87</v>
      </c>
      <c r="J768" s="50">
        <v>29000</v>
      </c>
      <c r="K768" s="56"/>
      <c r="L768" s="46">
        <f t="shared" si="47"/>
        <v>6268837.2000000002</v>
      </c>
    </row>
    <row r="769" spans="2:12" x14ac:dyDescent="0.35">
      <c r="B769" s="96"/>
      <c r="C769" s="97"/>
      <c r="D769" s="98"/>
      <c r="E769" s="99"/>
      <c r="F769" s="100" t="s">
        <v>89</v>
      </c>
      <c r="G769" s="101" t="s">
        <v>625</v>
      </c>
      <c r="H769" s="102">
        <v>185.62799999999999</v>
      </c>
      <c r="I769" s="103" t="s">
        <v>87</v>
      </c>
      <c r="J769" s="50">
        <v>29000</v>
      </c>
      <c r="K769" s="56"/>
      <c r="L769" s="46">
        <f t="shared" si="47"/>
        <v>5383212</v>
      </c>
    </row>
    <row r="770" spans="2:12" x14ac:dyDescent="0.35">
      <c r="B770" s="96"/>
      <c r="C770" s="97"/>
      <c r="D770" s="98"/>
      <c r="E770" s="99"/>
      <c r="F770" s="100" t="s">
        <v>89</v>
      </c>
      <c r="G770" s="101" t="s">
        <v>626</v>
      </c>
      <c r="H770" s="102">
        <v>33.912000000000006</v>
      </c>
      <c r="I770" s="103" t="s">
        <v>87</v>
      </c>
      <c r="J770" s="50">
        <v>29000</v>
      </c>
      <c r="K770" s="56"/>
      <c r="L770" s="46">
        <f t="shared" si="47"/>
        <v>983448.00000000023</v>
      </c>
    </row>
    <row r="771" spans="2:12" x14ac:dyDescent="0.35">
      <c r="B771" s="96"/>
      <c r="C771" s="97"/>
      <c r="D771" s="98"/>
      <c r="E771" s="99"/>
      <c r="F771" s="100" t="s">
        <v>89</v>
      </c>
      <c r="G771" s="101" t="s">
        <v>627</v>
      </c>
      <c r="H771" s="102">
        <v>32.028000000000006</v>
      </c>
      <c r="I771" s="103" t="s">
        <v>87</v>
      </c>
      <c r="J771" s="50">
        <v>29000</v>
      </c>
      <c r="K771" s="56"/>
      <c r="L771" s="46">
        <f t="shared" si="47"/>
        <v>928812.00000000012</v>
      </c>
    </row>
    <row r="772" spans="2:12" x14ac:dyDescent="0.35">
      <c r="B772" s="96"/>
      <c r="C772" s="97"/>
      <c r="D772" s="98"/>
      <c r="E772" s="99"/>
      <c r="F772" s="100" t="s">
        <v>89</v>
      </c>
      <c r="G772" s="101" t="s">
        <v>628</v>
      </c>
      <c r="H772" s="102">
        <v>32.028000000000006</v>
      </c>
      <c r="I772" s="103" t="s">
        <v>87</v>
      </c>
      <c r="J772" s="50">
        <v>29000</v>
      </c>
      <c r="K772" s="56"/>
      <c r="L772" s="46">
        <f t="shared" si="47"/>
        <v>928812.00000000012</v>
      </c>
    </row>
    <row r="773" spans="2:12" x14ac:dyDescent="0.35">
      <c r="B773" s="96"/>
      <c r="C773" s="97"/>
      <c r="D773" s="98"/>
      <c r="E773" s="99"/>
      <c r="F773" s="100" t="s">
        <v>89</v>
      </c>
      <c r="G773" s="101" t="s">
        <v>629</v>
      </c>
      <c r="H773" s="102">
        <v>32.028000000000006</v>
      </c>
      <c r="I773" s="103" t="s">
        <v>87</v>
      </c>
      <c r="J773" s="50">
        <v>29000</v>
      </c>
      <c r="K773" s="56"/>
      <c r="L773" s="46">
        <f t="shared" si="47"/>
        <v>928812.00000000012</v>
      </c>
    </row>
    <row r="774" spans="2:12" x14ac:dyDescent="0.35">
      <c r="B774" s="96"/>
      <c r="C774" s="97"/>
      <c r="D774" s="98"/>
      <c r="E774" s="99"/>
      <c r="F774" s="100" t="s">
        <v>89</v>
      </c>
      <c r="G774" s="101" t="s">
        <v>630</v>
      </c>
      <c r="H774" s="102">
        <v>32.028000000000006</v>
      </c>
      <c r="I774" s="103" t="s">
        <v>87</v>
      </c>
      <c r="J774" s="50">
        <v>29000</v>
      </c>
      <c r="K774" s="56"/>
      <c r="L774" s="46">
        <f t="shared" si="47"/>
        <v>928812.00000000012</v>
      </c>
    </row>
    <row r="775" spans="2:12" x14ac:dyDescent="0.35">
      <c r="B775" s="96"/>
      <c r="C775" s="97"/>
      <c r="D775" s="98"/>
      <c r="E775" s="99"/>
      <c r="F775" s="100" t="s">
        <v>89</v>
      </c>
      <c r="G775" s="101" t="s">
        <v>631</v>
      </c>
      <c r="H775" s="102">
        <v>33.912000000000006</v>
      </c>
      <c r="I775" s="103" t="s">
        <v>87</v>
      </c>
      <c r="J775" s="50">
        <v>29000</v>
      </c>
      <c r="K775" s="56"/>
      <c r="L775" s="46">
        <f t="shared" si="47"/>
        <v>983448.00000000023</v>
      </c>
    </row>
    <row r="776" spans="2:12" x14ac:dyDescent="0.35">
      <c r="B776" s="96"/>
      <c r="C776" s="97"/>
      <c r="D776" s="98"/>
      <c r="E776" s="99"/>
      <c r="F776" s="100" t="s">
        <v>89</v>
      </c>
      <c r="G776" s="101" t="s">
        <v>632</v>
      </c>
      <c r="H776" s="102">
        <v>3.5796000000000006</v>
      </c>
      <c r="I776" s="103" t="s">
        <v>87</v>
      </c>
      <c r="J776" s="50">
        <v>29000</v>
      </c>
      <c r="K776" s="56"/>
      <c r="L776" s="46">
        <f t="shared" si="47"/>
        <v>103808.40000000002</v>
      </c>
    </row>
    <row r="777" spans="2:12" x14ac:dyDescent="0.35">
      <c r="B777" s="96"/>
      <c r="C777" s="97"/>
      <c r="D777" s="98"/>
      <c r="E777" s="99"/>
      <c r="F777" s="100" t="s">
        <v>89</v>
      </c>
      <c r="G777" s="101" t="s">
        <v>633</v>
      </c>
      <c r="H777" s="102">
        <v>4.1636399999999991</v>
      </c>
      <c r="I777" s="103" t="s">
        <v>87</v>
      </c>
      <c r="J777" s="50">
        <v>29000</v>
      </c>
      <c r="K777" s="56"/>
      <c r="L777" s="46">
        <f t="shared" si="47"/>
        <v>120745.55999999997</v>
      </c>
    </row>
    <row r="778" spans="2:12" x14ac:dyDescent="0.35">
      <c r="B778" s="96"/>
      <c r="C778" s="97"/>
      <c r="D778" s="98"/>
      <c r="E778" s="99"/>
      <c r="F778" s="100" t="s">
        <v>89</v>
      </c>
      <c r="G778" s="101" t="s">
        <v>634</v>
      </c>
      <c r="H778" s="102">
        <v>216.16679999999999</v>
      </c>
      <c r="I778" s="103" t="s">
        <v>87</v>
      </c>
      <c r="J778" s="50">
        <v>29000</v>
      </c>
      <c r="K778" s="56"/>
      <c r="L778" s="46">
        <f t="shared" si="47"/>
        <v>6268837.2000000002</v>
      </c>
    </row>
    <row r="779" spans="2:12" x14ac:dyDescent="0.35">
      <c r="B779" s="96"/>
      <c r="C779" s="97"/>
      <c r="D779" s="98"/>
      <c r="E779" s="99"/>
      <c r="F779" s="100" t="s">
        <v>89</v>
      </c>
      <c r="G779" s="101" t="s">
        <v>635</v>
      </c>
      <c r="H779" s="102">
        <v>67.070400000000006</v>
      </c>
      <c r="I779" s="103" t="s">
        <v>87</v>
      </c>
      <c r="J779" s="50">
        <v>29000</v>
      </c>
      <c r="K779" s="56"/>
      <c r="L779" s="46">
        <f t="shared" si="47"/>
        <v>1945041.6</v>
      </c>
    </row>
    <row r="780" spans="2:12" x14ac:dyDescent="0.35">
      <c r="B780" s="96"/>
      <c r="C780" s="97"/>
      <c r="D780" s="98"/>
      <c r="E780" s="99"/>
      <c r="F780" s="100" t="s">
        <v>89</v>
      </c>
      <c r="G780" s="101" t="s">
        <v>636</v>
      </c>
      <c r="H780" s="102">
        <v>33.535200000000003</v>
      </c>
      <c r="I780" s="103" t="s">
        <v>87</v>
      </c>
      <c r="J780" s="50">
        <v>29000</v>
      </c>
      <c r="K780" s="56"/>
      <c r="L780" s="46">
        <f t="shared" si="47"/>
        <v>972520.8</v>
      </c>
    </row>
    <row r="781" spans="2:12" x14ac:dyDescent="0.35">
      <c r="B781" s="96"/>
      <c r="C781" s="97"/>
      <c r="D781" s="98"/>
      <c r="E781" s="99"/>
      <c r="F781" s="100" t="s">
        <v>89</v>
      </c>
      <c r="G781" s="101" t="s">
        <v>637</v>
      </c>
      <c r="H781" s="102">
        <v>24.981839999999995</v>
      </c>
      <c r="I781" s="103" t="s">
        <v>87</v>
      </c>
      <c r="J781" s="50">
        <v>29000</v>
      </c>
      <c r="K781" s="56"/>
      <c r="L781" s="46">
        <f t="shared" si="47"/>
        <v>724473.35999999987</v>
      </c>
    </row>
    <row r="782" spans="2:12" x14ac:dyDescent="0.35">
      <c r="B782" s="96"/>
      <c r="C782" s="97"/>
      <c r="D782" s="98"/>
      <c r="E782" s="99"/>
      <c r="F782" s="100" t="s">
        <v>89</v>
      </c>
      <c r="G782" s="101" t="s">
        <v>638</v>
      </c>
      <c r="H782" s="102">
        <v>216.16679999999999</v>
      </c>
      <c r="I782" s="103" t="s">
        <v>87</v>
      </c>
      <c r="J782" s="50">
        <v>29000</v>
      </c>
      <c r="K782" s="56"/>
      <c r="L782" s="46">
        <f t="shared" si="47"/>
        <v>6268837.2000000002</v>
      </c>
    </row>
    <row r="783" spans="2:12" x14ac:dyDescent="0.35">
      <c r="B783" s="96"/>
      <c r="C783" s="97"/>
      <c r="D783" s="98"/>
      <c r="E783" s="99"/>
      <c r="F783" s="100" t="s">
        <v>89</v>
      </c>
      <c r="G783" s="101" t="s">
        <v>639</v>
      </c>
      <c r="H783" s="102">
        <v>185.62799999999999</v>
      </c>
      <c r="I783" s="103" t="s">
        <v>87</v>
      </c>
      <c r="J783" s="50">
        <v>29000</v>
      </c>
      <c r="K783" s="56"/>
      <c r="L783" s="46">
        <f t="shared" si="47"/>
        <v>5383212</v>
      </c>
    </row>
    <row r="784" spans="2:12" x14ac:dyDescent="0.35">
      <c r="B784" s="96"/>
      <c r="C784" s="97"/>
      <c r="D784" s="98"/>
      <c r="E784" s="99"/>
      <c r="F784" s="100" t="s">
        <v>89</v>
      </c>
      <c r="G784" s="101" t="s">
        <v>640</v>
      </c>
      <c r="H784" s="102">
        <v>105.69240000000001</v>
      </c>
      <c r="I784" s="103" t="s">
        <v>87</v>
      </c>
      <c r="J784" s="50">
        <v>29000</v>
      </c>
      <c r="K784" s="56"/>
      <c r="L784" s="46">
        <f t="shared" si="47"/>
        <v>3065079.6</v>
      </c>
    </row>
    <row r="785" spans="2:12" x14ac:dyDescent="0.35">
      <c r="B785" s="96"/>
      <c r="C785" s="97"/>
      <c r="D785" s="98"/>
      <c r="E785" s="99"/>
      <c r="F785" s="100" t="s">
        <v>89</v>
      </c>
      <c r="G785" s="101" t="s">
        <v>641</v>
      </c>
      <c r="H785" s="102">
        <v>24.981839999999995</v>
      </c>
      <c r="I785" s="103" t="s">
        <v>87</v>
      </c>
      <c r="J785" s="50">
        <v>29000</v>
      </c>
      <c r="K785" s="56"/>
      <c r="L785" s="46">
        <f t="shared" si="47"/>
        <v>724473.35999999987</v>
      </c>
    </row>
    <row r="786" spans="2:12" x14ac:dyDescent="0.35">
      <c r="B786" s="96"/>
      <c r="C786" s="97"/>
      <c r="D786" s="98"/>
      <c r="E786" s="99"/>
      <c r="F786" s="100" t="s">
        <v>89</v>
      </c>
      <c r="G786" s="101" t="s">
        <v>642</v>
      </c>
      <c r="H786" s="102">
        <v>216.16679999999999</v>
      </c>
      <c r="I786" s="103" t="s">
        <v>87</v>
      </c>
      <c r="J786" s="50">
        <v>29000</v>
      </c>
      <c r="K786" s="56"/>
      <c r="L786" s="46">
        <f t="shared" si="47"/>
        <v>6268837.2000000002</v>
      </c>
    </row>
    <row r="787" spans="2:12" x14ac:dyDescent="0.35">
      <c r="B787" s="96"/>
      <c r="C787" s="97"/>
      <c r="D787" s="98"/>
      <c r="E787" s="99"/>
      <c r="F787" s="100" t="s">
        <v>89</v>
      </c>
      <c r="G787" s="101" t="s">
        <v>643</v>
      </c>
      <c r="H787" s="102">
        <v>11.304000000000002</v>
      </c>
      <c r="I787" s="103" t="s">
        <v>87</v>
      </c>
      <c r="J787" s="50">
        <v>29000</v>
      </c>
      <c r="K787" s="56"/>
      <c r="L787" s="46">
        <f t="shared" si="47"/>
        <v>327816.00000000006</v>
      </c>
    </row>
    <row r="788" spans="2:12" x14ac:dyDescent="0.35">
      <c r="B788" s="96"/>
      <c r="C788" s="97"/>
      <c r="D788" s="98"/>
      <c r="E788" s="99"/>
      <c r="F788" s="100" t="s">
        <v>89</v>
      </c>
      <c r="G788" s="101" t="s">
        <v>644</v>
      </c>
      <c r="H788" s="102">
        <v>11.304000000000002</v>
      </c>
      <c r="I788" s="103" t="s">
        <v>87</v>
      </c>
      <c r="J788" s="50">
        <v>29000</v>
      </c>
      <c r="K788" s="56"/>
      <c r="L788" s="46">
        <f t="shared" si="47"/>
        <v>327816.00000000006</v>
      </c>
    </row>
    <row r="789" spans="2:12" x14ac:dyDescent="0.35">
      <c r="B789" s="96"/>
      <c r="C789" s="97"/>
      <c r="D789" s="98"/>
      <c r="E789" s="99"/>
      <c r="F789" s="100" t="s">
        <v>89</v>
      </c>
      <c r="G789" s="101" t="s">
        <v>645</v>
      </c>
      <c r="H789" s="102">
        <v>17.898000000000003</v>
      </c>
      <c r="I789" s="103" t="s">
        <v>87</v>
      </c>
      <c r="J789" s="50">
        <v>29000</v>
      </c>
      <c r="K789" s="56"/>
      <c r="L789" s="46">
        <f t="shared" si="47"/>
        <v>519042.00000000012</v>
      </c>
    </row>
    <row r="790" spans="2:12" x14ac:dyDescent="0.35">
      <c r="B790" s="96"/>
      <c r="C790" s="97"/>
      <c r="D790" s="98"/>
      <c r="E790" s="99"/>
      <c r="F790" s="100" t="s">
        <v>89</v>
      </c>
      <c r="G790" s="101" t="s">
        <v>646</v>
      </c>
      <c r="H790" s="102">
        <v>33.723600000000005</v>
      </c>
      <c r="I790" s="103" t="s">
        <v>87</v>
      </c>
      <c r="J790" s="50">
        <v>29000</v>
      </c>
      <c r="K790" s="56"/>
      <c r="L790" s="46">
        <f t="shared" si="47"/>
        <v>977984.40000000014</v>
      </c>
    </row>
    <row r="791" spans="2:12" x14ac:dyDescent="0.35">
      <c r="B791" s="96"/>
      <c r="C791" s="97"/>
      <c r="D791" s="98"/>
      <c r="E791" s="99"/>
      <c r="F791" s="100" t="s">
        <v>89</v>
      </c>
      <c r="G791" s="101" t="s">
        <v>647</v>
      </c>
      <c r="H791" s="102">
        <v>33.723600000000005</v>
      </c>
      <c r="I791" s="103" t="s">
        <v>87</v>
      </c>
      <c r="J791" s="50">
        <v>29000</v>
      </c>
      <c r="K791" s="56"/>
      <c r="L791" s="46">
        <f t="shared" si="47"/>
        <v>977984.40000000014</v>
      </c>
    </row>
    <row r="792" spans="2:12" x14ac:dyDescent="0.35">
      <c r="B792" s="96"/>
      <c r="C792" s="97"/>
      <c r="D792" s="98"/>
      <c r="E792" s="99"/>
      <c r="F792" s="100" t="s">
        <v>89</v>
      </c>
      <c r="G792" s="101" t="s">
        <v>648</v>
      </c>
      <c r="H792" s="102">
        <v>33.723600000000005</v>
      </c>
      <c r="I792" s="103" t="s">
        <v>87</v>
      </c>
      <c r="J792" s="50">
        <v>29000</v>
      </c>
      <c r="K792" s="56"/>
      <c r="L792" s="46">
        <f t="shared" si="47"/>
        <v>977984.40000000014</v>
      </c>
    </row>
    <row r="793" spans="2:12" x14ac:dyDescent="0.35">
      <c r="B793" s="96"/>
      <c r="C793" s="97"/>
      <c r="D793" s="98"/>
      <c r="E793" s="99"/>
      <c r="F793" s="100" t="s">
        <v>89</v>
      </c>
      <c r="G793" s="101" t="s">
        <v>649</v>
      </c>
      <c r="H793" s="102">
        <v>3.5796000000000006</v>
      </c>
      <c r="I793" s="103" t="s">
        <v>87</v>
      </c>
      <c r="J793" s="50">
        <v>29000</v>
      </c>
      <c r="K793" s="56"/>
      <c r="L793" s="46">
        <f t="shared" si="47"/>
        <v>103808.40000000002</v>
      </c>
    </row>
    <row r="794" spans="2:12" x14ac:dyDescent="0.35">
      <c r="B794" s="96"/>
      <c r="C794" s="97"/>
      <c r="D794" s="98"/>
      <c r="E794" s="99"/>
      <c r="F794" s="100" t="s">
        <v>89</v>
      </c>
      <c r="G794" s="101" t="s">
        <v>650</v>
      </c>
      <c r="H794" s="102">
        <v>24.981839999999995</v>
      </c>
      <c r="I794" s="103" t="s">
        <v>87</v>
      </c>
      <c r="J794" s="50">
        <v>29000</v>
      </c>
      <c r="K794" s="56"/>
      <c r="L794" s="46">
        <f t="shared" si="47"/>
        <v>724473.35999999987</v>
      </c>
    </row>
    <row r="795" spans="2:12" x14ac:dyDescent="0.35">
      <c r="B795" s="96"/>
      <c r="C795" s="97"/>
      <c r="D795" s="98"/>
      <c r="E795" s="99"/>
      <c r="F795" s="100" t="s">
        <v>89</v>
      </c>
      <c r="G795" s="101" t="s">
        <v>651</v>
      </c>
      <c r="H795" s="102">
        <v>67.824000000000012</v>
      </c>
      <c r="I795" s="103" t="s">
        <v>87</v>
      </c>
      <c r="J795" s="50">
        <v>29000</v>
      </c>
      <c r="K795" s="56"/>
      <c r="L795" s="46">
        <f t="shared" si="47"/>
        <v>1966896.0000000005</v>
      </c>
    </row>
    <row r="796" spans="2:12" x14ac:dyDescent="0.35">
      <c r="B796" s="96"/>
      <c r="C796" s="97"/>
      <c r="D796" s="98"/>
      <c r="E796" s="99"/>
      <c r="F796" s="100" t="s">
        <v>89</v>
      </c>
      <c r="G796" s="101" t="s">
        <v>652</v>
      </c>
      <c r="H796" s="102">
        <v>33.912000000000006</v>
      </c>
      <c r="I796" s="103" t="s">
        <v>87</v>
      </c>
      <c r="J796" s="50">
        <v>29000</v>
      </c>
      <c r="K796" s="56"/>
      <c r="L796" s="46">
        <f t="shared" si="47"/>
        <v>983448.00000000023</v>
      </c>
    </row>
    <row r="797" spans="2:12" x14ac:dyDescent="0.35">
      <c r="B797" s="96"/>
      <c r="C797" s="97"/>
      <c r="D797" s="98"/>
      <c r="E797" s="99"/>
      <c r="F797" s="100" t="s">
        <v>89</v>
      </c>
      <c r="G797" s="101" t="s">
        <v>653</v>
      </c>
      <c r="H797" s="102">
        <v>24.981839999999995</v>
      </c>
      <c r="I797" s="103" t="s">
        <v>87</v>
      </c>
      <c r="J797" s="50">
        <v>29000</v>
      </c>
      <c r="K797" s="56"/>
      <c r="L797" s="46">
        <f t="shared" si="47"/>
        <v>724473.35999999987</v>
      </c>
    </row>
    <row r="798" spans="2:12" x14ac:dyDescent="0.35">
      <c r="B798" s="96"/>
      <c r="C798" s="97"/>
      <c r="D798" s="98"/>
      <c r="E798" s="99"/>
      <c r="F798" s="100" t="s">
        <v>89</v>
      </c>
      <c r="G798" s="101" t="s">
        <v>654</v>
      </c>
      <c r="H798" s="102">
        <v>143.71199999999999</v>
      </c>
      <c r="I798" s="103" t="s">
        <v>87</v>
      </c>
      <c r="J798" s="50">
        <v>29000</v>
      </c>
      <c r="K798" s="56"/>
      <c r="L798" s="46">
        <f t="shared" si="47"/>
        <v>4167647.9999999995</v>
      </c>
    </row>
    <row r="799" spans="2:12" x14ac:dyDescent="0.35">
      <c r="B799" s="96"/>
      <c r="C799" s="97"/>
      <c r="D799" s="98"/>
      <c r="E799" s="99"/>
      <c r="F799" s="100" t="s">
        <v>89</v>
      </c>
      <c r="G799" s="101" t="s">
        <v>655</v>
      </c>
      <c r="H799" s="102">
        <v>185.62799999999999</v>
      </c>
      <c r="I799" s="103" t="s">
        <v>87</v>
      </c>
      <c r="J799" s="50">
        <v>29000</v>
      </c>
      <c r="K799" s="56"/>
      <c r="L799" s="46">
        <f t="shared" si="47"/>
        <v>5383212</v>
      </c>
    </row>
    <row r="800" spans="2:12" x14ac:dyDescent="0.35">
      <c r="B800" s="96"/>
      <c r="C800" s="97"/>
      <c r="D800" s="98"/>
      <c r="E800" s="99"/>
      <c r="F800" s="100" t="s">
        <v>89</v>
      </c>
      <c r="G800" s="101" t="s">
        <v>656</v>
      </c>
      <c r="H800" s="102">
        <v>34.854000000000006</v>
      </c>
      <c r="I800" s="103" t="s">
        <v>87</v>
      </c>
      <c r="J800" s="50">
        <v>29000</v>
      </c>
      <c r="K800" s="56"/>
      <c r="L800" s="46">
        <f t="shared" si="47"/>
        <v>1010766.0000000002</v>
      </c>
    </row>
    <row r="801" spans="2:12" x14ac:dyDescent="0.35">
      <c r="B801" s="96"/>
      <c r="C801" s="97"/>
      <c r="D801" s="98"/>
      <c r="E801" s="99"/>
      <c r="F801" s="100" t="s">
        <v>89</v>
      </c>
      <c r="G801" s="101" t="s">
        <v>657</v>
      </c>
      <c r="H801" s="102">
        <v>69.708000000000013</v>
      </c>
      <c r="I801" s="103" t="s">
        <v>87</v>
      </c>
      <c r="J801" s="50">
        <v>29000</v>
      </c>
      <c r="K801" s="56"/>
      <c r="L801" s="46">
        <f t="shared" si="47"/>
        <v>2021532.0000000005</v>
      </c>
    </row>
    <row r="802" spans="2:12" x14ac:dyDescent="0.35">
      <c r="B802" s="96"/>
      <c r="C802" s="97"/>
      <c r="D802" s="98"/>
      <c r="E802" s="99"/>
      <c r="F802" s="100" t="s">
        <v>89</v>
      </c>
      <c r="G802" s="101" t="s">
        <v>658</v>
      </c>
      <c r="H802" s="102">
        <v>24.981839999999995</v>
      </c>
      <c r="I802" s="103" t="s">
        <v>87</v>
      </c>
      <c r="J802" s="50">
        <v>29000</v>
      </c>
      <c r="K802" s="56"/>
      <c r="L802" s="46">
        <f t="shared" si="47"/>
        <v>724473.35999999987</v>
      </c>
    </row>
    <row r="803" spans="2:12" x14ac:dyDescent="0.35">
      <c r="B803" s="96"/>
      <c r="C803" s="97"/>
      <c r="D803" s="98"/>
      <c r="E803" s="99"/>
      <c r="F803" s="100" t="s">
        <v>89</v>
      </c>
      <c r="G803" s="101" t="s">
        <v>455</v>
      </c>
      <c r="H803" s="102">
        <v>215.56799999999998</v>
      </c>
      <c r="I803" s="103" t="s">
        <v>87</v>
      </c>
      <c r="J803" s="50">
        <v>29000</v>
      </c>
      <c r="K803" s="56"/>
      <c r="L803" s="46">
        <f t="shared" si="47"/>
        <v>6251471.9999999991</v>
      </c>
    </row>
    <row r="804" spans="2:12" x14ac:dyDescent="0.35">
      <c r="B804" s="96"/>
      <c r="C804" s="97"/>
      <c r="D804" s="98"/>
      <c r="E804" s="99"/>
      <c r="F804" s="100" t="s">
        <v>89</v>
      </c>
      <c r="G804" s="101" t="s">
        <v>659</v>
      </c>
      <c r="H804" s="102">
        <v>185.62799999999999</v>
      </c>
      <c r="I804" s="103" t="s">
        <v>87</v>
      </c>
      <c r="J804" s="50">
        <v>29000</v>
      </c>
      <c r="K804" s="56"/>
      <c r="L804" s="46">
        <f t="shared" si="47"/>
        <v>5383212</v>
      </c>
    </row>
    <row r="805" spans="2:12" x14ac:dyDescent="0.35">
      <c r="B805" s="96"/>
      <c r="C805" s="97"/>
      <c r="D805" s="98"/>
      <c r="E805" s="99"/>
      <c r="F805" s="100" t="s">
        <v>89</v>
      </c>
      <c r="G805" s="101" t="s">
        <v>660</v>
      </c>
      <c r="H805" s="102">
        <v>67.824000000000012</v>
      </c>
      <c r="I805" s="103" t="s">
        <v>87</v>
      </c>
      <c r="J805" s="50">
        <v>29000</v>
      </c>
      <c r="K805" s="56"/>
      <c r="L805" s="46">
        <f t="shared" si="47"/>
        <v>1966896.0000000005</v>
      </c>
    </row>
    <row r="806" spans="2:12" x14ac:dyDescent="0.35">
      <c r="B806" s="96"/>
      <c r="C806" s="97"/>
      <c r="D806" s="98"/>
      <c r="E806" s="99"/>
      <c r="F806" s="100" t="s">
        <v>89</v>
      </c>
      <c r="G806" s="101" t="s">
        <v>661</v>
      </c>
      <c r="H806" s="102">
        <v>33.912000000000006</v>
      </c>
      <c r="I806" s="103" t="s">
        <v>87</v>
      </c>
      <c r="J806" s="50">
        <v>29000</v>
      </c>
      <c r="K806" s="56"/>
      <c r="L806" s="46">
        <f t="shared" si="47"/>
        <v>983448.00000000023</v>
      </c>
    </row>
    <row r="807" spans="2:12" x14ac:dyDescent="0.35">
      <c r="B807" s="96"/>
      <c r="C807" s="97"/>
      <c r="D807" s="98"/>
      <c r="E807" s="99"/>
      <c r="F807" s="100" t="s">
        <v>89</v>
      </c>
      <c r="G807" s="101" t="s">
        <v>662</v>
      </c>
      <c r="H807" s="102">
        <v>24.981839999999995</v>
      </c>
      <c r="I807" s="103" t="s">
        <v>87</v>
      </c>
      <c r="J807" s="50">
        <v>29000</v>
      </c>
      <c r="K807" s="56"/>
      <c r="L807" s="46">
        <f t="shared" si="47"/>
        <v>724473.35999999987</v>
      </c>
    </row>
    <row r="808" spans="2:12" x14ac:dyDescent="0.35">
      <c r="B808" s="47"/>
      <c r="C808" s="48"/>
      <c r="D808" s="24"/>
      <c r="G808" s="22"/>
      <c r="I808" s="22"/>
      <c r="J808" s="50"/>
      <c r="K808" s="29"/>
      <c r="L808" s="52"/>
    </row>
    <row r="809" spans="2:12" x14ac:dyDescent="0.35">
      <c r="B809" s="47"/>
      <c r="C809" s="48"/>
      <c r="D809" s="24"/>
      <c r="G809" s="22"/>
      <c r="I809" s="22"/>
      <c r="J809" s="50"/>
      <c r="K809" s="29"/>
      <c r="L809" s="52"/>
    </row>
    <row r="810" spans="2:12" x14ac:dyDescent="0.35">
      <c r="B810" s="8"/>
      <c r="C810" s="9"/>
      <c r="D810" s="10"/>
      <c r="E810" s="4"/>
      <c r="F810" s="4"/>
      <c r="G810" s="4"/>
      <c r="H810" s="1"/>
      <c r="I810" s="1"/>
      <c r="J810" s="11" t="s">
        <v>8</v>
      </c>
      <c r="K810" s="7">
        <f>SUM(K757:K809)</f>
        <v>0</v>
      </c>
      <c r="L810" s="7">
        <f>SUM(L757:L809)</f>
        <v>106908175.20000003</v>
      </c>
    </row>
    <row r="811" spans="2:12" x14ac:dyDescent="0.35">
      <c r="B811" s="8"/>
      <c r="C811" s="9"/>
      <c r="D811" s="9"/>
      <c r="E811" s="4"/>
      <c r="F811" s="4"/>
      <c r="G811" s="4"/>
      <c r="H811" s="1"/>
      <c r="I811" s="1"/>
      <c r="J811" s="11"/>
      <c r="K811" s="35" t="s">
        <v>22</v>
      </c>
      <c r="L811" s="36" t="s">
        <v>23</v>
      </c>
    </row>
    <row r="812" spans="2:12" x14ac:dyDescent="0.35">
      <c r="B812" s="3" t="s">
        <v>9</v>
      </c>
      <c r="C812" s="4"/>
      <c r="D812" s="4"/>
      <c r="E812" s="4"/>
      <c r="F812" s="4"/>
      <c r="G812" s="4"/>
      <c r="H812" s="1"/>
      <c r="I812" s="1"/>
      <c r="J812" s="12"/>
      <c r="K812" s="12"/>
      <c r="L812" s="13"/>
    </row>
    <row r="813" spans="2:12" x14ac:dyDescent="0.35">
      <c r="B813" s="37"/>
      <c r="C813" s="1"/>
      <c r="D813" s="1"/>
      <c r="E813" s="38"/>
      <c r="F813" s="38"/>
      <c r="G813" s="38"/>
      <c r="H813" s="1"/>
      <c r="I813" s="1"/>
      <c r="J813" s="1"/>
      <c r="K813" s="1"/>
      <c r="L813" s="19"/>
    </row>
    <row r="814" spans="2:12" x14ac:dyDescent="0.35">
      <c r="B814" s="28" t="s">
        <v>6</v>
      </c>
      <c r="C814" s="27"/>
      <c r="D814" s="27"/>
      <c r="E814" s="26"/>
      <c r="F814" s="26"/>
      <c r="G814" s="5"/>
      <c r="K814" s="284" t="s">
        <v>1600</v>
      </c>
      <c r="L814" s="285"/>
    </row>
    <row r="815" spans="2:12" x14ac:dyDescent="0.35">
      <c r="B815" s="28">
        <v>1</v>
      </c>
      <c r="C815" s="27"/>
      <c r="D815" s="27"/>
      <c r="E815" s="26" t="s">
        <v>7</v>
      </c>
      <c r="F815" s="26"/>
      <c r="G815" s="5"/>
      <c r="K815" s="284" t="s">
        <v>28</v>
      </c>
      <c r="L815" s="285"/>
    </row>
    <row r="816" spans="2:12" x14ac:dyDescent="0.35">
      <c r="B816" s="39"/>
      <c r="C816" s="27"/>
      <c r="D816" s="27"/>
      <c r="E816" s="26"/>
      <c r="F816" s="26"/>
      <c r="G816" s="5"/>
      <c r="J816" s="25"/>
      <c r="K816" s="25"/>
      <c r="L816" s="24"/>
    </row>
    <row r="817" spans="2:12" x14ac:dyDescent="0.35">
      <c r="B817" s="28"/>
      <c r="C817" s="27"/>
      <c r="D817" s="27"/>
      <c r="E817" s="26"/>
      <c r="F817" s="26"/>
      <c r="G817" s="5"/>
      <c r="L817" s="22"/>
    </row>
    <row r="818" spans="2:12" x14ac:dyDescent="0.35">
      <c r="B818" s="45"/>
      <c r="E818" s="5"/>
      <c r="F818" s="5"/>
      <c r="G818" s="5"/>
      <c r="L818" s="22"/>
    </row>
    <row r="819" spans="2:12" x14ac:dyDescent="0.35">
      <c r="B819" s="45"/>
      <c r="E819" s="5"/>
      <c r="F819" s="5"/>
      <c r="G819" s="5"/>
      <c r="L819" s="22"/>
    </row>
    <row r="820" spans="2:12" x14ac:dyDescent="0.35">
      <c r="B820" s="45"/>
      <c r="E820" s="5"/>
      <c r="F820" s="5"/>
      <c r="G820" s="5"/>
      <c r="L820" s="22"/>
    </row>
    <row r="821" spans="2:12" x14ac:dyDescent="0.35">
      <c r="B821" s="45"/>
      <c r="E821" s="5"/>
      <c r="F821" s="5"/>
      <c r="G821" s="5"/>
      <c r="J821" s="40"/>
      <c r="K821" s="286" t="s">
        <v>36</v>
      </c>
      <c r="L821" s="287"/>
    </row>
    <row r="822" spans="2:12" x14ac:dyDescent="0.35">
      <c r="B822" s="45"/>
      <c r="K822" s="288" t="s">
        <v>37</v>
      </c>
      <c r="L822" s="289"/>
    </row>
    <row r="823" spans="2:12" x14ac:dyDescent="0.35">
      <c r="B823" s="290"/>
      <c r="C823" s="291"/>
      <c r="D823" s="291"/>
      <c r="E823" s="41"/>
      <c r="F823" s="41"/>
      <c r="G823" s="41"/>
      <c r="H823" s="2"/>
      <c r="I823" s="2"/>
      <c r="J823" s="2"/>
      <c r="K823" s="2"/>
      <c r="L823" s="21"/>
    </row>
    <row r="824" spans="2:12" x14ac:dyDescent="0.35">
      <c r="B824" s="47"/>
      <c r="C824" s="48"/>
      <c r="D824" s="49"/>
      <c r="G824" s="22"/>
      <c r="H824" s="1"/>
      <c r="I824" s="1"/>
      <c r="J824" s="43"/>
      <c r="K824" s="30"/>
      <c r="L824" s="44"/>
    </row>
    <row r="825" spans="2:12" x14ac:dyDescent="0.35">
      <c r="B825" s="96"/>
      <c r="C825" s="97"/>
      <c r="D825" s="98"/>
      <c r="E825" s="99"/>
      <c r="F825" s="100" t="s">
        <v>89</v>
      </c>
      <c r="G825" s="101" t="s">
        <v>663</v>
      </c>
      <c r="H825" s="102">
        <v>216.16679999999999</v>
      </c>
      <c r="I825" s="103" t="s">
        <v>87</v>
      </c>
      <c r="J825" s="50">
        <v>29000</v>
      </c>
      <c r="K825" s="56"/>
      <c r="L825" s="46">
        <f t="shared" ref="L825:L875" si="48">J825*H825</f>
        <v>6268837.2000000002</v>
      </c>
    </row>
    <row r="826" spans="2:12" x14ac:dyDescent="0.35">
      <c r="B826" s="96"/>
      <c r="C826" s="97"/>
      <c r="D826" s="98"/>
      <c r="E826" s="99"/>
      <c r="F826" s="100" t="s">
        <v>89</v>
      </c>
      <c r="G826" s="101" t="s">
        <v>664</v>
      </c>
      <c r="H826" s="102">
        <v>185.62799999999999</v>
      </c>
      <c r="I826" s="103" t="s">
        <v>87</v>
      </c>
      <c r="J826" s="50">
        <v>29000</v>
      </c>
      <c r="K826" s="56"/>
      <c r="L826" s="46">
        <f t="shared" si="48"/>
        <v>5383212</v>
      </c>
    </row>
    <row r="827" spans="2:12" x14ac:dyDescent="0.35">
      <c r="B827" s="96"/>
      <c r="C827" s="97"/>
      <c r="D827" s="98"/>
      <c r="E827" s="99"/>
      <c r="F827" s="100" t="s">
        <v>89</v>
      </c>
      <c r="G827" s="101" t="s">
        <v>665</v>
      </c>
      <c r="H827" s="102">
        <v>103.99680000000001</v>
      </c>
      <c r="I827" s="103" t="s">
        <v>87</v>
      </c>
      <c r="J827" s="50">
        <v>29000</v>
      </c>
      <c r="K827" s="56"/>
      <c r="L827" s="46">
        <f t="shared" si="48"/>
        <v>3015907.2</v>
      </c>
    </row>
    <row r="828" spans="2:12" x14ac:dyDescent="0.35">
      <c r="B828" s="96"/>
      <c r="C828" s="97"/>
      <c r="D828" s="98"/>
      <c r="E828" s="99"/>
      <c r="F828" s="100" t="s">
        <v>89</v>
      </c>
      <c r="G828" s="101" t="s">
        <v>666</v>
      </c>
      <c r="H828" s="102">
        <v>24.981839999999995</v>
      </c>
      <c r="I828" s="103" t="s">
        <v>87</v>
      </c>
      <c r="J828" s="50">
        <v>29000</v>
      </c>
      <c r="K828" s="56"/>
      <c r="L828" s="46">
        <f t="shared" si="48"/>
        <v>724473.35999999987</v>
      </c>
    </row>
    <row r="829" spans="2:12" x14ac:dyDescent="0.35">
      <c r="B829" s="96"/>
      <c r="C829" s="97"/>
      <c r="D829" s="98"/>
      <c r="E829" s="99"/>
      <c r="F829" s="100" t="s">
        <v>89</v>
      </c>
      <c r="G829" s="101" t="s">
        <v>667</v>
      </c>
      <c r="H829" s="102">
        <v>216.16679999999999</v>
      </c>
      <c r="I829" s="103" t="s">
        <v>87</v>
      </c>
      <c r="J829" s="50">
        <v>29000</v>
      </c>
      <c r="K829" s="56"/>
      <c r="L829" s="46">
        <f t="shared" si="48"/>
        <v>6268837.2000000002</v>
      </c>
    </row>
    <row r="830" spans="2:12" x14ac:dyDescent="0.35">
      <c r="B830" s="96"/>
      <c r="C830" s="97"/>
      <c r="D830" s="98"/>
      <c r="E830" s="99"/>
      <c r="F830" s="100" t="s">
        <v>89</v>
      </c>
      <c r="G830" s="101" t="s">
        <v>465</v>
      </c>
      <c r="H830" s="102">
        <v>185.62799999999999</v>
      </c>
      <c r="I830" s="103" t="s">
        <v>87</v>
      </c>
      <c r="J830" s="50">
        <v>29000</v>
      </c>
      <c r="K830" s="56"/>
      <c r="L830" s="46">
        <f t="shared" si="48"/>
        <v>5383212</v>
      </c>
    </row>
    <row r="831" spans="2:12" x14ac:dyDescent="0.35">
      <c r="B831" s="96"/>
      <c r="C831" s="97"/>
      <c r="D831" s="98"/>
      <c r="E831" s="99"/>
      <c r="F831" s="100" t="s">
        <v>89</v>
      </c>
      <c r="G831" s="101" t="s">
        <v>668</v>
      </c>
      <c r="H831" s="102">
        <v>7.9128000000000007</v>
      </c>
      <c r="I831" s="103" t="s">
        <v>87</v>
      </c>
      <c r="J831" s="50">
        <v>29000</v>
      </c>
      <c r="K831" s="56"/>
      <c r="L831" s="46">
        <f t="shared" si="48"/>
        <v>229471.2</v>
      </c>
    </row>
    <row r="832" spans="2:12" x14ac:dyDescent="0.35">
      <c r="B832" s="96"/>
      <c r="C832" s="97"/>
      <c r="D832" s="98"/>
      <c r="E832" s="99"/>
      <c r="F832" s="100" t="s">
        <v>89</v>
      </c>
      <c r="G832" s="101" t="s">
        <v>669</v>
      </c>
      <c r="H832" s="102">
        <v>11.304000000000002</v>
      </c>
      <c r="I832" s="103" t="s">
        <v>87</v>
      </c>
      <c r="J832" s="50">
        <v>29000</v>
      </c>
      <c r="K832" s="56"/>
      <c r="L832" s="46">
        <f t="shared" si="48"/>
        <v>327816.00000000006</v>
      </c>
    </row>
    <row r="833" spans="2:12" x14ac:dyDescent="0.35">
      <c r="B833" s="96"/>
      <c r="C833" s="97"/>
      <c r="D833" s="98"/>
      <c r="E833" s="99"/>
      <c r="F833" s="100" t="s">
        <v>89</v>
      </c>
      <c r="G833" s="101" t="s">
        <v>670</v>
      </c>
      <c r="H833" s="102">
        <v>7.5360000000000014</v>
      </c>
      <c r="I833" s="103" t="s">
        <v>87</v>
      </c>
      <c r="J833" s="50">
        <v>29000</v>
      </c>
      <c r="K833" s="56"/>
      <c r="L833" s="46">
        <f t="shared" si="48"/>
        <v>218544.00000000003</v>
      </c>
    </row>
    <row r="834" spans="2:12" x14ac:dyDescent="0.35">
      <c r="B834" s="96"/>
      <c r="C834" s="97"/>
      <c r="D834" s="98"/>
      <c r="E834" s="99"/>
      <c r="F834" s="100" t="s">
        <v>89</v>
      </c>
      <c r="G834" s="101" t="s">
        <v>671</v>
      </c>
      <c r="H834" s="102">
        <v>34.100400000000008</v>
      </c>
      <c r="I834" s="103" t="s">
        <v>87</v>
      </c>
      <c r="J834" s="50">
        <v>29000</v>
      </c>
      <c r="K834" s="56"/>
      <c r="L834" s="46">
        <f t="shared" si="48"/>
        <v>988911.60000000021</v>
      </c>
    </row>
    <row r="835" spans="2:12" x14ac:dyDescent="0.35">
      <c r="B835" s="96"/>
      <c r="C835" s="97"/>
      <c r="D835" s="98"/>
      <c r="E835" s="99"/>
      <c r="F835" s="100" t="s">
        <v>89</v>
      </c>
      <c r="G835" s="101" t="s">
        <v>672</v>
      </c>
      <c r="H835" s="102">
        <v>34.100400000000008</v>
      </c>
      <c r="I835" s="103" t="s">
        <v>87</v>
      </c>
      <c r="J835" s="50">
        <v>29000</v>
      </c>
      <c r="K835" s="56"/>
      <c r="L835" s="46">
        <f t="shared" si="48"/>
        <v>988911.60000000021</v>
      </c>
    </row>
    <row r="836" spans="2:12" x14ac:dyDescent="0.35">
      <c r="B836" s="96"/>
      <c r="C836" s="97"/>
      <c r="D836" s="98"/>
      <c r="E836" s="99"/>
      <c r="F836" s="100" t="s">
        <v>89</v>
      </c>
      <c r="G836" s="101" t="s">
        <v>673</v>
      </c>
      <c r="H836" s="102">
        <v>34.100400000000008</v>
      </c>
      <c r="I836" s="103" t="s">
        <v>87</v>
      </c>
      <c r="J836" s="50">
        <v>29000</v>
      </c>
      <c r="K836" s="56"/>
      <c r="L836" s="46">
        <f t="shared" si="48"/>
        <v>988911.60000000021</v>
      </c>
    </row>
    <row r="837" spans="2:12" x14ac:dyDescent="0.35">
      <c r="B837" s="96"/>
      <c r="C837" s="97"/>
      <c r="D837" s="98"/>
      <c r="E837" s="99"/>
      <c r="F837" s="100" t="s">
        <v>89</v>
      </c>
      <c r="G837" s="101" t="s">
        <v>674</v>
      </c>
      <c r="H837" s="102">
        <v>24.981839999999995</v>
      </c>
      <c r="I837" s="103" t="s">
        <v>87</v>
      </c>
      <c r="J837" s="50">
        <v>29000</v>
      </c>
      <c r="K837" s="56"/>
      <c r="L837" s="46">
        <f t="shared" si="48"/>
        <v>724473.35999999987</v>
      </c>
    </row>
    <row r="838" spans="2:12" x14ac:dyDescent="0.35">
      <c r="B838" s="96"/>
      <c r="C838" s="97"/>
      <c r="D838" s="98"/>
      <c r="E838" s="99"/>
      <c r="F838" s="100" t="s">
        <v>89</v>
      </c>
      <c r="G838" s="101" t="s">
        <v>675</v>
      </c>
      <c r="H838" s="102">
        <v>216.16679999999999</v>
      </c>
      <c r="I838" s="103" t="s">
        <v>87</v>
      </c>
      <c r="J838" s="50">
        <v>29000</v>
      </c>
      <c r="K838" s="56"/>
      <c r="L838" s="46">
        <f t="shared" si="48"/>
        <v>6268837.2000000002</v>
      </c>
    </row>
    <row r="839" spans="2:12" x14ac:dyDescent="0.35">
      <c r="B839" s="96"/>
      <c r="C839" s="97"/>
      <c r="D839" s="98"/>
      <c r="E839" s="99"/>
      <c r="F839" s="100" t="s">
        <v>89</v>
      </c>
      <c r="G839" s="101" t="s">
        <v>470</v>
      </c>
      <c r="H839" s="102">
        <v>185.62799999999999</v>
      </c>
      <c r="I839" s="103" t="s">
        <v>87</v>
      </c>
      <c r="J839" s="50">
        <v>29000</v>
      </c>
      <c r="K839" s="56"/>
      <c r="L839" s="46">
        <f t="shared" si="48"/>
        <v>5383212</v>
      </c>
    </row>
    <row r="840" spans="2:12" x14ac:dyDescent="0.35">
      <c r="B840" s="96"/>
      <c r="C840" s="97"/>
      <c r="D840" s="98"/>
      <c r="E840" s="99"/>
      <c r="F840" s="100" t="s">
        <v>89</v>
      </c>
      <c r="G840" s="101" t="s">
        <v>676</v>
      </c>
      <c r="H840" s="102">
        <v>34.100400000000008</v>
      </c>
      <c r="I840" s="103" t="s">
        <v>87</v>
      </c>
      <c r="J840" s="50">
        <v>29000</v>
      </c>
      <c r="K840" s="56"/>
      <c r="L840" s="46">
        <f t="shared" si="48"/>
        <v>988911.60000000021</v>
      </c>
    </row>
    <row r="841" spans="2:12" x14ac:dyDescent="0.35">
      <c r="B841" s="96"/>
      <c r="C841" s="97"/>
      <c r="D841" s="98"/>
      <c r="E841" s="99"/>
      <c r="F841" s="100" t="s">
        <v>89</v>
      </c>
      <c r="G841" s="101" t="s">
        <v>677</v>
      </c>
      <c r="H841" s="102">
        <v>68.200800000000015</v>
      </c>
      <c r="I841" s="103" t="s">
        <v>87</v>
      </c>
      <c r="J841" s="50">
        <v>29000</v>
      </c>
      <c r="K841" s="56"/>
      <c r="L841" s="46">
        <f t="shared" si="48"/>
        <v>1977823.2000000004</v>
      </c>
    </row>
    <row r="842" spans="2:12" x14ac:dyDescent="0.35">
      <c r="B842" s="96"/>
      <c r="C842" s="97"/>
      <c r="D842" s="98"/>
      <c r="E842" s="99"/>
      <c r="F842" s="100" t="s">
        <v>89</v>
      </c>
      <c r="G842" s="101" t="s">
        <v>678</v>
      </c>
      <c r="H842" s="102">
        <v>24.981839999999995</v>
      </c>
      <c r="I842" s="103" t="s">
        <v>87</v>
      </c>
      <c r="J842" s="50">
        <v>29000</v>
      </c>
      <c r="K842" s="56"/>
      <c r="L842" s="46">
        <f t="shared" si="48"/>
        <v>724473.35999999987</v>
      </c>
    </row>
    <row r="843" spans="2:12" x14ac:dyDescent="0.35">
      <c r="B843" s="96"/>
      <c r="C843" s="97"/>
      <c r="D843" s="98"/>
      <c r="E843" s="99"/>
      <c r="F843" s="100" t="s">
        <v>89</v>
      </c>
      <c r="G843" s="101" t="s">
        <v>679</v>
      </c>
      <c r="H843" s="102">
        <v>145.50839999999999</v>
      </c>
      <c r="I843" s="103" t="s">
        <v>87</v>
      </c>
      <c r="J843" s="50">
        <v>29000</v>
      </c>
      <c r="K843" s="56"/>
      <c r="L843" s="46">
        <f t="shared" si="48"/>
        <v>4219743.5999999996</v>
      </c>
    </row>
    <row r="844" spans="2:12" x14ac:dyDescent="0.35">
      <c r="B844" s="96"/>
      <c r="C844" s="97"/>
      <c r="D844" s="98"/>
      <c r="E844" s="99"/>
      <c r="F844" s="100" t="s">
        <v>89</v>
      </c>
      <c r="G844" s="101" t="s">
        <v>473</v>
      </c>
      <c r="H844" s="102">
        <v>185.62799999999999</v>
      </c>
      <c r="I844" s="103" t="s">
        <v>87</v>
      </c>
      <c r="J844" s="50">
        <v>29000</v>
      </c>
      <c r="K844" s="56"/>
      <c r="L844" s="46">
        <f t="shared" si="48"/>
        <v>5383212</v>
      </c>
    </row>
    <row r="845" spans="2:12" x14ac:dyDescent="0.35">
      <c r="B845" s="96"/>
      <c r="C845" s="97"/>
      <c r="D845" s="98"/>
      <c r="E845" s="99"/>
      <c r="F845" s="100" t="s">
        <v>89</v>
      </c>
      <c r="G845" s="101" t="s">
        <v>680</v>
      </c>
      <c r="H845" s="102">
        <v>22.608000000000004</v>
      </c>
      <c r="I845" s="103" t="s">
        <v>87</v>
      </c>
      <c r="J845" s="50">
        <v>29000</v>
      </c>
      <c r="K845" s="56"/>
      <c r="L845" s="46">
        <f t="shared" si="48"/>
        <v>655632.00000000012</v>
      </c>
    </row>
    <row r="846" spans="2:12" x14ac:dyDescent="0.35">
      <c r="B846" s="96"/>
      <c r="C846" s="97"/>
      <c r="D846" s="98"/>
      <c r="E846" s="99"/>
      <c r="F846" s="100" t="s">
        <v>89</v>
      </c>
      <c r="G846" s="101" t="s">
        <v>681</v>
      </c>
      <c r="H846" s="102">
        <v>34.477200000000003</v>
      </c>
      <c r="I846" s="103" t="s">
        <v>87</v>
      </c>
      <c r="J846" s="50">
        <v>29000</v>
      </c>
      <c r="K846" s="56"/>
      <c r="L846" s="46">
        <f t="shared" si="48"/>
        <v>999838.8</v>
      </c>
    </row>
    <row r="847" spans="2:12" x14ac:dyDescent="0.35">
      <c r="B847" s="96"/>
      <c r="C847" s="97"/>
      <c r="D847" s="98"/>
      <c r="E847" s="99"/>
      <c r="F847" s="100" t="s">
        <v>89</v>
      </c>
      <c r="G847" s="101" t="s">
        <v>682</v>
      </c>
      <c r="H847" s="102">
        <v>3.5796000000000006</v>
      </c>
      <c r="I847" s="103" t="s">
        <v>87</v>
      </c>
      <c r="J847" s="50">
        <v>29000</v>
      </c>
      <c r="K847" s="56"/>
      <c r="L847" s="46">
        <f t="shared" si="48"/>
        <v>103808.40000000002</v>
      </c>
    </row>
    <row r="848" spans="2:12" x14ac:dyDescent="0.35">
      <c r="B848" s="96"/>
      <c r="C848" s="97"/>
      <c r="D848" s="98"/>
      <c r="E848" s="99"/>
      <c r="F848" s="100" t="s">
        <v>89</v>
      </c>
      <c r="G848" s="101" t="s">
        <v>683</v>
      </c>
      <c r="H848" s="102">
        <v>33.309119999999993</v>
      </c>
      <c r="I848" s="103" t="s">
        <v>87</v>
      </c>
      <c r="J848" s="50">
        <v>29000</v>
      </c>
      <c r="K848" s="56"/>
      <c r="L848" s="46">
        <f t="shared" si="48"/>
        <v>965964.47999999975</v>
      </c>
    </row>
    <row r="849" spans="2:12" x14ac:dyDescent="0.35">
      <c r="B849" s="96"/>
      <c r="C849" s="97"/>
      <c r="D849" s="98"/>
      <c r="E849" s="99"/>
      <c r="F849" s="100" t="s">
        <v>89</v>
      </c>
      <c r="G849" s="101" t="s">
        <v>684</v>
      </c>
      <c r="H849" s="102">
        <v>216.16679999999999</v>
      </c>
      <c r="I849" s="103" t="s">
        <v>87</v>
      </c>
      <c r="J849" s="50">
        <v>29000</v>
      </c>
      <c r="K849" s="56"/>
      <c r="L849" s="46">
        <f t="shared" si="48"/>
        <v>6268837.2000000002</v>
      </c>
    </row>
    <row r="850" spans="2:12" x14ac:dyDescent="0.35">
      <c r="B850" s="96"/>
      <c r="C850" s="97"/>
      <c r="D850" s="98"/>
      <c r="E850" s="99"/>
      <c r="F850" s="100" t="s">
        <v>89</v>
      </c>
      <c r="G850" s="101" t="s">
        <v>478</v>
      </c>
      <c r="H850" s="102">
        <v>185.62799999999999</v>
      </c>
      <c r="I850" s="103" t="s">
        <v>87</v>
      </c>
      <c r="J850" s="50">
        <v>29000</v>
      </c>
      <c r="K850" s="56"/>
      <c r="L850" s="46">
        <f t="shared" si="48"/>
        <v>5383212</v>
      </c>
    </row>
    <row r="851" spans="2:12" x14ac:dyDescent="0.35">
      <c r="B851" s="96"/>
      <c r="C851" s="97"/>
      <c r="D851" s="98"/>
      <c r="E851" s="99"/>
      <c r="F851" s="100" t="s">
        <v>89</v>
      </c>
      <c r="G851" s="101" t="s">
        <v>685</v>
      </c>
      <c r="H851" s="102">
        <v>22.984800000000003</v>
      </c>
      <c r="I851" s="103" t="s">
        <v>87</v>
      </c>
      <c r="J851" s="50">
        <v>29000</v>
      </c>
      <c r="K851" s="56"/>
      <c r="L851" s="46">
        <f t="shared" si="48"/>
        <v>666559.20000000007</v>
      </c>
    </row>
    <row r="852" spans="2:12" x14ac:dyDescent="0.35">
      <c r="B852" s="96"/>
      <c r="C852" s="97"/>
      <c r="D852" s="98"/>
      <c r="E852" s="99"/>
      <c r="F852" s="100" t="s">
        <v>89</v>
      </c>
      <c r="G852" s="101" t="s">
        <v>686</v>
      </c>
      <c r="H852" s="102">
        <v>34.477200000000003</v>
      </c>
      <c r="I852" s="103" t="s">
        <v>87</v>
      </c>
      <c r="J852" s="50">
        <v>29000</v>
      </c>
      <c r="K852" s="56"/>
      <c r="L852" s="46">
        <f t="shared" si="48"/>
        <v>999838.8</v>
      </c>
    </row>
    <row r="853" spans="2:12" x14ac:dyDescent="0.35">
      <c r="B853" s="96"/>
      <c r="C853" s="97"/>
      <c r="D853" s="98"/>
      <c r="E853" s="99"/>
      <c r="F853" s="100" t="s">
        <v>89</v>
      </c>
      <c r="G853" s="101" t="s">
        <v>687</v>
      </c>
      <c r="H853" s="102">
        <v>33.309119999999993</v>
      </c>
      <c r="I853" s="103" t="s">
        <v>87</v>
      </c>
      <c r="J853" s="50">
        <v>29000</v>
      </c>
      <c r="K853" s="56"/>
      <c r="L853" s="46">
        <f t="shared" si="48"/>
        <v>965964.47999999975</v>
      </c>
    </row>
    <row r="854" spans="2:12" x14ac:dyDescent="0.35">
      <c r="B854" s="96"/>
      <c r="C854" s="97"/>
      <c r="D854" s="98"/>
      <c r="E854" s="99"/>
      <c r="F854" s="100" t="s">
        <v>89</v>
      </c>
      <c r="G854" s="101" t="s">
        <v>688</v>
      </c>
      <c r="H854" s="102">
        <v>216.16679999999999</v>
      </c>
      <c r="I854" s="103" t="s">
        <v>87</v>
      </c>
      <c r="J854" s="50">
        <v>29000</v>
      </c>
      <c r="K854" s="56"/>
      <c r="L854" s="46">
        <f t="shared" si="48"/>
        <v>6268837.2000000002</v>
      </c>
    </row>
    <row r="855" spans="2:12" x14ac:dyDescent="0.35">
      <c r="B855" s="96"/>
      <c r="C855" s="97"/>
      <c r="D855" s="98"/>
      <c r="E855" s="99"/>
      <c r="F855" s="100" t="s">
        <v>89</v>
      </c>
      <c r="G855" s="101" t="s">
        <v>689</v>
      </c>
      <c r="H855" s="102">
        <v>185.62799999999999</v>
      </c>
      <c r="I855" s="103" t="s">
        <v>87</v>
      </c>
      <c r="J855" s="50">
        <v>29000</v>
      </c>
      <c r="K855" s="56"/>
      <c r="L855" s="46">
        <f t="shared" si="48"/>
        <v>5383212</v>
      </c>
    </row>
    <row r="856" spans="2:12" x14ac:dyDescent="0.35">
      <c r="B856" s="96"/>
      <c r="C856" s="97"/>
      <c r="D856" s="98"/>
      <c r="E856" s="99"/>
      <c r="F856" s="100" t="s">
        <v>89</v>
      </c>
      <c r="G856" s="101" t="s">
        <v>690</v>
      </c>
      <c r="H856" s="102">
        <v>103.99680000000001</v>
      </c>
      <c r="I856" s="103" t="s">
        <v>87</v>
      </c>
      <c r="J856" s="50">
        <v>29000</v>
      </c>
      <c r="K856" s="56"/>
      <c r="L856" s="46">
        <f t="shared" si="48"/>
        <v>3015907.2</v>
      </c>
    </row>
    <row r="857" spans="2:12" x14ac:dyDescent="0.35">
      <c r="B857" s="96"/>
      <c r="C857" s="97"/>
      <c r="D857" s="98"/>
      <c r="E857" s="99"/>
      <c r="F857" s="100" t="s">
        <v>89</v>
      </c>
      <c r="G857" s="101" t="s">
        <v>691</v>
      </c>
      <c r="H857" s="102">
        <v>24.981839999999995</v>
      </c>
      <c r="I857" s="103" t="s">
        <v>87</v>
      </c>
      <c r="J857" s="50">
        <v>29000</v>
      </c>
      <c r="K857" s="56"/>
      <c r="L857" s="46">
        <f t="shared" si="48"/>
        <v>724473.35999999987</v>
      </c>
    </row>
    <row r="858" spans="2:12" x14ac:dyDescent="0.35">
      <c r="B858" s="96"/>
      <c r="C858" s="97"/>
      <c r="D858" s="98"/>
      <c r="E858" s="99"/>
      <c r="F858" s="100" t="s">
        <v>89</v>
      </c>
      <c r="G858" s="101" t="s">
        <v>692</v>
      </c>
      <c r="H858" s="102">
        <v>22.608000000000004</v>
      </c>
      <c r="I858" s="103" t="s">
        <v>87</v>
      </c>
      <c r="J858" s="50">
        <v>29000</v>
      </c>
      <c r="K858" s="56"/>
      <c r="L858" s="46">
        <f t="shared" si="48"/>
        <v>655632.00000000012</v>
      </c>
    </row>
    <row r="859" spans="2:12" x14ac:dyDescent="0.35">
      <c r="B859" s="96"/>
      <c r="C859" s="97"/>
      <c r="D859" s="98"/>
      <c r="E859" s="99"/>
      <c r="F859" s="100" t="s">
        <v>89</v>
      </c>
      <c r="G859" s="101" t="s">
        <v>693</v>
      </c>
      <c r="H859" s="102">
        <v>21.100800000000003</v>
      </c>
      <c r="I859" s="103" t="s">
        <v>87</v>
      </c>
      <c r="J859" s="50">
        <v>29000</v>
      </c>
      <c r="K859" s="56"/>
      <c r="L859" s="46">
        <f t="shared" si="48"/>
        <v>611923.20000000007</v>
      </c>
    </row>
    <row r="860" spans="2:12" x14ac:dyDescent="0.35">
      <c r="B860" s="96"/>
      <c r="C860" s="97"/>
      <c r="D860" s="98"/>
      <c r="E860" s="99"/>
      <c r="F860" s="100" t="s">
        <v>89</v>
      </c>
      <c r="G860" s="101" t="s">
        <v>694</v>
      </c>
      <c r="H860" s="102">
        <v>34.854000000000006</v>
      </c>
      <c r="I860" s="103" t="s">
        <v>87</v>
      </c>
      <c r="J860" s="50">
        <v>29000</v>
      </c>
      <c r="K860" s="56"/>
      <c r="L860" s="46">
        <f t="shared" si="48"/>
        <v>1010766.0000000002</v>
      </c>
    </row>
    <row r="861" spans="2:12" x14ac:dyDescent="0.35">
      <c r="B861" s="96"/>
      <c r="C861" s="97"/>
      <c r="D861" s="98"/>
      <c r="E861" s="99"/>
      <c r="F861" s="100" t="s">
        <v>89</v>
      </c>
      <c r="G861" s="101" t="s">
        <v>695</v>
      </c>
      <c r="H861" s="102">
        <v>69.708000000000013</v>
      </c>
      <c r="I861" s="103" t="s">
        <v>87</v>
      </c>
      <c r="J861" s="50">
        <v>29000</v>
      </c>
      <c r="K861" s="56"/>
      <c r="L861" s="46">
        <f t="shared" si="48"/>
        <v>2021532.0000000005</v>
      </c>
    </row>
    <row r="862" spans="2:12" x14ac:dyDescent="0.35">
      <c r="B862" s="96"/>
      <c r="C862" s="97"/>
      <c r="D862" s="98"/>
      <c r="E862" s="99"/>
      <c r="F862" s="100" t="s">
        <v>89</v>
      </c>
      <c r="G862" s="101" t="s">
        <v>696</v>
      </c>
      <c r="H862" s="102">
        <v>34.854000000000006</v>
      </c>
      <c r="I862" s="103" t="s">
        <v>87</v>
      </c>
      <c r="J862" s="50">
        <v>29000</v>
      </c>
      <c r="K862" s="56"/>
      <c r="L862" s="46">
        <f t="shared" si="48"/>
        <v>1010766.0000000002</v>
      </c>
    </row>
    <row r="863" spans="2:12" x14ac:dyDescent="0.35">
      <c r="B863" s="96"/>
      <c r="C863" s="97"/>
      <c r="D863" s="98"/>
      <c r="E863" s="99"/>
      <c r="F863" s="100" t="s">
        <v>89</v>
      </c>
      <c r="G863" s="101" t="s">
        <v>697</v>
      </c>
      <c r="H863" s="102">
        <v>216.16679999999999</v>
      </c>
      <c r="I863" s="103" t="s">
        <v>87</v>
      </c>
      <c r="J863" s="50">
        <v>29000</v>
      </c>
      <c r="K863" s="56"/>
      <c r="L863" s="46">
        <f t="shared" si="48"/>
        <v>6268837.2000000002</v>
      </c>
    </row>
    <row r="864" spans="2:12" x14ac:dyDescent="0.35">
      <c r="B864" s="96"/>
      <c r="C864" s="97"/>
      <c r="D864" s="98"/>
      <c r="E864" s="99"/>
      <c r="F864" s="100" t="s">
        <v>89</v>
      </c>
      <c r="G864" s="101" t="s">
        <v>698</v>
      </c>
      <c r="H864" s="102">
        <v>61.795200000000008</v>
      </c>
      <c r="I864" s="103" t="s">
        <v>87</v>
      </c>
      <c r="J864" s="50">
        <v>29000</v>
      </c>
      <c r="K864" s="56"/>
      <c r="L864" s="46">
        <f t="shared" si="48"/>
        <v>1792060.8000000003</v>
      </c>
    </row>
    <row r="865" spans="2:12" x14ac:dyDescent="0.35">
      <c r="B865" s="96"/>
      <c r="C865" s="97"/>
      <c r="D865" s="98"/>
      <c r="E865" s="99"/>
      <c r="F865" s="100" t="s">
        <v>89</v>
      </c>
      <c r="G865" s="101" t="s">
        <v>699</v>
      </c>
      <c r="H865" s="102">
        <v>35.325000000000003</v>
      </c>
      <c r="I865" s="103" t="s">
        <v>87</v>
      </c>
      <c r="J865" s="50">
        <v>29000</v>
      </c>
      <c r="K865" s="56"/>
      <c r="L865" s="46">
        <f t="shared" si="48"/>
        <v>1024425.0000000001</v>
      </c>
    </row>
    <row r="866" spans="2:12" x14ac:dyDescent="0.35">
      <c r="B866" s="96"/>
      <c r="C866" s="97"/>
      <c r="D866" s="98"/>
      <c r="E866" s="99"/>
      <c r="F866" s="100" t="s">
        <v>89</v>
      </c>
      <c r="G866" s="101" t="s">
        <v>700</v>
      </c>
      <c r="H866" s="102">
        <v>216.16679999999999</v>
      </c>
      <c r="I866" s="103" t="s">
        <v>87</v>
      </c>
      <c r="J866" s="50">
        <v>29000</v>
      </c>
      <c r="K866" s="56"/>
      <c r="L866" s="46">
        <f t="shared" si="48"/>
        <v>6268837.2000000002</v>
      </c>
    </row>
    <row r="867" spans="2:12" x14ac:dyDescent="0.35">
      <c r="B867" s="96"/>
      <c r="C867" s="97"/>
      <c r="D867" s="98"/>
      <c r="E867" s="99"/>
      <c r="F867" s="100" t="s">
        <v>89</v>
      </c>
      <c r="G867" s="101" t="s">
        <v>701</v>
      </c>
      <c r="H867" s="102">
        <v>185.62799999999999</v>
      </c>
      <c r="I867" s="103" t="s">
        <v>87</v>
      </c>
      <c r="J867" s="50">
        <v>29000</v>
      </c>
      <c r="K867" s="56"/>
      <c r="L867" s="46">
        <f t="shared" si="48"/>
        <v>5383212</v>
      </c>
    </row>
    <row r="868" spans="2:12" x14ac:dyDescent="0.35">
      <c r="B868" s="96"/>
      <c r="C868" s="97"/>
      <c r="D868" s="98"/>
      <c r="E868" s="99"/>
      <c r="F868" s="100" t="s">
        <v>89</v>
      </c>
      <c r="G868" s="101" t="s">
        <v>702</v>
      </c>
      <c r="H868" s="102">
        <v>33.723600000000005</v>
      </c>
      <c r="I868" s="103" t="s">
        <v>87</v>
      </c>
      <c r="J868" s="50">
        <v>29000</v>
      </c>
      <c r="K868" s="56"/>
      <c r="L868" s="46">
        <f t="shared" si="48"/>
        <v>977984.40000000014</v>
      </c>
    </row>
    <row r="869" spans="2:12" x14ac:dyDescent="0.35">
      <c r="B869" s="96"/>
      <c r="C869" s="97"/>
      <c r="D869" s="98"/>
      <c r="E869" s="99"/>
      <c r="F869" s="100" t="s">
        <v>89</v>
      </c>
      <c r="G869" s="101" t="s">
        <v>703</v>
      </c>
      <c r="H869" s="102">
        <v>24.115199999999998</v>
      </c>
      <c r="I869" s="103" t="s">
        <v>87</v>
      </c>
      <c r="J869" s="50">
        <v>29000</v>
      </c>
      <c r="K869" s="56"/>
      <c r="L869" s="46">
        <f t="shared" si="48"/>
        <v>699340.79999999993</v>
      </c>
    </row>
    <row r="870" spans="2:12" x14ac:dyDescent="0.35">
      <c r="B870" s="96"/>
      <c r="C870" s="97"/>
      <c r="D870" s="98"/>
      <c r="E870" s="99"/>
      <c r="F870" s="100" t="s">
        <v>89</v>
      </c>
      <c r="G870" s="101" t="s">
        <v>704</v>
      </c>
      <c r="H870" s="102">
        <v>216.16679999999999</v>
      </c>
      <c r="I870" s="103" t="s">
        <v>87</v>
      </c>
      <c r="J870" s="50">
        <v>29000</v>
      </c>
      <c r="K870" s="56"/>
      <c r="L870" s="46">
        <f t="shared" si="48"/>
        <v>6268837.2000000002</v>
      </c>
    </row>
    <row r="871" spans="2:12" x14ac:dyDescent="0.35">
      <c r="B871" s="96"/>
      <c r="C871" s="97"/>
      <c r="D871" s="98"/>
      <c r="E871" s="99"/>
      <c r="F871" s="100" t="s">
        <v>89</v>
      </c>
      <c r="G871" s="101" t="s">
        <v>496</v>
      </c>
      <c r="H871" s="102">
        <v>185.62799999999999</v>
      </c>
      <c r="I871" s="103" t="s">
        <v>87</v>
      </c>
      <c r="J871" s="50">
        <v>29000</v>
      </c>
      <c r="K871" s="56"/>
      <c r="L871" s="46">
        <f t="shared" si="48"/>
        <v>5383212</v>
      </c>
    </row>
    <row r="872" spans="2:12" x14ac:dyDescent="0.35">
      <c r="B872" s="96"/>
      <c r="C872" s="97"/>
      <c r="D872" s="98"/>
      <c r="E872" s="99"/>
      <c r="F872" s="100" t="s">
        <v>89</v>
      </c>
      <c r="G872" s="101" t="s">
        <v>705</v>
      </c>
      <c r="H872" s="102">
        <v>34.854000000000006</v>
      </c>
      <c r="I872" s="103" t="s">
        <v>87</v>
      </c>
      <c r="J872" s="50">
        <v>29000</v>
      </c>
      <c r="K872" s="56"/>
      <c r="L872" s="46">
        <f t="shared" si="48"/>
        <v>1010766.0000000002</v>
      </c>
    </row>
    <row r="873" spans="2:12" x14ac:dyDescent="0.35">
      <c r="B873" s="96"/>
      <c r="C873" s="97"/>
      <c r="D873" s="98"/>
      <c r="E873" s="99"/>
      <c r="F873" s="100" t="s">
        <v>89</v>
      </c>
      <c r="G873" s="101" t="s">
        <v>706</v>
      </c>
      <c r="H873" s="102">
        <v>32.933999999999997</v>
      </c>
      <c r="I873" s="103" t="s">
        <v>87</v>
      </c>
      <c r="J873" s="50">
        <v>29000</v>
      </c>
      <c r="K873" s="56"/>
      <c r="L873" s="46">
        <f t="shared" si="48"/>
        <v>955085.99999999988</v>
      </c>
    </row>
    <row r="874" spans="2:12" x14ac:dyDescent="0.35">
      <c r="B874" s="96"/>
      <c r="C874" s="97"/>
      <c r="D874" s="98"/>
      <c r="E874" s="99"/>
      <c r="F874" s="100" t="s">
        <v>89</v>
      </c>
      <c r="G874" s="101" t="s">
        <v>707</v>
      </c>
      <c r="H874" s="102">
        <v>185.62799999999999</v>
      </c>
      <c r="I874" s="103" t="s">
        <v>87</v>
      </c>
      <c r="J874" s="50">
        <v>29000</v>
      </c>
      <c r="K874" s="56"/>
      <c r="L874" s="46">
        <f t="shared" si="48"/>
        <v>5383212</v>
      </c>
    </row>
    <row r="875" spans="2:12" x14ac:dyDescent="0.35">
      <c r="B875" s="96"/>
      <c r="C875" s="97"/>
      <c r="D875" s="98"/>
      <c r="E875" s="99"/>
      <c r="F875" s="100" t="s">
        <v>89</v>
      </c>
      <c r="G875" s="101" t="s">
        <v>708</v>
      </c>
      <c r="H875" s="102">
        <v>45.216000000000008</v>
      </c>
      <c r="I875" s="103" t="s">
        <v>87</v>
      </c>
      <c r="J875" s="50">
        <v>29000</v>
      </c>
      <c r="K875" s="56"/>
      <c r="L875" s="46">
        <f t="shared" si="48"/>
        <v>1311264.0000000002</v>
      </c>
    </row>
    <row r="876" spans="2:12" x14ac:dyDescent="0.35">
      <c r="B876" s="47"/>
      <c r="C876" s="48"/>
      <c r="D876" s="24"/>
      <c r="G876" s="22"/>
      <c r="I876" s="22"/>
      <c r="J876" s="50"/>
      <c r="K876" s="29"/>
      <c r="L876" s="52"/>
    </row>
    <row r="877" spans="2:12" x14ac:dyDescent="0.35">
      <c r="B877" s="8"/>
      <c r="C877" s="9"/>
      <c r="D877" s="10"/>
      <c r="E877" s="4"/>
      <c r="F877" s="4"/>
      <c r="G877" s="4"/>
      <c r="H877" s="1"/>
      <c r="I877" s="1"/>
      <c r="J877" s="11" t="s">
        <v>8</v>
      </c>
      <c r="K877" s="7">
        <f>SUM(K824:K876)</f>
        <v>0</v>
      </c>
      <c r="L877" s="7">
        <f>SUM(L824:L876)</f>
        <v>136897510.20000002</v>
      </c>
    </row>
    <row r="878" spans="2:12" x14ac:dyDescent="0.35">
      <c r="B878" s="8"/>
      <c r="C878" s="9"/>
      <c r="D878" s="9"/>
      <c r="E878" s="4"/>
      <c r="F878" s="4"/>
      <c r="G878" s="4"/>
      <c r="H878" s="1"/>
      <c r="I878" s="1"/>
      <c r="J878" s="11"/>
      <c r="K878" s="35" t="s">
        <v>22</v>
      </c>
      <c r="L878" s="36" t="s">
        <v>23</v>
      </c>
    </row>
    <row r="879" spans="2:12" x14ac:dyDescent="0.35">
      <c r="B879" s="3" t="s">
        <v>9</v>
      </c>
      <c r="C879" s="4"/>
      <c r="D879" s="4"/>
      <c r="E879" s="4"/>
      <c r="F879" s="4"/>
      <c r="G879" s="4"/>
      <c r="H879" s="1"/>
      <c r="I879" s="1"/>
      <c r="J879" s="12"/>
      <c r="K879" s="12"/>
      <c r="L879" s="13"/>
    </row>
    <row r="880" spans="2:12" x14ac:dyDescent="0.35">
      <c r="B880" s="37"/>
      <c r="C880" s="1"/>
      <c r="D880" s="1"/>
      <c r="E880" s="38"/>
      <c r="F880" s="38"/>
      <c r="G880" s="38"/>
      <c r="H880" s="1"/>
      <c r="I880" s="1"/>
      <c r="J880" s="1"/>
      <c r="K880" s="1"/>
      <c r="L880" s="19"/>
    </row>
    <row r="881" spans="2:12" x14ac:dyDescent="0.35">
      <c r="B881" s="28" t="s">
        <v>6</v>
      </c>
      <c r="C881" s="27"/>
      <c r="D881" s="27"/>
      <c r="E881" s="26"/>
      <c r="F881" s="26"/>
      <c r="G881" s="5"/>
      <c r="K881" s="284" t="s">
        <v>1600</v>
      </c>
      <c r="L881" s="285"/>
    </row>
    <row r="882" spans="2:12" x14ac:dyDescent="0.35">
      <c r="B882" s="28">
        <v>1</v>
      </c>
      <c r="C882" s="27"/>
      <c r="D882" s="27"/>
      <c r="E882" s="26" t="s">
        <v>7</v>
      </c>
      <c r="F882" s="26"/>
      <c r="G882" s="5"/>
      <c r="K882" s="284" t="s">
        <v>28</v>
      </c>
      <c r="L882" s="285"/>
    </row>
    <row r="883" spans="2:12" x14ac:dyDescent="0.35">
      <c r="B883" s="39"/>
      <c r="C883" s="27"/>
      <c r="D883" s="27"/>
      <c r="E883" s="26"/>
      <c r="F883" s="26"/>
      <c r="G883" s="5"/>
      <c r="J883" s="25"/>
      <c r="K883" s="25"/>
      <c r="L883" s="24"/>
    </row>
    <row r="884" spans="2:12" x14ac:dyDescent="0.35">
      <c r="B884" s="28"/>
      <c r="C884" s="27"/>
      <c r="D884" s="27"/>
      <c r="E884" s="26"/>
      <c r="F884" s="26"/>
      <c r="G884" s="5"/>
      <c r="L884" s="22"/>
    </row>
    <row r="885" spans="2:12" x14ac:dyDescent="0.35">
      <c r="B885" s="45"/>
      <c r="E885" s="5"/>
      <c r="F885" s="5"/>
      <c r="G885" s="5"/>
      <c r="L885" s="22"/>
    </row>
    <row r="886" spans="2:12" x14ac:dyDescent="0.35">
      <c r="B886" s="45"/>
      <c r="E886" s="5"/>
      <c r="F886" s="5"/>
      <c r="G886" s="5"/>
      <c r="L886" s="22"/>
    </row>
    <row r="887" spans="2:12" x14ac:dyDescent="0.35">
      <c r="B887" s="45"/>
      <c r="E887" s="5"/>
      <c r="F887" s="5"/>
      <c r="G887" s="5"/>
      <c r="L887" s="22"/>
    </row>
    <row r="888" spans="2:12" x14ac:dyDescent="0.35">
      <c r="B888" s="45"/>
      <c r="E888" s="5"/>
      <c r="F888" s="5"/>
      <c r="G888" s="5"/>
      <c r="J888" s="40"/>
      <c r="K888" s="286" t="s">
        <v>36</v>
      </c>
      <c r="L888" s="287"/>
    </row>
    <row r="889" spans="2:12" x14ac:dyDescent="0.35">
      <c r="B889" s="45"/>
      <c r="K889" s="288" t="s">
        <v>37</v>
      </c>
      <c r="L889" s="289"/>
    </row>
    <row r="890" spans="2:12" x14ac:dyDescent="0.35">
      <c r="B890" s="290"/>
      <c r="C890" s="291"/>
      <c r="D890" s="291"/>
      <c r="E890" s="41"/>
      <c r="F890" s="41"/>
      <c r="G890" s="41"/>
      <c r="H890" s="2"/>
      <c r="I890" s="2"/>
      <c r="J890" s="2"/>
      <c r="K890" s="2"/>
      <c r="L890" s="21"/>
    </row>
    <row r="891" spans="2:12" x14ac:dyDescent="0.35">
      <c r="B891" s="47"/>
      <c r="C891" s="48"/>
      <c r="D891" s="49"/>
      <c r="G891" s="22"/>
      <c r="H891" s="1"/>
      <c r="I891" s="1"/>
      <c r="J891" s="43"/>
      <c r="K891" s="30"/>
      <c r="L891" s="44"/>
    </row>
    <row r="892" spans="2:12" x14ac:dyDescent="0.35">
      <c r="B892" s="96"/>
      <c r="C892" s="97"/>
      <c r="D892" s="98"/>
      <c r="E892" s="99"/>
      <c r="F892" s="100" t="s">
        <v>89</v>
      </c>
      <c r="G892" s="101" t="s">
        <v>709</v>
      </c>
      <c r="H892" s="102">
        <v>17.662500000000001</v>
      </c>
      <c r="I892" s="103" t="s">
        <v>87</v>
      </c>
      <c r="J892" s="50">
        <v>29000</v>
      </c>
      <c r="K892" s="56"/>
      <c r="L892" s="46">
        <f t="shared" ref="L892:L935" si="49">J892*H892</f>
        <v>512212.50000000006</v>
      </c>
    </row>
    <row r="893" spans="2:12" x14ac:dyDescent="0.35">
      <c r="B893" s="96"/>
      <c r="C893" s="97"/>
      <c r="D893" s="98"/>
      <c r="E893" s="99"/>
      <c r="F893" s="100" t="s">
        <v>89</v>
      </c>
      <c r="G893" s="101" t="s">
        <v>710</v>
      </c>
      <c r="H893" s="102">
        <v>216.16679999999999</v>
      </c>
      <c r="I893" s="103" t="s">
        <v>87</v>
      </c>
      <c r="J893" s="50">
        <v>29000</v>
      </c>
      <c r="K893" s="56"/>
      <c r="L893" s="46">
        <f t="shared" si="49"/>
        <v>6268837.2000000002</v>
      </c>
    </row>
    <row r="894" spans="2:12" x14ac:dyDescent="0.35">
      <c r="B894" s="96"/>
      <c r="C894" s="97"/>
      <c r="D894" s="98"/>
      <c r="E894" s="99"/>
      <c r="F894" s="100" t="s">
        <v>89</v>
      </c>
      <c r="G894" s="101" t="s">
        <v>711</v>
      </c>
      <c r="H894" s="102">
        <v>35.927999999999997</v>
      </c>
      <c r="I894" s="103" t="s">
        <v>87</v>
      </c>
      <c r="J894" s="50">
        <v>29000</v>
      </c>
      <c r="K894" s="56"/>
      <c r="L894" s="46">
        <f t="shared" si="49"/>
        <v>1041911.9999999999</v>
      </c>
    </row>
    <row r="895" spans="2:12" x14ac:dyDescent="0.35">
      <c r="B895" s="96"/>
      <c r="C895" s="97"/>
      <c r="D895" s="98"/>
      <c r="E895" s="99"/>
      <c r="F895" s="100" t="s">
        <v>89</v>
      </c>
      <c r="G895" s="101" t="s">
        <v>712</v>
      </c>
      <c r="H895" s="102">
        <v>103.24320000000002</v>
      </c>
      <c r="I895" s="103" t="s">
        <v>87</v>
      </c>
      <c r="J895" s="50">
        <v>29000</v>
      </c>
      <c r="K895" s="56"/>
      <c r="L895" s="46">
        <f t="shared" si="49"/>
        <v>2994052.8000000003</v>
      </c>
    </row>
    <row r="896" spans="2:12" x14ac:dyDescent="0.35">
      <c r="B896" s="96"/>
      <c r="C896" s="97"/>
      <c r="D896" s="98"/>
      <c r="E896" s="99"/>
      <c r="F896" s="100" t="s">
        <v>89</v>
      </c>
      <c r="G896" s="101" t="s">
        <v>713</v>
      </c>
      <c r="H896" s="102">
        <v>28.26</v>
      </c>
      <c r="I896" s="103" t="s">
        <v>87</v>
      </c>
      <c r="J896" s="50">
        <v>29000</v>
      </c>
      <c r="K896" s="56"/>
      <c r="L896" s="46">
        <f t="shared" si="49"/>
        <v>819540</v>
      </c>
    </row>
    <row r="897" spans="2:12" x14ac:dyDescent="0.35">
      <c r="B897" s="96"/>
      <c r="C897" s="97"/>
      <c r="D897" s="98"/>
      <c r="E897" s="99"/>
      <c r="F897" s="100" t="s">
        <v>89</v>
      </c>
      <c r="G897" s="101" t="s">
        <v>714</v>
      </c>
      <c r="H897" s="102">
        <v>216.16679999999999</v>
      </c>
      <c r="I897" s="103" t="s">
        <v>87</v>
      </c>
      <c r="J897" s="50">
        <v>29000</v>
      </c>
      <c r="K897" s="56"/>
      <c r="L897" s="46">
        <f t="shared" si="49"/>
        <v>6268837.2000000002</v>
      </c>
    </row>
    <row r="898" spans="2:12" x14ac:dyDescent="0.35">
      <c r="B898" s="96"/>
      <c r="C898" s="97"/>
      <c r="D898" s="98"/>
      <c r="E898" s="99"/>
      <c r="F898" s="100" t="s">
        <v>89</v>
      </c>
      <c r="G898" s="101" t="s">
        <v>715</v>
      </c>
      <c r="H898" s="102">
        <v>116.16719999999999</v>
      </c>
      <c r="I898" s="103" t="s">
        <v>87</v>
      </c>
      <c r="J898" s="50">
        <v>29000</v>
      </c>
      <c r="K898" s="56"/>
      <c r="L898" s="46">
        <f t="shared" si="49"/>
        <v>3368848.8</v>
      </c>
    </row>
    <row r="899" spans="2:12" x14ac:dyDescent="0.35">
      <c r="B899" s="96"/>
      <c r="C899" s="97"/>
      <c r="D899" s="98"/>
      <c r="E899" s="99"/>
      <c r="F899" s="100" t="s">
        <v>89</v>
      </c>
      <c r="G899" s="101" t="s">
        <v>716</v>
      </c>
      <c r="H899" s="102">
        <v>4.2201599999999999</v>
      </c>
      <c r="I899" s="103" t="s">
        <v>87</v>
      </c>
      <c r="J899" s="50">
        <v>29000</v>
      </c>
      <c r="K899" s="56"/>
      <c r="L899" s="46">
        <f t="shared" si="49"/>
        <v>122384.64</v>
      </c>
    </row>
    <row r="900" spans="2:12" x14ac:dyDescent="0.35">
      <c r="B900" s="96"/>
      <c r="C900" s="97"/>
      <c r="D900" s="98"/>
      <c r="E900" s="99"/>
      <c r="F900" s="100" t="s">
        <v>89</v>
      </c>
      <c r="G900" s="101" t="s">
        <v>717</v>
      </c>
      <c r="H900" s="102">
        <v>51.056400000000004</v>
      </c>
      <c r="I900" s="103" t="s">
        <v>87</v>
      </c>
      <c r="J900" s="50">
        <v>29000</v>
      </c>
      <c r="K900" s="56"/>
      <c r="L900" s="46">
        <f t="shared" si="49"/>
        <v>1480635.6</v>
      </c>
    </row>
    <row r="901" spans="2:12" x14ac:dyDescent="0.35">
      <c r="B901" s="96"/>
      <c r="C901" s="97"/>
      <c r="D901" s="98"/>
      <c r="E901" s="99"/>
      <c r="F901" s="100" t="s">
        <v>89</v>
      </c>
      <c r="G901" s="101" t="s">
        <v>718</v>
      </c>
      <c r="H901" s="102">
        <v>35.325000000000003</v>
      </c>
      <c r="I901" s="103" t="s">
        <v>87</v>
      </c>
      <c r="J901" s="50">
        <v>29000</v>
      </c>
      <c r="K901" s="56"/>
      <c r="L901" s="46">
        <f t="shared" si="49"/>
        <v>1024425.0000000001</v>
      </c>
    </row>
    <row r="902" spans="2:12" x14ac:dyDescent="0.35">
      <c r="B902" s="96"/>
      <c r="C902" s="97"/>
      <c r="D902" s="98"/>
      <c r="E902" s="99"/>
      <c r="F902" s="100" t="s">
        <v>89</v>
      </c>
      <c r="G902" s="101" t="s">
        <v>719</v>
      </c>
      <c r="H902" s="102">
        <v>216.16679999999999</v>
      </c>
      <c r="I902" s="103" t="s">
        <v>87</v>
      </c>
      <c r="J902" s="50">
        <v>29000</v>
      </c>
      <c r="K902" s="56"/>
      <c r="L902" s="46">
        <f t="shared" si="49"/>
        <v>6268837.2000000002</v>
      </c>
    </row>
    <row r="903" spans="2:12" x14ac:dyDescent="0.35">
      <c r="B903" s="96"/>
      <c r="C903" s="97"/>
      <c r="D903" s="98"/>
      <c r="E903" s="99"/>
      <c r="F903" s="100" t="s">
        <v>89</v>
      </c>
      <c r="G903" s="101" t="s">
        <v>720</v>
      </c>
      <c r="H903" s="102">
        <v>185.62799999999999</v>
      </c>
      <c r="I903" s="103" t="s">
        <v>87</v>
      </c>
      <c r="J903" s="50">
        <v>29000</v>
      </c>
      <c r="K903" s="56"/>
      <c r="L903" s="46">
        <f t="shared" si="49"/>
        <v>5383212</v>
      </c>
    </row>
    <row r="904" spans="2:12" x14ac:dyDescent="0.35">
      <c r="B904" s="96"/>
      <c r="C904" s="97"/>
      <c r="D904" s="98"/>
      <c r="E904" s="99"/>
      <c r="F904" s="100" t="s">
        <v>89</v>
      </c>
      <c r="G904" s="101" t="s">
        <v>721</v>
      </c>
      <c r="H904" s="102">
        <v>107.01120000000002</v>
      </c>
      <c r="I904" s="103" t="s">
        <v>87</v>
      </c>
      <c r="J904" s="50">
        <v>29000</v>
      </c>
      <c r="K904" s="56"/>
      <c r="L904" s="46">
        <f t="shared" si="49"/>
        <v>3103324.8000000003</v>
      </c>
    </row>
    <row r="905" spans="2:12" x14ac:dyDescent="0.35">
      <c r="B905" s="96"/>
      <c r="C905" s="97"/>
      <c r="D905" s="98"/>
      <c r="E905" s="99"/>
      <c r="F905" s="100" t="s">
        <v>89</v>
      </c>
      <c r="G905" s="101" t="s">
        <v>722</v>
      </c>
      <c r="H905" s="102">
        <v>30.709200000000003</v>
      </c>
      <c r="I905" s="103" t="s">
        <v>87</v>
      </c>
      <c r="J905" s="50">
        <v>29000</v>
      </c>
      <c r="K905" s="56"/>
      <c r="L905" s="46">
        <f t="shared" si="49"/>
        <v>890566.8</v>
      </c>
    </row>
    <row r="906" spans="2:12" x14ac:dyDescent="0.35">
      <c r="B906" s="96"/>
      <c r="C906" s="97"/>
      <c r="D906" s="98"/>
      <c r="E906" s="99"/>
      <c r="F906" s="100" t="s">
        <v>89</v>
      </c>
      <c r="G906" s="101" t="s">
        <v>723</v>
      </c>
      <c r="H906" s="102">
        <v>29.390400000000003</v>
      </c>
      <c r="I906" s="103" t="s">
        <v>87</v>
      </c>
      <c r="J906" s="50">
        <v>29000</v>
      </c>
      <c r="K906" s="56"/>
      <c r="L906" s="46">
        <f t="shared" si="49"/>
        <v>852321.60000000009</v>
      </c>
    </row>
    <row r="907" spans="2:12" x14ac:dyDescent="0.35">
      <c r="B907" s="96"/>
      <c r="C907" s="97"/>
      <c r="D907" s="98"/>
      <c r="E907" s="99"/>
      <c r="F907" s="100" t="s">
        <v>89</v>
      </c>
      <c r="G907" s="101" t="s">
        <v>724</v>
      </c>
      <c r="H907" s="102">
        <v>33.912000000000006</v>
      </c>
      <c r="I907" s="103" t="s">
        <v>87</v>
      </c>
      <c r="J907" s="50">
        <v>29000</v>
      </c>
      <c r="K907" s="56"/>
      <c r="L907" s="46">
        <f t="shared" si="49"/>
        <v>983448.00000000023</v>
      </c>
    </row>
    <row r="908" spans="2:12" x14ac:dyDescent="0.35">
      <c r="B908" s="96"/>
      <c r="C908" s="97"/>
      <c r="D908" s="98"/>
      <c r="E908" s="99"/>
      <c r="F908" s="100" t="s">
        <v>89</v>
      </c>
      <c r="G908" s="101" t="s">
        <v>725</v>
      </c>
      <c r="H908" s="102">
        <v>53.69400000000001</v>
      </c>
      <c r="I908" s="103" t="s">
        <v>87</v>
      </c>
      <c r="J908" s="50">
        <v>29000</v>
      </c>
      <c r="K908" s="56"/>
      <c r="L908" s="46">
        <f t="shared" si="49"/>
        <v>1557126.0000000002</v>
      </c>
    </row>
    <row r="909" spans="2:12" x14ac:dyDescent="0.35">
      <c r="B909" s="96"/>
      <c r="C909" s="97"/>
      <c r="D909" s="98"/>
      <c r="E909" s="99"/>
      <c r="F909" s="100" t="s">
        <v>89</v>
      </c>
      <c r="G909" s="101" t="s">
        <v>726</v>
      </c>
      <c r="H909" s="102">
        <v>10.5975</v>
      </c>
      <c r="I909" s="103" t="s">
        <v>87</v>
      </c>
      <c r="J909" s="50">
        <v>29000</v>
      </c>
      <c r="K909" s="56"/>
      <c r="L909" s="46">
        <f t="shared" si="49"/>
        <v>307327.5</v>
      </c>
    </row>
    <row r="910" spans="2:12" x14ac:dyDescent="0.35">
      <c r="B910" s="96"/>
      <c r="C910" s="97"/>
      <c r="D910" s="98"/>
      <c r="E910" s="99"/>
      <c r="F910" s="100" t="s">
        <v>89</v>
      </c>
      <c r="G910" s="101" t="s">
        <v>727</v>
      </c>
      <c r="H910" s="102">
        <v>15.825600000000001</v>
      </c>
      <c r="I910" s="103" t="s">
        <v>87</v>
      </c>
      <c r="J910" s="50">
        <v>29000</v>
      </c>
      <c r="K910" s="56"/>
      <c r="L910" s="46">
        <f t="shared" si="49"/>
        <v>458942.4</v>
      </c>
    </row>
    <row r="911" spans="2:12" x14ac:dyDescent="0.35">
      <c r="B911" s="96"/>
      <c r="C911" s="97"/>
      <c r="D911" s="98"/>
      <c r="E911" s="99"/>
      <c r="F911" s="100" t="s">
        <v>89</v>
      </c>
      <c r="G911" s="101" t="s">
        <v>728</v>
      </c>
      <c r="H911" s="102">
        <v>216.16679999999999</v>
      </c>
      <c r="I911" s="103" t="s">
        <v>87</v>
      </c>
      <c r="J911" s="50">
        <v>29000</v>
      </c>
      <c r="K911" s="56"/>
      <c r="L911" s="46">
        <f t="shared" si="49"/>
        <v>6268837.2000000002</v>
      </c>
    </row>
    <row r="912" spans="2:12" x14ac:dyDescent="0.35">
      <c r="B912" s="96"/>
      <c r="C912" s="97"/>
      <c r="D912" s="98"/>
      <c r="E912" s="99"/>
      <c r="F912" s="100" t="s">
        <v>89</v>
      </c>
      <c r="G912" s="101" t="s">
        <v>729</v>
      </c>
      <c r="H912" s="102">
        <v>45.781200000000005</v>
      </c>
      <c r="I912" s="103" t="s">
        <v>87</v>
      </c>
      <c r="J912" s="50">
        <v>29000</v>
      </c>
      <c r="K912" s="56"/>
      <c r="L912" s="46">
        <f t="shared" si="49"/>
        <v>1327654.8</v>
      </c>
    </row>
    <row r="913" spans="2:12" x14ac:dyDescent="0.35">
      <c r="B913" s="96"/>
      <c r="C913" s="97"/>
      <c r="D913" s="98"/>
      <c r="E913" s="99"/>
      <c r="F913" s="100" t="s">
        <v>89</v>
      </c>
      <c r="G913" s="101" t="s">
        <v>730</v>
      </c>
      <c r="H913" s="102">
        <v>66.505200000000002</v>
      </c>
      <c r="I913" s="103" t="s">
        <v>87</v>
      </c>
      <c r="J913" s="50">
        <v>29000</v>
      </c>
      <c r="K913" s="56"/>
      <c r="L913" s="46">
        <f t="shared" si="49"/>
        <v>1928650.8</v>
      </c>
    </row>
    <row r="914" spans="2:12" x14ac:dyDescent="0.35">
      <c r="B914" s="96"/>
      <c r="C914" s="97"/>
      <c r="D914" s="98"/>
      <c r="E914" s="99"/>
      <c r="F914" s="100" t="s">
        <v>89</v>
      </c>
      <c r="G914" s="101" t="s">
        <v>731</v>
      </c>
      <c r="H914" s="102">
        <v>35.325000000000003</v>
      </c>
      <c r="I914" s="103" t="s">
        <v>87</v>
      </c>
      <c r="J914" s="50">
        <v>29000</v>
      </c>
      <c r="K914" s="56"/>
      <c r="L914" s="46">
        <f t="shared" si="49"/>
        <v>1024425.0000000001</v>
      </c>
    </row>
    <row r="915" spans="2:12" x14ac:dyDescent="0.35">
      <c r="B915" s="96"/>
      <c r="C915" s="97"/>
      <c r="D915" s="98"/>
      <c r="E915" s="99"/>
      <c r="F915" s="100" t="s">
        <v>89</v>
      </c>
      <c r="G915" s="101" t="s">
        <v>732</v>
      </c>
      <c r="H915" s="102">
        <v>28.143599999999999</v>
      </c>
      <c r="I915" s="103" t="s">
        <v>87</v>
      </c>
      <c r="J915" s="50">
        <v>29000</v>
      </c>
      <c r="K915" s="56"/>
      <c r="L915" s="46">
        <f t="shared" si="49"/>
        <v>816164.4</v>
      </c>
    </row>
    <row r="916" spans="2:12" x14ac:dyDescent="0.35">
      <c r="B916" s="96"/>
      <c r="C916" s="97"/>
      <c r="D916" s="98"/>
      <c r="E916" s="99"/>
      <c r="F916" s="100" t="s">
        <v>89</v>
      </c>
      <c r="G916" s="101" t="s">
        <v>733</v>
      </c>
      <c r="H916" s="102">
        <v>188.40000000000003</v>
      </c>
      <c r="I916" s="103" t="s">
        <v>87</v>
      </c>
      <c r="J916" s="50">
        <v>29000</v>
      </c>
      <c r="K916" s="56"/>
      <c r="L916" s="46">
        <f t="shared" si="49"/>
        <v>5463600.0000000009</v>
      </c>
    </row>
    <row r="917" spans="2:12" x14ac:dyDescent="0.35">
      <c r="B917" s="96"/>
      <c r="C917" s="97"/>
      <c r="D917" s="98"/>
      <c r="E917" s="99"/>
      <c r="F917" s="100" t="s">
        <v>89</v>
      </c>
      <c r="G917" s="101" t="s">
        <v>734</v>
      </c>
      <c r="H917" s="102">
        <v>35.325000000000003</v>
      </c>
      <c r="I917" s="103" t="s">
        <v>87</v>
      </c>
      <c r="J917" s="50">
        <v>29000</v>
      </c>
      <c r="K917" s="56"/>
      <c r="L917" s="46">
        <f t="shared" si="49"/>
        <v>1024425.0000000001</v>
      </c>
    </row>
    <row r="918" spans="2:12" x14ac:dyDescent="0.35">
      <c r="B918" s="96"/>
      <c r="C918" s="97"/>
      <c r="D918" s="98"/>
      <c r="E918" s="99"/>
      <c r="F918" s="100" t="s">
        <v>89</v>
      </c>
      <c r="G918" s="101" t="s">
        <v>735</v>
      </c>
      <c r="H918" s="102">
        <v>142.43040000000002</v>
      </c>
      <c r="I918" s="103" t="s">
        <v>87</v>
      </c>
      <c r="J918" s="50">
        <v>29000</v>
      </c>
      <c r="K918" s="56"/>
      <c r="L918" s="46">
        <f t="shared" si="49"/>
        <v>4130481.6000000006</v>
      </c>
    </row>
    <row r="919" spans="2:12" x14ac:dyDescent="0.35">
      <c r="B919" s="96"/>
      <c r="C919" s="97"/>
      <c r="D919" s="98"/>
      <c r="E919" s="99"/>
      <c r="F919" s="100" t="s">
        <v>89</v>
      </c>
      <c r="G919" s="101" t="s">
        <v>736</v>
      </c>
      <c r="H919" s="102">
        <v>49.549200000000006</v>
      </c>
      <c r="I919" s="103" t="s">
        <v>87</v>
      </c>
      <c r="J919" s="50">
        <v>29000</v>
      </c>
      <c r="K919" s="56"/>
      <c r="L919" s="46">
        <f t="shared" si="49"/>
        <v>1436926.8000000003</v>
      </c>
    </row>
    <row r="920" spans="2:12" x14ac:dyDescent="0.35">
      <c r="B920" s="96"/>
      <c r="C920" s="97"/>
      <c r="D920" s="98"/>
      <c r="E920" s="99"/>
      <c r="F920" s="100" t="s">
        <v>89</v>
      </c>
      <c r="G920" s="101" t="s">
        <v>737</v>
      </c>
      <c r="H920" s="102">
        <v>35.325000000000003</v>
      </c>
      <c r="I920" s="103" t="s">
        <v>87</v>
      </c>
      <c r="J920" s="50">
        <v>29000</v>
      </c>
      <c r="K920" s="56"/>
      <c r="L920" s="46">
        <f t="shared" si="49"/>
        <v>1024425.0000000001</v>
      </c>
    </row>
    <row r="921" spans="2:12" x14ac:dyDescent="0.35">
      <c r="B921" s="96"/>
      <c r="C921" s="97"/>
      <c r="D921" s="98"/>
      <c r="E921" s="99"/>
      <c r="F921" s="100" t="s">
        <v>89</v>
      </c>
      <c r="G921" s="101" t="s">
        <v>738</v>
      </c>
      <c r="H921" s="102">
        <v>133.38720000000001</v>
      </c>
      <c r="I921" s="103" t="s">
        <v>87</v>
      </c>
      <c r="J921" s="50">
        <v>29000</v>
      </c>
      <c r="K921" s="56"/>
      <c r="L921" s="46">
        <f t="shared" si="49"/>
        <v>3868228.8000000003</v>
      </c>
    </row>
    <row r="922" spans="2:12" x14ac:dyDescent="0.35">
      <c r="B922" s="96"/>
      <c r="C922" s="97"/>
      <c r="D922" s="98"/>
      <c r="E922" s="99"/>
      <c r="F922" s="100" t="s">
        <v>89</v>
      </c>
      <c r="G922" s="101" t="s">
        <v>739</v>
      </c>
      <c r="H922" s="102">
        <v>38.857500000000002</v>
      </c>
      <c r="I922" s="103" t="s">
        <v>87</v>
      </c>
      <c r="J922" s="50">
        <v>29000</v>
      </c>
      <c r="K922" s="56"/>
      <c r="L922" s="46">
        <f t="shared" si="49"/>
        <v>1126867.5</v>
      </c>
    </row>
    <row r="923" spans="2:12" x14ac:dyDescent="0.35">
      <c r="B923" s="96"/>
      <c r="C923" s="97"/>
      <c r="D923" s="98"/>
      <c r="E923" s="99"/>
      <c r="F923" s="100" t="s">
        <v>89</v>
      </c>
      <c r="G923" s="101" t="s">
        <v>740</v>
      </c>
      <c r="H923" s="102">
        <v>216.16679999999999</v>
      </c>
      <c r="I923" s="103" t="s">
        <v>87</v>
      </c>
      <c r="J923" s="50">
        <v>29000</v>
      </c>
      <c r="K923" s="56"/>
      <c r="L923" s="46">
        <f t="shared" si="49"/>
        <v>6268837.2000000002</v>
      </c>
    </row>
    <row r="924" spans="2:12" x14ac:dyDescent="0.35">
      <c r="B924" s="96"/>
      <c r="C924" s="97"/>
      <c r="D924" s="98"/>
      <c r="E924" s="99"/>
      <c r="F924" s="100" t="s">
        <v>89</v>
      </c>
      <c r="G924" s="101" t="s">
        <v>741</v>
      </c>
      <c r="H924" s="102">
        <v>185.62799999999999</v>
      </c>
      <c r="I924" s="103" t="s">
        <v>87</v>
      </c>
      <c r="J924" s="50">
        <v>29000</v>
      </c>
      <c r="K924" s="56"/>
      <c r="L924" s="46">
        <f t="shared" si="49"/>
        <v>5383212</v>
      </c>
    </row>
    <row r="925" spans="2:12" x14ac:dyDescent="0.35">
      <c r="B925" s="96"/>
      <c r="C925" s="97"/>
      <c r="D925" s="98"/>
      <c r="E925" s="99"/>
      <c r="F925" s="100" t="s">
        <v>89</v>
      </c>
      <c r="G925" s="101" t="s">
        <v>742</v>
      </c>
      <c r="H925" s="102">
        <v>47.100000000000009</v>
      </c>
      <c r="I925" s="103" t="s">
        <v>87</v>
      </c>
      <c r="J925" s="50">
        <v>29000</v>
      </c>
      <c r="K925" s="56"/>
      <c r="L925" s="46">
        <f t="shared" si="49"/>
        <v>1365900.0000000002</v>
      </c>
    </row>
    <row r="926" spans="2:12" x14ac:dyDescent="0.35">
      <c r="B926" s="96"/>
      <c r="C926" s="97"/>
      <c r="D926" s="98"/>
      <c r="E926" s="99"/>
      <c r="F926" s="100" t="s">
        <v>89</v>
      </c>
      <c r="G926" s="101" t="s">
        <v>743</v>
      </c>
      <c r="H926" s="102">
        <v>42.39</v>
      </c>
      <c r="I926" s="103" t="s">
        <v>87</v>
      </c>
      <c r="J926" s="50">
        <v>29000</v>
      </c>
      <c r="K926" s="56"/>
      <c r="L926" s="46">
        <f t="shared" si="49"/>
        <v>1229310</v>
      </c>
    </row>
    <row r="927" spans="2:12" x14ac:dyDescent="0.35">
      <c r="B927" s="96"/>
      <c r="C927" s="97"/>
      <c r="D927" s="98"/>
      <c r="E927" s="99"/>
      <c r="F927" s="100" t="s">
        <v>89</v>
      </c>
      <c r="G927" s="101" t="s">
        <v>744</v>
      </c>
      <c r="H927" s="102">
        <v>216.16679999999999</v>
      </c>
      <c r="I927" s="103" t="s">
        <v>87</v>
      </c>
      <c r="J927" s="50">
        <v>29000</v>
      </c>
      <c r="K927" s="56"/>
      <c r="L927" s="46">
        <f t="shared" si="49"/>
        <v>6268837.2000000002</v>
      </c>
    </row>
    <row r="928" spans="2:12" x14ac:dyDescent="0.35">
      <c r="B928" s="96"/>
      <c r="C928" s="97"/>
      <c r="D928" s="98"/>
      <c r="E928" s="99"/>
      <c r="F928" s="100" t="s">
        <v>89</v>
      </c>
      <c r="G928" s="101" t="s">
        <v>745</v>
      </c>
      <c r="H928" s="102">
        <v>53.128800000000005</v>
      </c>
      <c r="I928" s="103" t="s">
        <v>87</v>
      </c>
      <c r="J928" s="50">
        <v>29000</v>
      </c>
      <c r="K928" s="56"/>
      <c r="L928" s="46">
        <f t="shared" si="49"/>
        <v>1540735.2000000002</v>
      </c>
    </row>
    <row r="929" spans="2:12" x14ac:dyDescent="0.35">
      <c r="B929" s="96"/>
      <c r="C929" s="97"/>
      <c r="D929" s="98"/>
      <c r="E929" s="99"/>
      <c r="F929" s="100" t="s">
        <v>89</v>
      </c>
      <c r="G929" s="101" t="s">
        <v>746</v>
      </c>
      <c r="H929" s="102">
        <v>53.317200000000007</v>
      </c>
      <c r="I929" s="103" t="s">
        <v>87</v>
      </c>
      <c r="J929" s="50">
        <v>29000</v>
      </c>
      <c r="K929" s="56"/>
      <c r="L929" s="46">
        <f t="shared" si="49"/>
        <v>1546198.8000000003</v>
      </c>
    </row>
    <row r="930" spans="2:12" x14ac:dyDescent="0.35">
      <c r="B930" s="96"/>
      <c r="C930" s="97"/>
      <c r="D930" s="98"/>
      <c r="E930" s="99"/>
      <c r="F930" s="100" t="s">
        <v>89</v>
      </c>
      <c r="G930" s="101" t="s">
        <v>747</v>
      </c>
      <c r="H930" s="102">
        <v>42.39</v>
      </c>
      <c r="I930" s="103" t="s">
        <v>87</v>
      </c>
      <c r="J930" s="50">
        <v>29000</v>
      </c>
      <c r="K930" s="56"/>
      <c r="L930" s="46">
        <f t="shared" si="49"/>
        <v>1229310</v>
      </c>
    </row>
    <row r="931" spans="2:12" x14ac:dyDescent="0.35">
      <c r="B931" s="96"/>
      <c r="C931" s="97"/>
      <c r="D931" s="98"/>
      <c r="E931" s="99"/>
      <c r="F931" s="100" t="s">
        <v>89</v>
      </c>
      <c r="G931" s="101" t="s">
        <v>748</v>
      </c>
      <c r="H931" s="102">
        <v>216.16679999999999</v>
      </c>
      <c r="I931" s="103" t="s">
        <v>87</v>
      </c>
      <c r="J931" s="50">
        <v>29000</v>
      </c>
      <c r="K931" s="56"/>
      <c r="L931" s="46">
        <f t="shared" si="49"/>
        <v>6268837.2000000002</v>
      </c>
    </row>
    <row r="932" spans="2:12" x14ac:dyDescent="0.35">
      <c r="B932" s="96"/>
      <c r="C932" s="97"/>
      <c r="D932" s="98"/>
      <c r="E932" s="99"/>
      <c r="F932" s="100" t="s">
        <v>89</v>
      </c>
      <c r="G932" s="101" t="s">
        <v>749</v>
      </c>
      <c r="H932" s="102">
        <v>62.92560000000001</v>
      </c>
      <c r="I932" s="103" t="s">
        <v>87</v>
      </c>
      <c r="J932" s="50">
        <v>29000</v>
      </c>
      <c r="K932" s="56"/>
      <c r="L932" s="46">
        <f t="shared" si="49"/>
        <v>1824842.4000000004</v>
      </c>
    </row>
    <row r="933" spans="2:12" x14ac:dyDescent="0.35">
      <c r="B933" s="96"/>
      <c r="C933" s="97"/>
      <c r="D933" s="98"/>
      <c r="E933" s="99"/>
      <c r="F933" s="100" t="s">
        <v>89</v>
      </c>
      <c r="G933" s="101" t="s">
        <v>750</v>
      </c>
      <c r="H933" s="102">
        <v>38.857500000000002</v>
      </c>
      <c r="I933" s="103" t="s">
        <v>87</v>
      </c>
      <c r="J933" s="50">
        <v>29000</v>
      </c>
      <c r="K933" s="56"/>
      <c r="L933" s="46">
        <f t="shared" si="49"/>
        <v>1126867.5</v>
      </c>
    </row>
    <row r="934" spans="2:12" x14ac:dyDescent="0.35">
      <c r="B934" s="96"/>
      <c r="C934" s="97"/>
      <c r="D934" s="98"/>
      <c r="E934" s="99"/>
      <c r="F934" s="100" t="s">
        <v>89</v>
      </c>
      <c r="G934" s="101" t="s">
        <v>555</v>
      </c>
      <c r="H934" s="102">
        <v>268.46999999999997</v>
      </c>
      <c r="I934" s="103" t="s">
        <v>87</v>
      </c>
      <c r="J934" s="50">
        <v>29000</v>
      </c>
      <c r="K934" s="56"/>
      <c r="L934" s="46">
        <f t="shared" si="49"/>
        <v>7785629.9999999991</v>
      </c>
    </row>
    <row r="935" spans="2:12" x14ac:dyDescent="0.35">
      <c r="B935" s="96"/>
      <c r="C935" s="97"/>
      <c r="D935" s="98"/>
      <c r="E935" s="99"/>
      <c r="F935" s="100" t="s">
        <v>89</v>
      </c>
      <c r="G935" s="101" t="s">
        <v>556</v>
      </c>
      <c r="H935" s="102">
        <v>268.46999999999997</v>
      </c>
      <c r="I935" s="103" t="s">
        <v>87</v>
      </c>
      <c r="J935" s="50">
        <v>29000</v>
      </c>
      <c r="K935" s="56"/>
      <c r="L935" s="46">
        <f t="shared" si="49"/>
        <v>7785629.9999999991</v>
      </c>
    </row>
    <row r="936" spans="2:12" x14ac:dyDescent="0.35">
      <c r="B936" s="96"/>
      <c r="C936" s="97"/>
      <c r="D936" s="98" t="s">
        <v>47</v>
      </c>
      <c r="E936" s="99"/>
      <c r="F936" s="100" t="s">
        <v>118</v>
      </c>
      <c r="G936" s="101"/>
      <c r="H936" s="102"/>
      <c r="I936" s="103"/>
      <c r="J936" s="65"/>
      <c r="K936" s="65"/>
      <c r="L936" s="46"/>
    </row>
    <row r="937" spans="2:12" x14ac:dyDescent="0.35">
      <c r="B937" s="96"/>
      <c r="C937" s="97"/>
      <c r="D937" s="98"/>
      <c r="E937" s="99"/>
      <c r="F937" s="100" t="s">
        <v>89</v>
      </c>
      <c r="G937" s="101" t="s">
        <v>751</v>
      </c>
      <c r="H937" s="102">
        <v>218.35559999999998</v>
      </c>
      <c r="I937" s="103" t="s">
        <v>87</v>
      </c>
      <c r="J937" s="50">
        <v>29000</v>
      </c>
      <c r="K937" s="56"/>
      <c r="L937" s="46">
        <f t="shared" ref="L937:L942" si="50">J937*H937</f>
        <v>6332312.3999999994</v>
      </c>
    </row>
    <row r="938" spans="2:12" x14ac:dyDescent="0.35">
      <c r="B938" s="96"/>
      <c r="C938" s="97"/>
      <c r="D938" s="98"/>
      <c r="E938" s="99"/>
      <c r="F938" s="100" t="s">
        <v>89</v>
      </c>
      <c r="G938" s="101" t="s">
        <v>752</v>
      </c>
      <c r="H938" s="102">
        <v>1612.2970559999999</v>
      </c>
      <c r="I938" s="103" t="s">
        <v>87</v>
      </c>
      <c r="J938" s="50">
        <v>29000</v>
      </c>
      <c r="K938" s="56"/>
      <c r="L938" s="46">
        <f t="shared" si="50"/>
        <v>46756614.623999998</v>
      </c>
    </row>
    <row r="939" spans="2:12" x14ac:dyDescent="0.35">
      <c r="B939" s="96"/>
      <c r="C939" s="97"/>
      <c r="D939" s="98"/>
      <c r="E939" s="99"/>
      <c r="F939" s="100" t="s">
        <v>89</v>
      </c>
      <c r="G939" s="101" t="s">
        <v>753</v>
      </c>
      <c r="H939" s="102">
        <v>3.6172799999999996</v>
      </c>
      <c r="I939" s="103" t="s">
        <v>87</v>
      </c>
      <c r="J939" s="50">
        <v>29000</v>
      </c>
      <c r="K939" s="56"/>
      <c r="L939" s="46">
        <f t="shared" si="50"/>
        <v>104901.12</v>
      </c>
    </row>
    <row r="940" spans="2:12" x14ac:dyDescent="0.35">
      <c r="B940" s="96"/>
      <c r="C940" s="97"/>
      <c r="D940" s="98"/>
      <c r="E940" s="99"/>
      <c r="F940" s="100" t="s">
        <v>89</v>
      </c>
      <c r="G940" s="101" t="s">
        <v>754</v>
      </c>
      <c r="H940" s="102">
        <v>31.651199999999996</v>
      </c>
      <c r="I940" s="103" t="s">
        <v>87</v>
      </c>
      <c r="J940" s="50">
        <v>29000</v>
      </c>
      <c r="K940" s="56"/>
      <c r="L940" s="46">
        <f t="shared" si="50"/>
        <v>917884.79999999993</v>
      </c>
    </row>
    <row r="941" spans="2:12" x14ac:dyDescent="0.35">
      <c r="B941" s="96"/>
      <c r="C941" s="97"/>
      <c r="D941" s="98"/>
      <c r="E941" s="99"/>
      <c r="F941" s="100" t="s">
        <v>89</v>
      </c>
      <c r="G941" s="101" t="s">
        <v>755</v>
      </c>
      <c r="H941" s="102">
        <v>45.44207999999999</v>
      </c>
      <c r="I941" s="103" t="s">
        <v>87</v>
      </c>
      <c r="J941" s="50">
        <v>29000</v>
      </c>
      <c r="K941" s="56"/>
      <c r="L941" s="46">
        <f t="shared" si="50"/>
        <v>1317820.3199999996</v>
      </c>
    </row>
    <row r="942" spans="2:12" x14ac:dyDescent="0.35">
      <c r="B942" s="96"/>
      <c r="C942" s="97"/>
      <c r="D942" s="98"/>
      <c r="E942" s="99"/>
      <c r="F942" s="100" t="s">
        <v>89</v>
      </c>
      <c r="G942" s="101" t="s">
        <v>756</v>
      </c>
      <c r="H942" s="102">
        <v>10.851840000000001</v>
      </c>
      <c r="I942" s="103" t="s">
        <v>87</v>
      </c>
      <c r="J942" s="50">
        <v>29000</v>
      </c>
      <c r="K942" s="56"/>
      <c r="L942" s="46">
        <f t="shared" si="50"/>
        <v>314703.36000000004</v>
      </c>
    </row>
    <row r="943" spans="2:12" x14ac:dyDescent="0.35">
      <c r="B943" s="47"/>
      <c r="C943" s="48"/>
      <c r="D943" s="24"/>
      <c r="G943" s="22"/>
      <c r="I943" s="22"/>
      <c r="J943" s="50"/>
      <c r="K943" s="29"/>
      <c r="L943" s="52"/>
    </row>
    <row r="944" spans="2:12" x14ac:dyDescent="0.35">
      <c r="B944" s="8"/>
      <c r="C944" s="9"/>
      <c r="D944" s="10"/>
      <c r="E944" s="4"/>
      <c r="F944" s="4"/>
      <c r="G944" s="4"/>
      <c r="H944" s="1"/>
      <c r="I944" s="1"/>
      <c r="J944" s="11" t="s">
        <v>8</v>
      </c>
      <c r="K944" s="7">
        <f>SUM(K891:K943)</f>
        <v>0</v>
      </c>
      <c r="L944" s="7">
        <f>SUM(L891:L943)</f>
        <v>178515863.06400001</v>
      </c>
    </row>
    <row r="945" spans="2:12" x14ac:dyDescent="0.35">
      <c r="B945" s="8"/>
      <c r="C945" s="9"/>
      <c r="D945" s="9"/>
      <c r="E945" s="4"/>
      <c r="F945" s="4"/>
      <c r="G945" s="4"/>
      <c r="H945" s="1"/>
      <c r="I945" s="1"/>
      <c r="J945" s="11"/>
      <c r="K945" s="35" t="s">
        <v>22</v>
      </c>
      <c r="L945" s="36" t="s">
        <v>23</v>
      </c>
    </row>
    <row r="946" spans="2:12" x14ac:dyDescent="0.35">
      <c r="B946" s="3" t="s">
        <v>9</v>
      </c>
      <c r="C946" s="4"/>
      <c r="D946" s="4"/>
      <c r="E946" s="4"/>
      <c r="F946" s="4"/>
      <c r="G946" s="4"/>
      <c r="H946" s="1"/>
      <c r="I946" s="1"/>
      <c r="J946" s="12"/>
      <c r="K946" s="12"/>
      <c r="L946" s="13"/>
    </row>
    <row r="947" spans="2:12" x14ac:dyDescent="0.35">
      <c r="B947" s="37"/>
      <c r="C947" s="1"/>
      <c r="D947" s="1"/>
      <c r="E947" s="38"/>
      <c r="F947" s="38"/>
      <c r="G947" s="38"/>
      <c r="H947" s="1"/>
      <c r="I947" s="1"/>
      <c r="J947" s="1"/>
      <c r="K947" s="1"/>
      <c r="L947" s="19"/>
    </row>
    <row r="948" spans="2:12" x14ac:dyDescent="0.35">
      <c r="B948" s="28" t="s">
        <v>6</v>
      </c>
      <c r="C948" s="27"/>
      <c r="D948" s="27"/>
      <c r="E948" s="26"/>
      <c r="F948" s="26"/>
      <c r="G948" s="5"/>
      <c r="K948" s="284" t="s">
        <v>1600</v>
      </c>
      <c r="L948" s="285"/>
    </row>
    <row r="949" spans="2:12" x14ac:dyDescent="0.35">
      <c r="B949" s="28">
        <v>1</v>
      </c>
      <c r="C949" s="27"/>
      <c r="D949" s="27"/>
      <c r="E949" s="26" t="s">
        <v>7</v>
      </c>
      <c r="F949" s="26"/>
      <c r="G949" s="5"/>
      <c r="K949" s="284" t="s">
        <v>28</v>
      </c>
      <c r="L949" s="285"/>
    </row>
    <row r="950" spans="2:12" x14ac:dyDescent="0.35">
      <c r="B950" s="39"/>
      <c r="C950" s="27"/>
      <c r="D950" s="27"/>
      <c r="E950" s="26"/>
      <c r="F950" s="26"/>
      <c r="G950" s="5"/>
      <c r="J950" s="25"/>
      <c r="K950" s="25"/>
      <c r="L950" s="24"/>
    </row>
    <row r="951" spans="2:12" x14ac:dyDescent="0.35">
      <c r="B951" s="28"/>
      <c r="C951" s="27"/>
      <c r="D951" s="27"/>
      <c r="E951" s="26"/>
      <c r="F951" s="26"/>
      <c r="G951" s="5"/>
      <c r="L951" s="22"/>
    </row>
    <row r="952" spans="2:12" x14ac:dyDescent="0.35">
      <c r="B952" s="45"/>
      <c r="E952" s="5"/>
      <c r="F952" s="5"/>
      <c r="G952" s="5"/>
      <c r="L952" s="22"/>
    </row>
    <row r="953" spans="2:12" x14ac:dyDescent="0.35">
      <c r="B953" s="45"/>
      <c r="E953" s="5"/>
      <c r="F953" s="5"/>
      <c r="G953" s="5"/>
      <c r="L953" s="22"/>
    </row>
    <row r="954" spans="2:12" x14ac:dyDescent="0.35">
      <c r="B954" s="45"/>
      <c r="E954" s="5"/>
      <c r="F954" s="5"/>
      <c r="G954" s="5"/>
      <c r="L954" s="22"/>
    </row>
    <row r="955" spans="2:12" x14ac:dyDescent="0.35">
      <c r="B955" s="45"/>
      <c r="E955" s="5"/>
      <c r="F955" s="5"/>
      <c r="G955" s="5"/>
      <c r="J955" s="40"/>
      <c r="K955" s="286" t="s">
        <v>36</v>
      </c>
      <c r="L955" s="287"/>
    </row>
    <row r="956" spans="2:12" x14ac:dyDescent="0.35">
      <c r="B956" s="45"/>
      <c r="K956" s="288" t="s">
        <v>37</v>
      </c>
      <c r="L956" s="289"/>
    </row>
    <row r="957" spans="2:12" x14ac:dyDescent="0.35">
      <c r="B957" s="290"/>
      <c r="C957" s="291"/>
      <c r="D957" s="291"/>
      <c r="E957" s="41"/>
      <c r="F957" s="41"/>
      <c r="G957" s="41"/>
      <c r="H957" s="2"/>
      <c r="I957" s="2"/>
      <c r="J957" s="2"/>
      <c r="K957" s="2"/>
      <c r="L957" s="21"/>
    </row>
    <row r="958" spans="2:12" x14ac:dyDescent="0.35">
      <c r="B958" s="47"/>
      <c r="C958" s="48"/>
      <c r="D958" s="49"/>
      <c r="G958" s="22"/>
      <c r="H958" s="1"/>
      <c r="I958" s="1"/>
      <c r="J958" s="43"/>
      <c r="K958" s="30"/>
      <c r="L958" s="44"/>
    </row>
    <row r="959" spans="2:12" x14ac:dyDescent="0.35">
      <c r="B959" s="96"/>
      <c r="C959" s="97"/>
      <c r="D959" s="98"/>
      <c r="E959" s="99"/>
      <c r="F959" s="100" t="s">
        <v>89</v>
      </c>
      <c r="G959" s="101" t="s">
        <v>757</v>
      </c>
      <c r="H959" s="102">
        <v>765.6576</v>
      </c>
      <c r="I959" s="103" t="s">
        <v>87</v>
      </c>
      <c r="J959" s="50">
        <v>29000</v>
      </c>
      <c r="K959" s="56"/>
      <c r="L959" s="46">
        <f t="shared" ref="L959:L969" si="51">J959*H959</f>
        <v>22204070.399999999</v>
      </c>
    </row>
    <row r="960" spans="2:12" x14ac:dyDescent="0.35">
      <c r="B960" s="96"/>
      <c r="C960" s="97"/>
      <c r="D960" s="98"/>
      <c r="E960" s="99"/>
      <c r="F960" s="100" t="s">
        <v>89</v>
      </c>
      <c r="G960" s="101" t="s">
        <v>758</v>
      </c>
      <c r="H960" s="102">
        <v>49.737599999999993</v>
      </c>
      <c r="I960" s="103" t="s">
        <v>87</v>
      </c>
      <c r="J960" s="50">
        <v>29000</v>
      </c>
      <c r="K960" s="56"/>
      <c r="L960" s="46">
        <f t="shared" si="51"/>
        <v>1442390.4</v>
      </c>
    </row>
    <row r="961" spans="2:12" x14ac:dyDescent="0.35">
      <c r="B961" s="96"/>
      <c r="C961" s="97"/>
      <c r="D961" s="98"/>
      <c r="E961" s="99"/>
      <c r="F961" s="100" t="s">
        <v>89</v>
      </c>
      <c r="G961" s="101" t="s">
        <v>759</v>
      </c>
      <c r="H961" s="102">
        <v>9.7063679999999994</v>
      </c>
      <c r="I961" s="103" t="s">
        <v>87</v>
      </c>
      <c r="J961" s="50">
        <v>29000</v>
      </c>
      <c r="K961" s="56"/>
      <c r="L961" s="46">
        <f t="shared" si="51"/>
        <v>281484.67199999996</v>
      </c>
    </row>
    <row r="962" spans="2:12" x14ac:dyDescent="0.35">
      <c r="B962" s="96"/>
      <c r="C962" s="97"/>
      <c r="D962" s="98"/>
      <c r="E962" s="99"/>
      <c r="F962" s="100" t="s">
        <v>89</v>
      </c>
      <c r="G962" s="101" t="s">
        <v>760</v>
      </c>
      <c r="H962" s="102">
        <v>5.4259199999999987</v>
      </c>
      <c r="I962" s="103" t="s">
        <v>87</v>
      </c>
      <c r="J962" s="50">
        <v>29000</v>
      </c>
      <c r="K962" s="56"/>
      <c r="L962" s="46">
        <f t="shared" si="51"/>
        <v>157351.67999999996</v>
      </c>
    </row>
    <row r="963" spans="2:12" x14ac:dyDescent="0.35">
      <c r="B963" s="96"/>
      <c r="C963" s="97"/>
      <c r="D963" s="98"/>
      <c r="E963" s="99"/>
      <c r="F963" s="100" t="s">
        <v>89</v>
      </c>
      <c r="G963" s="101" t="s">
        <v>761</v>
      </c>
      <c r="H963" s="102">
        <v>31.211600000000001</v>
      </c>
      <c r="I963" s="103" t="s">
        <v>87</v>
      </c>
      <c r="J963" s="50">
        <v>29000</v>
      </c>
      <c r="K963" s="56"/>
      <c r="L963" s="46">
        <f t="shared" si="51"/>
        <v>905136.4</v>
      </c>
    </row>
    <row r="964" spans="2:12" x14ac:dyDescent="0.35">
      <c r="B964" s="96"/>
      <c r="C964" s="97"/>
      <c r="D964" s="98"/>
      <c r="E964" s="99"/>
      <c r="F964" s="100" t="s">
        <v>89</v>
      </c>
      <c r="G964" s="101" t="s">
        <v>762</v>
      </c>
      <c r="H964" s="102">
        <v>10.814159999999999</v>
      </c>
      <c r="I964" s="103" t="s">
        <v>87</v>
      </c>
      <c r="J964" s="50">
        <v>29000</v>
      </c>
      <c r="K964" s="56"/>
      <c r="L964" s="46">
        <f t="shared" si="51"/>
        <v>313610.63999999996</v>
      </c>
    </row>
    <row r="965" spans="2:12" x14ac:dyDescent="0.35">
      <c r="B965" s="96"/>
      <c r="C965" s="97"/>
      <c r="D965" s="98"/>
      <c r="E965" s="99"/>
      <c r="F965" s="100" t="s">
        <v>89</v>
      </c>
      <c r="G965" s="101" t="s">
        <v>763</v>
      </c>
      <c r="H965" s="102">
        <v>96.711999999999989</v>
      </c>
      <c r="I965" s="103" t="s">
        <v>87</v>
      </c>
      <c r="J965" s="50">
        <v>29000</v>
      </c>
      <c r="K965" s="56"/>
      <c r="L965" s="46">
        <f t="shared" si="51"/>
        <v>2804647.9999999995</v>
      </c>
    </row>
    <row r="966" spans="2:12" x14ac:dyDescent="0.35">
      <c r="B966" s="96"/>
      <c r="C966" s="97"/>
      <c r="D966" s="98"/>
      <c r="E966" s="99"/>
      <c r="F966" s="100" t="s">
        <v>89</v>
      </c>
      <c r="G966" s="101" t="s">
        <v>764</v>
      </c>
      <c r="H966" s="102">
        <v>227.21039999999996</v>
      </c>
      <c r="I966" s="103" t="s">
        <v>87</v>
      </c>
      <c r="J966" s="50">
        <v>29000</v>
      </c>
      <c r="K966" s="56"/>
      <c r="L966" s="46">
        <f t="shared" si="51"/>
        <v>6589101.5999999987</v>
      </c>
    </row>
    <row r="967" spans="2:12" x14ac:dyDescent="0.35">
      <c r="B967" s="96"/>
      <c r="C967" s="97"/>
      <c r="D967" s="98"/>
      <c r="E967" s="99"/>
      <c r="F967" s="100" t="s">
        <v>89</v>
      </c>
      <c r="G967" s="101" t="s">
        <v>765</v>
      </c>
      <c r="H967" s="102">
        <v>1113.6700799999999</v>
      </c>
      <c r="I967" s="103" t="s">
        <v>87</v>
      </c>
      <c r="J967" s="50">
        <v>29000</v>
      </c>
      <c r="K967" s="56"/>
      <c r="L967" s="46">
        <f t="shared" si="51"/>
        <v>32296432.319999997</v>
      </c>
    </row>
    <row r="968" spans="2:12" x14ac:dyDescent="0.35">
      <c r="B968" s="96"/>
      <c r="C968" s="97"/>
      <c r="D968" s="98"/>
      <c r="E968" s="99"/>
      <c r="F968" s="100" t="s">
        <v>89</v>
      </c>
      <c r="G968" s="101" t="s">
        <v>766</v>
      </c>
      <c r="H968" s="102">
        <v>163.68191999999999</v>
      </c>
      <c r="I968" s="103" t="s">
        <v>87</v>
      </c>
      <c r="J968" s="50">
        <v>29000</v>
      </c>
      <c r="K968" s="56"/>
      <c r="L968" s="46">
        <f t="shared" si="51"/>
        <v>4746775.68</v>
      </c>
    </row>
    <row r="969" spans="2:12" x14ac:dyDescent="0.35">
      <c r="B969" s="96"/>
      <c r="C969" s="97"/>
      <c r="D969" s="98"/>
      <c r="E969" s="99"/>
      <c r="F969" s="100" t="s">
        <v>89</v>
      </c>
      <c r="G969" s="101" t="s">
        <v>767</v>
      </c>
      <c r="H969" s="102">
        <v>60.024239999999992</v>
      </c>
      <c r="I969" s="103" t="s">
        <v>87</v>
      </c>
      <c r="J969" s="50">
        <v>29000</v>
      </c>
      <c r="K969" s="56"/>
      <c r="L969" s="46">
        <f t="shared" si="51"/>
        <v>1740702.9599999997</v>
      </c>
    </row>
    <row r="970" spans="2:12" x14ac:dyDescent="0.35">
      <c r="B970" s="96"/>
      <c r="C970" s="97"/>
      <c r="D970" s="98" t="s">
        <v>49</v>
      </c>
      <c r="E970" s="99"/>
      <c r="F970" s="100" t="s">
        <v>119</v>
      </c>
      <c r="G970" s="101"/>
      <c r="H970" s="102"/>
      <c r="I970" s="103"/>
      <c r="J970" s="65"/>
      <c r="K970" s="65"/>
      <c r="L970" s="46"/>
    </row>
    <row r="971" spans="2:12" s="34" customFormat="1" x14ac:dyDescent="0.35">
      <c r="B971" s="253"/>
      <c r="C971" s="254"/>
      <c r="D971" s="255"/>
      <c r="E971" s="256"/>
      <c r="F971" s="257" t="s">
        <v>89</v>
      </c>
      <c r="G971" s="258" t="s">
        <v>120</v>
      </c>
      <c r="H971" s="259">
        <v>1</v>
      </c>
      <c r="I971" s="260" t="s">
        <v>46</v>
      </c>
      <c r="J971" s="65">
        <v>1500000</v>
      </c>
      <c r="K971" s="65">
        <f>J971*H971</f>
        <v>1500000</v>
      </c>
      <c r="L971" s="46"/>
    </row>
    <row r="972" spans="2:12" x14ac:dyDescent="0.35">
      <c r="B972" s="96"/>
      <c r="C972" s="97" t="s">
        <v>123</v>
      </c>
      <c r="D972" s="98"/>
      <c r="E972" s="99"/>
      <c r="F972" s="100" t="s">
        <v>124</v>
      </c>
      <c r="G972" s="101"/>
      <c r="H972" s="102"/>
      <c r="I972" s="103"/>
      <c r="J972" s="65"/>
      <c r="K972" s="65"/>
      <c r="L972" s="46"/>
    </row>
    <row r="973" spans="2:12" x14ac:dyDescent="0.35">
      <c r="B973" s="96"/>
      <c r="C973" s="97"/>
      <c r="D973" s="98" t="s">
        <v>44</v>
      </c>
      <c r="E973" s="99"/>
      <c r="F973" s="100" t="s">
        <v>125</v>
      </c>
      <c r="G973" s="101"/>
      <c r="H973" s="104"/>
      <c r="I973" s="103"/>
      <c r="J973" s="65"/>
      <c r="K973" s="65"/>
      <c r="L973" s="46"/>
    </row>
    <row r="974" spans="2:12" x14ac:dyDescent="0.35">
      <c r="B974" s="96"/>
      <c r="C974" s="97"/>
      <c r="D974" s="98"/>
      <c r="E974" s="99"/>
      <c r="F974" s="100" t="s">
        <v>89</v>
      </c>
      <c r="G974" s="101" t="s">
        <v>768</v>
      </c>
      <c r="H974" s="102">
        <v>217.96319999999997</v>
      </c>
      <c r="I974" s="103" t="s">
        <v>87</v>
      </c>
      <c r="J974" s="50">
        <v>29000</v>
      </c>
      <c r="K974" s="56"/>
      <c r="L974" s="46">
        <f t="shared" ref="L974:L1009" si="52">J974*H974</f>
        <v>6320932.7999999989</v>
      </c>
    </row>
    <row r="975" spans="2:12" x14ac:dyDescent="0.35">
      <c r="B975" s="96"/>
      <c r="C975" s="97"/>
      <c r="D975" s="98"/>
      <c r="E975" s="99"/>
      <c r="F975" s="100" t="s">
        <v>89</v>
      </c>
      <c r="G975" s="101" t="s">
        <v>769</v>
      </c>
      <c r="H975" s="102">
        <v>183.83159999999998</v>
      </c>
      <c r="I975" s="103" t="s">
        <v>87</v>
      </c>
      <c r="J975" s="50">
        <v>29000</v>
      </c>
      <c r="K975" s="56"/>
      <c r="L975" s="46">
        <f t="shared" si="52"/>
        <v>5331116.3999999994</v>
      </c>
    </row>
    <row r="976" spans="2:12" x14ac:dyDescent="0.35">
      <c r="B976" s="96"/>
      <c r="C976" s="97"/>
      <c r="D976" s="98"/>
      <c r="E976" s="99"/>
      <c r="F976" s="100" t="s">
        <v>89</v>
      </c>
      <c r="G976" s="101" t="s">
        <v>770</v>
      </c>
      <c r="H976" s="102">
        <v>7.0649999999999986</v>
      </c>
      <c r="I976" s="103" t="s">
        <v>87</v>
      </c>
      <c r="J976" s="50">
        <v>29000</v>
      </c>
      <c r="K976" s="56"/>
      <c r="L976" s="46">
        <f t="shared" si="52"/>
        <v>204884.99999999997</v>
      </c>
    </row>
    <row r="977" spans="2:12" x14ac:dyDescent="0.35">
      <c r="B977" s="96"/>
      <c r="C977" s="97"/>
      <c r="D977" s="98"/>
      <c r="E977" s="99"/>
      <c r="F977" s="100" t="s">
        <v>89</v>
      </c>
      <c r="G977" s="101" t="s">
        <v>771</v>
      </c>
      <c r="H977" s="102">
        <v>8.8623359999999991</v>
      </c>
      <c r="I977" s="103" t="s">
        <v>87</v>
      </c>
      <c r="J977" s="50">
        <v>29000</v>
      </c>
      <c r="K977" s="56"/>
      <c r="L977" s="46">
        <f t="shared" si="52"/>
        <v>257007.74399999998</v>
      </c>
    </row>
    <row r="978" spans="2:12" x14ac:dyDescent="0.35">
      <c r="B978" s="96"/>
      <c r="C978" s="97"/>
      <c r="D978" s="98"/>
      <c r="E978" s="99"/>
      <c r="F978" s="100" t="s">
        <v>89</v>
      </c>
      <c r="G978" s="101" t="s">
        <v>772</v>
      </c>
      <c r="H978" s="102">
        <v>4.0694399999999984</v>
      </c>
      <c r="I978" s="103" t="s">
        <v>87</v>
      </c>
      <c r="J978" s="50">
        <v>29000</v>
      </c>
      <c r="K978" s="56"/>
      <c r="L978" s="46">
        <f t="shared" si="52"/>
        <v>118013.75999999995</v>
      </c>
    </row>
    <row r="979" spans="2:12" x14ac:dyDescent="0.35">
      <c r="B979" s="96"/>
      <c r="C979" s="97"/>
      <c r="D979" s="98"/>
      <c r="E979" s="99"/>
      <c r="F979" s="100" t="s">
        <v>89</v>
      </c>
      <c r="G979" s="101" t="s">
        <v>773</v>
      </c>
      <c r="H979" s="102">
        <v>103.4316</v>
      </c>
      <c r="I979" s="103" t="s">
        <v>87</v>
      </c>
      <c r="J979" s="50">
        <v>29000</v>
      </c>
      <c r="K979" s="56"/>
      <c r="L979" s="46">
        <f t="shared" si="52"/>
        <v>2999516.4</v>
      </c>
    </row>
    <row r="980" spans="2:12" x14ac:dyDescent="0.35">
      <c r="B980" s="96"/>
      <c r="C980" s="97"/>
      <c r="D980" s="98"/>
      <c r="E980" s="99"/>
      <c r="F980" s="100" t="s">
        <v>89</v>
      </c>
      <c r="G980" s="101" t="s">
        <v>774</v>
      </c>
      <c r="H980" s="102">
        <v>14.13</v>
      </c>
      <c r="I980" s="103" t="s">
        <v>87</v>
      </c>
      <c r="J980" s="50">
        <v>29000</v>
      </c>
      <c r="K980" s="56"/>
      <c r="L980" s="46">
        <f t="shared" si="52"/>
        <v>409770</v>
      </c>
    </row>
    <row r="981" spans="2:12" x14ac:dyDescent="0.35">
      <c r="B981" s="96"/>
      <c r="C981" s="97"/>
      <c r="D981" s="98"/>
      <c r="E981" s="99"/>
      <c r="F981" s="100" t="s">
        <v>89</v>
      </c>
      <c r="G981" s="101" t="s">
        <v>775</v>
      </c>
      <c r="H981" s="102">
        <v>58.083599999999997</v>
      </c>
      <c r="I981" s="103" t="s">
        <v>87</v>
      </c>
      <c r="J981" s="50">
        <v>29000</v>
      </c>
      <c r="K981" s="56"/>
      <c r="L981" s="46">
        <f t="shared" si="52"/>
        <v>1684424.4</v>
      </c>
    </row>
    <row r="982" spans="2:12" x14ac:dyDescent="0.35">
      <c r="B982" s="96"/>
      <c r="C982" s="97"/>
      <c r="D982" s="98"/>
      <c r="E982" s="99"/>
      <c r="F982" s="100" t="s">
        <v>89</v>
      </c>
      <c r="G982" s="101" t="s">
        <v>776</v>
      </c>
      <c r="H982" s="102">
        <v>80.239199999999997</v>
      </c>
      <c r="I982" s="103" t="s">
        <v>87</v>
      </c>
      <c r="J982" s="50">
        <v>29000</v>
      </c>
      <c r="K982" s="56"/>
      <c r="L982" s="46">
        <f t="shared" si="52"/>
        <v>2326936.7999999998</v>
      </c>
    </row>
    <row r="983" spans="2:12" x14ac:dyDescent="0.35">
      <c r="B983" s="96"/>
      <c r="C983" s="97"/>
      <c r="D983" s="98"/>
      <c r="E983" s="99"/>
      <c r="F983" s="100" t="s">
        <v>89</v>
      </c>
      <c r="G983" s="101" t="s">
        <v>777</v>
      </c>
      <c r="H983" s="102">
        <v>7.0649999999999986</v>
      </c>
      <c r="I983" s="103" t="s">
        <v>87</v>
      </c>
      <c r="J983" s="50">
        <v>29000</v>
      </c>
      <c r="K983" s="56"/>
      <c r="L983" s="46">
        <f t="shared" si="52"/>
        <v>204884.99999999997</v>
      </c>
    </row>
    <row r="984" spans="2:12" x14ac:dyDescent="0.35">
      <c r="B984" s="96"/>
      <c r="C984" s="97"/>
      <c r="D984" s="98"/>
      <c r="E984" s="99"/>
      <c r="F984" s="100" t="s">
        <v>89</v>
      </c>
      <c r="G984" s="101" t="s">
        <v>778</v>
      </c>
      <c r="H984" s="102">
        <v>8.8623359999999991</v>
      </c>
      <c r="I984" s="103" t="s">
        <v>87</v>
      </c>
      <c r="J984" s="50">
        <v>29000</v>
      </c>
      <c r="K984" s="56"/>
      <c r="L984" s="46">
        <f t="shared" si="52"/>
        <v>257007.74399999998</v>
      </c>
    </row>
    <row r="985" spans="2:12" x14ac:dyDescent="0.35">
      <c r="B985" s="96"/>
      <c r="C985" s="97"/>
      <c r="D985" s="98"/>
      <c r="E985" s="99"/>
      <c r="F985" s="100" t="s">
        <v>89</v>
      </c>
      <c r="G985" s="101" t="s">
        <v>779</v>
      </c>
      <c r="H985" s="102">
        <v>8.1388799999999968</v>
      </c>
      <c r="I985" s="103" t="s">
        <v>87</v>
      </c>
      <c r="J985" s="50">
        <v>29000</v>
      </c>
      <c r="K985" s="56"/>
      <c r="L985" s="46">
        <f t="shared" si="52"/>
        <v>236027.5199999999</v>
      </c>
    </row>
    <row r="986" spans="2:12" x14ac:dyDescent="0.35">
      <c r="B986" s="96"/>
      <c r="C986" s="97"/>
      <c r="D986" s="98"/>
      <c r="E986" s="99"/>
      <c r="F986" s="100" t="s">
        <v>89</v>
      </c>
      <c r="G986" s="101" t="s">
        <v>780</v>
      </c>
      <c r="H986" s="102">
        <v>167.29920000000001</v>
      </c>
      <c r="I986" s="103" t="s">
        <v>87</v>
      </c>
      <c r="J986" s="50">
        <v>29000</v>
      </c>
      <c r="K986" s="56"/>
      <c r="L986" s="46">
        <f t="shared" si="52"/>
        <v>4851676.8000000007</v>
      </c>
    </row>
    <row r="987" spans="2:12" x14ac:dyDescent="0.35">
      <c r="B987" s="96"/>
      <c r="C987" s="97"/>
      <c r="D987" s="98"/>
      <c r="E987" s="99"/>
      <c r="F987" s="100" t="s">
        <v>89</v>
      </c>
      <c r="G987" s="101" t="s">
        <v>781</v>
      </c>
      <c r="H987" s="102">
        <v>7.0650000000000004</v>
      </c>
      <c r="I987" s="103" t="s">
        <v>87</v>
      </c>
      <c r="J987" s="50">
        <v>29000</v>
      </c>
      <c r="K987" s="56"/>
      <c r="L987" s="46">
        <f t="shared" si="52"/>
        <v>204885</v>
      </c>
    </row>
    <row r="988" spans="2:12" x14ac:dyDescent="0.35">
      <c r="B988" s="96"/>
      <c r="C988" s="97"/>
      <c r="D988" s="98"/>
      <c r="E988" s="99"/>
      <c r="F988" s="100" t="s">
        <v>89</v>
      </c>
      <c r="G988" s="101" t="s">
        <v>782</v>
      </c>
      <c r="H988" s="102">
        <v>58.682399999999994</v>
      </c>
      <c r="I988" s="103" t="s">
        <v>87</v>
      </c>
      <c r="J988" s="50">
        <v>29000</v>
      </c>
      <c r="K988" s="56"/>
      <c r="L988" s="46">
        <f t="shared" si="52"/>
        <v>1701789.5999999999</v>
      </c>
    </row>
    <row r="989" spans="2:12" x14ac:dyDescent="0.35">
      <c r="B989" s="96"/>
      <c r="C989" s="97"/>
      <c r="D989" s="98"/>
      <c r="E989" s="99"/>
      <c r="F989" s="100" t="s">
        <v>89</v>
      </c>
      <c r="G989" s="101" t="s">
        <v>783</v>
      </c>
      <c r="H989" s="102">
        <v>53.891999999999996</v>
      </c>
      <c r="I989" s="103" t="s">
        <v>87</v>
      </c>
      <c r="J989" s="50">
        <v>29000</v>
      </c>
      <c r="K989" s="56"/>
      <c r="L989" s="46">
        <f t="shared" si="52"/>
        <v>1562867.9999999998</v>
      </c>
    </row>
    <row r="990" spans="2:12" x14ac:dyDescent="0.35">
      <c r="B990" s="96"/>
      <c r="C990" s="97"/>
      <c r="D990" s="98"/>
      <c r="E990" s="99"/>
      <c r="F990" s="100" t="s">
        <v>89</v>
      </c>
      <c r="G990" s="101" t="s">
        <v>784</v>
      </c>
      <c r="H990" s="102">
        <v>7.0649999999999986</v>
      </c>
      <c r="I990" s="103" t="s">
        <v>87</v>
      </c>
      <c r="J990" s="50">
        <v>29000</v>
      </c>
      <c r="K990" s="56"/>
      <c r="L990" s="46">
        <f t="shared" si="52"/>
        <v>204884.99999999997</v>
      </c>
    </row>
    <row r="991" spans="2:12" x14ac:dyDescent="0.35">
      <c r="B991" s="96"/>
      <c r="C991" s="97"/>
      <c r="D991" s="98"/>
      <c r="E991" s="99"/>
      <c r="F991" s="100" t="s">
        <v>89</v>
      </c>
      <c r="G991" s="101" t="s">
        <v>785</v>
      </c>
      <c r="H991" s="102">
        <v>8.8623359999999991</v>
      </c>
      <c r="I991" s="103" t="s">
        <v>87</v>
      </c>
      <c r="J991" s="50">
        <v>29000</v>
      </c>
      <c r="K991" s="56"/>
      <c r="L991" s="46">
        <f t="shared" si="52"/>
        <v>257007.74399999998</v>
      </c>
    </row>
    <row r="992" spans="2:12" x14ac:dyDescent="0.35">
      <c r="B992" s="96"/>
      <c r="C992" s="97"/>
      <c r="D992" s="98"/>
      <c r="E992" s="99"/>
      <c r="F992" s="100" t="s">
        <v>89</v>
      </c>
      <c r="G992" s="101" t="s">
        <v>786</v>
      </c>
      <c r="H992" s="102">
        <v>8.1388799999999968</v>
      </c>
      <c r="I992" s="103" t="s">
        <v>87</v>
      </c>
      <c r="J992" s="50">
        <v>29000</v>
      </c>
      <c r="K992" s="56"/>
      <c r="L992" s="46">
        <f t="shared" si="52"/>
        <v>236027.5199999999</v>
      </c>
    </row>
    <row r="993" spans="2:13" x14ac:dyDescent="0.35">
      <c r="B993" s="96"/>
      <c r="C993" s="97"/>
      <c r="D993" s="98"/>
      <c r="E993" s="99"/>
      <c r="F993" s="100" t="s">
        <v>89</v>
      </c>
      <c r="G993" s="101" t="s">
        <v>787</v>
      </c>
      <c r="H993" s="102">
        <v>175.21200000000005</v>
      </c>
      <c r="I993" s="103" t="s">
        <v>87</v>
      </c>
      <c r="J993" s="50">
        <v>29000</v>
      </c>
      <c r="K993" s="56"/>
      <c r="L993" s="46">
        <f t="shared" si="52"/>
        <v>5081148.0000000009</v>
      </c>
    </row>
    <row r="994" spans="2:13" x14ac:dyDescent="0.35">
      <c r="B994" s="96"/>
      <c r="C994" s="97"/>
      <c r="D994" s="98"/>
      <c r="E994" s="99"/>
      <c r="F994" s="100" t="s">
        <v>89</v>
      </c>
      <c r="G994" s="101" t="s">
        <v>788</v>
      </c>
      <c r="H994" s="102">
        <v>3.5325000000000002</v>
      </c>
      <c r="I994" s="103" t="s">
        <v>87</v>
      </c>
      <c r="J994" s="50">
        <v>29000</v>
      </c>
      <c r="K994" s="56"/>
      <c r="L994" s="46">
        <f t="shared" si="52"/>
        <v>102442.5</v>
      </c>
    </row>
    <row r="995" spans="2:13" x14ac:dyDescent="0.35">
      <c r="B995" s="96"/>
      <c r="C995" s="97"/>
      <c r="D995" s="98"/>
      <c r="E995" s="99"/>
      <c r="F995" s="100" t="s">
        <v>89</v>
      </c>
      <c r="G995" s="101" t="s">
        <v>789</v>
      </c>
      <c r="H995" s="102">
        <v>1.8840000000000003</v>
      </c>
      <c r="I995" s="103" t="s">
        <v>87</v>
      </c>
      <c r="J995" s="50">
        <v>29000</v>
      </c>
      <c r="K995" s="56"/>
      <c r="L995" s="46">
        <f t="shared" si="52"/>
        <v>54636.000000000007</v>
      </c>
    </row>
    <row r="996" spans="2:13" x14ac:dyDescent="0.35">
      <c r="B996" s="96"/>
      <c r="C996" s="97"/>
      <c r="D996" s="98"/>
      <c r="E996" s="99"/>
      <c r="F996" s="100" t="s">
        <v>89</v>
      </c>
      <c r="G996" s="101" t="s">
        <v>790</v>
      </c>
      <c r="H996" s="102">
        <v>55.688399999999994</v>
      </c>
      <c r="I996" s="103" t="s">
        <v>87</v>
      </c>
      <c r="J996" s="50">
        <v>29000</v>
      </c>
      <c r="K996" s="56"/>
      <c r="L996" s="46">
        <f t="shared" si="52"/>
        <v>1614963.5999999999</v>
      </c>
    </row>
    <row r="997" spans="2:13" x14ac:dyDescent="0.35">
      <c r="B997" s="96"/>
      <c r="C997" s="97"/>
      <c r="D997" s="98"/>
      <c r="E997" s="99"/>
      <c r="F997" s="100" t="s">
        <v>89</v>
      </c>
      <c r="G997" s="101" t="s">
        <v>791</v>
      </c>
      <c r="H997" s="102">
        <v>7.0649999999999986</v>
      </c>
      <c r="I997" s="103" t="s">
        <v>87</v>
      </c>
      <c r="J997" s="50">
        <v>29000</v>
      </c>
      <c r="K997" s="56"/>
      <c r="L997" s="46">
        <f t="shared" si="52"/>
        <v>204884.99999999997</v>
      </c>
    </row>
    <row r="998" spans="2:13" x14ac:dyDescent="0.35">
      <c r="B998" s="96"/>
      <c r="C998" s="97"/>
      <c r="D998" s="98"/>
      <c r="E998" s="99"/>
      <c r="F998" s="100" t="s">
        <v>89</v>
      </c>
      <c r="G998" s="101" t="s">
        <v>792</v>
      </c>
      <c r="H998" s="102">
        <v>8.8623359999999991</v>
      </c>
      <c r="I998" s="103" t="s">
        <v>87</v>
      </c>
      <c r="J998" s="50">
        <v>29000</v>
      </c>
      <c r="K998" s="56"/>
      <c r="L998" s="46">
        <f t="shared" si="52"/>
        <v>257007.74399999998</v>
      </c>
    </row>
    <row r="999" spans="2:13" x14ac:dyDescent="0.35">
      <c r="B999" s="96"/>
      <c r="C999" s="97"/>
      <c r="D999" s="98"/>
      <c r="E999" s="99"/>
      <c r="F999" s="100" t="s">
        <v>89</v>
      </c>
      <c r="G999" s="101" t="s">
        <v>793</v>
      </c>
      <c r="H999" s="102">
        <v>4.0694399999999984</v>
      </c>
      <c r="I999" s="103" t="s">
        <v>87</v>
      </c>
      <c r="J999" s="50">
        <v>29000</v>
      </c>
      <c r="K999" s="56"/>
      <c r="L999" s="46">
        <f t="shared" si="52"/>
        <v>118013.75999999995</v>
      </c>
    </row>
    <row r="1000" spans="2:13" x14ac:dyDescent="0.35">
      <c r="B1000" s="96"/>
      <c r="C1000" s="97"/>
      <c r="D1000" s="98"/>
      <c r="E1000" s="99"/>
      <c r="F1000" s="100" t="s">
        <v>89</v>
      </c>
      <c r="G1000" s="101" t="s">
        <v>794</v>
      </c>
      <c r="H1000" s="102">
        <v>167.29920000000001</v>
      </c>
      <c r="I1000" s="103" t="s">
        <v>87</v>
      </c>
      <c r="J1000" s="50">
        <v>29000</v>
      </c>
      <c r="K1000" s="56"/>
      <c r="L1000" s="46">
        <f t="shared" si="52"/>
        <v>4851676.8000000007</v>
      </c>
    </row>
    <row r="1001" spans="2:13" x14ac:dyDescent="0.35">
      <c r="B1001" s="96"/>
      <c r="C1001" s="97"/>
      <c r="D1001" s="98"/>
      <c r="E1001" s="99"/>
      <c r="F1001" s="100" t="s">
        <v>89</v>
      </c>
      <c r="G1001" s="101" t="s">
        <v>795</v>
      </c>
      <c r="H1001" s="102">
        <v>3.5325000000000002</v>
      </c>
      <c r="I1001" s="103" t="s">
        <v>87</v>
      </c>
      <c r="J1001" s="50">
        <v>29000</v>
      </c>
      <c r="K1001" s="56"/>
      <c r="L1001" s="46">
        <f t="shared" si="52"/>
        <v>102442.5</v>
      </c>
    </row>
    <row r="1002" spans="2:13" x14ac:dyDescent="0.35">
      <c r="B1002" s="96"/>
      <c r="C1002" s="97"/>
      <c r="D1002" s="98"/>
      <c r="E1002" s="99"/>
      <c r="F1002" s="100" t="s">
        <v>89</v>
      </c>
      <c r="G1002" s="101" t="s">
        <v>796</v>
      </c>
      <c r="H1002" s="102">
        <v>57.484799999999993</v>
      </c>
      <c r="I1002" s="103" t="s">
        <v>87</v>
      </c>
      <c r="J1002" s="50">
        <v>29000</v>
      </c>
      <c r="K1002" s="56"/>
      <c r="L1002" s="46">
        <f t="shared" si="52"/>
        <v>1667059.1999999997</v>
      </c>
    </row>
    <row r="1003" spans="2:13" x14ac:dyDescent="0.35">
      <c r="B1003" s="96"/>
      <c r="C1003" s="97"/>
      <c r="D1003" s="98"/>
      <c r="E1003" s="99"/>
      <c r="F1003" s="100" t="s">
        <v>89</v>
      </c>
      <c r="G1003" s="101" t="s">
        <v>797</v>
      </c>
      <c r="H1003" s="102">
        <v>53.891999999999996</v>
      </c>
      <c r="I1003" s="103" t="s">
        <v>87</v>
      </c>
      <c r="J1003" s="50">
        <v>29000</v>
      </c>
      <c r="K1003" s="56"/>
      <c r="L1003" s="46">
        <f t="shared" si="52"/>
        <v>1562867.9999999998</v>
      </c>
    </row>
    <row r="1004" spans="2:13" x14ac:dyDescent="0.35">
      <c r="B1004" s="96"/>
      <c r="C1004" s="97"/>
      <c r="D1004" s="98"/>
      <c r="E1004" s="99"/>
      <c r="F1004" s="100" t="s">
        <v>89</v>
      </c>
      <c r="G1004" s="101" t="s">
        <v>798</v>
      </c>
      <c r="H1004" s="102">
        <v>7.0649999999999986</v>
      </c>
      <c r="I1004" s="103" t="s">
        <v>87</v>
      </c>
      <c r="J1004" s="50">
        <v>29000</v>
      </c>
      <c r="K1004" s="56"/>
      <c r="L1004" s="46">
        <f t="shared" si="52"/>
        <v>204884.99999999997</v>
      </c>
    </row>
    <row r="1005" spans="2:13" x14ac:dyDescent="0.35">
      <c r="B1005" s="96"/>
      <c r="C1005" s="97"/>
      <c r="D1005" s="98"/>
      <c r="E1005" s="99"/>
      <c r="F1005" s="100" t="s">
        <v>89</v>
      </c>
      <c r="G1005" s="101" t="s">
        <v>799</v>
      </c>
      <c r="H1005" s="102">
        <v>8.8623359999999991</v>
      </c>
      <c r="I1005" s="103" t="s">
        <v>87</v>
      </c>
      <c r="J1005" s="50">
        <v>29000</v>
      </c>
      <c r="K1005" s="56"/>
      <c r="L1005" s="46">
        <f t="shared" si="52"/>
        <v>257007.74399999998</v>
      </c>
    </row>
    <row r="1006" spans="2:13" x14ac:dyDescent="0.35">
      <c r="B1006" s="96"/>
      <c r="C1006" s="97"/>
      <c r="D1006" s="98"/>
      <c r="E1006" s="99"/>
      <c r="F1006" s="100" t="s">
        <v>89</v>
      </c>
      <c r="G1006" s="101" t="s">
        <v>800</v>
      </c>
      <c r="H1006" s="102">
        <v>8.1388799999999968</v>
      </c>
      <c r="I1006" s="103" t="s">
        <v>87</v>
      </c>
      <c r="J1006" s="50">
        <v>29000</v>
      </c>
      <c r="K1006" s="56"/>
      <c r="L1006" s="46">
        <f t="shared" si="52"/>
        <v>236027.5199999999</v>
      </c>
      <c r="M1006" s="14"/>
    </row>
    <row r="1007" spans="2:13" x14ac:dyDescent="0.35">
      <c r="B1007" s="96"/>
      <c r="C1007" s="97"/>
      <c r="D1007" s="98"/>
      <c r="E1007" s="99"/>
      <c r="F1007" s="100" t="s">
        <v>89</v>
      </c>
      <c r="G1007" s="101" t="s">
        <v>801</v>
      </c>
      <c r="H1007" s="102">
        <v>9.231600000000002</v>
      </c>
      <c r="I1007" s="103" t="s">
        <v>87</v>
      </c>
      <c r="J1007" s="50">
        <v>29000</v>
      </c>
      <c r="K1007" s="56"/>
      <c r="L1007" s="46">
        <f t="shared" si="52"/>
        <v>267716.40000000008</v>
      </c>
    </row>
    <row r="1008" spans="2:13" x14ac:dyDescent="0.35">
      <c r="B1008" s="96"/>
      <c r="C1008" s="97"/>
      <c r="D1008" s="98"/>
      <c r="E1008" s="99"/>
      <c r="F1008" s="100" t="s">
        <v>89</v>
      </c>
      <c r="G1008" s="101" t="s">
        <v>802</v>
      </c>
      <c r="H1008" s="102">
        <v>105.12720000000002</v>
      </c>
      <c r="I1008" s="103" t="s">
        <v>87</v>
      </c>
      <c r="J1008" s="50">
        <v>29000</v>
      </c>
      <c r="K1008" s="56"/>
      <c r="L1008" s="46">
        <f t="shared" si="52"/>
        <v>3048688.8000000003</v>
      </c>
    </row>
    <row r="1009" spans="2:13" x14ac:dyDescent="0.35">
      <c r="B1009" s="96"/>
      <c r="C1009" s="97"/>
      <c r="D1009" s="98"/>
      <c r="E1009" s="99"/>
      <c r="F1009" s="100" t="s">
        <v>89</v>
      </c>
      <c r="G1009" s="101" t="s">
        <v>803</v>
      </c>
      <c r="H1009" s="102">
        <v>55.57800000000001</v>
      </c>
      <c r="I1009" s="103" t="s">
        <v>87</v>
      </c>
      <c r="J1009" s="50">
        <v>29000</v>
      </c>
      <c r="K1009" s="56"/>
      <c r="L1009" s="46">
        <f t="shared" si="52"/>
        <v>1611762.0000000002</v>
      </c>
      <c r="M1009" s="67"/>
    </row>
    <row r="1010" spans="2:13" x14ac:dyDescent="0.35">
      <c r="B1010" s="47"/>
      <c r="C1010" s="48"/>
      <c r="D1010" s="24"/>
      <c r="G1010" s="22"/>
      <c r="I1010" s="22"/>
      <c r="J1010" s="50"/>
      <c r="K1010" s="29"/>
      <c r="L1010" s="52"/>
    </row>
    <row r="1011" spans="2:13" x14ac:dyDescent="0.35">
      <c r="B1011" s="8"/>
      <c r="C1011" s="9"/>
      <c r="D1011" s="10"/>
      <c r="E1011" s="4"/>
      <c r="F1011" s="4"/>
      <c r="G1011" s="4"/>
      <c r="H1011" s="1"/>
      <c r="I1011" s="1"/>
      <c r="J1011" s="11" t="s">
        <v>8</v>
      </c>
      <c r="K1011" s="7">
        <f>SUM(K958:K1010)</f>
        <v>1500000</v>
      </c>
      <c r="L1011" s="7">
        <f>SUM(L958:L1010)</f>
        <v>124094598.552</v>
      </c>
    </row>
    <row r="1012" spans="2:13" x14ac:dyDescent="0.35">
      <c r="B1012" s="8"/>
      <c r="C1012" s="9"/>
      <c r="D1012" s="9"/>
      <c r="E1012" s="4"/>
      <c r="F1012" s="4"/>
      <c r="G1012" s="4"/>
      <c r="H1012" s="1"/>
      <c r="I1012" s="1"/>
      <c r="J1012" s="11"/>
      <c r="K1012" s="35" t="s">
        <v>22</v>
      </c>
      <c r="L1012" s="36" t="s">
        <v>23</v>
      </c>
    </row>
    <row r="1013" spans="2:13" x14ac:dyDescent="0.35">
      <c r="B1013" s="3" t="s">
        <v>9</v>
      </c>
      <c r="C1013" s="4"/>
      <c r="D1013" s="4"/>
      <c r="E1013" s="4"/>
      <c r="F1013" s="4"/>
      <c r="G1013" s="4"/>
      <c r="H1013" s="1"/>
      <c r="I1013" s="1"/>
      <c r="J1013" s="12"/>
      <c r="K1013" s="12"/>
      <c r="L1013" s="13"/>
    </row>
    <row r="1014" spans="2:13" x14ac:dyDescent="0.35">
      <c r="B1014" s="37"/>
      <c r="C1014" s="1"/>
      <c r="D1014" s="1"/>
      <c r="E1014" s="38"/>
      <c r="F1014" s="38"/>
      <c r="G1014" s="38"/>
      <c r="H1014" s="1"/>
      <c r="I1014" s="1"/>
      <c r="J1014" s="1"/>
      <c r="K1014" s="1"/>
      <c r="L1014" s="19"/>
    </row>
    <row r="1015" spans="2:13" x14ac:dyDescent="0.35">
      <c r="B1015" s="28" t="s">
        <v>6</v>
      </c>
      <c r="C1015" s="27"/>
      <c r="D1015" s="27"/>
      <c r="E1015" s="26"/>
      <c r="F1015" s="26"/>
      <c r="G1015" s="5"/>
      <c r="K1015" s="284" t="s">
        <v>1600</v>
      </c>
      <c r="L1015" s="285"/>
    </row>
    <row r="1016" spans="2:13" x14ac:dyDescent="0.35">
      <c r="B1016" s="28">
        <v>1</v>
      </c>
      <c r="C1016" s="27"/>
      <c r="D1016" s="27"/>
      <c r="E1016" s="26" t="s">
        <v>7</v>
      </c>
      <c r="F1016" s="26"/>
      <c r="G1016" s="5"/>
      <c r="K1016" s="284" t="s">
        <v>28</v>
      </c>
      <c r="L1016" s="285"/>
    </row>
    <row r="1017" spans="2:13" x14ac:dyDescent="0.35">
      <c r="B1017" s="39"/>
      <c r="C1017" s="27"/>
      <c r="D1017" s="27"/>
      <c r="E1017" s="26"/>
      <c r="F1017" s="26"/>
      <c r="G1017" s="5"/>
      <c r="J1017" s="25"/>
      <c r="K1017" s="25"/>
      <c r="L1017" s="24"/>
    </row>
    <row r="1018" spans="2:13" x14ac:dyDescent="0.35">
      <c r="B1018" s="28"/>
      <c r="C1018" s="27"/>
      <c r="D1018" s="27"/>
      <c r="E1018" s="26"/>
      <c r="F1018" s="26"/>
      <c r="G1018" s="5"/>
      <c r="L1018" s="22"/>
    </row>
    <row r="1019" spans="2:13" x14ac:dyDescent="0.35">
      <c r="B1019" s="45"/>
      <c r="E1019" s="5"/>
      <c r="F1019" s="5"/>
      <c r="G1019" s="5"/>
      <c r="L1019" s="22"/>
    </row>
    <row r="1020" spans="2:13" x14ac:dyDescent="0.35">
      <c r="B1020" s="45"/>
      <c r="E1020" s="5"/>
      <c r="F1020" s="5"/>
      <c r="G1020" s="5"/>
      <c r="L1020" s="22"/>
    </row>
    <row r="1021" spans="2:13" x14ac:dyDescent="0.35">
      <c r="B1021" s="45"/>
      <c r="E1021" s="5"/>
      <c r="F1021" s="5"/>
      <c r="G1021" s="5"/>
      <c r="L1021" s="22"/>
    </row>
    <row r="1022" spans="2:13" x14ac:dyDescent="0.35">
      <c r="B1022" s="45"/>
      <c r="E1022" s="5"/>
      <c r="F1022" s="5"/>
      <c r="G1022" s="5"/>
      <c r="J1022" s="40"/>
      <c r="K1022" s="286" t="s">
        <v>36</v>
      </c>
      <c r="L1022" s="287"/>
    </row>
    <row r="1023" spans="2:13" x14ac:dyDescent="0.35">
      <c r="B1023" s="45"/>
      <c r="K1023" s="288" t="s">
        <v>37</v>
      </c>
      <c r="L1023" s="289"/>
    </row>
    <row r="1024" spans="2:13" x14ac:dyDescent="0.35">
      <c r="B1024" s="290"/>
      <c r="C1024" s="291"/>
      <c r="D1024" s="291"/>
      <c r="E1024" s="41"/>
      <c r="F1024" s="41"/>
      <c r="G1024" s="41"/>
      <c r="H1024" s="2"/>
      <c r="I1024" s="2"/>
      <c r="J1024" s="2"/>
      <c r="K1024" s="2"/>
      <c r="L1024" s="21"/>
    </row>
    <row r="1025" spans="2:12" x14ac:dyDescent="0.35">
      <c r="B1025" s="47"/>
      <c r="C1025" s="48"/>
      <c r="D1025" s="49"/>
      <c r="G1025" s="22"/>
      <c r="H1025" s="1"/>
      <c r="I1025" s="1"/>
      <c r="J1025" s="43"/>
      <c r="K1025" s="30"/>
      <c r="L1025" s="44"/>
    </row>
    <row r="1026" spans="2:12" x14ac:dyDescent="0.35">
      <c r="B1026" s="96"/>
      <c r="C1026" s="97"/>
      <c r="D1026" s="98"/>
      <c r="E1026" s="99"/>
      <c r="F1026" s="100" t="s">
        <v>89</v>
      </c>
      <c r="G1026" s="101" t="s">
        <v>804</v>
      </c>
      <c r="H1026" s="102">
        <v>17.662500000000001</v>
      </c>
      <c r="I1026" s="103" t="s">
        <v>87</v>
      </c>
      <c r="J1026" s="50">
        <v>29000</v>
      </c>
      <c r="K1026" s="56"/>
      <c r="L1026" s="46">
        <f t="shared" ref="L1026:L1053" si="53">J1026*H1026</f>
        <v>512212.50000000006</v>
      </c>
    </row>
    <row r="1027" spans="2:12" x14ac:dyDescent="0.35">
      <c r="B1027" s="96"/>
      <c r="C1027" s="97"/>
      <c r="D1027" s="98"/>
      <c r="E1027" s="99"/>
      <c r="F1027" s="100" t="s">
        <v>89</v>
      </c>
      <c r="G1027" s="101" t="s">
        <v>805</v>
      </c>
      <c r="H1027" s="102">
        <v>2.355</v>
      </c>
      <c r="I1027" s="103" t="s">
        <v>87</v>
      </c>
      <c r="J1027" s="50">
        <v>29000</v>
      </c>
      <c r="K1027" s="56"/>
      <c r="L1027" s="46">
        <f t="shared" si="53"/>
        <v>68295</v>
      </c>
    </row>
    <row r="1028" spans="2:12" x14ac:dyDescent="0.35">
      <c r="B1028" s="96"/>
      <c r="C1028" s="97"/>
      <c r="D1028" s="98"/>
      <c r="E1028" s="99"/>
      <c r="F1028" s="100" t="s">
        <v>89</v>
      </c>
      <c r="G1028" s="101" t="s">
        <v>806</v>
      </c>
      <c r="H1028" s="102">
        <v>62.873999999999995</v>
      </c>
      <c r="I1028" s="103" t="s">
        <v>87</v>
      </c>
      <c r="J1028" s="50">
        <v>29000</v>
      </c>
      <c r="K1028" s="56"/>
      <c r="L1028" s="46">
        <f t="shared" si="53"/>
        <v>1823345.9999999998</v>
      </c>
    </row>
    <row r="1029" spans="2:12" x14ac:dyDescent="0.35">
      <c r="B1029" s="96"/>
      <c r="C1029" s="97"/>
      <c r="D1029" s="98"/>
      <c r="E1029" s="99"/>
      <c r="F1029" s="100" t="s">
        <v>89</v>
      </c>
      <c r="G1029" s="101" t="s">
        <v>807</v>
      </c>
      <c r="H1029" s="102">
        <v>65.269199999999998</v>
      </c>
      <c r="I1029" s="103" t="s">
        <v>87</v>
      </c>
      <c r="J1029" s="50">
        <v>29000</v>
      </c>
      <c r="K1029" s="56"/>
      <c r="L1029" s="46">
        <f t="shared" si="53"/>
        <v>1892806.8</v>
      </c>
    </row>
    <row r="1030" spans="2:12" x14ac:dyDescent="0.35">
      <c r="B1030" s="96"/>
      <c r="C1030" s="97"/>
      <c r="D1030" s="98"/>
      <c r="E1030" s="99"/>
      <c r="F1030" s="100" t="s">
        <v>89</v>
      </c>
      <c r="G1030" s="101" t="s">
        <v>808</v>
      </c>
      <c r="H1030" s="102">
        <v>7.0649999999999986</v>
      </c>
      <c r="I1030" s="103" t="s">
        <v>87</v>
      </c>
      <c r="J1030" s="50">
        <v>29000</v>
      </c>
      <c r="K1030" s="56"/>
      <c r="L1030" s="46">
        <f t="shared" si="53"/>
        <v>204884.99999999997</v>
      </c>
    </row>
    <row r="1031" spans="2:12" x14ac:dyDescent="0.35">
      <c r="B1031" s="96"/>
      <c r="C1031" s="97"/>
      <c r="D1031" s="98"/>
      <c r="E1031" s="99"/>
      <c r="F1031" s="100" t="s">
        <v>89</v>
      </c>
      <c r="G1031" s="101" t="s">
        <v>809</v>
      </c>
      <c r="H1031" s="102">
        <v>8.8623359999999991</v>
      </c>
      <c r="I1031" s="103" t="s">
        <v>87</v>
      </c>
      <c r="J1031" s="50">
        <v>29000</v>
      </c>
      <c r="K1031" s="56"/>
      <c r="L1031" s="46">
        <f t="shared" si="53"/>
        <v>257007.74399999998</v>
      </c>
    </row>
    <row r="1032" spans="2:12" x14ac:dyDescent="0.35">
      <c r="B1032" s="96"/>
      <c r="C1032" s="97"/>
      <c r="D1032" s="98"/>
      <c r="E1032" s="99"/>
      <c r="F1032" s="100" t="s">
        <v>89</v>
      </c>
      <c r="G1032" s="101" t="s">
        <v>810</v>
      </c>
      <c r="H1032" s="102">
        <v>8.1388799999999968</v>
      </c>
      <c r="I1032" s="103" t="s">
        <v>87</v>
      </c>
      <c r="J1032" s="50">
        <v>29000</v>
      </c>
      <c r="K1032" s="56"/>
      <c r="L1032" s="46">
        <f t="shared" si="53"/>
        <v>236027.5199999999</v>
      </c>
    </row>
    <row r="1033" spans="2:12" x14ac:dyDescent="0.35">
      <c r="B1033" s="96"/>
      <c r="C1033" s="97"/>
      <c r="D1033" s="98"/>
      <c r="E1033" s="99"/>
      <c r="F1033" s="100" t="s">
        <v>89</v>
      </c>
      <c r="G1033" s="101" t="s">
        <v>811</v>
      </c>
      <c r="H1033" s="102">
        <v>175.77720000000002</v>
      </c>
      <c r="I1033" s="103" t="s">
        <v>87</v>
      </c>
      <c r="J1033" s="50">
        <v>29000</v>
      </c>
      <c r="K1033" s="56"/>
      <c r="L1033" s="46">
        <f t="shared" si="53"/>
        <v>5097538.8000000007</v>
      </c>
    </row>
    <row r="1034" spans="2:12" x14ac:dyDescent="0.35">
      <c r="B1034" s="96"/>
      <c r="C1034" s="97"/>
      <c r="D1034" s="98"/>
      <c r="E1034" s="99"/>
      <c r="F1034" s="100" t="s">
        <v>89</v>
      </c>
      <c r="G1034" s="101" t="s">
        <v>812</v>
      </c>
      <c r="H1034" s="102">
        <v>3.5325000000000002</v>
      </c>
      <c r="I1034" s="103" t="s">
        <v>87</v>
      </c>
      <c r="J1034" s="50">
        <v>29000</v>
      </c>
      <c r="K1034" s="56"/>
      <c r="L1034" s="46">
        <f t="shared" si="53"/>
        <v>102442.5</v>
      </c>
    </row>
    <row r="1035" spans="2:12" x14ac:dyDescent="0.35">
      <c r="B1035" s="96"/>
      <c r="C1035" s="97"/>
      <c r="D1035" s="98"/>
      <c r="E1035" s="99"/>
      <c r="F1035" s="100" t="s">
        <v>89</v>
      </c>
      <c r="G1035" s="101" t="s">
        <v>813</v>
      </c>
      <c r="H1035" s="102">
        <v>2.355</v>
      </c>
      <c r="I1035" s="103" t="s">
        <v>87</v>
      </c>
      <c r="J1035" s="50">
        <v>29000</v>
      </c>
      <c r="K1035" s="56"/>
      <c r="L1035" s="46">
        <f t="shared" si="53"/>
        <v>68295</v>
      </c>
    </row>
    <row r="1036" spans="2:12" x14ac:dyDescent="0.35">
      <c r="B1036" s="96"/>
      <c r="C1036" s="97"/>
      <c r="D1036" s="98"/>
      <c r="E1036" s="99"/>
      <c r="F1036" s="100" t="s">
        <v>89</v>
      </c>
      <c r="G1036" s="101" t="s">
        <v>814</v>
      </c>
      <c r="H1036" s="102">
        <v>62.275199999999998</v>
      </c>
      <c r="I1036" s="103" t="s">
        <v>87</v>
      </c>
      <c r="J1036" s="50">
        <v>29000</v>
      </c>
      <c r="K1036" s="56"/>
      <c r="L1036" s="46">
        <f t="shared" si="53"/>
        <v>1805980.8</v>
      </c>
    </row>
    <row r="1037" spans="2:12" x14ac:dyDescent="0.35">
      <c r="B1037" s="96"/>
      <c r="C1037" s="97"/>
      <c r="D1037" s="98"/>
      <c r="E1037" s="99"/>
      <c r="F1037" s="100" t="s">
        <v>89</v>
      </c>
      <c r="G1037" s="101" t="s">
        <v>815</v>
      </c>
      <c r="H1037" s="102">
        <v>7.0649999999999986</v>
      </c>
      <c r="I1037" s="103" t="s">
        <v>87</v>
      </c>
      <c r="J1037" s="50">
        <v>29000</v>
      </c>
      <c r="K1037" s="56"/>
      <c r="L1037" s="46">
        <f t="shared" si="53"/>
        <v>204884.99999999997</v>
      </c>
    </row>
    <row r="1038" spans="2:12" x14ac:dyDescent="0.35">
      <c r="B1038" s="96"/>
      <c r="C1038" s="97"/>
      <c r="D1038" s="98"/>
      <c r="E1038" s="99"/>
      <c r="F1038" s="100" t="s">
        <v>89</v>
      </c>
      <c r="G1038" s="101" t="s">
        <v>816</v>
      </c>
      <c r="H1038" s="102">
        <v>8.8623359999999991</v>
      </c>
      <c r="I1038" s="103" t="s">
        <v>87</v>
      </c>
      <c r="J1038" s="50">
        <v>29000</v>
      </c>
      <c r="K1038" s="56"/>
      <c r="L1038" s="46">
        <f t="shared" si="53"/>
        <v>257007.74399999998</v>
      </c>
    </row>
    <row r="1039" spans="2:12" x14ac:dyDescent="0.35">
      <c r="B1039" s="96"/>
      <c r="C1039" s="97"/>
      <c r="D1039" s="98"/>
      <c r="E1039" s="99"/>
      <c r="F1039" s="100" t="s">
        <v>89</v>
      </c>
      <c r="G1039" s="101" t="s">
        <v>817</v>
      </c>
      <c r="H1039" s="102">
        <v>4.0694399999999984</v>
      </c>
      <c r="I1039" s="103" t="s">
        <v>87</v>
      </c>
      <c r="J1039" s="50">
        <v>29000</v>
      </c>
      <c r="K1039" s="56"/>
      <c r="L1039" s="46">
        <f t="shared" si="53"/>
        <v>118013.75999999995</v>
      </c>
    </row>
    <row r="1040" spans="2:12" x14ac:dyDescent="0.35">
      <c r="B1040" s="96"/>
      <c r="C1040" s="97"/>
      <c r="D1040" s="98"/>
      <c r="E1040" s="99"/>
      <c r="F1040" s="100" t="s">
        <v>89</v>
      </c>
      <c r="G1040" s="101" t="s">
        <v>818</v>
      </c>
      <c r="H1040" s="102">
        <v>167.29920000000001</v>
      </c>
      <c r="I1040" s="103" t="s">
        <v>87</v>
      </c>
      <c r="J1040" s="50">
        <v>29000</v>
      </c>
      <c r="K1040" s="56"/>
      <c r="L1040" s="46">
        <f t="shared" si="53"/>
        <v>4851676.8000000007</v>
      </c>
    </row>
    <row r="1041" spans="2:12" x14ac:dyDescent="0.35">
      <c r="B1041" s="96"/>
      <c r="C1041" s="97"/>
      <c r="D1041" s="98"/>
      <c r="E1041" s="99"/>
      <c r="F1041" s="100" t="s">
        <v>89</v>
      </c>
      <c r="G1041" s="101" t="s">
        <v>819</v>
      </c>
      <c r="H1041" s="102">
        <v>7.0650000000000004</v>
      </c>
      <c r="I1041" s="103" t="s">
        <v>87</v>
      </c>
      <c r="J1041" s="50">
        <v>29000</v>
      </c>
      <c r="K1041" s="56"/>
      <c r="L1041" s="46">
        <f t="shared" si="53"/>
        <v>204885</v>
      </c>
    </row>
    <row r="1042" spans="2:12" x14ac:dyDescent="0.35">
      <c r="B1042" s="96"/>
      <c r="C1042" s="97"/>
      <c r="D1042" s="98"/>
      <c r="E1042" s="99"/>
      <c r="F1042" s="100" t="s">
        <v>89</v>
      </c>
      <c r="G1042" s="101" t="s">
        <v>820</v>
      </c>
      <c r="H1042" s="102">
        <v>76.6464</v>
      </c>
      <c r="I1042" s="103" t="s">
        <v>87</v>
      </c>
      <c r="J1042" s="50">
        <v>29000</v>
      </c>
      <c r="K1042" s="56"/>
      <c r="L1042" s="46">
        <f t="shared" si="53"/>
        <v>2222745.6000000001</v>
      </c>
    </row>
    <row r="1043" spans="2:12" x14ac:dyDescent="0.35">
      <c r="B1043" s="96"/>
      <c r="C1043" s="97"/>
      <c r="D1043" s="98"/>
      <c r="E1043" s="99"/>
      <c r="F1043" s="100" t="s">
        <v>89</v>
      </c>
      <c r="G1043" s="101" t="s">
        <v>821</v>
      </c>
      <c r="H1043" s="102">
        <v>62.873999999999995</v>
      </c>
      <c r="I1043" s="103" t="s">
        <v>87</v>
      </c>
      <c r="J1043" s="50">
        <v>29000</v>
      </c>
      <c r="K1043" s="56"/>
      <c r="L1043" s="46">
        <f t="shared" si="53"/>
        <v>1823345.9999999998</v>
      </c>
    </row>
    <row r="1044" spans="2:12" x14ac:dyDescent="0.35">
      <c r="B1044" s="96"/>
      <c r="C1044" s="97"/>
      <c r="D1044" s="98"/>
      <c r="E1044" s="99"/>
      <c r="F1044" s="100" t="s">
        <v>89</v>
      </c>
      <c r="G1044" s="101" t="s">
        <v>822</v>
      </c>
      <c r="H1044" s="102">
        <v>7.0649999999999986</v>
      </c>
      <c r="I1044" s="103" t="s">
        <v>87</v>
      </c>
      <c r="J1044" s="50">
        <v>29000</v>
      </c>
      <c r="K1044" s="56"/>
      <c r="L1044" s="46">
        <f t="shared" si="53"/>
        <v>204884.99999999997</v>
      </c>
    </row>
    <row r="1045" spans="2:12" x14ac:dyDescent="0.35">
      <c r="B1045" s="96"/>
      <c r="C1045" s="97"/>
      <c r="D1045" s="98"/>
      <c r="E1045" s="99"/>
      <c r="F1045" s="100" t="s">
        <v>89</v>
      </c>
      <c r="G1045" s="101" t="s">
        <v>823</v>
      </c>
      <c r="H1045" s="102">
        <v>8.8623359999999991</v>
      </c>
      <c r="I1045" s="103" t="s">
        <v>87</v>
      </c>
      <c r="J1045" s="50">
        <v>29000</v>
      </c>
      <c r="K1045" s="56"/>
      <c r="L1045" s="46">
        <f t="shared" si="53"/>
        <v>257007.74399999998</v>
      </c>
    </row>
    <row r="1046" spans="2:12" x14ac:dyDescent="0.35">
      <c r="B1046" s="96"/>
      <c r="C1046" s="97"/>
      <c r="D1046" s="98"/>
      <c r="E1046" s="99"/>
      <c r="F1046" s="100" t="s">
        <v>89</v>
      </c>
      <c r="G1046" s="101" t="s">
        <v>824</v>
      </c>
      <c r="H1046" s="102">
        <v>8.1388799999999968</v>
      </c>
      <c r="I1046" s="103" t="s">
        <v>87</v>
      </c>
      <c r="J1046" s="50">
        <v>29000</v>
      </c>
      <c r="K1046" s="56"/>
      <c r="L1046" s="46">
        <f t="shared" si="53"/>
        <v>236027.5199999999</v>
      </c>
    </row>
    <row r="1047" spans="2:12" x14ac:dyDescent="0.35">
      <c r="B1047" s="96"/>
      <c r="C1047" s="97"/>
      <c r="D1047" s="98"/>
      <c r="E1047" s="99"/>
      <c r="F1047" s="100" t="s">
        <v>89</v>
      </c>
      <c r="G1047" s="101" t="s">
        <v>825</v>
      </c>
      <c r="H1047" s="102">
        <v>103.4316</v>
      </c>
      <c r="I1047" s="103" t="s">
        <v>87</v>
      </c>
      <c r="J1047" s="50">
        <v>29000</v>
      </c>
      <c r="K1047" s="56"/>
      <c r="L1047" s="46">
        <f t="shared" si="53"/>
        <v>2999516.4</v>
      </c>
    </row>
    <row r="1048" spans="2:12" x14ac:dyDescent="0.35">
      <c r="B1048" s="96"/>
      <c r="C1048" s="97"/>
      <c r="D1048" s="98"/>
      <c r="E1048" s="99"/>
      <c r="F1048" s="100" t="s">
        <v>89</v>
      </c>
      <c r="G1048" s="101" t="s">
        <v>826</v>
      </c>
      <c r="H1048" s="102">
        <v>17.662500000000001</v>
      </c>
      <c r="I1048" s="103" t="s">
        <v>87</v>
      </c>
      <c r="J1048" s="50">
        <v>29000</v>
      </c>
      <c r="K1048" s="56"/>
      <c r="L1048" s="46">
        <f t="shared" si="53"/>
        <v>512212.50000000006</v>
      </c>
    </row>
    <row r="1049" spans="2:12" x14ac:dyDescent="0.35">
      <c r="B1049" s="96"/>
      <c r="C1049" s="97"/>
      <c r="D1049" s="98"/>
      <c r="E1049" s="99"/>
      <c r="F1049" s="100" t="s">
        <v>89</v>
      </c>
      <c r="G1049" s="101" t="s">
        <v>827</v>
      </c>
      <c r="H1049" s="102">
        <v>217.96319999999997</v>
      </c>
      <c r="I1049" s="103" t="s">
        <v>87</v>
      </c>
      <c r="J1049" s="50">
        <v>29000</v>
      </c>
      <c r="K1049" s="56"/>
      <c r="L1049" s="46">
        <f t="shared" si="53"/>
        <v>6320932.7999999989</v>
      </c>
    </row>
    <row r="1050" spans="2:12" x14ac:dyDescent="0.35">
      <c r="B1050" s="96"/>
      <c r="C1050" s="97"/>
      <c r="D1050" s="98"/>
      <c r="E1050" s="99"/>
      <c r="F1050" s="100" t="s">
        <v>89</v>
      </c>
      <c r="G1050" s="101" t="s">
        <v>828</v>
      </c>
      <c r="H1050" s="102">
        <v>183.83159999999998</v>
      </c>
      <c r="I1050" s="103" t="s">
        <v>87</v>
      </c>
      <c r="J1050" s="50">
        <v>29000</v>
      </c>
      <c r="K1050" s="56"/>
      <c r="L1050" s="46">
        <f t="shared" si="53"/>
        <v>5331116.3999999994</v>
      </c>
    </row>
    <row r="1051" spans="2:12" x14ac:dyDescent="0.35">
      <c r="B1051" s="96"/>
      <c r="C1051" s="97"/>
      <c r="D1051" s="98"/>
      <c r="E1051" s="99"/>
      <c r="F1051" s="100" t="s">
        <v>89</v>
      </c>
      <c r="G1051" s="101" t="s">
        <v>829</v>
      </c>
      <c r="H1051" s="102">
        <v>7.0649999999999986</v>
      </c>
      <c r="I1051" s="103" t="s">
        <v>87</v>
      </c>
      <c r="J1051" s="50">
        <v>29000</v>
      </c>
      <c r="K1051" s="56"/>
      <c r="L1051" s="46">
        <f t="shared" si="53"/>
        <v>204884.99999999997</v>
      </c>
    </row>
    <row r="1052" spans="2:12" x14ac:dyDescent="0.35">
      <c r="B1052" s="96"/>
      <c r="C1052" s="97"/>
      <c r="D1052" s="98"/>
      <c r="E1052" s="99"/>
      <c r="F1052" s="100" t="s">
        <v>89</v>
      </c>
      <c r="G1052" s="101" t="s">
        <v>830</v>
      </c>
      <c r="H1052" s="102">
        <v>8.8623359999999991</v>
      </c>
      <c r="I1052" s="103" t="s">
        <v>87</v>
      </c>
      <c r="J1052" s="50">
        <v>29000</v>
      </c>
      <c r="K1052" s="56"/>
      <c r="L1052" s="46">
        <f t="shared" si="53"/>
        <v>257007.74399999998</v>
      </c>
    </row>
    <row r="1053" spans="2:12" x14ac:dyDescent="0.35">
      <c r="B1053" s="96"/>
      <c r="C1053" s="97"/>
      <c r="D1053" s="98"/>
      <c r="E1053" s="99"/>
      <c r="F1053" s="100" t="s">
        <v>89</v>
      </c>
      <c r="G1053" s="101" t="s">
        <v>831</v>
      </c>
      <c r="H1053" s="102">
        <v>4.0694399999999984</v>
      </c>
      <c r="I1053" s="103" t="s">
        <v>87</v>
      </c>
      <c r="J1053" s="50">
        <v>29000</v>
      </c>
      <c r="K1053" s="56"/>
      <c r="L1053" s="46">
        <f t="shared" si="53"/>
        <v>118013.75999999995</v>
      </c>
    </row>
    <row r="1054" spans="2:12" x14ac:dyDescent="0.35">
      <c r="B1054" s="96"/>
      <c r="C1054" s="97"/>
      <c r="D1054" s="98" t="s">
        <v>47</v>
      </c>
      <c r="E1054" s="99"/>
      <c r="F1054" s="100" t="s">
        <v>118</v>
      </c>
      <c r="G1054" s="101"/>
      <c r="H1054" s="102"/>
      <c r="I1054" s="103"/>
      <c r="J1054" s="65"/>
      <c r="K1054" s="65"/>
      <c r="L1054" s="46"/>
    </row>
    <row r="1055" spans="2:12" x14ac:dyDescent="0.35">
      <c r="B1055" s="96"/>
      <c r="C1055" s="97"/>
      <c r="D1055" s="98"/>
      <c r="E1055" s="99"/>
      <c r="F1055" s="100" t="s">
        <v>89</v>
      </c>
      <c r="G1055" s="101" t="s">
        <v>832</v>
      </c>
      <c r="H1055" s="102">
        <v>738.60335999999995</v>
      </c>
      <c r="I1055" s="103" t="s">
        <v>87</v>
      </c>
      <c r="J1055" s="50">
        <v>29000</v>
      </c>
      <c r="K1055" s="56"/>
      <c r="L1055" s="46">
        <f t="shared" ref="L1055:L1057" si="54">J1055*H1055</f>
        <v>21419497.439999998</v>
      </c>
    </row>
    <row r="1056" spans="2:12" x14ac:dyDescent="0.35">
      <c r="B1056" s="96"/>
      <c r="C1056" s="97"/>
      <c r="D1056" s="98"/>
      <c r="E1056" s="99"/>
      <c r="F1056" s="100" t="s">
        <v>89</v>
      </c>
      <c r="G1056" s="101" t="s">
        <v>833</v>
      </c>
      <c r="H1056" s="102">
        <v>23.06016</v>
      </c>
      <c r="I1056" s="103" t="s">
        <v>87</v>
      </c>
      <c r="J1056" s="50">
        <v>29000</v>
      </c>
      <c r="K1056" s="56"/>
      <c r="L1056" s="46">
        <f t="shared" si="54"/>
        <v>668744.64</v>
      </c>
    </row>
    <row r="1057" spans="2:12" x14ac:dyDescent="0.35">
      <c r="B1057" s="96"/>
      <c r="C1057" s="97"/>
      <c r="D1057" s="98"/>
      <c r="E1057" s="99"/>
      <c r="F1057" s="100" t="s">
        <v>89</v>
      </c>
      <c r="G1057" s="101" t="s">
        <v>834</v>
      </c>
      <c r="H1057" s="102">
        <v>2503.0447199999999</v>
      </c>
      <c r="I1057" s="103" t="s">
        <v>87</v>
      </c>
      <c r="J1057" s="50">
        <v>29000</v>
      </c>
      <c r="K1057" s="56"/>
      <c r="L1057" s="46">
        <f t="shared" si="54"/>
        <v>72588296.879999995</v>
      </c>
    </row>
    <row r="1058" spans="2:12" x14ac:dyDescent="0.35">
      <c r="B1058" s="96"/>
      <c r="C1058" s="97" t="s">
        <v>126</v>
      </c>
      <c r="D1058" s="98"/>
      <c r="E1058" s="99"/>
      <c r="F1058" s="100" t="s">
        <v>127</v>
      </c>
      <c r="G1058" s="101"/>
      <c r="H1058" s="102"/>
      <c r="I1058" s="103"/>
      <c r="J1058" s="65"/>
      <c r="K1058" s="65"/>
      <c r="L1058" s="46"/>
    </row>
    <row r="1059" spans="2:12" x14ac:dyDescent="0.35">
      <c r="B1059" s="96"/>
      <c r="C1059" s="97"/>
      <c r="D1059" s="98" t="s">
        <v>44</v>
      </c>
      <c r="E1059" s="99"/>
      <c r="F1059" s="100" t="s">
        <v>125</v>
      </c>
      <c r="G1059" s="101"/>
      <c r="H1059" s="102"/>
      <c r="I1059" s="103"/>
      <c r="J1059" s="65"/>
      <c r="K1059" s="65"/>
      <c r="L1059" s="46"/>
    </row>
    <row r="1060" spans="2:12" x14ac:dyDescent="0.35">
      <c r="B1060" s="96"/>
      <c r="C1060" s="97"/>
      <c r="D1060" s="98"/>
      <c r="E1060" s="99"/>
      <c r="F1060" s="100" t="s">
        <v>89</v>
      </c>
      <c r="G1060" s="101" t="s">
        <v>835</v>
      </c>
      <c r="H1060" s="102">
        <v>22.608000000000004</v>
      </c>
      <c r="I1060" s="103" t="s">
        <v>87</v>
      </c>
      <c r="J1060" s="50">
        <v>29000</v>
      </c>
      <c r="K1060" s="56"/>
      <c r="L1060" s="46">
        <f t="shared" ref="L1060:L1069" si="55">J1060*H1060</f>
        <v>655632.00000000012</v>
      </c>
    </row>
    <row r="1061" spans="2:12" x14ac:dyDescent="0.35">
      <c r="B1061" s="96"/>
      <c r="C1061" s="97"/>
      <c r="D1061" s="98"/>
      <c r="E1061" s="99"/>
      <c r="F1061" s="100" t="s">
        <v>89</v>
      </c>
      <c r="G1061" s="101" t="s">
        <v>836</v>
      </c>
      <c r="H1061" s="102">
        <v>9.4200000000000017</v>
      </c>
      <c r="I1061" s="103" t="s">
        <v>87</v>
      </c>
      <c r="J1061" s="50">
        <v>29000</v>
      </c>
      <c r="K1061" s="56"/>
      <c r="L1061" s="46">
        <f t="shared" si="55"/>
        <v>273180.00000000006</v>
      </c>
    </row>
    <row r="1062" spans="2:12" x14ac:dyDescent="0.35">
      <c r="B1062" s="96"/>
      <c r="C1062" s="97"/>
      <c r="D1062" s="98"/>
      <c r="E1062" s="99"/>
      <c r="F1062" s="100" t="s">
        <v>89</v>
      </c>
      <c r="G1062" s="101" t="s">
        <v>837</v>
      </c>
      <c r="H1062" s="102">
        <v>62.92560000000001</v>
      </c>
      <c r="I1062" s="103" t="s">
        <v>87</v>
      </c>
      <c r="J1062" s="50">
        <v>29000</v>
      </c>
      <c r="K1062" s="56"/>
      <c r="L1062" s="46">
        <f t="shared" si="55"/>
        <v>1824842.4000000004</v>
      </c>
    </row>
    <row r="1063" spans="2:12" x14ac:dyDescent="0.35">
      <c r="B1063" s="96"/>
      <c r="C1063" s="97"/>
      <c r="D1063" s="98"/>
      <c r="E1063" s="99"/>
      <c r="F1063" s="100" t="s">
        <v>89</v>
      </c>
      <c r="G1063" s="101" t="s">
        <v>838</v>
      </c>
      <c r="H1063" s="102">
        <v>9.0432000000000006</v>
      </c>
      <c r="I1063" s="103" t="s">
        <v>87</v>
      </c>
      <c r="J1063" s="50">
        <v>29000</v>
      </c>
      <c r="K1063" s="56"/>
      <c r="L1063" s="46">
        <f t="shared" si="55"/>
        <v>262252.79999999999</v>
      </c>
    </row>
    <row r="1064" spans="2:12" x14ac:dyDescent="0.35">
      <c r="B1064" s="96"/>
      <c r="C1064" s="97"/>
      <c r="D1064" s="98"/>
      <c r="E1064" s="99"/>
      <c r="F1064" s="100" t="s">
        <v>89</v>
      </c>
      <c r="G1064" s="101" t="s">
        <v>839</v>
      </c>
      <c r="H1064" s="102">
        <v>13.188000000000002</v>
      </c>
      <c r="I1064" s="103" t="s">
        <v>87</v>
      </c>
      <c r="J1064" s="50">
        <v>29000</v>
      </c>
      <c r="K1064" s="56"/>
      <c r="L1064" s="46">
        <f t="shared" si="55"/>
        <v>382452.00000000006</v>
      </c>
    </row>
    <row r="1065" spans="2:12" x14ac:dyDescent="0.35">
      <c r="B1065" s="96"/>
      <c r="C1065" s="97"/>
      <c r="D1065" s="98"/>
      <c r="E1065" s="99"/>
      <c r="F1065" s="100" t="s">
        <v>89</v>
      </c>
      <c r="G1065" s="101" t="s">
        <v>403</v>
      </c>
      <c r="H1065" s="102">
        <v>215.56799999999998</v>
      </c>
      <c r="I1065" s="103" t="s">
        <v>87</v>
      </c>
      <c r="J1065" s="50">
        <v>29000</v>
      </c>
      <c r="K1065" s="56"/>
      <c r="L1065" s="46">
        <f t="shared" si="55"/>
        <v>6251471.9999999991</v>
      </c>
    </row>
    <row r="1066" spans="2:12" x14ac:dyDescent="0.35">
      <c r="B1066" s="96"/>
      <c r="C1066" s="97"/>
      <c r="D1066" s="98"/>
      <c r="E1066" s="99"/>
      <c r="F1066" s="100" t="s">
        <v>89</v>
      </c>
      <c r="G1066" s="101" t="s">
        <v>840</v>
      </c>
      <c r="H1066" s="102">
        <v>189.81959999999998</v>
      </c>
      <c r="I1066" s="103" t="s">
        <v>87</v>
      </c>
      <c r="J1066" s="50">
        <v>29000</v>
      </c>
      <c r="K1066" s="56"/>
      <c r="L1066" s="46">
        <f t="shared" si="55"/>
        <v>5504768.3999999994</v>
      </c>
    </row>
    <row r="1067" spans="2:12" x14ac:dyDescent="0.35">
      <c r="B1067" s="96"/>
      <c r="C1067" s="97"/>
      <c r="D1067" s="98"/>
      <c r="E1067" s="99"/>
      <c r="F1067" s="100" t="s">
        <v>89</v>
      </c>
      <c r="G1067" s="101" t="s">
        <v>841</v>
      </c>
      <c r="H1067" s="102">
        <v>24.021000000000001</v>
      </c>
      <c r="I1067" s="103" t="s">
        <v>87</v>
      </c>
      <c r="J1067" s="50">
        <v>29000</v>
      </c>
      <c r="K1067" s="56"/>
      <c r="L1067" s="46">
        <f t="shared" si="55"/>
        <v>696609</v>
      </c>
    </row>
    <row r="1068" spans="2:12" x14ac:dyDescent="0.35">
      <c r="B1068" s="96"/>
      <c r="C1068" s="97"/>
      <c r="D1068" s="98"/>
      <c r="E1068" s="99"/>
      <c r="F1068" s="100" t="s">
        <v>89</v>
      </c>
      <c r="G1068" s="101" t="s">
        <v>406</v>
      </c>
      <c r="H1068" s="102">
        <v>215.56799999999998</v>
      </c>
      <c r="I1068" s="103" t="s">
        <v>87</v>
      </c>
      <c r="J1068" s="50">
        <v>29000</v>
      </c>
      <c r="K1068" s="56"/>
      <c r="L1068" s="46">
        <f t="shared" si="55"/>
        <v>6251471.9999999991</v>
      </c>
    </row>
    <row r="1069" spans="2:12" x14ac:dyDescent="0.35">
      <c r="B1069" s="96"/>
      <c r="C1069" s="97"/>
      <c r="D1069" s="98"/>
      <c r="E1069" s="99"/>
      <c r="F1069" s="100" t="s">
        <v>89</v>
      </c>
      <c r="G1069" s="101" t="s">
        <v>842</v>
      </c>
      <c r="H1069" s="102">
        <v>189.81959999999998</v>
      </c>
      <c r="I1069" s="103" t="s">
        <v>87</v>
      </c>
      <c r="J1069" s="50">
        <v>29000</v>
      </c>
      <c r="K1069" s="56"/>
      <c r="L1069" s="46">
        <f t="shared" si="55"/>
        <v>5504768.3999999994</v>
      </c>
    </row>
    <row r="1070" spans="2:12" x14ac:dyDescent="0.35">
      <c r="B1070" s="96"/>
      <c r="C1070" s="97"/>
      <c r="D1070" s="98" t="s">
        <v>47</v>
      </c>
      <c r="E1070" s="99"/>
      <c r="F1070" s="100" t="s">
        <v>128</v>
      </c>
      <c r="G1070" s="101"/>
      <c r="H1070" s="102"/>
      <c r="I1070" s="103"/>
      <c r="J1070" s="65"/>
      <c r="K1070" s="65"/>
      <c r="L1070" s="46"/>
    </row>
    <row r="1071" spans="2:12" x14ac:dyDescent="0.35">
      <c r="B1071" s="96"/>
      <c r="C1071" s="97"/>
      <c r="D1071" s="98"/>
      <c r="E1071" s="99"/>
      <c r="F1071" s="100" t="s">
        <v>89</v>
      </c>
      <c r="G1071" s="101" t="s">
        <v>843</v>
      </c>
      <c r="H1071" s="102">
        <v>546.32231999999999</v>
      </c>
      <c r="I1071" s="103" t="s">
        <v>87</v>
      </c>
      <c r="J1071" s="50">
        <v>29000</v>
      </c>
      <c r="K1071" s="56"/>
      <c r="L1071" s="46">
        <f t="shared" ref="L1071:L1075" si="56">J1071*H1071</f>
        <v>15843347.279999999</v>
      </c>
    </row>
    <row r="1072" spans="2:12" x14ac:dyDescent="0.35">
      <c r="B1072" s="96"/>
      <c r="C1072" s="97"/>
      <c r="D1072" s="98"/>
      <c r="E1072" s="99"/>
      <c r="F1072" s="100" t="s">
        <v>89</v>
      </c>
      <c r="G1072" s="101" t="s">
        <v>844</v>
      </c>
      <c r="H1072" s="102">
        <v>242.13168000000002</v>
      </c>
      <c r="I1072" s="103" t="s">
        <v>87</v>
      </c>
      <c r="J1072" s="50">
        <v>29000</v>
      </c>
      <c r="K1072" s="56"/>
      <c r="L1072" s="46">
        <f t="shared" si="56"/>
        <v>7021818.7200000007</v>
      </c>
    </row>
    <row r="1073" spans="2:12" x14ac:dyDescent="0.35">
      <c r="B1073" s="96"/>
      <c r="C1073" s="97"/>
      <c r="D1073" s="98"/>
      <c r="E1073" s="99"/>
      <c r="F1073" s="100" t="s">
        <v>89</v>
      </c>
      <c r="G1073" s="101" t="s">
        <v>845</v>
      </c>
      <c r="H1073" s="102">
        <v>406.19039999999995</v>
      </c>
      <c r="I1073" s="103" t="s">
        <v>87</v>
      </c>
      <c r="J1073" s="50">
        <v>29000</v>
      </c>
      <c r="K1073" s="56"/>
      <c r="L1073" s="46">
        <f t="shared" si="56"/>
        <v>11779521.599999998</v>
      </c>
    </row>
    <row r="1074" spans="2:12" x14ac:dyDescent="0.35">
      <c r="B1074" s="96"/>
      <c r="C1074" s="97"/>
      <c r="D1074" s="98"/>
      <c r="E1074" s="99"/>
      <c r="F1074" s="100" t="s">
        <v>89</v>
      </c>
      <c r="G1074" s="101" t="s">
        <v>846</v>
      </c>
      <c r="H1074" s="102">
        <v>29.541119999999999</v>
      </c>
      <c r="I1074" s="103" t="s">
        <v>87</v>
      </c>
      <c r="J1074" s="50">
        <v>29000</v>
      </c>
      <c r="K1074" s="56"/>
      <c r="L1074" s="46">
        <f t="shared" si="56"/>
        <v>856692.48</v>
      </c>
    </row>
    <row r="1075" spans="2:12" x14ac:dyDescent="0.35">
      <c r="B1075" s="96"/>
      <c r="C1075" s="97"/>
      <c r="D1075" s="98"/>
      <c r="E1075" s="99"/>
      <c r="F1075" s="100" t="s">
        <v>89</v>
      </c>
      <c r="G1075" s="101" t="s">
        <v>847</v>
      </c>
      <c r="H1075" s="102">
        <v>42.39</v>
      </c>
      <c r="I1075" s="103" t="s">
        <v>87</v>
      </c>
      <c r="J1075" s="50">
        <v>29000</v>
      </c>
      <c r="K1075" s="56"/>
      <c r="L1075" s="46">
        <f t="shared" si="56"/>
        <v>1229310</v>
      </c>
    </row>
    <row r="1076" spans="2:12" x14ac:dyDescent="0.35">
      <c r="B1076" s="96"/>
      <c r="C1076" s="97"/>
      <c r="D1076" s="98"/>
      <c r="E1076" s="99"/>
      <c r="F1076" s="100"/>
      <c r="G1076" s="101"/>
      <c r="H1076" s="102"/>
      <c r="I1076" s="103"/>
      <c r="J1076" s="50"/>
      <c r="K1076" s="56"/>
      <c r="L1076" s="46"/>
    </row>
    <row r="1077" spans="2:12" x14ac:dyDescent="0.35">
      <c r="B1077" s="47"/>
      <c r="C1077" s="48"/>
      <c r="D1077" s="24"/>
      <c r="G1077" s="22"/>
      <c r="I1077" s="22"/>
      <c r="J1077" s="50"/>
      <c r="K1077" s="29"/>
      <c r="L1077" s="52"/>
    </row>
    <row r="1078" spans="2:12" x14ac:dyDescent="0.35">
      <c r="B1078" s="8"/>
      <c r="C1078" s="9"/>
      <c r="D1078" s="10"/>
      <c r="E1078" s="4"/>
      <c r="F1078" s="4"/>
      <c r="G1078" s="4"/>
      <c r="H1078" s="1"/>
      <c r="I1078" s="1"/>
      <c r="J1078" s="11" t="s">
        <v>8</v>
      </c>
      <c r="K1078" s="7">
        <f>SUM(K1025:K1077)</f>
        <v>0</v>
      </c>
      <c r="L1078" s="7">
        <f>SUM(L1025:L1077)</f>
        <v>197207680.47600001</v>
      </c>
    </row>
    <row r="1079" spans="2:12" x14ac:dyDescent="0.35">
      <c r="B1079" s="8"/>
      <c r="C1079" s="9"/>
      <c r="D1079" s="9"/>
      <c r="E1079" s="4"/>
      <c r="F1079" s="4"/>
      <c r="G1079" s="4"/>
      <c r="H1079" s="1"/>
      <c r="I1079" s="1"/>
      <c r="J1079" s="11"/>
      <c r="K1079" s="35" t="s">
        <v>22</v>
      </c>
      <c r="L1079" s="36" t="s">
        <v>23</v>
      </c>
    </row>
    <row r="1080" spans="2:12" x14ac:dyDescent="0.35">
      <c r="B1080" s="3" t="s">
        <v>9</v>
      </c>
      <c r="C1080" s="4"/>
      <c r="D1080" s="4"/>
      <c r="E1080" s="4"/>
      <c r="F1080" s="4"/>
      <c r="G1080" s="4"/>
      <c r="H1080" s="1"/>
      <c r="I1080" s="1"/>
      <c r="J1080" s="12"/>
      <c r="K1080" s="12"/>
      <c r="L1080" s="13"/>
    </row>
    <row r="1081" spans="2:12" x14ac:dyDescent="0.35">
      <c r="B1081" s="37"/>
      <c r="C1081" s="1"/>
      <c r="D1081" s="1"/>
      <c r="E1081" s="38"/>
      <c r="F1081" s="38"/>
      <c r="G1081" s="38"/>
      <c r="H1081" s="1"/>
      <c r="I1081" s="1"/>
      <c r="J1081" s="1"/>
      <c r="K1081" s="1"/>
      <c r="L1081" s="19"/>
    </row>
    <row r="1082" spans="2:12" x14ac:dyDescent="0.35">
      <c r="B1082" s="28" t="s">
        <v>6</v>
      </c>
      <c r="C1082" s="27"/>
      <c r="D1082" s="27"/>
      <c r="E1082" s="26"/>
      <c r="F1082" s="26"/>
      <c r="G1082" s="5"/>
      <c r="K1082" s="284" t="s">
        <v>1600</v>
      </c>
      <c r="L1082" s="285"/>
    </row>
    <row r="1083" spans="2:12" x14ac:dyDescent="0.35">
      <c r="B1083" s="28">
        <v>1</v>
      </c>
      <c r="C1083" s="27"/>
      <c r="D1083" s="27"/>
      <c r="E1083" s="26" t="s">
        <v>7</v>
      </c>
      <c r="F1083" s="26"/>
      <c r="G1083" s="5"/>
      <c r="K1083" s="284" t="s">
        <v>28</v>
      </c>
      <c r="L1083" s="285"/>
    </row>
    <row r="1084" spans="2:12" x14ac:dyDescent="0.35">
      <c r="B1084" s="39"/>
      <c r="C1084" s="27"/>
      <c r="D1084" s="27"/>
      <c r="E1084" s="26"/>
      <c r="F1084" s="26"/>
      <c r="G1084" s="5"/>
      <c r="J1084" s="25"/>
      <c r="K1084" s="25"/>
      <c r="L1084" s="24"/>
    </row>
    <row r="1085" spans="2:12" x14ac:dyDescent="0.35">
      <c r="B1085" s="28"/>
      <c r="C1085" s="27"/>
      <c r="D1085" s="27"/>
      <c r="E1085" s="26"/>
      <c r="F1085" s="26"/>
      <c r="G1085" s="5"/>
      <c r="L1085" s="22"/>
    </row>
    <row r="1086" spans="2:12" x14ac:dyDescent="0.35">
      <c r="B1086" s="45"/>
      <c r="E1086" s="5"/>
      <c r="F1086" s="5"/>
      <c r="G1086" s="5"/>
      <c r="L1086" s="22"/>
    </row>
    <row r="1087" spans="2:12" x14ac:dyDescent="0.35">
      <c r="B1087" s="45"/>
      <c r="E1087" s="5"/>
      <c r="F1087" s="5"/>
      <c r="G1087" s="5"/>
      <c r="L1087" s="22"/>
    </row>
    <row r="1088" spans="2:12" x14ac:dyDescent="0.35">
      <c r="B1088" s="45"/>
      <c r="E1088" s="5"/>
      <c r="F1088" s="5"/>
      <c r="G1088" s="5"/>
      <c r="L1088" s="22"/>
    </row>
    <row r="1089" spans="2:14" x14ac:dyDescent="0.35">
      <c r="B1089" s="45"/>
      <c r="E1089" s="5"/>
      <c r="F1089" s="5"/>
      <c r="G1089" s="5"/>
      <c r="J1089" s="40"/>
      <c r="K1089" s="286" t="s">
        <v>36</v>
      </c>
      <c r="L1089" s="287"/>
    </row>
    <row r="1090" spans="2:14" x14ac:dyDescent="0.35">
      <c r="B1090" s="45"/>
      <c r="K1090" s="288" t="s">
        <v>37</v>
      </c>
      <c r="L1090" s="289"/>
    </row>
    <row r="1091" spans="2:14" x14ac:dyDescent="0.35">
      <c r="B1091" s="290"/>
      <c r="C1091" s="291"/>
      <c r="D1091" s="291"/>
      <c r="E1091" s="41"/>
      <c r="F1091" s="41"/>
      <c r="G1091" s="41"/>
      <c r="H1091" s="2"/>
      <c r="I1091" s="2"/>
      <c r="J1091" s="2"/>
      <c r="K1091" s="2"/>
      <c r="L1091" s="21"/>
    </row>
    <row r="1092" spans="2:14" x14ac:dyDescent="0.35">
      <c r="B1092" s="47"/>
      <c r="C1092" s="48"/>
      <c r="D1092" s="49"/>
      <c r="G1092" s="22"/>
      <c r="H1092" s="1"/>
      <c r="I1092" s="1"/>
      <c r="J1092" s="43"/>
      <c r="K1092" s="30"/>
      <c r="L1092" s="44"/>
    </row>
    <row r="1093" spans="2:14" x14ac:dyDescent="0.35">
      <c r="B1093" s="96"/>
      <c r="C1093" s="97"/>
      <c r="D1093" s="98"/>
      <c r="E1093" s="99"/>
      <c r="F1093" s="100" t="s">
        <v>89</v>
      </c>
      <c r="G1093" s="101" t="s">
        <v>848</v>
      </c>
      <c r="H1093" s="102">
        <v>8.4779999999999998</v>
      </c>
      <c r="I1093" s="103" t="s">
        <v>87</v>
      </c>
      <c r="J1093" s="50">
        <v>29000</v>
      </c>
      <c r="K1093" s="56"/>
      <c r="L1093" s="46">
        <f t="shared" ref="L1093:L1095" si="57">J1093*H1093</f>
        <v>245862</v>
      </c>
    </row>
    <row r="1094" spans="2:14" x14ac:dyDescent="0.35">
      <c r="B1094" s="96"/>
      <c r="C1094" s="97"/>
      <c r="D1094" s="98"/>
      <c r="E1094" s="99"/>
      <c r="F1094" s="100" t="s">
        <v>89</v>
      </c>
      <c r="G1094" s="101" t="s">
        <v>849</v>
      </c>
      <c r="H1094" s="102">
        <v>3.8433599999999992</v>
      </c>
      <c r="I1094" s="103" t="s">
        <v>87</v>
      </c>
      <c r="J1094" s="50">
        <v>29000</v>
      </c>
      <c r="K1094" s="56"/>
      <c r="L1094" s="46">
        <f t="shared" si="57"/>
        <v>111457.43999999997</v>
      </c>
    </row>
    <row r="1095" spans="2:14" x14ac:dyDescent="0.35">
      <c r="B1095" s="96"/>
      <c r="C1095" s="97"/>
      <c r="D1095" s="98" t="s">
        <v>49</v>
      </c>
      <c r="E1095" s="99"/>
      <c r="F1095" s="100" t="s">
        <v>118</v>
      </c>
      <c r="G1095" s="101"/>
      <c r="H1095" s="104">
        <v>1</v>
      </c>
      <c r="I1095" s="103" t="s">
        <v>133</v>
      </c>
      <c r="J1095" s="65">
        <v>3250000</v>
      </c>
      <c r="K1095" s="65"/>
      <c r="L1095" s="46">
        <f t="shared" si="57"/>
        <v>3250000</v>
      </c>
    </row>
    <row r="1096" spans="2:14" x14ac:dyDescent="0.35">
      <c r="B1096" s="96"/>
      <c r="C1096" s="97"/>
      <c r="D1096" s="98"/>
      <c r="E1096" s="99"/>
      <c r="F1096" s="100" t="s">
        <v>89</v>
      </c>
      <c r="G1096" s="101" t="s">
        <v>850</v>
      </c>
      <c r="H1096" s="102"/>
      <c r="I1096" s="103"/>
      <c r="J1096" s="50"/>
      <c r="K1096" s="56"/>
      <c r="L1096" s="46"/>
      <c r="M1096" s="105">
        <v>393379.19999999995</v>
      </c>
    </row>
    <row r="1097" spans="2:14" x14ac:dyDescent="0.35">
      <c r="B1097" s="96"/>
      <c r="C1097" s="97"/>
      <c r="D1097" s="98"/>
      <c r="E1097" s="99"/>
      <c r="F1097" s="100" t="s">
        <v>89</v>
      </c>
      <c r="G1097" s="101" t="s">
        <v>851</v>
      </c>
      <c r="H1097" s="102"/>
      <c r="I1097" s="103"/>
      <c r="J1097" s="50"/>
      <c r="K1097" s="56"/>
      <c r="L1097" s="46"/>
      <c r="M1097" s="105">
        <v>394253.37599999987</v>
      </c>
    </row>
    <row r="1098" spans="2:14" x14ac:dyDescent="0.35">
      <c r="B1098" s="96"/>
      <c r="C1098" s="97"/>
      <c r="D1098" s="98"/>
      <c r="E1098" s="99"/>
      <c r="F1098" s="100" t="s">
        <v>89</v>
      </c>
      <c r="G1098" s="101" t="s">
        <v>852</v>
      </c>
      <c r="H1098" s="102"/>
      <c r="I1098" s="103"/>
      <c r="J1098" s="50"/>
      <c r="K1098" s="56"/>
      <c r="L1098" s="46"/>
      <c r="M1098" s="105">
        <v>918066.91999999993</v>
      </c>
    </row>
    <row r="1099" spans="2:14" x14ac:dyDescent="0.35">
      <c r="B1099" s="96"/>
      <c r="C1099" s="97"/>
      <c r="D1099" s="98"/>
      <c r="E1099" s="99"/>
      <c r="F1099" s="100" t="s">
        <v>89</v>
      </c>
      <c r="G1099" s="101" t="s">
        <v>853</v>
      </c>
      <c r="H1099" s="102"/>
      <c r="I1099" s="103"/>
      <c r="J1099" s="50"/>
      <c r="K1099" s="56"/>
      <c r="L1099" s="46"/>
      <c r="M1099" s="105">
        <v>764904</v>
      </c>
      <c r="N1099" s="105">
        <v>3211784.5447999998</v>
      </c>
    </row>
    <row r="1100" spans="2:14" x14ac:dyDescent="0.35">
      <c r="B1100" s="96"/>
      <c r="C1100" s="97"/>
      <c r="D1100" s="98" t="s">
        <v>62</v>
      </c>
      <c r="E1100" s="99"/>
      <c r="F1100" s="100" t="s">
        <v>854</v>
      </c>
      <c r="G1100" s="101"/>
      <c r="H1100" s="104">
        <v>1</v>
      </c>
      <c r="I1100" s="103" t="s">
        <v>133</v>
      </c>
      <c r="J1100" s="65">
        <v>250000</v>
      </c>
      <c r="K1100" s="65"/>
      <c r="L1100" s="46">
        <f t="shared" ref="L1100" si="58">J1100*H1100</f>
        <v>250000</v>
      </c>
    </row>
    <row r="1101" spans="2:14" x14ac:dyDescent="0.35">
      <c r="B1101" s="96"/>
      <c r="C1101" s="97"/>
      <c r="D1101" s="98"/>
      <c r="E1101" s="99"/>
      <c r="F1101" s="100" t="s">
        <v>89</v>
      </c>
      <c r="G1101" s="101" t="s">
        <v>855</v>
      </c>
      <c r="H1101" s="102"/>
      <c r="I1101" s="103"/>
      <c r="J1101" s="50"/>
      <c r="K1101" s="56"/>
      <c r="L1101" s="46"/>
      <c r="M1101" s="105">
        <v>70808.255999999979</v>
      </c>
    </row>
    <row r="1102" spans="2:14" x14ac:dyDescent="0.35">
      <c r="B1102" s="96"/>
      <c r="C1102" s="97"/>
      <c r="D1102" s="98"/>
      <c r="E1102" s="99"/>
      <c r="F1102" s="100" t="s">
        <v>89</v>
      </c>
      <c r="G1102" s="101" t="s">
        <v>856</v>
      </c>
      <c r="H1102" s="104"/>
      <c r="I1102" s="103"/>
      <c r="J1102" s="65"/>
      <c r="K1102" s="65"/>
      <c r="L1102" s="46"/>
      <c r="M1102" s="105">
        <v>35000</v>
      </c>
      <c r="N1102" s="105">
        <v>137550.73279999997</v>
      </c>
    </row>
    <row r="1103" spans="2:14" x14ac:dyDescent="0.35">
      <c r="B1103" s="88"/>
      <c r="C1103" s="89"/>
      <c r="D1103" s="90"/>
      <c r="E1103" s="91"/>
      <c r="F1103" s="92"/>
      <c r="G1103" s="93"/>
      <c r="H1103" s="94"/>
      <c r="I1103" s="95"/>
      <c r="J1103" s="65"/>
      <c r="K1103" s="65"/>
      <c r="L1103" s="46"/>
    </row>
    <row r="1104" spans="2:14" x14ac:dyDescent="0.35">
      <c r="B1104" s="96"/>
      <c r="C1104" s="97" t="s">
        <v>1518</v>
      </c>
      <c r="D1104" s="98"/>
      <c r="E1104" s="272"/>
      <c r="F1104" s="273" t="s">
        <v>1519</v>
      </c>
      <c r="G1104" s="274"/>
      <c r="H1104" s="102"/>
      <c r="I1104" s="103"/>
      <c r="J1104" s="65"/>
      <c r="K1104" s="65"/>
      <c r="L1104" s="46"/>
    </row>
    <row r="1105" spans="2:14" x14ac:dyDescent="0.35">
      <c r="B1105" s="96"/>
      <c r="C1105" s="97"/>
      <c r="D1105" s="98"/>
      <c r="E1105" s="99"/>
      <c r="F1105" s="100" t="s">
        <v>89</v>
      </c>
      <c r="G1105" s="101" t="s">
        <v>1524</v>
      </c>
      <c r="H1105" s="102">
        <v>216.16679999999999</v>
      </c>
      <c r="I1105" s="103" t="s">
        <v>87</v>
      </c>
      <c r="J1105" s="65">
        <v>12000</v>
      </c>
      <c r="K1105" s="65">
        <f>J1105*H1105</f>
        <v>2594001.6</v>
      </c>
      <c r="L1105" s="46"/>
    </row>
    <row r="1106" spans="2:14" x14ac:dyDescent="0.35">
      <c r="B1106" s="96"/>
      <c r="C1106" s="97"/>
      <c r="D1106" s="98"/>
      <c r="E1106" s="99"/>
      <c r="F1106" s="100" t="s">
        <v>89</v>
      </c>
      <c r="G1106" s="101" t="s">
        <v>1525</v>
      </c>
      <c r="H1106" s="102">
        <v>185.62799999999999</v>
      </c>
      <c r="I1106" s="103" t="s">
        <v>87</v>
      </c>
      <c r="J1106" s="65">
        <v>12000</v>
      </c>
      <c r="K1106" s="65">
        <f t="shared" ref="K1106:K1137" si="59">J1106*H1106</f>
        <v>2227536</v>
      </c>
      <c r="L1106" s="46"/>
      <c r="M1106" s="14"/>
    </row>
    <row r="1107" spans="2:14" x14ac:dyDescent="0.35">
      <c r="B1107" s="96"/>
      <c r="C1107" s="97"/>
      <c r="D1107" s="98"/>
      <c r="E1107" s="99"/>
      <c r="F1107" s="100" t="s">
        <v>89</v>
      </c>
      <c r="G1107" s="101" t="s">
        <v>1526</v>
      </c>
      <c r="H1107" s="102">
        <v>216.16679999999999</v>
      </c>
      <c r="I1107" s="103" t="s">
        <v>87</v>
      </c>
      <c r="J1107" s="65">
        <v>12000</v>
      </c>
      <c r="K1107" s="65">
        <f t="shared" si="59"/>
        <v>2594001.6</v>
      </c>
      <c r="L1107" s="46"/>
      <c r="M1107" s="14"/>
    </row>
    <row r="1108" spans="2:14" x14ac:dyDescent="0.35">
      <c r="B1108" s="96"/>
      <c r="C1108" s="97"/>
      <c r="D1108" s="98"/>
      <c r="E1108" s="99"/>
      <c r="F1108" s="100" t="s">
        <v>89</v>
      </c>
      <c r="G1108" s="101" t="s">
        <v>1527</v>
      </c>
      <c r="H1108" s="102">
        <v>185.62799999999999</v>
      </c>
      <c r="I1108" s="103" t="s">
        <v>87</v>
      </c>
      <c r="J1108" s="65">
        <v>12000</v>
      </c>
      <c r="K1108" s="65">
        <f t="shared" si="59"/>
        <v>2227536</v>
      </c>
      <c r="L1108" s="46"/>
      <c r="M1108" s="14"/>
    </row>
    <row r="1109" spans="2:14" x14ac:dyDescent="0.35">
      <c r="B1109" s="96"/>
      <c r="C1109" s="97"/>
      <c r="D1109" s="98"/>
      <c r="E1109" s="99"/>
      <c r="F1109" s="100" t="s">
        <v>89</v>
      </c>
      <c r="G1109" s="101" t="s">
        <v>1528</v>
      </c>
      <c r="H1109" s="102">
        <v>185.62799999999999</v>
      </c>
      <c r="I1109" s="103" t="s">
        <v>87</v>
      </c>
      <c r="J1109" s="65">
        <v>12000</v>
      </c>
      <c r="K1109" s="65">
        <f t="shared" si="59"/>
        <v>2227536</v>
      </c>
      <c r="L1109" s="46"/>
      <c r="M1109" s="14"/>
      <c r="N1109" s="261"/>
    </row>
    <row r="1110" spans="2:14" x14ac:dyDescent="0.35">
      <c r="B1110" s="96"/>
      <c r="C1110" s="97"/>
      <c r="D1110" s="98"/>
      <c r="E1110" s="99"/>
      <c r="F1110" s="100" t="s">
        <v>89</v>
      </c>
      <c r="G1110" s="101" t="s">
        <v>1529</v>
      </c>
      <c r="H1110" s="102">
        <v>216.16679999999999</v>
      </c>
      <c r="I1110" s="103" t="s">
        <v>87</v>
      </c>
      <c r="J1110" s="65">
        <v>12000</v>
      </c>
      <c r="K1110" s="65">
        <f t="shared" si="59"/>
        <v>2594001.6</v>
      </c>
      <c r="L1110" s="46"/>
    </row>
    <row r="1111" spans="2:14" x14ac:dyDescent="0.35">
      <c r="B1111" s="96"/>
      <c r="C1111" s="97"/>
      <c r="D1111" s="98"/>
      <c r="E1111" s="99"/>
      <c r="F1111" s="100" t="s">
        <v>89</v>
      </c>
      <c r="G1111" s="101" t="s">
        <v>1530</v>
      </c>
      <c r="H1111" s="102">
        <v>185.62799999999999</v>
      </c>
      <c r="I1111" s="103" t="s">
        <v>87</v>
      </c>
      <c r="J1111" s="65">
        <v>12000</v>
      </c>
      <c r="K1111" s="65">
        <f t="shared" si="59"/>
        <v>2227536</v>
      </c>
      <c r="L1111" s="46"/>
      <c r="M1111" s="14"/>
    </row>
    <row r="1112" spans="2:14" x14ac:dyDescent="0.35">
      <c r="B1112" s="96"/>
      <c r="C1112" s="97"/>
      <c r="D1112" s="98"/>
      <c r="E1112" s="99"/>
      <c r="F1112" s="100" t="s">
        <v>89</v>
      </c>
      <c r="G1112" s="101" t="s">
        <v>1531</v>
      </c>
      <c r="H1112" s="102">
        <v>216.16679999999999</v>
      </c>
      <c r="I1112" s="103" t="s">
        <v>87</v>
      </c>
      <c r="J1112" s="65">
        <v>12000</v>
      </c>
      <c r="K1112" s="65">
        <f t="shared" si="59"/>
        <v>2594001.6</v>
      </c>
      <c r="L1112" s="46"/>
      <c r="M1112" s="14"/>
    </row>
    <row r="1113" spans="2:14" x14ac:dyDescent="0.35">
      <c r="B1113" s="96"/>
      <c r="C1113" s="97"/>
      <c r="D1113" s="98"/>
      <c r="E1113" s="99"/>
      <c r="F1113" s="100" t="s">
        <v>89</v>
      </c>
      <c r="G1113" s="101" t="s">
        <v>1532</v>
      </c>
      <c r="H1113" s="102">
        <v>185.62799999999999</v>
      </c>
      <c r="I1113" s="103" t="s">
        <v>87</v>
      </c>
      <c r="J1113" s="65">
        <v>12000</v>
      </c>
      <c r="K1113" s="65">
        <f t="shared" si="59"/>
        <v>2227536</v>
      </c>
      <c r="L1113" s="46"/>
      <c r="M1113" s="14"/>
    </row>
    <row r="1114" spans="2:14" x14ac:dyDescent="0.35">
      <c r="B1114" s="96"/>
      <c r="C1114" s="97"/>
      <c r="D1114" s="98"/>
      <c r="E1114" s="99"/>
      <c r="F1114" s="100" t="s">
        <v>89</v>
      </c>
      <c r="G1114" s="101" t="s">
        <v>1533</v>
      </c>
      <c r="H1114" s="102">
        <v>185.62799999999999</v>
      </c>
      <c r="I1114" s="103" t="s">
        <v>87</v>
      </c>
      <c r="J1114" s="65">
        <v>12000</v>
      </c>
      <c r="K1114" s="65">
        <f t="shared" si="59"/>
        <v>2227536</v>
      </c>
      <c r="L1114" s="46"/>
      <c r="M1114" s="14"/>
      <c r="N1114" s="261"/>
    </row>
    <row r="1115" spans="2:14" x14ac:dyDescent="0.35">
      <c r="B1115" s="96"/>
      <c r="C1115" s="97"/>
      <c r="D1115" s="98"/>
      <c r="E1115" s="99"/>
      <c r="F1115" s="100" t="s">
        <v>89</v>
      </c>
      <c r="G1115" s="101" t="s">
        <v>1534</v>
      </c>
      <c r="H1115" s="102">
        <v>216.16679999999999</v>
      </c>
      <c r="I1115" s="103" t="s">
        <v>87</v>
      </c>
      <c r="J1115" s="65">
        <v>12000</v>
      </c>
      <c r="K1115" s="65">
        <f t="shared" si="59"/>
        <v>2594001.6</v>
      </c>
      <c r="L1115" s="46"/>
    </row>
    <row r="1116" spans="2:14" x14ac:dyDescent="0.35">
      <c r="B1116" s="96"/>
      <c r="C1116" s="97"/>
      <c r="D1116" s="98"/>
      <c r="E1116" s="99"/>
      <c r="F1116" s="100" t="s">
        <v>89</v>
      </c>
      <c r="G1116" s="101" t="s">
        <v>1535</v>
      </c>
      <c r="H1116" s="102">
        <v>185.62799999999999</v>
      </c>
      <c r="I1116" s="103" t="s">
        <v>87</v>
      </c>
      <c r="J1116" s="65">
        <v>12000</v>
      </c>
      <c r="K1116" s="65">
        <f t="shared" si="59"/>
        <v>2227536</v>
      </c>
      <c r="L1116" s="46"/>
      <c r="M1116" s="14"/>
    </row>
    <row r="1117" spans="2:14" x14ac:dyDescent="0.35">
      <c r="B1117" s="96"/>
      <c r="C1117" s="97"/>
      <c r="D1117" s="98"/>
      <c r="E1117" s="99"/>
      <c r="F1117" s="100" t="s">
        <v>89</v>
      </c>
      <c r="G1117" s="101" t="s">
        <v>1536</v>
      </c>
      <c r="H1117" s="102">
        <v>185.62799999999999</v>
      </c>
      <c r="I1117" s="103" t="s">
        <v>87</v>
      </c>
      <c r="J1117" s="65">
        <v>12000</v>
      </c>
      <c r="K1117" s="65">
        <f t="shared" si="59"/>
        <v>2227536</v>
      </c>
      <c r="L1117" s="46"/>
      <c r="M1117" s="14"/>
    </row>
    <row r="1118" spans="2:14" x14ac:dyDescent="0.35">
      <c r="B1118" s="96"/>
      <c r="C1118" s="97"/>
      <c r="D1118" s="98"/>
      <c r="E1118" s="99"/>
      <c r="F1118" s="100" t="s">
        <v>89</v>
      </c>
      <c r="G1118" s="101" t="s">
        <v>1537</v>
      </c>
      <c r="H1118" s="102">
        <v>216.16679999999999</v>
      </c>
      <c r="I1118" s="103" t="s">
        <v>87</v>
      </c>
      <c r="J1118" s="65">
        <v>12000</v>
      </c>
      <c r="K1118" s="65">
        <f t="shared" si="59"/>
        <v>2594001.6</v>
      </c>
      <c r="L1118" s="46"/>
      <c r="M1118" s="14"/>
    </row>
    <row r="1119" spans="2:14" x14ac:dyDescent="0.35">
      <c r="B1119" s="96"/>
      <c r="C1119" s="97"/>
      <c r="D1119" s="98"/>
      <c r="E1119" s="99"/>
      <c r="F1119" s="100" t="s">
        <v>89</v>
      </c>
      <c r="G1119" s="101" t="s">
        <v>1538</v>
      </c>
      <c r="H1119" s="102">
        <v>185.62799999999999</v>
      </c>
      <c r="I1119" s="103" t="s">
        <v>87</v>
      </c>
      <c r="J1119" s="65">
        <v>12000</v>
      </c>
      <c r="K1119" s="65">
        <f t="shared" si="59"/>
        <v>2227536</v>
      </c>
      <c r="L1119" s="46"/>
      <c r="M1119" s="14"/>
      <c r="N1119" s="261"/>
    </row>
    <row r="1120" spans="2:14" x14ac:dyDescent="0.35">
      <c r="B1120" s="96"/>
      <c r="C1120" s="97"/>
      <c r="D1120" s="98"/>
      <c r="E1120" s="99"/>
      <c r="F1120" s="100" t="s">
        <v>89</v>
      </c>
      <c r="G1120" s="101" t="s">
        <v>1539</v>
      </c>
      <c r="H1120" s="102">
        <v>216.16679999999999</v>
      </c>
      <c r="I1120" s="103" t="s">
        <v>87</v>
      </c>
      <c r="J1120" s="65">
        <v>12000</v>
      </c>
      <c r="K1120" s="65">
        <f t="shared" si="59"/>
        <v>2594001.6</v>
      </c>
      <c r="L1120" s="46"/>
    </row>
    <row r="1121" spans="2:14" x14ac:dyDescent="0.35">
      <c r="B1121" s="96"/>
      <c r="C1121" s="97"/>
      <c r="D1121" s="98"/>
      <c r="E1121" s="99"/>
      <c r="F1121" s="100" t="s">
        <v>89</v>
      </c>
      <c r="G1121" s="101" t="s">
        <v>1540</v>
      </c>
      <c r="H1121" s="102">
        <v>185.62799999999999</v>
      </c>
      <c r="I1121" s="103" t="s">
        <v>87</v>
      </c>
      <c r="J1121" s="65">
        <v>12000</v>
      </c>
      <c r="K1121" s="65">
        <f t="shared" si="59"/>
        <v>2227536</v>
      </c>
      <c r="L1121" s="46"/>
      <c r="M1121" s="14"/>
    </row>
    <row r="1122" spans="2:14" x14ac:dyDescent="0.35">
      <c r="B1122" s="96"/>
      <c r="C1122" s="97"/>
      <c r="D1122" s="98"/>
      <c r="E1122" s="99"/>
      <c r="F1122" s="100" t="s">
        <v>89</v>
      </c>
      <c r="G1122" s="101" t="s">
        <v>1541</v>
      </c>
      <c r="H1122" s="102">
        <v>185.62799999999999</v>
      </c>
      <c r="I1122" s="103" t="s">
        <v>87</v>
      </c>
      <c r="J1122" s="65">
        <v>12000</v>
      </c>
      <c r="K1122" s="65">
        <f t="shared" si="59"/>
        <v>2227536</v>
      </c>
      <c r="L1122" s="46"/>
      <c r="M1122" s="14"/>
    </row>
    <row r="1123" spans="2:14" x14ac:dyDescent="0.35">
      <c r="B1123" s="96"/>
      <c r="C1123" s="97"/>
      <c r="D1123" s="98"/>
      <c r="E1123" s="99"/>
      <c r="F1123" s="100" t="s">
        <v>89</v>
      </c>
      <c r="G1123" s="101" t="s">
        <v>1542</v>
      </c>
      <c r="H1123" s="102">
        <v>185.62799999999999</v>
      </c>
      <c r="I1123" s="103" t="s">
        <v>87</v>
      </c>
      <c r="J1123" s="65">
        <v>12000</v>
      </c>
      <c r="K1123" s="65">
        <f t="shared" si="59"/>
        <v>2227536</v>
      </c>
      <c r="L1123" s="46"/>
      <c r="M1123" s="14"/>
    </row>
    <row r="1124" spans="2:14" x14ac:dyDescent="0.35">
      <c r="B1124" s="96"/>
      <c r="C1124" s="97"/>
      <c r="D1124" s="98"/>
      <c r="E1124" s="99"/>
      <c r="F1124" s="100" t="s">
        <v>89</v>
      </c>
      <c r="G1124" s="101" t="s">
        <v>1543</v>
      </c>
      <c r="H1124" s="102">
        <v>185.62799999999999</v>
      </c>
      <c r="I1124" s="103" t="s">
        <v>87</v>
      </c>
      <c r="J1124" s="65">
        <v>12000</v>
      </c>
      <c r="K1124" s="65">
        <f t="shared" si="59"/>
        <v>2227536</v>
      </c>
      <c r="L1124" s="46"/>
      <c r="M1124" s="14"/>
      <c r="N1124" s="261"/>
    </row>
    <row r="1125" spans="2:14" x14ac:dyDescent="0.35">
      <c r="B1125" s="96"/>
      <c r="C1125" s="97"/>
      <c r="D1125" s="98"/>
      <c r="E1125" s="99"/>
      <c r="F1125" s="100" t="s">
        <v>89</v>
      </c>
      <c r="G1125" s="101" t="s">
        <v>1544</v>
      </c>
      <c r="H1125" s="102">
        <v>216.16679999999999</v>
      </c>
      <c r="I1125" s="103" t="s">
        <v>87</v>
      </c>
      <c r="J1125" s="65">
        <v>12000</v>
      </c>
      <c r="K1125" s="65">
        <f t="shared" si="59"/>
        <v>2594001.6</v>
      </c>
      <c r="L1125" s="46"/>
    </row>
    <row r="1126" spans="2:14" x14ac:dyDescent="0.35">
      <c r="B1126" s="96"/>
      <c r="C1126" s="97"/>
      <c r="D1126" s="98"/>
      <c r="E1126" s="99"/>
      <c r="F1126" s="100" t="s">
        <v>89</v>
      </c>
      <c r="G1126" s="101" t="s">
        <v>1545</v>
      </c>
      <c r="H1126" s="102">
        <v>216.16679999999999</v>
      </c>
      <c r="I1126" s="103" t="s">
        <v>87</v>
      </c>
      <c r="J1126" s="65">
        <v>12000</v>
      </c>
      <c r="K1126" s="65">
        <f t="shared" si="59"/>
        <v>2594001.6</v>
      </c>
      <c r="L1126" s="46"/>
      <c r="M1126" s="14"/>
    </row>
    <row r="1127" spans="2:14" x14ac:dyDescent="0.35">
      <c r="B1127" s="96"/>
      <c r="C1127" s="97"/>
      <c r="D1127" s="98"/>
      <c r="E1127" s="99"/>
      <c r="F1127" s="100" t="s">
        <v>89</v>
      </c>
      <c r="G1127" s="101" t="s">
        <v>1546</v>
      </c>
      <c r="H1127" s="102">
        <v>185.62799999999999</v>
      </c>
      <c r="I1127" s="103" t="s">
        <v>87</v>
      </c>
      <c r="J1127" s="65">
        <v>12000</v>
      </c>
      <c r="K1127" s="65">
        <f t="shared" si="59"/>
        <v>2227536</v>
      </c>
      <c r="L1127" s="46"/>
      <c r="M1127" s="14"/>
    </row>
    <row r="1128" spans="2:14" x14ac:dyDescent="0.35">
      <c r="B1128" s="96"/>
      <c r="C1128" s="97"/>
      <c r="D1128" s="98"/>
      <c r="E1128" s="99"/>
      <c r="F1128" s="100" t="s">
        <v>89</v>
      </c>
      <c r="G1128" s="101" t="s">
        <v>1547</v>
      </c>
      <c r="H1128" s="102">
        <v>216.16679999999999</v>
      </c>
      <c r="I1128" s="103" t="s">
        <v>87</v>
      </c>
      <c r="J1128" s="65">
        <v>12000</v>
      </c>
      <c r="K1128" s="65">
        <f t="shared" si="59"/>
        <v>2594001.6</v>
      </c>
      <c r="L1128" s="46"/>
      <c r="M1128" s="14"/>
    </row>
    <row r="1129" spans="2:14" x14ac:dyDescent="0.35">
      <c r="B1129" s="96"/>
      <c r="C1129" s="97"/>
      <c r="D1129" s="98"/>
      <c r="E1129" s="99"/>
      <c r="F1129" s="100" t="s">
        <v>89</v>
      </c>
      <c r="G1129" s="101" t="s">
        <v>1548</v>
      </c>
      <c r="H1129" s="102">
        <v>185.62799999999999</v>
      </c>
      <c r="I1129" s="103" t="s">
        <v>87</v>
      </c>
      <c r="J1129" s="65">
        <v>12000</v>
      </c>
      <c r="K1129" s="65">
        <f t="shared" si="59"/>
        <v>2227536</v>
      </c>
      <c r="L1129" s="46"/>
      <c r="M1129" s="14"/>
      <c r="N1129" s="261"/>
    </row>
    <row r="1130" spans="2:14" x14ac:dyDescent="0.35">
      <c r="B1130" s="96"/>
      <c r="C1130" s="97"/>
      <c r="D1130" s="98"/>
      <c r="E1130" s="99"/>
      <c r="F1130" s="100" t="s">
        <v>89</v>
      </c>
      <c r="G1130" s="101" t="s">
        <v>1549</v>
      </c>
      <c r="H1130" s="102">
        <v>185.62799999999999</v>
      </c>
      <c r="I1130" s="103" t="s">
        <v>87</v>
      </c>
      <c r="J1130" s="65">
        <v>12000</v>
      </c>
      <c r="K1130" s="65">
        <f t="shared" si="59"/>
        <v>2227536</v>
      </c>
      <c r="L1130" s="46"/>
    </row>
    <row r="1131" spans="2:14" x14ac:dyDescent="0.35">
      <c r="B1131" s="96"/>
      <c r="C1131" s="97"/>
      <c r="D1131" s="98"/>
      <c r="E1131" s="99"/>
      <c r="F1131" s="100" t="s">
        <v>89</v>
      </c>
      <c r="G1131" s="101" t="s">
        <v>1550</v>
      </c>
      <c r="H1131" s="102">
        <v>185.62799999999999</v>
      </c>
      <c r="I1131" s="103" t="s">
        <v>87</v>
      </c>
      <c r="J1131" s="65">
        <v>12000</v>
      </c>
      <c r="K1131" s="65">
        <f t="shared" si="59"/>
        <v>2227536</v>
      </c>
      <c r="L1131" s="46"/>
      <c r="M1131" s="14"/>
    </row>
    <row r="1132" spans="2:14" x14ac:dyDescent="0.35">
      <c r="B1132" s="96"/>
      <c r="C1132" s="97"/>
      <c r="D1132" s="98"/>
      <c r="E1132" s="99"/>
      <c r="F1132" s="100" t="s">
        <v>89</v>
      </c>
      <c r="G1132" s="101" t="s">
        <v>1551</v>
      </c>
      <c r="H1132" s="102">
        <v>5077.0032000000001</v>
      </c>
      <c r="I1132" s="103" t="s">
        <v>87</v>
      </c>
      <c r="J1132" s="65">
        <v>12000</v>
      </c>
      <c r="K1132" s="65">
        <f t="shared" si="59"/>
        <v>60924038.399999999</v>
      </c>
      <c r="L1132" s="46"/>
      <c r="M1132" s="14"/>
    </row>
    <row r="1133" spans="2:14" x14ac:dyDescent="0.35">
      <c r="B1133" s="96"/>
      <c r="C1133" s="97"/>
      <c r="D1133" s="98"/>
      <c r="E1133" s="99"/>
      <c r="F1133" s="100" t="s">
        <v>89</v>
      </c>
      <c r="G1133" s="101" t="s">
        <v>1552</v>
      </c>
      <c r="H1133" s="102">
        <v>1607.68</v>
      </c>
      <c r="I1133" s="103" t="s">
        <v>87</v>
      </c>
      <c r="J1133" s="65">
        <v>12000</v>
      </c>
      <c r="K1133" s="65">
        <f t="shared" si="59"/>
        <v>19292160</v>
      </c>
      <c r="L1133" s="46"/>
      <c r="M1133" s="14"/>
    </row>
    <row r="1134" spans="2:14" x14ac:dyDescent="0.35">
      <c r="B1134" s="96"/>
      <c r="C1134" s="97"/>
      <c r="D1134" s="98"/>
      <c r="E1134" s="99"/>
      <c r="F1134" s="100" t="s">
        <v>89</v>
      </c>
      <c r="G1134" s="101" t="s">
        <v>1553</v>
      </c>
      <c r="H1134" s="102">
        <v>3519.6260000000002</v>
      </c>
      <c r="I1134" s="103" t="s">
        <v>87</v>
      </c>
      <c r="J1134" s="65">
        <v>12000</v>
      </c>
      <c r="K1134" s="65">
        <f t="shared" si="59"/>
        <v>42235512</v>
      </c>
      <c r="L1134" s="46"/>
      <c r="M1134" s="14"/>
      <c r="N1134" s="261"/>
    </row>
    <row r="1135" spans="2:14" x14ac:dyDescent="0.35">
      <c r="B1135" s="96"/>
      <c r="C1135" s="97"/>
      <c r="D1135" s="98"/>
      <c r="E1135" s="99"/>
      <c r="F1135" s="100" t="s">
        <v>89</v>
      </c>
      <c r="G1135" s="101" t="s">
        <v>1554</v>
      </c>
      <c r="H1135" s="102">
        <v>2443.674</v>
      </c>
      <c r="I1135" s="103" t="s">
        <v>87</v>
      </c>
      <c r="J1135" s="65">
        <v>12000</v>
      </c>
      <c r="K1135" s="65">
        <f t="shared" si="59"/>
        <v>29324088</v>
      </c>
      <c r="L1135" s="46"/>
    </row>
    <row r="1136" spans="2:14" x14ac:dyDescent="0.35">
      <c r="B1136" s="96"/>
      <c r="C1136" s="97"/>
      <c r="D1136" s="98"/>
      <c r="E1136" s="99"/>
      <c r="F1136" s="100" t="s">
        <v>89</v>
      </c>
      <c r="G1136" s="101" t="s">
        <v>1555</v>
      </c>
      <c r="H1136" s="102">
        <v>1127.731</v>
      </c>
      <c r="I1136" s="103" t="s">
        <v>87</v>
      </c>
      <c r="J1136" s="65">
        <v>12000</v>
      </c>
      <c r="K1136" s="65">
        <f t="shared" si="59"/>
        <v>13532772</v>
      </c>
      <c r="L1136" s="46"/>
    </row>
    <row r="1137" spans="2:12" x14ac:dyDescent="0.35">
      <c r="B1137" s="96"/>
      <c r="C1137" s="97"/>
      <c r="D1137" s="98"/>
      <c r="E1137" s="99"/>
      <c r="F1137" s="100" t="s">
        <v>89</v>
      </c>
      <c r="G1137" s="101" t="s">
        <v>1556</v>
      </c>
      <c r="H1137" s="102">
        <v>5852.049</v>
      </c>
      <c r="I1137" s="103" t="s">
        <v>87</v>
      </c>
      <c r="J1137" s="65">
        <v>12000</v>
      </c>
      <c r="K1137" s="65">
        <f t="shared" si="59"/>
        <v>70224588</v>
      </c>
      <c r="L1137" s="46"/>
    </row>
    <row r="1138" spans="2:12" x14ac:dyDescent="0.35">
      <c r="B1138" s="96"/>
      <c r="C1138" s="97" t="s">
        <v>1520</v>
      </c>
      <c r="D1138" s="98"/>
      <c r="E1138" s="272"/>
      <c r="F1138" s="273" t="s">
        <v>1521</v>
      </c>
      <c r="G1138" s="274"/>
      <c r="H1138" s="102"/>
      <c r="I1138" s="103"/>
      <c r="J1138" s="50"/>
      <c r="K1138" s="56"/>
      <c r="L1138" s="46"/>
    </row>
    <row r="1139" spans="2:12" x14ac:dyDescent="0.35">
      <c r="B1139" s="96"/>
      <c r="C1139" s="97"/>
      <c r="D1139" s="98"/>
      <c r="E1139" s="99"/>
      <c r="F1139" s="100" t="s">
        <v>89</v>
      </c>
      <c r="G1139" s="101" t="s">
        <v>1557</v>
      </c>
      <c r="H1139" s="102">
        <v>216.16679999999999</v>
      </c>
      <c r="I1139" s="103" t="s">
        <v>87</v>
      </c>
      <c r="J1139" s="65">
        <v>12000</v>
      </c>
      <c r="K1139" s="65">
        <f t="shared" ref="K1139:K1142" si="60">J1139*H1139</f>
        <v>2594001.6</v>
      </c>
      <c r="L1139" s="46"/>
    </row>
    <row r="1140" spans="2:12" x14ac:dyDescent="0.35">
      <c r="B1140" s="96"/>
      <c r="C1140" s="97"/>
      <c r="D1140" s="98"/>
      <c r="E1140" s="99"/>
      <c r="F1140" s="100" t="s">
        <v>89</v>
      </c>
      <c r="G1140" s="101" t="s">
        <v>1558</v>
      </c>
      <c r="H1140" s="102">
        <v>185.62799999999999</v>
      </c>
      <c r="I1140" s="103" t="s">
        <v>87</v>
      </c>
      <c r="J1140" s="65">
        <v>12000</v>
      </c>
      <c r="K1140" s="65">
        <f t="shared" si="60"/>
        <v>2227536</v>
      </c>
      <c r="L1140" s="46"/>
    </row>
    <row r="1141" spans="2:12" x14ac:dyDescent="0.35">
      <c r="B1141" s="96"/>
      <c r="C1141" s="97"/>
      <c r="D1141" s="98"/>
      <c r="E1141" s="99"/>
      <c r="F1141" s="100" t="s">
        <v>89</v>
      </c>
      <c r="G1141" s="101" t="s">
        <v>1559</v>
      </c>
      <c r="H1141" s="102">
        <v>185.62799999999999</v>
      </c>
      <c r="I1141" s="103" t="s">
        <v>87</v>
      </c>
      <c r="J1141" s="65">
        <v>12000</v>
      </c>
      <c r="K1141" s="65">
        <f t="shared" si="60"/>
        <v>2227536</v>
      </c>
      <c r="L1141" s="46"/>
    </row>
    <row r="1142" spans="2:12" x14ac:dyDescent="0.35">
      <c r="B1142" s="96"/>
      <c r="C1142" s="97"/>
      <c r="D1142" s="98"/>
      <c r="E1142" s="99"/>
      <c r="F1142" s="100" t="s">
        <v>89</v>
      </c>
      <c r="G1142" s="101" t="s">
        <v>1560</v>
      </c>
      <c r="H1142" s="102">
        <v>216.16679999999999</v>
      </c>
      <c r="I1142" s="103" t="s">
        <v>87</v>
      </c>
      <c r="J1142" s="65">
        <v>12000</v>
      </c>
      <c r="K1142" s="65">
        <f t="shared" si="60"/>
        <v>2594001.6</v>
      </c>
      <c r="L1142" s="46"/>
    </row>
    <row r="1143" spans="2:12" x14ac:dyDescent="0.35">
      <c r="B1143" s="96"/>
      <c r="C1143" s="97"/>
      <c r="D1143" s="98"/>
      <c r="E1143" s="99"/>
      <c r="F1143" s="100"/>
      <c r="G1143" s="101"/>
      <c r="H1143" s="102"/>
      <c r="I1143" s="103"/>
      <c r="J1143" s="50"/>
      <c r="K1143" s="29"/>
      <c r="L1143" s="52"/>
    </row>
    <row r="1144" spans="2:12" x14ac:dyDescent="0.35">
      <c r="B1144" s="47"/>
      <c r="C1144" s="48"/>
      <c r="D1144" s="24"/>
      <c r="G1144" s="22"/>
      <c r="I1144" s="22"/>
      <c r="J1144" s="50"/>
      <c r="K1144" s="29"/>
      <c r="L1144" s="52"/>
    </row>
    <row r="1145" spans="2:12" x14ac:dyDescent="0.35">
      <c r="B1145" s="8"/>
      <c r="C1145" s="9"/>
      <c r="D1145" s="10"/>
      <c r="E1145" s="4"/>
      <c r="F1145" s="4"/>
      <c r="G1145" s="4"/>
      <c r="H1145" s="1"/>
      <c r="I1145" s="1"/>
      <c r="J1145" s="11" t="s">
        <v>8</v>
      </c>
      <c r="K1145" s="7">
        <f>SUM(K1092:K1144)</f>
        <v>308984361.60000002</v>
      </c>
      <c r="L1145" s="7">
        <f>SUM(L1092:L1144)</f>
        <v>3857319.44</v>
      </c>
    </row>
    <row r="1146" spans="2:12" x14ac:dyDescent="0.35">
      <c r="B1146" s="8"/>
      <c r="C1146" s="9"/>
      <c r="D1146" s="9"/>
      <c r="E1146" s="4"/>
      <c r="F1146" s="4"/>
      <c r="G1146" s="4"/>
      <c r="H1146" s="1"/>
      <c r="I1146" s="1"/>
      <c r="J1146" s="11"/>
      <c r="K1146" s="35" t="s">
        <v>22</v>
      </c>
      <c r="L1146" s="36" t="s">
        <v>23</v>
      </c>
    </row>
    <row r="1147" spans="2:12" x14ac:dyDescent="0.35">
      <c r="B1147" s="3" t="s">
        <v>9</v>
      </c>
      <c r="C1147" s="4"/>
      <c r="D1147" s="4"/>
      <c r="E1147" s="4"/>
      <c r="F1147" s="4"/>
      <c r="G1147" s="4"/>
      <c r="H1147" s="1"/>
      <c r="I1147" s="1"/>
      <c r="J1147" s="12"/>
      <c r="K1147" s="12"/>
      <c r="L1147" s="13"/>
    </row>
    <row r="1148" spans="2:12" x14ac:dyDescent="0.35">
      <c r="B1148" s="37"/>
      <c r="C1148" s="1"/>
      <c r="D1148" s="1"/>
      <c r="E1148" s="38"/>
      <c r="F1148" s="38"/>
      <c r="G1148" s="38"/>
      <c r="H1148" s="1"/>
      <c r="I1148" s="1"/>
      <c r="J1148" s="1"/>
      <c r="K1148" s="1"/>
      <c r="L1148" s="19"/>
    </row>
    <row r="1149" spans="2:12" x14ac:dyDescent="0.35">
      <c r="B1149" s="28" t="s">
        <v>6</v>
      </c>
      <c r="C1149" s="27"/>
      <c r="D1149" s="27"/>
      <c r="E1149" s="26"/>
      <c r="F1149" s="26"/>
      <c r="G1149" s="5"/>
      <c r="K1149" s="284" t="s">
        <v>1600</v>
      </c>
      <c r="L1149" s="285"/>
    </row>
    <row r="1150" spans="2:12" x14ac:dyDescent="0.35">
      <c r="B1150" s="28">
        <v>1</v>
      </c>
      <c r="C1150" s="27"/>
      <c r="D1150" s="27"/>
      <c r="E1150" s="26" t="s">
        <v>7</v>
      </c>
      <c r="F1150" s="26"/>
      <c r="G1150" s="5"/>
      <c r="K1150" s="284" t="s">
        <v>28</v>
      </c>
      <c r="L1150" s="285"/>
    </row>
    <row r="1151" spans="2:12" x14ac:dyDescent="0.35">
      <c r="B1151" s="39"/>
      <c r="C1151" s="27"/>
      <c r="D1151" s="27"/>
      <c r="E1151" s="26"/>
      <c r="F1151" s="26"/>
      <c r="G1151" s="5"/>
      <c r="J1151" s="25"/>
      <c r="K1151" s="25"/>
      <c r="L1151" s="24"/>
    </row>
    <row r="1152" spans="2:12" x14ac:dyDescent="0.35">
      <c r="B1152" s="28"/>
      <c r="C1152" s="27"/>
      <c r="D1152" s="27"/>
      <c r="E1152" s="26"/>
      <c r="F1152" s="26"/>
      <c r="G1152" s="5"/>
      <c r="L1152" s="22"/>
    </row>
    <row r="1153" spans="2:14" x14ac:dyDescent="0.35">
      <c r="B1153" s="45"/>
      <c r="E1153" s="5"/>
      <c r="F1153" s="5"/>
      <c r="G1153" s="5"/>
      <c r="L1153" s="22"/>
    </row>
    <row r="1154" spans="2:14" x14ac:dyDescent="0.35">
      <c r="B1154" s="45"/>
      <c r="E1154" s="5"/>
      <c r="F1154" s="5"/>
      <c r="G1154" s="5"/>
      <c r="L1154" s="22"/>
    </row>
    <row r="1155" spans="2:14" x14ac:dyDescent="0.35">
      <c r="B1155" s="45"/>
      <c r="E1155" s="5"/>
      <c r="F1155" s="5"/>
      <c r="G1155" s="5"/>
      <c r="L1155" s="22"/>
    </row>
    <row r="1156" spans="2:14" x14ac:dyDescent="0.35">
      <c r="B1156" s="45"/>
      <c r="E1156" s="5"/>
      <c r="F1156" s="5"/>
      <c r="G1156" s="5"/>
      <c r="J1156" s="40"/>
      <c r="K1156" s="286" t="s">
        <v>36</v>
      </c>
      <c r="L1156" s="287"/>
    </row>
    <row r="1157" spans="2:14" x14ac:dyDescent="0.35">
      <c r="B1157" s="45"/>
      <c r="K1157" s="288" t="s">
        <v>37</v>
      </c>
      <c r="L1157" s="289"/>
    </row>
    <row r="1158" spans="2:14" x14ac:dyDescent="0.35">
      <c r="B1158" s="290"/>
      <c r="C1158" s="291"/>
      <c r="D1158" s="291"/>
      <c r="E1158" s="41"/>
      <c r="F1158" s="41"/>
      <c r="G1158" s="41"/>
      <c r="H1158" s="2"/>
      <c r="I1158" s="2"/>
      <c r="J1158" s="2"/>
      <c r="K1158" s="2"/>
      <c r="L1158" s="21"/>
    </row>
    <row r="1159" spans="2:14" x14ac:dyDescent="0.35">
      <c r="B1159" s="47"/>
      <c r="C1159" s="48"/>
      <c r="D1159" s="49"/>
      <c r="G1159" s="22"/>
      <c r="H1159" s="1"/>
      <c r="I1159" s="1"/>
      <c r="J1159" s="43"/>
      <c r="K1159" s="30"/>
      <c r="L1159" s="44"/>
    </row>
    <row r="1160" spans="2:14" x14ac:dyDescent="0.35">
      <c r="B1160" s="96"/>
      <c r="C1160" s="97"/>
      <c r="D1160" s="98"/>
      <c r="E1160" s="99"/>
      <c r="F1160" s="100" t="s">
        <v>89</v>
      </c>
      <c r="G1160" s="101" t="s">
        <v>1561</v>
      </c>
      <c r="H1160" s="102">
        <v>185.62799999999999</v>
      </c>
      <c r="I1160" s="103" t="s">
        <v>87</v>
      </c>
      <c r="J1160" s="65">
        <v>12000</v>
      </c>
      <c r="K1160" s="65">
        <f t="shared" ref="K1160:K1200" si="61">J1160*H1160</f>
        <v>2227536</v>
      </c>
      <c r="L1160" s="52"/>
    </row>
    <row r="1161" spans="2:14" x14ac:dyDescent="0.35">
      <c r="B1161" s="96"/>
      <c r="C1161" s="97"/>
      <c r="D1161" s="98"/>
      <c r="E1161" s="99"/>
      <c r="F1161" s="100" t="s">
        <v>89</v>
      </c>
      <c r="G1161" s="101" t="s">
        <v>1525</v>
      </c>
      <c r="H1161" s="102">
        <v>185.62799999999999</v>
      </c>
      <c r="I1161" s="103" t="s">
        <v>87</v>
      </c>
      <c r="J1161" s="65">
        <v>12000</v>
      </c>
      <c r="K1161" s="65">
        <f t="shared" si="61"/>
        <v>2227536</v>
      </c>
      <c r="L1161" s="46"/>
    </row>
    <row r="1162" spans="2:14" x14ac:dyDescent="0.35">
      <c r="B1162" s="96"/>
      <c r="C1162" s="97"/>
      <c r="D1162" s="98"/>
      <c r="E1162" s="99"/>
      <c r="F1162" s="100" t="s">
        <v>89</v>
      </c>
      <c r="G1162" s="101" t="s">
        <v>1562</v>
      </c>
      <c r="H1162" s="102">
        <v>185.62799999999999</v>
      </c>
      <c r="I1162" s="103" t="s">
        <v>87</v>
      </c>
      <c r="J1162" s="65">
        <v>12000</v>
      </c>
      <c r="K1162" s="65">
        <f t="shared" si="61"/>
        <v>2227536</v>
      </c>
      <c r="L1162" s="46"/>
    </row>
    <row r="1163" spans="2:14" x14ac:dyDescent="0.35">
      <c r="B1163" s="96"/>
      <c r="C1163" s="97"/>
      <c r="D1163" s="98"/>
      <c r="E1163" s="99"/>
      <c r="F1163" s="100" t="s">
        <v>89</v>
      </c>
      <c r="G1163" s="101" t="s">
        <v>1527</v>
      </c>
      <c r="H1163" s="102">
        <v>185.62799999999999</v>
      </c>
      <c r="I1163" s="103" t="s">
        <v>87</v>
      </c>
      <c r="J1163" s="65">
        <v>12000</v>
      </c>
      <c r="K1163" s="65">
        <f t="shared" si="61"/>
        <v>2227536</v>
      </c>
      <c r="L1163" s="46"/>
    </row>
    <row r="1164" spans="2:14" x14ac:dyDescent="0.35">
      <c r="B1164" s="96"/>
      <c r="C1164" s="97"/>
      <c r="D1164" s="98"/>
      <c r="E1164" s="99"/>
      <c r="F1164" s="100" t="s">
        <v>89</v>
      </c>
      <c r="G1164" s="101" t="s">
        <v>1563</v>
      </c>
      <c r="H1164" s="102">
        <v>185.62799999999999</v>
      </c>
      <c r="I1164" s="103" t="s">
        <v>87</v>
      </c>
      <c r="J1164" s="65">
        <v>12000</v>
      </c>
      <c r="K1164" s="65">
        <f t="shared" si="61"/>
        <v>2227536</v>
      </c>
      <c r="L1164" s="46"/>
      <c r="M1164" s="105"/>
    </row>
    <row r="1165" spans="2:14" x14ac:dyDescent="0.35">
      <c r="B1165" s="96"/>
      <c r="C1165" s="97"/>
      <c r="D1165" s="98"/>
      <c r="E1165" s="99"/>
      <c r="F1165" s="100" t="s">
        <v>89</v>
      </c>
      <c r="G1165" s="101" t="s">
        <v>1528</v>
      </c>
      <c r="H1165" s="102">
        <v>185.62799999999999</v>
      </c>
      <c r="I1165" s="103" t="s">
        <v>87</v>
      </c>
      <c r="J1165" s="65">
        <v>12000</v>
      </c>
      <c r="K1165" s="65">
        <f t="shared" si="61"/>
        <v>2227536</v>
      </c>
      <c r="L1165" s="46"/>
      <c r="M1165" s="105"/>
    </row>
    <row r="1166" spans="2:14" x14ac:dyDescent="0.35">
      <c r="B1166" s="96"/>
      <c r="C1166" s="97"/>
      <c r="D1166" s="98"/>
      <c r="E1166" s="99"/>
      <c r="F1166" s="100" t="s">
        <v>89</v>
      </c>
      <c r="G1166" s="101" t="s">
        <v>1530</v>
      </c>
      <c r="H1166" s="102">
        <v>185.62799999999999</v>
      </c>
      <c r="I1166" s="103" t="s">
        <v>87</v>
      </c>
      <c r="J1166" s="65">
        <v>12000</v>
      </c>
      <c r="K1166" s="65">
        <f t="shared" si="61"/>
        <v>2227536</v>
      </c>
      <c r="L1166" s="46"/>
      <c r="M1166" s="105"/>
    </row>
    <row r="1167" spans="2:14" x14ac:dyDescent="0.35">
      <c r="B1167" s="96"/>
      <c r="C1167" s="97"/>
      <c r="D1167" s="98"/>
      <c r="E1167" s="99"/>
      <c r="F1167" s="100" t="s">
        <v>89</v>
      </c>
      <c r="G1167" s="101" t="s">
        <v>1531</v>
      </c>
      <c r="H1167" s="102">
        <v>216.16679999999999</v>
      </c>
      <c r="I1167" s="103" t="s">
        <v>87</v>
      </c>
      <c r="J1167" s="65">
        <v>12000</v>
      </c>
      <c r="K1167" s="65">
        <f t="shared" si="61"/>
        <v>2594001.6</v>
      </c>
      <c r="L1167" s="46"/>
      <c r="M1167" s="105"/>
      <c r="N1167" s="105"/>
    </row>
    <row r="1168" spans="2:14" x14ac:dyDescent="0.35">
      <c r="B1168" s="96"/>
      <c r="C1168" s="97"/>
      <c r="D1168" s="98"/>
      <c r="E1168" s="99"/>
      <c r="F1168" s="100" t="s">
        <v>89</v>
      </c>
      <c r="G1168" s="101" t="s">
        <v>1564</v>
      </c>
      <c r="H1168" s="102">
        <v>185.62799999999999</v>
      </c>
      <c r="I1168" s="103" t="s">
        <v>87</v>
      </c>
      <c r="J1168" s="65">
        <v>12000</v>
      </c>
      <c r="K1168" s="65">
        <f t="shared" si="61"/>
        <v>2227536</v>
      </c>
      <c r="L1168" s="46"/>
    </row>
    <row r="1169" spans="2:14" x14ac:dyDescent="0.35">
      <c r="B1169" s="96"/>
      <c r="C1169" s="97"/>
      <c r="D1169" s="98"/>
      <c r="E1169" s="99"/>
      <c r="F1169" s="100" t="s">
        <v>89</v>
      </c>
      <c r="G1169" s="101" t="s">
        <v>1565</v>
      </c>
      <c r="H1169" s="102">
        <v>185.62799999999999</v>
      </c>
      <c r="I1169" s="103" t="s">
        <v>87</v>
      </c>
      <c r="J1169" s="65">
        <v>12000</v>
      </c>
      <c r="K1169" s="65">
        <f t="shared" si="61"/>
        <v>2227536</v>
      </c>
      <c r="L1169" s="46"/>
      <c r="M1169" s="105"/>
    </row>
    <row r="1170" spans="2:14" x14ac:dyDescent="0.35">
      <c r="B1170" s="96"/>
      <c r="C1170" s="97"/>
      <c r="D1170" s="98"/>
      <c r="E1170" s="99"/>
      <c r="F1170" s="100" t="s">
        <v>89</v>
      </c>
      <c r="G1170" s="101" t="s">
        <v>1566</v>
      </c>
      <c r="H1170" s="102">
        <v>216.16679999999999</v>
      </c>
      <c r="I1170" s="103" t="s">
        <v>87</v>
      </c>
      <c r="J1170" s="65">
        <v>12000</v>
      </c>
      <c r="K1170" s="65">
        <f t="shared" si="61"/>
        <v>2594001.6</v>
      </c>
      <c r="L1170" s="46"/>
      <c r="M1170" s="105"/>
      <c r="N1170" s="105"/>
    </row>
    <row r="1171" spans="2:14" x14ac:dyDescent="0.35">
      <c r="B1171" s="96"/>
      <c r="C1171" s="97"/>
      <c r="D1171" s="98"/>
      <c r="E1171" s="99"/>
      <c r="F1171" s="100" t="s">
        <v>89</v>
      </c>
      <c r="G1171" s="101" t="s">
        <v>1533</v>
      </c>
      <c r="H1171" s="102">
        <v>185.62799999999999</v>
      </c>
      <c r="I1171" s="103" t="s">
        <v>87</v>
      </c>
      <c r="J1171" s="65">
        <v>12000</v>
      </c>
      <c r="K1171" s="65">
        <f t="shared" si="61"/>
        <v>2227536</v>
      </c>
      <c r="L1171" s="46"/>
    </row>
    <row r="1172" spans="2:14" x14ac:dyDescent="0.35">
      <c r="B1172" s="96"/>
      <c r="C1172" s="97"/>
      <c r="D1172" s="98"/>
      <c r="E1172" s="99"/>
      <c r="F1172" s="100" t="s">
        <v>89</v>
      </c>
      <c r="G1172" s="101" t="s">
        <v>1535</v>
      </c>
      <c r="H1172" s="102">
        <v>185.62799999999999</v>
      </c>
      <c r="I1172" s="103" t="s">
        <v>87</v>
      </c>
      <c r="J1172" s="65">
        <v>12000</v>
      </c>
      <c r="K1172" s="65">
        <f t="shared" si="61"/>
        <v>2227536</v>
      </c>
      <c r="L1172" s="46"/>
    </row>
    <row r="1173" spans="2:14" x14ac:dyDescent="0.35">
      <c r="B1173" s="96"/>
      <c r="C1173" s="97"/>
      <c r="D1173" s="98"/>
      <c r="E1173" s="99"/>
      <c r="F1173" s="100" t="s">
        <v>89</v>
      </c>
      <c r="G1173" s="101" t="s">
        <v>1567</v>
      </c>
      <c r="H1173" s="102">
        <v>216.16679999999999</v>
      </c>
      <c r="I1173" s="103" t="s">
        <v>87</v>
      </c>
      <c r="J1173" s="65">
        <v>12000</v>
      </c>
      <c r="K1173" s="65">
        <f t="shared" si="61"/>
        <v>2594001.6</v>
      </c>
      <c r="L1173" s="46"/>
    </row>
    <row r="1174" spans="2:14" x14ac:dyDescent="0.35">
      <c r="B1174" s="96"/>
      <c r="C1174" s="97"/>
      <c r="D1174" s="98"/>
      <c r="E1174" s="99"/>
      <c r="F1174" s="100" t="s">
        <v>89</v>
      </c>
      <c r="G1174" s="101" t="s">
        <v>1536</v>
      </c>
      <c r="H1174" s="102">
        <v>185.62799999999999</v>
      </c>
      <c r="I1174" s="103" t="s">
        <v>87</v>
      </c>
      <c r="J1174" s="65">
        <v>12000</v>
      </c>
      <c r="K1174" s="65">
        <f t="shared" si="61"/>
        <v>2227536</v>
      </c>
      <c r="L1174" s="46"/>
      <c r="M1174" s="14"/>
    </row>
    <row r="1175" spans="2:14" x14ac:dyDescent="0.35">
      <c r="B1175" s="96"/>
      <c r="C1175" s="97"/>
      <c r="D1175" s="98"/>
      <c r="E1175" s="99"/>
      <c r="F1175" s="100" t="s">
        <v>89</v>
      </c>
      <c r="G1175" s="101" t="s">
        <v>1568</v>
      </c>
      <c r="H1175" s="102">
        <v>216.16679999999999</v>
      </c>
      <c r="I1175" s="103" t="s">
        <v>87</v>
      </c>
      <c r="J1175" s="65">
        <v>12000</v>
      </c>
      <c r="K1175" s="65">
        <f t="shared" si="61"/>
        <v>2594001.6</v>
      </c>
      <c r="L1175" s="46"/>
      <c r="M1175" s="14"/>
    </row>
    <row r="1176" spans="2:14" x14ac:dyDescent="0.35">
      <c r="B1176" s="96"/>
      <c r="C1176" s="97"/>
      <c r="D1176" s="98"/>
      <c r="E1176" s="99"/>
      <c r="F1176" s="100" t="s">
        <v>89</v>
      </c>
      <c r="G1176" s="101" t="s">
        <v>1569</v>
      </c>
      <c r="H1176" s="102">
        <v>185.62799999999999</v>
      </c>
      <c r="I1176" s="103" t="s">
        <v>87</v>
      </c>
      <c r="J1176" s="65">
        <v>12000</v>
      </c>
      <c r="K1176" s="65">
        <f t="shared" si="61"/>
        <v>2227536</v>
      </c>
      <c r="L1176" s="46"/>
      <c r="M1176" s="14"/>
    </row>
    <row r="1177" spans="2:14" x14ac:dyDescent="0.35">
      <c r="B1177" s="96"/>
      <c r="C1177" s="97"/>
      <c r="D1177" s="98"/>
      <c r="E1177" s="99"/>
      <c r="F1177" s="100" t="s">
        <v>89</v>
      </c>
      <c r="G1177" s="101" t="s">
        <v>1537</v>
      </c>
      <c r="H1177" s="102">
        <v>216.16679999999999</v>
      </c>
      <c r="I1177" s="103" t="s">
        <v>87</v>
      </c>
      <c r="J1177" s="65">
        <v>12000</v>
      </c>
      <c r="K1177" s="65">
        <f t="shared" si="61"/>
        <v>2594001.6</v>
      </c>
      <c r="L1177" s="46"/>
      <c r="M1177" s="14"/>
      <c r="N1177" s="261"/>
    </row>
    <row r="1178" spans="2:14" x14ac:dyDescent="0.35">
      <c r="B1178" s="96"/>
      <c r="C1178" s="97"/>
      <c r="D1178" s="98"/>
      <c r="E1178" s="99"/>
      <c r="F1178" s="100" t="s">
        <v>89</v>
      </c>
      <c r="G1178" s="101" t="s">
        <v>1538</v>
      </c>
      <c r="H1178" s="102">
        <v>185.62799999999999</v>
      </c>
      <c r="I1178" s="103" t="s">
        <v>87</v>
      </c>
      <c r="J1178" s="65">
        <v>12000</v>
      </c>
      <c r="K1178" s="65">
        <f t="shared" si="61"/>
        <v>2227536</v>
      </c>
      <c r="L1178" s="46"/>
    </row>
    <row r="1179" spans="2:14" x14ac:dyDescent="0.35">
      <c r="B1179" s="96"/>
      <c r="C1179" s="97"/>
      <c r="D1179" s="98"/>
      <c r="E1179" s="99"/>
      <c r="F1179" s="100" t="s">
        <v>89</v>
      </c>
      <c r="G1179" s="101" t="s">
        <v>1539</v>
      </c>
      <c r="H1179" s="102">
        <v>216.16679999999999</v>
      </c>
      <c r="I1179" s="103" t="s">
        <v>87</v>
      </c>
      <c r="J1179" s="65">
        <v>12000</v>
      </c>
      <c r="K1179" s="65">
        <f t="shared" si="61"/>
        <v>2594001.6</v>
      </c>
      <c r="L1179" s="46"/>
      <c r="M1179" s="14"/>
    </row>
    <row r="1180" spans="2:14" x14ac:dyDescent="0.35">
      <c r="B1180" s="96"/>
      <c r="C1180" s="97"/>
      <c r="D1180" s="98"/>
      <c r="E1180" s="99"/>
      <c r="F1180" s="100" t="s">
        <v>89</v>
      </c>
      <c r="G1180" s="101" t="s">
        <v>1540</v>
      </c>
      <c r="H1180" s="102">
        <v>185.62799999999999</v>
      </c>
      <c r="I1180" s="103" t="s">
        <v>87</v>
      </c>
      <c r="J1180" s="65">
        <v>12000</v>
      </c>
      <c r="K1180" s="65">
        <f t="shared" si="61"/>
        <v>2227536</v>
      </c>
      <c r="L1180" s="46"/>
      <c r="M1180" s="14"/>
    </row>
    <row r="1181" spans="2:14" x14ac:dyDescent="0.35">
      <c r="B1181" s="96"/>
      <c r="C1181" s="97"/>
      <c r="D1181" s="98"/>
      <c r="E1181" s="99"/>
      <c r="F1181" s="100" t="s">
        <v>89</v>
      </c>
      <c r="G1181" s="101" t="s">
        <v>1570</v>
      </c>
      <c r="H1181" s="102">
        <v>216.16679999999999</v>
      </c>
      <c r="I1181" s="103" t="s">
        <v>87</v>
      </c>
      <c r="J1181" s="65">
        <v>12000</v>
      </c>
      <c r="K1181" s="65">
        <f t="shared" si="61"/>
        <v>2594001.6</v>
      </c>
      <c r="L1181" s="46"/>
      <c r="M1181" s="14"/>
    </row>
    <row r="1182" spans="2:14" x14ac:dyDescent="0.35">
      <c r="B1182" s="96"/>
      <c r="C1182" s="97"/>
      <c r="D1182" s="98"/>
      <c r="E1182" s="99"/>
      <c r="F1182" s="100" t="s">
        <v>89</v>
      </c>
      <c r="G1182" s="101" t="s">
        <v>1541</v>
      </c>
      <c r="H1182" s="102">
        <v>185.62799999999999</v>
      </c>
      <c r="I1182" s="103" t="s">
        <v>87</v>
      </c>
      <c r="J1182" s="65">
        <v>12000</v>
      </c>
      <c r="K1182" s="65">
        <f t="shared" si="61"/>
        <v>2227536</v>
      </c>
      <c r="L1182" s="46"/>
      <c r="M1182" s="14"/>
      <c r="N1182" s="261"/>
    </row>
    <row r="1183" spans="2:14" x14ac:dyDescent="0.35">
      <c r="B1183" s="96"/>
      <c r="C1183" s="97"/>
      <c r="D1183" s="98"/>
      <c r="E1183" s="99"/>
      <c r="F1183" s="100" t="s">
        <v>89</v>
      </c>
      <c r="G1183" s="101" t="s">
        <v>1571</v>
      </c>
      <c r="H1183" s="102">
        <v>216.16679999999999</v>
      </c>
      <c r="I1183" s="103" t="s">
        <v>87</v>
      </c>
      <c r="J1183" s="65">
        <v>12000</v>
      </c>
      <c r="K1183" s="65">
        <f t="shared" si="61"/>
        <v>2594001.6</v>
      </c>
      <c r="L1183" s="46"/>
    </row>
    <row r="1184" spans="2:14" x14ac:dyDescent="0.35">
      <c r="B1184" s="96"/>
      <c r="C1184" s="97"/>
      <c r="D1184" s="98"/>
      <c r="E1184" s="99"/>
      <c r="F1184" s="100" t="s">
        <v>89</v>
      </c>
      <c r="G1184" s="101" t="s">
        <v>1542</v>
      </c>
      <c r="H1184" s="102">
        <v>185.62799999999999</v>
      </c>
      <c r="I1184" s="103" t="s">
        <v>87</v>
      </c>
      <c r="J1184" s="65">
        <v>12000</v>
      </c>
      <c r="K1184" s="65">
        <f t="shared" si="61"/>
        <v>2227536</v>
      </c>
      <c r="L1184" s="46"/>
      <c r="M1184" s="14"/>
    </row>
    <row r="1185" spans="2:14" x14ac:dyDescent="0.35">
      <c r="B1185" s="96"/>
      <c r="C1185" s="97"/>
      <c r="D1185" s="98"/>
      <c r="E1185" s="99"/>
      <c r="F1185" s="100" t="s">
        <v>89</v>
      </c>
      <c r="G1185" s="101" t="s">
        <v>1572</v>
      </c>
      <c r="H1185" s="102">
        <v>216.16679999999999</v>
      </c>
      <c r="I1185" s="103" t="s">
        <v>87</v>
      </c>
      <c r="J1185" s="65">
        <v>12000</v>
      </c>
      <c r="K1185" s="65">
        <f t="shared" si="61"/>
        <v>2594001.6</v>
      </c>
      <c r="L1185" s="46"/>
      <c r="M1185" s="14"/>
    </row>
    <row r="1186" spans="2:14" x14ac:dyDescent="0.35">
      <c r="B1186" s="96"/>
      <c r="C1186" s="97"/>
      <c r="D1186" s="98"/>
      <c r="E1186" s="99"/>
      <c r="F1186" s="100" t="s">
        <v>89</v>
      </c>
      <c r="G1186" s="101" t="s">
        <v>1573</v>
      </c>
      <c r="H1186" s="102">
        <v>185.62799999999999</v>
      </c>
      <c r="I1186" s="103" t="s">
        <v>87</v>
      </c>
      <c r="J1186" s="65">
        <v>12000</v>
      </c>
      <c r="K1186" s="65">
        <f t="shared" si="61"/>
        <v>2227536</v>
      </c>
      <c r="L1186" s="46"/>
      <c r="M1186" s="14"/>
    </row>
    <row r="1187" spans="2:14" x14ac:dyDescent="0.35">
      <c r="B1187" s="96"/>
      <c r="C1187" s="97"/>
      <c r="D1187" s="98"/>
      <c r="E1187" s="99"/>
      <c r="F1187" s="100" t="s">
        <v>89</v>
      </c>
      <c r="G1187" s="101" t="s">
        <v>1574</v>
      </c>
      <c r="H1187" s="102">
        <v>216.16679999999999</v>
      </c>
      <c r="I1187" s="103" t="s">
        <v>87</v>
      </c>
      <c r="J1187" s="65">
        <v>12000</v>
      </c>
      <c r="K1187" s="65">
        <f t="shared" si="61"/>
        <v>2594001.6</v>
      </c>
      <c r="L1187" s="46"/>
      <c r="M1187" s="14"/>
      <c r="N1187" s="261"/>
    </row>
    <row r="1188" spans="2:14" x14ac:dyDescent="0.35">
      <c r="B1188" s="96"/>
      <c r="C1188" s="97"/>
      <c r="D1188" s="98"/>
      <c r="E1188" s="99"/>
      <c r="F1188" s="100" t="s">
        <v>89</v>
      </c>
      <c r="G1188" s="101" t="s">
        <v>1543</v>
      </c>
      <c r="H1188" s="102">
        <v>185.62799999999999</v>
      </c>
      <c r="I1188" s="103" t="s">
        <v>87</v>
      </c>
      <c r="J1188" s="65">
        <v>12000</v>
      </c>
      <c r="K1188" s="65">
        <f t="shared" si="61"/>
        <v>2227536</v>
      </c>
      <c r="L1188" s="46"/>
    </row>
    <row r="1189" spans="2:14" x14ac:dyDescent="0.35">
      <c r="B1189" s="96"/>
      <c r="C1189" s="97"/>
      <c r="D1189" s="98"/>
      <c r="E1189" s="99"/>
      <c r="F1189" s="100" t="s">
        <v>89</v>
      </c>
      <c r="G1189" s="101" t="s">
        <v>1544</v>
      </c>
      <c r="H1189" s="102">
        <v>216.16679999999999</v>
      </c>
      <c r="I1189" s="103" t="s">
        <v>87</v>
      </c>
      <c r="J1189" s="65">
        <v>12000</v>
      </c>
      <c r="K1189" s="65">
        <f t="shared" si="61"/>
        <v>2594001.6</v>
      </c>
      <c r="L1189" s="46"/>
      <c r="M1189" s="14"/>
    </row>
    <row r="1190" spans="2:14" x14ac:dyDescent="0.35">
      <c r="B1190" s="96"/>
      <c r="C1190" s="97"/>
      <c r="D1190" s="98"/>
      <c r="E1190" s="99"/>
      <c r="F1190" s="100" t="s">
        <v>89</v>
      </c>
      <c r="G1190" s="101" t="s">
        <v>1575</v>
      </c>
      <c r="H1190" s="102">
        <v>185.62799999999999</v>
      </c>
      <c r="I1190" s="103" t="s">
        <v>87</v>
      </c>
      <c r="J1190" s="65">
        <v>12000</v>
      </c>
      <c r="K1190" s="65">
        <f t="shared" si="61"/>
        <v>2227536</v>
      </c>
      <c r="L1190" s="46"/>
      <c r="M1190" s="14"/>
    </row>
    <row r="1191" spans="2:14" x14ac:dyDescent="0.35">
      <c r="B1191" s="96"/>
      <c r="C1191" s="97"/>
      <c r="D1191" s="98"/>
      <c r="E1191" s="99"/>
      <c r="F1191" s="100" t="s">
        <v>89</v>
      </c>
      <c r="G1191" s="101" t="s">
        <v>1576</v>
      </c>
      <c r="H1191" s="102">
        <v>216.16679999999999</v>
      </c>
      <c r="I1191" s="103" t="s">
        <v>87</v>
      </c>
      <c r="J1191" s="65">
        <v>12000</v>
      </c>
      <c r="K1191" s="65">
        <f t="shared" si="61"/>
        <v>2594001.6</v>
      </c>
      <c r="L1191" s="46"/>
      <c r="M1191" s="14"/>
    </row>
    <row r="1192" spans="2:14" x14ac:dyDescent="0.35">
      <c r="B1192" s="96"/>
      <c r="C1192" s="97"/>
      <c r="D1192" s="98"/>
      <c r="E1192" s="99"/>
      <c r="F1192" s="100" t="s">
        <v>89</v>
      </c>
      <c r="G1192" s="101" t="s">
        <v>1577</v>
      </c>
      <c r="H1192" s="102">
        <v>185.62799999999999</v>
      </c>
      <c r="I1192" s="103" t="s">
        <v>87</v>
      </c>
      <c r="J1192" s="65">
        <v>12000</v>
      </c>
      <c r="K1192" s="65">
        <f t="shared" si="61"/>
        <v>2227536</v>
      </c>
      <c r="L1192" s="46"/>
      <c r="M1192" s="14"/>
      <c r="N1192" s="261"/>
    </row>
    <row r="1193" spans="2:14" x14ac:dyDescent="0.35">
      <c r="B1193" s="96"/>
      <c r="C1193" s="97"/>
      <c r="D1193" s="98"/>
      <c r="E1193" s="99"/>
      <c r="F1193" s="100" t="s">
        <v>89</v>
      </c>
      <c r="G1193" s="101" t="s">
        <v>1578</v>
      </c>
      <c r="H1193" s="102">
        <v>216.16679999999999</v>
      </c>
      <c r="I1193" s="103" t="s">
        <v>87</v>
      </c>
      <c r="J1193" s="65">
        <v>12000</v>
      </c>
      <c r="K1193" s="65">
        <f t="shared" si="61"/>
        <v>2594001.6</v>
      </c>
      <c r="L1193" s="46"/>
    </row>
    <row r="1194" spans="2:14" x14ac:dyDescent="0.35">
      <c r="B1194" s="96"/>
      <c r="C1194" s="97"/>
      <c r="D1194" s="98"/>
      <c r="E1194" s="99"/>
      <c r="F1194" s="100" t="s">
        <v>89</v>
      </c>
      <c r="G1194" s="101" t="s">
        <v>1549</v>
      </c>
      <c r="H1194" s="102">
        <v>185.62799999999999</v>
      </c>
      <c r="I1194" s="103" t="s">
        <v>87</v>
      </c>
      <c r="J1194" s="65">
        <v>12000</v>
      </c>
      <c r="K1194" s="65">
        <f t="shared" si="61"/>
        <v>2227536</v>
      </c>
      <c r="L1194" s="46"/>
      <c r="M1194" s="14"/>
    </row>
    <row r="1195" spans="2:14" x14ac:dyDescent="0.35">
      <c r="B1195" s="96"/>
      <c r="C1195" s="97"/>
      <c r="D1195" s="98"/>
      <c r="E1195" s="99"/>
      <c r="F1195" s="100" t="s">
        <v>89</v>
      </c>
      <c r="G1195" s="101" t="s">
        <v>1579</v>
      </c>
      <c r="H1195" s="102">
        <v>216.16679999999999</v>
      </c>
      <c r="I1195" s="103" t="s">
        <v>87</v>
      </c>
      <c r="J1195" s="65">
        <v>12000</v>
      </c>
      <c r="K1195" s="65">
        <f t="shared" si="61"/>
        <v>2594001.6</v>
      </c>
      <c r="L1195" s="46"/>
      <c r="M1195" s="14"/>
    </row>
    <row r="1196" spans="2:14" x14ac:dyDescent="0.35">
      <c r="B1196" s="96"/>
      <c r="C1196" s="97"/>
      <c r="D1196" s="98"/>
      <c r="E1196" s="99"/>
      <c r="F1196" s="100" t="s">
        <v>89</v>
      </c>
      <c r="G1196" s="101" t="s">
        <v>1550</v>
      </c>
      <c r="H1196" s="102">
        <v>185.62799999999999</v>
      </c>
      <c r="I1196" s="103" t="s">
        <v>87</v>
      </c>
      <c r="J1196" s="65">
        <v>12000</v>
      </c>
      <c r="K1196" s="65">
        <f t="shared" si="61"/>
        <v>2227536</v>
      </c>
      <c r="L1196" s="46"/>
      <c r="M1196" s="14"/>
    </row>
    <row r="1197" spans="2:14" x14ac:dyDescent="0.35">
      <c r="B1197" s="96"/>
      <c r="C1197" s="97"/>
      <c r="D1197" s="98"/>
      <c r="E1197" s="99"/>
      <c r="F1197" s="100" t="s">
        <v>89</v>
      </c>
      <c r="G1197" s="101" t="s">
        <v>1580</v>
      </c>
      <c r="H1197" s="102">
        <v>4037.2236000000003</v>
      </c>
      <c r="I1197" s="103" t="s">
        <v>87</v>
      </c>
      <c r="J1197" s="65">
        <v>12000</v>
      </c>
      <c r="K1197" s="65">
        <f t="shared" si="61"/>
        <v>48446683.200000003</v>
      </c>
      <c r="L1197" s="46"/>
      <c r="M1197" s="14"/>
      <c r="N1197" s="261"/>
    </row>
    <row r="1198" spans="2:14" x14ac:dyDescent="0.35">
      <c r="B1198" s="96"/>
      <c r="C1198" s="97"/>
      <c r="D1198" s="98"/>
      <c r="E1198" s="99"/>
      <c r="F1198" s="100" t="s">
        <v>89</v>
      </c>
      <c r="G1198" s="101" t="s">
        <v>1581</v>
      </c>
      <c r="H1198" s="102">
        <v>9555.6479999999992</v>
      </c>
      <c r="I1198" s="103" t="s">
        <v>87</v>
      </c>
      <c r="J1198" s="65">
        <v>12000</v>
      </c>
      <c r="K1198" s="65">
        <f t="shared" si="61"/>
        <v>114667775.99999999</v>
      </c>
      <c r="L1198" s="46"/>
    </row>
    <row r="1199" spans="2:14" x14ac:dyDescent="0.35">
      <c r="B1199" s="96"/>
      <c r="C1199" s="97"/>
      <c r="D1199" s="98"/>
      <c r="E1199" s="99"/>
      <c r="F1199" s="100" t="s">
        <v>89</v>
      </c>
      <c r="G1199" s="101" t="s">
        <v>1582</v>
      </c>
      <c r="H1199" s="102">
        <v>4857.2030000000004</v>
      </c>
      <c r="I1199" s="103" t="s">
        <v>87</v>
      </c>
      <c r="J1199" s="65">
        <v>12000</v>
      </c>
      <c r="K1199" s="65">
        <f t="shared" si="61"/>
        <v>58286436.000000007</v>
      </c>
      <c r="L1199" s="46"/>
      <c r="M1199" s="14"/>
    </row>
    <row r="1200" spans="2:14" x14ac:dyDescent="0.35">
      <c r="B1200" s="96"/>
      <c r="C1200" s="97"/>
      <c r="D1200" s="98"/>
      <c r="E1200" s="99"/>
      <c r="F1200" s="100" t="s">
        <v>89</v>
      </c>
      <c r="G1200" s="101" t="s">
        <v>1583</v>
      </c>
      <c r="H1200" s="102">
        <v>1647.8720000000001</v>
      </c>
      <c r="I1200" s="103" t="s">
        <v>87</v>
      </c>
      <c r="J1200" s="65">
        <v>12000</v>
      </c>
      <c r="K1200" s="65">
        <f t="shared" si="61"/>
        <v>19774464</v>
      </c>
      <c r="L1200" s="46"/>
      <c r="M1200" s="14"/>
    </row>
    <row r="1201" spans="2:14" x14ac:dyDescent="0.35">
      <c r="B1201" s="96"/>
      <c r="C1201" s="97" t="s">
        <v>1522</v>
      </c>
      <c r="D1201" s="98"/>
      <c r="E1201" s="272"/>
      <c r="F1201" s="273" t="s">
        <v>1523</v>
      </c>
      <c r="G1201" s="274"/>
      <c r="H1201" s="102"/>
      <c r="I1201" s="103"/>
      <c r="J1201" s="65"/>
      <c r="K1201" s="65"/>
      <c r="L1201" s="46"/>
      <c r="M1201" s="14"/>
    </row>
    <row r="1202" spans="2:14" x14ac:dyDescent="0.35">
      <c r="B1202" s="96"/>
      <c r="C1202" s="97"/>
      <c r="D1202" s="98"/>
      <c r="E1202" s="99"/>
      <c r="F1202" s="100" t="s">
        <v>89</v>
      </c>
      <c r="G1202" s="101" t="s">
        <v>1584</v>
      </c>
      <c r="H1202" s="102">
        <v>159.33599999999998</v>
      </c>
      <c r="I1202" s="103" t="s">
        <v>87</v>
      </c>
      <c r="J1202" s="65">
        <v>12000</v>
      </c>
      <c r="K1202" s="65">
        <f t="shared" ref="K1202:K1209" si="62">J1202*H1202</f>
        <v>1912031.9999999998</v>
      </c>
      <c r="L1202" s="46"/>
      <c r="M1202" s="14"/>
      <c r="N1202" s="261"/>
    </row>
    <row r="1203" spans="2:14" x14ac:dyDescent="0.35">
      <c r="B1203" s="96"/>
      <c r="C1203" s="97"/>
      <c r="D1203" s="98"/>
      <c r="E1203" s="99"/>
      <c r="F1203" s="100" t="s">
        <v>89</v>
      </c>
      <c r="G1203" s="101" t="s">
        <v>1585</v>
      </c>
      <c r="H1203" s="102">
        <v>109.61999999999999</v>
      </c>
      <c r="I1203" s="103" t="s">
        <v>87</v>
      </c>
      <c r="J1203" s="65">
        <v>12000</v>
      </c>
      <c r="K1203" s="65">
        <f t="shared" si="62"/>
        <v>1315440</v>
      </c>
      <c r="L1203" s="46"/>
    </row>
    <row r="1204" spans="2:14" x14ac:dyDescent="0.35">
      <c r="B1204" s="96"/>
      <c r="C1204" s="97"/>
      <c r="D1204" s="98"/>
      <c r="E1204" s="99"/>
      <c r="F1204" s="100" t="s">
        <v>89</v>
      </c>
      <c r="G1204" s="101" t="s">
        <v>1586</v>
      </c>
      <c r="H1204" s="102">
        <v>159.93600000000001</v>
      </c>
      <c r="I1204" s="103" t="s">
        <v>87</v>
      </c>
      <c r="J1204" s="65">
        <v>12000</v>
      </c>
      <c r="K1204" s="65">
        <f t="shared" si="62"/>
        <v>1919232</v>
      </c>
      <c r="L1204" s="46"/>
    </row>
    <row r="1205" spans="2:14" x14ac:dyDescent="0.35">
      <c r="B1205" s="96"/>
      <c r="C1205" s="97"/>
      <c r="D1205" s="98"/>
      <c r="E1205" s="99"/>
      <c r="F1205" s="100" t="s">
        <v>89</v>
      </c>
      <c r="G1205" s="101" t="s">
        <v>1587</v>
      </c>
      <c r="H1205" s="102">
        <v>135.37199999999999</v>
      </c>
      <c r="I1205" s="103" t="s">
        <v>87</v>
      </c>
      <c r="J1205" s="65">
        <v>12000</v>
      </c>
      <c r="K1205" s="65">
        <f t="shared" si="62"/>
        <v>1624463.9999999998</v>
      </c>
      <c r="L1205" s="46"/>
    </row>
    <row r="1206" spans="2:14" x14ac:dyDescent="0.35">
      <c r="B1206" s="96"/>
      <c r="C1206" s="97"/>
      <c r="D1206" s="98"/>
      <c r="E1206" s="99"/>
      <c r="F1206" s="100" t="s">
        <v>89</v>
      </c>
      <c r="G1206" s="101" t="s">
        <v>1560</v>
      </c>
      <c r="H1206" s="102">
        <v>215.65200000000002</v>
      </c>
      <c r="I1206" s="103" t="s">
        <v>87</v>
      </c>
      <c r="J1206" s="65">
        <v>12000</v>
      </c>
      <c r="K1206" s="65">
        <f t="shared" si="62"/>
        <v>2587824</v>
      </c>
      <c r="L1206" s="46"/>
    </row>
    <row r="1207" spans="2:14" x14ac:dyDescent="0.35">
      <c r="B1207" s="96"/>
      <c r="C1207" s="97"/>
      <c r="D1207" s="98"/>
      <c r="E1207" s="99"/>
      <c r="F1207" s="100" t="s">
        <v>89</v>
      </c>
      <c r="G1207" s="101" t="s">
        <v>1588</v>
      </c>
      <c r="H1207" s="102">
        <v>135.37199999999999</v>
      </c>
      <c r="I1207" s="103" t="s">
        <v>87</v>
      </c>
      <c r="J1207" s="65">
        <v>12000</v>
      </c>
      <c r="K1207" s="65">
        <f t="shared" si="62"/>
        <v>1624463.9999999998</v>
      </c>
      <c r="L1207" s="46"/>
    </row>
    <row r="1208" spans="2:14" x14ac:dyDescent="0.35">
      <c r="B1208" s="96"/>
      <c r="C1208" s="97"/>
      <c r="D1208" s="98"/>
      <c r="E1208" s="99"/>
      <c r="F1208" s="100" t="s">
        <v>89</v>
      </c>
      <c r="G1208" s="101" t="s">
        <v>1589</v>
      </c>
      <c r="H1208" s="102">
        <v>159.93600000000001</v>
      </c>
      <c r="I1208" s="103" t="s">
        <v>87</v>
      </c>
      <c r="J1208" s="65">
        <v>12000</v>
      </c>
      <c r="K1208" s="65">
        <f t="shared" si="62"/>
        <v>1919232</v>
      </c>
      <c r="L1208" s="46"/>
    </row>
    <row r="1209" spans="2:14" x14ac:dyDescent="0.35">
      <c r="B1209" s="96"/>
      <c r="C1209" s="97"/>
      <c r="D1209" s="98"/>
      <c r="E1209" s="99"/>
      <c r="F1209" s="100" t="s">
        <v>89</v>
      </c>
      <c r="G1209" s="101" t="s">
        <v>1590</v>
      </c>
      <c r="H1209" s="102">
        <v>135.37199999999999</v>
      </c>
      <c r="I1209" s="103" t="s">
        <v>87</v>
      </c>
      <c r="J1209" s="65">
        <v>12000</v>
      </c>
      <c r="K1209" s="65">
        <f t="shared" si="62"/>
        <v>1624463.9999999998</v>
      </c>
      <c r="L1209" s="46"/>
    </row>
    <row r="1210" spans="2:14" x14ac:dyDescent="0.35">
      <c r="B1210" s="96"/>
      <c r="C1210" s="97"/>
      <c r="D1210" s="98"/>
      <c r="E1210" s="99"/>
      <c r="F1210" s="100"/>
      <c r="G1210" s="101"/>
      <c r="H1210" s="102"/>
      <c r="I1210" s="103"/>
      <c r="J1210" s="65"/>
      <c r="K1210" s="65"/>
      <c r="L1210" s="46"/>
    </row>
    <row r="1211" spans="2:14" x14ac:dyDescent="0.35">
      <c r="B1211" s="47"/>
      <c r="C1211" s="48"/>
      <c r="D1211" s="24"/>
      <c r="G1211" s="22"/>
      <c r="I1211" s="22"/>
      <c r="J1211" s="50"/>
      <c r="K1211" s="29"/>
      <c r="L1211" s="52"/>
    </row>
    <row r="1212" spans="2:14" x14ac:dyDescent="0.35">
      <c r="B1212" s="8"/>
      <c r="C1212" s="9"/>
      <c r="D1212" s="10"/>
      <c r="E1212" s="4"/>
      <c r="F1212" s="4"/>
      <c r="G1212" s="4"/>
      <c r="H1212" s="1"/>
      <c r="I1212" s="1"/>
      <c r="J1212" s="11" t="s">
        <v>8</v>
      </c>
      <c r="K1212" s="7">
        <f>SUM(K1159:K1211)</f>
        <v>343251861.59999996</v>
      </c>
      <c r="L1212" s="7">
        <f>SUM(L1159:L1211)</f>
        <v>0</v>
      </c>
    </row>
    <row r="1213" spans="2:14" x14ac:dyDescent="0.35">
      <c r="B1213" s="8"/>
      <c r="C1213" s="9"/>
      <c r="D1213" s="9"/>
      <c r="E1213" s="4"/>
      <c r="F1213" s="4"/>
      <c r="G1213" s="4"/>
      <c r="H1213" s="1"/>
      <c r="I1213" s="1"/>
      <c r="J1213" s="11"/>
      <c r="K1213" s="35" t="s">
        <v>22</v>
      </c>
      <c r="L1213" s="36" t="s">
        <v>23</v>
      </c>
    </row>
    <row r="1214" spans="2:14" x14ac:dyDescent="0.35">
      <c r="B1214" s="3" t="s">
        <v>9</v>
      </c>
      <c r="C1214" s="4"/>
      <c r="D1214" s="4"/>
      <c r="E1214" s="4"/>
      <c r="F1214" s="4"/>
      <c r="G1214" s="4"/>
      <c r="H1214" s="1"/>
      <c r="I1214" s="1"/>
      <c r="J1214" s="12"/>
      <c r="K1214" s="12"/>
      <c r="L1214" s="13"/>
    </row>
    <row r="1215" spans="2:14" x14ac:dyDescent="0.35">
      <c r="B1215" s="37"/>
      <c r="C1215" s="1"/>
      <c r="D1215" s="1"/>
      <c r="E1215" s="38"/>
      <c r="F1215" s="38"/>
      <c r="G1215" s="38"/>
      <c r="H1215" s="1"/>
      <c r="I1215" s="1"/>
      <c r="J1215" s="1"/>
      <c r="K1215" s="1"/>
      <c r="L1215" s="19"/>
    </row>
    <row r="1216" spans="2:14" x14ac:dyDescent="0.35">
      <c r="B1216" s="28" t="s">
        <v>6</v>
      </c>
      <c r="C1216" s="27"/>
      <c r="D1216" s="27"/>
      <c r="E1216" s="26"/>
      <c r="F1216" s="26"/>
      <c r="G1216" s="5"/>
      <c r="K1216" s="284" t="s">
        <v>1600</v>
      </c>
      <c r="L1216" s="285"/>
    </row>
    <row r="1217" spans="2:13" x14ac:dyDescent="0.35">
      <c r="B1217" s="28">
        <v>1</v>
      </c>
      <c r="C1217" s="27"/>
      <c r="D1217" s="27"/>
      <c r="E1217" s="26" t="s">
        <v>7</v>
      </c>
      <c r="F1217" s="26"/>
      <c r="G1217" s="5"/>
      <c r="K1217" s="284" t="s">
        <v>28</v>
      </c>
      <c r="L1217" s="285"/>
    </row>
    <row r="1218" spans="2:13" x14ac:dyDescent="0.35">
      <c r="B1218" s="39"/>
      <c r="C1218" s="27"/>
      <c r="D1218" s="27"/>
      <c r="E1218" s="26"/>
      <c r="F1218" s="26"/>
      <c r="G1218" s="5"/>
      <c r="J1218" s="25"/>
      <c r="K1218" s="25"/>
      <c r="L1218" s="24"/>
    </row>
    <row r="1219" spans="2:13" x14ac:dyDescent="0.35">
      <c r="B1219" s="28"/>
      <c r="C1219" s="27"/>
      <c r="D1219" s="27"/>
      <c r="E1219" s="26"/>
      <c r="F1219" s="26"/>
      <c r="G1219" s="5"/>
      <c r="L1219" s="22"/>
    </row>
    <row r="1220" spans="2:13" x14ac:dyDescent="0.35">
      <c r="B1220" s="45"/>
      <c r="E1220" s="5"/>
      <c r="F1220" s="5"/>
      <c r="G1220" s="5"/>
      <c r="L1220" s="22"/>
    </row>
    <row r="1221" spans="2:13" x14ac:dyDescent="0.35">
      <c r="B1221" s="45"/>
      <c r="E1221" s="5"/>
      <c r="F1221" s="5"/>
      <c r="G1221" s="5"/>
      <c r="L1221" s="22"/>
    </row>
    <row r="1222" spans="2:13" x14ac:dyDescent="0.35">
      <c r="B1222" s="45"/>
      <c r="E1222" s="5"/>
      <c r="F1222" s="5"/>
      <c r="G1222" s="5"/>
      <c r="L1222" s="22"/>
    </row>
    <row r="1223" spans="2:13" x14ac:dyDescent="0.35">
      <c r="B1223" s="45"/>
      <c r="E1223" s="5"/>
      <c r="F1223" s="5"/>
      <c r="G1223" s="5"/>
      <c r="J1223" s="40"/>
      <c r="K1223" s="286" t="s">
        <v>36</v>
      </c>
      <c r="L1223" s="287"/>
    </row>
    <row r="1224" spans="2:13" x14ac:dyDescent="0.35">
      <c r="B1224" s="45"/>
      <c r="K1224" s="288" t="s">
        <v>37</v>
      </c>
      <c r="L1224" s="289"/>
    </row>
    <row r="1225" spans="2:13" x14ac:dyDescent="0.35">
      <c r="B1225" s="290"/>
      <c r="C1225" s="291"/>
      <c r="D1225" s="291"/>
      <c r="E1225" s="41"/>
      <c r="F1225" s="41"/>
      <c r="G1225" s="41"/>
      <c r="H1225" s="2"/>
      <c r="I1225" s="2"/>
      <c r="J1225" s="2"/>
      <c r="K1225" s="2"/>
      <c r="L1225" s="21"/>
    </row>
    <row r="1226" spans="2:13" x14ac:dyDescent="0.35">
      <c r="B1226" s="47"/>
      <c r="C1226" s="48"/>
      <c r="D1226" s="49"/>
      <c r="G1226" s="22"/>
      <c r="H1226" s="1"/>
      <c r="I1226" s="1"/>
      <c r="J1226" s="43"/>
      <c r="K1226" s="30"/>
      <c r="L1226" s="44"/>
    </row>
    <row r="1227" spans="2:13" x14ac:dyDescent="0.35">
      <c r="B1227" s="96"/>
      <c r="C1227" s="97"/>
      <c r="D1227" s="98"/>
      <c r="E1227" s="99"/>
      <c r="F1227" s="100" t="s">
        <v>89</v>
      </c>
      <c r="G1227" s="101" t="s">
        <v>1591</v>
      </c>
      <c r="H1227" s="102">
        <v>155.74799999999999</v>
      </c>
      <c r="I1227" s="103" t="s">
        <v>87</v>
      </c>
      <c r="J1227" s="65">
        <v>12000</v>
      </c>
      <c r="K1227" s="65">
        <f t="shared" ref="K1227:K1234" si="63">J1227*H1227</f>
        <v>1868976</v>
      </c>
      <c r="L1227" s="46"/>
    </row>
    <row r="1228" spans="2:13" x14ac:dyDescent="0.35">
      <c r="B1228" s="96"/>
      <c r="C1228" s="97"/>
      <c r="D1228" s="98"/>
      <c r="E1228" s="99"/>
      <c r="F1228" s="100" t="s">
        <v>89</v>
      </c>
      <c r="G1228" s="101" t="s">
        <v>1592</v>
      </c>
      <c r="H1228" s="102">
        <v>127.59599999999999</v>
      </c>
      <c r="I1228" s="103" t="s">
        <v>87</v>
      </c>
      <c r="J1228" s="65">
        <v>12000</v>
      </c>
      <c r="K1228" s="65">
        <f t="shared" si="63"/>
        <v>1531151.9999999998</v>
      </c>
      <c r="L1228" s="52"/>
    </row>
    <row r="1229" spans="2:13" x14ac:dyDescent="0.35">
      <c r="B1229" s="96"/>
      <c r="C1229" s="97"/>
      <c r="D1229" s="98"/>
      <c r="E1229" s="99"/>
      <c r="F1229" s="100" t="s">
        <v>89</v>
      </c>
      <c r="G1229" s="101" t="s">
        <v>1593</v>
      </c>
      <c r="H1229" s="102">
        <v>215.65200000000002</v>
      </c>
      <c r="I1229" s="103" t="s">
        <v>87</v>
      </c>
      <c r="J1229" s="65">
        <v>12000</v>
      </c>
      <c r="K1229" s="65">
        <f t="shared" si="63"/>
        <v>2587824</v>
      </c>
      <c r="L1229" s="46"/>
    </row>
    <row r="1230" spans="2:13" x14ac:dyDescent="0.35">
      <c r="B1230" s="96"/>
      <c r="C1230" s="97"/>
      <c r="D1230" s="98"/>
      <c r="E1230" s="99"/>
      <c r="F1230" s="100" t="s">
        <v>89</v>
      </c>
      <c r="G1230" s="101" t="s">
        <v>1594</v>
      </c>
      <c r="H1230" s="102">
        <v>127.59599999999999</v>
      </c>
      <c r="I1230" s="103" t="s">
        <v>87</v>
      </c>
      <c r="J1230" s="65">
        <v>12000</v>
      </c>
      <c r="K1230" s="65">
        <f t="shared" si="63"/>
        <v>1531151.9999999998</v>
      </c>
      <c r="L1230" s="46"/>
    </row>
    <row r="1231" spans="2:13" x14ac:dyDescent="0.35">
      <c r="B1231" s="96"/>
      <c r="C1231" s="97"/>
      <c r="D1231" s="98"/>
      <c r="E1231" s="99"/>
      <c r="F1231" s="100" t="s">
        <v>89</v>
      </c>
      <c r="G1231" s="101" t="s">
        <v>1595</v>
      </c>
      <c r="H1231" s="102">
        <v>141.37199999999999</v>
      </c>
      <c r="I1231" s="103" t="s">
        <v>87</v>
      </c>
      <c r="J1231" s="65">
        <v>12000</v>
      </c>
      <c r="K1231" s="65">
        <f t="shared" si="63"/>
        <v>1696463.9999999998</v>
      </c>
      <c r="L1231" s="46"/>
    </row>
    <row r="1232" spans="2:13" x14ac:dyDescent="0.35">
      <c r="B1232" s="96"/>
      <c r="C1232" s="97"/>
      <c r="D1232" s="98"/>
      <c r="E1232" s="99"/>
      <c r="F1232" s="100" t="s">
        <v>89</v>
      </c>
      <c r="G1232" s="101" t="s">
        <v>1527</v>
      </c>
      <c r="H1232" s="102">
        <v>127.59599999999999</v>
      </c>
      <c r="I1232" s="103" t="s">
        <v>87</v>
      </c>
      <c r="J1232" s="65">
        <v>12000</v>
      </c>
      <c r="K1232" s="65">
        <f t="shared" si="63"/>
        <v>1531151.9999999998</v>
      </c>
      <c r="L1232" s="46"/>
      <c r="M1232" s="105"/>
    </row>
    <row r="1233" spans="2:14" x14ac:dyDescent="0.35">
      <c r="B1233" s="96"/>
      <c r="C1233" s="97"/>
      <c r="D1233" s="98"/>
      <c r="E1233" s="99"/>
      <c r="F1233" s="100" t="s">
        <v>89</v>
      </c>
      <c r="G1233" s="101" t="s">
        <v>1596</v>
      </c>
      <c r="H1233" s="102">
        <v>1184.4707999999998</v>
      </c>
      <c r="I1233" s="103" t="s">
        <v>87</v>
      </c>
      <c r="J1233" s="65">
        <v>12000</v>
      </c>
      <c r="K1233" s="65">
        <f t="shared" si="63"/>
        <v>14213649.599999998</v>
      </c>
      <c r="L1233" s="46"/>
      <c r="M1233" s="105"/>
    </row>
    <row r="1234" spans="2:14" x14ac:dyDescent="0.35">
      <c r="B1234" s="96"/>
      <c r="C1234" s="97"/>
      <c r="D1234" s="98"/>
      <c r="E1234" s="99"/>
      <c r="F1234" s="100" t="s">
        <v>89</v>
      </c>
      <c r="G1234" s="101" t="s">
        <v>1597</v>
      </c>
      <c r="H1234" s="102">
        <v>4415.9139999999998</v>
      </c>
      <c r="I1234" s="103" t="s">
        <v>87</v>
      </c>
      <c r="J1234" s="65">
        <v>12000</v>
      </c>
      <c r="K1234" s="65">
        <f t="shared" si="63"/>
        <v>52990968</v>
      </c>
      <c r="L1234" s="46"/>
      <c r="M1234" s="105"/>
    </row>
    <row r="1235" spans="2:14" x14ac:dyDescent="0.35">
      <c r="B1235" s="88" t="s">
        <v>57</v>
      </c>
      <c r="C1235" s="89"/>
      <c r="D1235" s="90"/>
      <c r="E1235" s="91" t="s">
        <v>129</v>
      </c>
      <c r="F1235" s="92"/>
      <c r="G1235" s="93"/>
      <c r="H1235" s="94"/>
      <c r="I1235" s="95"/>
      <c r="J1235" s="65"/>
      <c r="K1235" s="65"/>
      <c r="L1235" s="46"/>
    </row>
    <row r="1236" spans="2:14" x14ac:dyDescent="0.35">
      <c r="B1236" s="96"/>
      <c r="C1236" s="97" t="s">
        <v>130</v>
      </c>
      <c r="D1236" s="98"/>
      <c r="E1236" s="99"/>
      <c r="F1236" s="100" t="s">
        <v>131</v>
      </c>
      <c r="G1236" s="101"/>
      <c r="H1236" s="102"/>
      <c r="I1236" s="103"/>
      <c r="J1236" s="65"/>
      <c r="K1236" s="65"/>
      <c r="L1236" s="46"/>
    </row>
    <row r="1237" spans="2:14" x14ac:dyDescent="0.35">
      <c r="B1237" s="96"/>
      <c r="C1237" s="97"/>
      <c r="D1237" s="98" t="s">
        <v>44</v>
      </c>
      <c r="E1237" s="99"/>
      <c r="F1237" s="100" t="s">
        <v>132</v>
      </c>
      <c r="G1237" s="101"/>
      <c r="H1237" s="104">
        <v>1</v>
      </c>
      <c r="I1237" s="103" t="s">
        <v>133</v>
      </c>
      <c r="J1237" s="65">
        <v>5250000</v>
      </c>
      <c r="K1237" s="65"/>
      <c r="L1237" s="46">
        <f>J1237*H1237</f>
        <v>5250000</v>
      </c>
    </row>
    <row r="1238" spans="2:14" x14ac:dyDescent="0.35">
      <c r="B1238" s="96"/>
      <c r="C1238" s="97"/>
      <c r="D1238" s="98"/>
      <c r="E1238" s="99"/>
      <c r="F1238" s="100" t="s">
        <v>89</v>
      </c>
      <c r="G1238" s="101" t="s">
        <v>857</v>
      </c>
      <c r="H1238" s="104"/>
      <c r="I1238" s="103"/>
      <c r="J1238" s="65"/>
      <c r="K1238" s="65"/>
      <c r="L1238" s="46"/>
      <c r="M1238" s="14">
        <v>1200000</v>
      </c>
    </row>
    <row r="1239" spans="2:14" x14ac:dyDescent="0.35">
      <c r="B1239" s="96"/>
      <c r="C1239" s="97"/>
      <c r="D1239" s="98"/>
      <c r="E1239" s="99"/>
      <c r="F1239" s="100" t="s">
        <v>89</v>
      </c>
      <c r="G1239" s="101" t="s">
        <v>858</v>
      </c>
      <c r="H1239" s="102"/>
      <c r="I1239" s="103"/>
      <c r="J1239" s="65"/>
      <c r="K1239" s="65"/>
      <c r="L1239" s="46"/>
      <c r="M1239" s="14">
        <v>77836</v>
      </c>
    </row>
    <row r="1240" spans="2:14" x14ac:dyDescent="0.35">
      <c r="B1240" s="96"/>
      <c r="C1240" s="97"/>
      <c r="D1240" s="98"/>
      <c r="E1240" s="99"/>
      <c r="F1240" s="100" t="s">
        <v>89</v>
      </c>
      <c r="G1240" s="101" t="s">
        <v>263</v>
      </c>
      <c r="H1240" s="104"/>
      <c r="I1240" s="103"/>
      <c r="J1240" s="65"/>
      <c r="K1240" s="65"/>
      <c r="L1240" s="46"/>
      <c r="M1240" s="14">
        <v>140000</v>
      </c>
    </row>
    <row r="1241" spans="2:14" x14ac:dyDescent="0.35">
      <c r="B1241" s="96"/>
      <c r="C1241" s="97"/>
      <c r="D1241" s="98"/>
      <c r="E1241" s="99"/>
      <c r="F1241" s="100" t="s">
        <v>89</v>
      </c>
      <c r="G1241" s="101" t="s">
        <v>859</v>
      </c>
      <c r="H1241" s="104">
        <v>1</v>
      </c>
      <c r="I1241" s="103"/>
      <c r="J1241" s="65">
        <v>2500000</v>
      </c>
      <c r="K1241" s="65"/>
      <c r="L1241" s="46"/>
      <c r="M1241" s="14">
        <v>2500000</v>
      </c>
      <c r="N1241" s="261">
        <v>5093186.8</v>
      </c>
    </row>
    <row r="1242" spans="2:14" x14ac:dyDescent="0.35">
      <c r="B1242" s="96"/>
      <c r="C1242" s="97"/>
      <c r="D1242" s="98" t="s">
        <v>47</v>
      </c>
      <c r="E1242" s="99"/>
      <c r="F1242" s="100" t="s">
        <v>134</v>
      </c>
      <c r="G1242" s="101"/>
      <c r="H1242" s="104"/>
      <c r="I1242" s="103"/>
      <c r="J1242" s="65"/>
      <c r="K1242" s="65"/>
      <c r="L1242" s="46">
        <f>J1242*H1242</f>
        <v>0</v>
      </c>
    </row>
    <row r="1243" spans="2:14" x14ac:dyDescent="0.35">
      <c r="B1243" s="96"/>
      <c r="C1243" s="97"/>
      <c r="D1243" s="98"/>
      <c r="E1243" s="99"/>
      <c r="F1243" s="100" t="s">
        <v>89</v>
      </c>
      <c r="G1243" s="101" t="s">
        <v>860</v>
      </c>
      <c r="H1243" s="104"/>
      <c r="I1243" s="103"/>
      <c r="J1243" s="65"/>
      <c r="K1243" s="65"/>
      <c r="L1243" s="46"/>
      <c r="M1243" s="14">
        <v>1800000</v>
      </c>
    </row>
    <row r="1244" spans="2:14" x14ac:dyDescent="0.35">
      <c r="B1244" s="96"/>
      <c r="C1244" s="97"/>
      <c r="D1244" s="98"/>
      <c r="E1244" s="99"/>
      <c r="F1244" s="100" t="s">
        <v>89</v>
      </c>
      <c r="G1244" s="101" t="s">
        <v>858</v>
      </c>
      <c r="H1244" s="102"/>
      <c r="I1244" s="103"/>
      <c r="J1244" s="65"/>
      <c r="K1244" s="65"/>
      <c r="L1244" s="46"/>
      <c r="M1244" s="14">
        <v>77836</v>
      </c>
    </row>
    <row r="1245" spans="2:14" x14ac:dyDescent="0.35">
      <c r="B1245" s="96"/>
      <c r="C1245" s="97"/>
      <c r="D1245" s="98"/>
      <c r="E1245" s="99"/>
      <c r="F1245" s="100" t="s">
        <v>89</v>
      </c>
      <c r="G1245" s="101" t="s">
        <v>263</v>
      </c>
      <c r="H1245" s="104"/>
      <c r="I1245" s="103"/>
      <c r="J1245" s="65"/>
      <c r="K1245" s="65"/>
      <c r="L1245" s="46"/>
      <c r="M1245" s="14">
        <v>140000</v>
      </c>
    </row>
    <row r="1246" spans="2:14" x14ac:dyDescent="0.35">
      <c r="B1246" s="96"/>
      <c r="C1246" s="97"/>
      <c r="D1246" s="98"/>
      <c r="E1246" s="99"/>
      <c r="F1246" s="100" t="s">
        <v>89</v>
      </c>
      <c r="G1246" s="101" t="s">
        <v>859</v>
      </c>
      <c r="H1246" s="104"/>
      <c r="I1246" s="103"/>
      <c r="J1246" s="65"/>
      <c r="K1246" s="65"/>
      <c r="L1246" s="46"/>
      <c r="M1246" s="14">
        <v>2500000</v>
      </c>
      <c r="N1246" s="261">
        <v>5873186.7999999998</v>
      </c>
    </row>
    <row r="1247" spans="2:14" x14ac:dyDescent="0.35">
      <c r="B1247" s="96"/>
      <c r="C1247" s="97"/>
      <c r="D1247" s="98" t="s">
        <v>49</v>
      </c>
      <c r="E1247" s="99"/>
      <c r="F1247" s="100" t="s">
        <v>135</v>
      </c>
      <c r="G1247" s="101"/>
      <c r="H1247" s="104">
        <v>1</v>
      </c>
      <c r="I1247" s="103" t="s">
        <v>133</v>
      </c>
      <c r="J1247" s="65">
        <v>6000000</v>
      </c>
      <c r="K1247" s="65"/>
      <c r="L1247" s="46">
        <f>J1247*H1247</f>
        <v>6000000</v>
      </c>
    </row>
    <row r="1248" spans="2:14" x14ac:dyDescent="0.35">
      <c r="B1248" s="96"/>
      <c r="C1248" s="97"/>
      <c r="D1248" s="98"/>
      <c r="E1248" s="99"/>
      <c r="F1248" s="100" t="s">
        <v>89</v>
      </c>
      <c r="G1248" s="101" t="s">
        <v>860</v>
      </c>
      <c r="H1248" s="104"/>
      <c r="I1248" s="103"/>
      <c r="J1248" s="65"/>
      <c r="K1248" s="65"/>
      <c r="L1248" s="46"/>
      <c r="M1248" s="14">
        <v>1800000</v>
      </c>
    </row>
    <row r="1249" spans="2:14" x14ac:dyDescent="0.35">
      <c r="B1249" s="96"/>
      <c r="C1249" s="97"/>
      <c r="D1249" s="98"/>
      <c r="E1249" s="99"/>
      <c r="F1249" s="100" t="s">
        <v>89</v>
      </c>
      <c r="G1249" s="101" t="s">
        <v>858</v>
      </c>
      <c r="H1249" s="102"/>
      <c r="I1249" s="103"/>
      <c r="J1249" s="65"/>
      <c r="K1249" s="65"/>
      <c r="L1249" s="46"/>
      <c r="M1249" s="14">
        <v>77836</v>
      </c>
    </row>
    <row r="1250" spans="2:14" x14ac:dyDescent="0.35">
      <c r="B1250" s="96"/>
      <c r="C1250" s="97"/>
      <c r="D1250" s="98"/>
      <c r="E1250" s="99"/>
      <c r="F1250" s="100" t="s">
        <v>89</v>
      </c>
      <c r="G1250" s="101" t="s">
        <v>263</v>
      </c>
      <c r="H1250" s="104"/>
      <c r="I1250" s="103"/>
      <c r="J1250" s="65"/>
      <c r="K1250" s="65"/>
      <c r="L1250" s="46"/>
      <c r="M1250" s="14">
        <v>140000</v>
      </c>
    </row>
    <row r="1251" spans="2:14" x14ac:dyDescent="0.35">
      <c r="B1251" s="96"/>
      <c r="C1251" s="97"/>
      <c r="D1251" s="98"/>
      <c r="E1251" s="99"/>
      <c r="F1251" s="100" t="s">
        <v>89</v>
      </c>
      <c r="G1251" s="101" t="s">
        <v>859</v>
      </c>
      <c r="H1251" s="104"/>
      <c r="I1251" s="103"/>
      <c r="J1251" s="65"/>
      <c r="K1251" s="65"/>
      <c r="L1251" s="46"/>
      <c r="M1251" s="14">
        <v>2500000</v>
      </c>
      <c r="N1251" s="261">
        <v>5873186.7999999998</v>
      </c>
    </row>
    <row r="1252" spans="2:14" x14ac:dyDescent="0.35">
      <c r="B1252" s="96"/>
      <c r="C1252" s="97"/>
      <c r="D1252" s="98" t="s">
        <v>62</v>
      </c>
      <c r="E1252" s="99"/>
      <c r="F1252" s="100" t="s">
        <v>136</v>
      </c>
      <c r="G1252" s="101"/>
      <c r="H1252" s="104">
        <v>1</v>
      </c>
      <c r="I1252" s="103" t="s">
        <v>133</v>
      </c>
      <c r="J1252" s="65">
        <v>5000000</v>
      </c>
      <c r="K1252" s="65"/>
      <c r="L1252" s="46">
        <f>J1252*H1252</f>
        <v>5000000</v>
      </c>
    </row>
    <row r="1253" spans="2:14" x14ac:dyDescent="0.35">
      <c r="B1253" s="96"/>
      <c r="C1253" s="97"/>
      <c r="D1253" s="98"/>
      <c r="E1253" s="99"/>
      <c r="F1253" s="100" t="s">
        <v>89</v>
      </c>
      <c r="G1253" s="101" t="s">
        <v>861</v>
      </c>
      <c r="H1253" s="104"/>
      <c r="I1253" s="103"/>
      <c r="J1253" s="65"/>
      <c r="K1253" s="65"/>
      <c r="L1253" s="46"/>
      <c r="M1253" s="14">
        <v>1125000</v>
      </c>
    </row>
    <row r="1254" spans="2:14" x14ac:dyDescent="0.35">
      <c r="B1254" s="96"/>
      <c r="C1254" s="97"/>
      <c r="D1254" s="98"/>
      <c r="E1254" s="99"/>
      <c r="F1254" s="100" t="s">
        <v>89</v>
      </c>
      <c r="G1254" s="101" t="s">
        <v>858</v>
      </c>
      <c r="H1254" s="102"/>
      <c r="I1254" s="103"/>
      <c r="J1254" s="65"/>
      <c r="K1254" s="65"/>
      <c r="L1254" s="46"/>
      <c r="M1254" s="14">
        <v>77836</v>
      </c>
    </row>
    <row r="1255" spans="2:14" x14ac:dyDescent="0.35">
      <c r="B1255" s="96"/>
      <c r="C1255" s="97"/>
      <c r="D1255" s="98"/>
      <c r="E1255" s="99"/>
      <c r="F1255" s="100" t="s">
        <v>89</v>
      </c>
      <c r="G1255" s="101" t="s">
        <v>263</v>
      </c>
      <c r="H1255" s="104"/>
      <c r="I1255" s="103"/>
      <c r="J1255" s="65"/>
      <c r="K1255" s="65"/>
      <c r="L1255" s="46"/>
      <c r="M1255" s="14">
        <v>140000</v>
      </c>
    </row>
    <row r="1256" spans="2:14" x14ac:dyDescent="0.35">
      <c r="B1256" s="96"/>
      <c r="C1256" s="97"/>
      <c r="D1256" s="98"/>
      <c r="E1256" s="99"/>
      <c r="F1256" s="100" t="s">
        <v>89</v>
      </c>
      <c r="G1256" s="101" t="s">
        <v>859</v>
      </c>
      <c r="H1256" s="104"/>
      <c r="I1256" s="103"/>
      <c r="J1256" s="65"/>
      <c r="K1256" s="65"/>
      <c r="L1256" s="46"/>
      <c r="M1256" s="14">
        <v>2500000</v>
      </c>
      <c r="N1256" s="261">
        <v>4995686.8</v>
      </c>
    </row>
    <row r="1257" spans="2:14" x14ac:dyDescent="0.35">
      <c r="B1257" s="96"/>
      <c r="C1257" s="97"/>
      <c r="D1257" s="98" t="s">
        <v>51</v>
      </c>
      <c r="E1257" s="99"/>
      <c r="F1257" s="100" t="s">
        <v>137</v>
      </c>
      <c r="G1257" s="101"/>
      <c r="H1257" s="104">
        <v>1</v>
      </c>
      <c r="I1257" s="103" t="s">
        <v>133</v>
      </c>
      <c r="J1257" s="65">
        <v>6000000</v>
      </c>
      <c r="K1257" s="65"/>
      <c r="L1257" s="46">
        <f>J1257*H1257</f>
        <v>6000000</v>
      </c>
    </row>
    <row r="1258" spans="2:14" x14ac:dyDescent="0.35">
      <c r="B1258" s="96"/>
      <c r="C1258" s="97"/>
      <c r="D1258" s="98"/>
      <c r="E1258" s="99"/>
      <c r="F1258" s="100" t="s">
        <v>89</v>
      </c>
      <c r="G1258" s="101" t="s">
        <v>860</v>
      </c>
      <c r="H1258" s="104"/>
      <c r="I1258" s="103"/>
      <c r="J1258" s="65"/>
      <c r="K1258" s="65"/>
      <c r="L1258" s="46"/>
      <c r="M1258" s="14">
        <v>1800000</v>
      </c>
    </row>
    <row r="1259" spans="2:14" x14ac:dyDescent="0.35">
      <c r="B1259" s="96"/>
      <c r="C1259" s="97"/>
      <c r="D1259" s="98"/>
      <c r="E1259" s="99"/>
      <c r="F1259" s="100" t="s">
        <v>89</v>
      </c>
      <c r="G1259" s="101" t="s">
        <v>858</v>
      </c>
      <c r="H1259" s="102"/>
      <c r="I1259" s="103"/>
      <c r="J1259" s="65"/>
      <c r="K1259" s="65"/>
      <c r="L1259" s="46"/>
      <c r="M1259" s="14">
        <v>77836</v>
      </c>
    </row>
    <row r="1260" spans="2:14" x14ac:dyDescent="0.35">
      <c r="B1260" s="96"/>
      <c r="C1260" s="97"/>
      <c r="D1260" s="98"/>
      <c r="E1260" s="99"/>
      <c r="F1260" s="100" t="s">
        <v>89</v>
      </c>
      <c r="G1260" s="101" t="s">
        <v>263</v>
      </c>
      <c r="H1260" s="104"/>
      <c r="I1260" s="103"/>
      <c r="J1260" s="65"/>
      <c r="K1260" s="65"/>
      <c r="L1260" s="46"/>
      <c r="M1260" s="14">
        <v>140000</v>
      </c>
    </row>
    <row r="1261" spans="2:14" x14ac:dyDescent="0.35">
      <c r="B1261" s="96"/>
      <c r="C1261" s="97"/>
      <c r="D1261" s="98"/>
      <c r="E1261" s="99"/>
      <c r="F1261" s="100" t="s">
        <v>89</v>
      </c>
      <c r="G1261" s="101" t="s">
        <v>859</v>
      </c>
      <c r="H1261" s="104"/>
      <c r="I1261" s="103"/>
      <c r="J1261" s="65"/>
      <c r="K1261" s="65"/>
      <c r="L1261" s="46"/>
      <c r="M1261" s="14">
        <v>2500000</v>
      </c>
      <c r="N1261" s="261">
        <v>5873186.7999999998</v>
      </c>
    </row>
    <row r="1262" spans="2:14" x14ac:dyDescent="0.35">
      <c r="B1262" s="96"/>
      <c r="C1262" s="97"/>
      <c r="D1262" s="98" t="s">
        <v>53</v>
      </c>
      <c r="E1262" s="99"/>
      <c r="F1262" s="100" t="s">
        <v>138</v>
      </c>
      <c r="G1262" s="101"/>
      <c r="H1262" s="104">
        <v>1</v>
      </c>
      <c r="I1262" s="103" t="s">
        <v>133</v>
      </c>
      <c r="J1262" s="65">
        <v>6000000</v>
      </c>
      <c r="K1262" s="65"/>
      <c r="L1262" s="46">
        <f>J1262*H1262</f>
        <v>6000000</v>
      </c>
    </row>
    <row r="1263" spans="2:14" x14ac:dyDescent="0.35">
      <c r="B1263" s="96"/>
      <c r="C1263" s="97"/>
      <c r="D1263" s="98"/>
      <c r="E1263" s="99"/>
      <c r="F1263" s="100" t="s">
        <v>89</v>
      </c>
      <c r="G1263" s="101" t="s">
        <v>860</v>
      </c>
      <c r="H1263" s="104"/>
      <c r="I1263" s="103"/>
      <c r="J1263" s="65"/>
      <c r="K1263" s="65"/>
      <c r="L1263" s="46"/>
      <c r="M1263" s="14">
        <v>1800000</v>
      </c>
    </row>
    <row r="1264" spans="2:14" x14ac:dyDescent="0.35">
      <c r="B1264" s="96"/>
      <c r="C1264" s="97"/>
      <c r="D1264" s="98"/>
      <c r="E1264" s="99"/>
      <c r="F1264" s="100" t="s">
        <v>89</v>
      </c>
      <c r="G1264" s="101" t="s">
        <v>858</v>
      </c>
      <c r="H1264" s="102"/>
      <c r="I1264" s="103"/>
      <c r="J1264" s="65"/>
      <c r="K1264" s="65"/>
      <c r="L1264" s="46"/>
      <c r="M1264" s="14">
        <v>77836</v>
      </c>
    </row>
    <row r="1265" spans="2:14" x14ac:dyDescent="0.35">
      <c r="B1265" s="96"/>
      <c r="C1265" s="97"/>
      <c r="D1265" s="98"/>
      <c r="E1265" s="99"/>
      <c r="F1265" s="100" t="s">
        <v>89</v>
      </c>
      <c r="G1265" s="101" t="s">
        <v>263</v>
      </c>
      <c r="H1265" s="104"/>
      <c r="I1265" s="103"/>
      <c r="J1265" s="65"/>
      <c r="K1265" s="65"/>
      <c r="L1265" s="46"/>
      <c r="M1265" s="14">
        <v>140000</v>
      </c>
    </row>
    <row r="1266" spans="2:14" x14ac:dyDescent="0.35">
      <c r="B1266" s="96"/>
      <c r="C1266" s="97"/>
      <c r="D1266" s="98"/>
      <c r="E1266" s="99"/>
      <c r="F1266" s="100" t="s">
        <v>89</v>
      </c>
      <c r="G1266" s="101" t="s">
        <v>859</v>
      </c>
      <c r="H1266" s="104">
        <v>1</v>
      </c>
      <c r="I1266" s="103"/>
      <c r="J1266" s="65">
        <v>2500000</v>
      </c>
      <c r="K1266" s="65"/>
      <c r="L1266" s="46"/>
      <c r="M1266" s="14">
        <v>2500000</v>
      </c>
      <c r="N1266" s="261">
        <v>5873186.7999999998</v>
      </c>
    </row>
    <row r="1267" spans="2:14" x14ac:dyDescent="0.35">
      <c r="B1267" s="96"/>
      <c r="C1267" s="97"/>
      <c r="D1267" s="98" t="s">
        <v>55</v>
      </c>
      <c r="E1267" s="99"/>
      <c r="F1267" s="100" t="s">
        <v>139</v>
      </c>
      <c r="G1267" s="101"/>
      <c r="H1267" s="104">
        <v>1</v>
      </c>
      <c r="I1267" s="103" t="s">
        <v>133</v>
      </c>
      <c r="J1267" s="65">
        <v>5500000</v>
      </c>
      <c r="K1267" s="65"/>
      <c r="L1267" s="46">
        <f>J1267*H1267</f>
        <v>5500000</v>
      </c>
    </row>
    <row r="1268" spans="2:14" x14ac:dyDescent="0.35">
      <c r="B1268" s="96"/>
      <c r="C1268" s="97"/>
      <c r="D1268" s="98"/>
      <c r="E1268" s="99"/>
      <c r="F1268" s="100" t="s">
        <v>89</v>
      </c>
      <c r="G1268" s="101" t="s">
        <v>862</v>
      </c>
      <c r="H1268" s="104"/>
      <c r="I1268" s="103"/>
      <c r="J1268" s="65"/>
      <c r="K1268" s="65"/>
      <c r="L1268" s="46"/>
      <c r="M1268" s="14">
        <v>1500000</v>
      </c>
    </row>
    <row r="1269" spans="2:14" x14ac:dyDescent="0.35">
      <c r="B1269" s="96"/>
      <c r="C1269" s="97"/>
      <c r="D1269" s="98"/>
      <c r="E1269" s="99"/>
      <c r="F1269" s="100" t="s">
        <v>89</v>
      </c>
      <c r="G1269" s="101" t="s">
        <v>858</v>
      </c>
      <c r="H1269" s="102"/>
      <c r="I1269" s="103"/>
      <c r="J1269" s="65"/>
      <c r="K1269" s="65"/>
      <c r="L1269" s="46"/>
      <c r="M1269" s="14">
        <v>77836</v>
      </c>
    </row>
    <row r="1270" spans="2:14" x14ac:dyDescent="0.35">
      <c r="B1270" s="96"/>
      <c r="C1270" s="97"/>
      <c r="D1270" s="98"/>
      <c r="E1270" s="99"/>
      <c r="F1270" s="100" t="s">
        <v>89</v>
      </c>
      <c r="G1270" s="101" t="s">
        <v>263</v>
      </c>
      <c r="H1270" s="104"/>
      <c r="I1270" s="103"/>
      <c r="J1270" s="65"/>
      <c r="K1270" s="65"/>
      <c r="L1270" s="46"/>
      <c r="M1270" s="14">
        <v>140000</v>
      </c>
    </row>
    <row r="1271" spans="2:14" x14ac:dyDescent="0.35">
      <c r="B1271" s="96"/>
      <c r="C1271" s="97"/>
      <c r="D1271" s="98"/>
      <c r="E1271" s="99"/>
      <c r="F1271" s="100" t="s">
        <v>89</v>
      </c>
      <c r="G1271" s="101" t="s">
        <v>859</v>
      </c>
      <c r="H1271" s="104"/>
      <c r="I1271" s="103"/>
      <c r="J1271" s="65"/>
      <c r="K1271" s="65"/>
      <c r="L1271" s="46"/>
      <c r="M1271" s="14">
        <v>2500000</v>
      </c>
      <c r="N1271" s="261">
        <v>5483186.7999999998</v>
      </c>
    </row>
    <row r="1272" spans="2:14" x14ac:dyDescent="0.35">
      <c r="B1272" s="96"/>
      <c r="C1272" s="97"/>
      <c r="D1272" s="98" t="s">
        <v>65</v>
      </c>
      <c r="E1272" s="99"/>
      <c r="F1272" s="100" t="s">
        <v>140</v>
      </c>
      <c r="G1272" s="101"/>
      <c r="H1272" s="104">
        <v>1</v>
      </c>
      <c r="I1272" s="103" t="s">
        <v>133</v>
      </c>
      <c r="J1272" s="65">
        <v>6000000</v>
      </c>
      <c r="K1272" s="65"/>
      <c r="L1272" s="46">
        <f>J1272*H1272</f>
        <v>6000000</v>
      </c>
    </row>
    <row r="1273" spans="2:14" x14ac:dyDescent="0.35">
      <c r="B1273" s="96"/>
      <c r="C1273" s="97"/>
      <c r="D1273" s="98"/>
      <c r="E1273" s="99"/>
      <c r="F1273" s="100" t="s">
        <v>89</v>
      </c>
      <c r="G1273" s="101" t="s">
        <v>860</v>
      </c>
      <c r="H1273" s="104"/>
      <c r="I1273" s="103"/>
      <c r="J1273" s="65"/>
      <c r="K1273" s="65"/>
      <c r="L1273" s="46"/>
      <c r="M1273" s="14">
        <v>1800000</v>
      </c>
    </row>
    <row r="1274" spans="2:14" x14ac:dyDescent="0.35">
      <c r="B1274" s="96"/>
      <c r="C1274" s="97"/>
      <c r="D1274" s="98"/>
      <c r="E1274" s="99"/>
      <c r="F1274" s="100" t="s">
        <v>89</v>
      </c>
      <c r="G1274" s="101" t="s">
        <v>858</v>
      </c>
      <c r="H1274" s="102"/>
      <c r="I1274" s="103"/>
      <c r="J1274" s="65"/>
      <c r="K1274" s="65"/>
      <c r="L1274" s="46"/>
      <c r="M1274" s="14">
        <v>77836</v>
      </c>
    </row>
    <row r="1275" spans="2:14" x14ac:dyDescent="0.35">
      <c r="B1275" s="96"/>
      <c r="C1275" s="97"/>
      <c r="D1275" s="98"/>
      <c r="E1275" s="99"/>
      <c r="F1275" s="100" t="s">
        <v>89</v>
      </c>
      <c r="G1275" s="101" t="s">
        <v>263</v>
      </c>
      <c r="H1275" s="104"/>
      <c r="I1275" s="103"/>
      <c r="J1275" s="65"/>
      <c r="K1275" s="65"/>
      <c r="L1275" s="46"/>
      <c r="M1275" s="14">
        <v>140000</v>
      </c>
    </row>
    <row r="1276" spans="2:14" x14ac:dyDescent="0.35">
      <c r="B1276" s="96"/>
      <c r="C1276" s="97"/>
      <c r="D1276" s="98"/>
      <c r="E1276" s="99"/>
      <c r="F1276" s="100" t="s">
        <v>89</v>
      </c>
      <c r="G1276" s="101" t="s">
        <v>859</v>
      </c>
      <c r="H1276" s="104"/>
      <c r="I1276" s="103"/>
      <c r="J1276" s="65"/>
      <c r="K1276" s="65"/>
      <c r="L1276" s="46"/>
      <c r="M1276" s="14">
        <v>2500000</v>
      </c>
      <c r="N1276" s="261">
        <v>5873186.7999999998</v>
      </c>
    </row>
    <row r="1277" spans="2:14" x14ac:dyDescent="0.35">
      <c r="B1277" s="47"/>
      <c r="C1277" s="48"/>
      <c r="D1277" s="24"/>
      <c r="G1277" s="22"/>
      <c r="I1277" s="22"/>
      <c r="J1277" s="50"/>
      <c r="K1277" s="29"/>
      <c r="L1277" s="52"/>
    </row>
    <row r="1278" spans="2:14" x14ac:dyDescent="0.35">
      <c r="B1278" s="47"/>
      <c r="C1278" s="48"/>
      <c r="D1278" s="24"/>
      <c r="G1278" s="22"/>
      <c r="I1278" s="22"/>
      <c r="J1278" s="50"/>
      <c r="K1278" s="29"/>
      <c r="L1278" s="52"/>
    </row>
    <row r="1279" spans="2:14" x14ac:dyDescent="0.35">
      <c r="B1279" s="8"/>
      <c r="C1279" s="9"/>
      <c r="D1279" s="10"/>
      <c r="E1279" s="4"/>
      <c r="F1279" s="4"/>
      <c r="G1279" s="4"/>
      <c r="H1279" s="1"/>
      <c r="I1279" s="1"/>
      <c r="J1279" s="11" t="s">
        <v>8</v>
      </c>
      <c r="K1279" s="7">
        <f>SUM(K1226:K1278)</f>
        <v>77951337.599999994</v>
      </c>
      <c r="L1279" s="7">
        <f>SUM(L1226:L1278)</f>
        <v>39750000</v>
      </c>
    </row>
    <row r="1280" spans="2:14" x14ac:dyDescent="0.35">
      <c r="B1280" s="8"/>
      <c r="C1280" s="9"/>
      <c r="D1280" s="9"/>
      <c r="E1280" s="4"/>
      <c r="F1280" s="4"/>
      <c r="G1280" s="4"/>
      <c r="H1280" s="1"/>
      <c r="I1280" s="1"/>
      <c r="J1280" s="11"/>
      <c r="K1280" s="35" t="s">
        <v>22</v>
      </c>
      <c r="L1280" s="36" t="s">
        <v>23</v>
      </c>
    </row>
    <row r="1281" spans="2:13" x14ac:dyDescent="0.35">
      <c r="B1281" s="3" t="s">
        <v>9</v>
      </c>
      <c r="C1281" s="4"/>
      <c r="D1281" s="4"/>
      <c r="E1281" s="4"/>
      <c r="F1281" s="4"/>
      <c r="G1281" s="4"/>
      <c r="H1281" s="1"/>
      <c r="I1281" s="1"/>
      <c r="J1281" s="12"/>
      <c r="K1281" s="12"/>
      <c r="L1281" s="13"/>
    </row>
    <row r="1282" spans="2:13" x14ac:dyDescent="0.35">
      <c r="B1282" s="37"/>
      <c r="C1282" s="1"/>
      <c r="D1282" s="1"/>
      <c r="E1282" s="38"/>
      <c r="F1282" s="38"/>
      <c r="G1282" s="38"/>
      <c r="H1282" s="1"/>
      <c r="I1282" s="1"/>
      <c r="J1282" s="1"/>
      <c r="K1282" s="1"/>
      <c r="L1282" s="19"/>
    </row>
    <row r="1283" spans="2:13" x14ac:dyDescent="0.35">
      <c r="B1283" s="28" t="s">
        <v>6</v>
      </c>
      <c r="C1283" s="27"/>
      <c r="D1283" s="27"/>
      <c r="E1283" s="26"/>
      <c r="F1283" s="26"/>
      <c r="G1283" s="5"/>
      <c r="K1283" s="284" t="s">
        <v>1600</v>
      </c>
      <c r="L1283" s="285"/>
    </row>
    <row r="1284" spans="2:13" x14ac:dyDescent="0.35">
      <c r="B1284" s="28">
        <v>1</v>
      </c>
      <c r="C1284" s="27"/>
      <c r="D1284" s="27"/>
      <c r="E1284" s="26" t="s">
        <v>7</v>
      </c>
      <c r="F1284" s="26"/>
      <c r="G1284" s="5"/>
      <c r="K1284" s="284" t="s">
        <v>28</v>
      </c>
      <c r="L1284" s="285"/>
    </row>
    <row r="1285" spans="2:13" x14ac:dyDescent="0.35">
      <c r="B1285" s="39"/>
      <c r="C1285" s="27"/>
      <c r="D1285" s="27"/>
      <c r="E1285" s="26"/>
      <c r="F1285" s="26"/>
      <c r="G1285" s="5"/>
      <c r="J1285" s="25"/>
      <c r="K1285" s="25"/>
      <c r="L1285" s="24"/>
    </row>
    <row r="1286" spans="2:13" x14ac:dyDescent="0.35">
      <c r="B1286" s="28"/>
      <c r="C1286" s="27"/>
      <c r="D1286" s="27"/>
      <c r="E1286" s="26"/>
      <c r="F1286" s="26"/>
      <c r="G1286" s="5"/>
      <c r="L1286" s="22"/>
    </row>
    <row r="1287" spans="2:13" x14ac:dyDescent="0.35">
      <c r="B1287" s="45"/>
      <c r="E1287" s="5"/>
      <c r="F1287" s="5"/>
      <c r="G1287" s="5"/>
      <c r="L1287" s="22"/>
    </row>
    <row r="1288" spans="2:13" x14ac:dyDescent="0.35">
      <c r="B1288" s="45"/>
      <c r="E1288" s="5"/>
      <c r="F1288" s="5"/>
      <c r="G1288" s="5"/>
      <c r="L1288" s="22"/>
    </row>
    <row r="1289" spans="2:13" x14ac:dyDescent="0.35">
      <c r="B1289" s="45"/>
      <c r="E1289" s="5"/>
      <c r="F1289" s="5"/>
      <c r="G1289" s="5"/>
      <c r="L1289" s="22"/>
    </row>
    <row r="1290" spans="2:13" x14ac:dyDescent="0.35">
      <c r="B1290" s="45"/>
      <c r="E1290" s="5"/>
      <c r="F1290" s="5"/>
      <c r="G1290" s="5"/>
      <c r="J1290" s="40"/>
      <c r="K1290" s="286" t="s">
        <v>36</v>
      </c>
      <c r="L1290" s="287"/>
    </row>
    <row r="1291" spans="2:13" x14ac:dyDescent="0.35">
      <c r="B1291" s="45"/>
      <c r="K1291" s="288" t="s">
        <v>37</v>
      </c>
      <c r="L1291" s="289"/>
    </row>
    <row r="1292" spans="2:13" x14ac:dyDescent="0.35">
      <c r="B1292" s="290"/>
      <c r="C1292" s="291"/>
      <c r="D1292" s="291"/>
      <c r="E1292" s="41"/>
      <c r="F1292" s="41"/>
      <c r="G1292" s="41"/>
      <c r="H1292" s="2"/>
      <c r="I1292" s="2"/>
      <c r="J1292" s="2"/>
      <c r="K1292" s="2"/>
      <c r="L1292" s="21"/>
    </row>
    <row r="1293" spans="2:13" x14ac:dyDescent="0.35">
      <c r="B1293" s="47"/>
      <c r="C1293" s="48"/>
      <c r="D1293" s="49"/>
      <c r="G1293" s="22"/>
      <c r="H1293" s="1"/>
      <c r="I1293" s="1"/>
      <c r="J1293" s="43"/>
      <c r="K1293" s="30"/>
      <c r="L1293" s="44"/>
    </row>
    <row r="1294" spans="2:13" x14ac:dyDescent="0.35">
      <c r="B1294" s="96"/>
      <c r="C1294" s="97"/>
      <c r="D1294" s="98" t="s">
        <v>141</v>
      </c>
      <c r="E1294" s="99"/>
      <c r="F1294" s="100" t="s">
        <v>142</v>
      </c>
      <c r="G1294" s="101"/>
      <c r="H1294" s="104">
        <v>1</v>
      </c>
      <c r="I1294" s="103" t="s">
        <v>133</v>
      </c>
      <c r="J1294" s="65">
        <v>6000000</v>
      </c>
      <c r="K1294" s="65"/>
      <c r="L1294" s="46">
        <f>J1294*H1294</f>
        <v>6000000</v>
      </c>
    </row>
    <row r="1295" spans="2:13" x14ac:dyDescent="0.35">
      <c r="B1295" s="96"/>
      <c r="C1295" s="97"/>
      <c r="D1295" s="98"/>
      <c r="E1295" s="99"/>
      <c r="F1295" s="100" t="s">
        <v>89</v>
      </c>
      <c r="G1295" s="101" t="s">
        <v>860</v>
      </c>
      <c r="H1295" s="104"/>
      <c r="I1295" s="103"/>
      <c r="J1295" s="65"/>
      <c r="K1295" s="65"/>
      <c r="L1295" s="46"/>
      <c r="M1295" s="14">
        <v>1800000</v>
      </c>
    </row>
    <row r="1296" spans="2:13" x14ac:dyDescent="0.35">
      <c r="B1296" s="96"/>
      <c r="C1296" s="97"/>
      <c r="D1296" s="98"/>
      <c r="E1296" s="99"/>
      <c r="F1296" s="100" t="s">
        <v>89</v>
      </c>
      <c r="G1296" s="101" t="s">
        <v>858</v>
      </c>
      <c r="H1296" s="102"/>
      <c r="I1296" s="103"/>
      <c r="J1296" s="65"/>
      <c r="K1296" s="65"/>
      <c r="L1296" s="46"/>
      <c r="M1296" s="14">
        <v>77836</v>
      </c>
    </row>
    <row r="1297" spans="2:14" x14ac:dyDescent="0.35">
      <c r="B1297" s="96"/>
      <c r="C1297" s="97"/>
      <c r="D1297" s="98"/>
      <c r="E1297" s="99"/>
      <c r="F1297" s="100" t="s">
        <v>89</v>
      </c>
      <c r="G1297" s="101" t="s">
        <v>263</v>
      </c>
      <c r="H1297" s="104"/>
      <c r="I1297" s="103"/>
      <c r="J1297" s="65"/>
      <c r="K1297" s="65"/>
      <c r="L1297" s="46"/>
      <c r="M1297" s="14">
        <v>140000</v>
      </c>
    </row>
    <row r="1298" spans="2:14" x14ac:dyDescent="0.35">
      <c r="B1298" s="96"/>
      <c r="C1298" s="97"/>
      <c r="D1298" s="98"/>
      <c r="E1298" s="99"/>
      <c r="F1298" s="100" t="s">
        <v>89</v>
      </c>
      <c r="G1298" s="101" t="s">
        <v>859</v>
      </c>
      <c r="H1298" s="104"/>
      <c r="I1298" s="103"/>
      <c r="J1298" s="65"/>
      <c r="K1298" s="65"/>
      <c r="L1298" s="46"/>
      <c r="M1298" s="14">
        <v>2500000</v>
      </c>
      <c r="N1298" s="261">
        <v>5873186.7999999998</v>
      </c>
    </row>
    <row r="1299" spans="2:14" x14ac:dyDescent="0.35">
      <c r="B1299" s="96"/>
      <c r="C1299" s="97"/>
      <c r="D1299" s="98" t="s">
        <v>143</v>
      </c>
      <c r="E1299" s="99"/>
      <c r="F1299" s="100" t="s">
        <v>144</v>
      </c>
      <c r="G1299" s="101"/>
      <c r="H1299" s="104">
        <v>1</v>
      </c>
      <c r="I1299" s="103" t="s">
        <v>133</v>
      </c>
      <c r="J1299" s="65">
        <v>6000000</v>
      </c>
      <c r="K1299" s="65"/>
      <c r="L1299" s="46">
        <f>J1299*H1299</f>
        <v>6000000</v>
      </c>
    </row>
    <row r="1300" spans="2:14" x14ac:dyDescent="0.35">
      <c r="B1300" s="96"/>
      <c r="C1300" s="97"/>
      <c r="D1300" s="98"/>
      <c r="E1300" s="99"/>
      <c r="F1300" s="100" t="s">
        <v>89</v>
      </c>
      <c r="G1300" s="101" t="s">
        <v>860</v>
      </c>
      <c r="H1300" s="104"/>
      <c r="I1300" s="103"/>
      <c r="J1300" s="65"/>
      <c r="K1300" s="65"/>
      <c r="L1300" s="46"/>
      <c r="M1300" s="14">
        <v>1800000</v>
      </c>
    </row>
    <row r="1301" spans="2:14" x14ac:dyDescent="0.35">
      <c r="B1301" s="96"/>
      <c r="C1301" s="97"/>
      <c r="D1301" s="98"/>
      <c r="E1301" s="99"/>
      <c r="F1301" s="100" t="s">
        <v>89</v>
      </c>
      <c r="G1301" s="101" t="s">
        <v>858</v>
      </c>
      <c r="H1301" s="102"/>
      <c r="I1301" s="103"/>
      <c r="J1301" s="65"/>
      <c r="K1301" s="65"/>
      <c r="L1301" s="46"/>
      <c r="M1301" s="14">
        <v>77836</v>
      </c>
    </row>
    <row r="1302" spans="2:14" x14ac:dyDescent="0.35">
      <c r="B1302" s="96"/>
      <c r="C1302" s="97"/>
      <c r="D1302" s="98"/>
      <c r="E1302" s="99"/>
      <c r="F1302" s="100" t="s">
        <v>89</v>
      </c>
      <c r="G1302" s="101" t="s">
        <v>263</v>
      </c>
      <c r="H1302" s="104"/>
      <c r="I1302" s="103"/>
      <c r="J1302" s="65"/>
      <c r="K1302" s="65"/>
      <c r="L1302" s="46"/>
      <c r="M1302" s="14">
        <v>140000</v>
      </c>
    </row>
    <row r="1303" spans="2:14" x14ac:dyDescent="0.35">
      <c r="B1303" s="96"/>
      <c r="C1303" s="97"/>
      <c r="D1303" s="98"/>
      <c r="E1303" s="99"/>
      <c r="F1303" s="100" t="s">
        <v>89</v>
      </c>
      <c r="G1303" s="101" t="s">
        <v>859</v>
      </c>
      <c r="H1303" s="104"/>
      <c r="I1303" s="103"/>
      <c r="J1303" s="65"/>
      <c r="K1303" s="65"/>
      <c r="L1303" s="46"/>
      <c r="M1303" s="14">
        <v>2500000</v>
      </c>
      <c r="N1303" s="261">
        <v>5873186.7999999998</v>
      </c>
    </row>
    <row r="1304" spans="2:14" x14ac:dyDescent="0.35">
      <c r="B1304" s="96"/>
      <c r="C1304" s="97"/>
      <c r="D1304" s="98" t="s">
        <v>67</v>
      </c>
      <c r="E1304" s="99"/>
      <c r="F1304" s="100" t="s">
        <v>262</v>
      </c>
      <c r="G1304" s="101"/>
      <c r="H1304" s="104">
        <v>1</v>
      </c>
      <c r="I1304" s="103" t="s">
        <v>133</v>
      </c>
      <c r="J1304" s="65">
        <v>6000000</v>
      </c>
      <c r="K1304" s="65"/>
      <c r="L1304" s="46">
        <f>J1304*H1304</f>
        <v>6000000</v>
      </c>
    </row>
    <row r="1305" spans="2:14" x14ac:dyDescent="0.35">
      <c r="B1305" s="96"/>
      <c r="C1305" s="97"/>
      <c r="D1305" s="98"/>
      <c r="E1305" s="99"/>
      <c r="F1305" s="100" t="s">
        <v>89</v>
      </c>
      <c r="G1305" s="101" t="s">
        <v>858</v>
      </c>
      <c r="H1305" s="104"/>
      <c r="I1305" s="103"/>
      <c r="J1305" s="65"/>
      <c r="K1305" s="65"/>
      <c r="L1305" s="46"/>
      <c r="M1305" s="14">
        <v>1800000</v>
      </c>
    </row>
    <row r="1306" spans="2:14" x14ac:dyDescent="0.35">
      <c r="B1306" s="96"/>
      <c r="C1306" s="97"/>
      <c r="D1306" s="98"/>
      <c r="E1306" s="99"/>
      <c r="F1306" s="100" t="s">
        <v>89</v>
      </c>
      <c r="G1306" s="101" t="s">
        <v>263</v>
      </c>
      <c r="H1306" s="102"/>
      <c r="I1306" s="103"/>
      <c r="J1306" s="65"/>
      <c r="K1306" s="65"/>
      <c r="L1306" s="46"/>
      <c r="M1306" s="14">
        <v>77836</v>
      </c>
    </row>
    <row r="1307" spans="2:14" x14ac:dyDescent="0.35">
      <c r="B1307" s="96"/>
      <c r="C1307" s="97"/>
      <c r="D1307" s="98"/>
      <c r="E1307" s="99"/>
      <c r="F1307" s="100" t="s">
        <v>89</v>
      </c>
      <c r="G1307" s="101" t="s">
        <v>863</v>
      </c>
      <c r="H1307" s="104"/>
      <c r="I1307" s="103"/>
      <c r="J1307" s="65"/>
      <c r="K1307" s="65"/>
      <c r="L1307" s="46"/>
      <c r="M1307" s="14">
        <v>140000</v>
      </c>
    </row>
    <row r="1308" spans="2:14" x14ac:dyDescent="0.35">
      <c r="B1308" s="96"/>
      <c r="C1308" s="97"/>
      <c r="D1308" s="98"/>
      <c r="E1308" s="99"/>
      <c r="F1308" s="100" t="s">
        <v>89</v>
      </c>
      <c r="G1308" s="101" t="s">
        <v>859</v>
      </c>
      <c r="H1308" s="104"/>
      <c r="I1308" s="103"/>
      <c r="J1308" s="65"/>
      <c r="K1308" s="65"/>
      <c r="L1308" s="46"/>
      <c r="M1308" s="14">
        <v>2500000</v>
      </c>
      <c r="N1308" s="261">
        <v>5873186.7999999998</v>
      </c>
    </row>
    <row r="1309" spans="2:14" x14ac:dyDescent="0.35">
      <c r="B1309" s="96"/>
      <c r="C1309" s="97"/>
      <c r="D1309" s="98" t="s">
        <v>69</v>
      </c>
      <c r="E1309" s="99"/>
      <c r="F1309" s="100" t="s">
        <v>264</v>
      </c>
      <c r="G1309" s="101"/>
      <c r="H1309" s="262">
        <v>1</v>
      </c>
      <c r="I1309" s="78" t="s">
        <v>133</v>
      </c>
      <c r="J1309" s="65">
        <v>7250000</v>
      </c>
      <c r="K1309" s="65"/>
      <c r="L1309" s="46">
        <f>J1309*H1309</f>
        <v>7250000</v>
      </c>
    </row>
    <row r="1310" spans="2:14" x14ac:dyDescent="0.35">
      <c r="B1310" s="96"/>
      <c r="C1310" s="97"/>
      <c r="D1310" s="98"/>
      <c r="E1310" s="99"/>
      <c r="F1310" s="100" t="s">
        <v>89</v>
      </c>
      <c r="G1310" s="101" t="s">
        <v>864</v>
      </c>
      <c r="H1310" s="104"/>
      <c r="I1310" s="103"/>
      <c r="J1310" s="65"/>
      <c r="K1310" s="65"/>
      <c r="L1310" s="46"/>
    </row>
    <row r="1311" spans="2:14" x14ac:dyDescent="0.35">
      <c r="B1311" s="96"/>
      <c r="C1311" s="97"/>
      <c r="D1311" s="98"/>
      <c r="E1311" s="99"/>
      <c r="F1311" s="100" t="s">
        <v>89</v>
      </c>
      <c r="G1311" s="101" t="s">
        <v>865</v>
      </c>
      <c r="H1311" s="104"/>
      <c r="I1311" s="103"/>
      <c r="J1311" s="50"/>
      <c r="K1311" s="57"/>
      <c r="L1311" s="46"/>
    </row>
    <row r="1312" spans="2:14" x14ac:dyDescent="0.35">
      <c r="B1312" s="96"/>
      <c r="C1312" s="97"/>
      <c r="D1312" s="98"/>
      <c r="E1312" s="99"/>
      <c r="F1312" s="100" t="s">
        <v>89</v>
      </c>
      <c r="G1312" s="101" t="s">
        <v>866</v>
      </c>
      <c r="H1312" s="104"/>
      <c r="I1312" s="103"/>
      <c r="J1312" s="50"/>
      <c r="K1312" s="57"/>
      <c r="L1312" s="46"/>
    </row>
    <row r="1313" spans="2:14" x14ac:dyDescent="0.35">
      <c r="B1313" s="96"/>
      <c r="C1313" s="97"/>
      <c r="D1313" s="98"/>
      <c r="E1313" s="99"/>
      <c r="F1313" s="100" t="s">
        <v>89</v>
      </c>
      <c r="G1313" s="101" t="s">
        <v>858</v>
      </c>
      <c r="H1313" s="104"/>
      <c r="I1313" s="103"/>
      <c r="J1313" s="50"/>
      <c r="K1313" s="58"/>
      <c r="L1313" s="46"/>
    </row>
    <row r="1314" spans="2:14" x14ac:dyDescent="0.35">
      <c r="B1314" s="96"/>
      <c r="C1314" s="97"/>
      <c r="D1314" s="98"/>
      <c r="E1314" s="99"/>
      <c r="F1314" s="100" t="s">
        <v>89</v>
      </c>
      <c r="G1314" s="101" t="s">
        <v>263</v>
      </c>
      <c r="H1314" s="104"/>
      <c r="I1314" s="103"/>
      <c r="J1314" s="65"/>
      <c r="K1314" s="65"/>
      <c r="L1314" s="46"/>
    </row>
    <row r="1315" spans="2:14" x14ac:dyDescent="0.35">
      <c r="B1315" s="96"/>
      <c r="C1315" s="97"/>
      <c r="D1315" s="98"/>
      <c r="E1315" s="99"/>
      <c r="F1315" s="100" t="s">
        <v>89</v>
      </c>
      <c r="G1315" s="101" t="s">
        <v>867</v>
      </c>
      <c r="H1315" s="104"/>
      <c r="I1315" s="103"/>
      <c r="J1315" s="50"/>
      <c r="K1315" s="58"/>
      <c r="L1315" s="46"/>
    </row>
    <row r="1316" spans="2:14" x14ac:dyDescent="0.35">
      <c r="B1316" s="96"/>
      <c r="C1316" s="97"/>
      <c r="D1316" s="98"/>
      <c r="E1316" s="99"/>
      <c r="F1316" s="100" t="s">
        <v>89</v>
      </c>
      <c r="G1316" s="101" t="s">
        <v>859</v>
      </c>
      <c r="H1316" s="104"/>
      <c r="I1316" s="103"/>
      <c r="J1316" s="50"/>
      <c r="K1316" s="56"/>
      <c r="L1316" s="46"/>
    </row>
    <row r="1317" spans="2:14" x14ac:dyDescent="0.35">
      <c r="B1317" s="96"/>
      <c r="C1317" s="97"/>
      <c r="D1317" s="98" t="s">
        <v>71</v>
      </c>
      <c r="E1317" s="99"/>
      <c r="F1317" s="100" t="s">
        <v>265</v>
      </c>
      <c r="G1317" s="101"/>
      <c r="H1317" s="262">
        <v>1</v>
      </c>
      <c r="I1317" s="78" t="s">
        <v>133</v>
      </c>
      <c r="J1317" s="65">
        <v>7250000</v>
      </c>
      <c r="K1317" s="65"/>
      <c r="L1317" s="46">
        <f>J1317*H1317</f>
        <v>7250000</v>
      </c>
    </row>
    <row r="1318" spans="2:14" x14ac:dyDescent="0.35">
      <c r="B1318" s="96"/>
      <c r="C1318" s="97"/>
      <c r="D1318" s="98"/>
      <c r="E1318" s="99"/>
      <c r="F1318" s="100" t="s">
        <v>89</v>
      </c>
      <c r="G1318" s="101" t="s">
        <v>865</v>
      </c>
      <c r="H1318" s="104"/>
      <c r="I1318" s="103"/>
      <c r="J1318" s="50"/>
      <c r="K1318" s="57"/>
      <c r="L1318" s="46"/>
    </row>
    <row r="1319" spans="2:14" x14ac:dyDescent="0.35">
      <c r="B1319" s="96"/>
      <c r="C1319" s="97"/>
      <c r="D1319" s="98"/>
      <c r="E1319" s="99"/>
      <c r="F1319" s="100" t="s">
        <v>89</v>
      </c>
      <c r="G1319" s="101" t="s">
        <v>866</v>
      </c>
      <c r="H1319" s="104"/>
      <c r="I1319" s="103"/>
      <c r="J1319" s="50"/>
      <c r="K1319" s="57"/>
      <c r="L1319" s="46"/>
    </row>
    <row r="1320" spans="2:14" x14ac:dyDescent="0.35">
      <c r="B1320" s="96"/>
      <c r="C1320" s="97"/>
      <c r="D1320" s="98"/>
      <c r="E1320" s="99"/>
      <c r="F1320" s="100" t="s">
        <v>89</v>
      </c>
      <c r="G1320" s="101" t="s">
        <v>858</v>
      </c>
      <c r="H1320" s="104"/>
      <c r="I1320" s="103"/>
      <c r="J1320" s="50"/>
      <c r="K1320" s="58"/>
      <c r="L1320" s="46"/>
    </row>
    <row r="1321" spans="2:14" x14ac:dyDescent="0.35">
      <c r="B1321" s="96"/>
      <c r="C1321" s="97"/>
      <c r="D1321" s="98"/>
      <c r="E1321" s="99"/>
      <c r="F1321" s="100" t="s">
        <v>89</v>
      </c>
      <c r="G1321" s="101" t="s">
        <v>263</v>
      </c>
      <c r="H1321" s="104"/>
      <c r="I1321" s="103"/>
      <c r="J1321" s="65"/>
      <c r="K1321" s="65"/>
      <c r="L1321" s="46"/>
    </row>
    <row r="1322" spans="2:14" x14ac:dyDescent="0.35">
      <c r="B1322" s="96"/>
      <c r="C1322" s="97"/>
      <c r="D1322" s="98"/>
      <c r="E1322" s="99"/>
      <c r="F1322" s="100" t="s">
        <v>89</v>
      </c>
      <c r="G1322" s="101" t="s">
        <v>868</v>
      </c>
      <c r="H1322" s="104"/>
      <c r="I1322" s="103"/>
      <c r="J1322" s="50"/>
      <c r="K1322" s="58"/>
      <c r="L1322" s="46"/>
    </row>
    <row r="1323" spans="2:14" x14ac:dyDescent="0.35">
      <c r="B1323" s="96"/>
      <c r="C1323" s="97"/>
      <c r="D1323" s="98"/>
      <c r="E1323" s="99"/>
      <c r="F1323" s="100" t="s">
        <v>89</v>
      </c>
      <c r="G1323" s="101" t="s">
        <v>859</v>
      </c>
      <c r="H1323" s="104"/>
      <c r="I1323" s="103"/>
      <c r="J1323" s="50"/>
      <c r="K1323" s="56"/>
      <c r="L1323" s="46"/>
    </row>
    <row r="1324" spans="2:14" x14ac:dyDescent="0.35">
      <c r="B1324" s="96"/>
      <c r="C1324" s="97"/>
      <c r="D1324" s="98" t="s">
        <v>73</v>
      </c>
      <c r="E1324" s="99"/>
      <c r="F1324" s="100" t="s">
        <v>266</v>
      </c>
      <c r="G1324" s="101"/>
      <c r="H1324" s="104">
        <v>1</v>
      </c>
      <c r="I1324" s="103" t="s">
        <v>133</v>
      </c>
      <c r="J1324" s="65">
        <v>5500000</v>
      </c>
      <c r="K1324" s="65"/>
      <c r="L1324" s="46">
        <f>J1324*H1324</f>
        <v>5500000</v>
      </c>
      <c r="M1324" s="82"/>
    </row>
    <row r="1325" spans="2:14" x14ac:dyDescent="0.35">
      <c r="B1325" s="96"/>
      <c r="C1325" s="97"/>
      <c r="D1325" s="98"/>
      <c r="E1325" s="99"/>
      <c r="F1325" s="100" t="s">
        <v>89</v>
      </c>
      <c r="G1325" s="101" t="s">
        <v>858</v>
      </c>
      <c r="H1325" s="104"/>
      <c r="I1325" s="103"/>
      <c r="J1325" s="65"/>
      <c r="K1325" s="65"/>
      <c r="L1325" s="46"/>
      <c r="M1325" s="14">
        <v>1500000</v>
      </c>
    </row>
    <row r="1326" spans="2:14" x14ac:dyDescent="0.35">
      <c r="B1326" s="96"/>
      <c r="C1326" s="97"/>
      <c r="D1326" s="98"/>
      <c r="E1326" s="99"/>
      <c r="F1326" s="100" t="s">
        <v>89</v>
      </c>
      <c r="G1326" s="101" t="s">
        <v>263</v>
      </c>
      <c r="H1326" s="102"/>
      <c r="I1326" s="103"/>
      <c r="J1326" s="65"/>
      <c r="K1326" s="65"/>
      <c r="L1326" s="46"/>
      <c r="M1326" s="14">
        <v>77836</v>
      </c>
    </row>
    <row r="1327" spans="2:14" x14ac:dyDescent="0.35">
      <c r="B1327" s="96"/>
      <c r="C1327" s="97"/>
      <c r="D1327" s="98"/>
      <c r="E1327" s="99"/>
      <c r="F1327" s="100" t="s">
        <v>89</v>
      </c>
      <c r="G1327" s="101" t="s">
        <v>869</v>
      </c>
      <c r="H1327" s="104"/>
      <c r="I1327" s="103"/>
      <c r="J1327" s="65"/>
      <c r="K1327" s="65"/>
      <c r="L1327" s="46"/>
      <c r="M1327" s="14">
        <v>140000</v>
      </c>
    </row>
    <row r="1328" spans="2:14" x14ac:dyDescent="0.35">
      <c r="B1328" s="96"/>
      <c r="C1328" s="97"/>
      <c r="D1328" s="98"/>
      <c r="E1328" s="99"/>
      <c r="F1328" s="100" t="s">
        <v>89</v>
      </c>
      <c r="G1328" s="101" t="s">
        <v>859</v>
      </c>
      <c r="H1328" s="104"/>
      <c r="I1328" s="103"/>
      <c r="J1328" s="65"/>
      <c r="K1328" s="65"/>
      <c r="L1328" s="46"/>
      <c r="M1328" s="14">
        <v>2500000</v>
      </c>
      <c r="N1328" s="261">
        <v>5483186.7999999998</v>
      </c>
    </row>
    <row r="1329" spans="2:13" x14ac:dyDescent="0.35">
      <c r="B1329" s="96"/>
      <c r="C1329" s="97"/>
      <c r="D1329" s="98" t="s">
        <v>75</v>
      </c>
      <c r="E1329" s="99"/>
      <c r="F1329" s="100" t="s">
        <v>267</v>
      </c>
      <c r="G1329" s="101"/>
      <c r="H1329" s="262">
        <v>1</v>
      </c>
      <c r="I1329" s="78" t="s">
        <v>133</v>
      </c>
      <c r="J1329" s="65">
        <v>7250000</v>
      </c>
      <c r="K1329" s="65"/>
      <c r="L1329" s="46">
        <f>J1329*H1329</f>
        <v>7250000</v>
      </c>
    </row>
    <row r="1330" spans="2:13" x14ac:dyDescent="0.35">
      <c r="B1330" s="96"/>
      <c r="C1330" s="97"/>
      <c r="D1330" s="98"/>
      <c r="E1330" s="99"/>
      <c r="F1330" s="100" t="s">
        <v>89</v>
      </c>
      <c r="G1330" s="101" t="s">
        <v>864</v>
      </c>
      <c r="H1330" s="104"/>
      <c r="I1330" s="103"/>
      <c r="J1330" s="50"/>
      <c r="K1330" s="56"/>
      <c r="L1330" s="46"/>
    </row>
    <row r="1331" spans="2:13" x14ac:dyDescent="0.35">
      <c r="B1331" s="96"/>
      <c r="C1331" s="97"/>
      <c r="D1331" s="98"/>
      <c r="E1331" s="99"/>
      <c r="F1331" s="100" t="s">
        <v>89</v>
      </c>
      <c r="G1331" s="101" t="s">
        <v>858</v>
      </c>
      <c r="H1331" s="104"/>
      <c r="I1331" s="103"/>
      <c r="J1331" s="65"/>
      <c r="K1331" s="65"/>
      <c r="L1331" s="46"/>
      <c r="M1331" s="82"/>
    </row>
    <row r="1332" spans="2:13" x14ac:dyDescent="0.35">
      <c r="B1332" s="96"/>
      <c r="C1332" s="97"/>
      <c r="D1332" s="98"/>
      <c r="E1332" s="99"/>
      <c r="F1332" s="100" t="s">
        <v>89</v>
      </c>
      <c r="G1332" s="101" t="s">
        <v>263</v>
      </c>
      <c r="H1332" s="102"/>
      <c r="I1332" s="103"/>
      <c r="J1332" s="50"/>
      <c r="K1332" s="57"/>
      <c r="L1332" s="46"/>
    </row>
    <row r="1333" spans="2:13" x14ac:dyDescent="0.35">
      <c r="B1333" s="96"/>
      <c r="C1333" s="97"/>
      <c r="D1333" s="98"/>
      <c r="E1333" s="99"/>
      <c r="F1333" s="100" t="s">
        <v>89</v>
      </c>
      <c r="G1333" s="101" t="s">
        <v>863</v>
      </c>
      <c r="H1333" s="102"/>
      <c r="I1333" s="103"/>
      <c r="J1333" s="50"/>
      <c r="K1333" s="57"/>
      <c r="L1333" s="46"/>
    </row>
    <row r="1334" spans="2:13" x14ac:dyDescent="0.35">
      <c r="B1334" s="96"/>
      <c r="C1334" s="97"/>
      <c r="D1334" s="98"/>
      <c r="E1334" s="99"/>
      <c r="F1334" s="100" t="s">
        <v>89</v>
      </c>
      <c r="G1334" s="101" t="s">
        <v>859</v>
      </c>
      <c r="H1334" s="102"/>
      <c r="I1334" s="103"/>
      <c r="J1334" s="50"/>
      <c r="K1334" s="29"/>
      <c r="L1334" s="52"/>
    </row>
    <row r="1335" spans="2:13" x14ac:dyDescent="0.35">
      <c r="B1335" s="96"/>
      <c r="C1335" s="97"/>
      <c r="D1335" s="98" t="s">
        <v>76</v>
      </c>
      <c r="E1335" s="99"/>
      <c r="F1335" s="100" t="s">
        <v>268</v>
      </c>
      <c r="G1335" s="101"/>
      <c r="H1335" s="104">
        <v>1</v>
      </c>
      <c r="I1335" s="103" t="s">
        <v>133</v>
      </c>
      <c r="J1335" s="65">
        <v>6000000</v>
      </c>
      <c r="K1335" s="65"/>
      <c r="L1335" s="46">
        <f>J1335*H1335</f>
        <v>6000000</v>
      </c>
    </row>
    <row r="1336" spans="2:13" x14ac:dyDescent="0.35">
      <c r="B1336" s="96"/>
      <c r="C1336" s="97"/>
      <c r="D1336" s="98"/>
      <c r="E1336" s="99"/>
      <c r="F1336" s="100" t="s">
        <v>89</v>
      </c>
      <c r="G1336" s="101" t="s">
        <v>858</v>
      </c>
      <c r="H1336" s="104"/>
      <c r="I1336" s="103"/>
      <c r="J1336" s="65"/>
      <c r="K1336" s="65"/>
      <c r="L1336" s="46"/>
    </row>
    <row r="1337" spans="2:13" x14ac:dyDescent="0.35">
      <c r="B1337" s="96"/>
      <c r="C1337" s="97"/>
      <c r="D1337" s="98"/>
      <c r="E1337" s="99"/>
      <c r="F1337" s="100" t="s">
        <v>89</v>
      </c>
      <c r="G1337" s="101" t="s">
        <v>263</v>
      </c>
      <c r="H1337" s="104"/>
      <c r="I1337" s="103"/>
      <c r="J1337" s="50"/>
      <c r="K1337" s="58"/>
      <c r="L1337" s="46"/>
    </row>
    <row r="1338" spans="2:13" x14ac:dyDescent="0.35">
      <c r="B1338" s="96"/>
      <c r="C1338" s="97"/>
      <c r="D1338" s="98"/>
      <c r="E1338" s="99"/>
      <c r="F1338" s="100" t="s">
        <v>89</v>
      </c>
      <c r="G1338" s="101" t="s">
        <v>863</v>
      </c>
      <c r="H1338" s="104"/>
      <c r="I1338" s="103"/>
      <c r="J1338" s="50"/>
      <c r="K1338" s="56"/>
      <c r="L1338" s="46"/>
    </row>
    <row r="1339" spans="2:13" x14ac:dyDescent="0.35">
      <c r="B1339" s="96"/>
      <c r="C1339" s="97"/>
      <c r="D1339" s="98"/>
      <c r="E1339" s="99"/>
      <c r="F1339" s="100" t="s">
        <v>89</v>
      </c>
      <c r="G1339" s="101" t="s">
        <v>859</v>
      </c>
      <c r="H1339" s="104"/>
      <c r="I1339" s="103"/>
      <c r="J1339" s="65"/>
      <c r="K1339" s="65"/>
      <c r="L1339" s="46"/>
      <c r="M1339" s="82"/>
    </row>
    <row r="1340" spans="2:13" x14ac:dyDescent="0.35">
      <c r="B1340" s="96"/>
      <c r="C1340" s="97"/>
      <c r="D1340" s="98" t="s">
        <v>194</v>
      </c>
      <c r="E1340" s="99"/>
      <c r="F1340" s="100" t="s">
        <v>269</v>
      </c>
      <c r="G1340" s="101"/>
      <c r="H1340" s="104">
        <v>1</v>
      </c>
      <c r="I1340" s="103" t="s">
        <v>133</v>
      </c>
      <c r="J1340" s="65">
        <v>6000000</v>
      </c>
      <c r="K1340" s="65"/>
      <c r="L1340" s="46">
        <f>J1340*H1340</f>
        <v>6000000</v>
      </c>
    </row>
    <row r="1341" spans="2:13" x14ac:dyDescent="0.35">
      <c r="B1341" s="96"/>
      <c r="C1341" s="97"/>
      <c r="D1341" s="98"/>
      <c r="E1341" s="99"/>
      <c r="F1341" s="100" t="s">
        <v>89</v>
      </c>
      <c r="G1341" s="101" t="s">
        <v>858</v>
      </c>
      <c r="H1341" s="104"/>
      <c r="I1341" s="103"/>
      <c r="J1341" s="50"/>
      <c r="K1341" s="57"/>
      <c r="L1341" s="46"/>
    </row>
    <row r="1342" spans="2:13" x14ac:dyDescent="0.35">
      <c r="B1342" s="96"/>
      <c r="C1342" s="97"/>
      <c r="D1342" s="98"/>
      <c r="E1342" s="99"/>
      <c r="F1342" s="100" t="s">
        <v>89</v>
      </c>
      <c r="G1342" s="101" t="s">
        <v>263</v>
      </c>
      <c r="H1342" s="104"/>
      <c r="I1342" s="103"/>
      <c r="J1342" s="50"/>
      <c r="K1342" s="58"/>
      <c r="L1342" s="46"/>
    </row>
    <row r="1343" spans="2:13" x14ac:dyDescent="0.35">
      <c r="B1343" s="96"/>
      <c r="C1343" s="97"/>
      <c r="D1343" s="98"/>
      <c r="E1343" s="99"/>
      <c r="F1343" s="100" t="s">
        <v>89</v>
      </c>
      <c r="G1343" s="101" t="s">
        <v>863</v>
      </c>
      <c r="H1343" s="104"/>
      <c r="I1343" s="103"/>
      <c r="J1343" s="65"/>
      <c r="K1343" s="65"/>
      <c r="L1343" s="46"/>
    </row>
    <row r="1344" spans="2:13" x14ac:dyDescent="0.35">
      <c r="B1344" s="96"/>
      <c r="C1344" s="97"/>
      <c r="D1344" s="98"/>
      <c r="E1344" s="99"/>
      <c r="F1344" s="100" t="s">
        <v>89</v>
      </c>
      <c r="G1344" s="101" t="s">
        <v>859</v>
      </c>
      <c r="H1344" s="104"/>
      <c r="I1344" s="103"/>
      <c r="J1344" s="50"/>
      <c r="K1344" s="58"/>
      <c r="L1344" s="46"/>
    </row>
    <row r="1345" spans="2:12" x14ac:dyDescent="0.35">
      <c r="B1345" s="47"/>
      <c r="C1345" s="48"/>
      <c r="D1345" s="24"/>
      <c r="G1345" s="22"/>
      <c r="I1345" s="22"/>
      <c r="J1345" s="50"/>
      <c r="K1345" s="29"/>
      <c r="L1345" s="52"/>
    </row>
    <row r="1346" spans="2:12" x14ac:dyDescent="0.35">
      <c r="B1346" s="8"/>
      <c r="C1346" s="9"/>
      <c r="D1346" s="10"/>
      <c r="E1346" s="4"/>
      <c r="F1346" s="4"/>
      <c r="G1346" s="4"/>
      <c r="H1346" s="1"/>
      <c r="I1346" s="1"/>
      <c r="J1346" s="11" t="s">
        <v>8</v>
      </c>
      <c r="K1346" s="7">
        <f>SUM(K1293:K1345)</f>
        <v>0</v>
      </c>
      <c r="L1346" s="7">
        <f>SUM(L1293:L1345)</f>
        <v>57250000</v>
      </c>
    </row>
    <row r="1347" spans="2:12" x14ac:dyDescent="0.35">
      <c r="B1347" s="8"/>
      <c r="C1347" s="9"/>
      <c r="D1347" s="9"/>
      <c r="E1347" s="4"/>
      <c r="F1347" s="4"/>
      <c r="G1347" s="4"/>
      <c r="H1347" s="1"/>
      <c r="I1347" s="1"/>
      <c r="J1347" s="11"/>
      <c r="K1347" s="35" t="s">
        <v>22</v>
      </c>
      <c r="L1347" s="36" t="s">
        <v>23</v>
      </c>
    </row>
    <row r="1348" spans="2:12" x14ac:dyDescent="0.35">
      <c r="B1348" s="3" t="s">
        <v>9</v>
      </c>
      <c r="C1348" s="4"/>
      <c r="D1348" s="4"/>
      <c r="E1348" s="4"/>
      <c r="F1348" s="4"/>
      <c r="G1348" s="4"/>
      <c r="H1348" s="1"/>
      <c r="I1348" s="1"/>
      <c r="J1348" s="12"/>
      <c r="K1348" s="12"/>
      <c r="L1348" s="13"/>
    </row>
    <row r="1349" spans="2:12" x14ac:dyDescent="0.35">
      <c r="B1349" s="37"/>
      <c r="C1349" s="1"/>
      <c r="D1349" s="1"/>
      <c r="E1349" s="38"/>
      <c r="F1349" s="38"/>
      <c r="G1349" s="38"/>
      <c r="H1349" s="1"/>
      <c r="I1349" s="1"/>
      <c r="J1349" s="1"/>
      <c r="K1349" s="1"/>
      <c r="L1349" s="19"/>
    </row>
    <row r="1350" spans="2:12" x14ac:dyDescent="0.35">
      <c r="B1350" s="28" t="s">
        <v>6</v>
      </c>
      <c r="C1350" s="27"/>
      <c r="D1350" s="27"/>
      <c r="E1350" s="26"/>
      <c r="F1350" s="26"/>
      <c r="G1350" s="5"/>
      <c r="K1350" s="284" t="s">
        <v>1600</v>
      </c>
      <c r="L1350" s="285"/>
    </row>
    <row r="1351" spans="2:12" x14ac:dyDescent="0.35">
      <c r="B1351" s="28">
        <v>1</v>
      </c>
      <c r="C1351" s="27"/>
      <c r="D1351" s="27"/>
      <c r="E1351" s="26" t="s">
        <v>7</v>
      </c>
      <c r="F1351" s="26"/>
      <c r="G1351" s="5"/>
      <c r="K1351" s="284" t="s">
        <v>28</v>
      </c>
      <c r="L1351" s="285"/>
    </row>
    <row r="1352" spans="2:12" x14ac:dyDescent="0.35">
      <c r="B1352" s="39"/>
      <c r="C1352" s="27"/>
      <c r="D1352" s="27"/>
      <c r="E1352" s="26"/>
      <c r="F1352" s="26"/>
      <c r="G1352" s="5"/>
      <c r="J1352" s="25"/>
      <c r="K1352" s="25"/>
      <c r="L1352" s="24"/>
    </row>
    <row r="1353" spans="2:12" x14ac:dyDescent="0.35">
      <c r="B1353" s="28"/>
      <c r="C1353" s="27"/>
      <c r="D1353" s="27"/>
      <c r="E1353" s="26"/>
      <c r="F1353" s="26"/>
      <c r="G1353" s="5"/>
      <c r="L1353" s="22"/>
    </row>
    <row r="1354" spans="2:12" x14ac:dyDescent="0.35">
      <c r="B1354" s="45"/>
      <c r="E1354" s="5"/>
      <c r="F1354" s="5"/>
      <c r="G1354" s="5"/>
      <c r="L1354" s="22"/>
    </row>
    <row r="1355" spans="2:12" x14ac:dyDescent="0.35">
      <c r="B1355" s="45"/>
      <c r="E1355" s="5"/>
      <c r="F1355" s="5"/>
      <c r="G1355" s="5"/>
      <c r="L1355" s="22"/>
    </row>
    <row r="1356" spans="2:12" x14ac:dyDescent="0.35">
      <c r="B1356" s="45"/>
      <c r="E1356" s="5"/>
      <c r="F1356" s="5"/>
      <c r="G1356" s="5"/>
      <c r="L1356" s="22"/>
    </row>
    <row r="1357" spans="2:12" x14ac:dyDescent="0.35">
      <c r="B1357" s="45"/>
      <c r="E1357" s="5"/>
      <c r="F1357" s="5"/>
      <c r="G1357" s="5"/>
      <c r="J1357" s="40"/>
      <c r="K1357" s="286" t="s">
        <v>36</v>
      </c>
      <c r="L1357" s="287"/>
    </row>
    <row r="1358" spans="2:12" x14ac:dyDescent="0.35">
      <c r="B1358" s="45"/>
      <c r="K1358" s="288" t="s">
        <v>37</v>
      </c>
      <c r="L1358" s="289"/>
    </row>
    <row r="1359" spans="2:12" x14ac:dyDescent="0.35">
      <c r="B1359" s="290"/>
      <c r="C1359" s="291"/>
      <c r="D1359" s="291"/>
      <c r="E1359" s="41"/>
      <c r="F1359" s="41"/>
      <c r="G1359" s="41"/>
      <c r="H1359" s="2"/>
      <c r="I1359" s="2"/>
      <c r="J1359" s="2"/>
      <c r="K1359" s="2"/>
      <c r="L1359" s="21"/>
    </row>
    <row r="1360" spans="2:12" x14ac:dyDescent="0.35">
      <c r="B1360" s="47"/>
      <c r="C1360" s="48"/>
      <c r="D1360" s="49"/>
      <c r="G1360" s="22"/>
      <c r="H1360" s="1"/>
      <c r="I1360" s="1"/>
      <c r="J1360" s="43"/>
      <c r="K1360" s="30"/>
      <c r="L1360" s="44"/>
    </row>
    <row r="1361" spans="2:13" x14ac:dyDescent="0.35">
      <c r="B1361" s="96"/>
      <c r="C1361" s="97"/>
      <c r="D1361" s="98" t="s">
        <v>196</v>
      </c>
      <c r="E1361" s="99"/>
      <c r="F1361" s="100" t="s">
        <v>270</v>
      </c>
      <c r="G1361" s="101"/>
      <c r="H1361" s="104">
        <v>1</v>
      </c>
      <c r="I1361" s="103" t="s">
        <v>133</v>
      </c>
      <c r="J1361" s="65">
        <v>6000000</v>
      </c>
      <c r="K1361" s="65"/>
      <c r="L1361" s="46">
        <f>J1361*H1361</f>
        <v>6000000</v>
      </c>
    </row>
    <row r="1362" spans="2:13" x14ac:dyDescent="0.35">
      <c r="B1362" s="96"/>
      <c r="C1362" s="97"/>
      <c r="D1362" s="98"/>
      <c r="E1362" s="99"/>
      <c r="F1362" s="100" t="s">
        <v>89</v>
      </c>
      <c r="G1362" s="101" t="s">
        <v>858</v>
      </c>
      <c r="H1362" s="104"/>
      <c r="I1362" s="103"/>
      <c r="J1362" s="65"/>
      <c r="K1362" s="65"/>
      <c r="L1362" s="46"/>
      <c r="M1362" s="82"/>
    </row>
    <row r="1363" spans="2:13" x14ac:dyDescent="0.35">
      <c r="B1363" s="96"/>
      <c r="C1363" s="97"/>
      <c r="D1363" s="98"/>
      <c r="E1363" s="99"/>
      <c r="F1363" s="100" t="s">
        <v>89</v>
      </c>
      <c r="G1363" s="101" t="s">
        <v>263</v>
      </c>
      <c r="H1363" s="104"/>
      <c r="I1363" s="103"/>
      <c r="J1363" s="50"/>
      <c r="K1363" s="57"/>
      <c r="L1363" s="46"/>
    </row>
    <row r="1364" spans="2:13" x14ac:dyDescent="0.35">
      <c r="B1364" s="96"/>
      <c r="C1364" s="97"/>
      <c r="D1364" s="98"/>
      <c r="E1364" s="99"/>
      <c r="F1364" s="100" t="s">
        <v>89</v>
      </c>
      <c r="G1364" s="101" t="s">
        <v>863</v>
      </c>
      <c r="H1364" s="104"/>
      <c r="I1364" s="103"/>
      <c r="J1364" s="50"/>
      <c r="K1364" s="57"/>
      <c r="L1364" s="46"/>
    </row>
    <row r="1365" spans="2:13" x14ac:dyDescent="0.35">
      <c r="B1365" s="96"/>
      <c r="C1365" s="97"/>
      <c r="D1365" s="98"/>
      <c r="E1365" s="99"/>
      <c r="F1365" s="100" t="s">
        <v>89</v>
      </c>
      <c r="G1365" s="101" t="s">
        <v>859</v>
      </c>
      <c r="H1365" s="104"/>
      <c r="I1365" s="103"/>
      <c r="J1365" s="50"/>
      <c r="K1365" s="58"/>
      <c r="L1365" s="46"/>
    </row>
    <row r="1366" spans="2:13" x14ac:dyDescent="0.35">
      <c r="B1366" s="96"/>
      <c r="C1366" s="97"/>
      <c r="D1366" s="98" t="s">
        <v>78</v>
      </c>
      <c r="E1366" s="99"/>
      <c r="F1366" s="100" t="s">
        <v>271</v>
      </c>
      <c r="G1366" s="101"/>
      <c r="H1366" s="104">
        <v>1</v>
      </c>
      <c r="I1366" s="103" t="s">
        <v>133</v>
      </c>
      <c r="J1366" s="65">
        <v>6000000</v>
      </c>
      <c r="K1366" s="65"/>
      <c r="L1366" s="46">
        <f>J1366*H1366</f>
        <v>6000000</v>
      </c>
    </row>
    <row r="1367" spans="2:13" x14ac:dyDescent="0.35">
      <c r="B1367" s="96"/>
      <c r="C1367" s="97"/>
      <c r="D1367" s="98"/>
      <c r="E1367" s="99"/>
      <c r="F1367" s="100" t="s">
        <v>89</v>
      </c>
      <c r="G1367" s="101" t="s">
        <v>858</v>
      </c>
      <c r="H1367" s="104"/>
      <c r="I1367" s="103"/>
      <c r="J1367" s="50"/>
      <c r="K1367" s="58"/>
      <c r="L1367" s="46"/>
    </row>
    <row r="1368" spans="2:13" x14ac:dyDescent="0.35">
      <c r="B1368" s="96"/>
      <c r="C1368" s="97"/>
      <c r="D1368" s="98"/>
      <c r="E1368" s="99"/>
      <c r="F1368" s="100" t="s">
        <v>89</v>
      </c>
      <c r="G1368" s="101" t="s">
        <v>263</v>
      </c>
      <c r="H1368" s="104"/>
      <c r="I1368" s="103"/>
      <c r="J1368" s="50"/>
      <c r="K1368" s="56"/>
      <c r="L1368" s="46"/>
    </row>
    <row r="1369" spans="2:13" x14ac:dyDescent="0.35">
      <c r="B1369" s="96"/>
      <c r="C1369" s="97"/>
      <c r="D1369" s="98"/>
      <c r="E1369" s="99"/>
      <c r="F1369" s="100" t="s">
        <v>89</v>
      </c>
      <c r="G1369" s="101" t="s">
        <v>870</v>
      </c>
      <c r="H1369" s="104"/>
      <c r="I1369" s="103"/>
      <c r="J1369" s="65"/>
      <c r="K1369" s="65"/>
      <c r="L1369" s="46"/>
      <c r="M1369" s="82"/>
    </row>
    <row r="1370" spans="2:13" x14ac:dyDescent="0.35">
      <c r="B1370" s="96"/>
      <c r="C1370" s="97"/>
      <c r="D1370" s="98"/>
      <c r="E1370" s="99"/>
      <c r="F1370" s="100" t="s">
        <v>89</v>
      </c>
      <c r="G1370" s="101" t="s">
        <v>859</v>
      </c>
      <c r="H1370" s="104"/>
      <c r="I1370" s="103"/>
      <c r="J1370" s="50"/>
      <c r="K1370" s="57"/>
      <c r="L1370" s="46"/>
    </row>
    <row r="1371" spans="2:13" x14ac:dyDescent="0.35">
      <c r="B1371" s="96"/>
      <c r="C1371" s="97" t="s">
        <v>145</v>
      </c>
      <c r="D1371" s="98"/>
      <c r="E1371" s="99"/>
      <c r="F1371" s="100" t="s">
        <v>146</v>
      </c>
      <c r="G1371" s="101"/>
      <c r="H1371" s="104"/>
      <c r="I1371" s="103"/>
      <c r="J1371" s="50"/>
      <c r="K1371" s="57"/>
      <c r="L1371" s="46"/>
    </row>
    <row r="1372" spans="2:13" x14ac:dyDescent="0.35">
      <c r="B1372" s="96"/>
      <c r="C1372" s="97"/>
      <c r="D1372" s="98" t="s">
        <v>44</v>
      </c>
      <c r="E1372" s="99"/>
      <c r="F1372" s="100" t="s">
        <v>147</v>
      </c>
      <c r="G1372" s="101"/>
      <c r="H1372" s="262">
        <v>1</v>
      </c>
      <c r="I1372" s="78" t="s">
        <v>133</v>
      </c>
      <c r="J1372" s="65">
        <v>7250000</v>
      </c>
      <c r="K1372" s="65"/>
      <c r="L1372" s="46">
        <f>J1372*H1372</f>
        <v>7250000</v>
      </c>
    </row>
    <row r="1373" spans="2:13" x14ac:dyDescent="0.35">
      <c r="B1373" s="96"/>
      <c r="C1373" s="97"/>
      <c r="D1373" s="98"/>
      <c r="E1373" s="99"/>
      <c r="F1373" s="100" t="s">
        <v>89</v>
      </c>
      <c r="G1373" s="101" t="s">
        <v>871</v>
      </c>
      <c r="H1373" s="104"/>
      <c r="I1373" s="103"/>
      <c r="J1373" s="65"/>
      <c r="K1373" s="65"/>
      <c r="L1373" s="46"/>
    </row>
    <row r="1374" spans="2:13" x14ac:dyDescent="0.35">
      <c r="B1374" s="96"/>
      <c r="C1374" s="97"/>
      <c r="D1374" s="98"/>
      <c r="E1374" s="99"/>
      <c r="F1374" s="100" t="s">
        <v>89</v>
      </c>
      <c r="G1374" s="101" t="s">
        <v>858</v>
      </c>
      <c r="H1374" s="104"/>
      <c r="I1374" s="103"/>
      <c r="J1374" s="50"/>
      <c r="K1374" s="58"/>
      <c r="L1374" s="46"/>
    </row>
    <row r="1375" spans="2:13" x14ac:dyDescent="0.35">
      <c r="B1375" s="96"/>
      <c r="C1375" s="97"/>
      <c r="D1375" s="98"/>
      <c r="E1375" s="99"/>
      <c r="F1375" s="100" t="s">
        <v>89</v>
      </c>
      <c r="G1375" s="101" t="s">
        <v>263</v>
      </c>
      <c r="H1375" s="104"/>
      <c r="I1375" s="103"/>
      <c r="J1375" s="65"/>
      <c r="K1375" s="65"/>
      <c r="L1375" s="46"/>
    </row>
    <row r="1376" spans="2:13" x14ac:dyDescent="0.35">
      <c r="B1376" s="96"/>
      <c r="C1376" s="97"/>
      <c r="D1376" s="98"/>
      <c r="E1376" s="99"/>
      <c r="F1376" s="100" t="s">
        <v>89</v>
      </c>
      <c r="G1376" s="101" t="s">
        <v>865</v>
      </c>
      <c r="H1376" s="104"/>
      <c r="I1376" s="103"/>
      <c r="J1376" s="50"/>
      <c r="K1376" s="57"/>
      <c r="L1376" s="46"/>
    </row>
    <row r="1377" spans="2:13" x14ac:dyDescent="0.35">
      <c r="B1377" s="96"/>
      <c r="C1377" s="97"/>
      <c r="D1377" s="98"/>
      <c r="E1377" s="99"/>
      <c r="F1377" s="100" t="s">
        <v>89</v>
      </c>
      <c r="G1377" s="101" t="s">
        <v>866</v>
      </c>
      <c r="H1377" s="104"/>
      <c r="I1377" s="103"/>
      <c r="J1377" s="50"/>
      <c r="K1377" s="57"/>
      <c r="L1377" s="46"/>
    </row>
    <row r="1378" spans="2:13" x14ac:dyDescent="0.35">
      <c r="B1378" s="96"/>
      <c r="C1378" s="97"/>
      <c r="D1378" s="98"/>
      <c r="E1378" s="99"/>
      <c r="F1378" s="100" t="s">
        <v>89</v>
      </c>
      <c r="G1378" s="101" t="s">
        <v>859</v>
      </c>
      <c r="H1378" s="104"/>
      <c r="I1378" s="103"/>
      <c r="J1378" s="50"/>
      <c r="K1378" s="58"/>
      <c r="L1378" s="46"/>
    </row>
    <row r="1379" spans="2:13" x14ac:dyDescent="0.35">
      <c r="B1379" s="96"/>
      <c r="C1379" s="97"/>
      <c r="D1379" s="98" t="s">
        <v>47</v>
      </c>
      <c r="E1379" s="99"/>
      <c r="F1379" s="100" t="s">
        <v>148</v>
      </c>
      <c r="G1379" s="101"/>
      <c r="H1379" s="104">
        <v>1</v>
      </c>
      <c r="I1379" s="103" t="s">
        <v>133</v>
      </c>
      <c r="J1379" s="65">
        <v>6000000</v>
      </c>
      <c r="K1379" s="65"/>
      <c r="L1379" s="46">
        <f>J1379*H1379</f>
        <v>6000000</v>
      </c>
    </row>
    <row r="1380" spans="2:13" x14ac:dyDescent="0.35">
      <c r="B1380" s="96"/>
      <c r="C1380" s="97"/>
      <c r="D1380" s="98"/>
      <c r="E1380" s="99"/>
      <c r="F1380" s="100" t="s">
        <v>89</v>
      </c>
      <c r="G1380" s="101" t="s">
        <v>860</v>
      </c>
      <c r="H1380" s="104"/>
      <c r="I1380" s="103"/>
      <c r="J1380" s="50"/>
      <c r="K1380" s="58"/>
      <c r="L1380" s="46"/>
    </row>
    <row r="1381" spans="2:13" x14ac:dyDescent="0.35">
      <c r="B1381" s="96"/>
      <c r="C1381" s="97"/>
      <c r="D1381" s="98"/>
      <c r="E1381" s="99"/>
      <c r="F1381" s="100" t="s">
        <v>89</v>
      </c>
      <c r="G1381" s="101" t="s">
        <v>858</v>
      </c>
      <c r="H1381" s="104"/>
      <c r="I1381" s="103"/>
      <c r="J1381" s="65"/>
      <c r="K1381" s="65"/>
      <c r="L1381" s="46"/>
      <c r="M1381" s="82"/>
    </row>
    <row r="1382" spans="2:13" x14ac:dyDescent="0.35">
      <c r="B1382" s="96"/>
      <c r="C1382" s="97"/>
      <c r="D1382" s="98"/>
      <c r="E1382" s="99"/>
      <c r="F1382" s="100" t="s">
        <v>89</v>
      </c>
      <c r="G1382" s="101" t="s">
        <v>263</v>
      </c>
      <c r="H1382" s="104"/>
      <c r="I1382" s="103"/>
      <c r="J1382" s="50"/>
      <c r="K1382" s="57"/>
      <c r="L1382" s="46"/>
    </row>
    <row r="1383" spans="2:13" x14ac:dyDescent="0.35">
      <c r="B1383" s="96"/>
      <c r="C1383" s="97"/>
      <c r="D1383" s="98"/>
      <c r="E1383" s="99"/>
      <c r="F1383" s="100" t="s">
        <v>89</v>
      </c>
      <c r="G1383" s="101" t="s">
        <v>859</v>
      </c>
      <c r="H1383" s="104"/>
      <c r="I1383" s="103"/>
      <c r="J1383" s="50"/>
      <c r="K1383" s="57"/>
      <c r="L1383" s="46"/>
    </row>
    <row r="1384" spans="2:13" x14ac:dyDescent="0.35">
      <c r="B1384" s="96"/>
      <c r="C1384" s="97"/>
      <c r="D1384" s="98" t="s">
        <v>49</v>
      </c>
      <c r="E1384" s="99"/>
      <c r="F1384" s="100" t="s">
        <v>149</v>
      </c>
      <c r="G1384" s="101"/>
      <c r="H1384" s="104">
        <v>1</v>
      </c>
      <c r="I1384" s="103" t="s">
        <v>133</v>
      </c>
      <c r="J1384" s="65">
        <v>6000000</v>
      </c>
      <c r="K1384" s="65"/>
      <c r="L1384" s="46">
        <f>J1384*H1384</f>
        <v>6000000</v>
      </c>
    </row>
    <row r="1385" spans="2:13" x14ac:dyDescent="0.35">
      <c r="B1385" s="96"/>
      <c r="C1385" s="97"/>
      <c r="D1385" s="98"/>
      <c r="E1385" s="99"/>
      <c r="F1385" s="100" t="s">
        <v>89</v>
      </c>
      <c r="G1385" s="101" t="s">
        <v>860</v>
      </c>
      <c r="H1385" s="104"/>
      <c r="I1385" s="103"/>
      <c r="J1385" s="65"/>
      <c r="K1385" s="65"/>
      <c r="L1385" s="46"/>
    </row>
    <row r="1386" spans="2:13" x14ac:dyDescent="0.35">
      <c r="B1386" s="96"/>
      <c r="C1386" s="97"/>
      <c r="D1386" s="98"/>
      <c r="E1386" s="99"/>
      <c r="F1386" s="100" t="s">
        <v>89</v>
      </c>
      <c r="G1386" s="101" t="s">
        <v>858</v>
      </c>
      <c r="H1386" s="104"/>
      <c r="I1386" s="103"/>
      <c r="J1386" s="50"/>
      <c r="K1386" s="58"/>
      <c r="L1386" s="46"/>
    </row>
    <row r="1387" spans="2:13" x14ac:dyDescent="0.35">
      <c r="B1387" s="96"/>
      <c r="C1387" s="97"/>
      <c r="D1387" s="98"/>
      <c r="E1387" s="99"/>
      <c r="F1387" s="100" t="s">
        <v>89</v>
      </c>
      <c r="G1387" s="101" t="s">
        <v>263</v>
      </c>
      <c r="H1387" s="104"/>
      <c r="I1387" s="103"/>
      <c r="J1387" s="65"/>
      <c r="K1387" s="65"/>
      <c r="L1387" s="46"/>
      <c r="M1387" s="82"/>
    </row>
    <row r="1388" spans="2:13" x14ac:dyDescent="0.35">
      <c r="B1388" s="96"/>
      <c r="C1388" s="97"/>
      <c r="D1388" s="98"/>
      <c r="E1388" s="99"/>
      <c r="F1388" s="100" t="s">
        <v>89</v>
      </c>
      <c r="G1388" s="101" t="s">
        <v>859</v>
      </c>
      <c r="H1388" s="104"/>
      <c r="I1388" s="103"/>
      <c r="J1388" s="65"/>
      <c r="K1388" s="65"/>
      <c r="L1388" s="46"/>
    </row>
    <row r="1389" spans="2:13" x14ac:dyDescent="0.35">
      <c r="B1389" s="96"/>
      <c r="C1389" s="97"/>
      <c r="D1389" s="98" t="s">
        <v>62</v>
      </c>
      <c r="E1389" s="99"/>
      <c r="F1389" s="100" t="s">
        <v>150</v>
      </c>
      <c r="G1389" s="101"/>
      <c r="H1389" s="104">
        <v>1</v>
      </c>
      <c r="I1389" s="103" t="s">
        <v>133</v>
      </c>
      <c r="J1389" s="65">
        <v>6000000</v>
      </c>
      <c r="K1389" s="65"/>
      <c r="L1389" s="46">
        <f>J1389*H1389</f>
        <v>6000000</v>
      </c>
    </row>
    <row r="1390" spans="2:13" x14ac:dyDescent="0.35">
      <c r="B1390" s="96"/>
      <c r="C1390" s="97"/>
      <c r="D1390" s="98"/>
      <c r="E1390" s="99"/>
      <c r="F1390" s="100" t="s">
        <v>89</v>
      </c>
      <c r="G1390" s="101" t="s">
        <v>860</v>
      </c>
      <c r="H1390" s="104"/>
      <c r="I1390" s="103"/>
      <c r="J1390" s="50"/>
      <c r="K1390" s="57"/>
      <c r="L1390" s="46"/>
    </row>
    <row r="1391" spans="2:13" x14ac:dyDescent="0.35">
      <c r="B1391" s="96"/>
      <c r="C1391" s="97"/>
      <c r="D1391" s="98"/>
      <c r="E1391" s="99"/>
      <c r="F1391" s="100" t="s">
        <v>89</v>
      </c>
      <c r="G1391" s="101" t="s">
        <v>858</v>
      </c>
      <c r="H1391" s="104"/>
      <c r="I1391" s="103"/>
      <c r="J1391" s="50"/>
      <c r="K1391" s="58"/>
      <c r="L1391" s="46"/>
    </row>
    <row r="1392" spans="2:13" x14ac:dyDescent="0.35">
      <c r="B1392" s="96"/>
      <c r="C1392" s="97"/>
      <c r="D1392" s="98"/>
      <c r="E1392" s="99"/>
      <c r="F1392" s="100" t="s">
        <v>89</v>
      </c>
      <c r="G1392" s="101" t="s">
        <v>263</v>
      </c>
      <c r="H1392" s="104"/>
      <c r="I1392" s="103"/>
      <c r="J1392" s="65"/>
      <c r="K1392" s="65"/>
      <c r="L1392" s="46"/>
    </row>
    <row r="1393" spans="2:13" x14ac:dyDescent="0.35">
      <c r="B1393" s="96"/>
      <c r="C1393" s="97"/>
      <c r="D1393" s="98"/>
      <c r="E1393" s="99"/>
      <c r="F1393" s="100" t="s">
        <v>89</v>
      </c>
      <c r="G1393" s="101" t="s">
        <v>859</v>
      </c>
      <c r="H1393" s="104"/>
      <c r="I1393" s="103"/>
      <c r="J1393" s="50"/>
      <c r="K1393" s="58"/>
      <c r="L1393" s="46"/>
    </row>
    <row r="1394" spans="2:13" x14ac:dyDescent="0.35">
      <c r="B1394" s="96"/>
      <c r="C1394" s="97"/>
      <c r="D1394" s="98" t="s">
        <v>51</v>
      </c>
      <c r="E1394" s="99"/>
      <c r="F1394" s="100" t="s">
        <v>151</v>
      </c>
      <c r="G1394" s="101"/>
      <c r="H1394" s="104">
        <v>1</v>
      </c>
      <c r="I1394" s="103" t="s">
        <v>133</v>
      </c>
      <c r="J1394" s="65">
        <v>6000000</v>
      </c>
      <c r="K1394" s="65"/>
      <c r="L1394" s="46">
        <f>J1394*H1394</f>
        <v>6000000</v>
      </c>
      <c r="M1394" s="82"/>
    </row>
    <row r="1395" spans="2:13" x14ac:dyDescent="0.35">
      <c r="B1395" s="96"/>
      <c r="C1395" s="97"/>
      <c r="D1395" s="98"/>
      <c r="E1395" s="99"/>
      <c r="F1395" s="100" t="s">
        <v>89</v>
      </c>
      <c r="G1395" s="101" t="s">
        <v>860</v>
      </c>
      <c r="H1395" s="104"/>
      <c r="I1395" s="103"/>
      <c r="J1395" s="50"/>
      <c r="K1395" s="57"/>
      <c r="L1395" s="46"/>
    </row>
    <row r="1396" spans="2:13" x14ac:dyDescent="0.35">
      <c r="B1396" s="96"/>
      <c r="C1396" s="97"/>
      <c r="D1396" s="98"/>
      <c r="E1396" s="99"/>
      <c r="F1396" s="100" t="s">
        <v>89</v>
      </c>
      <c r="G1396" s="101" t="s">
        <v>858</v>
      </c>
      <c r="H1396" s="104"/>
      <c r="I1396" s="103"/>
      <c r="J1396" s="50"/>
      <c r="K1396" s="57"/>
      <c r="L1396" s="46"/>
    </row>
    <row r="1397" spans="2:13" x14ac:dyDescent="0.35">
      <c r="B1397" s="96"/>
      <c r="C1397" s="97"/>
      <c r="D1397" s="98"/>
      <c r="E1397" s="99"/>
      <c r="F1397" s="100" t="s">
        <v>89</v>
      </c>
      <c r="G1397" s="101" t="s">
        <v>263</v>
      </c>
      <c r="H1397" s="102"/>
      <c r="I1397" s="103"/>
      <c r="J1397" s="50"/>
      <c r="K1397" s="58"/>
      <c r="L1397" s="46"/>
    </row>
    <row r="1398" spans="2:13" x14ac:dyDescent="0.35">
      <c r="B1398" s="96"/>
      <c r="C1398" s="97"/>
      <c r="D1398" s="98"/>
      <c r="E1398" s="99"/>
      <c r="F1398" s="100" t="s">
        <v>89</v>
      </c>
      <c r="G1398" s="101" t="s">
        <v>859</v>
      </c>
      <c r="H1398" s="102"/>
      <c r="I1398" s="103"/>
      <c r="J1398" s="65"/>
      <c r="K1398" s="65"/>
      <c r="L1398" s="46"/>
    </row>
    <row r="1399" spans="2:13" x14ac:dyDescent="0.35">
      <c r="B1399" s="96"/>
      <c r="C1399" s="97"/>
      <c r="D1399" s="98" t="s">
        <v>53</v>
      </c>
      <c r="E1399" s="99"/>
      <c r="F1399" s="100" t="s">
        <v>152</v>
      </c>
      <c r="G1399" s="101"/>
      <c r="H1399" s="104">
        <v>1</v>
      </c>
      <c r="I1399" s="103" t="s">
        <v>133</v>
      </c>
      <c r="J1399" s="65">
        <v>6000000</v>
      </c>
      <c r="K1399" s="65"/>
      <c r="L1399" s="46">
        <f>J1399*H1399</f>
        <v>6000000</v>
      </c>
    </row>
    <row r="1400" spans="2:13" x14ac:dyDescent="0.35">
      <c r="B1400" s="96"/>
      <c r="C1400" s="97"/>
      <c r="D1400" s="98"/>
      <c r="E1400" s="99"/>
      <c r="F1400" s="100" t="s">
        <v>89</v>
      </c>
      <c r="G1400" s="101" t="s">
        <v>860</v>
      </c>
      <c r="H1400" s="104"/>
      <c r="I1400" s="103"/>
      <c r="J1400" s="50"/>
      <c r="K1400" s="57"/>
      <c r="L1400" s="46"/>
    </row>
    <row r="1401" spans="2:13" x14ac:dyDescent="0.35">
      <c r="B1401" s="96"/>
      <c r="C1401" s="97"/>
      <c r="D1401" s="98"/>
      <c r="E1401" s="99"/>
      <c r="F1401" s="100" t="s">
        <v>89</v>
      </c>
      <c r="G1401" s="101" t="s">
        <v>858</v>
      </c>
      <c r="H1401" s="104"/>
      <c r="I1401" s="103"/>
      <c r="J1401" s="50"/>
      <c r="K1401" s="57"/>
      <c r="L1401" s="46"/>
    </row>
    <row r="1402" spans="2:13" x14ac:dyDescent="0.35">
      <c r="B1402" s="96"/>
      <c r="C1402" s="97"/>
      <c r="D1402" s="98"/>
      <c r="E1402" s="99"/>
      <c r="F1402" s="100" t="s">
        <v>89</v>
      </c>
      <c r="G1402" s="101" t="s">
        <v>263</v>
      </c>
      <c r="H1402" s="104"/>
      <c r="I1402" s="103"/>
      <c r="J1402" s="50"/>
      <c r="K1402" s="58"/>
      <c r="L1402" s="46"/>
    </row>
    <row r="1403" spans="2:13" x14ac:dyDescent="0.35">
      <c r="B1403" s="96"/>
      <c r="C1403" s="97"/>
      <c r="D1403" s="98"/>
      <c r="E1403" s="99"/>
      <c r="F1403" s="100" t="s">
        <v>89</v>
      </c>
      <c r="G1403" s="101" t="s">
        <v>859</v>
      </c>
      <c r="H1403" s="104"/>
      <c r="I1403" s="103"/>
      <c r="J1403" s="65"/>
      <c r="K1403" s="65"/>
      <c r="L1403" s="46"/>
    </row>
    <row r="1404" spans="2:13" x14ac:dyDescent="0.35">
      <c r="B1404" s="96"/>
      <c r="C1404" s="97"/>
      <c r="D1404" s="98" t="s">
        <v>55</v>
      </c>
      <c r="E1404" s="99"/>
      <c r="F1404" s="100" t="s">
        <v>153</v>
      </c>
      <c r="G1404" s="101"/>
      <c r="H1404" s="104">
        <v>1</v>
      </c>
      <c r="I1404" s="103" t="s">
        <v>133</v>
      </c>
      <c r="J1404" s="65">
        <v>6000000</v>
      </c>
      <c r="K1404" s="65"/>
      <c r="L1404" s="46">
        <f>J1404*H1404</f>
        <v>6000000</v>
      </c>
    </row>
    <row r="1405" spans="2:13" x14ac:dyDescent="0.35">
      <c r="B1405" s="96"/>
      <c r="C1405" s="97"/>
      <c r="D1405" s="98"/>
      <c r="E1405" s="99"/>
      <c r="F1405" s="100" t="s">
        <v>89</v>
      </c>
      <c r="G1405" s="101" t="s">
        <v>860</v>
      </c>
      <c r="H1405" s="104"/>
      <c r="I1405" s="103"/>
      <c r="J1405" s="65"/>
      <c r="K1405" s="65"/>
      <c r="L1405" s="46"/>
      <c r="M1405" s="82"/>
    </row>
    <row r="1406" spans="2:13" x14ac:dyDescent="0.35">
      <c r="B1406" s="96"/>
      <c r="C1406" s="97"/>
      <c r="D1406" s="98"/>
      <c r="E1406" s="99"/>
      <c r="F1406" s="100" t="s">
        <v>89</v>
      </c>
      <c r="G1406" s="101" t="s">
        <v>858</v>
      </c>
      <c r="H1406" s="104"/>
      <c r="I1406" s="103"/>
      <c r="J1406" s="50"/>
      <c r="K1406" s="57"/>
      <c r="L1406" s="46"/>
    </row>
    <row r="1407" spans="2:13" x14ac:dyDescent="0.35">
      <c r="B1407" s="96"/>
      <c r="C1407" s="97"/>
      <c r="D1407" s="98"/>
      <c r="E1407" s="99"/>
      <c r="F1407" s="100" t="s">
        <v>89</v>
      </c>
      <c r="G1407" s="101" t="s">
        <v>263</v>
      </c>
      <c r="H1407" s="104"/>
      <c r="I1407" s="103"/>
      <c r="J1407" s="50"/>
      <c r="K1407" s="57"/>
      <c r="L1407" s="46"/>
    </row>
    <row r="1408" spans="2:13" x14ac:dyDescent="0.35">
      <c r="B1408" s="96"/>
      <c r="C1408" s="97"/>
      <c r="D1408" s="98"/>
      <c r="E1408" s="99"/>
      <c r="F1408" s="100" t="s">
        <v>89</v>
      </c>
      <c r="G1408" s="101" t="s">
        <v>859</v>
      </c>
      <c r="H1408" s="104"/>
      <c r="I1408" s="103"/>
      <c r="J1408" s="50"/>
      <c r="K1408" s="58"/>
      <c r="L1408" s="46"/>
    </row>
    <row r="1409" spans="2:13" x14ac:dyDescent="0.35">
      <c r="B1409" s="96"/>
      <c r="C1409" s="97"/>
      <c r="D1409" s="98" t="s">
        <v>65</v>
      </c>
      <c r="E1409" s="99"/>
      <c r="F1409" s="100" t="s">
        <v>154</v>
      </c>
      <c r="G1409" s="101"/>
      <c r="H1409" s="104">
        <v>1</v>
      </c>
      <c r="I1409" s="103" t="s">
        <v>133</v>
      </c>
      <c r="J1409" s="65">
        <v>5500000</v>
      </c>
      <c r="K1409" s="65"/>
      <c r="L1409" s="46">
        <f>J1409*H1409</f>
        <v>5500000</v>
      </c>
    </row>
    <row r="1410" spans="2:13" x14ac:dyDescent="0.35">
      <c r="B1410" s="96"/>
      <c r="C1410" s="97"/>
      <c r="D1410" s="98"/>
      <c r="E1410" s="99"/>
      <c r="F1410" s="100" t="s">
        <v>89</v>
      </c>
      <c r="G1410" s="101" t="s">
        <v>872</v>
      </c>
      <c r="H1410" s="104"/>
      <c r="I1410" s="103"/>
      <c r="J1410" s="50"/>
      <c r="K1410" s="58"/>
      <c r="L1410" s="46"/>
    </row>
    <row r="1411" spans="2:13" x14ac:dyDescent="0.35">
      <c r="B1411" s="96"/>
      <c r="C1411" s="97"/>
      <c r="D1411" s="98"/>
      <c r="E1411" s="99"/>
      <c r="F1411" s="100" t="s">
        <v>89</v>
      </c>
      <c r="G1411" s="101" t="s">
        <v>858</v>
      </c>
      <c r="H1411" s="104"/>
      <c r="I1411" s="103"/>
      <c r="J1411" s="65"/>
      <c r="K1411" s="65"/>
      <c r="L1411" s="46"/>
      <c r="M1411" s="82"/>
    </row>
    <row r="1412" spans="2:13" x14ac:dyDescent="0.35">
      <c r="B1412" s="47"/>
      <c r="C1412" s="48"/>
      <c r="D1412" s="24"/>
      <c r="G1412" s="22"/>
      <c r="I1412" s="22"/>
      <c r="J1412" s="50"/>
      <c r="K1412" s="29"/>
      <c r="L1412" s="52"/>
    </row>
    <row r="1413" spans="2:13" x14ac:dyDescent="0.35">
      <c r="B1413" s="8"/>
      <c r="C1413" s="9"/>
      <c r="D1413" s="10"/>
      <c r="E1413" s="4"/>
      <c r="F1413" s="4"/>
      <c r="G1413" s="4"/>
      <c r="H1413" s="1"/>
      <c r="I1413" s="1"/>
      <c r="J1413" s="11" t="s">
        <v>8</v>
      </c>
      <c r="K1413" s="7">
        <f>SUM(K1360:K1412)</f>
        <v>0</v>
      </c>
      <c r="L1413" s="7">
        <f>SUM(L1360:L1412)</f>
        <v>60750000</v>
      </c>
    </row>
    <row r="1414" spans="2:13" x14ac:dyDescent="0.35">
      <c r="B1414" s="8"/>
      <c r="C1414" s="9"/>
      <c r="D1414" s="9"/>
      <c r="E1414" s="4"/>
      <c r="F1414" s="4"/>
      <c r="G1414" s="4"/>
      <c r="H1414" s="1"/>
      <c r="I1414" s="1"/>
      <c r="J1414" s="11"/>
      <c r="K1414" s="35" t="s">
        <v>22</v>
      </c>
      <c r="L1414" s="36" t="s">
        <v>23</v>
      </c>
    </row>
    <row r="1415" spans="2:13" x14ac:dyDescent="0.35">
      <c r="B1415" s="3" t="s">
        <v>9</v>
      </c>
      <c r="C1415" s="4"/>
      <c r="D1415" s="4"/>
      <c r="E1415" s="4"/>
      <c r="F1415" s="4"/>
      <c r="G1415" s="4"/>
      <c r="H1415" s="1"/>
      <c r="I1415" s="1"/>
      <c r="J1415" s="12"/>
      <c r="K1415" s="12"/>
      <c r="L1415" s="13"/>
    </row>
    <row r="1416" spans="2:13" x14ac:dyDescent="0.35">
      <c r="B1416" s="37"/>
      <c r="C1416" s="1"/>
      <c r="D1416" s="1"/>
      <c r="E1416" s="38"/>
      <c r="F1416" s="38"/>
      <c r="G1416" s="38"/>
      <c r="H1416" s="1"/>
      <c r="I1416" s="1"/>
      <c r="J1416" s="1"/>
      <c r="K1416" s="1"/>
      <c r="L1416" s="19"/>
    </row>
    <row r="1417" spans="2:13" x14ac:dyDescent="0.35">
      <c r="B1417" s="28" t="s">
        <v>6</v>
      </c>
      <c r="C1417" s="27"/>
      <c r="D1417" s="27"/>
      <c r="E1417" s="26"/>
      <c r="F1417" s="26"/>
      <c r="G1417" s="5"/>
      <c r="K1417" s="284" t="s">
        <v>1600</v>
      </c>
      <c r="L1417" s="285"/>
    </row>
    <row r="1418" spans="2:13" x14ac:dyDescent="0.35">
      <c r="B1418" s="28">
        <v>1</v>
      </c>
      <c r="C1418" s="27"/>
      <c r="D1418" s="27"/>
      <c r="E1418" s="26" t="s">
        <v>7</v>
      </c>
      <c r="F1418" s="26"/>
      <c r="G1418" s="5"/>
      <c r="K1418" s="284" t="s">
        <v>28</v>
      </c>
      <c r="L1418" s="285"/>
    </row>
    <row r="1419" spans="2:13" x14ac:dyDescent="0.35">
      <c r="B1419" s="39"/>
      <c r="C1419" s="27"/>
      <c r="D1419" s="27"/>
      <c r="E1419" s="26"/>
      <c r="F1419" s="26"/>
      <c r="G1419" s="5"/>
      <c r="J1419" s="25"/>
      <c r="K1419" s="25"/>
      <c r="L1419" s="24"/>
    </row>
    <row r="1420" spans="2:13" x14ac:dyDescent="0.35">
      <c r="B1420" s="28"/>
      <c r="C1420" s="27"/>
      <c r="D1420" s="27"/>
      <c r="E1420" s="26"/>
      <c r="F1420" s="26"/>
      <c r="G1420" s="5"/>
      <c r="L1420" s="22"/>
    </row>
    <row r="1421" spans="2:13" x14ac:dyDescent="0.35">
      <c r="B1421" s="45"/>
      <c r="E1421" s="5"/>
      <c r="F1421" s="5"/>
      <c r="G1421" s="5"/>
      <c r="L1421" s="22"/>
    </row>
    <row r="1422" spans="2:13" x14ac:dyDescent="0.35">
      <c r="B1422" s="45"/>
      <c r="E1422" s="5"/>
      <c r="F1422" s="5"/>
      <c r="G1422" s="5"/>
      <c r="L1422" s="22"/>
    </row>
    <row r="1423" spans="2:13" x14ac:dyDescent="0.35">
      <c r="B1423" s="45"/>
      <c r="E1423" s="5"/>
      <c r="F1423" s="5"/>
      <c r="G1423" s="5"/>
      <c r="L1423" s="22"/>
    </row>
    <row r="1424" spans="2:13" x14ac:dyDescent="0.35">
      <c r="B1424" s="45"/>
      <c r="E1424" s="5"/>
      <c r="F1424" s="5"/>
      <c r="G1424" s="5"/>
      <c r="J1424" s="40"/>
      <c r="K1424" s="286" t="s">
        <v>36</v>
      </c>
      <c r="L1424" s="287"/>
    </row>
    <row r="1425" spans="2:13" x14ac:dyDescent="0.35">
      <c r="B1425" s="45"/>
      <c r="K1425" s="288" t="s">
        <v>37</v>
      </c>
      <c r="L1425" s="289"/>
    </row>
    <row r="1426" spans="2:13" x14ac:dyDescent="0.35">
      <c r="B1426" s="290"/>
      <c r="C1426" s="291"/>
      <c r="D1426" s="291"/>
      <c r="E1426" s="41"/>
      <c r="F1426" s="41"/>
      <c r="G1426" s="41"/>
      <c r="H1426" s="2"/>
      <c r="I1426" s="2"/>
      <c r="J1426" s="2"/>
      <c r="K1426" s="2"/>
      <c r="L1426" s="21"/>
    </row>
    <row r="1427" spans="2:13" x14ac:dyDescent="0.35">
      <c r="B1427" s="47"/>
      <c r="C1427" s="48"/>
      <c r="D1427" s="49"/>
      <c r="G1427" s="22"/>
      <c r="H1427" s="1"/>
      <c r="I1427" s="1"/>
      <c r="J1427" s="43"/>
      <c r="K1427" s="30"/>
      <c r="L1427" s="44"/>
    </row>
    <row r="1428" spans="2:13" x14ac:dyDescent="0.35">
      <c r="B1428" s="96"/>
      <c r="C1428" s="97"/>
      <c r="D1428" s="98"/>
      <c r="E1428" s="99"/>
      <c r="F1428" s="100" t="s">
        <v>89</v>
      </c>
      <c r="G1428" s="101" t="s">
        <v>263</v>
      </c>
      <c r="H1428" s="104"/>
      <c r="I1428" s="103"/>
      <c r="J1428" s="50"/>
      <c r="K1428" s="57"/>
      <c r="L1428" s="46"/>
    </row>
    <row r="1429" spans="2:13" x14ac:dyDescent="0.35">
      <c r="B1429" s="96"/>
      <c r="C1429" s="97"/>
      <c r="D1429" s="98"/>
      <c r="E1429" s="99"/>
      <c r="F1429" s="100" t="s">
        <v>89</v>
      </c>
      <c r="G1429" s="101" t="s">
        <v>859</v>
      </c>
      <c r="H1429" s="104"/>
      <c r="I1429" s="103"/>
      <c r="J1429" s="50"/>
      <c r="K1429" s="57"/>
      <c r="L1429" s="46"/>
    </row>
    <row r="1430" spans="2:13" x14ac:dyDescent="0.35">
      <c r="B1430" s="96"/>
      <c r="C1430" s="97"/>
      <c r="D1430" s="98" t="s">
        <v>141</v>
      </c>
      <c r="E1430" s="99"/>
      <c r="F1430" s="100" t="s">
        <v>155</v>
      </c>
      <c r="G1430" s="101"/>
      <c r="H1430" s="104">
        <v>1</v>
      </c>
      <c r="I1430" s="103" t="s">
        <v>133</v>
      </c>
      <c r="J1430" s="65">
        <v>6000000</v>
      </c>
      <c r="K1430" s="65"/>
      <c r="L1430" s="46">
        <f>J1430*H1430</f>
        <v>6000000</v>
      </c>
    </row>
    <row r="1431" spans="2:13" x14ac:dyDescent="0.35">
      <c r="B1431" s="96"/>
      <c r="C1431" s="97"/>
      <c r="D1431" s="98"/>
      <c r="E1431" s="99"/>
      <c r="F1431" s="100" t="s">
        <v>89</v>
      </c>
      <c r="G1431" s="101" t="s">
        <v>860</v>
      </c>
      <c r="H1431" s="104"/>
      <c r="I1431" s="103"/>
      <c r="J1431" s="65"/>
      <c r="K1431" s="65"/>
      <c r="L1431" s="46"/>
    </row>
    <row r="1432" spans="2:13" x14ac:dyDescent="0.35">
      <c r="B1432" s="96"/>
      <c r="C1432" s="97"/>
      <c r="D1432" s="98"/>
      <c r="E1432" s="99"/>
      <c r="F1432" s="100" t="s">
        <v>89</v>
      </c>
      <c r="G1432" s="101" t="s">
        <v>858</v>
      </c>
      <c r="H1432" s="104"/>
      <c r="I1432" s="103"/>
      <c r="J1432" s="50"/>
      <c r="K1432" s="58"/>
      <c r="L1432" s="46"/>
    </row>
    <row r="1433" spans="2:13" x14ac:dyDescent="0.35">
      <c r="B1433" s="96"/>
      <c r="C1433" s="97"/>
      <c r="D1433" s="98"/>
      <c r="E1433" s="99"/>
      <c r="F1433" s="100" t="s">
        <v>89</v>
      </c>
      <c r="G1433" s="101" t="s">
        <v>263</v>
      </c>
      <c r="H1433" s="104"/>
      <c r="I1433" s="103"/>
      <c r="J1433" s="65"/>
      <c r="K1433" s="65"/>
      <c r="L1433" s="46"/>
      <c r="M1433" s="82"/>
    </row>
    <row r="1434" spans="2:13" x14ac:dyDescent="0.35">
      <c r="B1434" s="96"/>
      <c r="C1434" s="97"/>
      <c r="D1434" s="98"/>
      <c r="E1434" s="99"/>
      <c r="F1434" s="100" t="s">
        <v>89</v>
      </c>
      <c r="G1434" s="101" t="s">
        <v>859</v>
      </c>
      <c r="H1434" s="104"/>
      <c r="I1434" s="103"/>
      <c r="J1434" s="50"/>
      <c r="K1434" s="57"/>
      <c r="L1434" s="46"/>
    </row>
    <row r="1435" spans="2:13" x14ac:dyDescent="0.35">
      <c r="B1435" s="96"/>
      <c r="C1435" s="97"/>
      <c r="D1435" s="98" t="s">
        <v>143</v>
      </c>
      <c r="E1435" s="99"/>
      <c r="F1435" s="100" t="s">
        <v>156</v>
      </c>
      <c r="G1435" s="101"/>
      <c r="H1435" s="104">
        <v>1</v>
      </c>
      <c r="I1435" s="103" t="s">
        <v>133</v>
      </c>
      <c r="J1435" s="65">
        <v>6000000</v>
      </c>
      <c r="K1435" s="65"/>
      <c r="L1435" s="46">
        <f>J1435*H1435</f>
        <v>6000000</v>
      </c>
    </row>
    <row r="1436" spans="2:13" x14ac:dyDescent="0.35">
      <c r="B1436" s="96"/>
      <c r="C1436" s="97"/>
      <c r="D1436" s="98"/>
      <c r="E1436" s="99"/>
      <c r="F1436" s="100" t="s">
        <v>89</v>
      </c>
      <c r="G1436" s="101" t="s">
        <v>860</v>
      </c>
      <c r="H1436" s="104"/>
      <c r="I1436" s="103"/>
      <c r="J1436" s="50"/>
      <c r="K1436" s="58"/>
      <c r="L1436" s="46"/>
    </row>
    <row r="1437" spans="2:13" x14ac:dyDescent="0.35">
      <c r="B1437" s="96"/>
      <c r="C1437" s="97"/>
      <c r="D1437" s="98"/>
      <c r="E1437" s="99"/>
      <c r="F1437" s="100" t="s">
        <v>89</v>
      </c>
      <c r="G1437" s="101" t="s">
        <v>858</v>
      </c>
      <c r="H1437" s="104"/>
      <c r="I1437" s="103"/>
      <c r="J1437" s="65"/>
      <c r="K1437" s="65"/>
      <c r="L1437" s="46"/>
    </row>
    <row r="1438" spans="2:13" x14ac:dyDescent="0.35">
      <c r="B1438" s="96"/>
      <c r="C1438" s="97"/>
      <c r="D1438" s="98"/>
      <c r="E1438" s="99"/>
      <c r="F1438" s="100" t="s">
        <v>89</v>
      </c>
      <c r="G1438" s="101" t="s">
        <v>263</v>
      </c>
      <c r="H1438" s="104"/>
      <c r="I1438" s="103"/>
      <c r="J1438" s="50"/>
      <c r="K1438" s="58"/>
      <c r="L1438" s="46"/>
    </row>
    <row r="1439" spans="2:13" x14ac:dyDescent="0.35">
      <c r="B1439" s="96"/>
      <c r="C1439" s="97"/>
      <c r="D1439" s="98"/>
      <c r="E1439" s="99"/>
      <c r="F1439" s="100" t="s">
        <v>89</v>
      </c>
      <c r="G1439" s="101" t="s">
        <v>859</v>
      </c>
      <c r="H1439" s="104"/>
      <c r="I1439" s="103"/>
      <c r="J1439" s="65"/>
      <c r="K1439" s="65"/>
      <c r="L1439" s="46"/>
      <c r="M1439" s="82"/>
    </row>
    <row r="1440" spans="2:13" x14ac:dyDescent="0.35">
      <c r="B1440" s="96"/>
      <c r="C1440" s="97"/>
      <c r="D1440" s="98" t="s">
        <v>67</v>
      </c>
      <c r="E1440" s="99"/>
      <c r="F1440" s="100" t="s">
        <v>272</v>
      </c>
      <c r="G1440" s="101"/>
      <c r="H1440" s="104">
        <v>1</v>
      </c>
      <c r="I1440" s="103" t="s">
        <v>133</v>
      </c>
      <c r="J1440" s="65">
        <v>6000000</v>
      </c>
      <c r="K1440" s="65"/>
      <c r="L1440" s="46">
        <f>J1440*H1440</f>
        <v>6000000</v>
      </c>
    </row>
    <row r="1441" spans="2:13" x14ac:dyDescent="0.35">
      <c r="B1441" s="96"/>
      <c r="C1441" s="97"/>
      <c r="D1441" s="98"/>
      <c r="E1441" s="99"/>
      <c r="F1441" s="100" t="s">
        <v>89</v>
      </c>
      <c r="G1441" s="101" t="s">
        <v>865</v>
      </c>
      <c r="H1441" s="104"/>
      <c r="I1441" s="103"/>
      <c r="J1441" s="50"/>
      <c r="K1441" s="57"/>
      <c r="L1441" s="46"/>
    </row>
    <row r="1442" spans="2:13" x14ac:dyDescent="0.35">
      <c r="B1442" s="96"/>
      <c r="C1442" s="97"/>
      <c r="D1442" s="98"/>
      <c r="E1442" s="99"/>
      <c r="F1442" s="100" t="s">
        <v>89</v>
      </c>
      <c r="G1442" s="101" t="s">
        <v>866</v>
      </c>
      <c r="H1442" s="104"/>
      <c r="I1442" s="103"/>
      <c r="J1442" s="50"/>
      <c r="K1442" s="58"/>
      <c r="L1442" s="46"/>
    </row>
    <row r="1443" spans="2:13" x14ac:dyDescent="0.35">
      <c r="B1443" s="96"/>
      <c r="C1443" s="97"/>
      <c r="D1443" s="98"/>
      <c r="E1443" s="99"/>
      <c r="F1443" s="100" t="s">
        <v>89</v>
      </c>
      <c r="G1443" s="101" t="s">
        <v>858</v>
      </c>
      <c r="H1443" s="104"/>
      <c r="I1443" s="103"/>
      <c r="J1443" s="65"/>
      <c r="K1443" s="65"/>
      <c r="L1443" s="46"/>
    </row>
    <row r="1444" spans="2:13" x14ac:dyDescent="0.35">
      <c r="B1444" s="96"/>
      <c r="C1444" s="97"/>
      <c r="D1444" s="98"/>
      <c r="E1444" s="99"/>
      <c r="F1444" s="100" t="s">
        <v>89</v>
      </c>
      <c r="G1444" s="101" t="s">
        <v>263</v>
      </c>
      <c r="H1444" s="104"/>
      <c r="I1444" s="103"/>
      <c r="J1444" s="50"/>
      <c r="K1444" s="58"/>
      <c r="L1444" s="46"/>
    </row>
    <row r="1445" spans="2:13" x14ac:dyDescent="0.35">
      <c r="B1445" s="96"/>
      <c r="C1445" s="97"/>
      <c r="D1445" s="98"/>
      <c r="E1445" s="99"/>
      <c r="F1445" s="100" t="s">
        <v>89</v>
      </c>
      <c r="G1445" s="101" t="s">
        <v>863</v>
      </c>
      <c r="H1445" s="104"/>
      <c r="I1445" s="103"/>
      <c r="J1445" s="65"/>
      <c r="K1445" s="65"/>
      <c r="L1445" s="46"/>
      <c r="M1445" s="82"/>
    </row>
    <row r="1446" spans="2:13" x14ac:dyDescent="0.35">
      <c r="B1446" s="96"/>
      <c r="C1446" s="97"/>
      <c r="D1446" s="98"/>
      <c r="E1446" s="99"/>
      <c r="F1446" s="100" t="s">
        <v>89</v>
      </c>
      <c r="G1446" s="101" t="s">
        <v>859</v>
      </c>
      <c r="H1446" s="104"/>
      <c r="I1446" s="103"/>
      <c r="J1446" s="50"/>
      <c r="K1446" s="57"/>
      <c r="L1446" s="46"/>
    </row>
    <row r="1447" spans="2:13" x14ac:dyDescent="0.35">
      <c r="B1447" s="96"/>
      <c r="C1447" s="97"/>
      <c r="D1447" s="98" t="s">
        <v>69</v>
      </c>
      <c r="E1447" s="99"/>
      <c r="F1447" s="100" t="s">
        <v>273</v>
      </c>
      <c r="G1447" s="101"/>
      <c r="H1447" s="104">
        <v>1</v>
      </c>
      <c r="I1447" s="103" t="s">
        <v>133</v>
      </c>
      <c r="J1447" s="65">
        <v>5500000</v>
      </c>
      <c r="K1447" s="65"/>
      <c r="L1447" s="46">
        <f>J1447*H1447</f>
        <v>5500000</v>
      </c>
    </row>
    <row r="1448" spans="2:13" x14ac:dyDescent="0.35">
      <c r="B1448" s="96"/>
      <c r="C1448" s="97"/>
      <c r="D1448" s="98"/>
      <c r="E1448" s="99"/>
      <c r="F1448" s="100" t="s">
        <v>89</v>
      </c>
      <c r="G1448" s="101" t="s">
        <v>865</v>
      </c>
      <c r="H1448" s="104"/>
      <c r="I1448" s="103"/>
      <c r="J1448" s="50"/>
      <c r="K1448" s="58"/>
      <c r="L1448" s="46"/>
    </row>
    <row r="1449" spans="2:13" x14ac:dyDescent="0.35">
      <c r="B1449" s="96"/>
      <c r="C1449" s="97"/>
      <c r="D1449" s="98"/>
      <c r="E1449" s="99"/>
      <c r="F1449" s="100" t="s">
        <v>89</v>
      </c>
      <c r="G1449" s="101" t="s">
        <v>866</v>
      </c>
      <c r="H1449" s="104"/>
      <c r="I1449" s="103"/>
      <c r="J1449" s="65"/>
      <c r="K1449" s="65"/>
      <c r="L1449" s="46"/>
    </row>
    <row r="1450" spans="2:13" x14ac:dyDescent="0.35">
      <c r="B1450" s="96"/>
      <c r="C1450" s="97"/>
      <c r="D1450" s="98"/>
      <c r="E1450" s="99"/>
      <c r="F1450" s="100" t="s">
        <v>89</v>
      </c>
      <c r="G1450" s="101" t="s">
        <v>858</v>
      </c>
      <c r="H1450" s="104"/>
      <c r="I1450" s="103"/>
      <c r="J1450" s="50"/>
      <c r="K1450" s="58"/>
      <c r="L1450" s="46"/>
    </row>
    <row r="1451" spans="2:13" x14ac:dyDescent="0.35">
      <c r="B1451" s="96"/>
      <c r="C1451" s="97"/>
      <c r="D1451" s="98"/>
      <c r="E1451" s="99"/>
      <c r="F1451" s="100" t="s">
        <v>89</v>
      </c>
      <c r="G1451" s="101" t="s">
        <v>263</v>
      </c>
      <c r="H1451" s="104"/>
      <c r="I1451" s="103"/>
      <c r="J1451" s="65"/>
      <c r="K1451" s="65"/>
      <c r="L1451" s="46"/>
    </row>
    <row r="1452" spans="2:13" x14ac:dyDescent="0.35">
      <c r="B1452" s="96"/>
      <c r="C1452" s="97"/>
      <c r="D1452" s="98"/>
      <c r="E1452" s="99"/>
      <c r="F1452" s="100" t="s">
        <v>89</v>
      </c>
      <c r="G1452" s="101" t="s">
        <v>873</v>
      </c>
      <c r="H1452" s="104"/>
      <c r="I1452" s="103"/>
      <c r="J1452" s="50"/>
      <c r="K1452" s="57"/>
      <c r="L1452" s="46"/>
    </row>
    <row r="1453" spans="2:13" x14ac:dyDescent="0.35">
      <c r="B1453" s="96"/>
      <c r="C1453" s="97"/>
      <c r="D1453" s="98"/>
      <c r="E1453" s="99"/>
      <c r="F1453" s="100" t="s">
        <v>89</v>
      </c>
      <c r="G1453" s="101" t="s">
        <v>859</v>
      </c>
      <c r="H1453" s="104"/>
      <c r="I1453" s="103"/>
      <c r="J1453" s="50"/>
      <c r="K1453" s="57"/>
      <c r="L1453" s="46"/>
    </row>
    <row r="1454" spans="2:13" x14ac:dyDescent="0.35">
      <c r="B1454" s="96"/>
      <c r="C1454" s="97"/>
      <c r="D1454" s="98" t="s">
        <v>71</v>
      </c>
      <c r="E1454" s="99"/>
      <c r="F1454" s="100" t="s">
        <v>274</v>
      </c>
      <c r="G1454" s="101"/>
      <c r="H1454" s="104">
        <v>1</v>
      </c>
      <c r="I1454" s="103" t="s">
        <v>133</v>
      </c>
      <c r="J1454" s="65">
        <v>6000000</v>
      </c>
      <c r="K1454" s="65"/>
      <c r="L1454" s="46">
        <f>J1454*H1454</f>
        <v>6000000</v>
      </c>
    </row>
    <row r="1455" spans="2:13" x14ac:dyDescent="0.35">
      <c r="B1455" s="96"/>
      <c r="C1455" s="97"/>
      <c r="D1455" s="98"/>
      <c r="E1455" s="99"/>
      <c r="F1455" s="100" t="s">
        <v>89</v>
      </c>
      <c r="G1455" s="101" t="s">
        <v>865</v>
      </c>
      <c r="H1455" s="102"/>
      <c r="I1455" s="103"/>
      <c r="J1455" s="65"/>
      <c r="K1455" s="65"/>
      <c r="L1455" s="46"/>
    </row>
    <row r="1456" spans="2:13" x14ac:dyDescent="0.35">
      <c r="B1456" s="96"/>
      <c r="C1456" s="97"/>
      <c r="D1456" s="98"/>
      <c r="E1456" s="99"/>
      <c r="F1456" s="100" t="s">
        <v>89</v>
      </c>
      <c r="G1456" s="101" t="s">
        <v>866</v>
      </c>
      <c r="H1456" s="102"/>
      <c r="I1456" s="103"/>
      <c r="J1456" s="50"/>
      <c r="K1456" s="58"/>
      <c r="L1456" s="46"/>
    </row>
    <row r="1457" spans="2:12" x14ac:dyDescent="0.35">
      <c r="B1457" s="96"/>
      <c r="C1457" s="97"/>
      <c r="D1457" s="98"/>
      <c r="E1457" s="99"/>
      <c r="F1457" s="100" t="s">
        <v>89</v>
      </c>
      <c r="G1457" s="101" t="s">
        <v>858</v>
      </c>
      <c r="H1457" s="102"/>
      <c r="I1457" s="103"/>
      <c r="J1457" s="50"/>
      <c r="K1457" s="29"/>
      <c r="L1457" s="52"/>
    </row>
    <row r="1458" spans="2:12" x14ac:dyDescent="0.35">
      <c r="B1458" s="96"/>
      <c r="C1458" s="97"/>
      <c r="D1458" s="98"/>
      <c r="E1458" s="99"/>
      <c r="F1458" s="100" t="s">
        <v>89</v>
      </c>
      <c r="G1458" s="101" t="s">
        <v>263</v>
      </c>
      <c r="H1458" s="102"/>
      <c r="I1458" s="103"/>
      <c r="J1458" s="65"/>
      <c r="K1458" s="65"/>
      <c r="L1458" s="46"/>
    </row>
    <row r="1459" spans="2:12" x14ac:dyDescent="0.35">
      <c r="B1459" s="96"/>
      <c r="C1459" s="97"/>
      <c r="D1459" s="98"/>
      <c r="E1459" s="99"/>
      <c r="F1459" s="100" t="s">
        <v>89</v>
      </c>
      <c r="G1459" s="101" t="s">
        <v>863</v>
      </c>
      <c r="H1459" s="102"/>
      <c r="I1459" s="103"/>
      <c r="J1459" s="65"/>
      <c r="K1459" s="65"/>
      <c r="L1459" s="46"/>
    </row>
    <row r="1460" spans="2:12" x14ac:dyDescent="0.35">
      <c r="B1460" s="96"/>
      <c r="C1460" s="97"/>
      <c r="D1460" s="98"/>
      <c r="E1460" s="99"/>
      <c r="F1460" s="100" t="s">
        <v>89</v>
      </c>
      <c r="G1460" s="101" t="s">
        <v>859</v>
      </c>
      <c r="H1460" s="102"/>
      <c r="I1460" s="103"/>
      <c r="J1460" s="65"/>
      <c r="K1460" s="65"/>
      <c r="L1460" s="46"/>
    </row>
    <row r="1461" spans="2:12" x14ac:dyDescent="0.35">
      <c r="B1461" s="96"/>
      <c r="C1461" s="97"/>
      <c r="D1461" s="98" t="s">
        <v>73</v>
      </c>
      <c r="E1461" s="99"/>
      <c r="F1461" s="100" t="s">
        <v>275</v>
      </c>
      <c r="G1461" s="101"/>
      <c r="H1461" s="104">
        <v>1</v>
      </c>
      <c r="I1461" s="103" t="s">
        <v>133</v>
      </c>
      <c r="J1461" s="65">
        <v>6000000</v>
      </c>
      <c r="K1461" s="65"/>
      <c r="L1461" s="46">
        <f>J1461*H1461</f>
        <v>6000000</v>
      </c>
    </row>
    <row r="1462" spans="2:12" x14ac:dyDescent="0.35">
      <c r="B1462" s="96"/>
      <c r="C1462" s="97"/>
      <c r="D1462" s="98"/>
      <c r="E1462" s="99"/>
      <c r="F1462" s="100" t="s">
        <v>89</v>
      </c>
      <c r="G1462" s="101" t="s">
        <v>858</v>
      </c>
      <c r="H1462" s="102"/>
      <c r="I1462" s="103"/>
      <c r="J1462" s="65"/>
      <c r="K1462" s="65"/>
      <c r="L1462" s="46"/>
    </row>
    <row r="1463" spans="2:12" x14ac:dyDescent="0.35">
      <c r="B1463" s="96"/>
      <c r="C1463" s="97"/>
      <c r="D1463" s="98"/>
      <c r="E1463" s="99"/>
      <c r="F1463" s="100" t="s">
        <v>89</v>
      </c>
      <c r="G1463" s="101" t="s">
        <v>263</v>
      </c>
      <c r="H1463" s="102"/>
      <c r="I1463" s="103"/>
      <c r="J1463" s="65"/>
      <c r="K1463" s="65"/>
      <c r="L1463" s="46"/>
    </row>
    <row r="1464" spans="2:12" x14ac:dyDescent="0.35">
      <c r="B1464" s="96"/>
      <c r="C1464" s="97"/>
      <c r="D1464" s="98"/>
      <c r="E1464" s="99"/>
      <c r="F1464" s="100" t="s">
        <v>89</v>
      </c>
      <c r="G1464" s="101" t="s">
        <v>863</v>
      </c>
      <c r="H1464" s="102"/>
      <c r="I1464" s="103"/>
      <c r="J1464" s="50"/>
      <c r="K1464" s="29"/>
      <c r="L1464" s="52"/>
    </row>
    <row r="1465" spans="2:12" x14ac:dyDescent="0.35">
      <c r="B1465" s="96"/>
      <c r="C1465" s="97"/>
      <c r="D1465" s="98"/>
      <c r="E1465" s="99"/>
      <c r="F1465" s="100" t="s">
        <v>89</v>
      </c>
      <c r="G1465" s="101" t="s">
        <v>859</v>
      </c>
      <c r="H1465" s="102"/>
      <c r="I1465" s="103"/>
      <c r="J1465" s="50"/>
      <c r="K1465" s="29"/>
      <c r="L1465" s="52"/>
    </row>
    <row r="1466" spans="2:12" x14ac:dyDescent="0.35">
      <c r="B1466" s="96"/>
      <c r="C1466" s="97"/>
      <c r="D1466" s="98" t="s">
        <v>75</v>
      </c>
      <c r="E1466" s="99"/>
      <c r="F1466" s="100" t="s">
        <v>276</v>
      </c>
      <c r="G1466" s="101"/>
      <c r="H1466" s="104">
        <v>1</v>
      </c>
      <c r="I1466" s="103" t="s">
        <v>133</v>
      </c>
      <c r="J1466" s="65">
        <v>6000000</v>
      </c>
      <c r="K1466" s="65"/>
      <c r="L1466" s="46">
        <f>J1466*H1466</f>
        <v>6000000</v>
      </c>
    </row>
    <row r="1467" spans="2:12" x14ac:dyDescent="0.35">
      <c r="B1467" s="96"/>
      <c r="C1467" s="97"/>
      <c r="D1467" s="98"/>
      <c r="E1467" s="99"/>
      <c r="F1467" s="100" t="s">
        <v>89</v>
      </c>
      <c r="G1467" s="101" t="s">
        <v>858</v>
      </c>
      <c r="H1467" s="104"/>
      <c r="I1467" s="103"/>
      <c r="J1467" s="65"/>
      <c r="K1467" s="65"/>
      <c r="L1467" s="46"/>
    </row>
    <row r="1468" spans="2:12" x14ac:dyDescent="0.35">
      <c r="B1468" s="96"/>
      <c r="C1468" s="97"/>
      <c r="D1468" s="98"/>
      <c r="E1468" s="99"/>
      <c r="F1468" s="100" t="s">
        <v>89</v>
      </c>
      <c r="G1468" s="101" t="s">
        <v>263</v>
      </c>
      <c r="H1468" s="104"/>
      <c r="I1468" s="103"/>
      <c r="J1468" s="65"/>
      <c r="K1468" s="65"/>
      <c r="L1468" s="46"/>
    </row>
    <row r="1469" spans="2:12" x14ac:dyDescent="0.35">
      <c r="B1469" s="96"/>
      <c r="C1469" s="97"/>
      <c r="D1469" s="98"/>
      <c r="E1469" s="99"/>
      <c r="F1469" s="100" t="s">
        <v>89</v>
      </c>
      <c r="G1469" s="101" t="s">
        <v>863</v>
      </c>
      <c r="H1469" s="104"/>
      <c r="I1469" s="103"/>
      <c r="J1469" s="65"/>
      <c r="K1469" s="65"/>
      <c r="L1469" s="46"/>
    </row>
    <row r="1470" spans="2:12" x14ac:dyDescent="0.35">
      <c r="B1470" s="96"/>
      <c r="C1470" s="97"/>
      <c r="D1470" s="98"/>
      <c r="E1470" s="99"/>
      <c r="F1470" s="100" t="s">
        <v>89</v>
      </c>
      <c r="G1470" s="101" t="s">
        <v>859</v>
      </c>
      <c r="H1470" s="104"/>
      <c r="I1470" s="103"/>
      <c r="J1470" s="65"/>
      <c r="K1470" s="65"/>
      <c r="L1470" s="46"/>
    </row>
    <row r="1471" spans="2:12" x14ac:dyDescent="0.35">
      <c r="B1471" s="96"/>
      <c r="C1471" s="97"/>
      <c r="D1471" s="98" t="s">
        <v>76</v>
      </c>
      <c r="E1471" s="99"/>
      <c r="F1471" s="100" t="s">
        <v>277</v>
      </c>
      <c r="G1471" s="101"/>
      <c r="H1471" s="104">
        <v>1</v>
      </c>
      <c r="I1471" s="103" t="s">
        <v>133</v>
      </c>
      <c r="J1471" s="65">
        <v>6000000</v>
      </c>
      <c r="K1471" s="65"/>
      <c r="L1471" s="46">
        <f>J1471*H1471</f>
        <v>6000000</v>
      </c>
    </row>
    <row r="1472" spans="2:12" x14ac:dyDescent="0.35">
      <c r="B1472" s="96"/>
      <c r="C1472" s="97"/>
      <c r="D1472" s="98"/>
      <c r="E1472" s="99"/>
      <c r="F1472" s="100" t="s">
        <v>89</v>
      </c>
      <c r="G1472" s="101" t="s">
        <v>858</v>
      </c>
      <c r="H1472" s="104"/>
      <c r="I1472" s="103"/>
      <c r="J1472" s="65"/>
      <c r="K1472" s="65"/>
      <c r="L1472" s="46"/>
    </row>
    <row r="1473" spans="2:13" x14ac:dyDescent="0.35">
      <c r="B1473" s="96"/>
      <c r="C1473" s="97"/>
      <c r="D1473" s="98"/>
      <c r="E1473" s="99"/>
      <c r="F1473" s="100" t="s">
        <v>89</v>
      </c>
      <c r="G1473" s="101" t="s">
        <v>263</v>
      </c>
      <c r="H1473" s="104"/>
      <c r="I1473" s="103"/>
      <c r="J1473" s="65"/>
      <c r="K1473" s="65"/>
      <c r="L1473" s="46"/>
    </row>
    <row r="1474" spans="2:13" x14ac:dyDescent="0.35">
      <c r="B1474" s="96"/>
      <c r="C1474" s="97"/>
      <c r="D1474" s="98"/>
      <c r="E1474" s="99"/>
      <c r="F1474" s="100" t="s">
        <v>89</v>
      </c>
      <c r="G1474" s="101" t="s">
        <v>863</v>
      </c>
      <c r="H1474" s="104"/>
      <c r="I1474" s="103"/>
      <c r="J1474" s="65"/>
      <c r="K1474" s="65"/>
      <c r="L1474" s="46"/>
    </row>
    <row r="1475" spans="2:13" x14ac:dyDescent="0.35">
      <c r="B1475" s="96"/>
      <c r="C1475" s="97"/>
      <c r="D1475" s="98"/>
      <c r="E1475" s="99"/>
      <c r="F1475" s="100" t="s">
        <v>89</v>
      </c>
      <c r="G1475" s="101" t="s">
        <v>859</v>
      </c>
      <c r="H1475" s="104"/>
      <c r="I1475" s="103"/>
      <c r="J1475" s="65"/>
      <c r="K1475" s="65"/>
      <c r="L1475" s="46"/>
    </row>
    <row r="1476" spans="2:13" x14ac:dyDescent="0.35">
      <c r="B1476" s="96"/>
      <c r="C1476" s="97"/>
      <c r="D1476" s="98"/>
      <c r="E1476" s="99"/>
      <c r="F1476" s="100"/>
      <c r="G1476" s="101"/>
      <c r="H1476" s="104"/>
      <c r="I1476" s="103"/>
      <c r="J1476" s="65"/>
      <c r="K1476" s="65"/>
      <c r="L1476" s="46"/>
    </row>
    <row r="1477" spans="2:13" x14ac:dyDescent="0.35">
      <c r="B1477" s="96"/>
      <c r="C1477" s="97"/>
      <c r="D1477" s="98"/>
      <c r="E1477" s="99"/>
      <c r="F1477" s="100"/>
      <c r="G1477" s="101"/>
      <c r="H1477" s="104"/>
      <c r="I1477" s="103"/>
      <c r="J1477" s="50"/>
      <c r="K1477" s="58"/>
      <c r="L1477" s="46"/>
    </row>
    <row r="1478" spans="2:13" x14ac:dyDescent="0.35">
      <c r="B1478" s="96"/>
      <c r="C1478" s="97"/>
      <c r="D1478" s="98"/>
      <c r="E1478" s="99"/>
      <c r="F1478" s="100"/>
      <c r="G1478" s="101"/>
      <c r="H1478" s="104"/>
      <c r="I1478" s="103"/>
      <c r="J1478" s="65"/>
      <c r="K1478" s="65"/>
      <c r="L1478" s="46"/>
      <c r="M1478" s="82"/>
    </row>
    <row r="1479" spans="2:13" x14ac:dyDescent="0.35">
      <c r="B1479" s="47"/>
      <c r="C1479" s="48"/>
      <c r="D1479" s="24"/>
      <c r="G1479" s="22"/>
      <c r="I1479" s="22"/>
      <c r="J1479" s="50"/>
      <c r="K1479" s="29"/>
      <c r="L1479" s="52"/>
    </row>
    <row r="1480" spans="2:13" x14ac:dyDescent="0.35">
      <c r="B1480" s="8"/>
      <c r="C1480" s="9"/>
      <c r="D1480" s="10"/>
      <c r="E1480" s="4"/>
      <c r="F1480" s="4"/>
      <c r="G1480" s="4"/>
      <c r="H1480" s="1"/>
      <c r="I1480" s="1"/>
      <c r="J1480" s="11" t="s">
        <v>8</v>
      </c>
      <c r="K1480" s="7">
        <f>SUM(K1427:K1479)</f>
        <v>0</v>
      </c>
      <c r="L1480" s="7">
        <f>SUM(L1427:L1479)</f>
        <v>47500000</v>
      </c>
    </row>
    <row r="1481" spans="2:13" x14ac:dyDescent="0.35">
      <c r="B1481" s="8"/>
      <c r="C1481" s="9"/>
      <c r="D1481" s="9"/>
      <c r="E1481" s="4"/>
      <c r="F1481" s="4"/>
      <c r="G1481" s="4"/>
      <c r="H1481" s="1"/>
      <c r="I1481" s="1"/>
      <c r="J1481" s="11"/>
      <c r="K1481" s="35" t="s">
        <v>22</v>
      </c>
      <c r="L1481" s="36" t="s">
        <v>23</v>
      </c>
    </row>
    <row r="1482" spans="2:13" x14ac:dyDescent="0.35">
      <c r="B1482" s="3" t="s">
        <v>9</v>
      </c>
      <c r="C1482" s="4"/>
      <c r="D1482" s="4"/>
      <c r="E1482" s="4"/>
      <c r="F1482" s="4"/>
      <c r="G1482" s="4"/>
      <c r="H1482" s="1"/>
      <c r="I1482" s="1"/>
      <c r="J1482" s="12"/>
      <c r="K1482" s="12"/>
      <c r="L1482" s="13"/>
    </row>
    <row r="1483" spans="2:13" x14ac:dyDescent="0.35">
      <c r="B1483" s="37"/>
      <c r="C1483" s="1"/>
      <c r="D1483" s="1"/>
      <c r="E1483" s="38"/>
      <c r="F1483" s="38"/>
      <c r="G1483" s="38"/>
      <c r="H1483" s="1"/>
      <c r="I1483" s="1"/>
      <c r="J1483" s="1"/>
      <c r="K1483" s="1"/>
      <c r="L1483" s="19"/>
    </row>
    <row r="1484" spans="2:13" x14ac:dyDescent="0.35">
      <c r="B1484" s="28" t="s">
        <v>6</v>
      </c>
      <c r="C1484" s="27"/>
      <c r="D1484" s="27"/>
      <c r="E1484" s="26"/>
      <c r="F1484" s="26"/>
      <c r="G1484" s="5"/>
      <c r="K1484" s="284" t="s">
        <v>1600</v>
      </c>
      <c r="L1484" s="285"/>
    </row>
    <row r="1485" spans="2:13" x14ac:dyDescent="0.35">
      <c r="B1485" s="28">
        <v>1</v>
      </c>
      <c r="C1485" s="27"/>
      <c r="D1485" s="27"/>
      <c r="E1485" s="26" t="s">
        <v>7</v>
      </c>
      <c r="F1485" s="26"/>
      <c r="G1485" s="5"/>
      <c r="K1485" s="284" t="s">
        <v>28</v>
      </c>
      <c r="L1485" s="285"/>
    </row>
    <row r="1486" spans="2:13" x14ac:dyDescent="0.35">
      <c r="B1486" s="39"/>
      <c r="C1486" s="27"/>
      <c r="D1486" s="27"/>
      <c r="E1486" s="26"/>
      <c r="F1486" s="26"/>
      <c r="G1486" s="5"/>
      <c r="J1486" s="25"/>
      <c r="K1486" s="25"/>
      <c r="L1486" s="24"/>
    </row>
    <row r="1487" spans="2:13" x14ac:dyDescent="0.35">
      <c r="B1487" s="28"/>
      <c r="C1487" s="27"/>
      <c r="D1487" s="27"/>
      <c r="E1487" s="26"/>
      <c r="F1487" s="26"/>
      <c r="G1487" s="5"/>
      <c r="L1487" s="22"/>
    </row>
    <row r="1488" spans="2:13" x14ac:dyDescent="0.35">
      <c r="B1488" s="45"/>
      <c r="E1488" s="5"/>
      <c r="F1488" s="5"/>
      <c r="G1488" s="5"/>
      <c r="L1488" s="22"/>
    </row>
    <row r="1489" spans="2:14" x14ac:dyDescent="0.35">
      <c r="B1489" s="45"/>
      <c r="E1489" s="5"/>
      <c r="F1489" s="5"/>
      <c r="G1489" s="5"/>
      <c r="L1489" s="22"/>
    </row>
    <row r="1490" spans="2:14" x14ac:dyDescent="0.35">
      <c r="B1490" s="45"/>
      <c r="E1490" s="5"/>
      <c r="F1490" s="5"/>
      <c r="G1490" s="5"/>
      <c r="L1490" s="22"/>
    </row>
    <row r="1491" spans="2:14" x14ac:dyDescent="0.35">
      <c r="B1491" s="45"/>
      <c r="E1491" s="5"/>
      <c r="F1491" s="5"/>
      <c r="G1491" s="5"/>
      <c r="J1491" s="40"/>
      <c r="K1491" s="286" t="s">
        <v>36</v>
      </c>
      <c r="L1491" s="287"/>
    </row>
    <row r="1492" spans="2:14" x14ac:dyDescent="0.35">
      <c r="B1492" s="45"/>
      <c r="K1492" s="288" t="s">
        <v>37</v>
      </c>
      <c r="L1492" s="289"/>
    </row>
    <row r="1493" spans="2:14" x14ac:dyDescent="0.35">
      <c r="B1493" s="290"/>
      <c r="C1493" s="291"/>
      <c r="D1493" s="291"/>
      <c r="E1493" s="41"/>
      <c r="F1493" s="41"/>
      <c r="G1493" s="41"/>
      <c r="H1493" s="2"/>
      <c r="I1493" s="2"/>
      <c r="J1493" s="2"/>
      <c r="K1493" s="2"/>
      <c r="L1493" s="21"/>
    </row>
    <row r="1494" spans="2:14" x14ac:dyDescent="0.35">
      <c r="B1494" s="47"/>
      <c r="C1494" s="48"/>
      <c r="D1494" s="49"/>
      <c r="G1494" s="22"/>
      <c r="H1494" s="1"/>
      <c r="I1494" s="1"/>
      <c r="J1494" s="43"/>
      <c r="K1494" s="30"/>
      <c r="L1494" s="44"/>
    </row>
    <row r="1495" spans="2:14" x14ac:dyDescent="0.35">
      <c r="B1495" s="96"/>
      <c r="C1495" s="97"/>
      <c r="D1495" s="98" t="s">
        <v>194</v>
      </c>
      <c r="E1495" s="99"/>
      <c r="F1495" s="100" t="s">
        <v>278</v>
      </c>
      <c r="G1495" s="101"/>
      <c r="H1495" s="104">
        <v>1</v>
      </c>
      <c r="I1495" s="103" t="s">
        <v>133</v>
      </c>
      <c r="J1495" s="65">
        <v>6500000</v>
      </c>
      <c r="K1495" s="65"/>
      <c r="L1495" s="46">
        <f>J1495*H1495</f>
        <v>6500000</v>
      </c>
    </row>
    <row r="1496" spans="2:14" x14ac:dyDescent="0.35">
      <c r="B1496" s="96"/>
      <c r="C1496" s="97"/>
      <c r="D1496" s="98"/>
      <c r="E1496" s="99"/>
      <c r="F1496" s="100" t="s">
        <v>89</v>
      </c>
      <c r="G1496" s="101" t="s">
        <v>864</v>
      </c>
      <c r="H1496" s="102"/>
      <c r="I1496" s="103"/>
      <c r="J1496" s="65"/>
      <c r="K1496" s="65"/>
      <c r="L1496" s="46"/>
    </row>
    <row r="1497" spans="2:14" x14ac:dyDescent="0.35">
      <c r="B1497" s="96"/>
      <c r="C1497" s="97"/>
      <c r="D1497" s="98"/>
      <c r="E1497" s="99"/>
      <c r="F1497" s="100" t="s">
        <v>89</v>
      </c>
      <c r="G1497" s="101" t="s">
        <v>858</v>
      </c>
      <c r="H1497" s="102"/>
      <c r="I1497" s="103"/>
      <c r="J1497" s="65"/>
      <c r="K1497" s="65"/>
      <c r="L1497" s="46"/>
    </row>
    <row r="1498" spans="2:14" x14ac:dyDescent="0.35">
      <c r="B1498" s="96"/>
      <c r="C1498" s="97"/>
      <c r="D1498" s="98"/>
      <c r="E1498" s="99"/>
      <c r="F1498" s="100" t="s">
        <v>89</v>
      </c>
      <c r="G1498" s="101" t="s">
        <v>263</v>
      </c>
      <c r="H1498" s="102"/>
      <c r="I1498" s="103"/>
      <c r="J1498" s="65"/>
      <c r="K1498" s="65"/>
      <c r="L1498" s="46"/>
    </row>
    <row r="1499" spans="2:14" x14ac:dyDescent="0.35">
      <c r="B1499" s="96"/>
      <c r="C1499" s="97"/>
      <c r="D1499" s="98"/>
      <c r="E1499" s="99"/>
      <c r="F1499" s="100" t="s">
        <v>89</v>
      </c>
      <c r="G1499" s="116" t="s">
        <v>874</v>
      </c>
      <c r="H1499" s="102"/>
      <c r="I1499" s="103"/>
      <c r="J1499" s="65"/>
      <c r="K1499" s="65"/>
      <c r="L1499" s="46"/>
    </row>
    <row r="1500" spans="2:14" x14ac:dyDescent="0.35">
      <c r="B1500" s="96"/>
      <c r="C1500" s="97"/>
      <c r="D1500" s="98"/>
      <c r="E1500" s="99"/>
      <c r="F1500" s="100" t="s">
        <v>89</v>
      </c>
      <c r="G1500" s="101" t="s">
        <v>859</v>
      </c>
      <c r="H1500" s="102"/>
      <c r="I1500" s="103"/>
      <c r="J1500" s="65"/>
      <c r="K1500" s="65"/>
      <c r="L1500" s="46"/>
    </row>
    <row r="1501" spans="2:14" x14ac:dyDescent="0.35">
      <c r="B1501" s="111"/>
      <c r="C1501" s="112"/>
      <c r="D1501" s="113" t="s">
        <v>78</v>
      </c>
      <c r="E1501" s="114"/>
      <c r="F1501" s="115" t="s">
        <v>279</v>
      </c>
      <c r="G1501" s="116"/>
      <c r="H1501" s="115">
        <v>1</v>
      </c>
      <c r="I1501" s="116" t="s">
        <v>133</v>
      </c>
      <c r="J1501" s="65">
        <v>5600000</v>
      </c>
      <c r="K1501" s="65"/>
      <c r="L1501" s="46">
        <f>J1501*H1501</f>
        <v>5600000</v>
      </c>
    </row>
    <row r="1502" spans="2:14" x14ac:dyDescent="0.35">
      <c r="B1502" s="96"/>
      <c r="C1502" s="97"/>
      <c r="D1502" s="98"/>
      <c r="E1502" s="99"/>
      <c r="F1502" s="100" t="s">
        <v>89</v>
      </c>
      <c r="G1502" s="101" t="s">
        <v>863</v>
      </c>
      <c r="H1502" s="102"/>
      <c r="I1502" s="103"/>
      <c r="J1502" s="65"/>
      <c r="K1502" s="65"/>
      <c r="L1502" s="46"/>
      <c r="M1502" s="261">
        <v>1800000</v>
      </c>
    </row>
    <row r="1503" spans="2:14" x14ac:dyDescent="0.35">
      <c r="B1503" s="96"/>
      <c r="C1503" s="97"/>
      <c r="D1503" s="98"/>
      <c r="E1503" s="99"/>
      <c r="F1503" s="100" t="s">
        <v>89</v>
      </c>
      <c r="G1503" s="101" t="s">
        <v>859</v>
      </c>
      <c r="H1503" s="102"/>
      <c r="I1503" s="103"/>
      <c r="J1503" s="65"/>
      <c r="K1503" s="65"/>
      <c r="L1503" s="46"/>
      <c r="M1503" s="261">
        <v>2500000</v>
      </c>
      <c r="N1503" s="261">
        <v>5590000</v>
      </c>
    </row>
    <row r="1504" spans="2:14" x14ac:dyDescent="0.35">
      <c r="B1504" s="111"/>
      <c r="C1504" s="112"/>
      <c r="D1504" s="113" t="s">
        <v>81</v>
      </c>
      <c r="E1504" s="114"/>
      <c r="F1504" s="115" t="s">
        <v>280</v>
      </c>
      <c r="G1504" s="116"/>
      <c r="H1504" s="104">
        <v>1</v>
      </c>
      <c r="I1504" s="103" t="s">
        <v>133</v>
      </c>
      <c r="J1504" s="65">
        <v>6000000</v>
      </c>
      <c r="K1504" s="65"/>
      <c r="L1504" s="46">
        <f>J1504*H1504</f>
        <v>6000000</v>
      </c>
    </row>
    <row r="1505" spans="2:14" x14ac:dyDescent="0.35">
      <c r="B1505" s="96"/>
      <c r="C1505" s="97"/>
      <c r="D1505" s="98"/>
      <c r="E1505" s="99"/>
      <c r="F1505" s="100" t="s">
        <v>89</v>
      </c>
      <c r="G1505" s="101" t="s">
        <v>858</v>
      </c>
      <c r="H1505" s="102"/>
      <c r="I1505" s="103"/>
      <c r="J1505" s="65"/>
      <c r="K1505" s="65"/>
      <c r="L1505" s="46"/>
    </row>
    <row r="1506" spans="2:14" x14ac:dyDescent="0.35">
      <c r="B1506" s="96"/>
      <c r="C1506" s="97"/>
      <c r="D1506" s="98"/>
      <c r="E1506" s="99"/>
      <c r="F1506" s="100" t="s">
        <v>89</v>
      </c>
      <c r="G1506" s="101" t="s">
        <v>263</v>
      </c>
      <c r="H1506" s="102"/>
      <c r="I1506" s="103"/>
      <c r="J1506" s="65"/>
      <c r="K1506" s="65"/>
      <c r="L1506" s="46"/>
    </row>
    <row r="1507" spans="2:14" x14ac:dyDescent="0.35">
      <c r="B1507" s="96"/>
      <c r="C1507" s="97"/>
      <c r="D1507" s="98"/>
      <c r="E1507" s="99"/>
      <c r="F1507" s="100" t="s">
        <v>89</v>
      </c>
      <c r="G1507" s="101" t="s">
        <v>863</v>
      </c>
      <c r="H1507" s="102"/>
      <c r="I1507" s="103"/>
      <c r="J1507" s="65"/>
      <c r="K1507" s="65"/>
      <c r="L1507" s="46"/>
    </row>
    <row r="1508" spans="2:14" x14ac:dyDescent="0.35">
      <c r="B1508" s="96"/>
      <c r="C1508" s="97"/>
      <c r="D1508" s="98"/>
      <c r="E1508" s="99"/>
      <c r="F1508" s="100" t="s">
        <v>89</v>
      </c>
      <c r="G1508" s="101" t="s">
        <v>859</v>
      </c>
      <c r="H1508" s="102"/>
      <c r="I1508" s="103"/>
      <c r="J1508" s="65"/>
      <c r="K1508" s="65"/>
      <c r="L1508" s="46"/>
    </row>
    <row r="1509" spans="2:14" x14ac:dyDescent="0.35">
      <c r="B1509" s="127" t="s">
        <v>85</v>
      </c>
      <c r="C1509" s="122"/>
      <c r="D1509" s="128"/>
      <c r="E1509" s="109" t="s">
        <v>18</v>
      </c>
      <c r="F1509" s="109"/>
      <c r="G1509" s="110"/>
      <c r="H1509" s="180"/>
      <c r="I1509" s="125"/>
      <c r="J1509" s="65"/>
      <c r="K1509" s="65"/>
      <c r="L1509" s="46"/>
    </row>
    <row r="1510" spans="2:14" x14ac:dyDescent="0.35">
      <c r="B1510" s="142"/>
      <c r="C1510" s="143" t="s">
        <v>86</v>
      </c>
      <c r="D1510" s="181"/>
      <c r="E1510" s="115"/>
      <c r="F1510" s="115" t="s">
        <v>157</v>
      </c>
      <c r="G1510" s="116"/>
      <c r="H1510" s="119"/>
      <c r="I1510" s="116"/>
      <c r="J1510" s="65"/>
      <c r="K1510" s="65"/>
      <c r="L1510" s="46"/>
    </row>
    <row r="1511" spans="2:14" x14ac:dyDescent="0.35">
      <c r="B1511" s="142"/>
      <c r="C1511" s="143"/>
      <c r="D1511" s="182" t="s">
        <v>44</v>
      </c>
      <c r="E1511" s="113"/>
      <c r="F1511" s="115" t="s">
        <v>158</v>
      </c>
      <c r="G1511" s="116"/>
      <c r="H1511" s="162">
        <v>1</v>
      </c>
      <c r="I1511" s="66" t="s">
        <v>133</v>
      </c>
      <c r="J1511" s="65">
        <v>15700000</v>
      </c>
      <c r="K1511" s="65"/>
      <c r="L1511" s="46">
        <f>J1511*H1511</f>
        <v>15700000</v>
      </c>
    </row>
    <row r="1512" spans="2:14" x14ac:dyDescent="0.35">
      <c r="B1512" s="142"/>
      <c r="C1512" s="143"/>
      <c r="D1512" s="182"/>
      <c r="E1512" s="113"/>
      <c r="F1512" s="115" t="s">
        <v>89</v>
      </c>
      <c r="G1512" s="116" t="s">
        <v>159</v>
      </c>
      <c r="H1512" s="144"/>
      <c r="I1512" s="66"/>
      <c r="J1512" s="65"/>
      <c r="K1512" s="65"/>
      <c r="L1512" s="46"/>
      <c r="M1512" s="261">
        <v>655632</v>
      </c>
    </row>
    <row r="1513" spans="2:14" x14ac:dyDescent="0.35">
      <c r="B1513" s="114"/>
      <c r="C1513" s="113"/>
      <c r="D1513" s="129"/>
      <c r="E1513" s="115"/>
      <c r="F1513" s="115" t="s">
        <v>89</v>
      </c>
      <c r="G1513" s="116" t="s">
        <v>875</v>
      </c>
      <c r="H1513" s="144"/>
      <c r="I1513" s="66"/>
      <c r="J1513" s="65"/>
      <c r="K1513" s="65"/>
      <c r="L1513" s="46"/>
      <c r="M1513" s="261">
        <v>245862</v>
      </c>
    </row>
    <row r="1514" spans="2:14" x14ac:dyDescent="0.35">
      <c r="B1514" s="142"/>
      <c r="C1514" s="143"/>
      <c r="D1514" s="181"/>
      <c r="E1514" s="115"/>
      <c r="F1514" s="115" t="s">
        <v>89</v>
      </c>
      <c r="G1514" s="116" t="s">
        <v>876</v>
      </c>
      <c r="H1514" s="240"/>
      <c r="I1514" s="116"/>
      <c r="J1514" s="65"/>
      <c r="K1514" s="65"/>
      <c r="L1514" s="46"/>
      <c r="M1514" s="261">
        <v>1475171.9999999995</v>
      </c>
    </row>
    <row r="1515" spans="2:14" x14ac:dyDescent="0.35">
      <c r="B1515" s="142"/>
      <c r="C1515" s="143"/>
      <c r="D1515" s="182"/>
      <c r="E1515" s="113"/>
      <c r="F1515" s="115" t="s">
        <v>89</v>
      </c>
      <c r="G1515" s="116" t="s">
        <v>877</v>
      </c>
      <c r="H1515" s="144"/>
      <c r="I1515" s="66"/>
      <c r="J1515" s="65"/>
      <c r="K1515" s="65"/>
      <c r="L1515" s="46"/>
      <c r="M1515" s="261">
        <v>1953236.9999999998</v>
      </c>
    </row>
    <row r="1516" spans="2:14" x14ac:dyDescent="0.35">
      <c r="B1516" s="142"/>
      <c r="C1516" s="143"/>
      <c r="D1516" s="182"/>
      <c r="E1516" s="113"/>
      <c r="F1516" s="115" t="s">
        <v>89</v>
      </c>
      <c r="G1516" s="116" t="s">
        <v>878</v>
      </c>
      <c r="H1516" s="144"/>
      <c r="I1516" s="66"/>
      <c r="J1516" s="65"/>
      <c r="K1516" s="65"/>
      <c r="L1516" s="46"/>
      <c r="M1516" s="261">
        <v>559472.64000000001</v>
      </c>
    </row>
    <row r="1517" spans="2:14" x14ac:dyDescent="0.35">
      <c r="B1517" s="183"/>
      <c r="C1517" s="184"/>
      <c r="D1517" s="185"/>
      <c r="E1517" s="163"/>
      <c r="F1517" s="163" t="s">
        <v>89</v>
      </c>
      <c r="G1517" s="164" t="s">
        <v>879</v>
      </c>
      <c r="H1517" s="163"/>
      <c r="I1517" s="164"/>
      <c r="J1517" s="65"/>
      <c r="K1517" s="65"/>
      <c r="L1517" s="46"/>
      <c r="M1517" s="261">
        <v>6379200</v>
      </c>
    </row>
    <row r="1518" spans="2:14" x14ac:dyDescent="0.35">
      <c r="B1518" s="183"/>
      <c r="C1518" s="184"/>
      <c r="D1518" s="185"/>
      <c r="E1518" s="163"/>
      <c r="F1518" s="163" t="s">
        <v>89</v>
      </c>
      <c r="G1518" s="164" t="s">
        <v>880</v>
      </c>
      <c r="H1518" s="177"/>
      <c r="I1518" s="164"/>
      <c r="J1518" s="65"/>
      <c r="K1518" s="65"/>
      <c r="L1518" s="46"/>
      <c r="M1518" s="261">
        <v>775110.83999999985</v>
      </c>
      <c r="N1518" s="261">
        <v>15656792.423999999</v>
      </c>
    </row>
    <row r="1519" spans="2:14" x14ac:dyDescent="0.35">
      <c r="B1519" s="183"/>
      <c r="C1519" s="184"/>
      <c r="D1519" s="185" t="s">
        <v>47</v>
      </c>
      <c r="E1519" s="184"/>
      <c r="F1519" s="163" t="s">
        <v>160</v>
      </c>
      <c r="G1519" s="164"/>
      <c r="H1519" s="162">
        <v>1</v>
      </c>
      <c r="I1519" s="66" t="s">
        <v>133</v>
      </c>
      <c r="J1519" s="65">
        <v>5700000</v>
      </c>
      <c r="K1519" s="65"/>
      <c r="L1519" s="46">
        <f>J1519*H1519</f>
        <v>5700000</v>
      </c>
    </row>
    <row r="1520" spans="2:14" x14ac:dyDescent="0.35">
      <c r="B1520" s="183"/>
      <c r="C1520" s="184"/>
      <c r="D1520" s="185"/>
      <c r="E1520" s="163"/>
      <c r="F1520" s="163" t="s">
        <v>89</v>
      </c>
      <c r="G1520" s="164" t="s">
        <v>159</v>
      </c>
      <c r="H1520" s="177"/>
      <c r="I1520" s="186"/>
      <c r="J1520" s="65"/>
      <c r="K1520" s="65"/>
      <c r="L1520" s="46"/>
      <c r="M1520" s="261">
        <v>655632</v>
      </c>
    </row>
    <row r="1521" spans="2:14" x14ac:dyDescent="0.35">
      <c r="B1521" s="183"/>
      <c r="C1521" s="184"/>
      <c r="D1521" s="185"/>
      <c r="E1521" s="184"/>
      <c r="F1521" s="163" t="s">
        <v>89</v>
      </c>
      <c r="G1521" s="164" t="s">
        <v>875</v>
      </c>
      <c r="H1521" s="177"/>
      <c r="I1521" s="186"/>
      <c r="J1521" s="65"/>
      <c r="K1521" s="65"/>
      <c r="L1521" s="46"/>
      <c r="M1521" s="261">
        <v>245862</v>
      </c>
    </row>
    <row r="1522" spans="2:14" x14ac:dyDescent="0.35">
      <c r="B1522" s="187"/>
      <c r="C1522" s="188"/>
      <c r="D1522" s="189"/>
      <c r="E1522" s="190"/>
      <c r="F1522" s="191" t="s">
        <v>89</v>
      </c>
      <c r="G1522" s="164" t="s">
        <v>876</v>
      </c>
      <c r="H1522" s="177"/>
      <c r="I1522" s="192"/>
      <c r="J1522" s="65"/>
      <c r="K1522" s="65"/>
      <c r="L1522" s="46"/>
      <c r="M1522" s="261">
        <v>1475171.9999999995</v>
      </c>
    </row>
    <row r="1523" spans="2:14" x14ac:dyDescent="0.35">
      <c r="B1523" s="193"/>
      <c r="C1523" s="194"/>
      <c r="D1523" s="185"/>
      <c r="E1523" s="163"/>
      <c r="F1523" s="163" t="s">
        <v>89</v>
      </c>
      <c r="G1523" s="164" t="s">
        <v>877</v>
      </c>
      <c r="H1523" s="244"/>
      <c r="I1523" s="164"/>
      <c r="J1523" s="65"/>
      <c r="K1523" s="65"/>
      <c r="L1523" s="46"/>
      <c r="M1523" s="261">
        <v>1953236.9999999998</v>
      </c>
      <c r="N1523" s="261">
        <v>5628873.8999999994</v>
      </c>
    </row>
    <row r="1524" spans="2:14" x14ac:dyDescent="0.35">
      <c r="B1524" s="183"/>
      <c r="C1524" s="184"/>
      <c r="D1524" s="185" t="s">
        <v>49</v>
      </c>
      <c r="E1524" s="163"/>
      <c r="F1524" s="163" t="s">
        <v>161</v>
      </c>
      <c r="G1524" s="164"/>
      <c r="H1524" s="162">
        <v>1</v>
      </c>
      <c r="I1524" s="66" t="s">
        <v>133</v>
      </c>
      <c r="J1524" s="65">
        <v>5700000</v>
      </c>
      <c r="K1524" s="65"/>
      <c r="L1524" s="46">
        <f>J1524*H1524</f>
        <v>5700000</v>
      </c>
    </row>
    <row r="1525" spans="2:14" x14ac:dyDescent="0.35">
      <c r="B1525" s="187"/>
      <c r="C1525" s="188"/>
      <c r="D1525" s="189"/>
      <c r="E1525" s="190"/>
      <c r="F1525" s="191" t="s">
        <v>89</v>
      </c>
      <c r="G1525" s="164" t="s">
        <v>159</v>
      </c>
      <c r="H1525" s="177"/>
      <c r="I1525" s="192"/>
      <c r="J1525" s="65"/>
      <c r="K1525" s="65"/>
      <c r="L1525" s="46"/>
      <c r="M1525" s="261">
        <v>655632</v>
      </c>
    </row>
    <row r="1526" spans="2:14" x14ac:dyDescent="0.35">
      <c r="B1526" s="187"/>
      <c r="C1526" s="188"/>
      <c r="D1526" s="189"/>
      <c r="E1526" s="190"/>
      <c r="F1526" s="191" t="s">
        <v>89</v>
      </c>
      <c r="G1526" s="164" t="s">
        <v>875</v>
      </c>
      <c r="H1526" s="177"/>
      <c r="I1526" s="192"/>
      <c r="J1526" s="65"/>
      <c r="K1526" s="65"/>
      <c r="L1526" s="46"/>
      <c r="M1526" s="261">
        <v>245862</v>
      </c>
    </row>
    <row r="1527" spans="2:14" x14ac:dyDescent="0.35">
      <c r="B1527" s="187"/>
      <c r="C1527" s="188"/>
      <c r="D1527" s="189"/>
      <c r="E1527" s="190"/>
      <c r="F1527" s="191" t="s">
        <v>89</v>
      </c>
      <c r="G1527" s="164" t="s">
        <v>876</v>
      </c>
      <c r="H1527" s="177"/>
      <c r="I1527" s="192"/>
      <c r="J1527" s="65"/>
      <c r="K1527" s="65"/>
      <c r="L1527" s="46"/>
      <c r="M1527" s="261">
        <v>1475171.9999999995</v>
      </c>
    </row>
    <row r="1528" spans="2:14" x14ac:dyDescent="0.35">
      <c r="B1528" s="187"/>
      <c r="C1528" s="188"/>
      <c r="D1528" s="195"/>
      <c r="E1528" s="196"/>
      <c r="F1528" s="196" t="s">
        <v>89</v>
      </c>
      <c r="G1528" s="197" t="s">
        <v>877</v>
      </c>
      <c r="H1528" s="209"/>
      <c r="I1528" s="198"/>
      <c r="J1528" s="65"/>
      <c r="K1528" s="65"/>
      <c r="L1528" s="46"/>
      <c r="M1528" s="261">
        <v>1953236.9999999998</v>
      </c>
      <c r="N1528" s="261">
        <v>5628873.8999999994</v>
      </c>
    </row>
    <row r="1529" spans="2:14" x14ac:dyDescent="0.35">
      <c r="B1529" s="187"/>
      <c r="C1529" s="188"/>
      <c r="D1529" s="189" t="s">
        <v>62</v>
      </c>
      <c r="E1529" s="190"/>
      <c r="F1529" s="191" t="s">
        <v>162</v>
      </c>
      <c r="G1529" s="164"/>
      <c r="H1529" s="178">
        <v>1</v>
      </c>
      <c r="I1529" s="192" t="s">
        <v>133</v>
      </c>
      <c r="J1529" s="65">
        <v>16000000</v>
      </c>
      <c r="K1529" s="65"/>
      <c r="L1529" s="46">
        <f>J1529*H1529</f>
        <v>16000000</v>
      </c>
    </row>
    <row r="1530" spans="2:14" x14ac:dyDescent="0.35">
      <c r="B1530" s="187"/>
      <c r="C1530" s="188"/>
      <c r="D1530" s="189"/>
      <c r="E1530" s="190"/>
      <c r="F1530" s="191" t="s">
        <v>89</v>
      </c>
      <c r="G1530" s="164" t="s">
        <v>159</v>
      </c>
      <c r="H1530" s="177"/>
      <c r="I1530" s="192"/>
      <c r="J1530" s="65"/>
      <c r="K1530" s="65"/>
      <c r="L1530" s="46"/>
      <c r="M1530" s="261">
        <v>655632</v>
      </c>
    </row>
    <row r="1531" spans="2:14" x14ac:dyDescent="0.35">
      <c r="B1531" s="187"/>
      <c r="C1531" s="188"/>
      <c r="D1531" s="189"/>
      <c r="E1531" s="190"/>
      <c r="F1531" s="191" t="s">
        <v>89</v>
      </c>
      <c r="G1531" s="164" t="s">
        <v>881</v>
      </c>
      <c r="H1531" s="177"/>
      <c r="I1531" s="192"/>
      <c r="J1531" s="65"/>
      <c r="K1531" s="65"/>
      <c r="L1531" s="46"/>
      <c r="M1531" s="261">
        <v>240398.4</v>
      </c>
    </row>
    <row r="1532" spans="2:14" x14ac:dyDescent="0.35">
      <c r="B1532" s="187"/>
      <c r="C1532" s="188"/>
      <c r="D1532" s="189"/>
      <c r="E1532" s="190"/>
      <c r="F1532" s="191" t="s">
        <v>89</v>
      </c>
      <c r="G1532" s="164" t="s">
        <v>876</v>
      </c>
      <c r="H1532" s="177"/>
      <c r="I1532" s="192"/>
      <c r="J1532" s="65"/>
      <c r="K1532" s="65"/>
      <c r="L1532" s="46"/>
      <c r="M1532" s="261">
        <v>1475171.9999999995</v>
      </c>
    </row>
    <row r="1533" spans="2:14" x14ac:dyDescent="0.35">
      <c r="B1533" s="187"/>
      <c r="C1533" s="188"/>
      <c r="D1533" s="189"/>
      <c r="E1533" s="190"/>
      <c r="F1533" s="191" t="s">
        <v>89</v>
      </c>
      <c r="G1533" s="164" t="s">
        <v>877</v>
      </c>
      <c r="H1533" s="177"/>
      <c r="I1533" s="192"/>
      <c r="J1533" s="65"/>
      <c r="K1533" s="29"/>
      <c r="L1533" s="52"/>
      <c r="M1533" s="261">
        <v>1953236.9999999998</v>
      </c>
    </row>
    <row r="1534" spans="2:14" x14ac:dyDescent="0.35">
      <c r="B1534" s="187"/>
      <c r="C1534" s="188"/>
      <c r="D1534" s="189"/>
      <c r="E1534" s="190"/>
      <c r="F1534" s="191" t="s">
        <v>89</v>
      </c>
      <c r="G1534" s="164" t="s">
        <v>882</v>
      </c>
      <c r="H1534" s="177"/>
      <c r="I1534" s="192"/>
      <c r="J1534" s="65"/>
      <c r="K1534" s="29"/>
      <c r="L1534" s="52"/>
      <c r="M1534" s="261">
        <v>594986.0399999998</v>
      </c>
    </row>
    <row r="1535" spans="2:14" x14ac:dyDescent="0.35">
      <c r="B1535" s="114"/>
      <c r="C1535" s="113"/>
      <c r="D1535" s="129"/>
      <c r="E1535" s="115"/>
      <c r="F1535" s="115" t="s">
        <v>89</v>
      </c>
      <c r="G1535" s="116" t="s">
        <v>883</v>
      </c>
      <c r="H1535" s="115"/>
      <c r="I1535" s="66"/>
      <c r="J1535" s="65"/>
      <c r="K1535" s="65"/>
      <c r="L1535" s="46"/>
      <c r="M1535" s="261">
        <v>6485520</v>
      </c>
    </row>
    <row r="1536" spans="2:14" x14ac:dyDescent="0.35">
      <c r="B1536" s="114"/>
      <c r="C1536" s="113"/>
      <c r="D1536" s="129"/>
      <c r="E1536" s="163"/>
      <c r="F1536" s="163" t="s">
        <v>89</v>
      </c>
      <c r="G1536" s="164" t="s">
        <v>884</v>
      </c>
      <c r="H1536" s="240"/>
      <c r="I1536" s="116"/>
      <c r="J1536" s="65"/>
      <c r="K1536" s="65"/>
      <c r="L1536" s="46"/>
      <c r="M1536" s="261">
        <v>830475.89999999991</v>
      </c>
      <c r="N1536" s="261">
        <v>15906047.742000001</v>
      </c>
    </row>
    <row r="1537" spans="2:14" x14ac:dyDescent="0.35">
      <c r="B1537" s="187"/>
      <c r="C1537" s="199"/>
      <c r="D1537" s="200" t="s">
        <v>51</v>
      </c>
      <c r="E1537" s="201"/>
      <c r="F1537" s="163" t="s">
        <v>885</v>
      </c>
      <c r="G1537" s="164"/>
      <c r="H1537" s="162">
        <v>1</v>
      </c>
      <c r="I1537" s="66" t="s">
        <v>133</v>
      </c>
      <c r="J1537" s="65">
        <v>15800000</v>
      </c>
      <c r="K1537" s="65"/>
      <c r="L1537" s="46">
        <f>J1537*H1537</f>
        <v>15800000</v>
      </c>
    </row>
    <row r="1538" spans="2:14" x14ac:dyDescent="0.35">
      <c r="B1538" s="114"/>
      <c r="C1538" s="113"/>
      <c r="D1538" s="129"/>
      <c r="E1538" s="115"/>
      <c r="F1538" s="115" t="s">
        <v>89</v>
      </c>
      <c r="G1538" s="116" t="s">
        <v>159</v>
      </c>
      <c r="H1538" s="241"/>
      <c r="I1538" s="66"/>
      <c r="J1538" s="65"/>
      <c r="K1538" s="65"/>
      <c r="L1538" s="46"/>
      <c r="M1538" s="261">
        <v>655632</v>
      </c>
    </row>
    <row r="1539" spans="2:14" x14ac:dyDescent="0.35">
      <c r="B1539" s="202"/>
      <c r="C1539" s="203"/>
      <c r="D1539" s="184"/>
      <c r="E1539" s="204"/>
      <c r="F1539" s="163" t="s">
        <v>89</v>
      </c>
      <c r="G1539" s="164" t="s">
        <v>875</v>
      </c>
      <c r="H1539" s="177"/>
      <c r="I1539" s="186"/>
      <c r="J1539" s="65"/>
      <c r="K1539" s="51"/>
      <c r="L1539" s="46"/>
      <c r="M1539" s="261">
        <v>245862</v>
      </c>
    </row>
    <row r="1540" spans="2:14" x14ac:dyDescent="0.35">
      <c r="B1540" s="202"/>
      <c r="C1540" s="203"/>
      <c r="D1540" s="184"/>
      <c r="E1540" s="190"/>
      <c r="F1540" s="163" t="s">
        <v>89</v>
      </c>
      <c r="G1540" s="164" t="s">
        <v>886</v>
      </c>
      <c r="H1540" s="177"/>
      <c r="I1540" s="186"/>
      <c r="J1540" s="65"/>
      <c r="K1540" s="51"/>
      <c r="L1540" s="46"/>
      <c r="M1540" s="261">
        <v>1573516.7999999998</v>
      </c>
    </row>
    <row r="1541" spans="2:14" x14ac:dyDescent="0.35">
      <c r="B1541" s="202"/>
      <c r="C1541" s="203"/>
      <c r="D1541" s="184"/>
      <c r="E1541" s="183"/>
      <c r="F1541" s="163" t="s">
        <v>89</v>
      </c>
      <c r="G1541" s="164" t="s">
        <v>877</v>
      </c>
      <c r="H1541" s="177"/>
      <c r="I1541" s="186"/>
      <c r="J1541" s="65"/>
      <c r="K1541" s="51"/>
      <c r="L1541" s="46"/>
      <c r="M1541" s="261">
        <v>1953236.9999999998</v>
      </c>
    </row>
    <row r="1542" spans="2:14" x14ac:dyDescent="0.35">
      <c r="B1542" s="202"/>
      <c r="C1542" s="203"/>
      <c r="D1542" s="184"/>
      <c r="E1542" s="183"/>
      <c r="F1542" s="163" t="s">
        <v>89</v>
      </c>
      <c r="G1542" s="164" t="s">
        <v>887</v>
      </c>
      <c r="H1542" s="177"/>
      <c r="I1542" s="186"/>
      <c r="J1542" s="65"/>
      <c r="K1542" s="51"/>
      <c r="L1542" s="46"/>
      <c r="M1542" s="261">
        <v>297493.0199999999</v>
      </c>
    </row>
    <row r="1543" spans="2:14" x14ac:dyDescent="0.35">
      <c r="B1543" s="205"/>
      <c r="C1543" s="206"/>
      <c r="D1543" s="184"/>
      <c r="E1543" s="183"/>
      <c r="F1543" s="163" t="s">
        <v>89</v>
      </c>
      <c r="G1543" s="164" t="s">
        <v>883</v>
      </c>
      <c r="H1543" s="163"/>
      <c r="I1543" s="186"/>
      <c r="J1543" s="29"/>
      <c r="K1543" s="51"/>
      <c r="L1543" s="46"/>
      <c r="M1543" s="261">
        <v>6591840</v>
      </c>
    </row>
    <row r="1544" spans="2:14" x14ac:dyDescent="0.35">
      <c r="B1544" s="142"/>
      <c r="C1544" s="143"/>
      <c r="D1544" s="129"/>
      <c r="E1544" s="115"/>
      <c r="F1544" s="115" t="s">
        <v>89</v>
      </c>
      <c r="G1544" s="116" t="s">
        <v>884</v>
      </c>
      <c r="H1544" s="240"/>
      <c r="I1544" s="116"/>
      <c r="J1544" s="65"/>
      <c r="K1544" s="51"/>
      <c r="L1544" s="46"/>
      <c r="M1544" s="261">
        <v>830475.89999999991</v>
      </c>
      <c r="N1544" s="261">
        <v>15792473.736000001</v>
      </c>
    </row>
    <row r="1545" spans="2:14" x14ac:dyDescent="0.35">
      <c r="B1545" s="114"/>
      <c r="C1545" s="113"/>
      <c r="D1545" s="129"/>
      <c r="E1545" s="115"/>
      <c r="F1545" s="115"/>
      <c r="G1545" s="116"/>
      <c r="H1545" s="115"/>
      <c r="I1545" s="66"/>
      <c r="J1545" s="50"/>
      <c r="K1545" s="29"/>
      <c r="L1545" s="52"/>
    </row>
    <row r="1546" spans="2:14" x14ac:dyDescent="0.35">
      <c r="B1546" s="114"/>
      <c r="C1546" s="113"/>
      <c r="D1546" s="129"/>
      <c r="E1546" s="163"/>
      <c r="F1546" s="163"/>
      <c r="G1546" s="164"/>
      <c r="H1546" s="119"/>
      <c r="I1546" s="116"/>
      <c r="J1546" s="50"/>
      <c r="K1546" s="29"/>
      <c r="L1546" s="52"/>
    </row>
    <row r="1547" spans="2:14" x14ac:dyDescent="0.35">
      <c r="B1547" s="8"/>
      <c r="C1547" s="9"/>
      <c r="D1547" s="10"/>
      <c r="E1547" s="4"/>
      <c r="F1547" s="4"/>
      <c r="G1547" s="4"/>
      <c r="H1547" s="1"/>
      <c r="I1547" s="1"/>
      <c r="J1547" s="11" t="s">
        <v>8</v>
      </c>
      <c r="K1547" s="7">
        <f>SUM(K1494:K1546)</f>
        <v>0</v>
      </c>
      <c r="L1547" s="7">
        <f>SUM(L1494:L1546)</f>
        <v>77000000</v>
      </c>
    </row>
    <row r="1548" spans="2:14" x14ac:dyDescent="0.35">
      <c r="B1548" s="8"/>
      <c r="C1548" s="9"/>
      <c r="D1548" s="9"/>
      <c r="E1548" s="4"/>
      <c r="F1548" s="4"/>
      <c r="G1548" s="4"/>
      <c r="H1548" s="1"/>
      <c r="I1548" s="1"/>
      <c r="J1548" s="11"/>
      <c r="K1548" s="35" t="s">
        <v>22</v>
      </c>
      <c r="L1548" s="36" t="s">
        <v>23</v>
      </c>
    </row>
    <row r="1549" spans="2:14" x14ac:dyDescent="0.35">
      <c r="B1549" s="3" t="s">
        <v>9</v>
      </c>
      <c r="C1549" s="4"/>
      <c r="D1549" s="4"/>
      <c r="E1549" s="4"/>
      <c r="F1549" s="4"/>
      <c r="G1549" s="4"/>
      <c r="H1549" s="1"/>
      <c r="I1549" s="1"/>
      <c r="J1549" s="12"/>
      <c r="K1549" s="12"/>
      <c r="L1549" s="13"/>
    </row>
    <row r="1550" spans="2:14" x14ac:dyDescent="0.35">
      <c r="B1550" s="37"/>
      <c r="C1550" s="1"/>
      <c r="D1550" s="1"/>
      <c r="E1550" s="38"/>
      <c r="F1550" s="38"/>
      <c r="G1550" s="38"/>
      <c r="H1550" s="1"/>
      <c r="I1550" s="1"/>
      <c r="J1550" s="1"/>
      <c r="K1550" s="1"/>
      <c r="L1550" s="19"/>
    </row>
    <row r="1551" spans="2:14" x14ac:dyDescent="0.35">
      <c r="B1551" s="28" t="s">
        <v>6</v>
      </c>
      <c r="C1551" s="27"/>
      <c r="D1551" s="27"/>
      <c r="E1551" s="26"/>
      <c r="F1551" s="26"/>
      <c r="G1551" s="5"/>
      <c r="K1551" s="284" t="s">
        <v>1600</v>
      </c>
      <c r="L1551" s="285"/>
    </row>
    <row r="1552" spans="2:14" x14ac:dyDescent="0.35">
      <c r="B1552" s="28">
        <v>1</v>
      </c>
      <c r="C1552" s="27"/>
      <c r="D1552" s="27"/>
      <c r="E1552" s="26" t="s">
        <v>7</v>
      </c>
      <c r="F1552" s="26"/>
      <c r="G1552" s="5"/>
      <c r="K1552" s="284" t="s">
        <v>28</v>
      </c>
      <c r="L1552" s="285"/>
    </row>
    <row r="1553" spans="2:14" x14ac:dyDescent="0.35">
      <c r="B1553" s="39"/>
      <c r="C1553" s="27"/>
      <c r="D1553" s="27"/>
      <c r="E1553" s="26"/>
      <c r="F1553" s="26"/>
      <c r="G1553" s="5"/>
      <c r="J1553" s="25"/>
      <c r="K1553" s="25"/>
      <c r="L1553" s="24"/>
    </row>
    <row r="1554" spans="2:14" x14ac:dyDescent="0.35">
      <c r="B1554" s="28"/>
      <c r="C1554" s="27"/>
      <c r="D1554" s="27"/>
      <c r="E1554" s="26"/>
      <c r="F1554" s="26"/>
      <c r="G1554" s="5"/>
      <c r="L1554" s="22"/>
    </row>
    <row r="1555" spans="2:14" x14ac:dyDescent="0.35">
      <c r="B1555" s="45"/>
      <c r="E1555" s="5"/>
      <c r="F1555" s="5"/>
      <c r="G1555" s="5"/>
      <c r="L1555" s="22"/>
    </row>
    <row r="1556" spans="2:14" x14ac:dyDescent="0.35">
      <c r="B1556" s="45"/>
      <c r="E1556" s="5"/>
      <c r="F1556" s="5"/>
      <c r="G1556" s="5"/>
      <c r="L1556" s="22"/>
    </row>
    <row r="1557" spans="2:14" x14ac:dyDescent="0.35">
      <c r="B1557" s="45"/>
      <c r="E1557" s="5"/>
      <c r="F1557" s="5"/>
      <c r="G1557" s="5"/>
      <c r="L1557" s="22"/>
    </row>
    <row r="1558" spans="2:14" x14ac:dyDescent="0.35">
      <c r="B1558" s="45"/>
      <c r="E1558" s="5"/>
      <c r="F1558" s="5"/>
      <c r="G1558" s="5"/>
      <c r="J1558" s="40"/>
      <c r="K1558" s="286" t="s">
        <v>36</v>
      </c>
      <c r="L1558" s="287"/>
    </row>
    <row r="1559" spans="2:14" x14ac:dyDescent="0.35">
      <c r="B1559" s="45"/>
      <c r="K1559" s="288" t="s">
        <v>37</v>
      </c>
      <c r="L1559" s="289"/>
    </row>
    <row r="1560" spans="2:14" x14ac:dyDescent="0.35">
      <c r="B1560" s="290"/>
      <c r="C1560" s="291"/>
      <c r="D1560" s="291"/>
      <c r="E1560" s="41"/>
      <c r="F1560" s="41"/>
      <c r="G1560" s="41"/>
      <c r="H1560" s="2"/>
      <c r="I1560" s="2"/>
      <c r="J1560" s="2"/>
      <c r="K1560" s="2"/>
      <c r="L1560" s="21"/>
    </row>
    <row r="1561" spans="2:14" x14ac:dyDescent="0.35">
      <c r="B1561" s="47"/>
      <c r="C1561" s="48"/>
      <c r="D1561" s="49"/>
      <c r="G1561" s="22"/>
      <c r="H1561" s="1"/>
      <c r="I1561" s="1"/>
      <c r="J1561" s="43"/>
      <c r="K1561" s="30"/>
      <c r="L1561" s="44"/>
    </row>
    <row r="1562" spans="2:14" x14ac:dyDescent="0.35">
      <c r="B1562" s="207"/>
      <c r="C1562" s="184"/>
      <c r="D1562" s="184" t="s">
        <v>53</v>
      </c>
      <c r="E1562" s="204"/>
      <c r="F1562" s="163" t="s">
        <v>888</v>
      </c>
      <c r="G1562" s="164"/>
      <c r="H1562" s="162">
        <v>1</v>
      </c>
      <c r="I1562" s="66" t="s">
        <v>133</v>
      </c>
      <c r="J1562" s="65">
        <v>1750000</v>
      </c>
      <c r="K1562" s="65"/>
      <c r="L1562" s="46">
        <f>J1562*H1562</f>
        <v>1750000</v>
      </c>
    </row>
    <row r="1563" spans="2:14" x14ac:dyDescent="0.35">
      <c r="B1563" s="208"/>
      <c r="C1563" s="194"/>
      <c r="D1563" s="185"/>
      <c r="E1563" s="163"/>
      <c r="F1563" s="163" t="s">
        <v>89</v>
      </c>
      <c r="G1563" s="164" t="s">
        <v>889</v>
      </c>
      <c r="H1563" s="244"/>
      <c r="I1563" s="164"/>
      <c r="J1563" s="65"/>
      <c r="K1563" s="51"/>
      <c r="L1563" s="46"/>
      <c r="M1563" s="261">
        <v>513578.39999999997</v>
      </c>
    </row>
    <row r="1564" spans="2:14" x14ac:dyDescent="0.35">
      <c r="B1564" s="208"/>
      <c r="C1564" s="194"/>
      <c r="D1564" s="200"/>
      <c r="E1564" s="201"/>
      <c r="F1564" s="188" t="s">
        <v>89</v>
      </c>
      <c r="G1564" s="164" t="s">
        <v>890</v>
      </c>
      <c r="H1564" s="177"/>
      <c r="I1564" s="192"/>
      <c r="J1564" s="65"/>
      <c r="K1564" s="51"/>
      <c r="L1564" s="46"/>
      <c r="M1564" s="261">
        <v>796592.87999999989</v>
      </c>
      <c r="N1564" s="261">
        <v>1703222.6639999999</v>
      </c>
    </row>
    <row r="1565" spans="2:14" x14ac:dyDescent="0.35">
      <c r="B1565" s="187"/>
      <c r="C1565" s="194"/>
      <c r="D1565" s="200" t="s">
        <v>55</v>
      </c>
      <c r="E1565" s="201"/>
      <c r="F1565" s="201" t="s">
        <v>163</v>
      </c>
      <c r="G1565" s="197"/>
      <c r="H1565" s="162">
        <v>1</v>
      </c>
      <c r="I1565" s="66" t="s">
        <v>133</v>
      </c>
      <c r="J1565" s="65">
        <v>5700000</v>
      </c>
      <c r="K1565" s="65"/>
      <c r="L1565" s="46">
        <f>J1565*H1565</f>
        <v>5700000</v>
      </c>
    </row>
    <row r="1566" spans="2:14" x14ac:dyDescent="0.35">
      <c r="B1566" s="187"/>
      <c r="C1566" s="194"/>
      <c r="D1566" s="200"/>
      <c r="E1566" s="201"/>
      <c r="F1566" s="201" t="s">
        <v>89</v>
      </c>
      <c r="G1566" s="197" t="s">
        <v>891</v>
      </c>
      <c r="H1566" s="209"/>
      <c r="I1566" s="198"/>
      <c r="J1566" s="65"/>
      <c r="K1566" s="51"/>
      <c r="L1566" s="46"/>
      <c r="M1566" s="261">
        <v>661095.6</v>
      </c>
    </row>
    <row r="1567" spans="2:14" x14ac:dyDescent="0.35">
      <c r="B1567" s="210"/>
      <c r="C1567" s="211"/>
      <c r="D1567" s="212"/>
      <c r="E1567" s="207"/>
      <c r="F1567" s="213" t="s">
        <v>89</v>
      </c>
      <c r="G1567" s="213" t="s">
        <v>892</v>
      </c>
      <c r="H1567" s="214"/>
      <c r="I1567" s="215"/>
      <c r="J1567" s="65"/>
      <c r="K1567" s="65"/>
      <c r="L1567" s="46"/>
      <c r="M1567" s="261">
        <v>256789.19999999998</v>
      </c>
    </row>
    <row r="1568" spans="2:14" x14ac:dyDescent="0.35">
      <c r="B1568" s="210"/>
      <c r="C1568" s="211"/>
      <c r="D1568" s="212"/>
      <c r="E1568" s="207"/>
      <c r="F1568" s="213" t="s">
        <v>89</v>
      </c>
      <c r="G1568" s="213" t="s">
        <v>893</v>
      </c>
      <c r="H1568" s="214"/>
      <c r="I1568" s="215"/>
      <c r="J1568" s="65"/>
      <c r="K1568" s="65"/>
      <c r="L1568" s="46"/>
      <c r="M1568" s="261">
        <v>1487465.1</v>
      </c>
    </row>
    <row r="1569" spans="2:14" x14ac:dyDescent="0.35">
      <c r="B1569" s="174"/>
      <c r="C1569" s="175"/>
      <c r="D1569" s="176"/>
      <c r="E1569" s="163"/>
      <c r="F1569" s="163" t="s">
        <v>89</v>
      </c>
      <c r="G1569" s="164" t="s">
        <v>877</v>
      </c>
      <c r="H1569" s="177"/>
      <c r="I1569" s="163"/>
      <c r="J1569" s="65"/>
      <c r="K1569" s="65"/>
      <c r="L1569" s="46"/>
      <c r="M1569" s="261">
        <v>1953236.9999999998</v>
      </c>
      <c r="N1569" s="261">
        <v>5666162.9699999997</v>
      </c>
    </row>
    <row r="1570" spans="2:14" x14ac:dyDescent="0.35">
      <c r="B1570" s="174"/>
      <c r="C1570" s="175"/>
      <c r="D1570" s="176" t="s">
        <v>65</v>
      </c>
      <c r="E1570" s="163"/>
      <c r="F1570" s="163" t="s">
        <v>164</v>
      </c>
      <c r="G1570" s="164"/>
      <c r="H1570" s="162">
        <v>1</v>
      </c>
      <c r="I1570" s="66" t="s">
        <v>133</v>
      </c>
      <c r="J1570" s="65">
        <v>11350000</v>
      </c>
      <c r="K1570" s="65"/>
      <c r="L1570" s="46">
        <f>J1570*H1570</f>
        <v>11350000</v>
      </c>
    </row>
    <row r="1571" spans="2:14" x14ac:dyDescent="0.35">
      <c r="B1571" s="174"/>
      <c r="C1571" s="175"/>
      <c r="D1571" s="176"/>
      <c r="E1571" s="163"/>
      <c r="F1571" s="163" t="s">
        <v>89</v>
      </c>
      <c r="G1571" s="164" t="s">
        <v>891</v>
      </c>
      <c r="H1571" s="177"/>
      <c r="I1571" s="163"/>
      <c r="J1571" s="65"/>
      <c r="K1571" s="65"/>
      <c r="L1571" s="46"/>
      <c r="M1571" s="261">
        <v>661095.6</v>
      </c>
    </row>
    <row r="1572" spans="2:14" x14ac:dyDescent="0.35">
      <c r="B1572" s="174"/>
      <c r="C1572" s="175"/>
      <c r="D1572" s="176"/>
      <c r="E1572" s="163"/>
      <c r="F1572" s="163" t="s">
        <v>89</v>
      </c>
      <c r="G1572" s="164" t="s">
        <v>892</v>
      </c>
      <c r="H1572" s="177"/>
      <c r="I1572" s="163"/>
      <c r="J1572" s="65"/>
      <c r="K1572" s="65"/>
      <c r="L1572" s="46"/>
      <c r="M1572" s="261">
        <v>256789.19999999998</v>
      </c>
    </row>
    <row r="1573" spans="2:14" x14ac:dyDescent="0.35">
      <c r="B1573" s="174"/>
      <c r="C1573" s="175"/>
      <c r="D1573" s="176"/>
      <c r="E1573" s="163"/>
      <c r="F1573" s="163" t="s">
        <v>89</v>
      </c>
      <c r="G1573" s="164" t="s">
        <v>893</v>
      </c>
      <c r="H1573" s="177"/>
      <c r="I1573" s="163"/>
      <c r="J1573" s="65"/>
      <c r="K1573" s="65"/>
      <c r="L1573" s="46"/>
      <c r="M1573" s="261">
        <v>1487465.1</v>
      </c>
    </row>
    <row r="1574" spans="2:14" x14ac:dyDescent="0.35">
      <c r="B1574" s="174"/>
      <c r="C1574" s="175"/>
      <c r="D1574" s="176"/>
      <c r="E1574" s="163"/>
      <c r="F1574" s="163" t="s">
        <v>89</v>
      </c>
      <c r="G1574" s="164" t="s">
        <v>877</v>
      </c>
      <c r="H1574" s="177"/>
      <c r="I1574" s="163"/>
      <c r="J1574" s="65"/>
      <c r="K1574" s="65"/>
      <c r="L1574" s="46"/>
      <c r="M1574" s="261">
        <v>1953236.9999999998</v>
      </c>
    </row>
    <row r="1575" spans="2:14" x14ac:dyDescent="0.35">
      <c r="B1575" s="174"/>
      <c r="C1575" s="175"/>
      <c r="D1575" s="176"/>
      <c r="E1575" s="163"/>
      <c r="F1575" s="163" t="s">
        <v>89</v>
      </c>
      <c r="G1575" s="164" t="s">
        <v>894</v>
      </c>
      <c r="H1575" s="177"/>
      <c r="I1575" s="163"/>
      <c r="J1575" s="65"/>
      <c r="K1575" s="65"/>
      <c r="L1575" s="46"/>
      <c r="M1575" s="261">
        <v>315796.07999999996</v>
      </c>
    </row>
    <row r="1576" spans="2:14" x14ac:dyDescent="0.35">
      <c r="B1576" s="174"/>
      <c r="C1576" s="175"/>
      <c r="D1576" s="176"/>
      <c r="E1576" s="163"/>
      <c r="F1576" s="163" t="s">
        <v>89</v>
      </c>
      <c r="G1576" s="164" t="s">
        <v>895</v>
      </c>
      <c r="H1576" s="178"/>
      <c r="I1576" s="163"/>
      <c r="J1576" s="65"/>
      <c r="K1576" s="65"/>
      <c r="L1576" s="46"/>
      <c r="M1576" s="261">
        <v>3189600</v>
      </c>
    </row>
    <row r="1577" spans="2:14" x14ac:dyDescent="0.35">
      <c r="B1577" s="174"/>
      <c r="C1577" s="175"/>
      <c r="D1577" s="176"/>
      <c r="E1577" s="163"/>
      <c r="F1577" s="163" t="s">
        <v>89</v>
      </c>
      <c r="G1577" s="164" t="s">
        <v>896</v>
      </c>
      <c r="H1577" s="177"/>
      <c r="I1577" s="163"/>
      <c r="J1577" s="65"/>
      <c r="K1577" s="65"/>
      <c r="L1577" s="46"/>
      <c r="M1577" s="261">
        <v>858158.42999999993</v>
      </c>
      <c r="N1577" s="261">
        <v>11338783.833000001</v>
      </c>
    </row>
    <row r="1578" spans="2:14" x14ac:dyDescent="0.35">
      <c r="B1578" s="174"/>
      <c r="C1578" s="175"/>
      <c r="D1578" s="176" t="s">
        <v>141</v>
      </c>
      <c r="E1578" s="163"/>
      <c r="F1578" s="163" t="s">
        <v>165</v>
      </c>
      <c r="G1578" s="164"/>
      <c r="H1578" s="162">
        <v>1</v>
      </c>
      <c r="I1578" s="66" t="s">
        <v>133</v>
      </c>
      <c r="J1578" s="65">
        <v>15900000</v>
      </c>
      <c r="K1578" s="65"/>
      <c r="L1578" s="46">
        <f>J1578*H1578</f>
        <v>15900000</v>
      </c>
    </row>
    <row r="1579" spans="2:14" x14ac:dyDescent="0.35">
      <c r="B1579" s="174"/>
      <c r="C1579" s="175"/>
      <c r="D1579" s="176"/>
      <c r="E1579" s="163"/>
      <c r="F1579" s="163" t="s">
        <v>89</v>
      </c>
      <c r="G1579" s="164" t="s">
        <v>159</v>
      </c>
      <c r="H1579" s="177"/>
      <c r="I1579" s="163"/>
      <c r="J1579" s="65"/>
      <c r="K1579" s="65"/>
      <c r="L1579" s="46"/>
      <c r="M1579" s="261">
        <v>655632</v>
      </c>
    </row>
    <row r="1580" spans="2:14" x14ac:dyDescent="0.35">
      <c r="B1580" s="174"/>
      <c r="C1580" s="175"/>
      <c r="D1580" s="176"/>
      <c r="E1580" s="163"/>
      <c r="F1580" s="163" t="s">
        <v>89</v>
      </c>
      <c r="G1580" s="164" t="s">
        <v>875</v>
      </c>
      <c r="H1580" s="177"/>
      <c r="I1580" s="163"/>
      <c r="J1580" s="65"/>
      <c r="K1580" s="65"/>
      <c r="L1580" s="46"/>
      <c r="M1580" s="261">
        <v>245862</v>
      </c>
    </row>
    <row r="1581" spans="2:14" x14ac:dyDescent="0.35">
      <c r="B1581" s="174"/>
      <c r="C1581" s="175"/>
      <c r="D1581" s="176"/>
      <c r="E1581" s="163"/>
      <c r="F1581" s="163" t="s">
        <v>89</v>
      </c>
      <c r="G1581" s="164" t="s">
        <v>876</v>
      </c>
      <c r="H1581" s="177"/>
      <c r="I1581" s="163"/>
      <c r="J1581" s="65"/>
      <c r="K1581" s="65"/>
      <c r="L1581" s="46"/>
      <c r="M1581" s="261">
        <v>1475171.9999999995</v>
      </c>
    </row>
    <row r="1582" spans="2:14" x14ac:dyDescent="0.35">
      <c r="B1582" s="174"/>
      <c r="C1582" s="175"/>
      <c r="D1582" s="176"/>
      <c r="E1582" s="163"/>
      <c r="F1582" s="163" t="s">
        <v>89</v>
      </c>
      <c r="G1582" s="164" t="s">
        <v>877</v>
      </c>
      <c r="H1582" s="177"/>
      <c r="I1582" s="163"/>
      <c r="J1582" s="65"/>
      <c r="K1582" s="65"/>
      <c r="L1582" s="46"/>
      <c r="M1582" s="261">
        <v>1953236.9999999998</v>
      </c>
    </row>
    <row r="1583" spans="2:14" x14ac:dyDescent="0.35">
      <c r="B1583" s="174"/>
      <c r="C1583" s="175"/>
      <c r="D1583" s="176"/>
      <c r="E1583" s="163"/>
      <c r="F1583" s="163" t="s">
        <v>89</v>
      </c>
      <c r="G1583" s="164" t="s">
        <v>897</v>
      </c>
      <c r="H1583" s="177"/>
      <c r="I1583" s="163"/>
      <c r="J1583" s="65"/>
      <c r="K1583" s="65"/>
      <c r="L1583" s="46"/>
      <c r="M1583" s="261">
        <v>747966.83999999985</v>
      </c>
    </row>
    <row r="1584" spans="2:14" x14ac:dyDescent="0.35">
      <c r="B1584" s="174"/>
      <c r="C1584" s="175"/>
      <c r="D1584" s="176"/>
      <c r="E1584" s="163"/>
      <c r="F1584" s="163" t="s">
        <v>89</v>
      </c>
      <c r="G1584" s="164" t="s">
        <v>879</v>
      </c>
      <c r="H1584" s="178"/>
      <c r="I1584" s="163"/>
      <c r="J1584" s="65"/>
      <c r="K1584" s="65"/>
      <c r="L1584" s="46"/>
      <c r="M1584" s="261">
        <v>6379200</v>
      </c>
    </row>
    <row r="1585" spans="2:14" x14ac:dyDescent="0.35">
      <c r="B1585" s="174"/>
      <c r="C1585" s="175"/>
      <c r="D1585" s="176"/>
      <c r="E1585" s="163"/>
      <c r="F1585" s="163" t="s">
        <v>89</v>
      </c>
      <c r="G1585" s="164" t="s">
        <v>880</v>
      </c>
      <c r="H1585" s="177"/>
      <c r="I1585" s="163"/>
      <c r="J1585" s="65"/>
      <c r="K1585" s="65"/>
      <c r="L1585" s="46"/>
      <c r="M1585" s="261">
        <v>775110.83999999985</v>
      </c>
      <c r="N1585" s="261">
        <v>15901834.884</v>
      </c>
    </row>
    <row r="1586" spans="2:14" x14ac:dyDescent="0.35">
      <c r="B1586" s="174"/>
      <c r="C1586" s="175"/>
      <c r="D1586" s="176" t="s">
        <v>143</v>
      </c>
      <c r="E1586" s="163"/>
      <c r="F1586" s="163" t="s">
        <v>166</v>
      </c>
      <c r="G1586" s="164"/>
      <c r="H1586" s="178">
        <v>1</v>
      </c>
      <c r="I1586" s="163" t="s">
        <v>133</v>
      </c>
      <c r="J1586" s="65">
        <v>16000000</v>
      </c>
      <c r="K1586" s="65"/>
      <c r="L1586" s="46">
        <f>J1586*H1586</f>
        <v>16000000</v>
      </c>
    </row>
    <row r="1587" spans="2:14" x14ac:dyDescent="0.35">
      <c r="B1587" s="174"/>
      <c r="C1587" s="175"/>
      <c r="D1587" s="176"/>
      <c r="E1587" s="163"/>
      <c r="F1587" s="163" t="s">
        <v>89</v>
      </c>
      <c r="G1587" s="164" t="s">
        <v>159</v>
      </c>
      <c r="H1587" s="177"/>
      <c r="I1587" s="163"/>
      <c r="J1587" s="65"/>
      <c r="K1587" s="51"/>
      <c r="L1587" s="46"/>
      <c r="M1587" s="261">
        <v>655632</v>
      </c>
    </row>
    <row r="1588" spans="2:14" x14ac:dyDescent="0.35">
      <c r="B1588" s="174"/>
      <c r="C1588" s="175"/>
      <c r="D1588" s="176"/>
      <c r="E1588" s="163"/>
      <c r="F1588" s="163" t="s">
        <v>89</v>
      </c>
      <c r="G1588" s="164" t="s">
        <v>898</v>
      </c>
      <c r="H1588" s="177"/>
      <c r="I1588" s="163"/>
      <c r="J1588" s="65"/>
      <c r="K1588" s="51"/>
      <c r="L1588" s="46"/>
      <c r="M1588" s="261">
        <v>267716.39999999997</v>
      </c>
    </row>
    <row r="1589" spans="2:14" x14ac:dyDescent="0.35">
      <c r="B1589" s="174"/>
      <c r="C1589" s="175"/>
      <c r="D1589" s="176"/>
      <c r="E1589" s="163"/>
      <c r="F1589" s="163" t="s">
        <v>89</v>
      </c>
      <c r="G1589" s="164" t="s">
        <v>899</v>
      </c>
      <c r="H1589" s="177"/>
      <c r="I1589" s="163"/>
      <c r="J1589" s="65"/>
      <c r="K1589" s="51"/>
      <c r="L1589" s="46"/>
      <c r="M1589" s="261">
        <v>1533086.16</v>
      </c>
    </row>
    <row r="1590" spans="2:14" x14ac:dyDescent="0.35">
      <c r="B1590" s="174"/>
      <c r="C1590" s="175"/>
      <c r="D1590" s="176"/>
      <c r="E1590" s="163"/>
      <c r="F1590" s="163" t="s">
        <v>89</v>
      </c>
      <c r="G1590" s="164" t="s">
        <v>877</v>
      </c>
      <c r="H1590" s="177"/>
      <c r="I1590" s="163"/>
      <c r="J1590" s="65"/>
      <c r="K1590" s="51"/>
      <c r="L1590" s="46"/>
      <c r="M1590" s="261">
        <v>1953236.9999999998</v>
      </c>
    </row>
    <row r="1591" spans="2:14" x14ac:dyDescent="0.35">
      <c r="B1591" s="174"/>
      <c r="C1591" s="175"/>
      <c r="D1591" s="176"/>
      <c r="E1591" s="163"/>
      <c r="F1591" s="163" t="s">
        <v>89</v>
      </c>
      <c r="G1591" s="164" t="s">
        <v>897</v>
      </c>
      <c r="H1591" s="177"/>
      <c r="I1591" s="163"/>
      <c r="J1591" s="65"/>
      <c r="K1591" s="65"/>
      <c r="L1591" s="46"/>
      <c r="M1591" s="261">
        <v>747966.83999999985</v>
      </c>
    </row>
    <row r="1592" spans="2:14" x14ac:dyDescent="0.35">
      <c r="B1592" s="174"/>
      <c r="C1592" s="175"/>
      <c r="D1592" s="176"/>
      <c r="E1592" s="163"/>
      <c r="F1592" s="163" t="s">
        <v>89</v>
      </c>
      <c r="G1592" s="164" t="s">
        <v>879</v>
      </c>
      <c r="H1592" s="178"/>
      <c r="I1592" s="163"/>
      <c r="J1592" s="65"/>
      <c r="K1592" s="65"/>
      <c r="L1592" s="46"/>
      <c r="M1592" s="261">
        <v>6379200</v>
      </c>
    </row>
    <row r="1593" spans="2:14" x14ac:dyDescent="0.35">
      <c r="B1593" s="174"/>
      <c r="C1593" s="175"/>
      <c r="D1593" s="176"/>
      <c r="E1593" s="163"/>
      <c r="F1593" s="163" t="s">
        <v>89</v>
      </c>
      <c r="G1593" s="164" t="s">
        <v>880</v>
      </c>
      <c r="H1593" s="177"/>
      <c r="I1593" s="163"/>
      <c r="J1593" s="65"/>
      <c r="K1593" s="65"/>
      <c r="L1593" s="46"/>
      <c r="M1593" s="261">
        <v>775110.83999999985</v>
      </c>
      <c r="N1593" s="261">
        <v>16005534.011999998</v>
      </c>
    </row>
    <row r="1594" spans="2:14" x14ac:dyDescent="0.35">
      <c r="B1594" s="174"/>
      <c r="C1594" s="175"/>
      <c r="D1594" s="176" t="s">
        <v>67</v>
      </c>
      <c r="E1594" s="163"/>
      <c r="F1594" s="163" t="s">
        <v>900</v>
      </c>
      <c r="G1594" s="164"/>
      <c r="H1594" s="162">
        <v>1</v>
      </c>
      <c r="I1594" s="66" t="s">
        <v>133</v>
      </c>
      <c r="J1594" s="65">
        <v>16050000</v>
      </c>
      <c r="K1594" s="65"/>
      <c r="L1594" s="46">
        <f>J1594*H1594</f>
        <v>16050000</v>
      </c>
    </row>
    <row r="1595" spans="2:14" x14ac:dyDescent="0.35">
      <c r="B1595" s="174"/>
      <c r="C1595" s="175"/>
      <c r="D1595" s="176"/>
      <c r="E1595" s="163"/>
      <c r="F1595" s="163" t="s">
        <v>89</v>
      </c>
      <c r="G1595" s="164" t="s">
        <v>901</v>
      </c>
      <c r="H1595" s="177"/>
      <c r="I1595" s="163"/>
      <c r="J1595" s="65"/>
      <c r="K1595" s="65"/>
      <c r="L1595" s="46"/>
      <c r="M1595" s="261">
        <v>666559.19999999995</v>
      </c>
    </row>
    <row r="1596" spans="2:14" x14ac:dyDescent="0.35">
      <c r="B1596" s="174"/>
      <c r="C1596" s="175"/>
      <c r="D1596" s="176"/>
      <c r="E1596" s="163"/>
      <c r="F1596" s="163" t="s">
        <v>89</v>
      </c>
      <c r="G1596" s="164" t="s">
        <v>902</v>
      </c>
      <c r="H1596" s="177"/>
      <c r="I1596" s="163"/>
      <c r="J1596" s="65"/>
      <c r="K1596" s="65"/>
      <c r="L1596" s="46"/>
      <c r="M1596" s="261">
        <v>262252.79999999999</v>
      </c>
    </row>
    <row r="1597" spans="2:14" x14ac:dyDescent="0.35">
      <c r="B1597" s="174"/>
      <c r="C1597" s="175"/>
      <c r="D1597" s="176"/>
      <c r="E1597" s="163"/>
      <c r="F1597" s="163" t="s">
        <v>89</v>
      </c>
      <c r="G1597" s="164" t="s">
        <v>903</v>
      </c>
      <c r="H1597" s="177"/>
      <c r="I1597" s="163"/>
      <c r="J1597" s="65"/>
      <c r="K1597" s="65"/>
      <c r="L1597" s="46"/>
      <c r="M1597" s="261">
        <v>1507953.5999999996</v>
      </c>
    </row>
    <row r="1598" spans="2:14" x14ac:dyDescent="0.35">
      <c r="B1598" s="174"/>
      <c r="C1598" s="175"/>
      <c r="D1598" s="176"/>
      <c r="E1598" s="163"/>
      <c r="F1598" s="163" t="s">
        <v>89</v>
      </c>
      <c r="G1598" s="164" t="s">
        <v>904</v>
      </c>
      <c r="H1598" s="177"/>
      <c r="I1598" s="163"/>
      <c r="J1598" s="65"/>
      <c r="K1598" s="65"/>
      <c r="L1598" s="46"/>
      <c r="M1598" s="261">
        <v>1988750.4000000001</v>
      </c>
    </row>
    <row r="1599" spans="2:14" x14ac:dyDescent="0.35">
      <c r="B1599" s="174"/>
      <c r="C1599" s="175"/>
      <c r="D1599" s="176"/>
      <c r="E1599" s="163"/>
      <c r="F1599" s="163" t="s">
        <v>89</v>
      </c>
      <c r="G1599" s="164" t="s">
        <v>897</v>
      </c>
      <c r="H1599" s="177"/>
      <c r="I1599" s="163"/>
      <c r="J1599" s="65"/>
      <c r="K1599" s="65"/>
      <c r="L1599" s="46"/>
      <c r="M1599" s="261">
        <v>747966.83999999985</v>
      </c>
    </row>
    <row r="1600" spans="2:14" x14ac:dyDescent="0.35">
      <c r="B1600" s="174"/>
      <c r="C1600" s="175"/>
      <c r="D1600" s="176"/>
      <c r="E1600" s="163"/>
      <c r="F1600" s="163" t="s">
        <v>89</v>
      </c>
      <c r="G1600" s="164" t="s">
        <v>879</v>
      </c>
      <c r="H1600" s="178"/>
      <c r="I1600" s="163"/>
      <c r="J1600" s="65"/>
      <c r="K1600" s="65"/>
      <c r="L1600" s="46"/>
      <c r="M1600" s="261">
        <v>6379200</v>
      </c>
    </row>
    <row r="1601" spans="2:15" x14ac:dyDescent="0.35">
      <c r="B1601" s="174"/>
      <c r="C1601" s="175"/>
      <c r="D1601" s="176"/>
      <c r="E1601" s="163"/>
      <c r="F1601" s="163" t="s">
        <v>89</v>
      </c>
      <c r="G1601" s="164" t="s">
        <v>880</v>
      </c>
      <c r="H1601" s="177"/>
      <c r="I1601" s="163"/>
      <c r="J1601" s="65"/>
      <c r="K1601" s="29"/>
      <c r="L1601" s="52"/>
      <c r="M1601" s="261">
        <v>775110.83999999985</v>
      </c>
      <c r="N1601" s="261">
        <v>16026131.784</v>
      </c>
    </row>
    <row r="1602" spans="2:15" x14ac:dyDescent="0.35">
      <c r="B1602" s="174"/>
      <c r="C1602" s="175"/>
      <c r="D1602" s="176" t="s">
        <v>69</v>
      </c>
      <c r="E1602" s="163"/>
      <c r="F1602" s="163" t="s">
        <v>905</v>
      </c>
      <c r="G1602" s="164"/>
      <c r="H1602" s="162">
        <v>1</v>
      </c>
      <c r="I1602" s="66" t="s">
        <v>133</v>
      </c>
      <c r="J1602" s="65">
        <v>2500000</v>
      </c>
      <c r="K1602" s="65"/>
      <c r="L1602" s="46">
        <f>J1602*H1602</f>
        <v>2500000</v>
      </c>
      <c r="M1602" s="261"/>
    </row>
    <row r="1603" spans="2:15" x14ac:dyDescent="0.35">
      <c r="B1603" s="174"/>
      <c r="C1603" s="175"/>
      <c r="D1603" s="176"/>
      <c r="E1603" s="163"/>
      <c r="F1603" s="163" t="s">
        <v>89</v>
      </c>
      <c r="G1603" s="164" t="s">
        <v>906</v>
      </c>
      <c r="H1603" s="177"/>
      <c r="I1603" s="163"/>
      <c r="J1603" s="65"/>
      <c r="K1603" s="51"/>
      <c r="L1603" s="46"/>
      <c r="M1603" s="261">
        <v>491724</v>
      </c>
    </row>
    <row r="1604" spans="2:15" x14ac:dyDescent="0.35">
      <c r="B1604" s="174"/>
      <c r="C1604" s="175"/>
      <c r="D1604" s="176"/>
      <c r="E1604" s="163"/>
      <c r="F1604" s="163" t="s">
        <v>89</v>
      </c>
      <c r="G1604" s="164" t="s">
        <v>907</v>
      </c>
      <c r="H1604" s="177"/>
      <c r="I1604" s="163"/>
      <c r="J1604" s="65"/>
      <c r="K1604" s="51"/>
      <c r="L1604" s="46"/>
      <c r="M1604" s="261">
        <v>553189.5</v>
      </c>
    </row>
    <row r="1605" spans="2:15" x14ac:dyDescent="0.35">
      <c r="B1605" s="174"/>
      <c r="C1605" s="175"/>
      <c r="D1605" s="176"/>
      <c r="E1605" s="163"/>
      <c r="F1605" s="163" t="s">
        <v>89</v>
      </c>
      <c r="G1605" s="164" t="s">
        <v>908</v>
      </c>
      <c r="H1605" s="177"/>
      <c r="I1605" s="163"/>
      <c r="J1605" s="65"/>
      <c r="K1605" s="51"/>
      <c r="L1605" s="46"/>
      <c r="M1605" s="261">
        <v>826369.5</v>
      </c>
      <c r="N1605" s="261">
        <v>2432667.9</v>
      </c>
      <c r="O1605" s="83"/>
    </row>
    <row r="1606" spans="2:15" x14ac:dyDescent="0.35">
      <c r="B1606" s="174"/>
      <c r="C1606" s="175"/>
      <c r="D1606" s="176" t="s">
        <v>71</v>
      </c>
      <c r="E1606" s="163"/>
      <c r="F1606" s="163" t="s">
        <v>909</v>
      </c>
      <c r="G1606" s="164"/>
      <c r="H1606" s="162">
        <v>1</v>
      </c>
      <c r="I1606" s="66" t="s">
        <v>133</v>
      </c>
      <c r="J1606" s="65">
        <v>4500000</v>
      </c>
      <c r="K1606" s="65"/>
      <c r="L1606" s="46">
        <f>J1606*H1606</f>
        <v>4500000</v>
      </c>
      <c r="M1606" s="68"/>
    </row>
    <row r="1607" spans="2:15" x14ac:dyDescent="0.35">
      <c r="B1607" s="174"/>
      <c r="C1607" s="175"/>
      <c r="D1607" s="176"/>
      <c r="E1607" s="163"/>
      <c r="F1607" s="163" t="s">
        <v>89</v>
      </c>
      <c r="G1607" s="164" t="s">
        <v>889</v>
      </c>
      <c r="H1607" s="177"/>
      <c r="I1607" s="163"/>
      <c r="J1607" s="65"/>
      <c r="K1607" s="51"/>
      <c r="L1607" s="46"/>
      <c r="M1607" s="261">
        <v>513578.39999999997</v>
      </c>
    </row>
    <row r="1608" spans="2:15" x14ac:dyDescent="0.35">
      <c r="B1608" s="174"/>
      <c r="C1608" s="175"/>
      <c r="D1608" s="176"/>
      <c r="E1608" s="163"/>
      <c r="F1608" s="163" t="s">
        <v>89</v>
      </c>
      <c r="G1608" s="164" t="s">
        <v>907</v>
      </c>
      <c r="H1608" s="177"/>
      <c r="I1608" s="163"/>
      <c r="J1608" s="65"/>
      <c r="K1608" s="51"/>
      <c r="L1608" s="46"/>
      <c r="M1608" s="261">
        <v>553189.5</v>
      </c>
    </row>
    <row r="1609" spans="2:15" x14ac:dyDescent="0.35">
      <c r="B1609" s="174"/>
      <c r="C1609" s="175"/>
      <c r="D1609" s="176"/>
      <c r="E1609" s="163"/>
      <c r="F1609" s="163" t="s">
        <v>89</v>
      </c>
      <c r="G1609" s="164" t="s">
        <v>910</v>
      </c>
      <c r="H1609" s="177"/>
      <c r="I1609" s="163"/>
      <c r="J1609" s="65"/>
      <c r="K1609" s="51"/>
      <c r="L1609" s="46"/>
      <c r="M1609" s="261">
        <v>682950</v>
      </c>
      <c r="N1609" s="261"/>
    </row>
    <row r="1610" spans="2:15" x14ac:dyDescent="0.35">
      <c r="B1610" s="174"/>
      <c r="C1610" s="175"/>
      <c r="D1610" s="176"/>
      <c r="E1610" s="163"/>
      <c r="F1610" s="163" t="s">
        <v>89</v>
      </c>
      <c r="G1610" s="164" t="s">
        <v>911</v>
      </c>
      <c r="H1610" s="178"/>
      <c r="I1610" s="163"/>
      <c r="J1610" s="29"/>
      <c r="K1610" s="51"/>
      <c r="L1610" s="46"/>
      <c r="M1610" s="68">
        <v>1500000</v>
      </c>
      <c r="N1610" s="261">
        <v>4224633.2700000005</v>
      </c>
    </row>
    <row r="1611" spans="2:15" x14ac:dyDescent="0.35">
      <c r="B1611" s="142"/>
      <c r="C1611" s="143"/>
      <c r="D1611" s="129"/>
      <c r="E1611" s="115"/>
      <c r="F1611" s="115"/>
      <c r="G1611" s="116"/>
      <c r="H1611" s="240"/>
      <c r="I1611" s="116"/>
      <c r="J1611" s="65"/>
      <c r="K1611" s="51"/>
      <c r="L1611" s="46"/>
      <c r="M1611" s="261"/>
      <c r="N1611" s="261"/>
    </row>
    <row r="1612" spans="2:15" x14ac:dyDescent="0.35">
      <c r="B1612" s="47"/>
      <c r="C1612" s="48"/>
      <c r="D1612" s="24"/>
      <c r="G1612" s="22"/>
      <c r="I1612" s="22"/>
      <c r="J1612" s="50"/>
      <c r="K1612" s="29"/>
      <c r="L1612" s="52"/>
    </row>
    <row r="1613" spans="2:15" x14ac:dyDescent="0.35">
      <c r="B1613" s="47"/>
      <c r="C1613" s="48"/>
      <c r="D1613" s="24"/>
      <c r="G1613" s="22"/>
      <c r="I1613" s="22"/>
      <c r="J1613" s="50"/>
      <c r="K1613" s="29"/>
      <c r="L1613" s="52"/>
    </row>
    <row r="1614" spans="2:15" x14ac:dyDescent="0.35">
      <c r="B1614" s="8"/>
      <c r="C1614" s="9"/>
      <c r="D1614" s="10"/>
      <c r="E1614" s="4"/>
      <c r="F1614" s="4"/>
      <c r="G1614" s="4"/>
      <c r="H1614" s="1"/>
      <c r="I1614" s="1"/>
      <c r="J1614" s="11" t="s">
        <v>8</v>
      </c>
      <c r="K1614" s="7">
        <f>SUM(K1561:K1613)</f>
        <v>0</v>
      </c>
      <c r="L1614" s="7">
        <f>SUM(L1561:L1613)</f>
        <v>73750000</v>
      </c>
    </row>
    <row r="1615" spans="2:15" x14ac:dyDescent="0.35">
      <c r="B1615" s="8"/>
      <c r="C1615" s="9"/>
      <c r="D1615" s="9"/>
      <c r="E1615" s="4"/>
      <c r="F1615" s="4"/>
      <c r="G1615" s="4"/>
      <c r="H1615" s="1"/>
      <c r="I1615" s="1"/>
      <c r="J1615" s="11"/>
      <c r="K1615" s="35" t="s">
        <v>22</v>
      </c>
      <c r="L1615" s="36" t="s">
        <v>23</v>
      </c>
    </row>
    <row r="1616" spans="2:15" x14ac:dyDescent="0.35">
      <c r="B1616" s="3" t="s">
        <v>9</v>
      </c>
      <c r="C1616" s="4"/>
      <c r="D1616" s="4"/>
      <c r="E1616" s="4"/>
      <c r="F1616" s="4"/>
      <c r="G1616" s="4"/>
      <c r="H1616" s="1"/>
      <c r="I1616" s="1"/>
      <c r="J1616" s="12"/>
      <c r="K1616" s="12"/>
      <c r="L1616" s="13"/>
    </row>
    <row r="1617" spans="2:15" x14ac:dyDescent="0.35">
      <c r="B1617" s="37"/>
      <c r="C1617" s="1"/>
      <c r="D1617" s="1"/>
      <c r="E1617" s="38"/>
      <c r="F1617" s="38"/>
      <c r="G1617" s="38"/>
      <c r="H1617" s="1"/>
      <c r="I1617" s="1"/>
      <c r="J1617" s="1"/>
      <c r="K1617" s="1"/>
      <c r="L1617" s="19"/>
    </row>
    <row r="1618" spans="2:15" x14ac:dyDescent="0.35">
      <c r="B1618" s="28" t="s">
        <v>6</v>
      </c>
      <c r="C1618" s="27"/>
      <c r="D1618" s="27"/>
      <c r="E1618" s="26"/>
      <c r="F1618" s="26"/>
      <c r="G1618" s="5"/>
      <c r="K1618" s="284" t="s">
        <v>1600</v>
      </c>
      <c r="L1618" s="285"/>
    </row>
    <row r="1619" spans="2:15" x14ac:dyDescent="0.35">
      <c r="B1619" s="28">
        <v>1</v>
      </c>
      <c r="C1619" s="27"/>
      <c r="D1619" s="27"/>
      <c r="E1619" s="26" t="s">
        <v>7</v>
      </c>
      <c r="F1619" s="26"/>
      <c r="G1619" s="5"/>
      <c r="K1619" s="284" t="s">
        <v>28</v>
      </c>
      <c r="L1619" s="285"/>
    </row>
    <row r="1620" spans="2:15" x14ac:dyDescent="0.35">
      <c r="B1620" s="39"/>
      <c r="C1620" s="27"/>
      <c r="D1620" s="27"/>
      <c r="E1620" s="26"/>
      <c r="F1620" s="26"/>
      <c r="G1620" s="5"/>
      <c r="J1620" s="25"/>
      <c r="K1620" s="25"/>
      <c r="L1620" s="24"/>
    </row>
    <row r="1621" spans="2:15" x14ac:dyDescent="0.35">
      <c r="B1621" s="28"/>
      <c r="C1621" s="27"/>
      <c r="D1621" s="27"/>
      <c r="E1621" s="26"/>
      <c r="F1621" s="26"/>
      <c r="G1621" s="5"/>
      <c r="L1621" s="22"/>
    </row>
    <row r="1622" spans="2:15" x14ac:dyDescent="0.35">
      <c r="B1622" s="45"/>
      <c r="E1622" s="5"/>
      <c r="F1622" s="5"/>
      <c r="G1622" s="5"/>
      <c r="L1622" s="22"/>
    </row>
    <row r="1623" spans="2:15" x14ac:dyDescent="0.35">
      <c r="B1623" s="45"/>
      <c r="E1623" s="5"/>
      <c r="F1623" s="5"/>
      <c r="G1623" s="5"/>
      <c r="L1623" s="22"/>
    </row>
    <row r="1624" spans="2:15" x14ac:dyDescent="0.35">
      <c r="B1624" s="45"/>
      <c r="E1624" s="5"/>
      <c r="F1624" s="5"/>
      <c r="G1624" s="5"/>
      <c r="L1624" s="22"/>
    </row>
    <row r="1625" spans="2:15" x14ac:dyDescent="0.35">
      <c r="B1625" s="45"/>
      <c r="E1625" s="5"/>
      <c r="F1625" s="5"/>
      <c r="G1625" s="5"/>
      <c r="J1625" s="40"/>
      <c r="K1625" s="286" t="s">
        <v>36</v>
      </c>
      <c r="L1625" s="287"/>
    </row>
    <row r="1626" spans="2:15" x14ac:dyDescent="0.35">
      <c r="B1626" s="45"/>
      <c r="K1626" s="288" t="s">
        <v>37</v>
      </c>
      <c r="L1626" s="289"/>
    </row>
    <row r="1627" spans="2:15" x14ac:dyDescent="0.35">
      <c r="B1627" s="290"/>
      <c r="C1627" s="291"/>
      <c r="D1627" s="291"/>
      <c r="E1627" s="41"/>
      <c r="F1627" s="41"/>
      <c r="G1627" s="41"/>
      <c r="H1627" s="2"/>
      <c r="I1627" s="2"/>
      <c r="J1627" s="2"/>
      <c r="K1627" s="2"/>
      <c r="L1627" s="21"/>
    </row>
    <row r="1628" spans="2:15" x14ac:dyDescent="0.35">
      <c r="B1628" s="47"/>
      <c r="C1628" s="48"/>
      <c r="D1628" s="49"/>
      <c r="G1628" s="22"/>
      <c r="H1628" s="1"/>
      <c r="I1628" s="1"/>
      <c r="J1628" s="43"/>
      <c r="K1628" s="30"/>
      <c r="L1628" s="44"/>
    </row>
    <row r="1629" spans="2:15" x14ac:dyDescent="0.35">
      <c r="B1629" s="174"/>
      <c r="C1629" s="175"/>
      <c r="D1629" s="176" t="s">
        <v>73</v>
      </c>
      <c r="E1629" s="163"/>
      <c r="F1629" s="163" t="s">
        <v>912</v>
      </c>
      <c r="G1629" s="164"/>
      <c r="H1629" s="162">
        <v>1</v>
      </c>
      <c r="I1629" s="66" t="s">
        <v>133</v>
      </c>
      <c r="J1629" s="65">
        <v>4500000</v>
      </c>
      <c r="K1629" s="65"/>
      <c r="L1629" s="46">
        <f>J1629*H1629</f>
        <v>4500000</v>
      </c>
      <c r="M1629" s="68"/>
      <c r="N1629" s="105"/>
      <c r="O1629" s="83"/>
    </row>
    <row r="1630" spans="2:15" x14ac:dyDescent="0.35">
      <c r="B1630" s="174"/>
      <c r="C1630" s="175"/>
      <c r="D1630" s="176"/>
      <c r="E1630" s="163"/>
      <c r="F1630" s="163" t="s">
        <v>89</v>
      </c>
      <c r="G1630" s="164" t="s">
        <v>889</v>
      </c>
      <c r="H1630" s="177"/>
      <c r="I1630" s="163"/>
      <c r="J1630" s="65"/>
      <c r="K1630" s="51"/>
      <c r="L1630" s="46"/>
      <c r="M1630" s="261">
        <v>513578.39999999997</v>
      </c>
    </row>
    <row r="1631" spans="2:15" x14ac:dyDescent="0.35">
      <c r="B1631" s="174"/>
      <c r="C1631" s="175"/>
      <c r="D1631" s="176"/>
      <c r="E1631" s="163"/>
      <c r="F1631" s="163" t="s">
        <v>89</v>
      </c>
      <c r="G1631" s="164" t="s">
        <v>907</v>
      </c>
      <c r="H1631" s="177"/>
      <c r="I1631" s="163"/>
      <c r="J1631" s="65"/>
      <c r="K1631" s="65"/>
      <c r="L1631" s="46"/>
      <c r="M1631" s="261">
        <v>553189.5</v>
      </c>
    </row>
    <row r="1632" spans="2:15" x14ac:dyDescent="0.35">
      <c r="B1632" s="174"/>
      <c r="C1632" s="175"/>
      <c r="D1632" s="176"/>
      <c r="E1632" s="163"/>
      <c r="F1632" s="163" t="s">
        <v>89</v>
      </c>
      <c r="G1632" s="164" t="s">
        <v>910</v>
      </c>
      <c r="H1632" s="177"/>
      <c r="I1632" s="163"/>
      <c r="J1632" s="65"/>
      <c r="K1632" s="65"/>
      <c r="L1632" s="46"/>
      <c r="M1632" s="261">
        <v>682950</v>
      </c>
      <c r="N1632" s="261"/>
    </row>
    <row r="1633" spans="2:14" x14ac:dyDescent="0.35">
      <c r="B1633" s="174"/>
      <c r="C1633" s="175"/>
      <c r="D1633" s="176"/>
      <c r="E1633" s="163"/>
      <c r="F1633" s="163" t="s">
        <v>89</v>
      </c>
      <c r="G1633" s="164" t="s">
        <v>911</v>
      </c>
      <c r="H1633" s="178"/>
      <c r="I1633" s="163"/>
      <c r="J1633" s="29"/>
      <c r="K1633" s="65"/>
      <c r="L1633" s="46"/>
      <c r="M1633" s="261">
        <v>1500000</v>
      </c>
      <c r="N1633" s="261">
        <v>4224633.2700000005</v>
      </c>
    </row>
    <row r="1634" spans="2:14" x14ac:dyDescent="0.35">
      <c r="B1634" s="174"/>
      <c r="C1634" s="175" t="s">
        <v>88</v>
      </c>
      <c r="D1634" s="176"/>
      <c r="E1634" s="163"/>
      <c r="F1634" s="163" t="s">
        <v>167</v>
      </c>
      <c r="G1634" s="164"/>
      <c r="H1634" s="178"/>
      <c r="I1634" s="163"/>
      <c r="J1634" s="29"/>
      <c r="K1634" s="51"/>
      <c r="L1634" s="46"/>
    </row>
    <row r="1635" spans="2:14" x14ac:dyDescent="0.35">
      <c r="B1635" s="174"/>
      <c r="C1635" s="175"/>
      <c r="D1635" s="176" t="s">
        <v>44</v>
      </c>
      <c r="E1635" s="163"/>
      <c r="F1635" s="163" t="s">
        <v>168</v>
      </c>
      <c r="G1635" s="164"/>
      <c r="H1635" s="178">
        <v>1</v>
      </c>
      <c r="I1635" s="163" t="s">
        <v>133</v>
      </c>
      <c r="J1635" s="65">
        <v>2750000</v>
      </c>
      <c r="K1635" s="65"/>
      <c r="L1635" s="46">
        <f>J1635*H1635</f>
        <v>2750000</v>
      </c>
    </row>
    <row r="1636" spans="2:14" x14ac:dyDescent="0.35">
      <c r="B1636" s="174"/>
      <c r="C1636" s="175"/>
      <c r="D1636" s="176"/>
      <c r="E1636" s="163"/>
      <c r="F1636" s="163" t="s">
        <v>89</v>
      </c>
      <c r="G1636" s="164" t="s">
        <v>913</v>
      </c>
      <c r="H1636" s="177"/>
      <c r="I1636" s="163"/>
      <c r="J1636" s="29"/>
      <c r="K1636" s="51"/>
      <c r="L1636" s="46"/>
    </row>
    <row r="1637" spans="2:14" x14ac:dyDescent="0.35">
      <c r="B1637" s="174"/>
      <c r="C1637" s="175"/>
      <c r="D1637" s="176"/>
      <c r="E1637" s="163"/>
      <c r="F1637" s="163" t="s">
        <v>89</v>
      </c>
      <c r="G1637" s="164" t="s">
        <v>914</v>
      </c>
      <c r="H1637" s="177"/>
      <c r="I1637" s="163"/>
      <c r="J1637" s="29"/>
      <c r="K1637" s="51"/>
      <c r="L1637" s="46"/>
    </row>
    <row r="1638" spans="2:14" x14ac:dyDescent="0.35">
      <c r="B1638" s="174"/>
      <c r="C1638" s="175"/>
      <c r="D1638" s="176" t="s">
        <v>47</v>
      </c>
      <c r="E1638" s="163"/>
      <c r="F1638" s="163" t="s">
        <v>169</v>
      </c>
      <c r="G1638" s="164"/>
      <c r="H1638" s="178">
        <v>1</v>
      </c>
      <c r="I1638" s="163" t="s">
        <v>133</v>
      </c>
      <c r="J1638" s="65">
        <v>2750000</v>
      </c>
      <c r="K1638" s="65"/>
      <c r="L1638" s="46">
        <f>J1638*H1638</f>
        <v>2750000</v>
      </c>
    </row>
    <row r="1639" spans="2:14" x14ac:dyDescent="0.35">
      <c r="B1639" s="174"/>
      <c r="C1639" s="175"/>
      <c r="D1639" s="176"/>
      <c r="E1639" s="163"/>
      <c r="F1639" s="163" t="s">
        <v>89</v>
      </c>
      <c r="G1639" s="164" t="s">
        <v>913</v>
      </c>
      <c r="H1639" s="177"/>
      <c r="I1639" s="163"/>
      <c r="J1639" s="29"/>
      <c r="K1639" s="51"/>
      <c r="L1639" s="46"/>
    </row>
    <row r="1640" spans="2:14" x14ac:dyDescent="0.35">
      <c r="B1640" s="174"/>
      <c r="C1640" s="175"/>
      <c r="D1640" s="176"/>
      <c r="E1640" s="163"/>
      <c r="F1640" s="163" t="s">
        <v>89</v>
      </c>
      <c r="G1640" s="164" t="s">
        <v>914</v>
      </c>
      <c r="H1640" s="177"/>
      <c r="I1640" s="163"/>
      <c r="J1640" s="29"/>
      <c r="K1640" s="51"/>
      <c r="L1640" s="46"/>
    </row>
    <row r="1641" spans="2:14" x14ac:dyDescent="0.35">
      <c r="B1641" s="168" t="s">
        <v>90</v>
      </c>
      <c r="C1641" s="169"/>
      <c r="D1641" s="170"/>
      <c r="E1641" s="171" t="s">
        <v>296</v>
      </c>
      <c r="F1641" s="171"/>
      <c r="G1641" s="172"/>
      <c r="H1641" s="216"/>
      <c r="I1641" s="171"/>
      <c r="J1641" s="65"/>
      <c r="K1641" s="65"/>
      <c r="L1641" s="46"/>
    </row>
    <row r="1642" spans="2:14" x14ac:dyDescent="0.35">
      <c r="B1642" s="174"/>
      <c r="C1642" s="175"/>
      <c r="D1642" s="176" t="s">
        <v>44</v>
      </c>
      <c r="E1642" s="163"/>
      <c r="F1642" s="163" t="s">
        <v>170</v>
      </c>
      <c r="G1642" s="164"/>
      <c r="H1642" s="178">
        <v>4442</v>
      </c>
      <c r="I1642" s="163" t="s">
        <v>59</v>
      </c>
      <c r="J1642" s="65">
        <v>80000</v>
      </c>
      <c r="K1642" s="65">
        <f t="shared" ref="K1642:K1647" si="64">J1642*H1642</f>
        <v>355360000</v>
      </c>
      <c r="L1642" s="46"/>
    </row>
    <row r="1643" spans="2:14" x14ac:dyDescent="0.35">
      <c r="B1643" s="174"/>
      <c r="C1643" s="175"/>
      <c r="D1643" s="176" t="s">
        <v>47</v>
      </c>
      <c r="E1643" s="163"/>
      <c r="F1643" s="163" t="s">
        <v>171</v>
      </c>
      <c r="G1643" s="164"/>
      <c r="H1643" s="178">
        <v>4442</v>
      </c>
      <c r="I1643" s="163" t="s">
        <v>59</v>
      </c>
      <c r="J1643" s="65">
        <v>12000</v>
      </c>
      <c r="K1643" s="65">
        <f t="shared" si="64"/>
        <v>53304000</v>
      </c>
      <c r="L1643" s="46"/>
    </row>
    <row r="1644" spans="2:14" x14ac:dyDescent="0.35">
      <c r="B1644" s="174"/>
      <c r="C1644" s="175"/>
      <c r="D1644" s="176" t="s">
        <v>49</v>
      </c>
      <c r="E1644" s="163"/>
      <c r="F1644" s="163" t="s">
        <v>915</v>
      </c>
      <c r="G1644" s="164"/>
      <c r="H1644" s="178">
        <v>1105</v>
      </c>
      <c r="I1644" s="163" t="s">
        <v>59</v>
      </c>
      <c r="J1644" s="65">
        <v>80000</v>
      </c>
      <c r="K1644" s="65">
        <f t="shared" si="64"/>
        <v>88400000</v>
      </c>
      <c r="L1644" s="46"/>
    </row>
    <row r="1645" spans="2:14" x14ac:dyDescent="0.35">
      <c r="B1645" s="174"/>
      <c r="C1645" s="175"/>
      <c r="D1645" s="176" t="s">
        <v>62</v>
      </c>
      <c r="E1645" s="163"/>
      <c r="F1645" s="163" t="s">
        <v>916</v>
      </c>
      <c r="G1645" s="164"/>
      <c r="H1645" s="178">
        <v>1105</v>
      </c>
      <c r="I1645" s="163" t="s">
        <v>59</v>
      </c>
      <c r="J1645" s="65">
        <v>12000</v>
      </c>
      <c r="K1645" s="65">
        <f t="shared" si="64"/>
        <v>13260000</v>
      </c>
      <c r="L1645" s="46"/>
    </row>
    <row r="1646" spans="2:14" x14ac:dyDescent="0.35">
      <c r="B1646" s="174"/>
      <c r="C1646" s="175"/>
      <c r="D1646" s="176" t="s">
        <v>51</v>
      </c>
      <c r="E1646" s="163"/>
      <c r="F1646" s="163" t="s">
        <v>172</v>
      </c>
      <c r="G1646" s="164"/>
      <c r="H1646" s="178">
        <v>20</v>
      </c>
      <c r="I1646" s="163" t="s">
        <v>96</v>
      </c>
      <c r="J1646" s="46">
        <v>6500000</v>
      </c>
      <c r="K1646" s="65">
        <f t="shared" si="64"/>
        <v>130000000</v>
      </c>
      <c r="L1646" s="46"/>
    </row>
    <row r="1647" spans="2:14" x14ac:dyDescent="0.35">
      <c r="B1647" s="174"/>
      <c r="C1647" s="175"/>
      <c r="D1647" s="176" t="s">
        <v>53</v>
      </c>
      <c r="E1647" s="163"/>
      <c r="F1647" s="163" t="s">
        <v>917</v>
      </c>
      <c r="G1647" s="164"/>
      <c r="H1647" s="178">
        <v>20</v>
      </c>
      <c r="I1647" s="163" t="s">
        <v>96</v>
      </c>
      <c r="J1647" s="46">
        <v>6500000</v>
      </c>
      <c r="K1647" s="65">
        <f t="shared" si="64"/>
        <v>130000000</v>
      </c>
      <c r="L1647" s="46"/>
    </row>
    <row r="1648" spans="2:14" x14ac:dyDescent="0.35">
      <c r="B1648" s="174"/>
      <c r="C1648" s="175" t="s">
        <v>173</v>
      </c>
      <c r="D1648" s="176"/>
      <c r="E1648" s="163"/>
      <c r="F1648" s="163" t="s">
        <v>174</v>
      </c>
      <c r="G1648" s="164"/>
      <c r="H1648" s="178"/>
      <c r="I1648" s="163"/>
      <c r="J1648" s="65"/>
      <c r="K1648" s="65"/>
      <c r="L1648" s="46"/>
    </row>
    <row r="1649" spans="2:12" x14ac:dyDescent="0.35">
      <c r="B1649" s="174"/>
      <c r="C1649" s="175"/>
      <c r="D1649" s="176"/>
      <c r="E1649" s="163"/>
      <c r="F1649" s="163" t="s">
        <v>89</v>
      </c>
      <c r="G1649" s="164" t="s">
        <v>175</v>
      </c>
      <c r="H1649" s="178">
        <v>20</v>
      </c>
      <c r="I1649" s="163" t="s">
        <v>176</v>
      </c>
      <c r="J1649" s="29">
        <v>2000000</v>
      </c>
      <c r="K1649" s="84">
        <f>J1649*H1649</f>
        <v>40000000</v>
      </c>
      <c r="L1649" s="46"/>
    </row>
    <row r="1650" spans="2:12" x14ac:dyDescent="0.35">
      <c r="B1650" s="96"/>
      <c r="C1650" s="97"/>
      <c r="D1650" s="98"/>
      <c r="E1650" s="99"/>
      <c r="F1650" s="100"/>
      <c r="G1650" s="101"/>
      <c r="H1650" s="104"/>
      <c r="I1650" s="103"/>
      <c r="J1650" s="29"/>
      <c r="K1650" s="51"/>
      <c r="L1650" s="46"/>
    </row>
    <row r="1651" spans="2:12" x14ac:dyDescent="0.35">
      <c r="B1651" s="165"/>
      <c r="C1651" s="166"/>
      <c r="D1651" s="167"/>
      <c r="E1651" s="69" t="s">
        <v>177</v>
      </c>
      <c r="F1651" s="69"/>
      <c r="G1651" s="70"/>
      <c r="H1651" s="217"/>
      <c r="I1651" s="69"/>
      <c r="J1651" s="29"/>
      <c r="K1651" s="51"/>
      <c r="L1651" s="46"/>
    </row>
    <row r="1652" spans="2:12" x14ac:dyDescent="0.35">
      <c r="B1652" s="168" t="s">
        <v>43</v>
      </c>
      <c r="C1652" s="169"/>
      <c r="D1652" s="170"/>
      <c r="E1652" s="171" t="s">
        <v>178</v>
      </c>
      <c r="F1652" s="171"/>
      <c r="G1652" s="172"/>
      <c r="H1652" s="216"/>
      <c r="I1652" s="171"/>
      <c r="J1652" s="29"/>
      <c r="K1652" s="51"/>
      <c r="L1652" s="46"/>
    </row>
    <row r="1653" spans="2:12" x14ac:dyDescent="0.35">
      <c r="B1653" s="174"/>
      <c r="C1653" s="175" t="s">
        <v>112</v>
      </c>
      <c r="D1653" s="176"/>
      <c r="E1653" s="163"/>
      <c r="F1653" s="163" t="s">
        <v>179</v>
      </c>
      <c r="G1653" s="164"/>
      <c r="H1653" s="178"/>
      <c r="I1653" s="163"/>
      <c r="J1653" s="29"/>
      <c r="K1653" s="51"/>
      <c r="L1653" s="46"/>
    </row>
    <row r="1654" spans="2:12" x14ac:dyDescent="0.35">
      <c r="B1654" s="174"/>
      <c r="C1654" s="175"/>
      <c r="D1654" s="176" t="s">
        <v>44</v>
      </c>
      <c r="E1654" s="163"/>
      <c r="F1654" s="163" t="s">
        <v>257</v>
      </c>
      <c r="G1654" s="164"/>
      <c r="H1654" s="178"/>
      <c r="I1654" s="163"/>
      <c r="J1654" s="29"/>
      <c r="K1654" s="51"/>
      <c r="L1654" s="46"/>
    </row>
    <row r="1655" spans="2:12" x14ac:dyDescent="0.35">
      <c r="B1655" s="174"/>
      <c r="C1655" s="175"/>
      <c r="D1655" s="176"/>
      <c r="E1655" s="163"/>
      <c r="F1655" s="163" t="s">
        <v>89</v>
      </c>
      <c r="G1655" s="164" t="s">
        <v>918</v>
      </c>
      <c r="H1655" s="177">
        <v>841.0175999999999</v>
      </c>
      <c r="I1655" s="163" t="s">
        <v>87</v>
      </c>
      <c r="J1655" s="65">
        <v>31000</v>
      </c>
      <c r="K1655" s="65"/>
      <c r="L1655" s="46">
        <f t="shared" ref="L1655:L1678" si="65">J1655*H1655</f>
        <v>26071545.599999998</v>
      </c>
    </row>
    <row r="1656" spans="2:12" x14ac:dyDescent="0.35">
      <c r="B1656" s="174"/>
      <c r="C1656" s="175"/>
      <c r="D1656" s="176"/>
      <c r="E1656" s="163"/>
      <c r="F1656" s="163" t="s">
        <v>89</v>
      </c>
      <c r="G1656" s="164" t="s">
        <v>919</v>
      </c>
      <c r="H1656" s="177">
        <v>107.38799999999999</v>
      </c>
      <c r="I1656" s="163" t="s">
        <v>87</v>
      </c>
      <c r="J1656" s="65">
        <v>31000</v>
      </c>
      <c r="K1656" s="65"/>
      <c r="L1656" s="46">
        <f t="shared" si="65"/>
        <v>3329027.9999999995</v>
      </c>
    </row>
    <row r="1657" spans="2:12" x14ac:dyDescent="0.35">
      <c r="B1657" s="174"/>
      <c r="C1657" s="175"/>
      <c r="D1657" s="176"/>
      <c r="E1657" s="163"/>
      <c r="F1657" s="163" t="s">
        <v>89</v>
      </c>
      <c r="G1657" s="164" t="s">
        <v>920</v>
      </c>
      <c r="H1657" s="177">
        <v>432.37799999999993</v>
      </c>
      <c r="I1657" s="163" t="s">
        <v>87</v>
      </c>
      <c r="J1657" s="65">
        <v>31000</v>
      </c>
      <c r="K1657" s="65"/>
      <c r="L1657" s="46">
        <f t="shared" si="65"/>
        <v>13403717.999999998</v>
      </c>
    </row>
    <row r="1658" spans="2:12" x14ac:dyDescent="0.35">
      <c r="B1658" s="174"/>
      <c r="C1658" s="175"/>
      <c r="D1658" s="176"/>
      <c r="E1658" s="163"/>
      <c r="F1658" s="163" t="s">
        <v>89</v>
      </c>
      <c r="G1658" s="164" t="s">
        <v>921</v>
      </c>
      <c r="H1658" s="177">
        <v>421.63919999999996</v>
      </c>
      <c r="I1658" s="163" t="s">
        <v>87</v>
      </c>
      <c r="J1658" s="65">
        <v>31000</v>
      </c>
      <c r="K1658" s="65"/>
      <c r="L1658" s="46">
        <f t="shared" si="65"/>
        <v>13070815.199999999</v>
      </c>
    </row>
    <row r="1659" spans="2:12" x14ac:dyDescent="0.35">
      <c r="B1659" s="174"/>
      <c r="C1659" s="175"/>
      <c r="D1659" s="176"/>
      <c r="E1659" s="163"/>
      <c r="F1659" s="163" t="s">
        <v>89</v>
      </c>
      <c r="G1659" s="164" t="s">
        <v>922</v>
      </c>
      <c r="H1659" s="177">
        <v>326.68559999999997</v>
      </c>
      <c r="I1659" s="163" t="s">
        <v>87</v>
      </c>
      <c r="J1659" s="65">
        <v>31000</v>
      </c>
      <c r="K1659" s="65"/>
      <c r="L1659" s="46">
        <f t="shared" si="65"/>
        <v>10127253.6</v>
      </c>
    </row>
    <row r="1660" spans="2:12" x14ac:dyDescent="0.35">
      <c r="B1660" s="174"/>
      <c r="C1660" s="175"/>
      <c r="D1660" s="176"/>
      <c r="E1660" s="163"/>
      <c r="F1660" s="163" t="s">
        <v>89</v>
      </c>
      <c r="G1660" s="164" t="s">
        <v>923</v>
      </c>
      <c r="H1660" s="177">
        <v>131.35247999999999</v>
      </c>
      <c r="I1660" s="163" t="s">
        <v>87</v>
      </c>
      <c r="J1660" s="65">
        <v>31000</v>
      </c>
      <c r="K1660" s="65"/>
      <c r="L1660" s="46">
        <f t="shared" si="65"/>
        <v>4071926.8799999994</v>
      </c>
    </row>
    <row r="1661" spans="2:12" x14ac:dyDescent="0.35">
      <c r="B1661" s="174"/>
      <c r="C1661" s="175"/>
      <c r="D1661" s="176"/>
      <c r="E1661" s="163"/>
      <c r="F1661" s="163" t="s">
        <v>89</v>
      </c>
      <c r="G1661" s="164" t="s">
        <v>924</v>
      </c>
      <c r="H1661" s="177">
        <v>175.43807999999999</v>
      </c>
      <c r="I1661" s="163" t="s">
        <v>87</v>
      </c>
      <c r="J1661" s="65">
        <v>31000</v>
      </c>
      <c r="K1661" s="65"/>
      <c r="L1661" s="46">
        <f t="shared" si="65"/>
        <v>5438580.4799999995</v>
      </c>
    </row>
    <row r="1662" spans="2:12" x14ac:dyDescent="0.35">
      <c r="B1662" s="174"/>
      <c r="C1662" s="175"/>
      <c r="D1662" s="176"/>
      <c r="E1662" s="163"/>
      <c r="F1662" s="163" t="s">
        <v>89</v>
      </c>
      <c r="G1662" s="164" t="s">
        <v>925</v>
      </c>
      <c r="H1662" s="177">
        <v>1519.9358399999999</v>
      </c>
      <c r="I1662" s="163" t="s">
        <v>87</v>
      </c>
      <c r="J1662" s="65">
        <v>31000</v>
      </c>
      <c r="K1662" s="65"/>
      <c r="L1662" s="46">
        <f t="shared" si="65"/>
        <v>47118011.039999999</v>
      </c>
    </row>
    <row r="1663" spans="2:12" x14ac:dyDescent="0.35">
      <c r="B1663" s="174"/>
      <c r="C1663" s="175"/>
      <c r="D1663" s="176"/>
      <c r="E1663" s="163"/>
      <c r="F1663" s="163" t="s">
        <v>89</v>
      </c>
      <c r="G1663" s="164" t="s">
        <v>926</v>
      </c>
      <c r="H1663" s="177">
        <v>64.055999999999997</v>
      </c>
      <c r="I1663" s="163" t="s">
        <v>87</v>
      </c>
      <c r="J1663" s="65">
        <v>31000</v>
      </c>
      <c r="K1663" s="65"/>
      <c r="L1663" s="46">
        <f t="shared" si="65"/>
        <v>1985736</v>
      </c>
    </row>
    <row r="1664" spans="2:12" x14ac:dyDescent="0.35">
      <c r="B1664" s="174"/>
      <c r="C1664" s="175"/>
      <c r="D1664" s="176"/>
      <c r="E1664" s="163"/>
      <c r="F1664" s="163" t="s">
        <v>89</v>
      </c>
      <c r="G1664" s="164" t="s">
        <v>927</v>
      </c>
      <c r="H1664" s="177">
        <v>65.94</v>
      </c>
      <c r="I1664" s="163" t="s">
        <v>87</v>
      </c>
      <c r="J1664" s="65">
        <v>31000</v>
      </c>
      <c r="K1664" s="65"/>
      <c r="L1664" s="46">
        <f t="shared" si="65"/>
        <v>2044140</v>
      </c>
    </row>
    <row r="1665" spans="2:15" x14ac:dyDescent="0.35">
      <c r="B1665" s="174"/>
      <c r="C1665" s="175"/>
      <c r="D1665" s="176"/>
      <c r="E1665" s="163"/>
      <c r="F1665" s="163" t="s">
        <v>89</v>
      </c>
      <c r="G1665" s="164" t="s">
        <v>928</v>
      </c>
      <c r="H1665" s="177">
        <v>69.707999999999998</v>
      </c>
      <c r="I1665" s="163" t="s">
        <v>87</v>
      </c>
      <c r="J1665" s="65">
        <v>31000</v>
      </c>
      <c r="K1665" s="65"/>
      <c r="L1665" s="46">
        <f t="shared" si="65"/>
        <v>2160948</v>
      </c>
    </row>
    <row r="1666" spans="2:15" x14ac:dyDescent="0.35">
      <c r="B1666" s="174"/>
      <c r="C1666" s="175"/>
      <c r="D1666" s="176"/>
      <c r="E1666" s="163"/>
      <c r="F1666" s="163" t="s">
        <v>89</v>
      </c>
      <c r="G1666" s="164" t="s">
        <v>929</v>
      </c>
      <c r="H1666" s="177">
        <v>70.178999999999988</v>
      </c>
      <c r="I1666" s="163" t="s">
        <v>87</v>
      </c>
      <c r="J1666" s="65">
        <v>31000</v>
      </c>
      <c r="K1666" s="65"/>
      <c r="L1666" s="46">
        <f t="shared" si="65"/>
        <v>2175548.9999999995</v>
      </c>
    </row>
    <row r="1667" spans="2:15" x14ac:dyDescent="0.35">
      <c r="B1667" s="174"/>
      <c r="C1667" s="175"/>
      <c r="D1667" s="176"/>
      <c r="E1667" s="163"/>
      <c r="F1667" s="163" t="s">
        <v>89</v>
      </c>
      <c r="G1667" s="164" t="s">
        <v>930</v>
      </c>
      <c r="H1667" s="177">
        <v>70.649999999999991</v>
      </c>
      <c r="I1667" s="163" t="s">
        <v>87</v>
      </c>
      <c r="J1667" s="65">
        <v>31000</v>
      </c>
      <c r="K1667" s="65"/>
      <c r="L1667" s="46">
        <f t="shared" si="65"/>
        <v>2190149.9999999995</v>
      </c>
    </row>
    <row r="1668" spans="2:15" x14ac:dyDescent="0.35">
      <c r="B1668" s="174"/>
      <c r="C1668" s="175"/>
      <c r="D1668" s="176"/>
      <c r="E1668" s="163"/>
      <c r="F1668" s="163" t="s">
        <v>89</v>
      </c>
      <c r="G1668" s="164" t="s">
        <v>931</v>
      </c>
      <c r="H1668" s="177">
        <v>75.830999999999989</v>
      </c>
      <c r="I1668" s="163" t="s">
        <v>87</v>
      </c>
      <c r="J1668" s="65">
        <v>31000</v>
      </c>
      <c r="K1668" s="65"/>
      <c r="L1668" s="46">
        <f t="shared" si="65"/>
        <v>2350760.9999999995</v>
      </c>
    </row>
    <row r="1669" spans="2:15" x14ac:dyDescent="0.35">
      <c r="B1669" s="174"/>
      <c r="C1669" s="175"/>
      <c r="D1669" s="176"/>
      <c r="E1669" s="163"/>
      <c r="F1669" s="163" t="s">
        <v>89</v>
      </c>
      <c r="G1669" s="164" t="s">
        <v>932</v>
      </c>
      <c r="H1669" s="177">
        <v>146.01</v>
      </c>
      <c r="I1669" s="163" t="s">
        <v>87</v>
      </c>
      <c r="J1669" s="65">
        <v>31000</v>
      </c>
      <c r="K1669" s="65"/>
      <c r="L1669" s="46">
        <f t="shared" si="65"/>
        <v>4526310</v>
      </c>
    </row>
    <row r="1670" spans="2:15" x14ac:dyDescent="0.35">
      <c r="B1670" s="174"/>
      <c r="C1670" s="175"/>
      <c r="D1670" s="176"/>
      <c r="E1670" s="163"/>
      <c r="F1670" s="163" t="s">
        <v>89</v>
      </c>
      <c r="G1670" s="164" t="s">
        <v>933</v>
      </c>
      <c r="H1670" s="177">
        <v>14.129999999999999</v>
      </c>
      <c r="I1670" s="163" t="s">
        <v>87</v>
      </c>
      <c r="J1670" s="65">
        <v>31000</v>
      </c>
      <c r="K1670" s="65"/>
      <c r="L1670" s="46">
        <f t="shared" si="65"/>
        <v>438029.99999999994</v>
      </c>
    </row>
    <row r="1671" spans="2:15" x14ac:dyDescent="0.35">
      <c r="B1671" s="174"/>
      <c r="C1671" s="175"/>
      <c r="D1671" s="176"/>
      <c r="E1671" s="163"/>
      <c r="F1671" s="163" t="s">
        <v>89</v>
      </c>
      <c r="G1671" s="164" t="s">
        <v>934</v>
      </c>
      <c r="H1671" s="177">
        <v>51.998399999999997</v>
      </c>
      <c r="I1671" s="163" t="s">
        <v>87</v>
      </c>
      <c r="J1671" s="65">
        <v>31000</v>
      </c>
      <c r="K1671" s="65"/>
      <c r="L1671" s="46">
        <f t="shared" si="65"/>
        <v>1611950.4</v>
      </c>
    </row>
    <row r="1672" spans="2:15" x14ac:dyDescent="0.35">
      <c r="B1672" s="174"/>
      <c r="C1672" s="175"/>
      <c r="D1672" s="176"/>
      <c r="E1672" s="163"/>
      <c r="F1672" s="163" t="s">
        <v>89</v>
      </c>
      <c r="G1672" s="164" t="s">
        <v>935</v>
      </c>
      <c r="H1672" s="177">
        <v>76.301999999999992</v>
      </c>
      <c r="I1672" s="163" t="s">
        <v>87</v>
      </c>
      <c r="J1672" s="65">
        <v>31000</v>
      </c>
      <c r="K1672" s="65"/>
      <c r="L1672" s="46">
        <f t="shared" si="65"/>
        <v>2365362</v>
      </c>
    </row>
    <row r="1673" spans="2:15" x14ac:dyDescent="0.35">
      <c r="B1673" s="174"/>
      <c r="C1673" s="175"/>
      <c r="D1673" s="176"/>
      <c r="E1673" s="163"/>
      <c r="F1673" s="163" t="s">
        <v>89</v>
      </c>
      <c r="G1673" s="164" t="s">
        <v>936</v>
      </c>
      <c r="H1673" s="177">
        <v>77.997599999999991</v>
      </c>
      <c r="I1673" s="163" t="s">
        <v>87</v>
      </c>
      <c r="J1673" s="65">
        <v>31000</v>
      </c>
      <c r="K1673" s="65"/>
      <c r="L1673" s="46">
        <f t="shared" si="65"/>
        <v>2417925.5999999996</v>
      </c>
    </row>
    <row r="1674" spans="2:15" x14ac:dyDescent="0.35">
      <c r="B1674" s="174"/>
      <c r="C1674" s="175"/>
      <c r="D1674" s="176"/>
      <c r="E1674" s="163"/>
      <c r="F1674" s="163" t="s">
        <v>89</v>
      </c>
      <c r="G1674" s="164" t="s">
        <v>937</v>
      </c>
      <c r="H1674" s="177">
        <v>9.0432000000000006</v>
      </c>
      <c r="I1674" s="163" t="s">
        <v>87</v>
      </c>
      <c r="J1674" s="65">
        <v>31000</v>
      </c>
      <c r="K1674" s="65"/>
      <c r="L1674" s="46">
        <f t="shared" si="65"/>
        <v>280339.20000000001</v>
      </c>
    </row>
    <row r="1675" spans="2:15" x14ac:dyDescent="0.35">
      <c r="B1675" s="174"/>
      <c r="C1675" s="175"/>
      <c r="D1675" s="176"/>
      <c r="E1675" s="163"/>
      <c r="F1675" s="163" t="s">
        <v>89</v>
      </c>
      <c r="G1675" s="164" t="s">
        <v>938</v>
      </c>
      <c r="H1675" s="177">
        <v>9.7214399999999994</v>
      </c>
      <c r="I1675" s="163" t="s">
        <v>87</v>
      </c>
      <c r="J1675" s="65">
        <v>31000</v>
      </c>
      <c r="K1675" s="65"/>
      <c r="L1675" s="46">
        <f t="shared" si="65"/>
        <v>301364.63999999996</v>
      </c>
      <c r="M1675" s="105"/>
    </row>
    <row r="1676" spans="2:15" x14ac:dyDescent="0.35">
      <c r="B1676" s="174"/>
      <c r="C1676" s="175"/>
      <c r="D1676" s="176"/>
      <c r="E1676" s="163"/>
      <c r="F1676" s="163" t="s">
        <v>89</v>
      </c>
      <c r="G1676" s="164" t="s">
        <v>939</v>
      </c>
      <c r="H1676" s="177">
        <v>10.39968</v>
      </c>
      <c r="I1676" s="163" t="s">
        <v>87</v>
      </c>
      <c r="J1676" s="65">
        <v>31000</v>
      </c>
      <c r="K1676" s="65"/>
      <c r="L1676" s="46">
        <f t="shared" si="65"/>
        <v>322390.08</v>
      </c>
      <c r="M1676" s="105"/>
      <c r="N1676" s="105"/>
      <c r="O1676" s="83"/>
    </row>
    <row r="1677" spans="2:15" x14ac:dyDescent="0.35">
      <c r="B1677" s="174"/>
      <c r="C1677" s="175"/>
      <c r="D1677" s="176"/>
      <c r="E1677" s="163"/>
      <c r="F1677" s="163" t="s">
        <v>89</v>
      </c>
      <c r="G1677" s="164" t="s">
        <v>940</v>
      </c>
      <c r="H1677" s="177">
        <v>13.5648</v>
      </c>
      <c r="I1677" s="163" t="s">
        <v>87</v>
      </c>
      <c r="J1677" s="65">
        <v>31000</v>
      </c>
      <c r="K1677" s="65"/>
      <c r="L1677" s="46">
        <f t="shared" si="65"/>
        <v>420508.8</v>
      </c>
    </row>
    <row r="1678" spans="2:15" x14ac:dyDescent="0.35">
      <c r="B1678" s="174"/>
      <c r="C1678" s="175"/>
      <c r="D1678" s="176"/>
      <c r="E1678" s="163"/>
      <c r="F1678" s="163" t="s">
        <v>89</v>
      </c>
      <c r="G1678" s="164" t="s">
        <v>941</v>
      </c>
      <c r="H1678" s="177">
        <v>15.8256</v>
      </c>
      <c r="I1678" s="163" t="s">
        <v>87</v>
      </c>
      <c r="J1678" s="65">
        <v>31000</v>
      </c>
      <c r="K1678" s="65"/>
      <c r="L1678" s="46">
        <f t="shared" si="65"/>
        <v>490593.6</v>
      </c>
      <c r="M1678" s="105"/>
    </row>
    <row r="1679" spans="2:15" x14ac:dyDescent="0.35">
      <c r="B1679" s="174"/>
      <c r="C1679" s="175"/>
      <c r="D1679" s="176"/>
      <c r="E1679" s="163"/>
      <c r="F1679" s="163"/>
      <c r="G1679" s="164"/>
      <c r="H1679" s="178"/>
      <c r="I1679" s="163"/>
      <c r="J1679" s="29"/>
      <c r="K1679" s="51"/>
      <c r="L1679" s="46"/>
      <c r="M1679" s="68"/>
      <c r="N1679" s="261"/>
    </row>
    <row r="1680" spans="2:15" x14ac:dyDescent="0.35">
      <c r="B1680" s="47"/>
      <c r="C1680" s="48"/>
      <c r="D1680" s="24"/>
      <c r="G1680" s="22"/>
      <c r="I1680" s="22"/>
      <c r="J1680" s="50"/>
      <c r="K1680" s="29"/>
      <c r="L1680" s="52"/>
    </row>
    <row r="1681" spans="2:13" x14ac:dyDescent="0.35">
      <c r="B1681" s="8"/>
      <c r="C1681" s="9"/>
      <c r="D1681" s="10"/>
      <c r="E1681" s="4"/>
      <c r="F1681" s="4"/>
      <c r="G1681" s="4"/>
      <c r="H1681" s="1"/>
      <c r="I1681" s="1"/>
      <c r="J1681" s="11" t="s">
        <v>8</v>
      </c>
      <c r="K1681" s="7">
        <f>SUM(K1628:K1680)</f>
        <v>810324000</v>
      </c>
      <c r="L1681" s="7">
        <f>SUM(L1628:L1680)</f>
        <v>158712937.11999997</v>
      </c>
    </row>
    <row r="1682" spans="2:13" x14ac:dyDescent="0.35">
      <c r="B1682" s="8"/>
      <c r="C1682" s="9"/>
      <c r="D1682" s="9"/>
      <c r="E1682" s="4"/>
      <c r="F1682" s="4"/>
      <c r="G1682" s="4"/>
      <c r="H1682" s="1"/>
      <c r="I1682" s="1"/>
      <c r="J1682" s="11"/>
      <c r="K1682" s="35" t="s">
        <v>22</v>
      </c>
      <c r="L1682" s="36" t="s">
        <v>23</v>
      </c>
    </row>
    <row r="1683" spans="2:13" x14ac:dyDescent="0.35">
      <c r="B1683" s="3" t="s">
        <v>9</v>
      </c>
      <c r="C1683" s="4"/>
      <c r="D1683" s="4"/>
      <c r="E1683" s="4"/>
      <c r="F1683" s="4"/>
      <c r="G1683" s="4"/>
      <c r="H1683" s="1"/>
      <c r="I1683" s="1"/>
      <c r="J1683" s="12"/>
      <c r="K1683" s="12"/>
      <c r="L1683" s="13"/>
    </row>
    <row r="1684" spans="2:13" x14ac:dyDescent="0.35">
      <c r="B1684" s="37"/>
      <c r="C1684" s="1"/>
      <c r="D1684" s="1"/>
      <c r="E1684" s="38"/>
      <c r="F1684" s="38"/>
      <c r="G1684" s="38"/>
      <c r="H1684" s="1"/>
      <c r="I1684" s="1"/>
      <c r="J1684" s="1"/>
      <c r="K1684" s="1"/>
      <c r="L1684" s="19"/>
    </row>
    <row r="1685" spans="2:13" x14ac:dyDescent="0.35">
      <c r="B1685" s="28" t="s">
        <v>6</v>
      </c>
      <c r="C1685" s="27"/>
      <c r="D1685" s="27"/>
      <c r="E1685" s="26"/>
      <c r="F1685" s="26"/>
      <c r="G1685" s="5"/>
      <c r="K1685" s="284" t="s">
        <v>1600</v>
      </c>
      <c r="L1685" s="285"/>
    </row>
    <row r="1686" spans="2:13" x14ac:dyDescent="0.35">
      <c r="B1686" s="28">
        <v>1</v>
      </c>
      <c r="C1686" s="27"/>
      <c r="D1686" s="27"/>
      <c r="E1686" s="26" t="s">
        <v>7</v>
      </c>
      <c r="F1686" s="26"/>
      <c r="G1686" s="5"/>
      <c r="K1686" s="284" t="s">
        <v>28</v>
      </c>
      <c r="L1686" s="285"/>
    </row>
    <row r="1687" spans="2:13" x14ac:dyDescent="0.35">
      <c r="B1687" s="39"/>
      <c r="C1687" s="27"/>
      <c r="D1687" s="27"/>
      <c r="E1687" s="26"/>
      <c r="F1687" s="26"/>
      <c r="G1687" s="5"/>
      <c r="J1687" s="25"/>
      <c r="K1687" s="25"/>
      <c r="L1687" s="24"/>
    </row>
    <row r="1688" spans="2:13" x14ac:dyDescent="0.35">
      <c r="B1688" s="28"/>
      <c r="C1688" s="27"/>
      <c r="D1688" s="27"/>
      <c r="E1688" s="26"/>
      <c r="F1688" s="26"/>
      <c r="G1688" s="5"/>
      <c r="L1688" s="22"/>
    </row>
    <row r="1689" spans="2:13" x14ac:dyDescent="0.35">
      <c r="B1689" s="45"/>
      <c r="E1689" s="5"/>
      <c r="F1689" s="5"/>
      <c r="G1689" s="5"/>
      <c r="L1689" s="22"/>
    </row>
    <row r="1690" spans="2:13" x14ac:dyDescent="0.35">
      <c r="B1690" s="45"/>
      <c r="E1690" s="5"/>
      <c r="F1690" s="5"/>
      <c r="G1690" s="5"/>
      <c r="L1690" s="22"/>
    </row>
    <row r="1691" spans="2:13" x14ac:dyDescent="0.35">
      <c r="B1691" s="45"/>
      <c r="E1691" s="5"/>
      <c r="F1691" s="5"/>
      <c r="G1691" s="5"/>
      <c r="L1691" s="22"/>
    </row>
    <row r="1692" spans="2:13" x14ac:dyDescent="0.35">
      <c r="B1692" s="45"/>
      <c r="E1692" s="5"/>
      <c r="F1692" s="5"/>
      <c r="G1692" s="5"/>
      <c r="J1692" s="40"/>
      <c r="K1692" s="286" t="s">
        <v>36</v>
      </c>
      <c r="L1692" s="287"/>
    </row>
    <row r="1693" spans="2:13" x14ac:dyDescent="0.35">
      <c r="B1693" s="45"/>
      <c r="K1693" s="288" t="s">
        <v>37</v>
      </c>
      <c r="L1693" s="289"/>
    </row>
    <row r="1694" spans="2:13" x14ac:dyDescent="0.35">
      <c r="B1694" s="290"/>
      <c r="C1694" s="291"/>
      <c r="D1694" s="291"/>
      <c r="E1694" s="41"/>
      <c r="F1694" s="41"/>
      <c r="G1694" s="41"/>
      <c r="H1694" s="2"/>
      <c r="I1694" s="2"/>
      <c r="J1694" s="2"/>
      <c r="K1694" s="2"/>
      <c r="L1694" s="21"/>
    </row>
    <row r="1695" spans="2:13" x14ac:dyDescent="0.35">
      <c r="B1695" s="47"/>
      <c r="C1695" s="48"/>
      <c r="D1695" s="49"/>
      <c r="G1695" s="22"/>
      <c r="H1695" s="1"/>
      <c r="I1695" s="1"/>
      <c r="J1695" s="43"/>
      <c r="K1695" s="30"/>
      <c r="L1695" s="44"/>
    </row>
    <row r="1696" spans="2:13" x14ac:dyDescent="0.35">
      <c r="B1696" s="174"/>
      <c r="C1696" s="175"/>
      <c r="D1696" s="176"/>
      <c r="E1696" s="163"/>
      <c r="F1696" s="163" t="s">
        <v>89</v>
      </c>
      <c r="G1696" s="164" t="s">
        <v>942</v>
      </c>
      <c r="H1696" s="177">
        <v>16.277760000000001</v>
      </c>
      <c r="I1696" s="163" t="s">
        <v>87</v>
      </c>
      <c r="J1696" s="65">
        <v>31000</v>
      </c>
      <c r="K1696" s="65"/>
      <c r="L1696" s="46">
        <f t="shared" ref="L1696:L1709" si="66">J1696*H1696</f>
        <v>504610.56</v>
      </c>
      <c r="M1696" s="105"/>
    </row>
    <row r="1697" spans="2:15" x14ac:dyDescent="0.35">
      <c r="B1697" s="174"/>
      <c r="C1697" s="175"/>
      <c r="D1697" s="176"/>
      <c r="E1697" s="163"/>
      <c r="F1697" s="163" t="s">
        <v>89</v>
      </c>
      <c r="G1697" s="164" t="s">
        <v>943</v>
      </c>
      <c r="H1697" s="177">
        <v>16.72992</v>
      </c>
      <c r="I1697" s="163" t="s">
        <v>87</v>
      </c>
      <c r="J1697" s="65">
        <v>31000</v>
      </c>
      <c r="K1697" s="65"/>
      <c r="L1697" s="46">
        <f t="shared" si="66"/>
        <v>518627.52</v>
      </c>
      <c r="M1697" s="105"/>
    </row>
    <row r="1698" spans="2:15" x14ac:dyDescent="0.35">
      <c r="B1698" s="174"/>
      <c r="C1698" s="175"/>
      <c r="D1698" s="176"/>
      <c r="E1698" s="163"/>
      <c r="F1698" s="163" t="s">
        <v>89</v>
      </c>
      <c r="G1698" s="164" t="s">
        <v>944</v>
      </c>
      <c r="H1698" s="177">
        <v>22.608000000000001</v>
      </c>
      <c r="I1698" s="163" t="s">
        <v>87</v>
      </c>
      <c r="J1698" s="65">
        <v>31000</v>
      </c>
      <c r="K1698" s="65"/>
      <c r="L1698" s="46">
        <f t="shared" si="66"/>
        <v>700848</v>
      </c>
      <c r="M1698" s="105"/>
      <c r="N1698" s="105"/>
      <c r="O1698" s="83"/>
    </row>
    <row r="1699" spans="2:15" x14ac:dyDescent="0.35">
      <c r="B1699" s="174"/>
      <c r="C1699" s="175"/>
      <c r="D1699" s="176"/>
      <c r="E1699" s="163"/>
      <c r="F1699" s="163" t="s">
        <v>89</v>
      </c>
      <c r="G1699" s="164" t="s">
        <v>945</v>
      </c>
      <c r="H1699" s="177">
        <v>11.869199999999999</v>
      </c>
      <c r="I1699" s="163" t="s">
        <v>87</v>
      </c>
      <c r="J1699" s="65">
        <v>31000</v>
      </c>
      <c r="K1699" s="65"/>
      <c r="L1699" s="46">
        <f t="shared" si="66"/>
        <v>367945.19999999995</v>
      </c>
    </row>
    <row r="1700" spans="2:15" x14ac:dyDescent="0.35">
      <c r="B1700" s="174"/>
      <c r="C1700" s="175"/>
      <c r="D1700" s="176"/>
      <c r="E1700" s="163"/>
      <c r="F1700" s="163" t="s">
        <v>89</v>
      </c>
      <c r="G1700" s="164" t="s">
        <v>946</v>
      </c>
      <c r="H1700" s="177">
        <v>2.9390399999999999</v>
      </c>
      <c r="I1700" s="163" t="s">
        <v>87</v>
      </c>
      <c r="J1700" s="65">
        <v>31000</v>
      </c>
      <c r="K1700" s="65"/>
      <c r="L1700" s="46">
        <f t="shared" si="66"/>
        <v>91110.239999999991</v>
      </c>
    </row>
    <row r="1701" spans="2:15" x14ac:dyDescent="0.35">
      <c r="B1701" s="174"/>
      <c r="C1701" s="175"/>
      <c r="D1701" s="176"/>
      <c r="E1701" s="163"/>
      <c r="F1701" s="163" t="s">
        <v>89</v>
      </c>
      <c r="G1701" s="164" t="s">
        <v>947</v>
      </c>
      <c r="H1701" s="177">
        <v>5.8780799999999997</v>
      </c>
      <c r="I1701" s="163" t="s">
        <v>87</v>
      </c>
      <c r="J1701" s="65">
        <v>31000</v>
      </c>
      <c r="K1701" s="65"/>
      <c r="L1701" s="46">
        <f t="shared" si="66"/>
        <v>182220.47999999998</v>
      </c>
    </row>
    <row r="1702" spans="2:15" x14ac:dyDescent="0.35">
      <c r="B1702" s="174"/>
      <c r="C1702" s="175"/>
      <c r="D1702" s="176"/>
      <c r="E1702" s="163"/>
      <c r="F1702" s="163" t="s">
        <v>89</v>
      </c>
      <c r="G1702" s="164" t="s">
        <v>948</v>
      </c>
      <c r="H1702" s="177">
        <v>83.084399999999988</v>
      </c>
      <c r="I1702" s="163" t="s">
        <v>87</v>
      </c>
      <c r="J1702" s="65">
        <v>31000</v>
      </c>
      <c r="K1702" s="65"/>
      <c r="L1702" s="46">
        <f t="shared" si="66"/>
        <v>2575616.3999999994</v>
      </c>
    </row>
    <row r="1703" spans="2:15" x14ac:dyDescent="0.35">
      <c r="B1703" s="174"/>
      <c r="C1703" s="175"/>
      <c r="D1703" s="176"/>
      <c r="E1703" s="163"/>
      <c r="F1703" s="163" t="s">
        <v>89</v>
      </c>
      <c r="G1703" s="164" t="s">
        <v>949</v>
      </c>
      <c r="H1703" s="177">
        <v>359.46719999999993</v>
      </c>
      <c r="I1703" s="163" t="s">
        <v>87</v>
      </c>
      <c r="J1703" s="65">
        <v>31000</v>
      </c>
      <c r="K1703" s="65"/>
      <c r="L1703" s="46">
        <f t="shared" si="66"/>
        <v>11143483.199999997</v>
      </c>
    </row>
    <row r="1704" spans="2:15" x14ac:dyDescent="0.35">
      <c r="B1704" s="174"/>
      <c r="C1704" s="175"/>
      <c r="D1704" s="176"/>
      <c r="E1704" s="163"/>
      <c r="F1704" s="163" t="s">
        <v>89</v>
      </c>
      <c r="G1704" s="164" t="s">
        <v>950</v>
      </c>
      <c r="H1704" s="177">
        <v>29.277359999999998</v>
      </c>
      <c r="I1704" s="163" t="s">
        <v>87</v>
      </c>
      <c r="J1704" s="65">
        <v>31000</v>
      </c>
      <c r="K1704" s="65"/>
      <c r="L1704" s="46">
        <f t="shared" si="66"/>
        <v>907598.15999999992</v>
      </c>
    </row>
    <row r="1705" spans="2:15" x14ac:dyDescent="0.35">
      <c r="B1705" s="174"/>
      <c r="C1705" s="175"/>
      <c r="D1705" s="176"/>
      <c r="E1705" s="163"/>
      <c r="F1705" s="163" t="s">
        <v>89</v>
      </c>
      <c r="G1705" s="164" t="s">
        <v>951</v>
      </c>
      <c r="H1705" s="177">
        <v>93.257999999999981</v>
      </c>
      <c r="I1705" s="163" t="s">
        <v>87</v>
      </c>
      <c r="J1705" s="65">
        <v>31000</v>
      </c>
      <c r="K1705" s="65"/>
      <c r="L1705" s="46">
        <f t="shared" si="66"/>
        <v>2890997.9999999995</v>
      </c>
    </row>
    <row r="1706" spans="2:15" x14ac:dyDescent="0.35">
      <c r="B1706" s="174"/>
      <c r="C1706" s="175"/>
      <c r="D1706" s="176"/>
      <c r="E1706" s="163"/>
      <c r="F1706" s="163" t="s">
        <v>89</v>
      </c>
      <c r="G1706" s="164" t="s">
        <v>952</v>
      </c>
      <c r="H1706" s="177">
        <v>21.873239999999996</v>
      </c>
      <c r="I1706" s="163" t="s">
        <v>87</v>
      </c>
      <c r="J1706" s="65">
        <v>31000</v>
      </c>
      <c r="K1706" s="65"/>
      <c r="L1706" s="46">
        <f t="shared" si="66"/>
        <v>678070.43999999983</v>
      </c>
    </row>
    <row r="1707" spans="2:15" x14ac:dyDescent="0.35">
      <c r="B1707" s="174"/>
      <c r="C1707" s="175"/>
      <c r="D1707" s="176"/>
      <c r="E1707" s="163"/>
      <c r="F1707" s="163" t="s">
        <v>89</v>
      </c>
      <c r="G1707" s="164" t="s">
        <v>953</v>
      </c>
      <c r="H1707" s="177">
        <v>28.259999999999998</v>
      </c>
      <c r="I1707" s="163" t="s">
        <v>87</v>
      </c>
      <c r="J1707" s="65">
        <v>31000</v>
      </c>
      <c r="K1707" s="65"/>
      <c r="L1707" s="46">
        <f t="shared" si="66"/>
        <v>876059.99999999988</v>
      </c>
    </row>
    <row r="1708" spans="2:15" x14ac:dyDescent="0.35">
      <c r="B1708" s="174"/>
      <c r="C1708" s="175"/>
      <c r="D1708" s="176"/>
      <c r="E1708" s="163"/>
      <c r="F1708" s="163" t="s">
        <v>89</v>
      </c>
      <c r="G1708" s="164" t="s">
        <v>255</v>
      </c>
      <c r="H1708" s="177">
        <v>21.703680000000002</v>
      </c>
      <c r="I1708" s="163" t="s">
        <v>87</v>
      </c>
      <c r="J1708" s="65">
        <v>31000</v>
      </c>
      <c r="K1708" s="65"/>
      <c r="L1708" s="46">
        <f t="shared" si="66"/>
        <v>672814.08000000007</v>
      </c>
    </row>
    <row r="1709" spans="2:15" x14ac:dyDescent="0.35">
      <c r="B1709" s="174"/>
      <c r="C1709" s="175"/>
      <c r="D1709" s="176"/>
      <c r="E1709" s="163"/>
      <c r="F1709" s="163" t="s">
        <v>89</v>
      </c>
      <c r="G1709" s="164" t="s">
        <v>954</v>
      </c>
      <c r="H1709" s="177">
        <v>25.905000000000001</v>
      </c>
      <c r="I1709" s="163" t="s">
        <v>87</v>
      </c>
      <c r="J1709" s="65">
        <v>31000</v>
      </c>
      <c r="K1709" s="65"/>
      <c r="L1709" s="46">
        <f t="shared" si="66"/>
        <v>803055</v>
      </c>
    </row>
    <row r="1710" spans="2:15" x14ac:dyDescent="0.35">
      <c r="B1710" s="174"/>
      <c r="C1710" s="175"/>
      <c r="D1710" s="176" t="s">
        <v>47</v>
      </c>
      <c r="E1710" s="163"/>
      <c r="F1710" s="163" t="s">
        <v>955</v>
      </c>
      <c r="G1710" s="164"/>
      <c r="H1710" s="177"/>
      <c r="I1710" s="163"/>
      <c r="J1710" s="50"/>
      <c r="K1710" s="29"/>
      <c r="L1710" s="52"/>
    </row>
    <row r="1711" spans="2:15" x14ac:dyDescent="0.35">
      <c r="B1711" s="174"/>
      <c r="C1711" s="175"/>
      <c r="D1711" s="176"/>
      <c r="E1711" s="163"/>
      <c r="F1711" s="163" t="s">
        <v>89</v>
      </c>
      <c r="G1711" s="164" t="s">
        <v>956</v>
      </c>
      <c r="H1711" s="177">
        <v>296.16479999999996</v>
      </c>
      <c r="I1711" s="163" t="s">
        <v>87</v>
      </c>
      <c r="J1711" s="65">
        <v>31000</v>
      </c>
      <c r="K1711" s="65"/>
      <c r="L1711" s="46">
        <f t="shared" ref="L1711:L1745" si="67">J1711*H1711</f>
        <v>9181108.7999999989</v>
      </c>
    </row>
    <row r="1712" spans="2:15" x14ac:dyDescent="0.35">
      <c r="B1712" s="174"/>
      <c r="C1712" s="175"/>
      <c r="D1712" s="176"/>
      <c r="E1712" s="163"/>
      <c r="F1712" s="163" t="s">
        <v>89</v>
      </c>
      <c r="G1712" s="164" t="s">
        <v>957</v>
      </c>
      <c r="H1712" s="177">
        <v>303.51239999999996</v>
      </c>
      <c r="I1712" s="163" t="s">
        <v>87</v>
      </c>
      <c r="J1712" s="65">
        <v>31000</v>
      </c>
      <c r="K1712" s="65"/>
      <c r="L1712" s="46">
        <f t="shared" si="67"/>
        <v>9408884.3999999985</v>
      </c>
    </row>
    <row r="1713" spans="2:12" x14ac:dyDescent="0.35">
      <c r="B1713" s="174"/>
      <c r="C1713" s="175"/>
      <c r="D1713" s="176"/>
      <c r="E1713" s="163"/>
      <c r="F1713" s="163" t="s">
        <v>89</v>
      </c>
      <c r="G1713" s="164" t="s">
        <v>958</v>
      </c>
      <c r="H1713" s="177">
        <v>100.15344</v>
      </c>
      <c r="I1713" s="163" t="s">
        <v>87</v>
      </c>
      <c r="J1713" s="65">
        <v>31000</v>
      </c>
      <c r="K1713" s="65"/>
      <c r="L1713" s="46">
        <f t="shared" si="67"/>
        <v>3104756.64</v>
      </c>
    </row>
    <row r="1714" spans="2:12" x14ac:dyDescent="0.35">
      <c r="B1714" s="174"/>
      <c r="C1714" s="175"/>
      <c r="D1714" s="176"/>
      <c r="E1714" s="163"/>
      <c r="F1714" s="163" t="s">
        <v>89</v>
      </c>
      <c r="G1714" s="164" t="s">
        <v>959</v>
      </c>
      <c r="H1714" s="177">
        <v>131.35247999999999</v>
      </c>
      <c r="I1714" s="163" t="s">
        <v>87</v>
      </c>
      <c r="J1714" s="65">
        <v>31000</v>
      </c>
      <c r="K1714" s="65"/>
      <c r="L1714" s="46">
        <f t="shared" si="67"/>
        <v>4071926.8799999994</v>
      </c>
    </row>
    <row r="1715" spans="2:12" x14ac:dyDescent="0.35">
      <c r="B1715" s="174"/>
      <c r="C1715" s="175"/>
      <c r="D1715" s="176"/>
      <c r="E1715" s="163"/>
      <c r="F1715" s="163" t="s">
        <v>89</v>
      </c>
      <c r="G1715" s="164" t="s">
        <v>960</v>
      </c>
      <c r="H1715" s="177">
        <v>167.75136000000001</v>
      </c>
      <c r="I1715" s="163" t="s">
        <v>87</v>
      </c>
      <c r="J1715" s="65">
        <v>31000</v>
      </c>
      <c r="K1715" s="65"/>
      <c r="L1715" s="46">
        <f t="shared" si="67"/>
        <v>5200292.16</v>
      </c>
    </row>
    <row r="1716" spans="2:12" x14ac:dyDescent="0.35">
      <c r="B1716" s="174"/>
      <c r="C1716" s="175"/>
      <c r="D1716" s="176"/>
      <c r="E1716" s="163"/>
      <c r="F1716" s="163" t="s">
        <v>89</v>
      </c>
      <c r="G1716" s="164" t="s">
        <v>961</v>
      </c>
      <c r="H1716" s="177">
        <v>172.72512</v>
      </c>
      <c r="I1716" s="163" t="s">
        <v>87</v>
      </c>
      <c r="J1716" s="65">
        <v>31000</v>
      </c>
      <c r="K1716" s="65"/>
      <c r="L1716" s="46">
        <f t="shared" si="67"/>
        <v>5354478.72</v>
      </c>
    </row>
    <row r="1717" spans="2:12" x14ac:dyDescent="0.35">
      <c r="B1717" s="174"/>
      <c r="C1717" s="175"/>
      <c r="D1717" s="176"/>
      <c r="E1717" s="163"/>
      <c r="F1717" s="163" t="s">
        <v>89</v>
      </c>
      <c r="G1717" s="164" t="s">
        <v>962</v>
      </c>
      <c r="H1717" s="177">
        <v>234.21887999999998</v>
      </c>
      <c r="I1717" s="163" t="s">
        <v>87</v>
      </c>
      <c r="J1717" s="65">
        <v>31000</v>
      </c>
      <c r="K1717" s="65"/>
      <c r="L1717" s="46">
        <f t="shared" si="67"/>
        <v>7260785.2799999993</v>
      </c>
    </row>
    <row r="1718" spans="2:12" x14ac:dyDescent="0.35">
      <c r="B1718" s="174"/>
      <c r="C1718" s="175"/>
      <c r="D1718" s="176"/>
      <c r="E1718" s="163"/>
      <c r="F1718" s="163" t="s">
        <v>89</v>
      </c>
      <c r="G1718" s="164" t="s">
        <v>963</v>
      </c>
      <c r="H1718" s="177">
        <v>838.7568</v>
      </c>
      <c r="I1718" s="163" t="s">
        <v>87</v>
      </c>
      <c r="J1718" s="65">
        <v>31000</v>
      </c>
      <c r="K1718" s="65"/>
      <c r="L1718" s="46">
        <f t="shared" si="67"/>
        <v>26001460.800000001</v>
      </c>
    </row>
    <row r="1719" spans="2:12" x14ac:dyDescent="0.35">
      <c r="B1719" s="174"/>
      <c r="C1719" s="175"/>
      <c r="D1719" s="176"/>
      <c r="E1719" s="163"/>
      <c r="F1719" s="163" t="s">
        <v>89</v>
      </c>
      <c r="G1719" s="164" t="s">
        <v>964</v>
      </c>
      <c r="H1719" s="177">
        <v>49.172399999999996</v>
      </c>
      <c r="I1719" s="163" t="s">
        <v>87</v>
      </c>
      <c r="J1719" s="65">
        <v>31000</v>
      </c>
      <c r="K1719" s="65"/>
      <c r="L1719" s="46">
        <f t="shared" si="67"/>
        <v>1524344.4</v>
      </c>
    </row>
    <row r="1720" spans="2:12" x14ac:dyDescent="0.35">
      <c r="B1720" s="174"/>
      <c r="C1720" s="175"/>
      <c r="D1720" s="176"/>
      <c r="E1720" s="163"/>
      <c r="F1720" s="163" t="s">
        <v>89</v>
      </c>
      <c r="G1720" s="164" t="s">
        <v>965</v>
      </c>
      <c r="H1720" s="177">
        <v>90.431999999999988</v>
      </c>
      <c r="I1720" s="163" t="s">
        <v>87</v>
      </c>
      <c r="J1720" s="65">
        <v>31000</v>
      </c>
      <c r="K1720" s="65"/>
      <c r="L1720" s="46">
        <f t="shared" si="67"/>
        <v>2803391.9999999995</v>
      </c>
    </row>
    <row r="1721" spans="2:12" x14ac:dyDescent="0.35">
      <c r="B1721" s="174"/>
      <c r="C1721" s="175"/>
      <c r="D1721" s="176"/>
      <c r="E1721" s="163"/>
      <c r="F1721" s="163" t="s">
        <v>89</v>
      </c>
      <c r="G1721" s="164" t="s">
        <v>966</v>
      </c>
      <c r="H1721" s="177">
        <v>241.90559999999996</v>
      </c>
      <c r="I1721" s="163" t="s">
        <v>87</v>
      </c>
      <c r="J1721" s="65">
        <v>31000</v>
      </c>
      <c r="K1721" s="65"/>
      <c r="L1721" s="46">
        <f t="shared" si="67"/>
        <v>7499073.5999999987</v>
      </c>
    </row>
    <row r="1722" spans="2:12" x14ac:dyDescent="0.35">
      <c r="B1722" s="174"/>
      <c r="C1722" s="175"/>
      <c r="D1722" s="176"/>
      <c r="E1722" s="163"/>
      <c r="F1722" s="163" t="s">
        <v>89</v>
      </c>
      <c r="G1722" s="164" t="s">
        <v>967</v>
      </c>
      <c r="H1722" s="177">
        <v>306.33839999999998</v>
      </c>
      <c r="I1722" s="163" t="s">
        <v>87</v>
      </c>
      <c r="J1722" s="65">
        <v>31000</v>
      </c>
      <c r="K1722" s="65"/>
      <c r="L1722" s="46">
        <f t="shared" si="67"/>
        <v>9496490.3999999985</v>
      </c>
    </row>
    <row r="1723" spans="2:12" x14ac:dyDescent="0.35">
      <c r="B1723" s="174"/>
      <c r="C1723" s="175"/>
      <c r="D1723" s="176"/>
      <c r="E1723" s="163"/>
      <c r="F1723" s="163" t="s">
        <v>89</v>
      </c>
      <c r="G1723" s="164" t="s">
        <v>968</v>
      </c>
      <c r="H1723" s="177">
        <v>460.07279999999997</v>
      </c>
      <c r="I1723" s="163" t="s">
        <v>87</v>
      </c>
      <c r="J1723" s="65">
        <v>31000</v>
      </c>
      <c r="K1723" s="65"/>
      <c r="L1723" s="46">
        <f t="shared" si="67"/>
        <v>14262256.799999999</v>
      </c>
    </row>
    <row r="1724" spans="2:12" x14ac:dyDescent="0.35">
      <c r="B1724" s="174"/>
      <c r="C1724" s="175"/>
      <c r="D1724" s="176"/>
      <c r="E1724" s="163"/>
      <c r="F1724" s="163" t="s">
        <v>89</v>
      </c>
      <c r="G1724" s="164" t="s">
        <v>969</v>
      </c>
      <c r="H1724" s="177">
        <v>78.562799999999996</v>
      </c>
      <c r="I1724" s="163" t="s">
        <v>87</v>
      </c>
      <c r="J1724" s="65">
        <v>31000</v>
      </c>
      <c r="K1724" s="65"/>
      <c r="L1724" s="46">
        <f t="shared" si="67"/>
        <v>2435446.7999999998</v>
      </c>
    </row>
    <row r="1725" spans="2:12" x14ac:dyDescent="0.35">
      <c r="B1725" s="174"/>
      <c r="C1725" s="175"/>
      <c r="D1725" s="176"/>
      <c r="E1725" s="163"/>
      <c r="F1725" s="163" t="s">
        <v>89</v>
      </c>
      <c r="G1725" s="164" t="s">
        <v>970</v>
      </c>
      <c r="H1725" s="177">
        <v>79.128</v>
      </c>
      <c r="I1725" s="163" t="s">
        <v>87</v>
      </c>
      <c r="J1725" s="65">
        <v>31000</v>
      </c>
      <c r="K1725" s="65"/>
      <c r="L1725" s="46">
        <f t="shared" si="67"/>
        <v>2452968</v>
      </c>
    </row>
    <row r="1726" spans="2:12" x14ac:dyDescent="0.35">
      <c r="B1726" s="174"/>
      <c r="C1726" s="175"/>
      <c r="D1726" s="176"/>
      <c r="E1726" s="163"/>
      <c r="F1726" s="163" t="s">
        <v>89</v>
      </c>
      <c r="G1726" s="164" t="s">
        <v>971</v>
      </c>
      <c r="H1726" s="177">
        <v>18.84</v>
      </c>
      <c r="I1726" s="163" t="s">
        <v>87</v>
      </c>
      <c r="J1726" s="65">
        <v>31000</v>
      </c>
      <c r="K1726" s="65"/>
      <c r="L1726" s="46">
        <f t="shared" si="67"/>
        <v>584040</v>
      </c>
    </row>
    <row r="1727" spans="2:12" x14ac:dyDescent="0.35">
      <c r="B1727" s="174"/>
      <c r="C1727" s="175"/>
      <c r="D1727" s="176"/>
      <c r="E1727" s="163"/>
      <c r="F1727" s="163" t="s">
        <v>89</v>
      </c>
      <c r="G1727" s="164" t="s">
        <v>972</v>
      </c>
      <c r="H1727" s="177">
        <v>23.549999999999997</v>
      </c>
      <c r="I1727" s="163" t="s">
        <v>87</v>
      </c>
      <c r="J1727" s="65">
        <v>31000</v>
      </c>
      <c r="K1727" s="65"/>
      <c r="L1727" s="46">
        <f t="shared" si="67"/>
        <v>730049.99999999988</v>
      </c>
    </row>
    <row r="1728" spans="2:12" x14ac:dyDescent="0.35">
      <c r="B1728" s="174"/>
      <c r="C1728" s="175"/>
      <c r="D1728" s="176"/>
      <c r="E1728" s="163"/>
      <c r="F1728" s="163" t="s">
        <v>89</v>
      </c>
      <c r="G1728" s="164" t="s">
        <v>973</v>
      </c>
      <c r="H1728" s="177">
        <v>25.433999999999997</v>
      </c>
      <c r="I1728" s="163" t="s">
        <v>87</v>
      </c>
      <c r="J1728" s="65">
        <v>31000</v>
      </c>
      <c r="K1728" s="65"/>
      <c r="L1728" s="46">
        <f t="shared" si="67"/>
        <v>788453.99999999988</v>
      </c>
    </row>
    <row r="1729" spans="2:12" x14ac:dyDescent="0.35">
      <c r="B1729" s="174"/>
      <c r="C1729" s="175"/>
      <c r="D1729" s="176"/>
      <c r="E1729" s="163"/>
      <c r="F1729" s="163" t="s">
        <v>89</v>
      </c>
      <c r="G1729" s="164" t="s">
        <v>974</v>
      </c>
      <c r="H1729" s="177">
        <v>32.97</v>
      </c>
      <c r="I1729" s="163" t="s">
        <v>87</v>
      </c>
      <c r="J1729" s="65">
        <v>31000</v>
      </c>
      <c r="K1729" s="65"/>
      <c r="L1729" s="46">
        <f t="shared" si="67"/>
        <v>1022070</v>
      </c>
    </row>
    <row r="1730" spans="2:12" x14ac:dyDescent="0.35">
      <c r="B1730" s="174"/>
      <c r="C1730" s="175"/>
      <c r="D1730" s="176"/>
      <c r="E1730" s="163"/>
      <c r="F1730" s="163" t="s">
        <v>89</v>
      </c>
      <c r="G1730" s="164" t="s">
        <v>975</v>
      </c>
      <c r="H1730" s="177">
        <v>35.795999999999999</v>
      </c>
      <c r="I1730" s="163" t="s">
        <v>87</v>
      </c>
      <c r="J1730" s="65">
        <v>31000</v>
      </c>
      <c r="K1730" s="65"/>
      <c r="L1730" s="46">
        <f t="shared" si="67"/>
        <v>1109676</v>
      </c>
    </row>
    <row r="1731" spans="2:12" x14ac:dyDescent="0.35">
      <c r="B1731" s="174"/>
      <c r="C1731" s="175"/>
      <c r="D1731" s="176"/>
      <c r="E1731" s="163"/>
      <c r="F1731" s="163" t="s">
        <v>89</v>
      </c>
      <c r="G1731" s="164" t="s">
        <v>976</v>
      </c>
      <c r="H1731" s="177">
        <v>56.519999999999996</v>
      </c>
      <c r="I1731" s="163" t="s">
        <v>87</v>
      </c>
      <c r="J1731" s="65">
        <v>31000</v>
      </c>
      <c r="K1731" s="65"/>
      <c r="L1731" s="46">
        <f t="shared" si="67"/>
        <v>1752119.9999999998</v>
      </c>
    </row>
    <row r="1732" spans="2:12" x14ac:dyDescent="0.35">
      <c r="B1732" s="174"/>
      <c r="C1732" s="175"/>
      <c r="D1732" s="176"/>
      <c r="E1732" s="163"/>
      <c r="F1732" s="163" t="s">
        <v>89</v>
      </c>
      <c r="G1732" s="164" t="s">
        <v>977</v>
      </c>
      <c r="H1732" s="177">
        <v>17.898</v>
      </c>
      <c r="I1732" s="163" t="s">
        <v>87</v>
      </c>
      <c r="J1732" s="65">
        <v>31000</v>
      </c>
      <c r="K1732" s="65"/>
      <c r="L1732" s="46">
        <f t="shared" si="67"/>
        <v>554838</v>
      </c>
    </row>
    <row r="1733" spans="2:12" x14ac:dyDescent="0.35">
      <c r="B1733" s="174"/>
      <c r="C1733" s="175"/>
      <c r="D1733" s="176"/>
      <c r="E1733" s="163"/>
      <c r="F1733" s="163" t="s">
        <v>89</v>
      </c>
      <c r="G1733" s="164" t="s">
        <v>978</v>
      </c>
      <c r="H1733" s="177">
        <v>53.693999999999996</v>
      </c>
      <c r="I1733" s="163" t="s">
        <v>87</v>
      </c>
      <c r="J1733" s="65">
        <v>31000</v>
      </c>
      <c r="K1733" s="65"/>
      <c r="L1733" s="46">
        <f t="shared" si="67"/>
        <v>1664513.9999999998</v>
      </c>
    </row>
    <row r="1734" spans="2:12" x14ac:dyDescent="0.35">
      <c r="B1734" s="174"/>
      <c r="C1734" s="175"/>
      <c r="D1734" s="176"/>
      <c r="E1734" s="163"/>
      <c r="F1734" s="163" t="s">
        <v>89</v>
      </c>
      <c r="G1734" s="164" t="s">
        <v>939</v>
      </c>
      <c r="H1734" s="177">
        <v>10.39968</v>
      </c>
      <c r="I1734" s="163" t="s">
        <v>87</v>
      </c>
      <c r="J1734" s="65">
        <v>31000</v>
      </c>
      <c r="K1734" s="65"/>
      <c r="L1734" s="46">
        <f t="shared" si="67"/>
        <v>322390.08</v>
      </c>
    </row>
    <row r="1735" spans="2:12" x14ac:dyDescent="0.35">
      <c r="B1735" s="174"/>
      <c r="C1735" s="175"/>
      <c r="D1735" s="176"/>
      <c r="E1735" s="163"/>
      <c r="F1735" s="163" t="s">
        <v>89</v>
      </c>
      <c r="G1735" s="164" t="s">
        <v>941</v>
      </c>
      <c r="H1735" s="177">
        <v>15.8256</v>
      </c>
      <c r="I1735" s="163" t="s">
        <v>87</v>
      </c>
      <c r="J1735" s="65">
        <v>31000</v>
      </c>
      <c r="K1735" s="65"/>
      <c r="L1735" s="46">
        <f t="shared" si="67"/>
        <v>490593.6</v>
      </c>
    </row>
    <row r="1736" spans="2:12" x14ac:dyDescent="0.35">
      <c r="B1736" s="174"/>
      <c r="C1736" s="175"/>
      <c r="D1736" s="176"/>
      <c r="E1736" s="163"/>
      <c r="F1736" s="163" t="s">
        <v>89</v>
      </c>
      <c r="G1736" s="164" t="s">
        <v>979</v>
      </c>
      <c r="H1736" s="177">
        <v>17.408159999999999</v>
      </c>
      <c r="I1736" s="163" t="s">
        <v>87</v>
      </c>
      <c r="J1736" s="65">
        <v>31000</v>
      </c>
      <c r="K1736" s="65"/>
      <c r="L1736" s="46">
        <f t="shared" si="67"/>
        <v>539652.96</v>
      </c>
    </row>
    <row r="1737" spans="2:12" x14ac:dyDescent="0.35">
      <c r="B1737" s="174"/>
      <c r="C1737" s="175"/>
      <c r="D1737" s="176"/>
      <c r="E1737" s="163"/>
      <c r="F1737" s="163" t="s">
        <v>89</v>
      </c>
      <c r="G1737" s="164" t="s">
        <v>980</v>
      </c>
      <c r="H1737" s="177">
        <v>23.512319999999999</v>
      </c>
      <c r="I1737" s="163" t="s">
        <v>87</v>
      </c>
      <c r="J1737" s="65">
        <v>31000</v>
      </c>
      <c r="K1737" s="65"/>
      <c r="L1737" s="46">
        <f t="shared" si="67"/>
        <v>728881.91999999993</v>
      </c>
    </row>
    <row r="1738" spans="2:12" x14ac:dyDescent="0.35">
      <c r="B1738" s="174"/>
      <c r="C1738" s="175"/>
      <c r="D1738" s="176"/>
      <c r="E1738" s="163"/>
      <c r="F1738" s="163" t="s">
        <v>89</v>
      </c>
      <c r="G1738" s="164" t="s">
        <v>981</v>
      </c>
      <c r="H1738" s="177">
        <v>134.62310399999998</v>
      </c>
      <c r="I1738" s="163" t="s">
        <v>87</v>
      </c>
      <c r="J1738" s="65">
        <v>31000</v>
      </c>
      <c r="K1738" s="65"/>
      <c r="L1738" s="46">
        <f t="shared" si="67"/>
        <v>4173316.2239999995</v>
      </c>
    </row>
    <row r="1739" spans="2:12" x14ac:dyDescent="0.35">
      <c r="B1739" s="174"/>
      <c r="C1739" s="175"/>
      <c r="D1739" s="176"/>
      <c r="E1739" s="163"/>
      <c r="F1739" s="163" t="s">
        <v>89</v>
      </c>
      <c r="G1739" s="164" t="s">
        <v>982</v>
      </c>
      <c r="H1739" s="177">
        <v>305.20799999999997</v>
      </c>
      <c r="I1739" s="163" t="s">
        <v>87</v>
      </c>
      <c r="J1739" s="65">
        <v>31000</v>
      </c>
      <c r="K1739" s="65"/>
      <c r="L1739" s="46">
        <f t="shared" si="67"/>
        <v>9461448</v>
      </c>
    </row>
    <row r="1740" spans="2:12" x14ac:dyDescent="0.35">
      <c r="B1740" s="174"/>
      <c r="C1740" s="175"/>
      <c r="D1740" s="176"/>
      <c r="E1740" s="163"/>
      <c r="F1740" s="163" t="s">
        <v>89</v>
      </c>
      <c r="G1740" s="164" t="s">
        <v>983</v>
      </c>
      <c r="H1740" s="177">
        <v>16.956</v>
      </c>
      <c r="I1740" s="163" t="s">
        <v>87</v>
      </c>
      <c r="J1740" s="65">
        <v>31000</v>
      </c>
      <c r="K1740" s="65"/>
      <c r="L1740" s="46">
        <f t="shared" si="67"/>
        <v>525636</v>
      </c>
    </row>
    <row r="1741" spans="2:12" x14ac:dyDescent="0.35">
      <c r="B1741" s="174"/>
      <c r="C1741" s="175"/>
      <c r="D1741" s="176"/>
      <c r="E1741" s="163"/>
      <c r="F1741" s="163" t="s">
        <v>89</v>
      </c>
      <c r="G1741" s="164" t="s">
        <v>984</v>
      </c>
      <c r="H1741" s="177">
        <v>31.651199999999999</v>
      </c>
      <c r="I1741" s="163" t="s">
        <v>87</v>
      </c>
      <c r="J1741" s="65">
        <v>31000</v>
      </c>
      <c r="K1741" s="65"/>
      <c r="L1741" s="46">
        <f t="shared" si="67"/>
        <v>981187.2</v>
      </c>
    </row>
    <row r="1742" spans="2:12" x14ac:dyDescent="0.35">
      <c r="B1742" s="174"/>
      <c r="C1742" s="175"/>
      <c r="D1742" s="176"/>
      <c r="E1742" s="163"/>
      <c r="F1742" s="163" t="s">
        <v>89</v>
      </c>
      <c r="G1742" s="164" t="s">
        <v>985</v>
      </c>
      <c r="H1742" s="177">
        <v>55.389599999999994</v>
      </c>
      <c r="I1742" s="163" t="s">
        <v>87</v>
      </c>
      <c r="J1742" s="65">
        <v>31000</v>
      </c>
      <c r="K1742" s="65"/>
      <c r="L1742" s="46">
        <f t="shared" si="67"/>
        <v>1717077.5999999999</v>
      </c>
    </row>
    <row r="1743" spans="2:12" x14ac:dyDescent="0.35">
      <c r="B1743" s="174"/>
      <c r="C1743" s="175"/>
      <c r="D1743" s="176"/>
      <c r="E1743" s="163"/>
      <c r="F1743" s="163" t="s">
        <v>89</v>
      </c>
      <c r="G1743" s="164" t="s">
        <v>986</v>
      </c>
      <c r="H1743" s="177">
        <v>25.433999999999997</v>
      </c>
      <c r="I1743" s="163" t="s">
        <v>87</v>
      </c>
      <c r="J1743" s="65">
        <v>31000</v>
      </c>
      <c r="K1743" s="65"/>
      <c r="L1743" s="46">
        <f t="shared" si="67"/>
        <v>788453.99999999988</v>
      </c>
    </row>
    <row r="1744" spans="2:12" x14ac:dyDescent="0.35">
      <c r="B1744" s="174"/>
      <c r="C1744" s="175"/>
      <c r="D1744" s="176"/>
      <c r="E1744" s="163"/>
      <c r="F1744" s="163" t="s">
        <v>89</v>
      </c>
      <c r="G1744" s="164" t="s">
        <v>987</v>
      </c>
      <c r="H1744" s="177">
        <v>10.5504</v>
      </c>
      <c r="I1744" s="163" t="s">
        <v>87</v>
      </c>
      <c r="J1744" s="65">
        <v>31000</v>
      </c>
      <c r="K1744" s="65"/>
      <c r="L1744" s="46">
        <f t="shared" si="67"/>
        <v>327062.39999999997</v>
      </c>
    </row>
    <row r="1745" spans="2:12" x14ac:dyDescent="0.35">
      <c r="B1745" s="174"/>
      <c r="C1745" s="175"/>
      <c r="D1745" s="176"/>
      <c r="E1745" s="163"/>
      <c r="F1745" s="163" t="s">
        <v>89</v>
      </c>
      <c r="G1745" s="164" t="s">
        <v>988</v>
      </c>
      <c r="H1745" s="177">
        <v>23.173199999999998</v>
      </c>
      <c r="I1745" s="163" t="s">
        <v>87</v>
      </c>
      <c r="J1745" s="65">
        <v>31000</v>
      </c>
      <c r="K1745" s="65"/>
      <c r="L1745" s="46">
        <f t="shared" si="67"/>
        <v>718369.2</v>
      </c>
    </row>
    <row r="1746" spans="2:12" x14ac:dyDescent="0.35">
      <c r="B1746" s="174"/>
      <c r="C1746" s="175"/>
      <c r="D1746" s="176"/>
      <c r="E1746" s="163"/>
      <c r="F1746" s="163"/>
      <c r="G1746" s="164"/>
      <c r="H1746" s="177"/>
      <c r="I1746" s="163"/>
      <c r="J1746" s="65"/>
      <c r="K1746" s="65"/>
      <c r="L1746" s="46"/>
    </row>
    <row r="1747" spans="2:12" x14ac:dyDescent="0.35">
      <c r="B1747" s="174"/>
      <c r="C1747" s="175"/>
      <c r="D1747" s="176"/>
      <c r="E1747" s="163"/>
      <c r="F1747" s="163"/>
      <c r="G1747" s="164"/>
      <c r="H1747" s="177"/>
      <c r="I1747" s="163"/>
      <c r="J1747" s="65"/>
      <c r="K1747" s="65"/>
      <c r="L1747" s="46"/>
    </row>
    <row r="1748" spans="2:12" x14ac:dyDescent="0.35">
      <c r="B1748" s="8"/>
      <c r="C1748" s="9"/>
      <c r="D1748" s="10"/>
      <c r="E1748" s="4"/>
      <c r="F1748" s="4"/>
      <c r="G1748" s="4"/>
      <c r="H1748" s="1"/>
      <c r="I1748" s="1"/>
      <c r="J1748" s="11" t="s">
        <v>8</v>
      </c>
      <c r="K1748" s="7">
        <f>SUM(K1695:K1747)</f>
        <v>0</v>
      </c>
      <c r="L1748" s="7">
        <f>SUM(L1695:L1747)</f>
        <v>161950554.14399996</v>
      </c>
    </row>
    <row r="1749" spans="2:12" x14ac:dyDescent="0.35">
      <c r="B1749" s="8"/>
      <c r="C1749" s="9"/>
      <c r="D1749" s="9"/>
      <c r="E1749" s="4"/>
      <c r="F1749" s="4"/>
      <c r="G1749" s="4"/>
      <c r="H1749" s="1"/>
      <c r="I1749" s="1"/>
      <c r="J1749" s="11"/>
      <c r="K1749" s="35" t="s">
        <v>22</v>
      </c>
      <c r="L1749" s="36" t="s">
        <v>23</v>
      </c>
    </row>
    <row r="1750" spans="2:12" x14ac:dyDescent="0.35">
      <c r="B1750" s="3" t="s">
        <v>9</v>
      </c>
      <c r="C1750" s="4"/>
      <c r="D1750" s="4"/>
      <c r="E1750" s="4"/>
      <c r="F1750" s="4"/>
      <c r="G1750" s="4"/>
      <c r="H1750" s="1"/>
      <c r="I1750" s="1"/>
      <c r="J1750" s="12"/>
      <c r="K1750" s="12"/>
      <c r="L1750" s="13"/>
    </row>
    <row r="1751" spans="2:12" x14ac:dyDescent="0.35">
      <c r="B1751" s="37"/>
      <c r="C1751" s="1"/>
      <c r="D1751" s="1"/>
      <c r="E1751" s="38"/>
      <c r="F1751" s="38"/>
      <c r="G1751" s="38"/>
      <c r="H1751" s="1"/>
      <c r="I1751" s="1"/>
      <c r="J1751" s="1"/>
      <c r="K1751" s="1"/>
      <c r="L1751" s="19"/>
    </row>
    <row r="1752" spans="2:12" x14ac:dyDescent="0.35">
      <c r="B1752" s="28" t="s">
        <v>6</v>
      </c>
      <c r="C1752" s="27"/>
      <c r="D1752" s="27"/>
      <c r="E1752" s="26"/>
      <c r="F1752" s="26"/>
      <c r="G1752" s="5"/>
      <c r="K1752" s="284" t="s">
        <v>1600</v>
      </c>
      <c r="L1752" s="285"/>
    </row>
    <row r="1753" spans="2:12" x14ac:dyDescent="0.35">
      <c r="B1753" s="28">
        <v>1</v>
      </c>
      <c r="C1753" s="27"/>
      <c r="D1753" s="27"/>
      <c r="E1753" s="26" t="s">
        <v>7</v>
      </c>
      <c r="F1753" s="26"/>
      <c r="G1753" s="5"/>
      <c r="K1753" s="284" t="s">
        <v>28</v>
      </c>
      <c r="L1753" s="285"/>
    </row>
    <row r="1754" spans="2:12" x14ac:dyDescent="0.35">
      <c r="B1754" s="39"/>
      <c r="C1754" s="27"/>
      <c r="D1754" s="27"/>
      <c r="E1754" s="26"/>
      <c r="F1754" s="26"/>
      <c r="G1754" s="5"/>
      <c r="J1754" s="25"/>
      <c r="K1754" s="25"/>
      <c r="L1754" s="24"/>
    </row>
    <row r="1755" spans="2:12" x14ac:dyDescent="0.35">
      <c r="B1755" s="28"/>
      <c r="C1755" s="27"/>
      <c r="D1755" s="27"/>
      <c r="E1755" s="26"/>
      <c r="F1755" s="26"/>
      <c r="G1755" s="5"/>
      <c r="L1755" s="22"/>
    </row>
    <row r="1756" spans="2:12" x14ac:dyDescent="0.35">
      <c r="B1756" s="45"/>
      <c r="E1756" s="5"/>
      <c r="F1756" s="5"/>
      <c r="G1756" s="5"/>
      <c r="L1756" s="22"/>
    </row>
    <row r="1757" spans="2:12" x14ac:dyDescent="0.35">
      <c r="B1757" s="45"/>
      <c r="E1757" s="5"/>
      <c r="F1757" s="5"/>
      <c r="G1757" s="5"/>
      <c r="L1757" s="22"/>
    </row>
    <row r="1758" spans="2:12" x14ac:dyDescent="0.35">
      <c r="B1758" s="45"/>
      <c r="E1758" s="5"/>
      <c r="F1758" s="5"/>
      <c r="G1758" s="5"/>
      <c r="L1758" s="22"/>
    </row>
    <row r="1759" spans="2:12" x14ac:dyDescent="0.35">
      <c r="B1759" s="45"/>
      <c r="E1759" s="5"/>
      <c r="F1759" s="5"/>
      <c r="G1759" s="5"/>
      <c r="J1759" s="40"/>
      <c r="K1759" s="286" t="s">
        <v>36</v>
      </c>
      <c r="L1759" s="287"/>
    </row>
    <row r="1760" spans="2:12" x14ac:dyDescent="0.35">
      <c r="B1760" s="45"/>
      <c r="K1760" s="288" t="s">
        <v>37</v>
      </c>
      <c r="L1760" s="289"/>
    </row>
    <row r="1761" spans="2:12" x14ac:dyDescent="0.35">
      <c r="B1761" s="290"/>
      <c r="C1761" s="291"/>
      <c r="D1761" s="291"/>
      <c r="E1761" s="41"/>
      <c r="F1761" s="41"/>
      <c r="G1761" s="41"/>
      <c r="H1761" s="2"/>
      <c r="I1761" s="2"/>
      <c r="J1761" s="2"/>
      <c r="K1761" s="2"/>
      <c r="L1761" s="21"/>
    </row>
    <row r="1762" spans="2:12" x14ac:dyDescent="0.35">
      <c r="B1762" s="47"/>
      <c r="C1762" s="48"/>
      <c r="D1762" s="49"/>
      <c r="G1762" s="22"/>
      <c r="H1762" s="1"/>
      <c r="I1762" s="1"/>
      <c r="J1762" s="43"/>
      <c r="K1762" s="30"/>
      <c r="L1762" s="44"/>
    </row>
    <row r="1763" spans="2:12" x14ac:dyDescent="0.35">
      <c r="B1763" s="174"/>
      <c r="C1763" s="175"/>
      <c r="D1763" s="176"/>
      <c r="E1763" s="163"/>
      <c r="F1763" s="163" t="s">
        <v>89</v>
      </c>
      <c r="G1763" s="164" t="s">
        <v>989</v>
      </c>
      <c r="H1763" s="177">
        <v>12.208320000000001</v>
      </c>
      <c r="I1763" s="163" t="s">
        <v>87</v>
      </c>
      <c r="J1763" s="65">
        <v>31000</v>
      </c>
      <c r="K1763" s="65"/>
      <c r="L1763" s="46">
        <f t="shared" ref="L1763:L1764" si="68">J1763*H1763</f>
        <v>378457.92000000004</v>
      </c>
    </row>
    <row r="1764" spans="2:12" x14ac:dyDescent="0.35">
      <c r="B1764" s="174"/>
      <c r="C1764" s="175"/>
      <c r="D1764" s="176"/>
      <c r="E1764" s="163"/>
      <c r="F1764" s="163" t="s">
        <v>89</v>
      </c>
      <c r="G1764" s="164" t="s">
        <v>990</v>
      </c>
      <c r="H1764" s="177">
        <v>28.259999999999998</v>
      </c>
      <c r="I1764" s="163" t="s">
        <v>87</v>
      </c>
      <c r="J1764" s="65">
        <v>31000</v>
      </c>
      <c r="K1764" s="65"/>
      <c r="L1764" s="46">
        <f t="shared" si="68"/>
        <v>876059.99999999988</v>
      </c>
    </row>
    <row r="1765" spans="2:12" x14ac:dyDescent="0.35">
      <c r="B1765" s="174"/>
      <c r="C1765" s="175"/>
      <c r="D1765" s="176" t="s">
        <v>49</v>
      </c>
      <c r="E1765" s="163"/>
      <c r="F1765" s="163" t="s">
        <v>180</v>
      </c>
      <c r="G1765" s="164"/>
      <c r="H1765" s="178"/>
      <c r="I1765" s="163"/>
      <c r="J1765" s="29"/>
      <c r="K1765" s="51"/>
      <c r="L1765" s="46"/>
    </row>
    <row r="1766" spans="2:12" x14ac:dyDescent="0.35">
      <c r="B1766" s="174"/>
      <c r="C1766" s="175"/>
      <c r="D1766" s="176"/>
      <c r="E1766" s="163"/>
      <c r="F1766" s="163" t="s">
        <v>89</v>
      </c>
      <c r="G1766" s="164" t="s">
        <v>991</v>
      </c>
      <c r="H1766" s="177">
        <v>408.75263999999999</v>
      </c>
      <c r="I1766" s="163" t="s">
        <v>87</v>
      </c>
      <c r="J1766" s="65">
        <v>31000</v>
      </c>
      <c r="K1766" s="65"/>
      <c r="L1766" s="46">
        <f>J1766*H1766</f>
        <v>12671331.84</v>
      </c>
    </row>
    <row r="1767" spans="2:12" x14ac:dyDescent="0.35">
      <c r="B1767" s="174"/>
      <c r="C1767" s="175"/>
      <c r="D1767" s="176"/>
      <c r="E1767" s="163"/>
      <c r="F1767" s="163" t="s">
        <v>89</v>
      </c>
      <c r="G1767" s="164" t="s">
        <v>260</v>
      </c>
      <c r="H1767" s="177">
        <v>5.4259200000000005</v>
      </c>
      <c r="I1767" s="163" t="s">
        <v>87</v>
      </c>
      <c r="J1767" s="65">
        <v>31000</v>
      </c>
      <c r="K1767" s="65"/>
      <c r="L1767" s="46">
        <f>J1767*H1767</f>
        <v>168203.52000000002</v>
      </c>
    </row>
    <row r="1768" spans="2:12" x14ac:dyDescent="0.35">
      <c r="B1768" s="174"/>
      <c r="C1768" s="175"/>
      <c r="D1768" s="176"/>
      <c r="E1768" s="163"/>
      <c r="F1768" s="163" t="s">
        <v>89</v>
      </c>
      <c r="G1768" s="164" t="s">
        <v>990</v>
      </c>
      <c r="H1768" s="177">
        <v>28.259999999999998</v>
      </c>
      <c r="I1768" s="163" t="s">
        <v>87</v>
      </c>
      <c r="J1768" s="65">
        <v>31000</v>
      </c>
      <c r="K1768" s="65"/>
      <c r="L1768" s="46">
        <f>J1768*H1768</f>
        <v>876059.99999999988</v>
      </c>
    </row>
    <row r="1769" spans="2:12" x14ac:dyDescent="0.35">
      <c r="B1769" s="174"/>
      <c r="C1769" s="175"/>
      <c r="D1769" s="176" t="s">
        <v>62</v>
      </c>
      <c r="E1769" s="163"/>
      <c r="F1769" s="163" t="s">
        <v>181</v>
      </c>
      <c r="G1769" s="164"/>
      <c r="H1769" s="178"/>
      <c r="I1769" s="163"/>
      <c r="J1769" s="65"/>
      <c r="K1769" s="65"/>
      <c r="L1769" s="46"/>
    </row>
    <row r="1770" spans="2:12" x14ac:dyDescent="0.35">
      <c r="B1770" s="174"/>
      <c r="C1770" s="175"/>
      <c r="D1770" s="176"/>
      <c r="E1770" s="163"/>
      <c r="F1770" s="163" t="s">
        <v>89</v>
      </c>
      <c r="G1770" s="164" t="s">
        <v>992</v>
      </c>
      <c r="H1770" s="177">
        <v>42.050879999999999</v>
      </c>
      <c r="I1770" s="163" t="s">
        <v>87</v>
      </c>
      <c r="J1770" s="65">
        <v>31000</v>
      </c>
      <c r="K1770" s="65"/>
      <c r="L1770" s="46">
        <f t="shared" ref="L1770:L1812" si="69">J1770*H1770</f>
        <v>1303577.28</v>
      </c>
    </row>
    <row r="1771" spans="2:12" x14ac:dyDescent="0.35">
      <c r="B1771" s="174"/>
      <c r="C1771" s="175"/>
      <c r="D1771" s="176"/>
      <c r="E1771" s="163"/>
      <c r="F1771" s="163" t="s">
        <v>89</v>
      </c>
      <c r="G1771" s="164" t="s">
        <v>993</v>
      </c>
      <c r="H1771" s="177">
        <v>81.162719999999993</v>
      </c>
      <c r="I1771" s="163" t="s">
        <v>87</v>
      </c>
      <c r="J1771" s="65">
        <v>31000</v>
      </c>
      <c r="K1771" s="65"/>
      <c r="L1771" s="46">
        <f t="shared" si="69"/>
        <v>2516044.3199999998</v>
      </c>
    </row>
    <row r="1772" spans="2:12" x14ac:dyDescent="0.35">
      <c r="B1772" s="174"/>
      <c r="C1772" s="175"/>
      <c r="D1772" s="176"/>
      <c r="E1772" s="163"/>
      <c r="F1772" s="163" t="s">
        <v>89</v>
      </c>
      <c r="G1772" s="164" t="s">
        <v>994</v>
      </c>
      <c r="H1772" s="177">
        <v>124.11792</v>
      </c>
      <c r="I1772" s="163" t="s">
        <v>87</v>
      </c>
      <c r="J1772" s="65">
        <v>31000</v>
      </c>
      <c r="K1772" s="65"/>
      <c r="L1772" s="46">
        <f t="shared" si="69"/>
        <v>3847655.52</v>
      </c>
    </row>
    <row r="1773" spans="2:12" x14ac:dyDescent="0.35">
      <c r="B1773" s="174"/>
      <c r="C1773" s="175"/>
      <c r="D1773" s="176"/>
      <c r="E1773" s="163"/>
      <c r="F1773" s="163" t="s">
        <v>89</v>
      </c>
      <c r="G1773" s="164" t="s">
        <v>995</v>
      </c>
      <c r="H1773" s="177">
        <v>827.45280000000002</v>
      </c>
      <c r="I1773" s="163" t="s">
        <v>87</v>
      </c>
      <c r="J1773" s="65">
        <v>31000</v>
      </c>
      <c r="K1773" s="65"/>
      <c r="L1773" s="46">
        <f t="shared" si="69"/>
        <v>25651036.800000001</v>
      </c>
    </row>
    <row r="1774" spans="2:12" x14ac:dyDescent="0.35">
      <c r="B1774" s="174"/>
      <c r="C1774" s="175"/>
      <c r="D1774" s="176"/>
      <c r="E1774" s="163"/>
      <c r="F1774" s="163" t="s">
        <v>89</v>
      </c>
      <c r="G1774" s="164" t="s">
        <v>996</v>
      </c>
      <c r="H1774" s="177">
        <v>5.6520000000000001</v>
      </c>
      <c r="I1774" s="163" t="s">
        <v>87</v>
      </c>
      <c r="J1774" s="65">
        <v>31000</v>
      </c>
      <c r="K1774" s="65"/>
      <c r="L1774" s="46">
        <f t="shared" si="69"/>
        <v>175212</v>
      </c>
    </row>
    <row r="1775" spans="2:12" x14ac:dyDescent="0.35">
      <c r="B1775" s="174"/>
      <c r="C1775" s="175"/>
      <c r="D1775" s="176"/>
      <c r="E1775" s="163"/>
      <c r="F1775" s="163" t="s">
        <v>89</v>
      </c>
      <c r="G1775" s="164" t="s">
        <v>997</v>
      </c>
      <c r="H1775" s="177">
        <v>8.1388800000000003</v>
      </c>
      <c r="I1775" s="163" t="s">
        <v>87</v>
      </c>
      <c r="J1775" s="65">
        <v>31000</v>
      </c>
      <c r="K1775" s="65"/>
      <c r="L1775" s="46">
        <f t="shared" si="69"/>
        <v>252305.28</v>
      </c>
    </row>
    <row r="1776" spans="2:12" x14ac:dyDescent="0.35">
      <c r="B1776" s="174"/>
      <c r="C1776" s="175"/>
      <c r="D1776" s="176"/>
      <c r="E1776" s="163"/>
      <c r="F1776" s="163" t="s">
        <v>89</v>
      </c>
      <c r="G1776" s="164" t="s">
        <v>998</v>
      </c>
      <c r="H1776" s="177">
        <v>9.0432000000000006</v>
      </c>
      <c r="I1776" s="163" t="s">
        <v>87</v>
      </c>
      <c r="J1776" s="65">
        <v>31000</v>
      </c>
      <c r="K1776" s="65"/>
      <c r="L1776" s="46">
        <f t="shared" si="69"/>
        <v>280339.20000000001</v>
      </c>
    </row>
    <row r="1777" spans="2:12" x14ac:dyDescent="0.35">
      <c r="B1777" s="174"/>
      <c r="C1777" s="175"/>
      <c r="D1777" s="176"/>
      <c r="E1777" s="163"/>
      <c r="F1777" s="163" t="s">
        <v>89</v>
      </c>
      <c r="G1777" s="164" t="s">
        <v>999</v>
      </c>
      <c r="H1777" s="177">
        <v>11.304</v>
      </c>
      <c r="I1777" s="163" t="s">
        <v>87</v>
      </c>
      <c r="J1777" s="65">
        <v>31000</v>
      </c>
      <c r="K1777" s="65"/>
      <c r="L1777" s="46">
        <f t="shared" si="69"/>
        <v>350424</v>
      </c>
    </row>
    <row r="1778" spans="2:12" x14ac:dyDescent="0.35">
      <c r="B1778" s="174"/>
      <c r="C1778" s="175"/>
      <c r="D1778" s="176"/>
      <c r="E1778" s="163"/>
      <c r="F1778" s="163" t="s">
        <v>89</v>
      </c>
      <c r="G1778" s="164" t="s">
        <v>1000</v>
      </c>
      <c r="H1778" s="177">
        <v>12.66048</v>
      </c>
      <c r="I1778" s="163" t="s">
        <v>87</v>
      </c>
      <c r="J1778" s="65">
        <v>31000</v>
      </c>
      <c r="K1778" s="65"/>
      <c r="L1778" s="46">
        <f t="shared" si="69"/>
        <v>392474.88</v>
      </c>
    </row>
    <row r="1779" spans="2:12" x14ac:dyDescent="0.35">
      <c r="B1779" s="174"/>
      <c r="C1779" s="175"/>
      <c r="D1779" s="176"/>
      <c r="E1779" s="163"/>
      <c r="F1779" s="163" t="s">
        <v>89</v>
      </c>
      <c r="G1779" s="164" t="s">
        <v>1001</v>
      </c>
      <c r="H1779" s="177">
        <v>12.886559999999999</v>
      </c>
      <c r="I1779" s="163" t="s">
        <v>87</v>
      </c>
      <c r="J1779" s="65">
        <v>31000</v>
      </c>
      <c r="K1779" s="65"/>
      <c r="L1779" s="46">
        <f t="shared" si="69"/>
        <v>399483.36</v>
      </c>
    </row>
    <row r="1780" spans="2:12" x14ac:dyDescent="0.35">
      <c r="B1780" s="174"/>
      <c r="C1780" s="175"/>
      <c r="D1780" s="176"/>
      <c r="E1780" s="163"/>
      <c r="F1780" s="163" t="s">
        <v>89</v>
      </c>
      <c r="G1780" s="164" t="s">
        <v>1002</v>
      </c>
      <c r="H1780" s="177">
        <v>15.8256</v>
      </c>
      <c r="I1780" s="163" t="s">
        <v>87</v>
      </c>
      <c r="J1780" s="65">
        <v>31000</v>
      </c>
      <c r="K1780" s="65"/>
      <c r="L1780" s="46">
        <f t="shared" si="69"/>
        <v>490593.6</v>
      </c>
    </row>
    <row r="1781" spans="2:12" x14ac:dyDescent="0.35">
      <c r="B1781" s="174"/>
      <c r="C1781" s="175"/>
      <c r="D1781" s="176"/>
      <c r="E1781" s="163"/>
      <c r="F1781" s="163" t="s">
        <v>89</v>
      </c>
      <c r="G1781" s="164" t="s">
        <v>1003</v>
      </c>
      <c r="H1781" s="177">
        <v>18.086400000000001</v>
      </c>
      <c r="I1781" s="163" t="s">
        <v>87</v>
      </c>
      <c r="J1781" s="65">
        <v>31000</v>
      </c>
      <c r="K1781" s="65"/>
      <c r="L1781" s="46">
        <f t="shared" si="69"/>
        <v>560678.40000000002</v>
      </c>
    </row>
    <row r="1782" spans="2:12" x14ac:dyDescent="0.35">
      <c r="B1782" s="174"/>
      <c r="C1782" s="175"/>
      <c r="D1782" s="176"/>
      <c r="E1782" s="163"/>
      <c r="F1782" s="163" t="s">
        <v>89</v>
      </c>
      <c r="G1782" s="164" t="s">
        <v>1004</v>
      </c>
      <c r="H1782" s="177">
        <v>21.703679999999999</v>
      </c>
      <c r="I1782" s="163" t="s">
        <v>87</v>
      </c>
      <c r="J1782" s="65">
        <v>31000</v>
      </c>
      <c r="K1782" s="65"/>
      <c r="L1782" s="46">
        <f t="shared" si="69"/>
        <v>672814.07999999996</v>
      </c>
    </row>
    <row r="1783" spans="2:12" x14ac:dyDescent="0.35">
      <c r="B1783" s="174"/>
      <c r="C1783" s="175"/>
      <c r="D1783" s="176"/>
      <c r="E1783" s="163"/>
      <c r="F1783" s="163" t="s">
        <v>89</v>
      </c>
      <c r="G1783" s="164" t="s">
        <v>1005</v>
      </c>
      <c r="H1783" s="177">
        <v>22.83408</v>
      </c>
      <c r="I1783" s="163" t="s">
        <v>87</v>
      </c>
      <c r="J1783" s="65">
        <v>31000</v>
      </c>
      <c r="K1783" s="65"/>
      <c r="L1783" s="46">
        <f t="shared" si="69"/>
        <v>707856.48</v>
      </c>
    </row>
    <row r="1784" spans="2:12" x14ac:dyDescent="0.35">
      <c r="B1784" s="174"/>
      <c r="C1784" s="175"/>
      <c r="D1784" s="176"/>
      <c r="E1784" s="163"/>
      <c r="F1784" s="163" t="s">
        <v>89</v>
      </c>
      <c r="G1784" s="164" t="s">
        <v>1006</v>
      </c>
      <c r="H1784" s="177">
        <v>279.77399999999994</v>
      </c>
      <c r="I1784" s="163" t="s">
        <v>87</v>
      </c>
      <c r="J1784" s="65">
        <v>31000</v>
      </c>
      <c r="K1784" s="65"/>
      <c r="L1784" s="46">
        <f t="shared" si="69"/>
        <v>8672993.9999999981</v>
      </c>
    </row>
    <row r="1785" spans="2:12" x14ac:dyDescent="0.35">
      <c r="B1785" s="174"/>
      <c r="C1785" s="175"/>
      <c r="D1785" s="176"/>
      <c r="E1785" s="163"/>
      <c r="F1785" s="163" t="s">
        <v>89</v>
      </c>
      <c r="G1785" s="164" t="s">
        <v>1007</v>
      </c>
      <c r="H1785" s="177">
        <v>285.42599999999999</v>
      </c>
      <c r="I1785" s="163" t="s">
        <v>87</v>
      </c>
      <c r="J1785" s="65">
        <v>31000</v>
      </c>
      <c r="K1785" s="65"/>
      <c r="L1785" s="46">
        <f t="shared" si="69"/>
        <v>8848206</v>
      </c>
    </row>
    <row r="1786" spans="2:12" x14ac:dyDescent="0.35">
      <c r="B1786" s="174"/>
      <c r="C1786" s="175"/>
      <c r="D1786" s="176"/>
      <c r="E1786" s="163"/>
      <c r="F1786" s="163" t="s">
        <v>89</v>
      </c>
      <c r="G1786" s="164" t="s">
        <v>1008</v>
      </c>
      <c r="H1786" s="177">
        <v>291.07799999999997</v>
      </c>
      <c r="I1786" s="163" t="s">
        <v>87</v>
      </c>
      <c r="J1786" s="65">
        <v>31000</v>
      </c>
      <c r="K1786" s="65"/>
      <c r="L1786" s="46">
        <f t="shared" si="69"/>
        <v>9023418</v>
      </c>
    </row>
    <row r="1787" spans="2:12" x14ac:dyDescent="0.35">
      <c r="B1787" s="174"/>
      <c r="C1787" s="175"/>
      <c r="D1787" s="176"/>
      <c r="E1787" s="163"/>
      <c r="F1787" s="163" t="s">
        <v>89</v>
      </c>
      <c r="G1787" s="164" t="s">
        <v>1009</v>
      </c>
      <c r="H1787" s="177">
        <v>393.94439999999997</v>
      </c>
      <c r="I1787" s="163" t="s">
        <v>87</v>
      </c>
      <c r="J1787" s="65">
        <v>31000</v>
      </c>
      <c r="K1787" s="65"/>
      <c r="L1787" s="46">
        <f t="shared" si="69"/>
        <v>12212276.399999999</v>
      </c>
    </row>
    <row r="1788" spans="2:12" x14ac:dyDescent="0.35">
      <c r="B1788" s="174"/>
      <c r="C1788" s="175"/>
      <c r="D1788" s="176"/>
      <c r="E1788" s="163"/>
      <c r="F1788" s="163" t="s">
        <v>89</v>
      </c>
      <c r="G1788" s="164" t="s">
        <v>1010</v>
      </c>
      <c r="H1788" s="177">
        <v>24.020999999999997</v>
      </c>
      <c r="I1788" s="163" t="s">
        <v>87</v>
      </c>
      <c r="J1788" s="65">
        <v>31000</v>
      </c>
      <c r="K1788" s="65"/>
      <c r="L1788" s="46">
        <f t="shared" si="69"/>
        <v>744650.99999999988</v>
      </c>
    </row>
    <row r="1789" spans="2:12" x14ac:dyDescent="0.35">
      <c r="B1789" s="174"/>
      <c r="C1789" s="175"/>
      <c r="D1789" s="176"/>
      <c r="E1789" s="163"/>
      <c r="F1789" s="163" t="s">
        <v>89</v>
      </c>
      <c r="G1789" s="164" t="s">
        <v>1011</v>
      </c>
      <c r="H1789" s="177">
        <v>29.672999999999998</v>
      </c>
      <c r="I1789" s="163" t="s">
        <v>87</v>
      </c>
      <c r="J1789" s="65">
        <v>31000</v>
      </c>
      <c r="K1789" s="65"/>
      <c r="L1789" s="46">
        <f t="shared" si="69"/>
        <v>919863</v>
      </c>
    </row>
    <row r="1790" spans="2:12" x14ac:dyDescent="0.35">
      <c r="B1790" s="174"/>
      <c r="C1790" s="175"/>
      <c r="D1790" s="176"/>
      <c r="E1790" s="163"/>
      <c r="F1790" s="163" t="s">
        <v>89</v>
      </c>
      <c r="G1790" s="164" t="s">
        <v>1012</v>
      </c>
      <c r="H1790" s="177">
        <v>54.164999999999992</v>
      </c>
      <c r="I1790" s="163" t="s">
        <v>87</v>
      </c>
      <c r="J1790" s="65">
        <v>31000</v>
      </c>
      <c r="K1790" s="65"/>
      <c r="L1790" s="46">
        <f t="shared" si="69"/>
        <v>1679114.9999999998</v>
      </c>
    </row>
    <row r="1791" spans="2:12" x14ac:dyDescent="0.35">
      <c r="B1791" s="174"/>
      <c r="C1791" s="175"/>
      <c r="D1791" s="176"/>
      <c r="E1791" s="163"/>
      <c r="F1791" s="163" t="s">
        <v>89</v>
      </c>
      <c r="G1791" s="164" t="s">
        <v>1013</v>
      </c>
      <c r="H1791" s="177">
        <v>74.417999999999992</v>
      </c>
      <c r="I1791" s="163" t="s">
        <v>87</v>
      </c>
      <c r="J1791" s="65">
        <v>31000</v>
      </c>
      <c r="K1791" s="65"/>
      <c r="L1791" s="46">
        <f t="shared" si="69"/>
        <v>2306957.9999999995</v>
      </c>
    </row>
    <row r="1792" spans="2:12" x14ac:dyDescent="0.35">
      <c r="B1792" s="174"/>
      <c r="C1792" s="175"/>
      <c r="D1792" s="176"/>
      <c r="E1792" s="163"/>
      <c r="F1792" s="163" t="s">
        <v>89</v>
      </c>
      <c r="G1792" s="164" t="s">
        <v>1014</v>
      </c>
      <c r="H1792" s="177">
        <v>75.36</v>
      </c>
      <c r="I1792" s="163" t="s">
        <v>87</v>
      </c>
      <c r="J1792" s="65">
        <v>31000</v>
      </c>
      <c r="K1792" s="65"/>
      <c r="L1792" s="46">
        <f t="shared" si="69"/>
        <v>2336160</v>
      </c>
    </row>
    <row r="1793" spans="2:12" x14ac:dyDescent="0.35">
      <c r="B1793" s="174"/>
      <c r="C1793" s="175"/>
      <c r="D1793" s="176"/>
      <c r="E1793" s="163"/>
      <c r="F1793" s="163" t="s">
        <v>89</v>
      </c>
      <c r="G1793" s="164" t="s">
        <v>1015</v>
      </c>
      <c r="H1793" s="177">
        <v>169.55999999999997</v>
      </c>
      <c r="I1793" s="163" t="s">
        <v>87</v>
      </c>
      <c r="J1793" s="65">
        <v>31000</v>
      </c>
      <c r="K1793" s="65"/>
      <c r="L1793" s="46">
        <f t="shared" si="69"/>
        <v>5256359.9999999991</v>
      </c>
    </row>
    <row r="1794" spans="2:12" x14ac:dyDescent="0.35">
      <c r="B1794" s="174"/>
      <c r="C1794" s="175"/>
      <c r="D1794" s="176"/>
      <c r="E1794" s="163"/>
      <c r="F1794" s="163" t="s">
        <v>89</v>
      </c>
      <c r="G1794" s="164" t="s">
        <v>1016</v>
      </c>
      <c r="H1794" s="177">
        <v>175.21199999999999</v>
      </c>
      <c r="I1794" s="163" t="s">
        <v>87</v>
      </c>
      <c r="J1794" s="65">
        <v>31000</v>
      </c>
      <c r="K1794" s="65"/>
      <c r="L1794" s="46">
        <f t="shared" si="69"/>
        <v>5431572</v>
      </c>
    </row>
    <row r="1795" spans="2:12" x14ac:dyDescent="0.35">
      <c r="B1795" s="174"/>
      <c r="C1795" s="175"/>
      <c r="D1795" s="176"/>
      <c r="E1795" s="163"/>
      <c r="F1795" s="163" t="s">
        <v>89</v>
      </c>
      <c r="G1795" s="164" t="s">
        <v>1017</v>
      </c>
      <c r="H1795" s="177">
        <v>75.171599999999998</v>
      </c>
      <c r="I1795" s="163" t="s">
        <v>87</v>
      </c>
      <c r="J1795" s="65">
        <v>31000</v>
      </c>
      <c r="K1795" s="65"/>
      <c r="L1795" s="46">
        <f t="shared" si="69"/>
        <v>2330319.6</v>
      </c>
    </row>
    <row r="1796" spans="2:12" x14ac:dyDescent="0.35">
      <c r="B1796" s="174"/>
      <c r="C1796" s="175"/>
      <c r="D1796" s="176"/>
      <c r="E1796" s="163"/>
      <c r="F1796" s="163" t="s">
        <v>89</v>
      </c>
      <c r="G1796" s="164" t="s">
        <v>1018</v>
      </c>
      <c r="H1796" s="177">
        <v>76.867199999999997</v>
      </c>
      <c r="I1796" s="163" t="s">
        <v>87</v>
      </c>
      <c r="J1796" s="65">
        <v>31000</v>
      </c>
      <c r="K1796" s="65"/>
      <c r="L1796" s="46">
        <f t="shared" si="69"/>
        <v>2382883.1999999997</v>
      </c>
    </row>
    <row r="1797" spans="2:12" x14ac:dyDescent="0.35">
      <c r="B1797" s="174"/>
      <c r="C1797" s="175"/>
      <c r="D1797" s="176"/>
      <c r="E1797" s="163"/>
      <c r="F1797" s="163" t="s">
        <v>89</v>
      </c>
      <c r="G1797" s="164" t="s">
        <v>1019</v>
      </c>
      <c r="H1797" s="177">
        <v>101.73599999999999</v>
      </c>
      <c r="I1797" s="163" t="s">
        <v>87</v>
      </c>
      <c r="J1797" s="65">
        <v>31000</v>
      </c>
      <c r="K1797" s="65"/>
      <c r="L1797" s="46">
        <f t="shared" si="69"/>
        <v>3153815.9999999995</v>
      </c>
    </row>
    <row r="1798" spans="2:12" x14ac:dyDescent="0.35">
      <c r="B1798" s="174"/>
      <c r="C1798" s="175"/>
      <c r="D1798" s="176"/>
      <c r="E1798" s="163"/>
      <c r="F1798" s="163" t="s">
        <v>89</v>
      </c>
      <c r="G1798" s="164" t="s">
        <v>1020</v>
      </c>
      <c r="H1798" s="177">
        <v>22.608000000000001</v>
      </c>
      <c r="I1798" s="163" t="s">
        <v>87</v>
      </c>
      <c r="J1798" s="65">
        <v>31000</v>
      </c>
      <c r="K1798" s="65"/>
      <c r="L1798" s="46">
        <f t="shared" si="69"/>
        <v>700848</v>
      </c>
    </row>
    <row r="1799" spans="2:12" x14ac:dyDescent="0.35">
      <c r="B1799" s="174"/>
      <c r="C1799" s="175"/>
      <c r="D1799" s="176"/>
      <c r="E1799" s="163"/>
      <c r="F1799" s="163" t="s">
        <v>89</v>
      </c>
      <c r="G1799" s="164" t="s">
        <v>1021</v>
      </c>
      <c r="H1799" s="177">
        <v>24.190559999999998</v>
      </c>
      <c r="I1799" s="163" t="s">
        <v>87</v>
      </c>
      <c r="J1799" s="65">
        <v>31000</v>
      </c>
      <c r="K1799" s="65"/>
      <c r="L1799" s="46">
        <f t="shared" si="69"/>
        <v>749907.36</v>
      </c>
    </row>
    <row r="1800" spans="2:12" x14ac:dyDescent="0.35">
      <c r="B1800" s="174"/>
      <c r="C1800" s="175"/>
      <c r="D1800" s="176"/>
      <c r="E1800" s="163"/>
      <c r="F1800" s="163" t="s">
        <v>89</v>
      </c>
      <c r="G1800" s="164" t="s">
        <v>1022</v>
      </c>
      <c r="H1800" s="177">
        <v>26.225279999999998</v>
      </c>
      <c r="I1800" s="163" t="s">
        <v>87</v>
      </c>
      <c r="J1800" s="65">
        <v>31000</v>
      </c>
      <c r="K1800" s="65"/>
      <c r="L1800" s="46">
        <f t="shared" si="69"/>
        <v>812983.67999999993</v>
      </c>
    </row>
    <row r="1801" spans="2:12" x14ac:dyDescent="0.35">
      <c r="B1801" s="174"/>
      <c r="C1801" s="175"/>
      <c r="D1801" s="176"/>
      <c r="E1801" s="163"/>
      <c r="F1801" s="163" t="s">
        <v>89</v>
      </c>
      <c r="G1801" s="164" t="s">
        <v>1023</v>
      </c>
      <c r="H1801" s="177">
        <v>9.2692800000000002</v>
      </c>
      <c r="I1801" s="163" t="s">
        <v>87</v>
      </c>
      <c r="J1801" s="65">
        <v>31000</v>
      </c>
      <c r="K1801" s="65"/>
      <c r="L1801" s="46">
        <f t="shared" si="69"/>
        <v>287347.68</v>
      </c>
    </row>
    <row r="1802" spans="2:12" x14ac:dyDescent="0.35">
      <c r="B1802" s="174"/>
      <c r="C1802" s="175"/>
      <c r="D1802" s="176"/>
      <c r="E1802" s="163"/>
      <c r="F1802" s="163" t="s">
        <v>89</v>
      </c>
      <c r="G1802" s="164" t="s">
        <v>1024</v>
      </c>
      <c r="H1802" s="177">
        <v>17.182079999999999</v>
      </c>
      <c r="I1802" s="163" t="s">
        <v>87</v>
      </c>
      <c r="J1802" s="65">
        <v>31000</v>
      </c>
      <c r="K1802" s="65"/>
      <c r="L1802" s="46">
        <f t="shared" si="69"/>
        <v>532644.48</v>
      </c>
    </row>
    <row r="1803" spans="2:12" x14ac:dyDescent="0.35">
      <c r="B1803" s="174"/>
      <c r="C1803" s="175"/>
      <c r="D1803" s="176"/>
      <c r="E1803" s="163"/>
      <c r="F1803" s="163" t="s">
        <v>89</v>
      </c>
      <c r="G1803" s="164" t="s">
        <v>1025</v>
      </c>
      <c r="H1803" s="177">
        <v>33.911999999999999</v>
      </c>
      <c r="I1803" s="163" t="s">
        <v>87</v>
      </c>
      <c r="J1803" s="65">
        <v>31000</v>
      </c>
      <c r="K1803" s="65"/>
      <c r="L1803" s="46">
        <f t="shared" si="69"/>
        <v>1051272</v>
      </c>
    </row>
    <row r="1804" spans="2:12" x14ac:dyDescent="0.35">
      <c r="B1804" s="174"/>
      <c r="C1804" s="175"/>
      <c r="D1804" s="176"/>
      <c r="E1804" s="163"/>
      <c r="F1804" s="163" t="s">
        <v>89</v>
      </c>
      <c r="G1804" s="164" t="s">
        <v>1026</v>
      </c>
      <c r="H1804" s="177">
        <v>34.816319999999997</v>
      </c>
      <c r="I1804" s="163" t="s">
        <v>87</v>
      </c>
      <c r="J1804" s="65">
        <v>31000</v>
      </c>
      <c r="K1804" s="65"/>
      <c r="L1804" s="46">
        <f t="shared" si="69"/>
        <v>1079305.92</v>
      </c>
    </row>
    <row r="1805" spans="2:12" x14ac:dyDescent="0.35">
      <c r="B1805" s="174"/>
      <c r="C1805" s="175"/>
      <c r="D1805" s="176"/>
      <c r="E1805" s="163"/>
      <c r="F1805" s="163" t="s">
        <v>89</v>
      </c>
      <c r="G1805" s="164" t="s">
        <v>1027</v>
      </c>
      <c r="H1805" s="177">
        <v>7.9127999999999998</v>
      </c>
      <c r="I1805" s="163" t="s">
        <v>87</v>
      </c>
      <c r="J1805" s="65">
        <v>31000</v>
      </c>
      <c r="K1805" s="65"/>
      <c r="L1805" s="46">
        <f t="shared" si="69"/>
        <v>245296.8</v>
      </c>
    </row>
    <row r="1806" spans="2:12" x14ac:dyDescent="0.35">
      <c r="B1806" s="174"/>
      <c r="C1806" s="175"/>
      <c r="D1806" s="176"/>
      <c r="E1806" s="163"/>
      <c r="F1806" s="163" t="s">
        <v>89</v>
      </c>
      <c r="G1806" s="164" t="s">
        <v>1028</v>
      </c>
      <c r="H1806" s="177">
        <v>223.36703999999997</v>
      </c>
      <c r="I1806" s="163" t="s">
        <v>87</v>
      </c>
      <c r="J1806" s="65">
        <v>31000</v>
      </c>
      <c r="K1806" s="65"/>
      <c r="L1806" s="46">
        <f t="shared" si="69"/>
        <v>6924378.2399999993</v>
      </c>
    </row>
    <row r="1807" spans="2:12" x14ac:dyDescent="0.35">
      <c r="B1807" s="174"/>
      <c r="C1807" s="175"/>
      <c r="D1807" s="176"/>
      <c r="E1807" s="163"/>
      <c r="F1807" s="163" t="s">
        <v>89</v>
      </c>
      <c r="G1807" s="164" t="s">
        <v>1029</v>
      </c>
      <c r="H1807" s="177">
        <v>146.03512000000001</v>
      </c>
      <c r="I1807" s="163" t="s">
        <v>87</v>
      </c>
      <c r="J1807" s="65">
        <v>31000</v>
      </c>
      <c r="K1807" s="65"/>
      <c r="L1807" s="46">
        <f t="shared" si="69"/>
        <v>4527088.72</v>
      </c>
    </row>
    <row r="1808" spans="2:12" x14ac:dyDescent="0.35">
      <c r="B1808" s="174"/>
      <c r="C1808" s="175"/>
      <c r="D1808" s="176"/>
      <c r="E1808" s="163"/>
      <c r="F1808" s="163" t="s">
        <v>89</v>
      </c>
      <c r="G1808" s="164" t="s">
        <v>1030</v>
      </c>
      <c r="H1808" s="177">
        <v>197.81999999999996</v>
      </c>
      <c r="I1808" s="163" t="s">
        <v>87</v>
      </c>
      <c r="J1808" s="65">
        <v>31000</v>
      </c>
      <c r="K1808" s="65"/>
      <c r="L1808" s="46">
        <f t="shared" si="69"/>
        <v>6132419.9999999991</v>
      </c>
    </row>
    <row r="1809" spans="2:12" x14ac:dyDescent="0.35">
      <c r="B1809" s="174"/>
      <c r="C1809" s="175"/>
      <c r="D1809" s="176"/>
      <c r="E1809" s="163"/>
      <c r="F1809" s="163" t="s">
        <v>89</v>
      </c>
      <c r="G1809" s="164" t="s">
        <v>1031</v>
      </c>
      <c r="H1809" s="177">
        <v>237.38399999999996</v>
      </c>
      <c r="I1809" s="163" t="s">
        <v>87</v>
      </c>
      <c r="J1809" s="65">
        <v>31000</v>
      </c>
      <c r="K1809" s="65"/>
      <c r="L1809" s="46">
        <f t="shared" si="69"/>
        <v>7358903.9999999991</v>
      </c>
    </row>
    <row r="1810" spans="2:12" x14ac:dyDescent="0.35">
      <c r="B1810" s="174"/>
      <c r="C1810" s="175"/>
      <c r="D1810" s="176"/>
      <c r="E1810" s="163"/>
      <c r="F1810" s="163" t="s">
        <v>89</v>
      </c>
      <c r="G1810" s="164" t="s">
        <v>1032</v>
      </c>
      <c r="H1810" s="177">
        <v>41.259599999999999</v>
      </c>
      <c r="I1810" s="163" t="s">
        <v>87</v>
      </c>
      <c r="J1810" s="65">
        <v>31000</v>
      </c>
      <c r="K1810" s="65"/>
      <c r="L1810" s="46">
        <f t="shared" si="69"/>
        <v>1279047.5999999999</v>
      </c>
    </row>
    <row r="1811" spans="2:12" x14ac:dyDescent="0.35">
      <c r="B1811" s="174"/>
      <c r="C1811" s="175"/>
      <c r="D1811" s="176"/>
      <c r="E1811" s="163"/>
      <c r="F1811" s="163" t="s">
        <v>89</v>
      </c>
      <c r="G1811" s="164" t="s">
        <v>1033</v>
      </c>
      <c r="H1811" s="177">
        <v>97.496999999999986</v>
      </c>
      <c r="I1811" s="163" t="s">
        <v>87</v>
      </c>
      <c r="J1811" s="65">
        <v>31000</v>
      </c>
      <c r="K1811" s="65"/>
      <c r="L1811" s="46">
        <f t="shared" si="69"/>
        <v>3022406.9999999995</v>
      </c>
    </row>
    <row r="1812" spans="2:12" x14ac:dyDescent="0.35">
      <c r="B1812" s="174"/>
      <c r="C1812" s="175"/>
      <c r="D1812" s="176"/>
      <c r="E1812" s="163"/>
      <c r="F1812" s="163" t="s">
        <v>89</v>
      </c>
      <c r="G1812" s="164" t="s">
        <v>1034</v>
      </c>
      <c r="H1812" s="177">
        <v>33.911999999999999</v>
      </c>
      <c r="I1812" s="163" t="s">
        <v>87</v>
      </c>
      <c r="J1812" s="65">
        <v>31000</v>
      </c>
      <c r="K1812" s="65"/>
      <c r="L1812" s="46">
        <f t="shared" si="69"/>
        <v>1051272</v>
      </c>
    </row>
    <row r="1813" spans="2:12" x14ac:dyDescent="0.35">
      <c r="B1813" s="174"/>
      <c r="C1813" s="175"/>
      <c r="D1813" s="176"/>
      <c r="E1813" s="163"/>
      <c r="F1813" s="163"/>
      <c r="G1813" s="164"/>
      <c r="H1813" s="177"/>
      <c r="I1813" s="163"/>
      <c r="J1813" s="65"/>
      <c r="K1813" s="65"/>
      <c r="L1813" s="46"/>
    </row>
    <row r="1814" spans="2:12" x14ac:dyDescent="0.35">
      <c r="B1814" s="47"/>
      <c r="C1814" s="48"/>
      <c r="D1814" s="24"/>
      <c r="G1814" s="22"/>
      <c r="I1814" s="22"/>
      <c r="J1814" s="50"/>
      <c r="K1814" s="29"/>
      <c r="L1814" s="52"/>
    </row>
    <row r="1815" spans="2:12" x14ac:dyDescent="0.35">
      <c r="B1815" s="8"/>
      <c r="C1815" s="9"/>
      <c r="D1815" s="10"/>
      <c r="E1815" s="4"/>
      <c r="F1815" s="4"/>
      <c r="G1815" s="4"/>
      <c r="H1815" s="1"/>
      <c r="I1815" s="1"/>
      <c r="J1815" s="11" t="s">
        <v>8</v>
      </c>
      <c r="K1815" s="7">
        <f>SUM(K1762:K1814)</f>
        <v>0</v>
      </c>
      <c r="L1815" s="7">
        <f>SUM(L1762:L1814)</f>
        <v>153624324.16</v>
      </c>
    </row>
    <row r="1816" spans="2:12" x14ac:dyDescent="0.35">
      <c r="B1816" s="8"/>
      <c r="C1816" s="9"/>
      <c r="D1816" s="9"/>
      <c r="E1816" s="4"/>
      <c r="F1816" s="4"/>
      <c r="G1816" s="4"/>
      <c r="H1816" s="1"/>
      <c r="I1816" s="1"/>
      <c r="J1816" s="11"/>
      <c r="K1816" s="35" t="s">
        <v>22</v>
      </c>
      <c r="L1816" s="36" t="s">
        <v>23</v>
      </c>
    </row>
    <row r="1817" spans="2:12" x14ac:dyDescent="0.35">
      <c r="B1817" s="3" t="s">
        <v>9</v>
      </c>
      <c r="C1817" s="4"/>
      <c r="D1817" s="4"/>
      <c r="E1817" s="4"/>
      <c r="F1817" s="4"/>
      <c r="G1817" s="4"/>
      <c r="H1817" s="1"/>
      <c r="I1817" s="1"/>
      <c r="J1817" s="12"/>
      <c r="K1817" s="12"/>
      <c r="L1817" s="13"/>
    </row>
    <row r="1818" spans="2:12" x14ac:dyDescent="0.35">
      <c r="B1818" s="37"/>
      <c r="C1818" s="1"/>
      <c r="D1818" s="1"/>
      <c r="E1818" s="38"/>
      <c r="F1818" s="38"/>
      <c r="G1818" s="38"/>
      <c r="H1818" s="1"/>
      <c r="I1818" s="1"/>
      <c r="J1818" s="1"/>
      <c r="K1818" s="1"/>
      <c r="L1818" s="19"/>
    </row>
    <row r="1819" spans="2:12" x14ac:dyDescent="0.35">
      <c r="B1819" s="28" t="s">
        <v>6</v>
      </c>
      <c r="C1819" s="27"/>
      <c r="D1819" s="27"/>
      <c r="E1819" s="26"/>
      <c r="F1819" s="26"/>
      <c r="G1819" s="5"/>
      <c r="K1819" s="284" t="s">
        <v>1600</v>
      </c>
      <c r="L1819" s="285"/>
    </row>
    <row r="1820" spans="2:12" x14ac:dyDescent="0.35">
      <c r="B1820" s="28">
        <v>1</v>
      </c>
      <c r="C1820" s="27"/>
      <c r="D1820" s="27"/>
      <c r="E1820" s="26" t="s">
        <v>7</v>
      </c>
      <c r="F1820" s="26"/>
      <c r="G1820" s="5"/>
      <c r="K1820" s="284" t="s">
        <v>28</v>
      </c>
      <c r="L1820" s="285"/>
    </row>
    <row r="1821" spans="2:12" x14ac:dyDescent="0.35">
      <c r="B1821" s="39"/>
      <c r="C1821" s="27"/>
      <c r="D1821" s="27"/>
      <c r="E1821" s="26"/>
      <c r="F1821" s="26"/>
      <c r="G1821" s="5"/>
      <c r="J1821" s="25"/>
      <c r="K1821" s="25"/>
      <c r="L1821" s="24"/>
    </row>
    <row r="1822" spans="2:12" x14ac:dyDescent="0.35">
      <c r="B1822" s="28"/>
      <c r="C1822" s="27"/>
      <c r="D1822" s="27"/>
      <c r="E1822" s="26"/>
      <c r="F1822" s="26"/>
      <c r="G1822" s="5"/>
      <c r="L1822" s="22"/>
    </row>
    <row r="1823" spans="2:12" x14ac:dyDescent="0.35">
      <c r="B1823" s="45"/>
      <c r="E1823" s="5"/>
      <c r="F1823" s="5"/>
      <c r="G1823" s="5"/>
      <c r="L1823" s="22"/>
    </row>
    <row r="1824" spans="2:12" x14ac:dyDescent="0.35">
      <c r="B1824" s="45"/>
      <c r="E1824" s="5"/>
      <c r="F1824" s="5"/>
      <c r="G1824" s="5"/>
      <c r="L1824" s="22"/>
    </row>
    <row r="1825" spans="2:12" x14ac:dyDescent="0.35">
      <c r="B1825" s="45"/>
      <c r="E1825" s="5"/>
      <c r="F1825" s="5"/>
      <c r="G1825" s="5"/>
      <c r="L1825" s="22"/>
    </row>
    <row r="1826" spans="2:12" x14ac:dyDescent="0.35">
      <c r="B1826" s="45"/>
      <c r="E1826" s="5"/>
      <c r="F1826" s="5"/>
      <c r="G1826" s="5"/>
      <c r="J1826" s="40"/>
      <c r="K1826" s="286" t="s">
        <v>36</v>
      </c>
      <c r="L1826" s="287"/>
    </row>
    <row r="1827" spans="2:12" x14ac:dyDescent="0.35">
      <c r="B1827" s="45"/>
      <c r="K1827" s="288" t="s">
        <v>37</v>
      </c>
      <c r="L1827" s="289"/>
    </row>
    <row r="1828" spans="2:12" x14ac:dyDescent="0.35">
      <c r="B1828" s="290"/>
      <c r="C1828" s="291"/>
      <c r="D1828" s="291"/>
      <c r="E1828" s="41"/>
      <c r="F1828" s="41"/>
      <c r="G1828" s="41"/>
      <c r="H1828" s="2"/>
      <c r="I1828" s="2"/>
      <c r="J1828" s="2"/>
      <c r="K1828" s="2"/>
      <c r="L1828" s="21"/>
    </row>
    <row r="1829" spans="2:12" x14ac:dyDescent="0.35">
      <c r="B1829" s="47"/>
      <c r="C1829" s="48"/>
      <c r="D1829" s="49"/>
      <c r="G1829" s="22"/>
      <c r="H1829" s="1"/>
      <c r="I1829" s="1"/>
      <c r="J1829" s="43"/>
      <c r="K1829" s="30"/>
      <c r="L1829" s="44"/>
    </row>
    <row r="1830" spans="2:12" x14ac:dyDescent="0.35">
      <c r="B1830" s="174"/>
      <c r="C1830" s="175"/>
      <c r="D1830" s="176"/>
      <c r="E1830" s="163"/>
      <c r="F1830" s="163" t="s">
        <v>89</v>
      </c>
      <c r="G1830" s="164" t="s">
        <v>1035</v>
      </c>
      <c r="H1830" s="177">
        <v>10.880099999999999</v>
      </c>
      <c r="I1830" s="163" t="s">
        <v>87</v>
      </c>
      <c r="J1830" s="65">
        <v>31000</v>
      </c>
      <c r="K1830" s="65"/>
      <c r="L1830" s="46">
        <f t="shared" ref="L1830:L1834" si="70">J1830*H1830</f>
        <v>337283.1</v>
      </c>
    </row>
    <row r="1831" spans="2:12" x14ac:dyDescent="0.35">
      <c r="B1831" s="174"/>
      <c r="C1831" s="175"/>
      <c r="D1831" s="176"/>
      <c r="E1831" s="163"/>
      <c r="F1831" s="163" t="s">
        <v>89</v>
      </c>
      <c r="G1831" s="164" t="s">
        <v>1036</v>
      </c>
      <c r="H1831" s="177">
        <v>5.6519999999999992</v>
      </c>
      <c r="I1831" s="163" t="s">
        <v>87</v>
      </c>
      <c r="J1831" s="65">
        <v>31000</v>
      </c>
      <c r="K1831" s="65"/>
      <c r="L1831" s="46">
        <f t="shared" si="70"/>
        <v>175211.99999999997</v>
      </c>
    </row>
    <row r="1832" spans="2:12" x14ac:dyDescent="0.35">
      <c r="B1832" s="174"/>
      <c r="C1832" s="175"/>
      <c r="D1832" s="176"/>
      <c r="E1832" s="163"/>
      <c r="F1832" s="163" t="s">
        <v>89</v>
      </c>
      <c r="G1832" s="164" t="s">
        <v>1037</v>
      </c>
      <c r="H1832" s="177">
        <v>13.2822</v>
      </c>
      <c r="I1832" s="163" t="s">
        <v>87</v>
      </c>
      <c r="J1832" s="65">
        <v>31000</v>
      </c>
      <c r="K1832" s="65"/>
      <c r="L1832" s="46">
        <f t="shared" si="70"/>
        <v>411748.2</v>
      </c>
    </row>
    <row r="1833" spans="2:12" x14ac:dyDescent="0.35">
      <c r="B1833" s="174"/>
      <c r="C1833" s="175"/>
      <c r="D1833" s="176"/>
      <c r="E1833" s="163"/>
      <c r="F1833" s="163" t="s">
        <v>89</v>
      </c>
      <c r="G1833" s="164" t="s">
        <v>1038</v>
      </c>
      <c r="H1833" s="177">
        <v>10.851840000000001</v>
      </c>
      <c r="I1833" s="163" t="s">
        <v>87</v>
      </c>
      <c r="J1833" s="65">
        <v>31000</v>
      </c>
      <c r="K1833" s="65"/>
      <c r="L1833" s="46">
        <f t="shared" si="70"/>
        <v>336407.04000000004</v>
      </c>
    </row>
    <row r="1834" spans="2:12" x14ac:dyDescent="0.35">
      <c r="B1834" s="174"/>
      <c r="C1834" s="175"/>
      <c r="D1834" s="176"/>
      <c r="E1834" s="163"/>
      <c r="F1834" s="163" t="s">
        <v>89</v>
      </c>
      <c r="G1834" s="164" t="s">
        <v>1039</v>
      </c>
      <c r="H1834" s="177">
        <v>9.42</v>
      </c>
      <c r="I1834" s="163" t="s">
        <v>87</v>
      </c>
      <c r="J1834" s="65">
        <v>31000</v>
      </c>
      <c r="K1834" s="65"/>
      <c r="L1834" s="46">
        <f t="shared" si="70"/>
        <v>292020</v>
      </c>
    </row>
    <row r="1835" spans="2:12" x14ac:dyDescent="0.35">
      <c r="B1835" s="174"/>
      <c r="C1835" s="175"/>
      <c r="D1835" s="176" t="s">
        <v>51</v>
      </c>
      <c r="E1835" s="163"/>
      <c r="F1835" s="163" t="s">
        <v>182</v>
      </c>
      <c r="G1835" s="164"/>
      <c r="H1835" s="178"/>
      <c r="I1835" s="163"/>
      <c r="J1835" s="65"/>
      <c r="K1835" s="65"/>
      <c r="L1835" s="46"/>
    </row>
    <row r="1836" spans="2:12" x14ac:dyDescent="0.35">
      <c r="B1836" s="174"/>
      <c r="C1836" s="175"/>
      <c r="D1836" s="176"/>
      <c r="E1836" s="163"/>
      <c r="F1836" s="163" t="s">
        <v>89</v>
      </c>
      <c r="G1836" s="164" t="s">
        <v>1040</v>
      </c>
      <c r="H1836" s="102">
        <f>4.53*0.24*1.2*10*7.85</f>
        <v>102.41423999999998</v>
      </c>
      <c r="I1836" s="163" t="s">
        <v>87</v>
      </c>
      <c r="J1836" s="65">
        <v>31000</v>
      </c>
      <c r="K1836" s="65"/>
      <c r="L1836" s="46">
        <f>J1836*H1836</f>
        <v>3174841.4399999995</v>
      </c>
    </row>
    <row r="1837" spans="2:12" x14ac:dyDescent="0.35">
      <c r="B1837" s="174"/>
      <c r="C1837" s="175"/>
      <c r="D1837" s="176"/>
      <c r="E1837" s="163"/>
      <c r="F1837" s="163" t="s">
        <v>89</v>
      </c>
      <c r="G1837" s="164" t="s">
        <v>1041</v>
      </c>
      <c r="H1837" s="177">
        <v>407.39616000000001</v>
      </c>
      <c r="I1837" s="163" t="s">
        <v>87</v>
      </c>
      <c r="J1837" s="65">
        <v>31000</v>
      </c>
      <c r="K1837" s="65"/>
      <c r="L1837" s="46">
        <f>J1837*H1837</f>
        <v>12629280.960000001</v>
      </c>
    </row>
    <row r="1838" spans="2:12" x14ac:dyDescent="0.35">
      <c r="B1838" s="174"/>
      <c r="C1838" s="175"/>
      <c r="D1838" s="176"/>
      <c r="E1838" s="163"/>
      <c r="F1838" s="163" t="s">
        <v>89</v>
      </c>
      <c r="G1838" s="164" t="s">
        <v>1042</v>
      </c>
      <c r="H1838" s="102">
        <f>1.6*0.24*1.2*10*7.85*2</f>
        <v>72.34559999999999</v>
      </c>
      <c r="I1838" s="163" t="s">
        <v>87</v>
      </c>
      <c r="J1838" s="65">
        <v>31000</v>
      </c>
      <c r="K1838" s="65"/>
      <c r="L1838" s="46">
        <f>J1838*H1838</f>
        <v>2242713.5999999996</v>
      </c>
    </row>
    <row r="1839" spans="2:12" x14ac:dyDescent="0.35">
      <c r="B1839" s="174"/>
      <c r="C1839" s="175"/>
      <c r="D1839" s="176"/>
      <c r="E1839" s="163"/>
      <c r="F1839" s="163" t="s">
        <v>89</v>
      </c>
      <c r="G1839" s="164" t="s">
        <v>1043</v>
      </c>
      <c r="H1839" s="177">
        <v>4.71</v>
      </c>
      <c r="I1839" s="163" t="s">
        <v>87</v>
      </c>
      <c r="J1839" s="65">
        <v>31000</v>
      </c>
      <c r="K1839" s="65"/>
      <c r="L1839" s="46">
        <f>J1839*H1839</f>
        <v>146010</v>
      </c>
    </row>
    <row r="1840" spans="2:12" x14ac:dyDescent="0.35">
      <c r="B1840" s="174"/>
      <c r="C1840" s="175"/>
      <c r="D1840" s="176" t="s">
        <v>53</v>
      </c>
      <c r="E1840" s="163"/>
      <c r="F1840" s="163" t="s">
        <v>183</v>
      </c>
      <c r="G1840" s="164"/>
      <c r="H1840" s="178"/>
      <c r="I1840" s="163"/>
      <c r="J1840" s="29"/>
      <c r="K1840" s="51"/>
      <c r="L1840" s="46"/>
    </row>
    <row r="1841" spans="2:12" x14ac:dyDescent="0.35">
      <c r="B1841" s="174"/>
      <c r="C1841" s="175"/>
      <c r="D1841" s="176"/>
      <c r="E1841" s="163"/>
      <c r="F1841" s="163" t="s">
        <v>89</v>
      </c>
      <c r="G1841" s="164" t="s">
        <v>1044</v>
      </c>
      <c r="H1841" s="177">
        <v>76.867199999999997</v>
      </c>
      <c r="I1841" s="163" t="s">
        <v>87</v>
      </c>
      <c r="J1841" s="65">
        <v>31000</v>
      </c>
      <c r="K1841" s="65"/>
      <c r="L1841" s="46">
        <f t="shared" ref="L1841:L1846" si="71">J1841*H1841</f>
        <v>2382883.1999999997</v>
      </c>
    </row>
    <row r="1842" spans="2:12" x14ac:dyDescent="0.35">
      <c r="B1842" s="174"/>
      <c r="C1842" s="175"/>
      <c r="D1842" s="176"/>
      <c r="E1842" s="163"/>
      <c r="F1842" s="163" t="s">
        <v>89</v>
      </c>
      <c r="G1842" s="164" t="s">
        <v>1045</v>
      </c>
      <c r="H1842" s="177">
        <v>111.90959999999998</v>
      </c>
      <c r="I1842" s="163" t="s">
        <v>87</v>
      </c>
      <c r="J1842" s="65">
        <v>31000</v>
      </c>
      <c r="K1842" s="65"/>
      <c r="L1842" s="46">
        <f t="shared" si="71"/>
        <v>3469197.5999999996</v>
      </c>
    </row>
    <row r="1843" spans="2:12" x14ac:dyDescent="0.35">
      <c r="B1843" s="174"/>
      <c r="C1843" s="175"/>
      <c r="D1843" s="176"/>
      <c r="E1843" s="163"/>
      <c r="F1843" s="163" t="s">
        <v>89</v>
      </c>
      <c r="G1843" s="164" t="s">
        <v>1046</v>
      </c>
      <c r="H1843" s="177">
        <v>74.888999999999996</v>
      </c>
      <c r="I1843" s="163" t="s">
        <v>87</v>
      </c>
      <c r="J1843" s="65">
        <v>31000</v>
      </c>
      <c r="K1843" s="65"/>
      <c r="L1843" s="46">
        <f t="shared" si="71"/>
        <v>2321559</v>
      </c>
    </row>
    <row r="1844" spans="2:12" x14ac:dyDescent="0.35">
      <c r="B1844" s="174"/>
      <c r="C1844" s="175"/>
      <c r="D1844" s="176"/>
      <c r="E1844" s="163"/>
      <c r="F1844" s="163" t="s">
        <v>89</v>
      </c>
      <c r="G1844" s="164" t="s">
        <v>1047</v>
      </c>
      <c r="H1844" s="177">
        <v>30.143999999999998</v>
      </c>
      <c r="I1844" s="163" t="s">
        <v>87</v>
      </c>
      <c r="J1844" s="65">
        <v>31000</v>
      </c>
      <c r="K1844" s="65"/>
      <c r="L1844" s="46">
        <f t="shared" si="71"/>
        <v>934464</v>
      </c>
    </row>
    <row r="1845" spans="2:12" x14ac:dyDescent="0.35">
      <c r="B1845" s="174"/>
      <c r="C1845" s="175"/>
      <c r="D1845" s="176"/>
      <c r="E1845" s="163"/>
      <c r="F1845" s="163" t="s">
        <v>89</v>
      </c>
      <c r="G1845" s="164" t="s">
        <v>1048</v>
      </c>
      <c r="H1845" s="177">
        <v>4.0694400000000002</v>
      </c>
      <c r="I1845" s="163" t="s">
        <v>87</v>
      </c>
      <c r="J1845" s="65">
        <v>31000</v>
      </c>
      <c r="K1845" s="65"/>
      <c r="L1845" s="46">
        <f t="shared" si="71"/>
        <v>126152.64</v>
      </c>
    </row>
    <row r="1846" spans="2:12" x14ac:dyDescent="0.35">
      <c r="B1846" s="174"/>
      <c r="C1846" s="175"/>
      <c r="D1846" s="176"/>
      <c r="E1846" s="163"/>
      <c r="F1846" s="163" t="s">
        <v>89</v>
      </c>
      <c r="G1846" s="164" t="s">
        <v>1049</v>
      </c>
      <c r="H1846" s="177">
        <v>10.5975</v>
      </c>
      <c r="I1846" s="163" t="s">
        <v>87</v>
      </c>
      <c r="J1846" s="65">
        <v>31000</v>
      </c>
      <c r="K1846" s="65"/>
      <c r="L1846" s="46">
        <f t="shared" si="71"/>
        <v>328522.5</v>
      </c>
    </row>
    <row r="1847" spans="2:12" x14ac:dyDescent="0.35">
      <c r="B1847" s="174"/>
      <c r="C1847" s="175"/>
      <c r="D1847" s="176" t="s">
        <v>55</v>
      </c>
      <c r="E1847" s="163"/>
      <c r="F1847" s="163" t="s">
        <v>184</v>
      </c>
      <c r="G1847" s="164"/>
      <c r="H1847" s="177"/>
      <c r="I1847" s="163"/>
      <c r="J1847" s="50"/>
      <c r="K1847" s="29"/>
      <c r="L1847" s="52"/>
    </row>
    <row r="1848" spans="2:12" x14ac:dyDescent="0.35">
      <c r="B1848" s="174"/>
      <c r="C1848" s="175"/>
      <c r="D1848" s="176"/>
      <c r="E1848" s="163"/>
      <c r="F1848" s="163" t="s">
        <v>89</v>
      </c>
      <c r="G1848" s="164" t="s">
        <v>1050</v>
      </c>
      <c r="H1848" s="177">
        <v>118.92749999999999</v>
      </c>
      <c r="I1848" s="163" t="s">
        <v>87</v>
      </c>
      <c r="J1848" s="65">
        <v>31000</v>
      </c>
      <c r="K1848" s="65"/>
      <c r="L1848" s="46">
        <f>J1848*H1848</f>
        <v>3686752.5</v>
      </c>
    </row>
    <row r="1849" spans="2:12" x14ac:dyDescent="0.35">
      <c r="B1849" s="174"/>
      <c r="C1849" s="175"/>
      <c r="D1849" s="176" t="s">
        <v>65</v>
      </c>
      <c r="E1849" s="163"/>
      <c r="F1849" s="163" t="s">
        <v>185</v>
      </c>
      <c r="G1849" s="164"/>
      <c r="H1849" s="177"/>
      <c r="I1849" s="163"/>
      <c r="J1849" s="50"/>
      <c r="K1849" s="29"/>
      <c r="L1849" s="52"/>
    </row>
    <row r="1850" spans="2:12" x14ac:dyDescent="0.35">
      <c r="B1850" s="174"/>
      <c r="C1850" s="175"/>
      <c r="D1850" s="176"/>
      <c r="E1850" s="163"/>
      <c r="F1850" s="163" t="s">
        <v>89</v>
      </c>
      <c r="G1850" s="164" t="s">
        <v>1051</v>
      </c>
      <c r="H1850" s="177">
        <v>1429.05168</v>
      </c>
      <c r="I1850" s="163" t="s">
        <v>87</v>
      </c>
      <c r="J1850" s="65">
        <v>31000</v>
      </c>
      <c r="K1850" s="65"/>
      <c r="L1850" s="46">
        <f t="shared" ref="L1850:L1873" si="72">J1850*H1850</f>
        <v>44300602.079999998</v>
      </c>
    </row>
    <row r="1851" spans="2:12" x14ac:dyDescent="0.35">
      <c r="B1851" s="174"/>
      <c r="C1851" s="175"/>
      <c r="D1851" s="176"/>
      <c r="E1851" s="163"/>
      <c r="F1851" s="163" t="s">
        <v>89</v>
      </c>
      <c r="G1851" s="164" t="s">
        <v>1052</v>
      </c>
      <c r="H1851" s="177">
        <v>516.5927999999999</v>
      </c>
      <c r="I1851" s="163" t="s">
        <v>87</v>
      </c>
      <c r="J1851" s="65">
        <v>31000</v>
      </c>
      <c r="K1851" s="65"/>
      <c r="L1851" s="46">
        <f t="shared" si="72"/>
        <v>16014376.799999997</v>
      </c>
    </row>
    <row r="1852" spans="2:12" x14ac:dyDescent="0.35">
      <c r="B1852" s="174"/>
      <c r="C1852" s="175"/>
      <c r="D1852" s="176"/>
      <c r="E1852" s="163"/>
      <c r="F1852" s="163" t="s">
        <v>89</v>
      </c>
      <c r="G1852" s="164" t="s">
        <v>1053</v>
      </c>
      <c r="H1852" s="177">
        <v>1155.2687999999998</v>
      </c>
      <c r="I1852" s="163" t="s">
        <v>87</v>
      </c>
      <c r="J1852" s="65">
        <v>31000</v>
      </c>
      <c r="K1852" s="65"/>
      <c r="L1852" s="46">
        <f t="shared" si="72"/>
        <v>35813332.799999997</v>
      </c>
    </row>
    <row r="1853" spans="2:12" x14ac:dyDescent="0.35">
      <c r="B1853" s="174"/>
      <c r="C1853" s="175"/>
      <c r="D1853" s="176"/>
      <c r="E1853" s="163"/>
      <c r="F1853" s="163" t="s">
        <v>89</v>
      </c>
      <c r="G1853" s="164" t="s">
        <v>1054</v>
      </c>
      <c r="H1853" s="177">
        <v>317.07719999999995</v>
      </c>
      <c r="I1853" s="163" t="s">
        <v>87</v>
      </c>
      <c r="J1853" s="65">
        <v>31000</v>
      </c>
      <c r="K1853" s="65"/>
      <c r="L1853" s="46">
        <f t="shared" si="72"/>
        <v>9829393.1999999993</v>
      </c>
    </row>
    <row r="1854" spans="2:12" x14ac:dyDescent="0.35">
      <c r="B1854" s="174"/>
      <c r="C1854" s="175"/>
      <c r="D1854" s="176"/>
      <c r="E1854" s="163"/>
      <c r="F1854" s="163" t="s">
        <v>89</v>
      </c>
      <c r="G1854" s="164" t="s">
        <v>1055</v>
      </c>
      <c r="H1854" s="177">
        <v>45.894239999999996</v>
      </c>
      <c r="I1854" s="163" t="s">
        <v>87</v>
      </c>
      <c r="J1854" s="65">
        <v>31000</v>
      </c>
      <c r="K1854" s="65"/>
      <c r="L1854" s="46">
        <f t="shared" si="72"/>
        <v>1422721.44</v>
      </c>
    </row>
    <row r="1855" spans="2:12" x14ac:dyDescent="0.35">
      <c r="B1855" s="174"/>
      <c r="C1855" s="175"/>
      <c r="D1855" s="176"/>
      <c r="E1855" s="163"/>
      <c r="F1855" s="163" t="s">
        <v>89</v>
      </c>
      <c r="G1855" s="164" t="s">
        <v>1056</v>
      </c>
      <c r="H1855" s="177">
        <v>23.549999999999997</v>
      </c>
      <c r="I1855" s="163" t="s">
        <v>87</v>
      </c>
      <c r="J1855" s="65">
        <v>31000</v>
      </c>
      <c r="K1855" s="65"/>
      <c r="L1855" s="46">
        <f t="shared" si="72"/>
        <v>730049.99999999988</v>
      </c>
    </row>
    <row r="1856" spans="2:12" x14ac:dyDescent="0.35">
      <c r="B1856" s="174"/>
      <c r="C1856" s="175"/>
      <c r="D1856" s="176"/>
      <c r="E1856" s="163"/>
      <c r="F1856" s="163" t="s">
        <v>89</v>
      </c>
      <c r="G1856" s="164" t="s">
        <v>1057</v>
      </c>
      <c r="H1856" s="177">
        <v>10.851839999999999</v>
      </c>
      <c r="I1856" s="163" t="s">
        <v>87</v>
      </c>
      <c r="J1856" s="65">
        <v>31000</v>
      </c>
      <c r="K1856" s="65"/>
      <c r="L1856" s="46">
        <f t="shared" si="72"/>
        <v>336407.03999999998</v>
      </c>
    </row>
    <row r="1857" spans="2:12" x14ac:dyDescent="0.35">
      <c r="B1857" s="174"/>
      <c r="C1857" s="175"/>
      <c r="D1857" s="176"/>
      <c r="E1857" s="163"/>
      <c r="F1857" s="163" t="s">
        <v>89</v>
      </c>
      <c r="G1857" s="164" t="s">
        <v>1058</v>
      </c>
      <c r="H1857" s="177">
        <v>12.208320000000001</v>
      </c>
      <c r="I1857" s="163" t="s">
        <v>87</v>
      </c>
      <c r="J1857" s="65">
        <v>31000</v>
      </c>
      <c r="K1857" s="65"/>
      <c r="L1857" s="46">
        <f t="shared" si="72"/>
        <v>378457.92000000004</v>
      </c>
    </row>
    <row r="1858" spans="2:12" x14ac:dyDescent="0.35">
      <c r="B1858" s="174"/>
      <c r="C1858" s="175"/>
      <c r="D1858" s="176"/>
      <c r="E1858" s="163"/>
      <c r="F1858" s="163" t="s">
        <v>89</v>
      </c>
      <c r="G1858" s="164" t="s">
        <v>1059</v>
      </c>
      <c r="H1858" s="177">
        <v>14.243040000000001</v>
      </c>
      <c r="I1858" s="163" t="s">
        <v>87</v>
      </c>
      <c r="J1858" s="65">
        <v>31000</v>
      </c>
      <c r="K1858" s="65"/>
      <c r="L1858" s="46">
        <f t="shared" si="72"/>
        <v>441534.24</v>
      </c>
    </row>
    <row r="1859" spans="2:12" x14ac:dyDescent="0.35">
      <c r="B1859" s="174"/>
      <c r="C1859" s="175"/>
      <c r="D1859" s="176"/>
      <c r="E1859" s="163"/>
      <c r="F1859" s="163" t="s">
        <v>89</v>
      </c>
      <c r="G1859" s="164" t="s">
        <v>1060</v>
      </c>
      <c r="H1859" s="177">
        <v>16.50384</v>
      </c>
      <c r="I1859" s="163" t="s">
        <v>87</v>
      </c>
      <c r="J1859" s="65">
        <v>31000</v>
      </c>
      <c r="K1859" s="65"/>
      <c r="L1859" s="46">
        <f t="shared" si="72"/>
        <v>511619.04000000004</v>
      </c>
    </row>
    <row r="1860" spans="2:12" x14ac:dyDescent="0.35">
      <c r="B1860" s="174"/>
      <c r="C1860" s="175"/>
      <c r="D1860" s="176"/>
      <c r="E1860" s="163"/>
      <c r="F1860" s="163" t="s">
        <v>89</v>
      </c>
      <c r="G1860" s="164" t="s">
        <v>1061</v>
      </c>
      <c r="H1860" s="177">
        <v>23.964479999999998</v>
      </c>
      <c r="I1860" s="163" t="s">
        <v>87</v>
      </c>
      <c r="J1860" s="65">
        <v>31000</v>
      </c>
      <c r="K1860" s="65"/>
      <c r="L1860" s="46">
        <f t="shared" si="72"/>
        <v>742898.87999999989</v>
      </c>
    </row>
    <row r="1861" spans="2:12" x14ac:dyDescent="0.35">
      <c r="B1861" s="174"/>
      <c r="C1861" s="175"/>
      <c r="D1861" s="176"/>
      <c r="E1861" s="163"/>
      <c r="F1861" s="163" t="s">
        <v>89</v>
      </c>
      <c r="G1861" s="164" t="s">
        <v>1062</v>
      </c>
      <c r="H1861" s="177">
        <v>10.62576</v>
      </c>
      <c r="I1861" s="163" t="s">
        <v>87</v>
      </c>
      <c r="J1861" s="65">
        <v>31000</v>
      </c>
      <c r="K1861" s="65"/>
      <c r="L1861" s="46">
        <f t="shared" si="72"/>
        <v>329398.56</v>
      </c>
    </row>
    <row r="1862" spans="2:12" x14ac:dyDescent="0.35">
      <c r="B1862" s="174"/>
      <c r="C1862" s="175"/>
      <c r="D1862" s="176"/>
      <c r="E1862" s="163"/>
      <c r="F1862" s="163" t="s">
        <v>89</v>
      </c>
      <c r="G1862" s="164" t="s">
        <v>999</v>
      </c>
      <c r="H1862" s="177">
        <v>11.304</v>
      </c>
      <c r="I1862" s="163" t="s">
        <v>87</v>
      </c>
      <c r="J1862" s="65">
        <v>31000</v>
      </c>
      <c r="K1862" s="65"/>
      <c r="L1862" s="46">
        <f t="shared" si="72"/>
        <v>350424</v>
      </c>
    </row>
    <row r="1863" spans="2:12" x14ac:dyDescent="0.35">
      <c r="B1863" s="174"/>
      <c r="C1863" s="175"/>
      <c r="D1863" s="176"/>
      <c r="E1863" s="163"/>
      <c r="F1863" s="163" t="s">
        <v>89</v>
      </c>
      <c r="G1863" s="164" t="s">
        <v>1063</v>
      </c>
      <c r="H1863" s="177">
        <v>237.38399999999996</v>
      </c>
      <c r="I1863" s="163" t="s">
        <v>87</v>
      </c>
      <c r="J1863" s="65">
        <v>31000</v>
      </c>
      <c r="K1863" s="65"/>
      <c r="L1863" s="46">
        <f t="shared" si="72"/>
        <v>7358903.9999999991</v>
      </c>
    </row>
    <row r="1864" spans="2:12" x14ac:dyDescent="0.35">
      <c r="B1864" s="174"/>
      <c r="C1864" s="175"/>
      <c r="D1864" s="176"/>
      <c r="E1864" s="163"/>
      <c r="F1864" s="163" t="s">
        <v>89</v>
      </c>
      <c r="G1864" s="164" t="s">
        <v>1064</v>
      </c>
      <c r="H1864" s="177">
        <v>29.672999999999998</v>
      </c>
      <c r="I1864" s="163" t="s">
        <v>87</v>
      </c>
      <c r="J1864" s="65">
        <v>31000</v>
      </c>
      <c r="K1864" s="65"/>
      <c r="L1864" s="46">
        <f t="shared" si="72"/>
        <v>919863</v>
      </c>
    </row>
    <row r="1865" spans="2:12" x14ac:dyDescent="0.35">
      <c r="B1865" s="174"/>
      <c r="C1865" s="175"/>
      <c r="D1865" s="176"/>
      <c r="E1865" s="163"/>
      <c r="F1865" s="163" t="s">
        <v>89</v>
      </c>
      <c r="G1865" s="164" t="s">
        <v>1065</v>
      </c>
      <c r="H1865" s="177">
        <v>207.71099999999998</v>
      </c>
      <c r="I1865" s="163" t="s">
        <v>87</v>
      </c>
      <c r="J1865" s="65">
        <v>31000</v>
      </c>
      <c r="K1865" s="65"/>
      <c r="L1865" s="46">
        <f t="shared" si="72"/>
        <v>6439040.9999999991</v>
      </c>
    </row>
    <row r="1866" spans="2:12" x14ac:dyDescent="0.35">
      <c r="B1866" s="174"/>
      <c r="C1866" s="175"/>
      <c r="D1866" s="176"/>
      <c r="E1866" s="163"/>
      <c r="F1866" s="163" t="s">
        <v>89</v>
      </c>
      <c r="G1866" s="164" t="s">
        <v>1066</v>
      </c>
      <c r="H1866" s="177">
        <v>93.446399999999997</v>
      </c>
      <c r="I1866" s="163" t="s">
        <v>87</v>
      </c>
      <c r="J1866" s="65">
        <v>31000</v>
      </c>
      <c r="K1866" s="65"/>
      <c r="L1866" s="46">
        <f t="shared" si="72"/>
        <v>2896838.4</v>
      </c>
    </row>
    <row r="1867" spans="2:12" x14ac:dyDescent="0.35">
      <c r="B1867" s="174"/>
      <c r="C1867" s="175"/>
      <c r="D1867" s="176"/>
      <c r="E1867" s="163"/>
      <c r="F1867" s="163" t="s">
        <v>89</v>
      </c>
      <c r="G1867" s="164" t="s">
        <v>1067</v>
      </c>
      <c r="H1867" s="177">
        <v>37.868399999999994</v>
      </c>
      <c r="I1867" s="163" t="s">
        <v>87</v>
      </c>
      <c r="J1867" s="65">
        <v>31000</v>
      </c>
      <c r="K1867" s="65"/>
      <c r="L1867" s="46">
        <f t="shared" si="72"/>
        <v>1173920.3999999999</v>
      </c>
    </row>
    <row r="1868" spans="2:12" x14ac:dyDescent="0.35">
      <c r="B1868" s="174"/>
      <c r="C1868" s="175"/>
      <c r="D1868" s="176"/>
      <c r="E1868" s="163"/>
      <c r="F1868" s="163" t="s">
        <v>89</v>
      </c>
      <c r="G1868" s="164" t="s">
        <v>1068</v>
      </c>
      <c r="H1868" s="177">
        <v>101.73599999999999</v>
      </c>
      <c r="I1868" s="163" t="s">
        <v>87</v>
      </c>
      <c r="J1868" s="65">
        <v>31000</v>
      </c>
      <c r="K1868" s="65"/>
      <c r="L1868" s="46">
        <f t="shared" si="72"/>
        <v>3153815.9999999995</v>
      </c>
    </row>
    <row r="1869" spans="2:12" x14ac:dyDescent="0.35">
      <c r="B1869" s="174"/>
      <c r="C1869" s="175"/>
      <c r="D1869" s="176"/>
      <c r="E1869" s="163"/>
      <c r="F1869" s="163" t="s">
        <v>89</v>
      </c>
      <c r="G1869" s="164" t="s">
        <v>1069</v>
      </c>
      <c r="H1869" s="177">
        <v>70.084799999999987</v>
      </c>
      <c r="I1869" s="163" t="s">
        <v>87</v>
      </c>
      <c r="J1869" s="65">
        <v>31000</v>
      </c>
      <c r="K1869" s="65"/>
      <c r="L1869" s="46">
        <f t="shared" si="72"/>
        <v>2172628.7999999998</v>
      </c>
    </row>
    <row r="1870" spans="2:12" x14ac:dyDescent="0.35">
      <c r="B1870" s="174"/>
      <c r="C1870" s="175"/>
      <c r="D1870" s="176"/>
      <c r="E1870" s="163"/>
      <c r="F1870" s="163" t="s">
        <v>89</v>
      </c>
      <c r="G1870" s="164" t="s">
        <v>1070</v>
      </c>
      <c r="H1870" s="177">
        <v>31.556999999999999</v>
      </c>
      <c r="I1870" s="163" t="s">
        <v>87</v>
      </c>
      <c r="J1870" s="65">
        <v>31000</v>
      </c>
      <c r="K1870" s="65"/>
      <c r="L1870" s="46">
        <f t="shared" si="72"/>
        <v>978267</v>
      </c>
    </row>
    <row r="1871" spans="2:12" x14ac:dyDescent="0.35">
      <c r="B1871" s="174"/>
      <c r="C1871" s="175"/>
      <c r="D1871" s="176"/>
      <c r="E1871" s="163"/>
      <c r="F1871" s="163" t="s">
        <v>89</v>
      </c>
      <c r="G1871" s="164" t="s">
        <v>235</v>
      </c>
      <c r="H1871" s="177">
        <v>15.071999999999997</v>
      </c>
      <c r="I1871" s="163" t="s">
        <v>87</v>
      </c>
      <c r="J1871" s="65">
        <v>31000</v>
      </c>
      <c r="K1871" s="65"/>
      <c r="L1871" s="46">
        <f t="shared" si="72"/>
        <v>467231.99999999994</v>
      </c>
    </row>
    <row r="1872" spans="2:12" x14ac:dyDescent="0.35">
      <c r="B1872" s="174"/>
      <c r="C1872" s="175"/>
      <c r="D1872" s="176"/>
      <c r="E1872" s="163"/>
      <c r="F1872" s="163" t="s">
        <v>89</v>
      </c>
      <c r="G1872" s="164" t="s">
        <v>255</v>
      </c>
      <c r="H1872" s="177">
        <v>21.703680000000002</v>
      </c>
      <c r="I1872" s="163" t="s">
        <v>87</v>
      </c>
      <c r="J1872" s="65">
        <v>31000</v>
      </c>
      <c r="K1872" s="65"/>
      <c r="L1872" s="46">
        <f t="shared" si="72"/>
        <v>672814.08000000007</v>
      </c>
    </row>
    <row r="1873" spans="2:12" x14ac:dyDescent="0.35">
      <c r="B1873" s="174"/>
      <c r="C1873" s="175"/>
      <c r="D1873" s="176"/>
      <c r="E1873" s="163"/>
      <c r="F1873" s="163" t="s">
        <v>89</v>
      </c>
      <c r="G1873" s="164" t="s">
        <v>1071</v>
      </c>
      <c r="H1873" s="177">
        <v>37.68</v>
      </c>
      <c r="I1873" s="163" t="s">
        <v>87</v>
      </c>
      <c r="J1873" s="65">
        <v>31000</v>
      </c>
      <c r="K1873" s="65"/>
      <c r="L1873" s="46">
        <f t="shared" si="72"/>
        <v>1168080</v>
      </c>
    </row>
    <row r="1874" spans="2:12" x14ac:dyDescent="0.35">
      <c r="B1874" s="174"/>
      <c r="C1874" s="175"/>
      <c r="D1874" s="176" t="s">
        <v>141</v>
      </c>
      <c r="E1874" s="163"/>
      <c r="F1874" s="163" t="s">
        <v>186</v>
      </c>
      <c r="G1874" s="164"/>
      <c r="H1874" s="178"/>
      <c r="I1874" s="163"/>
      <c r="J1874" s="29"/>
      <c r="K1874" s="51"/>
      <c r="L1874" s="46"/>
    </row>
    <row r="1875" spans="2:12" x14ac:dyDescent="0.35">
      <c r="B1875" s="174"/>
      <c r="C1875" s="175"/>
      <c r="D1875" s="176"/>
      <c r="E1875" s="163"/>
      <c r="F1875" s="163" t="s">
        <v>89</v>
      </c>
      <c r="G1875" s="164" t="s">
        <v>954</v>
      </c>
      <c r="H1875" s="177">
        <v>25.905000000000001</v>
      </c>
      <c r="I1875" s="163" t="s">
        <v>87</v>
      </c>
      <c r="J1875" s="65">
        <v>31000</v>
      </c>
      <c r="K1875" s="65"/>
      <c r="L1875" s="46">
        <f>J1875*H1875</f>
        <v>803055</v>
      </c>
    </row>
    <row r="1876" spans="2:12" x14ac:dyDescent="0.35">
      <c r="B1876" s="174"/>
      <c r="C1876" s="175"/>
      <c r="D1876" s="176"/>
      <c r="E1876" s="163"/>
      <c r="F1876" s="163" t="s">
        <v>89</v>
      </c>
      <c r="G1876" s="164" t="s">
        <v>1072</v>
      </c>
      <c r="H1876" s="177">
        <v>117.279</v>
      </c>
      <c r="I1876" s="163" t="s">
        <v>87</v>
      </c>
      <c r="J1876" s="65">
        <v>31000</v>
      </c>
      <c r="K1876" s="65"/>
      <c r="L1876" s="46">
        <f>J1876*H1876</f>
        <v>3635649</v>
      </c>
    </row>
    <row r="1877" spans="2:12" x14ac:dyDescent="0.35">
      <c r="B1877" s="174"/>
      <c r="C1877" s="175"/>
      <c r="D1877" s="176" t="s">
        <v>143</v>
      </c>
      <c r="E1877" s="163"/>
      <c r="F1877" s="163" t="s">
        <v>187</v>
      </c>
      <c r="G1877" s="164"/>
      <c r="H1877" s="177"/>
      <c r="I1877" s="163"/>
      <c r="J1877" s="65"/>
      <c r="K1877" s="65"/>
      <c r="L1877" s="46"/>
    </row>
    <row r="1878" spans="2:12" x14ac:dyDescent="0.35">
      <c r="B1878" s="174"/>
      <c r="C1878" s="175"/>
      <c r="D1878" s="176"/>
      <c r="E1878" s="163"/>
      <c r="F1878" s="163" t="s">
        <v>89</v>
      </c>
      <c r="G1878" s="164" t="s">
        <v>1073</v>
      </c>
      <c r="H1878" s="177">
        <v>516.02759999999989</v>
      </c>
      <c r="I1878" s="163" t="s">
        <v>87</v>
      </c>
      <c r="J1878" s="65">
        <v>31000</v>
      </c>
      <c r="K1878" s="65"/>
      <c r="L1878" s="46">
        <f t="shared" ref="L1878:L1880" si="73">J1878*H1878</f>
        <v>15996855.599999996</v>
      </c>
    </row>
    <row r="1879" spans="2:12" x14ac:dyDescent="0.35">
      <c r="B1879" s="174"/>
      <c r="C1879" s="175"/>
      <c r="D1879" s="176"/>
      <c r="E1879" s="163"/>
      <c r="F1879" s="163" t="s">
        <v>89</v>
      </c>
      <c r="G1879" s="164" t="s">
        <v>1053</v>
      </c>
      <c r="H1879" s="177">
        <v>1155.2687999999998</v>
      </c>
      <c r="I1879" s="163" t="s">
        <v>87</v>
      </c>
      <c r="J1879" s="65">
        <v>31000</v>
      </c>
      <c r="K1879" s="65"/>
      <c r="L1879" s="46">
        <f t="shared" si="73"/>
        <v>35813332.799999997</v>
      </c>
    </row>
    <row r="1880" spans="2:12" x14ac:dyDescent="0.35">
      <c r="B1880" s="174"/>
      <c r="C1880" s="175"/>
      <c r="D1880" s="176"/>
      <c r="E1880" s="163"/>
      <c r="F1880" s="163" t="s">
        <v>89</v>
      </c>
      <c r="G1880" s="164" t="s">
        <v>1074</v>
      </c>
      <c r="H1880" s="177">
        <v>336.95339999999999</v>
      </c>
      <c r="I1880" s="163" t="s">
        <v>87</v>
      </c>
      <c r="J1880" s="65">
        <v>31000</v>
      </c>
      <c r="K1880" s="65"/>
      <c r="L1880" s="46">
        <f t="shared" si="73"/>
        <v>10445555.4</v>
      </c>
    </row>
    <row r="1881" spans="2:12" x14ac:dyDescent="0.35">
      <c r="B1881" s="47"/>
      <c r="C1881" s="48"/>
      <c r="D1881" s="24"/>
      <c r="G1881" s="22"/>
      <c r="I1881" s="22"/>
      <c r="J1881" s="50"/>
      <c r="K1881" s="29"/>
      <c r="L1881" s="52"/>
    </row>
    <row r="1882" spans="2:12" x14ac:dyDescent="0.35">
      <c r="B1882" s="8"/>
      <c r="C1882" s="9"/>
      <c r="D1882" s="10"/>
      <c r="E1882" s="4"/>
      <c r="F1882" s="4"/>
      <c r="G1882" s="4"/>
      <c r="H1882" s="1"/>
      <c r="I1882" s="1"/>
      <c r="J1882" s="11" t="s">
        <v>8</v>
      </c>
      <c r="K1882" s="7">
        <f>SUM(K1829:K1881)</f>
        <v>0</v>
      </c>
      <c r="L1882" s="7">
        <f>SUM(L1829:L1881)</f>
        <v>238292116.26000002</v>
      </c>
    </row>
    <row r="1883" spans="2:12" x14ac:dyDescent="0.35">
      <c r="B1883" s="8"/>
      <c r="C1883" s="9"/>
      <c r="D1883" s="9"/>
      <c r="E1883" s="4"/>
      <c r="F1883" s="4"/>
      <c r="G1883" s="4"/>
      <c r="H1883" s="1"/>
      <c r="I1883" s="1"/>
      <c r="J1883" s="11"/>
      <c r="K1883" s="35" t="s">
        <v>22</v>
      </c>
      <c r="L1883" s="36" t="s">
        <v>23</v>
      </c>
    </row>
    <row r="1884" spans="2:12" x14ac:dyDescent="0.35">
      <c r="B1884" s="3" t="s">
        <v>9</v>
      </c>
      <c r="C1884" s="4"/>
      <c r="D1884" s="4"/>
      <c r="E1884" s="4"/>
      <c r="F1884" s="4"/>
      <c r="G1884" s="4"/>
      <c r="H1884" s="1"/>
      <c r="I1884" s="1"/>
      <c r="J1884" s="12"/>
      <c r="K1884" s="12"/>
      <c r="L1884" s="13"/>
    </row>
    <row r="1885" spans="2:12" x14ac:dyDescent="0.35">
      <c r="B1885" s="37"/>
      <c r="C1885" s="1"/>
      <c r="D1885" s="1"/>
      <c r="E1885" s="38"/>
      <c r="F1885" s="38"/>
      <c r="G1885" s="38"/>
      <c r="H1885" s="1"/>
      <c r="I1885" s="1"/>
      <c r="J1885" s="1"/>
      <c r="K1885" s="1"/>
      <c r="L1885" s="19"/>
    </row>
    <row r="1886" spans="2:12" x14ac:dyDescent="0.35">
      <c r="B1886" s="28" t="s">
        <v>6</v>
      </c>
      <c r="C1886" s="27"/>
      <c r="D1886" s="27"/>
      <c r="E1886" s="26"/>
      <c r="F1886" s="26"/>
      <c r="G1886" s="5"/>
      <c r="K1886" s="284" t="s">
        <v>1600</v>
      </c>
      <c r="L1886" s="285"/>
    </row>
    <row r="1887" spans="2:12" x14ac:dyDescent="0.35">
      <c r="B1887" s="28">
        <v>1</v>
      </c>
      <c r="C1887" s="27"/>
      <c r="D1887" s="27"/>
      <c r="E1887" s="26" t="s">
        <v>7</v>
      </c>
      <c r="F1887" s="26"/>
      <c r="G1887" s="5"/>
      <c r="K1887" s="284" t="s">
        <v>28</v>
      </c>
      <c r="L1887" s="285"/>
    </row>
    <row r="1888" spans="2:12" x14ac:dyDescent="0.35">
      <c r="B1888" s="39"/>
      <c r="C1888" s="27"/>
      <c r="D1888" s="27"/>
      <c r="E1888" s="26"/>
      <c r="F1888" s="26"/>
      <c r="G1888" s="5"/>
      <c r="J1888" s="25"/>
      <c r="K1888" s="25"/>
      <c r="L1888" s="24"/>
    </row>
    <row r="1889" spans="2:12" x14ac:dyDescent="0.35">
      <c r="B1889" s="28"/>
      <c r="C1889" s="27"/>
      <c r="D1889" s="27"/>
      <c r="E1889" s="26"/>
      <c r="F1889" s="26"/>
      <c r="G1889" s="5"/>
      <c r="L1889" s="22"/>
    </row>
    <row r="1890" spans="2:12" x14ac:dyDescent="0.35">
      <c r="B1890" s="45"/>
      <c r="E1890" s="5"/>
      <c r="F1890" s="5"/>
      <c r="G1890" s="5"/>
      <c r="L1890" s="22"/>
    </row>
    <row r="1891" spans="2:12" x14ac:dyDescent="0.35">
      <c r="B1891" s="45"/>
      <c r="E1891" s="5"/>
      <c r="F1891" s="5"/>
      <c r="G1891" s="5"/>
      <c r="L1891" s="22"/>
    </row>
    <row r="1892" spans="2:12" x14ac:dyDescent="0.35">
      <c r="B1892" s="45"/>
      <c r="E1892" s="5"/>
      <c r="F1892" s="5"/>
      <c r="G1892" s="5"/>
      <c r="L1892" s="22"/>
    </row>
    <row r="1893" spans="2:12" x14ac:dyDescent="0.35">
      <c r="B1893" s="45"/>
      <c r="E1893" s="5"/>
      <c r="F1893" s="5"/>
      <c r="G1893" s="5"/>
      <c r="J1893" s="40"/>
      <c r="K1893" s="286" t="s">
        <v>36</v>
      </c>
      <c r="L1893" s="287"/>
    </row>
    <row r="1894" spans="2:12" x14ac:dyDescent="0.35">
      <c r="B1894" s="45"/>
      <c r="K1894" s="288" t="s">
        <v>37</v>
      </c>
      <c r="L1894" s="289"/>
    </row>
    <row r="1895" spans="2:12" x14ac:dyDescent="0.35">
      <c r="B1895" s="290"/>
      <c r="C1895" s="291"/>
      <c r="D1895" s="291"/>
      <c r="E1895" s="41"/>
      <c r="F1895" s="41"/>
      <c r="G1895" s="41"/>
      <c r="H1895" s="2"/>
      <c r="I1895" s="2"/>
      <c r="J1895" s="2"/>
      <c r="K1895" s="2"/>
      <c r="L1895" s="21"/>
    </row>
    <row r="1896" spans="2:12" x14ac:dyDescent="0.35">
      <c r="B1896" s="47"/>
      <c r="C1896" s="48"/>
      <c r="D1896" s="49"/>
      <c r="G1896" s="22"/>
      <c r="H1896" s="1"/>
      <c r="I1896" s="1"/>
      <c r="J1896" s="43"/>
      <c r="K1896" s="30"/>
      <c r="L1896" s="44"/>
    </row>
    <row r="1897" spans="2:12" x14ac:dyDescent="0.35">
      <c r="B1897" s="174"/>
      <c r="C1897" s="175"/>
      <c r="D1897" s="176"/>
      <c r="E1897" s="163"/>
      <c r="F1897" s="163" t="s">
        <v>89</v>
      </c>
      <c r="G1897" s="164" t="s">
        <v>1075</v>
      </c>
      <c r="H1897" s="177">
        <v>27.129599999999996</v>
      </c>
      <c r="I1897" s="163" t="s">
        <v>87</v>
      </c>
      <c r="J1897" s="65">
        <v>31000</v>
      </c>
      <c r="K1897" s="65"/>
      <c r="L1897" s="46">
        <f t="shared" ref="L1897:L1905" si="74">J1897*H1897</f>
        <v>841017.59999999986</v>
      </c>
    </row>
    <row r="1898" spans="2:12" x14ac:dyDescent="0.35">
      <c r="B1898" s="174"/>
      <c r="C1898" s="175"/>
      <c r="D1898" s="176"/>
      <c r="E1898" s="163"/>
      <c r="F1898" s="163" t="s">
        <v>89</v>
      </c>
      <c r="G1898" s="164" t="s">
        <v>1076</v>
      </c>
      <c r="H1898" s="177">
        <v>161.6472</v>
      </c>
      <c r="I1898" s="163" t="s">
        <v>87</v>
      </c>
      <c r="J1898" s="65">
        <v>31000</v>
      </c>
      <c r="K1898" s="65"/>
      <c r="L1898" s="46">
        <f t="shared" si="74"/>
        <v>5011063.2</v>
      </c>
    </row>
    <row r="1899" spans="2:12" x14ac:dyDescent="0.35">
      <c r="B1899" s="174"/>
      <c r="C1899" s="175"/>
      <c r="D1899" s="176"/>
      <c r="E1899" s="163"/>
      <c r="F1899" s="163" t="s">
        <v>89</v>
      </c>
      <c r="G1899" s="164" t="s">
        <v>1077</v>
      </c>
      <c r="H1899" s="177">
        <v>35.449343999999996</v>
      </c>
      <c r="I1899" s="163" t="s">
        <v>87</v>
      </c>
      <c r="J1899" s="65">
        <v>31000</v>
      </c>
      <c r="K1899" s="65"/>
      <c r="L1899" s="46">
        <f t="shared" si="74"/>
        <v>1098929.6639999999</v>
      </c>
    </row>
    <row r="1900" spans="2:12" x14ac:dyDescent="0.35">
      <c r="B1900" s="174"/>
      <c r="C1900" s="175"/>
      <c r="D1900" s="176"/>
      <c r="E1900" s="163"/>
      <c r="F1900" s="163" t="s">
        <v>89</v>
      </c>
      <c r="G1900" s="164" t="s">
        <v>1078</v>
      </c>
      <c r="H1900" s="177">
        <v>41.448</v>
      </c>
      <c r="I1900" s="163" t="s">
        <v>87</v>
      </c>
      <c r="J1900" s="65">
        <v>31000</v>
      </c>
      <c r="K1900" s="65"/>
      <c r="L1900" s="46">
        <f t="shared" si="74"/>
        <v>1284888</v>
      </c>
    </row>
    <row r="1901" spans="2:12" x14ac:dyDescent="0.35">
      <c r="B1901" s="174"/>
      <c r="C1901" s="175"/>
      <c r="D1901" s="176"/>
      <c r="E1901" s="163"/>
      <c r="F1901" s="163" t="s">
        <v>89</v>
      </c>
      <c r="G1901" s="164" t="s">
        <v>1079</v>
      </c>
      <c r="H1901" s="177">
        <v>30.614999999999998</v>
      </c>
      <c r="I1901" s="163" t="s">
        <v>87</v>
      </c>
      <c r="J1901" s="65">
        <v>31000</v>
      </c>
      <c r="K1901" s="65"/>
      <c r="L1901" s="46">
        <f t="shared" si="74"/>
        <v>949065</v>
      </c>
    </row>
    <row r="1902" spans="2:12" x14ac:dyDescent="0.35">
      <c r="B1902" s="174"/>
      <c r="C1902" s="175"/>
      <c r="D1902" s="176"/>
      <c r="E1902" s="163"/>
      <c r="F1902" s="163" t="s">
        <v>89</v>
      </c>
      <c r="G1902" s="164" t="s">
        <v>1080</v>
      </c>
      <c r="H1902" s="177">
        <v>122.46</v>
      </c>
      <c r="I1902" s="163" t="s">
        <v>87</v>
      </c>
      <c r="J1902" s="65">
        <v>31000</v>
      </c>
      <c r="K1902" s="65"/>
      <c r="L1902" s="46">
        <f t="shared" si="74"/>
        <v>3796260</v>
      </c>
    </row>
    <row r="1903" spans="2:12" x14ac:dyDescent="0.35">
      <c r="B1903" s="174"/>
      <c r="C1903" s="175"/>
      <c r="D1903" s="176"/>
      <c r="E1903" s="163"/>
      <c r="F1903" s="163" t="s">
        <v>89</v>
      </c>
      <c r="G1903" s="164" t="s">
        <v>1081</v>
      </c>
      <c r="H1903" s="177">
        <v>53.693999999999996</v>
      </c>
      <c r="I1903" s="163" t="s">
        <v>87</v>
      </c>
      <c r="J1903" s="65">
        <v>31000</v>
      </c>
      <c r="K1903" s="65"/>
      <c r="L1903" s="46">
        <f t="shared" si="74"/>
        <v>1664513.9999999998</v>
      </c>
    </row>
    <row r="1904" spans="2:12" x14ac:dyDescent="0.35">
      <c r="B1904" s="174"/>
      <c r="C1904" s="175"/>
      <c r="D1904" s="176"/>
      <c r="E1904" s="163"/>
      <c r="F1904" s="163" t="s">
        <v>89</v>
      </c>
      <c r="G1904" s="164" t="s">
        <v>255</v>
      </c>
      <c r="H1904" s="177">
        <v>21.703680000000002</v>
      </c>
      <c r="I1904" s="163" t="s">
        <v>87</v>
      </c>
      <c r="J1904" s="65">
        <v>31000</v>
      </c>
      <c r="K1904" s="65"/>
      <c r="L1904" s="46">
        <f t="shared" si="74"/>
        <v>672814.08000000007</v>
      </c>
    </row>
    <row r="1905" spans="2:12" x14ac:dyDescent="0.35">
      <c r="B1905" s="174"/>
      <c r="C1905" s="175"/>
      <c r="D1905" s="176"/>
      <c r="E1905" s="163"/>
      <c r="F1905" s="163" t="s">
        <v>89</v>
      </c>
      <c r="G1905" s="164" t="s">
        <v>1082</v>
      </c>
      <c r="H1905" s="177">
        <v>49.454999999999998</v>
      </c>
      <c r="I1905" s="163" t="s">
        <v>87</v>
      </c>
      <c r="J1905" s="65">
        <v>31000</v>
      </c>
      <c r="K1905" s="65"/>
      <c r="L1905" s="46">
        <f t="shared" si="74"/>
        <v>1533105</v>
      </c>
    </row>
    <row r="1906" spans="2:12" x14ac:dyDescent="0.35">
      <c r="B1906" s="174"/>
      <c r="C1906" s="175"/>
      <c r="D1906" s="176" t="s">
        <v>67</v>
      </c>
      <c r="E1906" s="163"/>
      <c r="F1906" s="163" t="s">
        <v>188</v>
      </c>
      <c r="G1906" s="164"/>
      <c r="H1906" s="178"/>
      <c r="I1906" s="163"/>
      <c r="J1906" s="65"/>
      <c r="K1906" s="65"/>
      <c r="L1906" s="46"/>
    </row>
    <row r="1907" spans="2:12" x14ac:dyDescent="0.35">
      <c r="B1907" s="174"/>
      <c r="C1907" s="175"/>
      <c r="D1907" s="176"/>
      <c r="E1907" s="163"/>
      <c r="F1907" s="163" t="s">
        <v>89</v>
      </c>
      <c r="G1907" s="164" t="s">
        <v>1083</v>
      </c>
      <c r="H1907" s="102">
        <f>6.02*0.24*1.2*10*7.85</f>
        <v>136.10015999999999</v>
      </c>
      <c r="I1907" s="163" t="s">
        <v>87</v>
      </c>
      <c r="J1907" s="65">
        <v>31000</v>
      </c>
      <c r="K1907" s="65"/>
      <c r="L1907" s="46">
        <f t="shared" ref="L1907:L1913" si="75">J1907*H1907</f>
        <v>4219104.96</v>
      </c>
    </row>
    <row r="1908" spans="2:12" x14ac:dyDescent="0.35">
      <c r="B1908" s="174"/>
      <c r="C1908" s="175"/>
      <c r="D1908" s="176"/>
      <c r="E1908" s="163"/>
      <c r="F1908" s="163" t="s">
        <v>89</v>
      </c>
      <c r="G1908" s="164" t="s">
        <v>1084</v>
      </c>
      <c r="H1908" s="177">
        <v>160.06464</v>
      </c>
      <c r="I1908" s="163" t="s">
        <v>87</v>
      </c>
      <c r="J1908" s="65">
        <v>31000</v>
      </c>
      <c r="K1908" s="65"/>
      <c r="L1908" s="46">
        <f t="shared" si="75"/>
        <v>4962003.84</v>
      </c>
    </row>
    <row r="1909" spans="2:12" x14ac:dyDescent="0.35">
      <c r="B1909" s="174"/>
      <c r="C1909" s="175"/>
      <c r="D1909" s="176"/>
      <c r="E1909" s="163"/>
      <c r="F1909" s="163" t="s">
        <v>89</v>
      </c>
      <c r="G1909" s="164" t="s">
        <v>1085</v>
      </c>
      <c r="H1909" s="177">
        <v>161.19504000000001</v>
      </c>
      <c r="I1909" s="163" t="s">
        <v>87</v>
      </c>
      <c r="J1909" s="65">
        <v>31000</v>
      </c>
      <c r="K1909" s="65"/>
      <c r="L1909" s="46">
        <f t="shared" si="75"/>
        <v>4997046.24</v>
      </c>
    </row>
    <row r="1910" spans="2:12" x14ac:dyDescent="0.35">
      <c r="B1910" s="174"/>
      <c r="C1910" s="175"/>
      <c r="D1910" s="176"/>
      <c r="E1910" s="163"/>
      <c r="F1910" s="163" t="s">
        <v>89</v>
      </c>
      <c r="G1910" s="164" t="s">
        <v>1086</v>
      </c>
      <c r="H1910" s="177">
        <v>163.22976</v>
      </c>
      <c r="I1910" s="163" t="s">
        <v>87</v>
      </c>
      <c r="J1910" s="65">
        <v>31000</v>
      </c>
      <c r="K1910" s="65"/>
      <c r="L1910" s="46">
        <f t="shared" si="75"/>
        <v>5060122.5599999996</v>
      </c>
    </row>
    <row r="1911" spans="2:12" x14ac:dyDescent="0.35">
      <c r="B1911" s="174"/>
      <c r="C1911" s="175"/>
      <c r="D1911" s="176"/>
      <c r="E1911" s="163"/>
      <c r="F1911" s="163" t="s">
        <v>89</v>
      </c>
      <c r="G1911" s="164" t="s">
        <v>1087</v>
      </c>
      <c r="H1911" s="177">
        <v>649.30175999999994</v>
      </c>
      <c r="I1911" s="163" t="s">
        <v>87</v>
      </c>
      <c r="J1911" s="65">
        <v>31000</v>
      </c>
      <c r="K1911" s="65"/>
      <c r="L1911" s="46">
        <f t="shared" si="75"/>
        <v>20128354.559999999</v>
      </c>
    </row>
    <row r="1912" spans="2:12" x14ac:dyDescent="0.35">
      <c r="B1912" s="174"/>
      <c r="C1912" s="175"/>
      <c r="D1912" s="176"/>
      <c r="E1912" s="163"/>
      <c r="F1912" s="163" t="s">
        <v>89</v>
      </c>
      <c r="G1912" s="164" t="s">
        <v>1048</v>
      </c>
      <c r="H1912" s="177">
        <v>4.0694400000000002</v>
      </c>
      <c r="I1912" s="163" t="s">
        <v>87</v>
      </c>
      <c r="J1912" s="65">
        <v>31000</v>
      </c>
      <c r="K1912" s="65"/>
      <c r="L1912" s="46">
        <f t="shared" si="75"/>
        <v>126152.64</v>
      </c>
    </row>
    <row r="1913" spans="2:12" x14ac:dyDescent="0.35">
      <c r="B1913" s="96"/>
      <c r="C1913" s="97"/>
      <c r="D1913" s="98"/>
      <c r="E1913" s="99"/>
      <c r="F1913" s="100" t="s">
        <v>89</v>
      </c>
      <c r="G1913" s="101" t="s">
        <v>1088</v>
      </c>
      <c r="H1913" s="102">
        <v>7.0649999999999995</v>
      </c>
      <c r="I1913" s="103" t="s">
        <v>87</v>
      </c>
      <c r="J1913" s="65">
        <v>31000</v>
      </c>
      <c r="K1913" s="65"/>
      <c r="L1913" s="46">
        <f t="shared" si="75"/>
        <v>219014.99999999997</v>
      </c>
    </row>
    <row r="1914" spans="2:12" x14ac:dyDescent="0.35">
      <c r="B1914" s="96"/>
      <c r="C1914" s="97"/>
      <c r="D1914" s="98" t="s">
        <v>69</v>
      </c>
      <c r="E1914" s="99"/>
      <c r="F1914" s="100" t="s">
        <v>189</v>
      </c>
      <c r="G1914" s="101"/>
      <c r="H1914" s="102"/>
      <c r="I1914" s="103"/>
      <c r="J1914" s="50"/>
      <c r="K1914" s="29"/>
      <c r="L1914" s="52"/>
    </row>
    <row r="1915" spans="2:12" x14ac:dyDescent="0.35">
      <c r="B1915" s="96"/>
      <c r="C1915" s="97"/>
      <c r="D1915" s="98"/>
      <c r="E1915" s="99"/>
      <c r="F1915" s="100" t="s">
        <v>89</v>
      </c>
      <c r="G1915" s="101" t="s">
        <v>1089</v>
      </c>
      <c r="H1915" s="102">
        <v>171.82079999999999</v>
      </c>
      <c r="I1915" s="103" t="s">
        <v>87</v>
      </c>
      <c r="J1915" s="65">
        <v>31000</v>
      </c>
      <c r="K1915" s="65"/>
      <c r="L1915" s="46">
        <f t="shared" ref="L1915:L1934" si="76">J1915*H1915</f>
        <v>5326444.8</v>
      </c>
    </row>
    <row r="1916" spans="2:12" x14ac:dyDescent="0.35">
      <c r="B1916" s="174"/>
      <c r="C1916" s="175"/>
      <c r="D1916" s="176"/>
      <c r="E1916" s="163"/>
      <c r="F1916" s="163" t="s">
        <v>89</v>
      </c>
      <c r="G1916" s="164" t="s">
        <v>1090</v>
      </c>
      <c r="H1916" s="177">
        <v>181.99439999999998</v>
      </c>
      <c r="I1916" s="163" t="s">
        <v>87</v>
      </c>
      <c r="J1916" s="65">
        <v>31000</v>
      </c>
      <c r="K1916" s="65"/>
      <c r="L1916" s="46">
        <f t="shared" si="76"/>
        <v>5641826.3999999994</v>
      </c>
    </row>
    <row r="1917" spans="2:12" x14ac:dyDescent="0.35">
      <c r="B1917" s="174"/>
      <c r="C1917" s="175"/>
      <c r="D1917" s="176"/>
      <c r="E1917" s="163"/>
      <c r="F1917" s="163" t="s">
        <v>89</v>
      </c>
      <c r="G1917" s="164" t="s">
        <v>1091</v>
      </c>
      <c r="H1917" s="177">
        <v>1019.6208</v>
      </c>
      <c r="I1917" s="163" t="s">
        <v>87</v>
      </c>
      <c r="J1917" s="65">
        <v>31000</v>
      </c>
      <c r="K1917" s="65"/>
      <c r="L1917" s="46">
        <f t="shared" si="76"/>
        <v>31608244.800000001</v>
      </c>
    </row>
    <row r="1918" spans="2:12" x14ac:dyDescent="0.35">
      <c r="B1918" s="174"/>
      <c r="C1918" s="175"/>
      <c r="D1918" s="176"/>
      <c r="E1918" s="163"/>
      <c r="F1918" s="163" t="s">
        <v>89</v>
      </c>
      <c r="G1918" s="164" t="s">
        <v>1092</v>
      </c>
      <c r="H1918" s="177">
        <v>286.5564</v>
      </c>
      <c r="I1918" s="163" t="s">
        <v>87</v>
      </c>
      <c r="J1918" s="65">
        <v>31000</v>
      </c>
      <c r="K1918" s="65"/>
      <c r="L1918" s="46">
        <f t="shared" si="76"/>
        <v>8883248.4000000004</v>
      </c>
    </row>
    <row r="1919" spans="2:12" x14ac:dyDescent="0.35">
      <c r="B1919" s="174"/>
      <c r="C1919" s="175"/>
      <c r="D1919" s="176"/>
      <c r="E1919" s="163"/>
      <c r="F1919" s="163" t="s">
        <v>89</v>
      </c>
      <c r="G1919" s="164" t="s">
        <v>1093</v>
      </c>
      <c r="H1919" s="177">
        <v>307.46879999999999</v>
      </c>
      <c r="I1919" s="163" t="s">
        <v>87</v>
      </c>
      <c r="J1919" s="65">
        <v>31000</v>
      </c>
      <c r="K1919" s="65"/>
      <c r="L1919" s="46">
        <f t="shared" si="76"/>
        <v>9531532.7999999989</v>
      </c>
    </row>
    <row r="1920" spans="2:12" x14ac:dyDescent="0.35">
      <c r="B1920" s="96"/>
      <c r="C1920" s="97"/>
      <c r="D1920" s="98"/>
      <c r="E1920" s="99"/>
      <c r="F1920" s="100" t="s">
        <v>89</v>
      </c>
      <c r="G1920" s="101" t="s">
        <v>1094</v>
      </c>
      <c r="H1920" s="102">
        <v>313.12079999999997</v>
      </c>
      <c r="I1920" s="103" t="s">
        <v>87</v>
      </c>
      <c r="J1920" s="65">
        <v>31000</v>
      </c>
      <c r="K1920" s="65"/>
      <c r="L1920" s="46">
        <f t="shared" si="76"/>
        <v>9706744.7999999989</v>
      </c>
    </row>
    <row r="1921" spans="2:12" x14ac:dyDescent="0.35">
      <c r="B1921" s="174"/>
      <c r="C1921" s="175"/>
      <c r="D1921" s="176"/>
      <c r="E1921" s="163"/>
      <c r="F1921" s="163" t="s">
        <v>89</v>
      </c>
      <c r="G1921" s="164" t="s">
        <v>1095</v>
      </c>
      <c r="H1921" s="177">
        <v>317.07719999999995</v>
      </c>
      <c r="I1921" s="163" t="s">
        <v>87</v>
      </c>
      <c r="J1921" s="65">
        <v>31000</v>
      </c>
      <c r="K1921" s="65"/>
      <c r="L1921" s="46">
        <f t="shared" si="76"/>
        <v>9829393.1999999993</v>
      </c>
    </row>
    <row r="1922" spans="2:12" x14ac:dyDescent="0.35">
      <c r="B1922" s="174"/>
      <c r="C1922" s="175"/>
      <c r="D1922" s="176"/>
      <c r="E1922" s="163"/>
      <c r="F1922" s="163" t="s">
        <v>89</v>
      </c>
      <c r="G1922" s="164" t="s">
        <v>1096</v>
      </c>
      <c r="H1922" s="177">
        <v>515.46239999999989</v>
      </c>
      <c r="I1922" s="163" t="s">
        <v>87</v>
      </c>
      <c r="J1922" s="65">
        <v>31000</v>
      </c>
      <c r="K1922" s="65"/>
      <c r="L1922" s="46">
        <f t="shared" si="76"/>
        <v>15979334.399999997</v>
      </c>
    </row>
    <row r="1923" spans="2:12" x14ac:dyDescent="0.35">
      <c r="B1923" s="174"/>
      <c r="C1923" s="175"/>
      <c r="D1923" s="176"/>
      <c r="E1923" s="163"/>
      <c r="F1923" s="163" t="s">
        <v>89</v>
      </c>
      <c r="G1923" s="164" t="s">
        <v>1097</v>
      </c>
      <c r="H1923" s="177">
        <v>11.304</v>
      </c>
      <c r="I1923" s="163" t="s">
        <v>87</v>
      </c>
      <c r="J1923" s="65">
        <v>31000</v>
      </c>
      <c r="K1923" s="65"/>
      <c r="L1923" s="46">
        <f t="shared" si="76"/>
        <v>350424</v>
      </c>
    </row>
    <row r="1924" spans="2:12" x14ac:dyDescent="0.35">
      <c r="B1924" s="174"/>
      <c r="C1924" s="175"/>
      <c r="D1924" s="176"/>
      <c r="E1924" s="163"/>
      <c r="F1924" s="163" t="s">
        <v>89</v>
      </c>
      <c r="G1924" s="164" t="s">
        <v>1098</v>
      </c>
      <c r="H1924" s="177">
        <v>6.1041599999999994</v>
      </c>
      <c r="I1924" s="163" t="s">
        <v>87</v>
      </c>
      <c r="J1924" s="65">
        <v>31000</v>
      </c>
      <c r="K1924" s="65"/>
      <c r="L1924" s="46">
        <f t="shared" si="76"/>
        <v>189228.96</v>
      </c>
    </row>
    <row r="1925" spans="2:12" x14ac:dyDescent="0.35">
      <c r="B1925" s="174"/>
      <c r="C1925" s="175"/>
      <c r="D1925" s="176"/>
      <c r="E1925" s="163"/>
      <c r="F1925" s="163" t="s">
        <v>89</v>
      </c>
      <c r="G1925" s="164" t="s">
        <v>1099</v>
      </c>
      <c r="H1925" s="177">
        <v>30.520800000000001</v>
      </c>
      <c r="I1925" s="163" t="s">
        <v>87</v>
      </c>
      <c r="J1925" s="65">
        <v>31000</v>
      </c>
      <c r="K1925" s="65"/>
      <c r="L1925" s="46">
        <f t="shared" si="76"/>
        <v>946144.8</v>
      </c>
    </row>
    <row r="1926" spans="2:12" x14ac:dyDescent="0.35">
      <c r="B1926" s="174"/>
      <c r="C1926" s="175"/>
      <c r="D1926" s="176"/>
      <c r="E1926" s="163"/>
      <c r="F1926" s="163" t="s">
        <v>89</v>
      </c>
      <c r="G1926" s="164" t="s">
        <v>1100</v>
      </c>
      <c r="H1926" s="177">
        <v>14.921279999999999</v>
      </c>
      <c r="I1926" s="163" t="s">
        <v>87</v>
      </c>
      <c r="J1926" s="65">
        <v>31000</v>
      </c>
      <c r="K1926" s="65"/>
      <c r="L1926" s="46">
        <f t="shared" si="76"/>
        <v>462559.68</v>
      </c>
    </row>
    <row r="1927" spans="2:12" x14ac:dyDescent="0.35">
      <c r="B1927" s="174"/>
      <c r="C1927" s="175"/>
      <c r="D1927" s="176"/>
      <c r="E1927" s="163"/>
      <c r="F1927" s="163" t="s">
        <v>89</v>
      </c>
      <c r="G1927" s="164" t="s">
        <v>1101</v>
      </c>
      <c r="H1927" s="177">
        <v>153.07499999999999</v>
      </c>
      <c r="I1927" s="163" t="s">
        <v>87</v>
      </c>
      <c r="J1927" s="65">
        <v>31000</v>
      </c>
      <c r="K1927" s="65"/>
      <c r="L1927" s="46">
        <f t="shared" si="76"/>
        <v>4745325</v>
      </c>
    </row>
    <row r="1928" spans="2:12" x14ac:dyDescent="0.35">
      <c r="B1928" s="174"/>
      <c r="C1928" s="175"/>
      <c r="D1928" s="176"/>
      <c r="E1928" s="163"/>
      <c r="F1928" s="163" t="s">
        <v>89</v>
      </c>
      <c r="G1928" s="164" t="s">
        <v>1102</v>
      </c>
      <c r="H1928" s="177">
        <v>197.82</v>
      </c>
      <c r="I1928" s="163" t="s">
        <v>87</v>
      </c>
      <c r="J1928" s="65">
        <v>31000</v>
      </c>
      <c r="K1928" s="65"/>
      <c r="L1928" s="46">
        <f t="shared" si="76"/>
        <v>6132420</v>
      </c>
    </row>
    <row r="1929" spans="2:12" x14ac:dyDescent="0.35">
      <c r="B1929" s="174"/>
      <c r="C1929" s="175"/>
      <c r="D1929" s="176"/>
      <c r="E1929" s="163"/>
      <c r="F1929" s="163" t="s">
        <v>89</v>
      </c>
      <c r="G1929" s="164" t="s">
        <v>1103</v>
      </c>
      <c r="H1929" s="177">
        <v>103.99679999999998</v>
      </c>
      <c r="I1929" s="163" t="s">
        <v>87</v>
      </c>
      <c r="J1929" s="65">
        <v>31000</v>
      </c>
      <c r="K1929" s="65"/>
      <c r="L1929" s="46">
        <f t="shared" si="76"/>
        <v>3223900.7999999993</v>
      </c>
    </row>
    <row r="1930" spans="2:12" x14ac:dyDescent="0.35">
      <c r="B1930" s="174"/>
      <c r="C1930" s="175"/>
      <c r="D1930" s="176"/>
      <c r="E1930" s="163"/>
      <c r="F1930" s="163" t="s">
        <v>89</v>
      </c>
      <c r="G1930" s="164" t="s">
        <v>1104</v>
      </c>
      <c r="H1930" s="177">
        <v>122.46</v>
      </c>
      <c r="I1930" s="163" t="s">
        <v>87</v>
      </c>
      <c r="J1930" s="65">
        <v>31000</v>
      </c>
      <c r="K1930" s="65"/>
      <c r="L1930" s="46">
        <f t="shared" si="76"/>
        <v>3796260</v>
      </c>
    </row>
    <row r="1931" spans="2:12" x14ac:dyDescent="0.35">
      <c r="B1931" s="174"/>
      <c r="C1931" s="175"/>
      <c r="D1931" s="176"/>
      <c r="E1931" s="163"/>
      <c r="F1931" s="163" t="s">
        <v>89</v>
      </c>
      <c r="G1931" s="164" t="s">
        <v>1079</v>
      </c>
      <c r="H1931" s="177">
        <v>30.614999999999998</v>
      </c>
      <c r="I1931" s="163" t="s">
        <v>87</v>
      </c>
      <c r="J1931" s="65">
        <v>31000</v>
      </c>
      <c r="K1931" s="65"/>
      <c r="L1931" s="46">
        <f t="shared" si="76"/>
        <v>949065</v>
      </c>
    </row>
    <row r="1932" spans="2:12" x14ac:dyDescent="0.35">
      <c r="B1932" s="96"/>
      <c r="C1932" s="97"/>
      <c r="D1932" s="98"/>
      <c r="E1932" s="99"/>
      <c r="F1932" s="100" t="s">
        <v>89</v>
      </c>
      <c r="G1932" s="101" t="s">
        <v>1105</v>
      </c>
      <c r="H1932" s="102">
        <v>26.375999999999998</v>
      </c>
      <c r="I1932" s="103" t="s">
        <v>87</v>
      </c>
      <c r="J1932" s="65">
        <v>31000</v>
      </c>
      <c r="K1932" s="65"/>
      <c r="L1932" s="46">
        <f t="shared" si="76"/>
        <v>817655.99999999988</v>
      </c>
    </row>
    <row r="1933" spans="2:12" x14ac:dyDescent="0.35">
      <c r="B1933" s="174"/>
      <c r="C1933" s="175"/>
      <c r="D1933" s="176"/>
      <c r="E1933" s="163"/>
      <c r="F1933" s="163" t="s">
        <v>89</v>
      </c>
      <c r="G1933" s="164" t="s">
        <v>1106</v>
      </c>
      <c r="H1933" s="177">
        <v>23.060160000000003</v>
      </c>
      <c r="I1933" s="163" t="s">
        <v>87</v>
      </c>
      <c r="J1933" s="65">
        <v>31000</v>
      </c>
      <c r="K1933" s="65"/>
      <c r="L1933" s="46">
        <f t="shared" si="76"/>
        <v>714864.96000000008</v>
      </c>
    </row>
    <row r="1934" spans="2:12" x14ac:dyDescent="0.35">
      <c r="B1934" s="174"/>
      <c r="C1934" s="175"/>
      <c r="D1934" s="176"/>
      <c r="E1934" s="163"/>
      <c r="F1934" s="163" t="s">
        <v>89</v>
      </c>
      <c r="G1934" s="164" t="s">
        <v>1107</v>
      </c>
      <c r="H1934" s="177">
        <v>65.94</v>
      </c>
      <c r="I1934" s="163" t="s">
        <v>87</v>
      </c>
      <c r="J1934" s="65">
        <v>31000</v>
      </c>
      <c r="K1934" s="65"/>
      <c r="L1934" s="46">
        <f t="shared" si="76"/>
        <v>2044140</v>
      </c>
    </row>
    <row r="1935" spans="2:12" x14ac:dyDescent="0.35">
      <c r="B1935" s="174"/>
      <c r="C1935" s="175"/>
      <c r="D1935" s="176" t="s">
        <v>71</v>
      </c>
      <c r="E1935" s="163"/>
      <c r="F1935" s="163" t="s">
        <v>190</v>
      </c>
      <c r="G1935" s="164"/>
      <c r="H1935" s="178"/>
      <c r="I1935" s="163"/>
      <c r="J1935" s="50"/>
      <c r="K1935" s="29"/>
      <c r="L1935" s="52"/>
    </row>
    <row r="1936" spans="2:12" x14ac:dyDescent="0.35">
      <c r="B1936" s="174"/>
      <c r="C1936" s="175"/>
      <c r="D1936" s="176"/>
      <c r="E1936" s="163"/>
      <c r="F1936" s="163" t="s">
        <v>89</v>
      </c>
      <c r="G1936" s="164" t="s">
        <v>1108</v>
      </c>
      <c r="H1936" s="177">
        <v>97.497</v>
      </c>
      <c r="I1936" s="163" t="s">
        <v>87</v>
      </c>
      <c r="J1936" s="65">
        <v>31000</v>
      </c>
      <c r="K1936" s="65"/>
      <c r="L1936" s="46">
        <f>J1936*H1936</f>
        <v>3022407</v>
      </c>
    </row>
    <row r="1937" spans="2:12" x14ac:dyDescent="0.35">
      <c r="B1937" s="174"/>
      <c r="C1937" s="175"/>
      <c r="D1937" s="176" t="s">
        <v>73</v>
      </c>
      <c r="E1937" s="163"/>
      <c r="F1937" s="163" t="s">
        <v>191</v>
      </c>
      <c r="G1937" s="164"/>
      <c r="H1937" s="177"/>
      <c r="I1937" s="163"/>
      <c r="J1937" s="50"/>
      <c r="K1937" s="29"/>
      <c r="L1937" s="52"/>
    </row>
    <row r="1938" spans="2:12" x14ac:dyDescent="0.35">
      <c r="B1938" s="174"/>
      <c r="C1938" s="175"/>
      <c r="D1938" s="176"/>
      <c r="E1938" s="163"/>
      <c r="F1938" s="163" t="s">
        <v>89</v>
      </c>
      <c r="G1938" s="164" t="s">
        <v>1109</v>
      </c>
      <c r="H1938" s="177">
        <v>68.276160000000004</v>
      </c>
      <c r="I1938" s="163" t="s">
        <v>87</v>
      </c>
      <c r="J1938" s="65">
        <v>31000</v>
      </c>
      <c r="K1938" s="65"/>
      <c r="L1938" s="46">
        <f t="shared" ref="L1938:L1943" si="77">J1938*H1938</f>
        <v>2116560.96</v>
      </c>
    </row>
    <row r="1939" spans="2:12" x14ac:dyDescent="0.35">
      <c r="B1939" s="174"/>
      <c r="C1939" s="175"/>
      <c r="D1939" s="176"/>
      <c r="E1939" s="163"/>
      <c r="F1939" s="163" t="s">
        <v>89</v>
      </c>
      <c r="G1939" s="164" t="s">
        <v>1110</v>
      </c>
      <c r="H1939" s="177">
        <v>45.215999999999994</v>
      </c>
      <c r="I1939" s="163" t="s">
        <v>87</v>
      </c>
      <c r="J1939" s="65">
        <v>31000</v>
      </c>
      <c r="K1939" s="65"/>
      <c r="L1939" s="46">
        <f t="shared" si="77"/>
        <v>1401695.9999999998</v>
      </c>
    </row>
    <row r="1940" spans="2:12" x14ac:dyDescent="0.35">
      <c r="B1940" s="174"/>
      <c r="C1940" s="175"/>
      <c r="D1940" s="176"/>
      <c r="E1940" s="163"/>
      <c r="F1940" s="163" t="s">
        <v>89</v>
      </c>
      <c r="G1940" s="164" t="s">
        <v>1111</v>
      </c>
      <c r="H1940" s="177">
        <v>27.1296</v>
      </c>
      <c r="I1940" s="163" t="s">
        <v>87</v>
      </c>
      <c r="J1940" s="65">
        <v>31000</v>
      </c>
      <c r="K1940" s="65"/>
      <c r="L1940" s="46">
        <f t="shared" si="77"/>
        <v>841017.6</v>
      </c>
    </row>
    <row r="1941" spans="2:12" x14ac:dyDescent="0.35">
      <c r="B1941" s="174"/>
      <c r="C1941" s="175"/>
      <c r="D1941" s="176"/>
      <c r="E1941" s="163"/>
      <c r="F1941" s="163" t="s">
        <v>89</v>
      </c>
      <c r="G1941" s="164" t="s">
        <v>1112</v>
      </c>
      <c r="H1941" s="177">
        <v>240.20999999999998</v>
      </c>
      <c r="I1941" s="163" t="s">
        <v>87</v>
      </c>
      <c r="J1941" s="65">
        <v>31000</v>
      </c>
      <c r="K1941" s="65"/>
      <c r="L1941" s="46">
        <f t="shared" si="77"/>
        <v>7446509.9999999991</v>
      </c>
    </row>
    <row r="1942" spans="2:12" x14ac:dyDescent="0.35">
      <c r="B1942" s="174"/>
      <c r="C1942" s="175"/>
      <c r="D1942" s="176"/>
      <c r="E1942" s="163"/>
      <c r="F1942" s="163" t="s">
        <v>89</v>
      </c>
      <c r="G1942" s="164" t="s">
        <v>1113</v>
      </c>
      <c r="H1942" s="177">
        <v>21.618899999999996</v>
      </c>
      <c r="I1942" s="163" t="s">
        <v>87</v>
      </c>
      <c r="J1942" s="65">
        <v>31000</v>
      </c>
      <c r="K1942" s="65"/>
      <c r="L1942" s="46">
        <f t="shared" si="77"/>
        <v>670185.89999999991</v>
      </c>
    </row>
    <row r="1943" spans="2:12" x14ac:dyDescent="0.35">
      <c r="B1943" s="174"/>
      <c r="C1943" s="175"/>
      <c r="D1943" s="176"/>
      <c r="E1943" s="163"/>
      <c r="F1943" s="163" t="s">
        <v>89</v>
      </c>
      <c r="G1943" s="164" t="s">
        <v>1114</v>
      </c>
      <c r="H1943" s="177">
        <v>40.270499999999998</v>
      </c>
      <c r="I1943" s="163" t="s">
        <v>87</v>
      </c>
      <c r="J1943" s="65">
        <v>31000</v>
      </c>
      <c r="K1943" s="65"/>
      <c r="L1943" s="46">
        <f t="shared" si="77"/>
        <v>1248385.5</v>
      </c>
    </row>
    <row r="1944" spans="2:12" x14ac:dyDescent="0.35">
      <c r="B1944" s="174"/>
      <c r="C1944" s="175"/>
      <c r="D1944" s="176" t="s">
        <v>75</v>
      </c>
      <c r="E1944" s="163"/>
      <c r="F1944" s="163" t="s">
        <v>192</v>
      </c>
      <c r="G1944" s="164"/>
      <c r="H1944" s="178"/>
      <c r="I1944" s="163"/>
      <c r="J1944" s="65"/>
      <c r="K1944" s="65"/>
      <c r="L1944" s="46"/>
    </row>
    <row r="1945" spans="2:12" x14ac:dyDescent="0.35">
      <c r="B1945" s="174"/>
      <c r="C1945" s="175"/>
      <c r="D1945" s="176"/>
      <c r="E1945" s="163"/>
      <c r="F1945" s="163" t="s">
        <v>89</v>
      </c>
      <c r="G1945" s="164" t="s">
        <v>1115</v>
      </c>
      <c r="H1945" s="177">
        <v>117.5616</v>
      </c>
      <c r="I1945" s="163" t="s">
        <v>87</v>
      </c>
      <c r="J1945" s="65">
        <v>31000</v>
      </c>
      <c r="K1945" s="65"/>
      <c r="L1945" s="46">
        <f t="shared" ref="L1945:L1947" si="78">J1945*H1945</f>
        <v>3644409.6</v>
      </c>
    </row>
    <row r="1946" spans="2:12" x14ac:dyDescent="0.35">
      <c r="B1946" s="174"/>
      <c r="C1946" s="175"/>
      <c r="D1946" s="176"/>
      <c r="E1946" s="163"/>
      <c r="F1946" s="163" t="s">
        <v>89</v>
      </c>
      <c r="G1946" s="164" t="s">
        <v>1116</v>
      </c>
      <c r="H1946" s="177">
        <v>121.17887999999999</v>
      </c>
      <c r="I1946" s="163" t="s">
        <v>87</v>
      </c>
      <c r="J1946" s="65">
        <v>31000</v>
      </c>
      <c r="K1946" s="65"/>
      <c r="L1946" s="46">
        <f t="shared" si="78"/>
        <v>3756545.28</v>
      </c>
    </row>
    <row r="1947" spans="2:12" x14ac:dyDescent="0.35">
      <c r="B1947" s="174"/>
      <c r="C1947" s="175"/>
      <c r="D1947" s="176"/>
      <c r="E1947" s="163"/>
      <c r="F1947" s="163" t="s">
        <v>89</v>
      </c>
      <c r="G1947" s="164" t="s">
        <v>1117</v>
      </c>
      <c r="H1947" s="177">
        <v>161.42112</v>
      </c>
      <c r="I1947" s="163" t="s">
        <v>87</v>
      </c>
      <c r="J1947" s="65">
        <v>31000</v>
      </c>
      <c r="K1947" s="65"/>
      <c r="L1947" s="46">
        <f t="shared" si="78"/>
        <v>5004054.72</v>
      </c>
    </row>
    <row r="1948" spans="2:12" x14ac:dyDescent="0.35">
      <c r="B1948" s="47"/>
      <c r="C1948" s="48"/>
      <c r="D1948" s="24"/>
      <c r="G1948" s="22"/>
      <c r="I1948" s="22"/>
      <c r="J1948" s="50"/>
      <c r="K1948" s="29"/>
      <c r="L1948" s="52"/>
    </row>
    <row r="1949" spans="2:12" x14ac:dyDescent="0.35">
      <c r="B1949" s="8"/>
      <c r="C1949" s="9"/>
      <c r="D1949" s="10"/>
      <c r="E1949" s="4"/>
      <c r="F1949" s="4"/>
      <c r="G1949" s="4"/>
      <c r="H1949" s="1"/>
      <c r="I1949" s="1"/>
      <c r="J1949" s="11" t="s">
        <v>8</v>
      </c>
      <c r="K1949" s="7">
        <f>SUM(K1896:K1948)</f>
        <v>0</v>
      </c>
      <c r="L1949" s="7">
        <f>SUM(L1896:L1948)</f>
        <v>206593987.70400006</v>
      </c>
    </row>
    <row r="1950" spans="2:12" x14ac:dyDescent="0.35">
      <c r="B1950" s="8"/>
      <c r="C1950" s="9"/>
      <c r="D1950" s="9"/>
      <c r="E1950" s="4"/>
      <c r="F1950" s="4"/>
      <c r="G1950" s="4"/>
      <c r="H1950" s="1"/>
      <c r="I1950" s="1"/>
      <c r="J1950" s="11"/>
      <c r="K1950" s="35" t="s">
        <v>22</v>
      </c>
      <c r="L1950" s="36" t="s">
        <v>23</v>
      </c>
    </row>
    <row r="1951" spans="2:12" x14ac:dyDescent="0.35">
      <c r="B1951" s="3" t="s">
        <v>9</v>
      </c>
      <c r="C1951" s="4"/>
      <c r="D1951" s="4"/>
      <c r="E1951" s="4"/>
      <c r="F1951" s="4"/>
      <c r="G1951" s="4"/>
      <c r="H1951" s="1"/>
      <c r="I1951" s="1"/>
      <c r="J1951" s="12"/>
      <c r="K1951" s="12"/>
      <c r="L1951" s="13"/>
    </row>
    <row r="1952" spans="2:12" x14ac:dyDescent="0.35">
      <c r="B1952" s="37"/>
      <c r="C1952" s="1"/>
      <c r="D1952" s="1"/>
      <c r="E1952" s="38"/>
      <c r="F1952" s="38"/>
      <c r="G1952" s="38"/>
      <c r="H1952" s="1"/>
      <c r="I1952" s="1"/>
      <c r="J1952" s="1"/>
      <c r="K1952" s="1"/>
      <c r="L1952" s="19"/>
    </row>
    <row r="1953" spans="2:12" x14ac:dyDescent="0.35">
      <c r="B1953" s="28" t="s">
        <v>6</v>
      </c>
      <c r="C1953" s="27"/>
      <c r="D1953" s="27"/>
      <c r="E1953" s="26"/>
      <c r="F1953" s="26"/>
      <c r="G1953" s="5"/>
      <c r="K1953" s="284" t="s">
        <v>1600</v>
      </c>
      <c r="L1953" s="285"/>
    </row>
    <row r="1954" spans="2:12" x14ac:dyDescent="0.35">
      <c r="B1954" s="28">
        <v>1</v>
      </c>
      <c r="C1954" s="27"/>
      <c r="D1954" s="27"/>
      <c r="E1954" s="26" t="s">
        <v>7</v>
      </c>
      <c r="F1954" s="26"/>
      <c r="G1954" s="5"/>
      <c r="K1954" s="284" t="s">
        <v>28</v>
      </c>
      <c r="L1954" s="285"/>
    </row>
    <row r="1955" spans="2:12" x14ac:dyDescent="0.35">
      <c r="B1955" s="39"/>
      <c r="C1955" s="27"/>
      <c r="D1955" s="27"/>
      <c r="E1955" s="26"/>
      <c r="F1955" s="26"/>
      <c r="G1955" s="5"/>
      <c r="J1955" s="25"/>
      <c r="K1955" s="25"/>
      <c r="L1955" s="24"/>
    </row>
    <row r="1956" spans="2:12" x14ac:dyDescent="0.35">
      <c r="B1956" s="28"/>
      <c r="C1956" s="27"/>
      <c r="D1956" s="27"/>
      <c r="E1956" s="26"/>
      <c r="F1956" s="26"/>
      <c r="G1956" s="5"/>
      <c r="L1956" s="22"/>
    </row>
    <row r="1957" spans="2:12" x14ac:dyDescent="0.35">
      <c r="B1957" s="45"/>
      <c r="E1957" s="5"/>
      <c r="F1957" s="5"/>
      <c r="G1957" s="5"/>
      <c r="L1957" s="22"/>
    </row>
    <row r="1958" spans="2:12" x14ac:dyDescent="0.35">
      <c r="B1958" s="45"/>
      <c r="E1958" s="5"/>
      <c r="F1958" s="5"/>
      <c r="G1958" s="5"/>
      <c r="L1958" s="22"/>
    </row>
    <row r="1959" spans="2:12" x14ac:dyDescent="0.35">
      <c r="B1959" s="45"/>
      <c r="E1959" s="5"/>
      <c r="F1959" s="5"/>
      <c r="G1959" s="5"/>
      <c r="L1959" s="22"/>
    </row>
    <row r="1960" spans="2:12" x14ac:dyDescent="0.35">
      <c r="B1960" s="45"/>
      <c r="E1960" s="5"/>
      <c r="F1960" s="5"/>
      <c r="G1960" s="5"/>
      <c r="J1960" s="40"/>
      <c r="K1960" s="286" t="s">
        <v>36</v>
      </c>
      <c r="L1960" s="287"/>
    </row>
    <row r="1961" spans="2:12" x14ac:dyDescent="0.35">
      <c r="B1961" s="45"/>
      <c r="K1961" s="288" t="s">
        <v>37</v>
      </c>
      <c r="L1961" s="289"/>
    </row>
    <row r="1962" spans="2:12" x14ac:dyDescent="0.35">
      <c r="B1962" s="290"/>
      <c r="C1962" s="291"/>
      <c r="D1962" s="291"/>
      <c r="E1962" s="41"/>
      <c r="F1962" s="41"/>
      <c r="G1962" s="41"/>
      <c r="H1962" s="2"/>
      <c r="I1962" s="2"/>
      <c r="J1962" s="2"/>
      <c r="K1962" s="2"/>
      <c r="L1962" s="21"/>
    </row>
    <row r="1963" spans="2:12" x14ac:dyDescent="0.35">
      <c r="B1963" s="47"/>
      <c r="C1963" s="48"/>
      <c r="D1963" s="49"/>
      <c r="G1963" s="22"/>
      <c r="H1963" s="1"/>
      <c r="I1963" s="1"/>
      <c r="J1963" s="43"/>
      <c r="K1963" s="30"/>
      <c r="L1963" s="44"/>
    </row>
    <row r="1964" spans="2:12" x14ac:dyDescent="0.35">
      <c r="B1964" s="96"/>
      <c r="C1964" s="97"/>
      <c r="D1964" s="98"/>
      <c r="E1964" s="99"/>
      <c r="F1964" s="100" t="s">
        <v>89</v>
      </c>
      <c r="G1964" s="101" t="s">
        <v>1118</v>
      </c>
      <c r="H1964" s="102">
        <v>162.77760000000001</v>
      </c>
      <c r="I1964" s="103" t="s">
        <v>87</v>
      </c>
      <c r="J1964" s="65">
        <v>31000</v>
      </c>
      <c r="K1964" s="65"/>
      <c r="L1964" s="46">
        <f t="shared" ref="L1964:L1968" si="79">J1964*H1964</f>
        <v>5046105.6000000006</v>
      </c>
    </row>
    <row r="1965" spans="2:12" x14ac:dyDescent="0.35">
      <c r="B1965" s="174"/>
      <c r="C1965" s="175"/>
      <c r="D1965" s="176"/>
      <c r="E1965" s="163"/>
      <c r="F1965" s="163" t="s">
        <v>89</v>
      </c>
      <c r="G1965" s="164" t="s">
        <v>1119</v>
      </c>
      <c r="H1965" s="177">
        <v>325.10304000000002</v>
      </c>
      <c r="I1965" s="163" t="s">
        <v>87</v>
      </c>
      <c r="J1965" s="65">
        <v>31000</v>
      </c>
      <c r="K1965" s="65"/>
      <c r="L1965" s="46">
        <f t="shared" si="79"/>
        <v>10078194.24</v>
      </c>
    </row>
    <row r="1966" spans="2:12" x14ac:dyDescent="0.35">
      <c r="B1966" s="174"/>
      <c r="C1966" s="175"/>
      <c r="D1966" s="176"/>
      <c r="E1966" s="163"/>
      <c r="F1966" s="163" t="s">
        <v>89</v>
      </c>
      <c r="G1966" s="164" t="s">
        <v>1120</v>
      </c>
      <c r="H1966" s="177">
        <v>412.36991999999998</v>
      </c>
      <c r="I1966" s="163" t="s">
        <v>87</v>
      </c>
      <c r="J1966" s="65">
        <v>31000</v>
      </c>
      <c r="K1966" s="65"/>
      <c r="L1966" s="46">
        <f t="shared" si="79"/>
        <v>12783467.52</v>
      </c>
    </row>
    <row r="1967" spans="2:12" x14ac:dyDescent="0.35">
      <c r="B1967" s="174"/>
      <c r="C1967" s="175"/>
      <c r="D1967" s="176"/>
      <c r="E1967" s="163"/>
      <c r="F1967" s="163" t="s">
        <v>89</v>
      </c>
      <c r="G1967" s="164" t="s">
        <v>1121</v>
      </c>
      <c r="H1967" s="177">
        <v>14.921280000000001</v>
      </c>
      <c r="I1967" s="163" t="s">
        <v>87</v>
      </c>
      <c r="J1967" s="65">
        <v>31000</v>
      </c>
      <c r="K1967" s="65"/>
      <c r="L1967" s="46">
        <f t="shared" si="79"/>
        <v>462559.68000000005</v>
      </c>
    </row>
    <row r="1968" spans="2:12" x14ac:dyDescent="0.35">
      <c r="B1968" s="174"/>
      <c r="C1968" s="175"/>
      <c r="D1968" s="176"/>
      <c r="E1968" s="163"/>
      <c r="F1968" s="163" t="s">
        <v>89</v>
      </c>
      <c r="G1968" s="164" t="s">
        <v>1122</v>
      </c>
      <c r="H1968" s="177">
        <v>12.952500000000001</v>
      </c>
      <c r="I1968" s="163" t="s">
        <v>87</v>
      </c>
      <c r="J1968" s="65">
        <v>31000</v>
      </c>
      <c r="K1968" s="65"/>
      <c r="L1968" s="46">
        <f t="shared" si="79"/>
        <v>401527.5</v>
      </c>
    </row>
    <row r="1969" spans="2:12" x14ac:dyDescent="0.35">
      <c r="B1969" s="174"/>
      <c r="C1969" s="175"/>
      <c r="D1969" s="176" t="s">
        <v>76</v>
      </c>
      <c r="E1969" s="163"/>
      <c r="F1969" s="163" t="s">
        <v>193</v>
      </c>
      <c r="G1969" s="164"/>
      <c r="H1969" s="177"/>
      <c r="I1969" s="163"/>
      <c r="J1969" s="65"/>
      <c r="K1969" s="65"/>
      <c r="L1969" s="46"/>
    </row>
    <row r="1970" spans="2:12" x14ac:dyDescent="0.35">
      <c r="B1970" s="174"/>
      <c r="C1970" s="175"/>
      <c r="D1970" s="176"/>
      <c r="E1970" s="163"/>
      <c r="F1970" s="163" t="s">
        <v>89</v>
      </c>
      <c r="G1970" s="164" t="s">
        <v>1123</v>
      </c>
      <c r="H1970" s="177">
        <v>274.46111999999994</v>
      </c>
      <c r="I1970" s="163" t="s">
        <v>87</v>
      </c>
      <c r="J1970" s="65">
        <v>31000</v>
      </c>
      <c r="K1970" s="65"/>
      <c r="L1970" s="46">
        <f t="shared" ref="L1970:L1991" si="80">J1970*H1970</f>
        <v>8508294.7199999988</v>
      </c>
    </row>
    <row r="1971" spans="2:12" x14ac:dyDescent="0.35">
      <c r="B1971" s="174"/>
      <c r="C1971" s="175"/>
      <c r="D1971" s="176"/>
      <c r="E1971" s="163"/>
      <c r="F1971" s="163" t="s">
        <v>89</v>
      </c>
      <c r="G1971" s="164" t="s">
        <v>1124</v>
      </c>
      <c r="H1971" s="177">
        <v>339.12</v>
      </c>
      <c r="I1971" s="163" t="s">
        <v>87</v>
      </c>
      <c r="J1971" s="65">
        <v>31000</v>
      </c>
      <c r="K1971" s="65"/>
      <c r="L1971" s="46">
        <f t="shared" si="80"/>
        <v>10512720</v>
      </c>
    </row>
    <row r="1972" spans="2:12" x14ac:dyDescent="0.35">
      <c r="B1972" s="174"/>
      <c r="C1972" s="175"/>
      <c r="D1972" s="176"/>
      <c r="E1972" s="163"/>
      <c r="F1972" s="163" t="s">
        <v>89</v>
      </c>
      <c r="G1972" s="164" t="s">
        <v>1125</v>
      </c>
      <c r="H1972" s="177">
        <v>35.607599999999998</v>
      </c>
      <c r="I1972" s="163" t="s">
        <v>87</v>
      </c>
      <c r="J1972" s="65">
        <v>31000</v>
      </c>
      <c r="K1972" s="65"/>
      <c r="L1972" s="46">
        <f t="shared" si="80"/>
        <v>1103835.5999999999</v>
      </c>
    </row>
    <row r="1973" spans="2:12" x14ac:dyDescent="0.35">
      <c r="B1973" s="174"/>
      <c r="C1973" s="175"/>
      <c r="D1973" s="176"/>
      <c r="E1973" s="163"/>
      <c r="F1973" s="163" t="s">
        <v>89</v>
      </c>
      <c r="G1973" s="164" t="s">
        <v>1126</v>
      </c>
      <c r="H1973" s="177">
        <v>65.563199999999995</v>
      </c>
      <c r="I1973" s="163" t="s">
        <v>87</v>
      </c>
      <c r="J1973" s="65">
        <v>31000</v>
      </c>
      <c r="K1973" s="65"/>
      <c r="L1973" s="46">
        <f t="shared" si="80"/>
        <v>2032459.2</v>
      </c>
    </row>
    <row r="1974" spans="2:12" x14ac:dyDescent="0.35">
      <c r="B1974" s="174"/>
      <c r="C1974" s="175"/>
      <c r="D1974" s="176"/>
      <c r="E1974" s="163"/>
      <c r="F1974" s="163" t="s">
        <v>89</v>
      </c>
      <c r="G1974" s="164" t="s">
        <v>1127</v>
      </c>
      <c r="H1974" s="177">
        <v>94.953599999999994</v>
      </c>
      <c r="I1974" s="163" t="s">
        <v>87</v>
      </c>
      <c r="J1974" s="65">
        <v>31000</v>
      </c>
      <c r="K1974" s="65"/>
      <c r="L1974" s="46">
        <f t="shared" si="80"/>
        <v>2943561.5999999996</v>
      </c>
    </row>
    <row r="1975" spans="2:12" x14ac:dyDescent="0.35">
      <c r="B1975" s="174"/>
      <c r="C1975" s="175"/>
      <c r="D1975" s="176"/>
      <c r="E1975" s="163"/>
      <c r="F1975" s="163" t="s">
        <v>89</v>
      </c>
      <c r="G1975" s="164" t="s">
        <v>1111</v>
      </c>
      <c r="H1975" s="177">
        <v>27.1296</v>
      </c>
      <c r="I1975" s="163" t="s">
        <v>87</v>
      </c>
      <c r="J1975" s="65">
        <v>31000</v>
      </c>
      <c r="K1975" s="65"/>
      <c r="L1975" s="46">
        <f t="shared" si="80"/>
        <v>841017.6</v>
      </c>
    </row>
    <row r="1976" spans="2:12" x14ac:dyDescent="0.35">
      <c r="B1976" s="96"/>
      <c r="C1976" s="97"/>
      <c r="D1976" s="98"/>
      <c r="E1976" s="99"/>
      <c r="F1976" s="100" t="s">
        <v>89</v>
      </c>
      <c r="G1976" s="101" t="s">
        <v>1128</v>
      </c>
      <c r="H1976" s="102">
        <v>324.55039999999997</v>
      </c>
      <c r="I1976" s="103" t="s">
        <v>87</v>
      </c>
      <c r="J1976" s="65">
        <v>31000</v>
      </c>
      <c r="K1976" s="65"/>
      <c r="L1976" s="46">
        <f t="shared" si="80"/>
        <v>10061062.399999999</v>
      </c>
    </row>
    <row r="1977" spans="2:12" x14ac:dyDescent="0.35">
      <c r="B1977" s="174"/>
      <c r="C1977" s="175"/>
      <c r="D1977" s="176"/>
      <c r="E1977" s="163"/>
      <c r="F1977" s="163" t="s">
        <v>89</v>
      </c>
      <c r="G1977" s="164" t="s">
        <v>1129</v>
      </c>
      <c r="H1977" s="177">
        <v>43.595759999999999</v>
      </c>
      <c r="I1977" s="163" t="s">
        <v>87</v>
      </c>
      <c r="J1977" s="65">
        <v>31000</v>
      </c>
      <c r="K1977" s="65"/>
      <c r="L1977" s="46">
        <f t="shared" si="80"/>
        <v>1351468.56</v>
      </c>
    </row>
    <row r="1978" spans="2:12" x14ac:dyDescent="0.35">
      <c r="B1978" s="174"/>
      <c r="C1978" s="175"/>
      <c r="D1978" s="176"/>
      <c r="E1978" s="163"/>
      <c r="F1978" s="163" t="s">
        <v>89</v>
      </c>
      <c r="G1978" s="164" t="s">
        <v>1130</v>
      </c>
      <c r="H1978" s="177">
        <v>65.563199999999995</v>
      </c>
      <c r="I1978" s="163" t="s">
        <v>87</v>
      </c>
      <c r="J1978" s="65">
        <v>31000</v>
      </c>
      <c r="K1978" s="65"/>
      <c r="L1978" s="46">
        <f t="shared" si="80"/>
        <v>2032459.2</v>
      </c>
    </row>
    <row r="1979" spans="2:12" x14ac:dyDescent="0.35">
      <c r="B1979" s="174"/>
      <c r="C1979" s="175"/>
      <c r="D1979" s="176"/>
      <c r="E1979" s="163"/>
      <c r="F1979" s="163" t="s">
        <v>89</v>
      </c>
      <c r="G1979" s="164" t="s">
        <v>1131</v>
      </c>
      <c r="H1979" s="177">
        <v>56.519999999999996</v>
      </c>
      <c r="I1979" s="163" t="s">
        <v>87</v>
      </c>
      <c r="J1979" s="65">
        <v>31000</v>
      </c>
      <c r="K1979" s="65"/>
      <c r="L1979" s="46">
        <f t="shared" si="80"/>
        <v>1752119.9999999998</v>
      </c>
    </row>
    <row r="1980" spans="2:12" x14ac:dyDescent="0.35">
      <c r="B1980" s="174"/>
      <c r="C1980" s="175"/>
      <c r="D1980" s="176"/>
      <c r="E1980" s="163"/>
      <c r="F1980" s="163" t="s">
        <v>89</v>
      </c>
      <c r="G1980" s="164" t="s">
        <v>1132</v>
      </c>
      <c r="H1980" s="177">
        <v>93.257999999999996</v>
      </c>
      <c r="I1980" s="163" t="s">
        <v>87</v>
      </c>
      <c r="J1980" s="65">
        <v>31000</v>
      </c>
      <c r="K1980" s="65"/>
      <c r="L1980" s="46">
        <f t="shared" si="80"/>
        <v>2890998</v>
      </c>
    </row>
    <row r="1981" spans="2:12" x14ac:dyDescent="0.35">
      <c r="B1981" s="174"/>
      <c r="C1981" s="175"/>
      <c r="D1981" s="176"/>
      <c r="E1981" s="163"/>
      <c r="F1981" s="163" t="s">
        <v>89</v>
      </c>
      <c r="G1981" s="164" t="s">
        <v>1133</v>
      </c>
      <c r="H1981" s="177">
        <v>59.345999999999997</v>
      </c>
      <c r="I1981" s="163" t="s">
        <v>87</v>
      </c>
      <c r="J1981" s="65">
        <v>31000</v>
      </c>
      <c r="K1981" s="65"/>
      <c r="L1981" s="46">
        <f t="shared" si="80"/>
        <v>1839726</v>
      </c>
    </row>
    <row r="1982" spans="2:12" x14ac:dyDescent="0.35">
      <c r="B1982" s="96"/>
      <c r="C1982" s="97"/>
      <c r="D1982" s="98"/>
      <c r="E1982" s="99"/>
      <c r="F1982" s="100" t="s">
        <v>89</v>
      </c>
      <c r="G1982" s="101" t="s">
        <v>1134</v>
      </c>
      <c r="H1982" s="102">
        <v>406.94400000000002</v>
      </c>
      <c r="I1982" s="103" t="s">
        <v>87</v>
      </c>
      <c r="J1982" s="65">
        <v>31000</v>
      </c>
      <c r="K1982" s="65"/>
      <c r="L1982" s="46">
        <f t="shared" si="80"/>
        <v>12615264</v>
      </c>
    </row>
    <row r="1983" spans="2:12" x14ac:dyDescent="0.35">
      <c r="B1983" s="174"/>
      <c r="C1983" s="175"/>
      <c r="D1983" s="176"/>
      <c r="E1983" s="163"/>
      <c r="F1983" s="163" t="s">
        <v>89</v>
      </c>
      <c r="G1983" s="164" t="s">
        <v>1135</v>
      </c>
      <c r="H1983" s="177">
        <v>544.40063999999995</v>
      </c>
      <c r="I1983" s="163" t="s">
        <v>87</v>
      </c>
      <c r="J1983" s="65">
        <v>31000</v>
      </c>
      <c r="K1983" s="65"/>
      <c r="L1983" s="46">
        <f t="shared" si="80"/>
        <v>16876419.84</v>
      </c>
    </row>
    <row r="1984" spans="2:12" x14ac:dyDescent="0.35">
      <c r="B1984" s="174"/>
      <c r="C1984" s="175"/>
      <c r="D1984" s="176"/>
      <c r="E1984" s="163"/>
      <c r="F1984" s="163" t="s">
        <v>89</v>
      </c>
      <c r="G1984" s="164" t="s">
        <v>1136</v>
      </c>
      <c r="H1984" s="177">
        <v>12.999599999999999</v>
      </c>
      <c r="I1984" s="163" t="s">
        <v>87</v>
      </c>
      <c r="J1984" s="65">
        <v>31000</v>
      </c>
      <c r="K1984" s="65"/>
      <c r="L1984" s="46">
        <f t="shared" si="80"/>
        <v>402987.6</v>
      </c>
    </row>
    <row r="1985" spans="2:12" x14ac:dyDescent="0.35">
      <c r="B1985" s="174"/>
      <c r="C1985" s="175"/>
      <c r="D1985" s="176"/>
      <c r="E1985" s="163"/>
      <c r="F1985" s="163" t="s">
        <v>89</v>
      </c>
      <c r="G1985" s="164" t="s">
        <v>1137</v>
      </c>
      <c r="H1985" s="177">
        <v>181.33499999999998</v>
      </c>
      <c r="I1985" s="163" t="s">
        <v>87</v>
      </c>
      <c r="J1985" s="65">
        <v>31000</v>
      </c>
      <c r="K1985" s="65"/>
      <c r="L1985" s="46">
        <f t="shared" si="80"/>
        <v>5621384.9999999991</v>
      </c>
    </row>
    <row r="1986" spans="2:12" x14ac:dyDescent="0.35">
      <c r="B1986" s="174"/>
      <c r="C1986" s="175"/>
      <c r="D1986" s="176"/>
      <c r="E1986" s="163"/>
      <c r="F1986" s="163" t="s">
        <v>89</v>
      </c>
      <c r="G1986" s="164" t="s">
        <v>1138</v>
      </c>
      <c r="H1986" s="177">
        <v>29.201999999999998</v>
      </c>
      <c r="I1986" s="163" t="s">
        <v>87</v>
      </c>
      <c r="J1986" s="65">
        <v>31000</v>
      </c>
      <c r="K1986" s="65"/>
      <c r="L1986" s="46">
        <f t="shared" si="80"/>
        <v>905262</v>
      </c>
    </row>
    <row r="1987" spans="2:12" x14ac:dyDescent="0.35">
      <c r="B1987" s="96"/>
      <c r="C1987" s="97"/>
      <c r="D1987" s="98"/>
      <c r="E1987" s="99"/>
      <c r="F1987" s="100" t="s">
        <v>89</v>
      </c>
      <c r="G1987" s="101" t="s">
        <v>1139</v>
      </c>
      <c r="H1987" s="102">
        <v>36.172799999999995</v>
      </c>
      <c r="I1987" s="103" t="s">
        <v>87</v>
      </c>
      <c r="J1987" s="65">
        <v>31000</v>
      </c>
      <c r="K1987" s="65"/>
      <c r="L1987" s="46">
        <f t="shared" si="80"/>
        <v>1121356.7999999998</v>
      </c>
    </row>
    <row r="1988" spans="2:12" x14ac:dyDescent="0.35">
      <c r="B1988" s="174"/>
      <c r="C1988" s="175"/>
      <c r="D1988" s="176"/>
      <c r="E1988" s="163"/>
      <c r="F1988" s="163" t="s">
        <v>89</v>
      </c>
      <c r="G1988" s="164" t="s">
        <v>1140</v>
      </c>
      <c r="H1988" s="177">
        <v>52.752000000000002</v>
      </c>
      <c r="I1988" s="163" t="s">
        <v>87</v>
      </c>
      <c r="J1988" s="65">
        <v>31000</v>
      </c>
      <c r="K1988" s="65"/>
      <c r="L1988" s="46">
        <f t="shared" si="80"/>
        <v>1635312</v>
      </c>
    </row>
    <row r="1989" spans="2:12" x14ac:dyDescent="0.35">
      <c r="B1989" s="174"/>
      <c r="C1989" s="175"/>
      <c r="D1989" s="176"/>
      <c r="E1989" s="163"/>
      <c r="F1989" s="163" t="s">
        <v>89</v>
      </c>
      <c r="G1989" s="164" t="s">
        <v>1141</v>
      </c>
      <c r="H1989" s="177">
        <v>52.751999999999995</v>
      </c>
      <c r="I1989" s="163" t="s">
        <v>87</v>
      </c>
      <c r="J1989" s="65">
        <v>31000</v>
      </c>
      <c r="K1989" s="65"/>
      <c r="L1989" s="46">
        <f t="shared" si="80"/>
        <v>1635311.9999999998</v>
      </c>
    </row>
    <row r="1990" spans="2:12" x14ac:dyDescent="0.35">
      <c r="B1990" s="174"/>
      <c r="C1990" s="175"/>
      <c r="D1990" s="176"/>
      <c r="E1990" s="163"/>
      <c r="F1990" s="163" t="s">
        <v>89</v>
      </c>
      <c r="G1990" s="164" t="s">
        <v>1142</v>
      </c>
      <c r="H1990" s="177">
        <v>9.4953600000000016</v>
      </c>
      <c r="I1990" s="163" t="s">
        <v>87</v>
      </c>
      <c r="J1990" s="65">
        <v>31000</v>
      </c>
      <c r="K1990" s="65"/>
      <c r="L1990" s="46">
        <f t="shared" si="80"/>
        <v>294356.16000000003</v>
      </c>
    </row>
    <row r="1991" spans="2:12" x14ac:dyDescent="0.35">
      <c r="B1991" s="174"/>
      <c r="C1991" s="175"/>
      <c r="D1991" s="176"/>
      <c r="E1991" s="163"/>
      <c r="F1991" s="163" t="s">
        <v>89</v>
      </c>
      <c r="G1991" s="164" t="s">
        <v>1143</v>
      </c>
      <c r="H1991" s="177">
        <v>24.727499999999999</v>
      </c>
      <c r="I1991" s="163" t="s">
        <v>87</v>
      </c>
      <c r="J1991" s="65">
        <v>31000</v>
      </c>
      <c r="K1991" s="65"/>
      <c r="L1991" s="46">
        <f t="shared" si="80"/>
        <v>766552.5</v>
      </c>
    </row>
    <row r="1992" spans="2:12" x14ac:dyDescent="0.35">
      <c r="B1992" s="96"/>
      <c r="C1992" s="97"/>
      <c r="D1992" s="98" t="s">
        <v>194</v>
      </c>
      <c r="E1992" s="99"/>
      <c r="F1992" s="100" t="s">
        <v>195</v>
      </c>
      <c r="G1992" s="101"/>
      <c r="H1992" s="102"/>
      <c r="I1992" s="103"/>
      <c r="J1992" s="50"/>
      <c r="K1992" s="29"/>
      <c r="L1992" s="52"/>
    </row>
    <row r="1993" spans="2:12" x14ac:dyDescent="0.35">
      <c r="B1993" s="174"/>
      <c r="C1993" s="175"/>
      <c r="D1993" s="176"/>
      <c r="E1993" s="163"/>
      <c r="F1993" s="163" t="s">
        <v>89</v>
      </c>
      <c r="G1993" s="164" t="s">
        <v>1144</v>
      </c>
      <c r="H1993" s="177">
        <v>172.9512</v>
      </c>
      <c r="I1993" s="163" t="s">
        <v>87</v>
      </c>
      <c r="J1993" s="65">
        <v>31000</v>
      </c>
      <c r="K1993" s="65"/>
      <c r="L1993" s="46">
        <f>J1993*H1993</f>
        <v>5361487.2</v>
      </c>
    </row>
    <row r="1994" spans="2:12" x14ac:dyDescent="0.35">
      <c r="B1994" s="174"/>
      <c r="C1994" s="175"/>
      <c r="D1994" s="176"/>
      <c r="E1994" s="163"/>
      <c r="F1994" s="163" t="s">
        <v>89</v>
      </c>
      <c r="G1994" s="164" t="s">
        <v>1145</v>
      </c>
      <c r="H1994" s="102">
        <f>6.02*0.24*1.2*10*7.85*3</f>
        <v>408.30047999999999</v>
      </c>
      <c r="I1994" s="163" t="s">
        <v>87</v>
      </c>
      <c r="J1994" s="65">
        <v>31000</v>
      </c>
      <c r="K1994" s="65"/>
      <c r="L1994" s="46">
        <f>J1994*H1994</f>
        <v>12657314.879999999</v>
      </c>
    </row>
    <row r="1995" spans="2:12" x14ac:dyDescent="0.35">
      <c r="B1995" s="174"/>
      <c r="C1995" s="175"/>
      <c r="D1995" s="176"/>
      <c r="E1995" s="163"/>
      <c r="F1995" s="163" t="s">
        <v>89</v>
      </c>
      <c r="G1995" s="164" t="s">
        <v>1146</v>
      </c>
      <c r="H1995" s="177">
        <v>489.68928</v>
      </c>
      <c r="I1995" s="163" t="s">
        <v>87</v>
      </c>
      <c r="J1995" s="65">
        <v>31000</v>
      </c>
      <c r="K1995" s="65"/>
      <c r="L1995" s="46">
        <f>J1995*H1995</f>
        <v>15180367.68</v>
      </c>
    </row>
    <row r="1996" spans="2:12" x14ac:dyDescent="0.35">
      <c r="B1996" s="96"/>
      <c r="C1996" s="97"/>
      <c r="D1996" s="98"/>
      <c r="E1996" s="99"/>
      <c r="F1996" s="100" t="s">
        <v>89</v>
      </c>
      <c r="G1996" s="101" t="s">
        <v>1147</v>
      </c>
      <c r="H1996" s="102">
        <v>16.484999999999999</v>
      </c>
      <c r="I1996" s="103" t="s">
        <v>87</v>
      </c>
      <c r="J1996" s="65">
        <v>31000</v>
      </c>
      <c r="K1996" s="65"/>
      <c r="L1996" s="46">
        <f>J1996*H1996</f>
        <v>511035</v>
      </c>
    </row>
    <row r="1997" spans="2:12" x14ac:dyDescent="0.35">
      <c r="B1997" s="174"/>
      <c r="C1997" s="175"/>
      <c r="D1997" s="176" t="s">
        <v>196</v>
      </c>
      <c r="E1997" s="163"/>
      <c r="F1997" s="163" t="s">
        <v>197</v>
      </c>
      <c r="G1997" s="164"/>
      <c r="H1997" s="177"/>
      <c r="I1997" s="163"/>
      <c r="J1997" s="50"/>
      <c r="K1997" s="29"/>
      <c r="L1997" s="52"/>
    </row>
    <row r="1998" spans="2:12" x14ac:dyDescent="0.35">
      <c r="B1998" s="174"/>
      <c r="C1998" s="175"/>
      <c r="D1998" s="176"/>
      <c r="E1998" s="163"/>
      <c r="F1998" s="163" t="s">
        <v>89</v>
      </c>
      <c r="G1998" s="164" t="s">
        <v>1111</v>
      </c>
      <c r="H1998" s="177">
        <v>27.1296</v>
      </c>
      <c r="I1998" s="163" t="s">
        <v>87</v>
      </c>
      <c r="J1998" s="65">
        <v>31000</v>
      </c>
      <c r="K1998" s="65"/>
      <c r="L1998" s="46">
        <f>J1998*H1998</f>
        <v>841017.6</v>
      </c>
    </row>
    <row r="1999" spans="2:12" x14ac:dyDescent="0.35">
      <c r="B1999" s="96"/>
      <c r="C1999" s="97"/>
      <c r="D1999" s="98"/>
      <c r="E1999" s="99"/>
      <c r="F1999" s="100" t="s">
        <v>89</v>
      </c>
      <c r="G1999" s="101" t="s">
        <v>1148</v>
      </c>
      <c r="H1999" s="102">
        <v>60.36336</v>
      </c>
      <c r="I1999" s="103" t="s">
        <v>87</v>
      </c>
      <c r="J1999" s="65">
        <v>31000</v>
      </c>
      <c r="K1999" s="65"/>
      <c r="L1999" s="46">
        <f>J1999*H1999</f>
        <v>1871264.16</v>
      </c>
    </row>
    <row r="2000" spans="2:12" x14ac:dyDescent="0.35">
      <c r="B2000" s="96"/>
      <c r="C2000" s="97"/>
      <c r="D2000" s="98"/>
      <c r="E2000" s="99"/>
      <c r="F2000" s="100" t="s">
        <v>89</v>
      </c>
      <c r="G2000" s="101" t="s">
        <v>1149</v>
      </c>
      <c r="H2000" s="102">
        <v>84.78</v>
      </c>
      <c r="I2000" s="103" t="s">
        <v>87</v>
      </c>
      <c r="J2000" s="65">
        <v>31000</v>
      </c>
      <c r="K2000" s="65"/>
      <c r="L2000" s="46">
        <f>J2000*H2000</f>
        <v>2628180</v>
      </c>
    </row>
    <row r="2001" spans="2:12" x14ac:dyDescent="0.35">
      <c r="B2001" s="174"/>
      <c r="C2001" s="175"/>
      <c r="D2001" s="176" t="s">
        <v>78</v>
      </c>
      <c r="E2001" s="163"/>
      <c r="F2001" s="163" t="s">
        <v>198</v>
      </c>
      <c r="G2001" s="164"/>
      <c r="H2001" s="177"/>
      <c r="I2001" s="163"/>
      <c r="J2001" s="50"/>
      <c r="K2001" s="29"/>
      <c r="L2001" s="52"/>
    </row>
    <row r="2002" spans="2:12" x14ac:dyDescent="0.35">
      <c r="B2002" s="174"/>
      <c r="C2002" s="175"/>
      <c r="D2002" s="176"/>
      <c r="E2002" s="163"/>
      <c r="F2002" s="163" t="s">
        <v>89</v>
      </c>
      <c r="G2002" s="164" t="s">
        <v>1150</v>
      </c>
      <c r="H2002" s="102">
        <f>6.02*0.24*1.2*10*7.85*2</f>
        <v>272.20031999999998</v>
      </c>
      <c r="I2002" s="163" t="s">
        <v>87</v>
      </c>
      <c r="J2002" s="65">
        <v>31000</v>
      </c>
      <c r="K2002" s="65"/>
      <c r="L2002" s="46">
        <f>J2002*H2002</f>
        <v>8438209.9199999999</v>
      </c>
    </row>
    <row r="2003" spans="2:12" x14ac:dyDescent="0.35">
      <c r="B2003" s="174"/>
      <c r="C2003" s="175"/>
      <c r="D2003" s="176"/>
      <c r="E2003" s="163"/>
      <c r="F2003" s="163" t="s">
        <v>89</v>
      </c>
      <c r="G2003" s="164" t="s">
        <v>1150</v>
      </c>
      <c r="H2003" s="102">
        <f t="shared" ref="H2003" si="81">6.02*0.24*1.2*10*7.85*2</f>
        <v>272.20031999999998</v>
      </c>
      <c r="I2003" s="163" t="s">
        <v>87</v>
      </c>
      <c r="J2003" s="65">
        <v>31000</v>
      </c>
      <c r="K2003" s="65"/>
      <c r="L2003" s="46">
        <f>J2003*H2003</f>
        <v>8438209.9199999999</v>
      </c>
    </row>
    <row r="2004" spans="2:12" x14ac:dyDescent="0.35">
      <c r="B2004" s="174"/>
      <c r="C2004" s="175"/>
      <c r="D2004" s="176"/>
      <c r="E2004" s="163"/>
      <c r="F2004" s="163" t="s">
        <v>89</v>
      </c>
      <c r="G2004" s="164" t="s">
        <v>1135</v>
      </c>
      <c r="H2004" s="102">
        <f>6.02*0.24*1.2*10*7.85*4</f>
        <v>544.40063999999995</v>
      </c>
      <c r="I2004" s="163" t="s">
        <v>87</v>
      </c>
      <c r="J2004" s="65">
        <v>31000</v>
      </c>
      <c r="K2004" s="65"/>
      <c r="L2004" s="46">
        <f>J2004*H2004</f>
        <v>16876419.84</v>
      </c>
    </row>
    <row r="2005" spans="2:12" x14ac:dyDescent="0.35">
      <c r="B2005" s="174"/>
      <c r="C2005" s="175"/>
      <c r="D2005" s="176"/>
      <c r="E2005" s="163"/>
      <c r="F2005" s="163" t="s">
        <v>89</v>
      </c>
      <c r="G2005" s="164" t="s">
        <v>1038</v>
      </c>
      <c r="H2005" s="177">
        <v>10.851840000000001</v>
      </c>
      <c r="I2005" s="163" t="s">
        <v>87</v>
      </c>
      <c r="J2005" s="65">
        <v>31000</v>
      </c>
      <c r="K2005" s="65"/>
      <c r="L2005" s="46">
        <f>J2005*H2005</f>
        <v>336407.04000000004</v>
      </c>
    </row>
    <row r="2006" spans="2:12" x14ac:dyDescent="0.35">
      <c r="B2006" s="96"/>
      <c r="C2006" s="97"/>
      <c r="D2006" s="98"/>
      <c r="E2006" s="99"/>
      <c r="F2006" s="100" t="s">
        <v>89</v>
      </c>
      <c r="G2006" s="101" t="s">
        <v>1151</v>
      </c>
      <c r="H2006" s="102">
        <v>11.775</v>
      </c>
      <c r="I2006" s="103" t="s">
        <v>87</v>
      </c>
      <c r="J2006" s="65">
        <v>31000</v>
      </c>
      <c r="K2006" s="65"/>
      <c r="L2006" s="46">
        <f>J2006*H2006</f>
        <v>365025</v>
      </c>
    </row>
    <row r="2007" spans="2:12" x14ac:dyDescent="0.35">
      <c r="B2007" s="174"/>
      <c r="C2007" s="175"/>
      <c r="D2007" s="176" t="s">
        <v>81</v>
      </c>
      <c r="E2007" s="163"/>
      <c r="F2007" s="163" t="s">
        <v>199</v>
      </c>
      <c r="G2007" s="164"/>
      <c r="H2007" s="177"/>
      <c r="I2007" s="163"/>
      <c r="J2007" s="29"/>
      <c r="K2007" s="51"/>
      <c r="L2007" s="46"/>
    </row>
    <row r="2008" spans="2:12" x14ac:dyDescent="0.35">
      <c r="B2008" s="174"/>
      <c r="C2008" s="175"/>
      <c r="D2008" s="176"/>
      <c r="E2008" s="163"/>
      <c r="F2008" s="163" t="s">
        <v>89</v>
      </c>
      <c r="G2008" s="164" t="s">
        <v>258</v>
      </c>
      <c r="H2008" s="177">
        <v>67.823999999999998</v>
      </c>
      <c r="I2008" s="163" t="s">
        <v>87</v>
      </c>
      <c r="J2008" s="65">
        <v>31000</v>
      </c>
      <c r="K2008" s="65"/>
      <c r="L2008" s="46">
        <f t="shared" ref="L2008:L2013" si="82">J2008*H2008</f>
        <v>2102544</v>
      </c>
    </row>
    <row r="2009" spans="2:12" x14ac:dyDescent="0.35">
      <c r="B2009" s="174"/>
      <c r="C2009" s="175"/>
      <c r="D2009" s="176"/>
      <c r="E2009" s="163"/>
      <c r="F2009" s="163" t="s">
        <v>89</v>
      </c>
      <c r="G2009" s="164" t="s">
        <v>1111</v>
      </c>
      <c r="H2009" s="177">
        <v>27.1296</v>
      </c>
      <c r="I2009" s="163" t="s">
        <v>87</v>
      </c>
      <c r="J2009" s="65">
        <v>31000</v>
      </c>
      <c r="K2009" s="65"/>
      <c r="L2009" s="46">
        <f t="shared" si="82"/>
        <v>841017.6</v>
      </c>
    </row>
    <row r="2010" spans="2:12" x14ac:dyDescent="0.35">
      <c r="B2010" s="174"/>
      <c r="C2010" s="175"/>
      <c r="D2010" s="176"/>
      <c r="E2010" s="163"/>
      <c r="F2010" s="163" t="s">
        <v>89</v>
      </c>
      <c r="G2010" s="164" t="s">
        <v>1152</v>
      </c>
      <c r="H2010" s="177">
        <v>115.3008</v>
      </c>
      <c r="I2010" s="163" t="s">
        <v>87</v>
      </c>
      <c r="J2010" s="65">
        <v>31000</v>
      </c>
      <c r="K2010" s="65"/>
      <c r="L2010" s="46">
        <f t="shared" si="82"/>
        <v>3574324.8</v>
      </c>
    </row>
    <row r="2011" spans="2:12" x14ac:dyDescent="0.35">
      <c r="B2011" s="174"/>
      <c r="C2011" s="175"/>
      <c r="D2011" s="176"/>
      <c r="E2011" s="163"/>
      <c r="F2011" s="163" t="s">
        <v>89</v>
      </c>
      <c r="G2011" s="164" t="s">
        <v>1153</v>
      </c>
      <c r="H2011" s="177">
        <v>117.5616</v>
      </c>
      <c r="I2011" s="163" t="s">
        <v>87</v>
      </c>
      <c r="J2011" s="65">
        <v>31000</v>
      </c>
      <c r="K2011" s="65"/>
      <c r="L2011" s="46">
        <f t="shared" si="82"/>
        <v>3644409.6</v>
      </c>
    </row>
    <row r="2012" spans="2:12" x14ac:dyDescent="0.35">
      <c r="B2012" s="174"/>
      <c r="C2012" s="175"/>
      <c r="D2012" s="176"/>
      <c r="E2012" s="163"/>
      <c r="F2012" s="163" t="s">
        <v>89</v>
      </c>
      <c r="G2012" s="164" t="s">
        <v>259</v>
      </c>
      <c r="H2012" s="177">
        <v>2.7129600000000003</v>
      </c>
      <c r="I2012" s="163" t="s">
        <v>87</v>
      </c>
      <c r="J2012" s="65">
        <v>31000</v>
      </c>
      <c r="K2012" s="65"/>
      <c r="L2012" s="46">
        <f t="shared" si="82"/>
        <v>84101.760000000009</v>
      </c>
    </row>
    <row r="2013" spans="2:12" x14ac:dyDescent="0.35">
      <c r="B2013" s="174"/>
      <c r="C2013" s="175"/>
      <c r="D2013" s="176"/>
      <c r="E2013" s="163"/>
      <c r="F2013" s="163" t="s">
        <v>89</v>
      </c>
      <c r="G2013" s="164" t="s">
        <v>1154</v>
      </c>
      <c r="H2013" s="177">
        <v>47.1</v>
      </c>
      <c r="I2013" s="163" t="s">
        <v>87</v>
      </c>
      <c r="J2013" s="65">
        <v>31000</v>
      </c>
      <c r="K2013" s="65"/>
      <c r="L2013" s="46">
        <f t="shared" si="82"/>
        <v>1460100</v>
      </c>
    </row>
    <row r="2014" spans="2:12" x14ac:dyDescent="0.35">
      <c r="B2014" s="174"/>
      <c r="C2014" s="175"/>
      <c r="D2014" s="176"/>
      <c r="E2014" s="163"/>
      <c r="F2014" s="163"/>
      <c r="G2014" s="164"/>
      <c r="H2014" s="177"/>
      <c r="I2014" s="163"/>
      <c r="J2014" s="29"/>
      <c r="K2014" s="51"/>
      <c r="L2014" s="46"/>
    </row>
    <row r="2015" spans="2:12" x14ac:dyDescent="0.35">
      <c r="B2015" s="174"/>
      <c r="C2015" s="175"/>
      <c r="D2015" s="176"/>
      <c r="E2015" s="163"/>
      <c r="F2015" s="163"/>
      <c r="G2015" s="164"/>
      <c r="H2015" s="177"/>
      <c r="I2015" s="163"/>
      <c r="J2015" s="65"/>
      <c r="K2015" s="65"/>
      <c r="L2015" s="46"/>
    </row>
    <row r="2016" spans="2:12" x14ac:dyDescent="0.35">
      <c r="B2016" s="8"/>
      <c r="C2016" s="9"/>
      <c r="D2016" s="10"/>
      <c r="E2016" s="4"/>
      <c r="F2016" s="4"/>
      <c r="G2016" s="4"/>
      <c r="H2016" s="1"/>
      <c r="I2016" s="1"/>
      <c r="J2016" s="11" t="s">
        <v>8</v>
      </c>
      <c r="K2016" s="7">
        <f>SUM(K1963:K2015)</f>
        <v>0</v>
      </c>
      <c r="L2016" s="7">
        <f>SUM(L1963:L2015)</f>
        <v>201727221.31999996</v>
      </c>
    </row>
    <row r="2017" spans="2:12" x14ac:dyDescent="0.35">
      <c r="B2017" s="8"/>
      <c r="C2017" s="9"/>
      <c r="D2017" s="9"/>
      <c r="E2017" s="4"/>
      <c r="F2017" s="4"/>
      <c r="G2017" s="4"/>
      <c r="H2017" s="1"/>
      <c r="I2017" s="1"/>
      <c r="J2017" s="11"/>
      <c r="K2017" s="35" t="s">
        <v>22</v>
      </c>
      <c r="L2017" s="36" t="s">
        <v>23</v>
      </c>
    </row>
    <row r="2018" spans="2:12" x14ac:dyDescent="0.35">
      <c r="B2018" s="3" t="s">
        <v>9</v>
      </c>
      <c r="C2018" s="4"/>
      <c r="D2018" s="4"/>
      <c r="E2018" s="4"/>
      <c r="F2018" s="4"/>
      <c r="G2018" s="4"/>
      <c r="H2018" s="1"/>
      <c r="I2018" s="1"/>
      <c r="J2018" s="12"/>
      <c r="K2018" s="12"/>
      <c r="L2018" s="13"/>
    </row>
    <row r="2019" spans="2:12" x14ac:dyDescent="0.35">
      <c r="B2019" s="37"/>
      <c r="C2019" s="1"/>
      <c r="D2019" s="1"/>
      <c r="E2019" s="38"/>
      <c r="F2019" s="38"/>
      <c r="G2019" s="38"/>
      <c r="H2019" s="1"/>
      <c r="I2019" s="1"/>
      <c r="J2019" s="1"/>
      <c r="K2019" s="1"/>
      <c r="L2019" s="19"/>
    </row>
    <row r="2020" spans="2:12" x14ac:dyDescent="0.35">
      <c r="B2020" s="28" t="s">
        <v>6</v>
      </c>
      <c r="C2020" s="27"/>
      <c r="D2020" s="27"/>
      <c r="E2020" s="26"/>
      <c r="F2020" s="26"/>
      <c r="G2020" s="5"/>
      <c r="K2020" s="284" t="s">
        <v>1600</v>
      </c>
      <c r="L2020" s="285"/>
    </row>
    <row r="2021" spans="2:12" x14ac:dyDescent="0.35">
      <c r="B2021" s="28">
        <v>1</v>
      </c>
      <c r="C2021" s="27"/>
      <c r="D2021" s="27"/>
      <c r="E2021" s="26" t="s">
        <v>7</v>
      </c>
      <c r="F2021" s="26"/>
      <c r="G2021" s="5"/>
      <c r="K2021" s="284" t="s">
        <v>28</v>
      </c>
      <c r="L2021" s="285"/>
    </row>
    <row r="2022" spans="2:12" x14ac:dyDescent="0.35">
      <c r="B2022" s="39"/>
      <c r="C2022" s="27"/>
      <c r="D2022" s="27"/>
      <c r="E2022" s="26"/>
      <c r="F2022" s="26"/>
      <c r="G2022" s="5"/>
      <c r="J2022" s="25"/>
      <c r="K2022" s="25"/>
      <c r="L2022" s="24"/>
    </row>
    <row r="2023" spans="2:12" x14ac:dyDescent="0.35">
      <c r="B2023" s="28"/>
      <c r="C2023" s="27"/>
      <c r="D2023" s="27"/>
      <c r="E2023" s="26"/>
      <c r="F2023" s="26"/>
      <c r="G2023" s="5"/>
      <c r="L2023" s="22"/>
    </row>
    <row r="2024" spans="2:12" x14ac:dyDescent="0.35">
      <c r="B2024" s="45"/>
      <c r="E2024" s="5"/>
      <c r="F2024" s="5"/>
      <c r="G2024" s="5"/>
      <c r="L2024" s="22"/>
    </row>
    <row r="2025" spans="2:12" x14ac:dyDescent="0.35">
      <c r="B2025" s="45"/>
      <c r="E2025" s="5"/>
      <c r="F2025" s="5"/>
      <c r="G2025" s="5"/>
      <c r="L2025" s="22"/>
    </row>
    <row r="2026" spans="2:12" x14ac:dyDescent="0.35">
      <c r="B2026" s="45"/>
      <c r="E2026" s="5"/>
      <c r="F2026" s="5"/>
      <c r="G2026" s="5"/>
      <c r="L2026" s="22"/>
    </row>
    <row r="2027" spans="2:12" x14ac:dyDescent="0.35">
      <c r="B2027" s="45"/>
      <c r="E2027" s="5"/>
      <c r="F2027" s="5"/>
      <c r="G2027" s="5"/>
      <c r="J2027" s="40"/>
      <c r="K2027" s="286" t="s">
        <v>36</v>
      </c>
      <c r="L2027" s="287"/>
    </row>
    <row r="2028" spans="2:12" x14ac:dyDescent="0.35">
      <c r="B2028" s="45"/>
      <c r="K2028" s="288" t="s">
        <v>37</v>
      </c>
      <c r="L2028" s="289"/>
    </row>
    <row r="2029" spans="2:12" x14ac:dyDescent="0.35">
      <c r="B2029" s="290"/>
      <c r="C2029" s="291"/>
      <c r="D2029" s="291"/>
      <c r="E2029" s="41"/>
      <c r="F2029" s="41"/>
      <c r="G2029" s="41"/>
      <c r="H2029" s="2"/>
      <c r="I2029" s="2"/>
      <c r="J2029" s="2"/>
      <c r="K2029" s="2"/>
      <c r="L2029" s="21"/>
    </row>
    <row r="2030" spans="2:12" x14ac:dyDescent="0.35">
      <c r="B2030" s="47"/>
      <c r="C2030" s="48"/>
      <c r="D2030" s="49"/>
      <c r="G2030" s="22"/>
      <c r="H2030" s="1"/>
      <c r="I2030" s="1"/>
      <c r="J2030" s="43"/>
      <c r="K2030" s="30"/>
      <c r="L2030" s="44"/>
    </row>
    <row r="2031" spans="2:12" x14ac:dyDescent="0.35">
      <c r="B2031" s="174"/>
      <c r="C2031" s="175"/>
      <c r="D2031" s="176" t="s">
        <v>83</v>
      </c>
      <c r="E2031" s="163"/>
      <c r="F2031" s="163" t="s">
        <v>200</v>
      </c>
      <c r="G2031" s="164"/>
      <c r="H2031" s="177"/>
      <c r="I2031" s="163"/>
      <c r="J2031" s="29"/>
      <c r="K2031" s="51"/>
      <c r="L2031" s="46"/>
    </row>
    <row r="2032" spans="2:12" x14ac:dyDescent="0.35">
      <c r="B2032" s="174"/>
      <c r="C2032" s="175"/>
      <c r="D2032" s="176"/>
      <c r="E2032" s="163"/>
      <c r="F2032" s="163" t="s">
        <v>89</v>
      </c>
      <c r="G2032" s="164" t="s">
        <v>1155</v>
      </c>
      <c r="H2032" s="177">
        <v>35.325000000000003</v>
      </c>
      <c r="I2032" s="163" t="s">
        <v>87</v>
      </c>
      <c r="J2032" s="65">
        <v>31000</v>
      </c>
      <c r="K2032" s="65"/>
      <c r="L2032" s="46">
        <f>J2032*H2032</f>
        <v>1095075</v>
      </c>
    </row>
    <row r="2033" spans="2:12" x14ac:dyDescent="0.35">
      <c r="B2033" s="96"/>
      <c r="C2033" s="97"/>
      <c r="D2033" s="98" t="s">
        <v>201</v>
      </c>
      <c r="E2033" s="99"/>
      <c r="F2033" s="100" t="s">
        <v>202</v>
      </c>
      <c r="G2033" s="101"/>
      <c r="H2033" s="102"/>
      <c r="I2033" s="103"/>
      <c r="J2033" s="29"/>
      <c r="K2033" s="51"/>
      <c r="L2033" s="46"/>
    </row>
    <row r="2034" spans="2:12" x14ac:dyDescent="0.35">
      <c r="B2034" s="174"/>
      <c r="C2034" s="175"/>
      <c r="D2034" s="176"/>
      <c r="E2034" s="163"/>
      <c r="F2034" s="163" t="s">
        <v>89</v>
      </c>
      <c r="G2034" s="164" t="s">
        <v>1156</v>
      </c>
      <c r="H2034" s="177">
        <v>66.91968</v>
      </c>
      <c r="I2034" s="163" t="s">
        <v>87</v>
      </c>
      <c r="J2034" s="65">
        <v>31000</v>
      </c>
      <c r="K2034" s="65"/>
      <c r="L2034" s="46">
        <f t="shared" ref="L2034:L2051" si="83">J2034*H2034</f>
        <v>2074510.08</v>
      </c>
    </row>
    <row r="2035" spans="2:12" x14ac:dyDescent="0.35">
      <c r="B2035" s="96"/>
      <c r="C2035" s="97"/>
      <c r="D2035" s="98"/>
      <c r="E2035" s="99"/>
      <c r="F2035" s="100" t="s">
        <v>89</v>
      </c>
      <c r="G2035" s="101" t="s">
        <v>1157</v>
      </c>
      <c r="H2035" s="102">
        <v>19.518239999999999</v>
      </c>
      <c r="I2035" s="103" t="s">
        <v>87</v>
      </c>
      <c r="J2035" s="65">
        <v>31000</v>
      </c>
      <c r="K2035" s="65"/>
      <c r="L2035" s="46">
        <f t="shared" si="83"/>
        <v>605065.43999999994</v>
      </c>
    </row>
    <row r="2036" spans="2:12" x14ac:dyDescent="0.35">
      <c r="B2036" s="96"/>
      <c r="C2036" s="97"/>
      <c r="D2036" s="98"/>
      <c r="E2036" s="99"/>
      <c r="F2036" s="100" t="s">
        <v>89</v>
      </c>
      <c r="G2036" s="101" t="s">
        <v>1158</v>
      </c>
      <c r="H2036" s="102">
        <v>274.00895999999995</v>
      </c>
      <c r="I2036" s="103" t="s">
        <v>87</v>
      </c>
      <c r="J2036" s="65">
        <v>31000</v>
      </c>
      <c r="K2036" s="65"/>
      <c r="L2036" s="46">
        <f t="shared" si="83"/>
        <v>8494277.7599999979</v>
      </c>
    </row>
    <row r="2037" spans="2:12" x14ac:dyDescent="0.35">
      <c r="B2037" s="96"/>
      <c r="C2037" s="97"/>
      <c r="D2037" s="98"/>
      <c r="E2037" s="99"/>
      <c r="F2037" s="100" t="s">
        <v>89</v>
      </c>
      <c r="G2037" s="101" t="s">
        <v>1159</v>
      </c>
      <c r="H2037" s="102">
        <v>1427.46912</v>
      </c>
      <c r="I2037" s="103" t="s">
        <v>87</v>
      </c>
      <c r="J2037" s="65">
        <v>31000</v>
      </c>
      <c r="K2037" s="65"/>
      <c r="L2037" s="46">
        <f t="shared" si="83"/>
        <v>44251542.719999999</v>
      </c>
    </row>
    <row r="2038" spans="2:12" x14ac:dyDescent="0.35">
      <c r="B2038" s="96"/>
      <c r="C2038" s="97"/>
      <c r="D2038" s="98"/>
      <c r="E2038" s="99"/>
      <c r="F2038" s="100" t="s">
        <v>89</v>
      </c>
      <c r="G2038" s="101" t="s">
        <v>1160</v>
      </c>
      <c r="H2038" s="102">
        <v>515.46239999999989</v>
      </c>
      <c r="I2038" s="103" t="s">
        <v>87</v>
      </c>
      <c r="J2038" s="65">
        <v>31000</v>
      </c>
      <c r="K2038" s="65"/>
      <c r="L2038" s="46">
        <f t="shared" si="83"/>
        <v>15979334.399999997</v>
      </c>
    </row>
    <row r="2039" spans="2:12" x14ac:dyDescent="0.35">
      <c r="B2039" s="96"/>
      <c r="C2039" s="97"/>
      <c r="D2039" s="98"/>
      <c r="E2039" s="99"/>
      <c r="F2039" s="100" t="s">
        <v>89</v>
      </c>
      <c r="G2039" s="101" t="s">
        <v>1161</v>
      </c>
      <c r="H2039" s="102">
        <v>608.15519999999992</v>
      </c>
      <c r="I2039" s="103" t="s">
        <v>87</v>
      </c>
      <c r="J2039" s="65">
        <v>31000</v>
      </c>
      <c r="K2039" s="65"/>
      <c r="L2039" s="46">
        <f t="shared" si="83"/>
        <v>18852811.199999999</v>
      </c>
    </row>
    <row r="2040" spans="2:12" x14ac:dyDescent="0.35">
      <c r="B2040" s="96"/>
      <c r="C2040" s="97"/>
      <c r="D2040" s="98"/>
      <c r="E2040" s="99"/>
      <c r="F2040" s="100" t="s">
        <v>89</v>
      </c>
      <c r="G2040" s="101" t="s">
        <v>1162</v>
      </c>
      <c r="H2040" s="102">
        <v>477.02879999999993</v>
      </c>
      <c r="I2040" s="103" t="s">
        <v>87</v>
      </c>
      <c r="J2040" s="65">
        <v>31000</v>
      </c>
      <c r="K2040" s="65"/>
      <c r="L2040" s="46">
        <f t="shared" si="83"/>
        <v>14787892.799999997</v>
      </c>
    </row>
    <row r="2041" spans="2:12" x14ac:dyDescent="0.35">
      <c r="B2041" s="96"/>
      <c r="C2041" s="97"/>
      <c r="D2041" s="98"/>
      <c r="E2041" s="99"/>
      <c r="F2041" s="100" t="s">
        <v>89</v>
      </c>
      <c r="G2041" s="101" t="s">
        <v>1111</v>
      </c>
      <c r="H2041" s="102">
        <v>27.1296</v>
      </c>
      <c r="I2041" s="103" t="s">
        <v>87</v>
      </c>
      <c r="J2041" s="65">
        <v>31000</v>
      </c>
      <c r="K2041" s="65"/>
      <c r="L2041" s="46">
        <f t="shared" si="83"/>
        <v>841017.6</v>
      </c>
    </row>
    <row r="2042" spans="2:12" x14ac:dyDescent="0.35">
      <c r="B2042" s="96"/>
      <c r="C2042" s="97"/>
      <c r="D2042" s="98"/>
      <c r="E2042" s="99"/>
      <c r="F2042" s="100" t="s">
        <v>89</v>
      </c>
      <c r="G2042" s="101" t="s">
        <v>1163</v>
      </c>
      <c r="H2042" s="102">
        <v>22.0428</v>
      </c>
      <c r="I2042" s="103" t="s">
        <v>87</v>
      </c>
      <c r="J2042" s="65">
        <v>31000</v>
      </c>
      <c r="K2042" s="65"/>
      <c r="L2042" s="46">
        <f t="shared" si="83"/>
        <v>683326.8</v>
      </c>
    </row>
    <row r="2043" spans="2:12" x14ac:dyDescent="0.35">
      <c r="B2043" s="96"/>
      <c r="C2043" s="97"/>
      <c r="D2043" s="98"/>
      <c r="E2043" s="99"/>
      <c r="F2043" s="100" t="s">
        <v>89</v>
      </c>
      <c r="G2043" s="101" t="s">
        <v>1164</v>
      </c>
      <c r="H2043" s="102">
        <v>144.69120000000001</v>
      </c>
      <c r="I2043" s="103" t="s">
        <v>87</v>
      </c>
      <c r="J2043" s="65">
        <v>31000</v>
      </c>
      <c r="K2043" s="65"/>
      <c r="L2043" s="46">
        <f t="shared" si="83"/>
        <v>4485427.2000000002</v>
      </c>
    </row>
    <row r="2044" spans="2:12" x14ac:dyDescent="0.35">
      <c r="B2044" s="96"/>
      <c r="C2044" s="97"/>
      <c r="D2044" s="98"/>
      <c r="E2044" s="99"/>
      <c r="F2044" s="100" t="s">
        <v>89</v>
      </c>
      <c r="G2044" s="101" t="s">
        <v>1165</v>
      </c>
      <c r="H2044" s="102">
        <v>16.956</v>
      </c>
      <c r="I2044" s="103" t="s">
        <v>87</v>
      </c>
      <c r="J2044" s="65">
        <v>31000</v>
      </c>
      <c r="K2044" s="65"/>
      <c r="L2044" s="46">
        <f t="shared" si="83"/>
        <v>525636</v>
      </c>
    </row>
    <row r="2045" spans="2:12" x14ac:dyDescent="0.35">
      <c r="B2045" s="96"/>
      <c r="C2045" s="97"/>
      <c r="D2045" s="98"/>
      <c r="E2045" s="99"/>
      <c r="F2045" s="100" t="s">
        <v>89</v>
      </c>
      <c r="G2045" s="101" t="s">
        <v>1166</v>
      </c>
      <c r="H2045" s="102">
        <v>54.259199999999993</v>
      </c>
      <c r="I2045" s="103" t="s">
        <v>87</v>
      </c>
      <c r="J2045" s="65">
        <v>31000</v>
      </c>
      <c r="K2045" s="65"/>
      <c r="L2045" s="46">
        <f t="shared" si="83"/>
        <v>1682035.1999999997</v>
      </c>
    </row>
    <row r="2046" spans="2:12" x14ac:dyDescent="0.35">
      <c r="B2046" s="96"/>
      <c r="C2046" s="97"/>
      <c r="D2046" s="98"/>
      <c r="E2046" s="99"/>
      <c r="F2046" s="100" t="s">
        <v>89</v>
      </c>
      <c r="G2046" s="101" t="s">
        <v>1167</v>
      </c>
      <c r="H2046" s="102">
        <v>39.564</v>
      </c>
      <c r="I2046" s="103" t="s">
        <v>87</v>
      </c>
      <c r="J2046" s="65">
        <v>31000</v>
      </c>
      <c r="K2046" s="65"/>
      <c r="L2046" s="46">
        <f t="shared" si="83"/>
        <v>1226484</v>
      </c>
    </row>
    <row r="2047" spans="2:12" x14ac:dyDescent="0.35">
      <c r="B2047" s="96"/>
      <c r="C2047" s="97"/>
      <c r="D2047" s="98"/>
      <c r="E2047" s="99"/>
      <c r="F2047" s="100" t="s">
        <v>89</v>
      </c>
      <c r="G2047" s="101" t="s">
        <v>1168</v>
      </c>
      <c r="H2047" s="102">
        <v>131.88</v>
      </c>
      <c r="I2047" s="103" t="s">
        <v>87</v>
      </c>
      <c r="J2047" s="65">
        <v>31000</v>
      </c>
      <c r="K2047" s="65"/>
      <c r="L2047" s="46">
        <f t="shared" si="83"/>
        <v>4088280</v>
      </c>
    </row>
    <row r="2048" spans="2:12" x14ac:dyDescent="0.35">
      <c r="B2048" s="96"/>
      <c r="C2048" s="97"/>
      <c r="D2048" s="98"/>
      <c r="E2048" s="99"/>
      <c r="F2048" s="100" t="s">
        <v>89</v>
      </c>
      <c r="G2048" s="101" t="s">
        <v>1169</v>
      </c>
      <c r="H2048" s="102">
        <v>131.88</v>
      </c>
      <c r="I2048" s="103" t="s">
        <v>87</v>
      </c>
      <c r="J2048" s="65">
        <v>31000</v>
      </c>
      <c r="K2048" s="65"/>
      <c r="L2048" s="46">
        <f t="shared" si="83"/>
        <v>4088280</v>
      </c>
    </row>
    <row r="2049" spans="2:12" x14ac:dyDescent="0.35">
      <c r="B2049" s="96"/>
      <c r="C2049" s="97"/>
      <c r="D2049" s="98"/>
      <c r="E2049" s="99"/>
      <c r="F2049" s="100" t="s">
        <v>89</v>
      </c>
      <c r="G2049" s="101" t="s">
        <v>1170</v>
      </c>
      <c r="H2049" s="102">
        <v>113.03999999999999</v>
      </c>
      <c r="I2049" s="103" t="s">
        <v>87</v>
      </c>
      <c r="J2049" s="65">
        <v>31000</v>
      </c>
      <c r="K2049" s="65"/>
      <c r="L2049" s="46">
        <f t="shared" si="83"/>
        <v>3504239.9999999995</v>
      </c>
    </row>
    <row r="2050" spans="2:12" x14ac:dyDescent="0.35">
      <c r="B2050" s="96"/>
      <c r="C2050" s="97"/>
      <c r="D2050" s="98"/>
      <c r="E2050" s="99"/>
      <c r="F2050" s="100" t="s">
        <v>89</v>
      </c>
      <c r="G2050" s="101" t="s">
        <v>1171</v>
      </c>
      <c r="H2050" s="102">
        <v>24.416640000000001</v>
      </c>
      <c r="I2050" s="103" t="s">
        <v>87</v>
      </c>
      <c r="J2050" s="65">
        <v>31000</v>
      </c>
      <c r="K2050" s="65"/>
      <c r="L2050" s="46">
        <f t="shared" si="83"/>
        <v>756915.84000000008</v>
      </c>
    </row>
    <row r="2051" spans="2:12" x14ac:dyDescent="0.35">
      <c r="B2051" s="96"/>
      <c r="C2051" s="97"/>
      <c r="D2051" s="98"/>
      <c r="E2051" s="99"/>
      <c r="F2051" s="100" t="s">
        <v>89</v>
      </c>
      <c r="G2051" s="101" t="s">
        <v>1172</v>
      </c>
      <c r="H2051" s="102">
        <v>91.844999999999999</v>
      </c>
      <c r="I2051" s="103" t="s">
        <v>87</v>
      </c>
      <c r="J2051" s="65">
        <v>31000</v>
      </c>
      <c r="K2051" s="65"/>
      <c r="L2051" s="46">
        <f t="shared" si="83"/>
        <v>2847195</v>
      </c>
    </row>
    <row r="2052" spans="2:12" x14ac:dyDescent="0.35">
      <c r="B2052" s="96"/>
      <c r="C2052" s="97"/>
      <c r="D2052" s="98" t="s">
        <v>203</v>
      </c>
      <c r="E2052" s="99"/>
      <c r="F2052" s="100" t="s">
        <v>204</v>
      </c>
      <c r="G2052" s="101"/>
      <c r="H2052" s="102"/>
      <c r="I2052" s="103"/>
      <c r="J2052" s="50"/>
      <c r="K2052" s="29"/>
      <c r="L2052" s="52"/>
    </row>
    <row r="2053" spans="2:12" x14ac:dyDescent="0.35">
      <c r="B2053" s="96"/>
      <c r="C2053" s="97"/>
      <c r="D2053" s="98"/>
      <c r="E2053" s="99"/>
      <c r="F2053" s="100" t="s">
        <v>89</v>
      </c>
      <c r="G2053" s="101" t="s">
        <v>1173</v>
      </c>
      <c r="H2053" s="102">
        <f>9.03*0.24*1.2*10*7.85*5</f>
        <v>1020.7511999999999</v>
      </c>
      <c r="I2053" s="103" t="s">
        <v>87</v>
      </c>
      <c r="J2053" s="65">
        <v>31000</v>
      </c>
      <c r="K2053" s="65"/>
      <c r="L2053" s="46">
        <f t="shared" ref="L2053:L2055" si="84">J2053*H2053</f>
        <v>31643287.199999999</v>
      </c>
    </row>
    <row r="2054" spans="2:12" x14ac:dyDescent="0.35">
      <c r="B2054" s="96"/>
      <c r="C2054" s="97"/>
      <c r="D2054" s="98"/>
      <c r="E2054" s="99"/>
      <c r="F2054" s="100" t="s">
        <v>89</v>
      </c>
      <c r="G2054" s="101" t="s">
        <v>1174</v>
      </c>
      <c r="H2054" s="102">
        <f>7.65*0.24*1.2*10*7.85*2</f>
        <v>345.90239999999994</v>
      </c>
      <c r="I2054" s="103" t="s">
        <v>87</v>
      </c>
      <c r="J2054" s="65">
        <v>31000</v>
      </c>
      <c r="K2054" s="65"/>
      <c r="L2054" s="46">
        <f t="shared" si="84"/>
        <v>10722974.399999999</v>
      </c>
    </row>
    <row r="2055" spans="2:12" x14ac:dyDescent="0.35">
      <c r="B2055" s="96"/>
      <c r="C2055" s="97"/>
      <c r="D2055" s="98"/>
      <c r="E2055" s="99"/>
      <c r="F2055" s="100" t="s">
        <v>89</v>
      </c>
      <c r="G2055" s="101" t="s">
        <v>1175</v>
      </c>
      <c r="H2055" s="102">
        <f>7.2*0.24*1.2*10*7.85</f>
        <v>162.77759999999998</v>
      </c>
      <c r="I2055" s="103" t="s">
        <v>87</v>
      </c>
      <c r="J2055" s="65">
        <v>31000</v>
      </c>
      <c r="K2055" s="65"/>
      <c r="L2055" s="46">
        <f t="shared" si="84"/>
        <v>5046105.5999999996</v>
      </c>
    </row>
    <row r="2056" spans="2:12" x14ac:dyDescent="0.35">
      <c r="B2056" s="96"/>
      <c r="C2056" s="97"/>
      <c r="D2056" s="98" t="s">
        <v>205</v>
      </c>
      <c r="E2056" s="99"/>
      <c r="F2056" s="100" t="s">
        <v>206</v>
      </c>
      <c r="G2056" s="101"/>
      <c r="H2056" s="102"/>
      <c r="I2056" s="103"/>
      <c r="J2056" s="50"/>
      <c r="K2056" s="29"/>
      <c r="L2056" s="52"/>
    </row>
    <row r="2057" spans="2:12" x14ac:dyDescent="0.35">
      <c r="B2057" s="96"/>
      <c r="C2057" s="97"/>
      <c r="D2057" s="98"/>
      <c r="E2057" s="99"/>
      <c r="F2057" s="100" t="s">
        <v>89</v>
      </c>
      <c r="G2057" s="101" t="s">
        <v>1176</v>
      </c>
      <c r="H2057" s="102">
        <v>254.11391999999998</v>
      </c>
      <c r="I2057" s="103" t="s">
        <v>87</v>
      </c>
      <c r="J2057" s="65">
        <v>31000</v>
      </c>
      <c r="K2057" s="65"/>
      <c r="L2057" s="46">
        <f t="shared" ref="L2057:L2080" si="85">J2057*H2057</f>
        <v>7877531.5199999996</v>
      </c>
    </row>
    <row r="2058" spans="2:12" x14ac:dyDescent="0.35">
      <c r="B2058" s="96"/>
      <c r="C2058" s="97"/>
      <c r="D2058" s="98"/>
      <c r="E2058" s="99"/>
      <c r="F2058" s="100" t="s">
        <v>89</v>
      </c>
      <c r="G2058" s="101" t="s">
        <v>1177</v>
      </c>
      <c r="H2058" s="102">
        <v>37.981439999999992</v>
      </c>
      <c r="I2058" s="103" t="s">
        <v>87</v>
      </c>
      <c r="J2058" s="65">
        <v>31000</v>
      </c>
      <c r="K2058" s="65"/>
      <c r="L2058" s="46">
        <f t="shared" si="85"/>
        <v>1177424.6399999997</v>
      </c>
    </row>
    <row r="2059" spans="2:12" x14ac:dyDescent="0.35">
      <c r="B2059" s="96"/>
      <c r="C2059" s="97"/>
      <c r="D2059" s="98"/>
      <c r="E2059" s="99"/>
      <c r="F2059" s="100" t="s">
        <v>89</v>
      </c>
      <c r="G2059" s="101" t="s">
        <v>1178</v>
      </c>
      <c r="H2059" s="102">
        <v>39.563999999999993</v>
      </c>
      <c r="I2059" s="103" t="s">
        <v>87</v>
      </c>
      <c r="J2059" s="65">
        <v>31000</v>
      </c>
      <c r="K2059" s="65"/>
      <c r="L2059" s="46">
        <f t="shared" si="85"/>
        <v>1226483.9999999998</v>
      </c>
    </row>
    <row r="2060" spans="2:12" x14ac:dyDescent="0.35">
      <c r="B2060" s="96"/>
      <c r="C2060" s="97"/>
      <c r="D2060" s="98"/>
      <c r="E2060" s="99"/>
      <c r="F2060" s="100" t="s">
        <v>89</v>
      </c>
      <c r="G2060" s="101" t="s">
        <v>1159</v>
      </c>
      <c r="H2060" s="102">
        <v>1427.46912</v>
      </c>
      <c r="I2060" s="103" t="s">
        <v>87</v>
      </c>
      <c r="J2060" s="65">
        <v>31000</v>
      </c>
      <c r="K2060" s="65"/>
      <c r="L2060" s="46">
        <f t="shared" si="85"/>
        <v>44251542.719999999</v>
      </c>
    </row>
    <row r="2061" spans="2:12" x14ac:dyDescent="0.35">
      <c r="B2061" s="96"/>
      <c r="C2061" s="97"/>
      <c r="D2061" s="98"/>
      <c r="E2061" s="99"/>
      <c r="F2061" s="100" t="s">
        <v>89</v>
      </c>
      <c r="G2061" s="101" t="s">
        <v>1160</v>
      </c>
      <c r="H2061" s="102">
        <v>515.46239999999989</v>
      </c>
      <c r="I2061" s="103" t="s">
        <v>87</v>
      </c>
      <c r="J2061" s="65">
        <v>31000</v>
      </c>
      <c r="K2061" s="65"/>
      <c r="L2061" s="46">
        <f t="shared" si="85"/>
        <v>15979334.399999997</v>
      </c>
    </row>
    <row r="2062" spans="2:12" x14ac:dyDescent="0.35">
      <c r="B2062" s="96"/>
      <c r="C2062" s="97"/>
      <c r="D2062" s="98"/>
      <c r="E2062" s="99"/>
      <c r="F2062" s="100" t="s">
        <v>89</v>
      </c>
      <c r="G2062" s="101" t="s">
        <v>1179</v>
      </c>
      <c r="H2062" s="102">
        <v>1306.7423999999999</v>
      </c>
      <c r="I2062" s="103" t="s">
        <v>87</v>
      </c>
      <c r="J2062" s="65">
        <v>31000</v>
      </c>
      <c r="K2062" s="65"/>
      <c r="L2062" s="46">
        <f t="shared" si="85"/>
        <v>40509014.399999999</v>
      </c>
    </row>
    <row r="2063" spans="2:12" x14ac:dyDescent="0.35">
      <c r="B2063" s="96"/>
      <c r="C2063" s="97"/>
      <c r="D2063" s="98"/>
      <c r="E2063" s="99"/>
      <c r="F2063" s="100" t="s">
        <v>89</v>
      </c>
      <c r="G2063" s="101" t="s">
        <v>1180</v>
      </c>
      <c r="H2063" s="102">
        <v>203.92416</v>
      </c>
      <c r="I2063" s="103" t="s">
        <v>87</v>
      </c>
      <c r="J2063" s="65">
        <v>31000</v>
      </c>
      <c r="K2063" s="65"/>
      <c r="L2063" s="46">
        <f t="shared" si="85"/>
        <v>6321648.96</v>
      </c>
    </row>
    <row r="2064" spans="2:12" x14ac:dyDescent="0.35">
      <c r="B2064" s="96"/>
      <c r="C2064" s="97"/>
      <c r="D2064" s="98"/>
      <c r="E2064" s="99"/>
      <c r="F2064" s="100" t="s">
        <v>89</v>
      </c>
      <c r="G2064" s="101" t="s">
        <v>1181</v>
      </c>
      <c r="H2064" s="102">
        <v>355.13400000000001</v>
      </c>
      <c r="I2064" s="103" t="s">
        <v>87</v>
      </c>
      <c r="J2064" s="65">
        <v>31000</v>
      </c>
      <c r="K2064" s="65"/>
      <c r="L2064" s="46">
        <f t="shared" si="85"/>
        <v>11009154</v>
      </c>
    </row>
    <row r="2065" spans="2:12" x14ac:dyDescent="0.35">
      <c r="B2065" s="96"/>
      <c r="C2065" s="97"/>
      <c r="D2065" s="98"/>
      <c r="E2065" s="99"/>
      <c r="F2065" s="100" t="s">
        <v>89</v>
      </c>
      <c r="G2065" s="101" t="s">
        <v>1182</v>
      </c>
      <c r="H2065" s="102">
        <v>29.767199999999999</v>
      </c>
      <c r="I2065" s="103" t="s">
        <v>87</v>
      </c>
      <c r="J2065" s="65">
        <v>31000</v>
      </c>
      <c r="K2065" s="65"/>
      <c r="L2065" s="46">
        <f t="shared" si="85"/>
        <v>922783.2</v>
      </c>
    </row>
    <row r="2066" spans="2:12" x14ac:dyDescent="0.35">
      <c r="B2066" s="96"/>
      <c r="C2066" s="97"/>
      <c r="D2066" s="98"/>
      <c r="E2066" s="99"/>
      <c r="F2066" s="100" t="s">
        <v>89</v>
      </c>
      <c r="G2066" s="101" t="s">
        <v>1183</v>
      </c>
      <c r="H2066" s="102">
        <v>407.84832</v>
      </c>
      <c r="I2066" s="103" t="s">
        <v>87</v>
      </c>
      <c r="J2066" s="65">
        <v>31000</v>
      </c>
      <c r="K2066" s="65"/>
      <c r="L2066" s="46">
        <f t="shared" si="85"/>
        <v>12643297.92</v>
      </c>
    </row>
    <row r="2067" spans="2:12" x14ac:dyDescent="0.35">
      <c r="B2067" s="96"/>
      <c r="C2067" s="97"/>
      <c r="D2067" s="98"/>
      <c r="E2067" s="99"/>
      <c r="F2067" s="100" t="s">
        <v>89</v>
      </c>
      <c r="G2067" s="101" t="s">
        <v>1184</v>
      </c>
      <c r="H2067" s="102">
        <v>248.68799999999996</v>
      </c>
      <c r="I2067" s="103" t="s">
        <v>87</v>
      </c>
      <c r="J2067" s="65">
        <v>31000</v>
      </c>
      <c r="K2067" s="65"/>
      <c r="L2067" s="46">
        <f t="shared" si="85"/>
        <v>7709327.9999999991</v>
      </c>
    </row>
    <row r="2068" spans="2:12" x14ac:dyDescent="0.35">
      <c r="B2068" s="96"/>
      <c r="C2068" s="97"/>
      <c r="D2068" s="98"/>
      <c r="E2068" s="99"/>
      <c r="F2068" s="100" t="s">
        <v>89</v>
      </c>
      <c r="G2068" s="101" t="s">
        <v>1185</v>
      </c>
      <c r="H2068" s="102">
        <v>75.05856</v>
      </c>
      <c r="I2068" s="103" t="s">
        <v>87</v>
      </c>
      <c r="J2068" s="65">
        <v>31000</v>
      </c>
      <c r="K2068" s="65"/>
      <c r="L2068" s="46">
        <f t="shared" si="85"/>
        <v>2326815.36</v>
      </c>
    </row>
    <row r="2069" spans="2:12" x14ac:dyDescent="0.35">
      <c r="B2069" s="96"/>
      <c r="C2069" s="97"/>
      <c r="D2069" s="98"/>
      <c r="E2069" s="99"/>
      <c r="F2069" s="100" t="s">
        <v>89</v>
      </c>
      <c r="G2069" s="101" t="s">
        <v>1186</v>
      </c>
      <c r="H2069" s="102">
        <v>119.37024</v>
      </c>
      <c r="I2069" s="103" t="s">
        <v>87</v>
      </c>
      <c r="J2069" s="65">
        <v>31000</v>
      </c>
      <c r="K2069" s="65"/>
      <c r="L2069" s="46">
        <f t="shared" si="85"/>
        <v>3700477.44</v>
      </c>
    </row>
    <row r="2070" spans="2:12" x14ac:dyDescent="0.35">
      <c r="B2070" s="96"/>
      <c r="C2070" s="97"/>
      <c r="D2070" s="98"/>
      <c r="E2070" s="99"/>
      <c r="F2070" s="100" t="s">
        <v>89</v>
      </c>
      <c r="G2070" s="101" t="s">
        <v>1187</v>
      </c>
      <c r="H2070" s="102">
        <v>15.938639999999999</v>
      </c>
      <c r="I2070" s="103" t="s">
        <v>87</v>
      </c>
      <c r="J2070" s="65">
        <v>31000</v>
      </c>
      <c r="K2070" s="65"/>
      <c r="L2070" s="46">
        <f t="shared" si="85"/>
        <v>494097.83999999997</v>
      </c>
    </row>
    <row r="2071" spans="2:12" x14ac:dyDescent="0.35">
      <c r="B2071" s="96"/>
      <c r="C2071" s="97"/>
      <c r="D2071" s="98"/>
      <c r="E2071" s="99"/>
      <c r="F2071" s="100" t="s">
        <v>89</v>
      </c>
      <c r="G2071" s="101" t="s">
        <v>1188</v>
      </c>
      <c r="H2071" s="102">
        <v>16.616879999999998</v>
      </c>
      <c r="I2071" s="103" t="s">
        <v>87</v>
      </c>
      <c r="J2071" s="65">
        <v>31000</v>
      </c>
      <c r="K2071" s="65"/>
      <c r="L2071" s="46">
        <f t="shared" si="85"/>
        <v>515123.27999999997</v>
      </c>
    </row>
    <row r="2072" spans="2:12" x14ac:dyDescent="0.35">
      <c r="B2072" s="96"/>
      <c r="C2072" s="97"/>
      <c r="D2072" s="98"/>
      <c r="E2072" s="99"/>
      <c r="F2072" s="100" t="s">
        <v>89</v>
      </c>
      <c r="G2072" s="101" t="s">
        <v>1189</v>
      </c>
      <c r="H2072" s="102">
        <v>131.88</v>
      </c>
      <c r="I2072" s="103" t="s">
        <v>87</v>
      </c>
      <c r="J2072" s="65">
        <v>31000</v>
      </c>
      <c r="K2072" s="65"/>
      <c r="L2072" s="46">
        <f t="shared" si="85"/>
        <v>4088280</v>
      </c>
    </row>
    <row r="2073" spans="2:12" x14ac:dyDescent="0.35">
      <c r="B2073" s="96"/>
      <c r="C2073" s="97"/>
      <c r="D2073" s="98"/>
      <c r="E2073" s="99"/>
      <c r="F2073" s="100" t="s">
        <v>89</v>
      </c>
      <c r="G2073" s="101" t="s">
        <v>1190</v>
      </c>
      <c r="H2073" s="102">
        <v>110.7792</v>
      </c>
      <c r="I2073" s="103" t="s">
        <v>87</v>
      </c>
      <c r="J2073" s="65">
        <v>31000</v>
      </c>
      <c r="K2073" s="65"/>
      <c r="L2073" s="46">
        <f t="shared" si="85"/>
        <v>3434155.2</v>
      </c>
    </row>
    <row r="2074" spans="2:12" x14ac:dyDescent="0.35">
      <c r="B2074" s="96"/>
      <c r="C2074" s="97"/>
      <c r="D2074" s="98"/>
      <c r="E2074" s="99"/>
      <c r="F2074" s="100" t="s">
        <v>89</v>
      </c>
      <c r="G2074" s="101" t="s">
        <v>1191</v>
      </c>
      <c r="H2074" s="102">
        <v>60.287999999999997</v>
      </c>
      <c r="I2074" s="103" t="s">
        <v>87</v>
      </c>
      <c r="J2074" s="65">
        <v>31000</v>
      </c>
      <c r="K2074" s="65"/>
      <c r="L2074" s="46">
        <f t="shared" si="85"/>
        <v>1868928</v>
      </c>
    </row>
    <row r="2075" spans="2:12" x14ac:dyDescent="0.35">
      <c r="B2075" s="96"/>
      <c r="C2075" s="97"/>
      <c r="D2075" s="98"/>
      <c r="E2075" s="99"/>
      <c r="F2075" s="100" t="s">
        <v>89</v>
      </c>
      <c r="G2075" s="101" t="s">
        <v>1192</v>
      </c>
      <c r="H2075" s="102">
        <v>23.738399999999999</v>
      </c>
      <c r="I2075" s="103" t="s">
        <v>87</v>
      </c>
      <c r="J2075" s="65">
        <v>31000</v>
      </c>
      <c r="K2075" s="65"/>
      <c r="L2075" s="46">
        <f t="shared" si="85"/>
        <v>735890.39999999991</v>
      </c>
    </row>
    <row r="2076" spans="2:12" x14ac:dyDescent="0.35">
      <c r="B2076" s="96"/>
      <c r="C2076" s="97"/>
      <c r="D2076" s="98"/>
      <c r="E2076" s="99"/>
      <c r="F2076" s="100" t="s">
        <v>89</v>
      </c>
      <c r="G2076" s="101" t="s">
        <v>1193</v>
      </c>
      <c r="H2076" s="102">
        <v>116.80799999999999</v>
      </c>
      <c r="I2076" s="103" t="s">
        <v>87</v>
      </c>
      <c r="J2076" s="65">
        <v>31000</v>
      </c>
      <c r="K2076" s="65"/>
      <c r="L2076" s="46">
        <f t="shared" si="85"/>
        <v>3621048</v>
      </c>
    </row>
    <row r="2077" spans="2:12" x14ac:dyDescent="0.35">
      <c r="B2077" s="96"/>
      <c r="C2077" s="97"/>
      <c r="D2077" s="98"/>
      <c r="E2077" s="99"/>
      <c r="F2077" s="100" t="s">
        <v>89</v>
      </c>
      <c r="G2077" s="101" t="s">
        <v>1194</v>
      </c>
      <c r="H2077" s="102">
        <v>17.332799999999999</v>
      </c>
      <c r="I2077" s="103" t="s">
        <v>87</v>
      </c>
      <c r="J2077" s="65">
        <v>31000</v>
      </c>
      <c r="K2077" s="65"/>
      <c r="L2077" s="46">
        <f t="shared" si="85"/>
        <v>537316.79999999993</v>
      </c>
    </row>
    <row r="2078" spans="2:12" x14ac:dyDescent="0.35">
      <c r="B2078" s="96"/>
      <c r="C2078" s="97"/>
      <c r="D2078" s="98"/>
      <c r="E2078" s="99"/>
      <c r="F2078" s="100" t="s">
        <v>89</v>
      </c>
      <c r="G2078" s="101" t="s">
        <v>1195</v>
      </c>
      <c r="H2078" s="102">
        <v>17.332799999999999</v>
      </c>
      <c r="I2078" s="103" t="s">
        <v>87</v>
      </c>
      <c r="J2078" s="65">
        <v>31000</v>
      </c>
      <c r="K2078" s="65"/>
      <c r="L2078" s="46">
        <f t="shared" si="85"/>
        <v>537316.79999999993</v>
      </c>
    </row>
    <row r="2079" spans="2:12" x14ac:dyDescent="0.35">
      <c r="B2079" s="96"/>
      <c r="C2079" s="97"/>
      <c r="D2079" s="98"/>
      <c r="E2079" s="99"/>
      <c r="F2079" s="100" t="s">
        <v>89</v>
      </c>
      <c r="G2079" s="101" t="s">
        <v>1196</v>
      </c>
      <c r="H2079" s="102">
        <v>72.420959999999994</v>
      </c>
      <c r="I2079" s="103" t="s">
        <v>87</v>
      </c>
      <c r="J2079" s="65">
        <v>31000</v>
      </c>
      <c r="K2079" s="65"/>
      <c r="L2079" s="46">
        <f t="shared" si="85"/>
        <v>2245049.7599999998</v>
      </c>
    </row>
    <row r="2080" spans="2:12" x14ac:dyDescent="0.35">
      <c r="B2080" s="96"/>
      <c r="C2080" s="97"/>
      <c r="D2080" s="98"/>
      <c r="E2080" s="99"/>
      <c r="F2080" s="100" t="s">
        <v>89</v>
      </c>
      <c r="G2080" s="101" t="s">
        <v>1197</v>
      </c>
      <c r="H2080" s="102">
        <v>31.651199999999999</v>
      </c>
      <c r="I2080" s="103" t="s">
        <v>87</v>
      </c>
      <c r="J2080" s="65">
        <v>31000</v>
      </c>
      <c r="K2080" s="65"/>
      <c r="L2080" s="46">
        <f t="shared" si="85"/>
        <v>981187.2</v>
      </c>
    </row>
    <row r="2081" spans="2:12" x14ac:dyDescent="0.35">
      <c r="B2081" s="174"/>
      <c r="C2081" s="175"/>
      <c r="D2081" s="176"/>
      <c r="E2081" s="163"/>
      <c r="F2081" s="163"/>
      <c r="G2081" s="164"/>
      <c r="H2081" s="177"/>
      <c r="I2081" s="163"/>
      <c r="J2081" s="65"/>
      <c r="K2081" s="65"/>
      <c r="L2081" s="46"/>
    </row>
    <row r="2082" spans="2:12" x14ac:dyDescent="0.35">
      <c r="B2082" s="47"/>
      <c r="C2082" s="48"/>
      <c r="D2082" s="24"/>
      <c r="G2082" s="22"/>
      <c r="I2082" s="22"/>
      <c r="J2082" s="50"/>
      <c r="K2082" s="29"/>
      <c r="L2082" s="52"/>
    </row>
    <row r="2083" spans="2:12" x14ac:dyDescent="0.35">
      <c r="B2083" s="8"/>
      <c r="C2083" s="9"/>
      <c r="D2083" s="10"/>
      <c r="E2083" s="4"/>
      <c r="F2083" s="4"/>
      <c r="G2083" s="4"/>
      <c r="H2083" s="1"/>
      <c r="I2083" s="1"/>
      <c r="J2083" s="11" t="s">
        <v>8</v>
      </c>
      <c r="K2083" s="7">
        <f>SUM(K2030:K2082)</f>
        <v>0</v>
      </c>
      <c r="L2083" s="7">
        <f>SUM(L2030:L2082)</f>
        <v>352994944.07999986</v>
      </c>
    </row>
    <row r="2084" spans="2:12" x14ac:dyDescent="0.35">
      <c r="B2084" s="8"/>
      <c r="C2084" s="9"/>
      <c r="D2084" s="9"/>
      <c r="E2084" s="4"/>
      <c r="F2084" s="4"/>
      <c r="G2084" s="4"/>
      <c r="H2084" s="1"/>
      <c r="I2084" s="1"/>
      <c r="J2084" s="11"/>
      <c r="K2084" s="35" t="s">
        <v>22</v>
      </c>
      <c r="L2084" s="36" t="s">
        <v>23</v>
      </c>
    </row>
    <row r="2085" spans="2:12" x14ac:dyDescent="0.35">
      <c r="B2085" s="3" t="s">
        <v>9</v>
      </c>
      <c r="C2085" s="4"/>
      <c r="D2085" s="4"/>
      <c r="E2085" s="4"/>
      <c r="F2085" s="4"/>
      <c r="G2085" s="4"/>
      <c r="H2085" s="1"/>
      <c r="I2085" s="1"/>
      <c r="J2085" s="12"/>
      <c r="K2085" s="12"/>
      <c r="L2085" s="13"/>
    </row>
    <row r="2086" spans="2:12" x14ac:dyDescent="0.35">
      <c r="B2086" s="37"/>
      <c r="C2086" s="1"/>
      <c r="D2086" s="1"/>
      <c r="E2086" s="38"/>
      <c r="F2086" s="38"/>
      <c r="G2086" s="38"/>
      <c r="H2086" s="1"/>
      <c r="I2086" s="1"/>
      <c r="J2086" s="1"/>
      <c r="K2086" s="1"/>
      <c r="L2086" s="19"/>
    </row>
    <row r="2087" spans="2:12" x14ac:dyDescent="0.35">
      <c r="B2087" s="28" t="s">
        <v>6</v>
      </c>
      <c r="C2087" s="27"/>
      <c r="D2087" s="27"/>
      <c r="E2087" s="26"/>
      <c r="F2087" s="26"/>
      <c r="G2087" s="5"/>
      <c r="K2087" s="284" t="s">
        <v>1600</v>
      </c>
      <c r="L2087" s="285"/>
    </row>
    <row r="2088" spans="2:12" x14ac:dyDescent="0.35">
      <c r="B2088" s="28">
        <v>1</v>
      </c>
      <c r="C2088" s="27"/>
      <c r="D2088" s="27"/>
      <c r="E2088" s="26" t="s">
        <v>7</v>
      </c>
      <c r="F2088" s="26"/>
      <c r="G2088" s="5"/>
      <c r="K2088" s="284" t="s">
        <v>28</v>
      </c>
      <c r="L2088" s="285"/>
    </row>
    <row r="2089" spans="2:12" x14ac:dyDescent="0.35">
      <c r="B2089" s="39"/>
      <c r="C2089" s="27"/>
      <c r="D2089" s="27"/>
      <c r="E2089" s="26"/>
      <c r="F2089" s="26"/>
      <c r="G2089" s="5"/>
      <c r="J2089" s="25"/>
      <c r="K2089" s="25"/>
      <c r="L2089" s="24"/>
    </row>
    <row r="2090" spans="2:12" x14ac:dyDescent="0.35">
      <c r="B2090" s="28"/>
      <c r="C2090" s="27"/>
      <c r="D2090" s="27"/>
      <c r="E2090" s="26"/>
      <c r="F2090" s="26"/>
      <c r="G2090" s="5"/>
      <c r="L2090" s="22"/>
    </row>
    <row r="2091" spans="2:12" x14ac:dyDescent="0.35">
      <c r="B2091" s="45"/>
      <c r="E2091" s="5"/>
      <c r="F2091" s="5"/>
      <c r="G2091" s="5"/>
      <c r="L2091" s="22"/>
    </row>
    <row r="2092" spans="2:12" x14ac:dyDescent="0.35">
      <c r="B2092" s="45"/>
      <c r="E2092" s="5"/>
      <c r="F2092" s="5"/>
      <c r="G2092" s="5"/>
      <c r="L2092" s="22"/>
    </row>
    <row r="2093" spans="2:12" x14ac:dyDescent="0.35">
      <c r="B2093" s="45"/>
      <c r="E2093" s="5"/>
      <c r="F2093" s="5"/>
      <c r="G2093" s="5"/>
      <c r="L2093" s="22"/>
    </row>
    <row r="2094" spans="2:12" x14ac:dyDescent="0.35">
      <c r="B2094" s="45"/>
      <c r="E2094" s="5"/>
      <c r="F2094" s="5"/>
      <c r="G2094" s="5"/>
      <c r="J2094" s="40"/>
      <c r="K2094" s="286" t="s">
        <v>36</v>
      </c>
      <c r="L2094" s="287"/>
    </row>
    <row r="2095" spans="2:12" x14ac:dyDescent="0.35">
      <c r="B2095" s="45"/>
      <c r="K2095" s="288" t="s">
        <v>37</v>
      </c>
      <c r="L2095" s="289"/>
    </row>
    <row r="2096" spans="2:12" x14ac:dyDescent="0.35">
      <c r="B2096" s="290"/>
      <c r="C2096" s="291"/>
      <c r="D2096" s="291"/>
      <c r="E2096" s="41"/>
      <c r="F2096" s="41"/>
      <c r="G2096" s="41"/>
      <c r="H2096" s="2"/>
      <c r="I2096" s="2"/>
      <c r="J2096" s="2"/>
      <c r="K2096" s="2"/>
      <c r="L2096" s="21"/>
    </row>
    <row r="2097" spans="2:12" x14ac:dyDescent="0.35">
      <c r="B2097" s="47"/>
      <c r="C2097" s="48"/>
      <c r="D2097" s="49"/>
      <c r="G2097" s="22"/>
      <c r="H2097" s="1"/>
      <c r="I2097" s="1"/>
      <c r="J2097" s="43"/>
      <c r="K2097" s="30"/>
      <c r="L2097" s="44"/>
    </row>
    <row r="2098" spans="2:12" x14ac:dyDescent="0.35">
      <c r="B2098" s="96"/>
      <c r="C2098" s="97"/>
      <c r="D2098" s="98"/>
      <c r="E2098" s="99"/>
      <c r="F2098" s="100" t="s">
        <v>89</v>
      </c>
      <c r="G2098" s="101" t="s">
        <v>1198</v>
      </c>
      <c r="H2098" s="102">
        <v>16.277760000000001</v>
      </c>
      <c r="I2098" s="103" t="s">
        <v>87</v>
      </c>
      <c r="J2098" s="65">
        <v>31000</v>
      </c>
      <c r="K2098" s="65"/>
      <c r="L2098" s="46">
        <f t="shared" ref="L2098" si="86">J2098*H2098</f>
        <v>504610.56</v>
      </c>
    </row>
    <row r="2099" spans="2:12" x14ac:dyDescent="0.35">
      <c r="B2099" s="96"/>
      <c r="C2099" s="97"/>
      <c r="D2099" s="98"/>
      <c r="E2099" s="99"/>
      <c r="F2099" s="100" t="s">
        <v>89</v>
      </c>
      <c r="G2099" s="101" t="s">
        <v>1199</v>
      </c>
      <c r="H2099" s="102">
        <v>22.372499999999999</v>
      </c>
      <c r="I2099" s="103" t="s">
        <v>87</v>
      </c>
      <c r="J2099" s="65">
        <v>31000</v>
      </c>
      <c r="K2099" s="65"/>
      <c r="L2099" s="46">
        <f>J2099*H2099</f>
        <v>693547.5</v>
      </c>
    </row>
    <row r="2100" spans="2:12" x14ac:dyDescent="0.35">
      <c r="B2100" s="96"/>
      <c r="C2100" s="97"/>
      <c r="D2100" s="98" t="s">
        <v>207</v>
      </c>
      <c r="E2100" s="99"/>
      <c r="F2100" s="100" t="s">
        <v>208</v>
      </c>
      <c r="G2100" s="101"/>
      <c r="H2100" s="102"/>
      <c r="I2100" s="103"/>
      <c r="J2100" s="29"/>
      <c r="K2100" s="51"/>
      <c r="L2100" s="46"/>
    </row>
    <row r="2101" spans="2:12" x14ac:dyDescent="0.35">
      <c r="B2101" s="96"/>
      <c r="C2101" s="97"/>
      <c r="D2101" s="98"/>
      <c r="E2101" s="99"/>
      <c r="F2101" s="100" t="s">
        <v>89</v>
      </c>
      <c r="G2101" s="101" t="s">
        <v>1200</v>
      </c>
      <c r="H2101" s="102">
        <v>79.128</v>
      </c>
      <c r="I2101" s="103" t="s">
        <v>87</v>
      </c>
      <c r="J2101" s="65">
        <v>31000</v>
      </c>
      <c r="K2101" s="65"/>
      <c r="L2101" s="46">
        <f t="shared" ref="L2101:L2103" si="87">J2101*H2101</f>
        <v>2452968</v>
      </c>
    </row>
    <row r="2102" spans="2:12" x14ac:dyDescent="0.35">
      <c r="B2102" s="96"/>
      <c r="C2102" s="97"/>
      <c r="D2102" s="98"/>
      <c r="E2102" s="99"/>
      <c r="F2102" s="100" t="s">
        <v>89</v>
      </c>
      <c r="G2102" s="101" t="s">
        <v>1201</v>
      </c>
      <c r="H2102" s="102">
        <f>2.52*0.24*1.2*10*7.85</f>
        <v>56.972159999999995</v>
      </c>
      <c r="I2102" s="103" t="s">
        <v>87</v>
      </c>
      <c r="J2102" s="65">
        <v>31000</v>
      </c>
      <c r="K2102" s="65"/>
      <c r="L2102" s="46">
        <f t="shared" si="87"/>
        <v>1766136.96</v>
      </c>
    </row>
    <row r="2103" spans="2:12" x14ac:dyDescent="0.35">
      <c r="B2103" s="96"/>
      <c r="C2103" s="97"/>
      <c r="D2103" s="98"/>
      <c r="E2103" s="99"/>
      <c r="F2103" s="100" t="s">
        <v>89</v>
      </c>
      <c r="G2103" s="101" t="s">
        <v>1202</v>
      </c>
      <c r="H2103" s="102">
        <v>36.502499999999998</v>
      </c>
      <c r="I2103" s="103" t="s">
        <v>87</v>
      </c>
      <c r="J2103" s="65">
        <v>31000</v>
      </c>
      <c r="K2103" s="65"/>
      <c r="L2103" s="46">
        <f t="shared" si="87"/>
        <v>1131577.5</v>
      </c>
    </row>
    <row r="2104" spans="2:12" x14ac:dyDescent="0.35">
      <c r="B2104" s="96"/>
      <c r="C2104" s="97"/>
      <c r="D2104" s="98" t="s">
        <v>209</v>
      </c>
      <c r="E2104" s="99"/>
      <c r="F2104" s="100" t="s">
        <v>210</v>
      </c>
      <c r="G2104" s="101"/>
      <c r="H2104" s="102"/>
      <c r="I2104" s="103"/>
      <c r="J2104" s="65"/>
      <c r="K2104" s="65"/>
      <c r="L2104" s="46"/>
    </row>
    <row r="2105" spans="2:12" x14ac:dyDescent="0.35">
      <c r="B2105" s="96"/>
      <c r="C2105" s="97"/>
      <c r="D2105" s="98"/>
      <c r="E2105" s="99"/>
      <c r="F2105" s="100" t="s">
        <v>89</v>
      </c>
      <c r="G2105" s="101" t="s">
        <v>1203</v>
      </c>
      <c r="H2105" s="102">
        <v>274.00895999999995</v>
      </c>
      <c r="I2105" s="103" t="s">
        <v>87</v>
      </c>
      <c r="J2105" s="65">
        <v>31000</v>
      </c>
      <c r="K2105" s="65"/>
      <c r="L2105" s="46">
        <f t="shared" ref="L2105:L2123" si="88">J2105*H2105</f>
        <v>8494277.7599999979</v>
      </c>
    </row>
    <row r="2106" spans="2:12" x14ac:dyDescent="0.35">
      <c r="B2106" s="96"/>
      <c r="C2106" s="97"/>
      <c r="D2106" s="98"/>
      <c r="E2106" s="99"/>
      <c r="F2106" s="100" t="s">
        <v>89</v>
      </c>
      <c r="G2106" s="101" t="s">
        <v>1204</v>
      </c>
      <c r="H2106" s="102">
        <v>1425.8865599999999</v>
      </c>
      <c r="I2106" s="103" t="s">
        <v>87</v>
      </c>
      <c r="J2106" s="65">
        <v>31000</v>
      </c>
      <c r="K2106" s="65"/>
      <c r="L2106" s="46">
        <f t="shared" si="88"/>
        <v>44202483.359999999</v>
      </c>
    </row>
    <row r="2107" spans="2:12" x14ac:dyDescent="0.35">
      <c r="B2107" s="96"/>
      <c r="C2107" s="97"/>
      <c r="D2107" s="98"/>
      <c r="E2107" s="99"/>
      <c r="F2107" s="100" t="s">
        <v>89</v>
      </c>
      <c r="G2107" s="101" t="s">
        <v>1205</v>
      </c>
      <c r="H2107" s="102">
        <v>516.02759999999989</v>
      </c>
      <c r="I2107" s="103" t="s">
        <v>87</v>
      </c>
      <c r="J2107" s="65">
        <v>31000</v>
      </c>
      <c r="K2107" s="65"/>
      <c r="L2107" s="46">
        <f t="shared" si="88"/>
        <v>15996855.599999996</v>
      </c>
    </row>
    <row r="2108" spans="2:12" x14ac:dyDescent="0.35">
      <c r="B2108" s="96"/>
      <c r="C2108" s="97"/>
      <c r="D2108" s="98"/>
      <c r="E2108" s="99"/>
      <c r="F2108" s="100" t="s">
        <v>89</v>
      </c>
      <c r="G2108" s="101" t="s">
        <v>1206</v>
      </c>
      <c r="H2108" s="102">
        <v>1146.2256</v>
      </c>
      <c r="I2108" s="103" t="s">
        <v>87</v>
      </c>
      <c r="J2108" s="65">
        <v>31000</v>
      </c>
      <c r="K2108" s="65"/>
      <c r="L2108" s="46">
        <f t="shared" si="88"/>
        <v>35532993.600000001</v>
      </c>
    </row>
    <row r="2109" spans="2:12" x14ac:dyDescent="0.35">
      <c r="B2109" s="96"/>
      <c r="C2109" s="97"/>
      <c r="D2109" s="98"/>
      <c r="E2109" s="99"/>
      <c r="F2109" s="100" t="s">
        <v>89</v>
      </c>
      <c r="G2109" s="101" t="s">
        <v>1207</v>
      </c>
      <c r="H2109" s="102">
        <v>306.14999999999998</v>
      </c>
      <c r="I2109" s="103" t="s">
        <v>87</v>
      </c>
      <c r="J2109" s="65">
        <v>31000</v>
      </c>
      <c r="K2109" s="65"/>
      <c r="L2109" s="46">
        <f t="shared" si="88"/>
        <v>9490650</v>
      </c>
    </row>
    <row r="2110" spans="2:12" x14ac:dyDescent="0.35">
      <c r="B2110" s="96"/>
      <c r="C2110" s="97"/>
      <c r="D2110" s="98"/>
      <c r="E2110" s="99"/>
      <c r="F2110" s="100" t="s">
        <v>89</v>
      </c>
      <c r="G2110" s="101" t="s">
        <v>1208</v>
      </c>
      <c r="H2110" s="102">
        <v>23.738399999999999</v>
      </c>
      <c r="I2110" s="103" t="s">
        <v>87</v>
      </c>
      <c r="J2110" s="65">
        <v>31000</v>
      </c>
      <c r="K2110" s="65"/>
      <c r="L2110" s="46">
        <f t="shared" si="88"/>
        <v>735890.39999999991</v>
      </c>
    </row>
    <row r="2111" spans="2:12" x14ac:dyDescent="0.35">
      <c r="B2111" s="96"/>
      <c r="C2111" s="97"/>
      <c r="D2111" s="98"/>
      <c r="E2111" s="99"/>
      <c r="F2111" s="100" t="s">
        <v>89</v>
      </c>
      <c r="G2111" s="101" t="s">
        <v>1209</v>
      </c>
      <c r="H2111" s="102">
        <v>203.69808</v>
      </c>
      <c r="I2111" s="103" t="s">
        <v>87</v>
      </c>
      <c r="J2111" s="65">
        <v>31000</v>
      </c>
      <c r="K2111" s="65"/>
      <c r="L2111" s="46">
        <f t="shared" si="88"/>
        <v>6314640.4800000004</v>
      </c>
    </row>
    <row r="2112" spans="2:12" x14ac:dyDescent="0.35">
      <c r="B2112" s="96"/>
      <c r="C2112" s="97"/>
      <c r="D2112" s="98"/>
      <c r="E2112" s="99"/>
      <c r="F2112" s="100" t="s">
        <v>89</v>
      </c>
      <c r="G2112" s="101" t="s">
        <v>1210</v>
      </c>
      <c r="H2112" s="102">
        <v>406.94399999999996</v>
      </c>
      <c r="I2112" s="103" t="s">
        <v>87</v>
      </c>
      <c r="J2112" s="65">
        <v>31000</v>
      </c>
      <c r="K2112" s="65"/>
      <c r="L2112" s="46">
        <f t="shared" si="88"/>
        <v>12615263.999999998</v>
      </c>
    </row>
    <row r="2113" spans="2:12" x14ac:dyDescent="0.35">
      <c r="B2113" s="96"/>
      <c r="C2113" s="97"/>
      <c r="D2113" s="98"/>
      <c r="E2113" s="99"/>
      <c r="F2113" s="100" t="s">
        <v>89</v>
      </c>
      <c r="G2113" s="101" t="s">
        <v>1211</v>
      </c>
      <c r="H2113" s="102">
        <v>203.69808</v>
      </c>
      <c r="I2113" s="103" t="s">
        <v>87</v>
      </c>
      <c r="J2113" s="65">
        <v>31000</v>
      </c>
      <c r="K2113" s="65"/>
      <c r="L2113" s="46">
        <f t="shared" si="88"/>
        <v>6314640.4800000004</v>
      </c>
    </row>
    <row r="2114" spans="2:12" x14ac:dyDescent="0.35">
      <c r="B2114" s="96"/>
      <c r="C2114" s="97"/>
      <c r="D2114" s="98"/>
      <c r="E2114" s="99"/>
      <c r="F2114" s="100" t="s">
        <v>89</v>
      </c>
      <c r="G2114" s="101" t="s">
        <v>254</v>
      </c>
      <c r="H2114" s="102">
        <v>15.071999999999997</v>
      </c>
      <c r="I2114" s="103" t="s">
        <v>87</v>
      </c>
      <c r="J2114" s="65">
        <v>31000</v>
      </c>
      <c r="K2114" s="65"/>
      <c r="L2114" s="46">
        <f t="shared" si="88"/>
        <v>467231.99999999994</v>
      </c>
    </row>
    <row r="2115" spans="2:12" x14ac:dyDescent="0.35">
      <c r="B2115" s="96"/>
      <c r="C2115" s="97"/>
      <c r="D2115" s="98"/>
      <c r="E2115" s="99"/>
      <c r="F2115" s="100" t="s">
        <v>89</v>
      </c>
      <c r="G2115" s="101" t="s">
        <v>1212</v>
      </c>
      <c r="H2115" s="102">
        <v>110.7792</v>
      </c>
      <c r="I2115" s="103" t="s">
        <v>87</v>
      </c>
      <c r="J2115" s="65">
        <v>31000</v>
      </c>
      <c r="K2115" s="65"/>
      <c r="L2115" s="46">
        <f t="shared" si="88"/>
        <v>3434155.2</v>
      </c>
    </row>
    <row r="2116" spans="2:12" x14ac:dyDescent="0.35">
      <c r="B2116" s="96"/>
      <c r="C2116" s="97"/>
      <c r="D2116" s="98"/>
      <c r="E2116" s="99"/>
      <c r="F2116" s="100" t="s">
        <v>89</v>
      </c>
      <c r="G2116" s="101" t="s">
        <v>1213</v>
      </c>
      <c r="H2116" s="102">
        <v>77.243999999999986</v>
      </c>
      <c r="I2116" s="103" t="s">
        <v>87</v>
      </c>
      <c r="J2116" s="65">
        <v>31000</v>
      </c>
      <c r="K2116" s="65"/>
      <c r="L2116" s="46">
        <f t="shared" si="88"/>
        <v>2394563.9999999995</v>
      </c>
    </row>
    <row r="2117" spans="2:12" x14ac:dyDescent="0.35">
      <c r="B2117" s="96"/>
      <c r="C2117" s="97"/>
      <c r="D2117" s="98"/>
      <c r="E2117" s="99"/>
      <c r="F2117" s="100" t="s">
        <v>89</v>
      </c>
      <c r="G2117" s="101" t="s">
        <v>1214</v>
      </c>
      <c r="H2117" s="102">
        <v>16.5792</v>
      </c>
      <c r="I2117" s="103" t="s">
        <v>87</v>
      </c>
      <c r="J2117" s="65">
        <v>31000</v>
      </c>
      <c r="K2117" s="65"/>
      <c r="L2117" s="46">
        <f t="shared" si="88"/>
        <v>513955.2</v>
      </c>
    </row>
    <row r="2118" spans="2:12" x14ac:dyDescent="0.35">
      <c r="B2118" s="96"/>
      <c r="C2118" s="97"/>
      <c r="D2118" s="98"/>
      <c r="E2118" s="99"/>
      <c r="F2118" s="100" t="s">
        <v>89</v>
      </c>
      <c r="G2118" s="101" t="s">
        <v>1215</v>
      </c>
      <c r="H2118" s="102">
        <v>59.760479999999994</v>
      </c>
      <c r="I2118" s="103" t="s">
        <v>87</v>
      </c>
      <c r="J2118" s="65">
        <v>31000</v>
      </c>
      <c r="K2118" s="65"/>
      <c r="L2118" s="46">
        <f t="shared" si="88"/>
        <v>1852574.88</v>
      </c>
    </row>
    <row r="2119" spans="2:12" x14ac:dyDescent="0.35">
      <c r="B2119" s="96"/>
      <c r="C2119" s="97"/>
      <c r="D2119" s="98"/>
      <c r="E2119" s="99"/>
      <c r="F2119" s="100" t="s">
        <v>89</v>
      </c>
      <c r="G2119" s="101" t="s">
        <v>1190</v>
      </c>
      <c r="H2119" s="102">
        <v>110.7792</v>
      </c>
      <c r="I2119" s="103" t="s">
        <v>87</v>
      </c>
      <c r="J2119" s="65">
        <v>31000</v>
      </c>
      <c r="K2119" s="65"/>
      <c r="L2119" s="46">
        <f t="shared" si="88"/>
        <v>3434155.2</v>
      </c>
    </row>
    <row r="2120" spans="2:12" x14ac:dyDescent="0.35">
      <c r="B2120" s="96"/>
      <c r="C2120" s="97"/>
      <c r="D2120" s="98"/>
      <c r="E2120" s="99"/>
      <c r="F2120" s="100" t="s">
        <v>89</v>
      </c>
      <c r="G2120" s="101" t="s">
        <v>1216</v>
      </c>
      <c r="H2120" s="102">
        <v>30.614999999999998</v>
      </c>
      <c r="I2120" s="103" t="s">
        <v>87</v>
      </c>
      <c r="J2120" s="65">
        <v>31000</v>
      </c>
      <c r="K2120" s="65"/>
      <c r="L2120" s="46">
        <f t="shared" si="88"/>
        <v>949065</v>
      </c>
    </row>
    <row r="2121" spans="2:12" x14ac:dyDescent="0.35">
      <c r="B2121" s="96"/>
      <c r="C2121" s="97"/>
      <c r="D2121" s="98"/>
      <c r="E2121" s="99"/>
      <c r="F2121" s="100" t="s">
        <v>89</v>
      </c>
      <c r="G2121" s="101" t="s">
        <v>1217</v>
      </c>
      <c r="H2121" s="102">
        <v>122.46</v>
      </c>
      <c r="I2121" s="103" t="s">
        <v>87</v>
      </c>
      <c r="J2121" s="65">
        <v>31000</v>
      </c>
      <c r="K2121" s="65"/>
      <c r="L2121" s="46">
        <f t="shared" si="88"/>
        <v>3796260</v>
      </c>
    </row>
    <row r="2122" spans="2:12" x14ac:dyDescent="0.35">
      <c r="B2122" s="96"/>
      <c r="C2122" s="97"/>
      <c r="D2122" s="98"/>
      <c r="E2122" s="99"/>
      <c r="F2122" s="100" t="s">
        <v>89</v>
      </c>
      <c r="G2122" s="101" t="s">
        <v>1218</v>
      </c>
      <c r="H2122" s="102">
        <v>38.998799999999996</v>
      </c>
      <c r="I2122" s="103" t="s">
        <v>87</v>
      </c>
      <c r="J2122" s="65">
        <v>31000</v>
      </c>
      <c r="K2122" s="65"/>
      <c r="L2122" s="46">
        <f t="shared" si="88"/>
        <v>1208962.7999999998</v>
      </c>
    </row>
    <row r="2123" spans="2:12" x14ac:dyDescent="0.35">
      <c r="B2123" s="96"/>
      <c r="C2123" s="97"/>
      <c r="D2123" s="98"/>
      <c r="E2123" s="99"/>
      <c r="F2123" s="100" t="s">
        <v>89</v>
      </c>
      <c r="G2123" s="101" t="s">
        <v>1219</v>
      </c>
      <c r="H2123" s="102">
        <v>5.8875000000000002</v>
      </c>
      <c r="I2123" s="103" t="s">
        <v>87</v>
      </c>
      <c r="J2123" s="65">
        <v>31000</v>
      </c>
      <c r="K2123" s="65"/>
      <c r="L2123" s="46">
        <f t="shared" si="88"/>
        <v>182512.5</v>
      </c>
    </row>
    <row r="2124" spans="2:12" x14ac:dyDescent="0.35">
      <c r="B2124" s="96"/>
      <c r="C2124" s="97"/>
      <c r="D2124" s="98" t="s">
        <v>211</v>
      </c>
      <c r="E2124" s="99"/>
      <c r="F2124" s="100" t="s">
        <v>212</v>
      </c>
      <c r="G2124" s="101"/>
      <c r="H2124" s="102"/>
      <c r="I2124" s="103"/>
      <c r="J2124" s="50"/>
      <c r="K2124" s="29"/>
      <c r="L2124" s="52"/>
    </row>
    <row r="2125" spans="2:12" x14ac:dyDescent="0.35">
      <c r="B2125" s="96"/>
      <c r="C2125" s="97"/>
      <c r="D2125" s="98"/>
      <c r="E2125" s="99"/>
      <c r="F2125" s="100" t="s">
        <v>89</v>
      </c>
      <c r="G2125" s="101" t="s">
        <v>1173</v>
      </c>
      <c r="H2125" s="102">
        <f>9.03*0.24*1.2*10*7.85*5</f>
        <v>1020.7511999999999</v>
      </c>
      <c r="I2125" s="103" t="s">
        <v>87</v>
      </c>
      <c r="J2125" s="65">
        <v>31000</v>
      </c>
      <c r="K2125" s="65"/>
      <c r="L2125" s="46">
        <f t="shared" ref="L2125:L2128" si="89">J2125*H2125</f>
        <v>31643287.199999999</v>
      </c>
    </row>
    <row r="2126" spans="2:12" x14ac:dyDescent="0.35">
      <c r="B2126" s="96"/>
      <c r="C2126" s="97"/>
      <c r="D2126" s="98"/>
      <c r="E2126" s="99"/>
      <c r="F2126" s="100" t="s">
        <v>89</v>
      </c>
      <c r="G2126" s="101" t="s">
        <v>1220</v>
      </c>
      <c r="H2126" s="102">
        <f>7.15*0.24*1.2*10*7.85*2</f>
        <v>323.29439999999994</v>
      </c>
      <c r="I2126" s="103" t="s">
        <v>87</v>
      </c>
      <c r="J2126" s="65">
        <v>31000</v>
      </c>
      <c r="K2126" s="65"/>
      <c r="L2126" s="46">
        <f t="shared" si="89"/>
        <v>10022126.399999999</v>
      </c>
    </row>
    <row r="2127" spans="2:12" x14ac:dyDescent="0.35">
      <c r="B2127" s="96"/>
      <c r="C2127" s="97"/>
      <c r="D2127" s="98"/>
      <c r="E2127" s="99"/>
      <c r="F2127" s="100" t="s">
        <v>89</v>
      </c>
      <c r="G2127" s="101" t="s">
        <v>1221</v>
      </c>
      <c r="H2127" s="102">
        <f>7.65*0.24*1.2*10*7.85</f>
        <v>172.95119999999997</v>
      </c>
      <c r="I2127" s="103" t="s">
        <v>87</v>
      </c>
      <c r="J2127" s="65">
        <v>31000</v>
      </c>
      <c r="K2127" s="65"/>
      <c r="L2127" s="46">
        <f t="shared" si="89"/>
        <v>5361487.1999999993</v>
      </c>
    </row>
    <row r="2128" spans="2:12" x14ac:dyDescent="0.35">
      <c r="B2128" s="96"/>
      <c r="C2128" s="97"/>
      <c r="D2128" s="98"/>
      <c r="E2128" s="99"/>
      <c r="F2128" s="100" t="s">
        <v>89</v>
      </c>
      <c r="G2128" s="101" t="s">
        <v>1151</v>
      </c>
      <c r="H2128" s="102">
        <f>0.25*0.05*10*7.85*10</f>
        <v>9.8125</v>
      </c>
      <c r="I2128" s="103" t="s">
        <v>87</v>
      </c>
      <c r="J2128" s="65">
        <v>31000</v>
      </c>
      <c r="K2128" s="65"/>
      <c r="L2128" s="46">
        <f t="shared" si="89"/>
        <v>304187.5</v>
      </c>
    </row>
    <row r="2129" spans="2:12" x14ac:dyDescent="0.35">
      <c r="B2129" s="96"/>
      <c r="C2129" s="97"/>
      <c r="D2129" s="98" t="s">
        <v>213</v>
      </c>
      <c r="E2129" s="99"/>
      <c r="F2129" s="100" t="s">
        <v>214</v>
      </c>
      <c r="G2129" s="101"/>
      <c r="H2129" s="102"/>
      <c r="I2129" s="103"/>
      <c r="J2129" s="50"/>
      <c r="K2129" s="29"/>
      <c r="L2129" s="52"/>
    </row>
    <row r="2130" spans="2:12" x14ac:dyDescent="0.35">
      <c r="B2130" s="96"/>
      <c r="C2130" s="97"/>
      <c r="D2130" s="98"/>
      <c r="E2130" s="99"/>
      <c r="F2130" s="100" t="s">
        <v>89</v>
      </c>
      <c r="G2130" s="101" t="s">
        <v>1222</v>
      </c>
      <c r="H2130" s="102">
        <v>611.77247999999997</v>
      </c>
      <c r="I2130" s="103" t="s">
        <v>87</v>
      </c>
      <c r="J2130" s="65">
        <v>31000</v>
      </c>
      <c r="K2130" s="65"/>
      <c r="L2130" s="46">
        <f t="shared" ref="L2130:L2147" si="90">J2130*H2130</f>
        <v>18964946.879999999</v>
      </c>
    </row>
    <row r="2131" spans="2:12" x14ac:dyDescent="0.35">
      <c r="B2131" s="96"/>
      <c r="C2131" s="97"/>
      <c r="D2131" s="98"/>
      <c r="E2131" s="99"/>
      <c r="F2131" s="100" t="s">
        <v>89</v>
      </c>
      <c r="G2131" s="101" t="s">
        <v>1160</v>
      </c>
      <c r="H2131" s="102">
        <v>515.46239999999989</v>
      </c>
      <c r="I2131" s="103" t="s">
        <v>87</v>
      </c>
      <c r="J2131" s="65">
        <v>31000</v>
      </c>
      <c r="K2131" s="65"/>
      <c r="L2131" s="46">
        <f t="shared" si="90"/>
        <v>15979334.399999997</v>
      </c>
    </row>
    <row r="2132" spans="2:12" x14ac:dyDescent="0.35">
      <c r="B2132" s="96"/>
      <c r="C2132" s="97"/>
      <c r="D2132" s="98"/>
      <c r="E2132" s="99"/>
      <c r="F2132" s="100" t="s">
        <v>89</v>
      </c>
      <c r="G2132" s="101" t="s">
        <v>1223</v>
      </c>
      <c r="H2132" s="102">
        <v>1164.3119999999999</v>
      </c>
      <c r="I2132" s="103" t="s">
        <v>87</v>
      </c>
      <c r="J2132" s="65">
        <v>31000</v>
      </c>
      <c r="K2132" s="65"/>
      <c r="L2132" s="46">
        <f t="shared" si="90"/>
        <v>36093672</v>
      </c>
    </row>
    <row r="2133" spans="2:12" x14ac:dyDescent="0.35">
      <c r="B2133" s="96"/>
      <c r="C2133" s="97"/>
      <c r="D2133" s="98"/>
      <c r="E2133" s="99"/>
      <c r="F2133" s="100" t="s">
        <v>89</v>
      </c>
      <c r="G2133" s="101" t="s">
        <v>1224</v>
      </c>
      <c r="H2133" s="102">
        <v>23.512319999999999</v>
      </c>
      <c r="I2133" s="103" t="s">
        <v>87</v>
      </c>
      <c r="J2133" s="65">
        <v>31000</v>
      </c>
      <c r="K2133" s="65"/>
      <c r="L2133" s="46">
        <f t="shared" si="90"/>
        <v>728881.91999999993</v>
      </c>
    </row>
    <row r="2134" spans="2:12" x14ac:dyDescent="0.35">
      <c r="B2134" s="96"/>
      <c r="C2134" s="97"/>
      <c r="D2134" s="98"/>
      <c r="E2134" s="99"/>
      <c r="F2134" s="100" t="s">
        <v>89</v>
      </c>
      <c r="G2134" s="101" t="s">
        <v>1225</v>
      </c>
      <c r="H2134" s="102">
        <v>303.19839999999999</v>
      </c>
      <c r="I2134" s="103" t="s">
        <v>87</v>
      </c>
      <c r="J2134" s="65">
        <v>31000</v>
      </c>
      <c r="K2134" s="65"/>
      <c r="L2134" s="46">
        <f t="shared" si="90"/>
        <v>9399150.4000000004</v>
      </c>
    </row>
    <row r="2135" spans="2:12" x14ac:dyDescent="0.35">
      <c r="B2135" s="96"/>
      <c r="C2135" s="97"/>
      <c r="D2135" s="98"/>
      <c r="E2135" s="99"/>
      <c r="F2135" s="100" t="s">
        <v>89</v>
      </c>
      <c r="G2135" s="101" t="s">
        <v>1226</v>
      </c>
      <c r="H2135" s="102">
        <v>33.987359999999995</v>
      </c>
      <c r="I2135" s="103" t="s">
        <v>87</v>
      </c>
      <c r="J2135" s="65">
        <v>31000</v>
      </c>
      <c r="K2135" s="65"/>
      <c r="L2135" s="46">
        <f t="shared" si="90"/>
        <v>1053608.1599999999</v>
      </c>
    </row>
    <row r="2136" spans="2:12" x14ac:dyDescent="0.35">
      <c r="B2136" s="174"/>
      <c r="C2136" s="175"/>
      <c r="D2136" s="176"/>
      <c r="E2136" s="163"/>
      <c r="F2136" s="163" t="s">
        <v>89</v>
      </c>
      <c r="G2136" s="164" t="s">
        <v>1227</v>
      </c>
      <c r="H2136" s="177">
        <v>89.301599999999993</v>
      </c>
      <c r="I2136" s="163" t="s">
        <v>87</v>
      </c>
      <c r="J2136" s="65">
        <v>31000</v>
      </c>
      <c r="K2136" s="65"/>
      <c r="L2136" s="46">
        <f t="shared" si="90"/>
        <v>2768349.5999999996</v>
      </c>
    </row>
    <row r="2137" spans="2:12" x14ac:dyDescent="0.35">
      <c r="B2137" s="96"/>
      <c r="C2137" s="97"/>
      <c r="D2137" s="98"/>
      <c r="E2137" s="99"/>
      <c r="F2137" s="100" t="s">
        <v>89</v>
      </c>
      <c r="G2137" s="101" t="s">
        <v>1183</v>
      </c>
      <c r="H2137" s="102">
        <v>407.84832</v>
      </c>
      <c r="I2137" s="103" t="s">
        <v>87</v>
      </c>
      <c r="J2137" s="65">
        <v>31000</v>
      </c>
      <c r="K2137" s="65"/>
      <c r="L2137" s="46">
        <f t="shared" si="90"/>
        <v>12643297.92</v>
      </c>
    </row>
    <row r="2138" spans="2:12" x14ac:dyDescent="0.35">
      <c r="B2138" s="96"/>
      <c r="C2138" s="97"/>
      <c r="D2138" s="98"/>
      <c r="E2138" s="99"/>
      <c r="F2138" s="100" t="s">
        <v>89</v>
      </c>
      <c r="G2138" s="101" t="s">
        <v>1228</v>
      </c>
      <c r="H2138" s="102">
        <v>192.16800000000001</v>
      </c>
      <c r="I2138" s="103" t="s">
        <v>87</v>
      </c>
      <c r="J2138" s="65">
        <v>31000</v>
      </c>
      <c r="K2138" s="65"/>
      <c r="L2138" s="46">
        <f t="shared" si="90"/>
        <v>5957208</v>
      </c>
    </row>
    <row r="2139" spans="2:12" x14ac:dyDescent="0.35">
      <c r="B2139" s="96"/>
      <c r="C2139" s="97"/>
      <c r="D2139" s="98"/>
      <c r="E2139" s="99"/>
      <c r="F2139" s="100" t="s">
        <v>89</v>
      </c>
      <c r="G2139" s="101" t="s">
        <v>1229</v>
      </c>
      <c r="H2139" s="102">
        <v>612.45072000000005</v>
      </c>
      <c r="I2139" s="103" t="s">
        <v>87</v>
      </c>
      <c r="J2139" s="65">
        <v>31000</v>
      </c>
      <c r="K2139" s="65"/>
      <c r="L2139" s="46">
        <f t="shared" si="90"/>
        <v>18985972.32</v>
      </c>
    </row>
    <row r="2140" spans="2:12" x14ac:dyDescent="0.35">
      <c r="B2140" s="96"/>
      <c r="C2140" s="97"/>
      <c r="D2140" s="98"/>
      <c r="E2140" s="99"/>
      <c r="F2140" s="100" t="s">
        <v>89</v>
      </c>
      <c r="G2140" s="101" t="s">
        <v>1230</v>
      </c>
      <c r="H2140" s="102">
        <v>136.10015999999999</v>
      </c>
      <c r="I2140" s="103" t="s">
        <v>87</v>
      </c>
      <c r="J2140" s="65">
        <v>31000</v>
      </c>
      <c r="K2140" s="65"/>
      <c r="L2140" s="46">
        <f t="shared" si="90"/>
        <v>4219104.96</v>
      </c>
    </row>
    <row r="2141" spans="2:12" x14ac:dyDescent="0.35">
      <c r="B2141" s="96"/>
      <c r="C2141" s="97"/>
      <c r="D2141" s="98"/>
      <c r="E2141" s="99"/>
      <c r="F2141" s="100" t="s">
        <v>89</v>
      </c>
      <c r="G2141" s="101" t="s">
        <v>1231</v>
      </c>
      <c r="H2141" s="102">
        <v>20.347200000000001</v>
      </c>
      <c r="I2141" s="103" t="s">
        <v>87</v>
      </c>
      <c r="J2141" s="65">
        <v>31000</v>
      </c>
      <c r="K2141" s="65"/>
      <c r="L2141" s="46">
        <f t="shared" si="90"/>
        <v>630763.20000000007</v>
      </c>
    </row>
    <row r="2142" spans="2:12" x14ac:dyDescent="0.35">
      <c r="B2142" s="96"/>
      <c r="C2142" s="97"/>
      <c r="D2142" s="98"/>
      <c r="E2142" s="99"/>
      <c r="F2142" s="100" t="s">
        <v>89</v>
      </c>
      <c r="G2142" s="101" t="s">
        <v>1232</v>
      </c>
      <c r="H2142" s="102">
        <v>27.129600000000003</v>
      </c>
      <c r="I2142" s="103" t="s">
        <v>87</v>
      </c>
      <c r="J2142" s="65">
        <v>31000</v>
      </c>
      <c r="K2142" s="65"/>
      <c r="L2142" s="46">
        <f t="shared" si="90"/>
        <v>841017.60000000009</v>
      </c>
    </row>
    <row r="2143" spans="2:12" x14ac:dyDescent="0.35">
      <c r="B2143" s="96"/>
      <c r="C2143" s="97"/>
      <c r="D2143" s="98"/>
      <c r="E2143" s="99"/>
      <c r="F2143" s="100" t="s">
        <v>89</v>
      </c>
      <c r="G2143" s="101" t="s">
        <v>1233</v>
      </c>
      <c r="H2143" s="102">
        <v>96.561279999999996</v>
      </c>
      <c r="I2143" s="103" t="s">
        <v>87</v>
      </c>
      <c r="J2143" s="65">
        <v>31000</v>
      </c>
      <c r="K2143" s="65"/>
      <c r="L2143" s="46">
        <f t="shared" si="90"/>
        <v>2993399.6799999997</v>
      </c>
    </row>
    <row r="2144" spans="2:12" x14ac:dyDescent="0.35">
      <c r="B2144" s="96"/>
      <c r="C2144" s="97"/>
      <c r="D2144" s="98"/>
      <c r="E2144" s="99"/>
      <c r="F2144" s="100" t="s">
        <v>89</v>
      </c>
      <c r="G2144" s="101" t="s">
        <v>1234</v>
      </c>
      <c r="H2144" s="102">
        <v>53.128799999999998</v>
      </c>
      <c r="I2144" s="103" t="s">
        <v>87</v>
      </c>
      <c r="J2144" s="65">
        <v>31000</v>
      </c>
      <c r="K2144" s="65"/>
      <c r="L2144" s="46">
        <f t="shared" si="90"/>
        <v>1646992.8</v>
      </c>
    </row>
    <row r="2145" spans="2:12" x14ac:dyDescent="0.35">
      <c r="B2145" s="96"/>
      <c r="C2145" s="97"/>
      <c r="D2145" s="98"/>
      <c r="E2145" s="99"/>
      <c r="F2145" s="100" t="s">
        <v>89</v>
      </c>
      <c r="G2145" s="101" t="s">
        <v>1235</v>
      </c>
      <c r="H2145" s="102">
        <v>58.780799999999999</v>
      </c>
      <c r="I2145" s="103" t="s">
        <v>87</v>
      </c>
      <c r="J2145" s="65">
        <v>31000</v>
      </c>
      <c r="K2145" s="65"/>
      <c r="L2145" s="46">
        <f t="shared" si="90"/>
        <v>1822204.8</v>
      </c>
    </row>
    <row r="2146" spans="2:12" x14ac:dyDescent="0.35">
      <c r="B2146" s="96"/>
      <c r="C2146" s="97"/>
      <c r="D2146" s="98"/>
      <c r="E2146" s="99"/>
      <c r="F2146" s="100" t="s">
        <v>89</v>
      </c>
      <c r="G2146" s="101" t="s">
        <v>1236</v>
      </c>
      <c r="H2146" s="102">
        <v>56.519999999999996</v>
      </c>
      <c r="I2146" s="103" t="s">
        <v>87</v>
      </c>
      <c r="J2146" s="65">
        <v>31000</v>
      </c>
      <c r="K2146" s="65"/>
      <c r="L2146" s="46">
        <f t="shared" si="90"/>
        <v>1752119.9999999998</v>
      </c>
    </row>
    <row r="2147" spans="2:12" x14ac:dyDescent="0.35">
      <c r="B2147" s="96"/>
      <c r="C2147" s="97"/>
      <c r="D2147" s="98"/>
      <c r="E2147" s="99"/>
      <c r="F2147" s="100" t="s">
        <v>89</v>
      </c>
      <c r="G2147" s="101" t="s">
        <v>1237</v>
      </c>
      <c r="H2147" s="102">
        <v>40.694399999999987</v>
      </c>
      <c r="I2147" s="103" t="s">
        <v>87</v>
      </c>
      <c r="J2147" s="65">
        <v>31000</v>
      </c>
      <c r="K2147" s="65"/>
      <c r="L2147" s="46">
        <f t="shared" si="90"/>
        <v>1261526.3999999997</v>
      </c>
    </row>
    <row r="2148" spans="2:12" x14ac:dyDescent="0.35">
      <c r="B2148" s="47"/>
      <c r="C2148" s="48"/>
      <c r="D2148" s="24"/>
      <c r="G2148" s="22"/>
      <c r="I2148" s="22"/>
      <c r="J2148" s="50"/>
      <c r="K2148" s="29"/>
      <c r="L2148" s="52"/>
    </row>
    <row r="2149" spans="2:12" x14ac:dyDescent="0.35">
      <c r="B2149" s="47"/>
      <c r="C2149" s="48"/>
      <c r="D2149" s="24"/>
      <c r="G2149" s="22"/>
      <c r="I2149" s="22"/>
      <c r="J2149" s="50"/>
      <c r="K2149" s="29"/>
      <c r="L2149" s="52"/>
    </row>
    <row r="2150" spans="2:12" x14ac:dyDescent="0.35">
      <c r="B2150" s="8"/>
      <c r="C2150" s="9"/>
      <c r="D2150" s="10"/>
      <c r="E2150" s="4"/>
      <c r="F2150" s="4"/>
      <c r="G2150" s="4"/>
      <c r="H2150" s="1"/>
      <c r="I2150" s="1"/>
      <c r="J2150" s="11" t="s">
        <v>8</v>
      </c>
      <c r="K2150" s="7">
        <f>SUM(K2097:K2149)</f>
        <v>0</v>
      </c>
      <c r="L2150" s="7">
        <f>SUM(L2097:L2149)</f>
        <v>349552612.31999999</v>
      </c>
    </row>
    <row r="2151" spans="2:12" x14ac:dyDescent="0.35">
      <c r="B2151" s="8"/>
      <c r="C2151" s="9"/>
      <c r="D2151" s="9"/>
      <c r="E2151" s="4"/>
      <c r="F2151" s="4"/>
      <c r="G2151" s="4"/>
      <c r="H2151" s="1"/>
      <c r="I2151" s="1"/>
      <c r="J2151" s="11"/>
      <c r="K2151" s="35" t="s">
        <v>22</v>
      </c>
      <c r="L2151" s="36" t="s">
        <v>23</v>
      </c>
    </row>
    <row r="2152" spans="2:12" x14ac:dyDescent="0.35">
      <c r="B2152" s="3" t="s">
        <v>9</v>
      </c>
      <c r="C2152" s="4"/>
      <c r="D2152" s="4"/>
      <c r="E2152" s="4"/>
      <c r="F2152" s="4"/>
      <c r="G2152" s="4"/>
      <c r="H2152" s="1"/>
      <c r="I2152" s="1"/>
      <c r="J2152" s="12"/>
      <c r="K2152" s="12"/>
      <c r="L2152" s="13"/>
    </row>
    <row r="2153" spans="2:12" x14ac:dyDescent="0.35">
      <c r="B2153" s="37"/>
      <c r="C2153" s="1"/>
      <c r="D2153" s="1"/>
      <c r="E2153" s="38"/>
      <c r="F2153" s="38"/>
      <c r="G2153" s="38"/>
      <c r="H2153" s="1"/>
      <c r="I2153" s="1"/>
      <c r="J2153" s="1"/>
      <c r="K2153" s="1"/>
      <c r="L2153" s="19"/>
    </row>
    <row r="2154" spans="2:12" x14ac:dyDescent="0.35">
      <c r="B2154" s="28" t="s">
        <v>6</v>
      </c>
      <c r="C2154" s="27"/>
      <c r="D2154" s="27"/>
      <c r="E2154" s="26"/>
      <c r="F2154" s="26"/>
      <c r="G2154" s="5"/>
      <c r="K2154" s="284" t="s">
        <v>1600</v>
      </c>
      <c r="L2154" s="285"/>
    </row>
    <row r="2155" spans="2:12" x14ac:dyDescent="0.35">
      <c r="B2155" s="28">
        <v>1</v>
      </c>
      <c r="C2155" s="27"/>
      <c r="D2155" s="27"/>
      <c r="E2155" s="26" t="s">
        <v>7</v>
      </c>
      <c r="F2155" s="26"/>
      <c r="G2155" s="5"/>
      <c r="K2155" s="284" t="s">
        <v>28</v>
      </c>
      <c r="L2155" s="285"/>
    </row>
    <row r="2156" spans="2:12" x14ac:dyDescent="0.35">
      <c r="B2156" s="39"/>
      <c r="C2156" s="27"/>
      <c r="D2156" s="27"/>
      <c r="E2156" s="26"/>
      <c r="F2156" s="26"/>
      <c r="G2156" s="5"/>
      <c r="J2156" s="25"/>
      <c r="K2156" s="25"/>
      <c r="L2156" s="24"/>
    </row>
    <row r="2157" spans="2:12" x14ac:dyDescent="0.35">
      <c r="B2157" s="28"/>
      <c r="C2157" s="27"/>
      <c r="D2157" s="27"/>
      <c r="E2157" s="26"/>
      <c r="F2157" s="26"/>
      <c r="G2157" s="5"/>
      <c r="L2157" s="22"/>
    </row>
    <row r="2158" spans="2:12" x14ac:dyDescent="0.35">
      <c r="B2158" s="45"/>
      <c r="E2158" s="5"/>
      <c r="F2158" s="5"/>
      <c r="G2158" s="5"/>
      <c r="L2158" s="22"/>
    </row>
    <row r="2159" spans="2:12" x14ac:dyDescent="0.35">
      <c r="B2159" s="45"/>
      <c r="E2159" s="5"/>
      <c r="F2159" s="5"/>
      <c r="G2159" s="5"/>
      <c r="L2159" s="22"/>
    </row>
    <row r="2160" spans="2:12" x14ac:dyDescent="0.35">
      <c r="B2160" s="45"/>
      <c r="E2160" s="5"/>
      <c r="F2160" s="5"/>
      <c r="G2160" s="5"/>
      <c r="L2160" s="22"/>
    </row>
    <row r="2161" spans="2:12" x14ac:dyDescent="0.35">
      <c r="B2161" s="45"/>
      <c r="E2161" s="5"/>
      <c r="F2161" s="5"/>
      <c r="G2161" s="5"/>
      <c r="J2161" s="40"/>
      <c r="K2161" s="286" t="s">
        <v>36</v>
      </c>
      <c r="L2161" s="287"/>
    </row>
    <row r="2162" spans="2:12" x14ac:dyDescent="0.35">
      <c r="B2162" s="45"/>
      <c r="K2162" s="288" t="s">
        <v>37</v>
      </c>
      <c r="L2162" s="289"/>
    </row>
    <row r="2163" spans="2:12" x14ac:dyDescent="0.35">
      <c r="B2163" s="290"/>
      <c r="C2163" s="291"/>
      <c r="D2163" s="291"/>
      <c r="E2163" s="41"/>
      <c r="F2163" s="41"/>
      <c r="G2163" s="41"/>
      <c r="H2163" s="2"/>
      <c r="I2163" s="2"/>
      <c r="J2163" s="2"/>
      <c r="K2163" s="2"/>
      <c r="L2163" s="21"/>
    </row>
    <row r="2164" spans="2:12" x14ac:dyDescent="0.35">
      <c r="B2164" s="47"/>
      <c r="C2164" s="48"/>
      <c r="D2164" s="49"/>
      <c r="G2164" s="22"/>
      <c r="H2164" s="1"/>
      <c r="I2164" s="1"/>
      <c r="J2164" s="43"/>
      <c r="K2164" s="30"/>
      <c r="L2164" s="44"/>
    </row>
    <row r="2165" spans="2:12" x14ac:dyDescent="0.35">
      <c r="B2165" s="96"/>
      <c r="C2165" s="97"/>
      <c r="D2165" s="98"/>
      <c r="E2165" s="99"/>
      <c r="F2165" s="100" t="s">
        <v>89</v>
      </c>
      <c r="G2165" s="101" t="s">
        <v>1238</v>
      </c>
      <c r="H2165" s="102">
        <v>73.475999999999999</v>
      </c>
      <c r="I2165" s="103" t="s">
        <v>87</v>
      </c>
      <c r="J2165" s="65">
        <v>31000</v>
      </c>
      <c r="K2165" s="65"/>
      <c r="L2165" s="46">
        <f t="shared" ref="L2165:L2172" si="91">J2165*H2165</f>
        <v>2277756</v>
      </c>
    </row>
    <row r="2166" spans="2:12" x14ac:dyDescent="0.35">
      <c r="B2166" s="96"/>
      <c r="C2166" s="97"/>
      <c r="D2166" s="98"/>
      <c r="E2166" s="99"/>
      <c r="F2166" s="100" t="s">
        <v>89</v>
      </c>
      <c r="G2166" s="101" t="s">
        <v>1239</v>
      </c>
      <c r="H2166" s="102">
        <v>17.634239999999998</v>
      </c>
      <c r="I2166" s="103" t="s">
        <v>87</v>
      </c>
      <c r="J2166" s="65">
        <v>31000</v>
      </c>
      <c r="K2166" s="65"/>
      <c r="L2166" s="46">
        <f t="shared" si="91"/>
        <v>546661.43999999994</v>
      </c>
    </row>
    <row r="2167" spans="2:12" x14ac:dyDescent="0.35">
      <c r="B2167" s="96"/>
      <c r="C2167" s="97"/>
      <c r="D2167" s="98"/>
      <c r="E2167" s="99"/>
      <c r="F2167" s="100" t="s">
        <v>89</v>
      </c>
      <c r="G2167" s="101" t="s">
        <v>1240</v>
      </c>
      <c r="H2167" s="102">
        <v>12.886559999999999</v>
      </c>
      <c r="I2167" s="103" t="s">
        <v>87</v>
      </c>
      <c r="J2167" s="65">
        <v>31000</v>
      </c>
      <c r="K2167" s="65"/>
      <c r="L2167" s="46">
        <f t="shared" si="91"/>
        <v>399483.36</v>
      </c>
    </row>
    <row r="2168" spans="2:12" x14ac:dyDescent="0.35">
      <c r="B2168" s="96"/>
      <c r="C2168" s="97"/>
      <c r="D2168" s="98"/>
      <c r="E2168" s="99"/>
      <c r="F2168" s="100" t="s">
        <v>89</v>
      </c>
      <c r="G2168" s="101" t="s">
        <v>1241</v>
      </c>
      <c r="H2168" s="102">
        <v>137.15520000000001</v>
      </c>
      <c r="I2168" s="103" t="s">
        <v>87</v>
      </c>
      <c r="J2168" s="65">
        <v>31000</v>
      </c>
      <c r="K2168" s="65"/>
      <c r="L2168" s="46">
        <f t="shared" si="91"/>
        <v>4251811.2</v>
      </c>
    </row>
    <row r="2169" spans="2:12" x14ac:dyDescent="0.35">
      <c r="B2169" s="96"/>
      <c r="C2169" s="97"/>
      <c r="D2169" s="98"/>
      <c r="E2169" s="99"/>
      <c r="F2169" s="100" t="s">
        <v>89</v>
      </c>
      <c r="G2169" s="101" t="s">
        <v>1242</v>
      </c>
      <c r="H2169" s="102">
        <v>53.128799999999998</v>
      </c>
      <c r="I2169" s="103" t="s">
        <v>87</v>
      </c>
      <c r="J2169" s="65">
        <v>31000</v>
      </c>
      <c r="K2169" s="65"/>
      <c r="L2169" s="46">
        <f t="shared" si="91"/>
        <v>1646992.8</v>
      </c>
    </row>
    <row r="2170" spans="2:12" x14ac:dyDescent="0.35">
      <c r="B2170" s="96"/>
      <c r="C2170" s="97"/>
      <c r="D2170" s="98"/>
      <c r="E2170" s="99"/>
      <c r="F2170" s="100" t="s">
        <v>89</v>
      </c>
      <c r="G2170" s="101" t="s">
        <v>1243</v>
      </c>
      <c r="H2170" s="102">
        <v>30.614999999999998</v>
      </c>
      <c r="I2170" s="103" t="s">
        <v>87</v>
      </c>
      <c r="J2170" s="65">
        <v>31000</v>
      </c>
      <c r="K2170" s="65"/>
      <c r="L2170" s="46">
        <f t="shared" si="91"/>
        <v>949065</v>
      </c>
    </row>
    <row r="2171" spans="2:12" x14ac:dyDescent="0.35">
      <c r="B2171" s="96"/>
      <c r="C2171" s="97"/>
      <c r="D2171" s="98"/>
      <c r="E2171" s="99"/>
      <c r="F2171" s="100" t="s">
        <v>89</v>
      </c>
      <c r="G2171" s="101" t="s">
        <v>1244</v>
      </c>
      <c r="H2171" s="102">
        <v>122.46</v>
      </c>
      <c r="I2171" s="103" t="s">
        <v>87</v>
      </c>
      <c r="J2171" s="65">
        <v>31000</v>
      </c>
      <c r="K2171" s="65"/>
      <c r="L2171" s="46">
        <f t="shared" si="91"/>
        <v>3796260</v>
      </c>
    </row>
    <row r="2172" spans="2:12" x14ac:dyDescent="0.35">
      <c r="B2172" s="96"/>
      <c r="C2172" s="97"/>
      <c r="D2172" s="98"/>
      <c r="E2172" s="99"/>
      <c r="F2172" s="100" t="s">
        <v>89</v>
      </c>
      <c r="G2172" s="101" t="s">
        <v>1245</v>
      </c>
      <c r="H2172" s="102">
        <v>32.555520000000001</v>
      </c>
      <c r="I2172" s="103" t="s">
        <v>87</v>
      </c>
      <c r="J2172" s="65">
        <v>31000</v>
      </c>
      <c r="K2172" s="65"/>
      <c r="L2172" s="46">
        <f t="shared" si="91"/>
        <v>1009221.12</v>
      </c>
    </row>
    <row r="2173" spans="2:12" x14ac:dyDescent="0.35">
      <c r="B2173" s="96"/>
      <c r="C2173" s="97"/>
      <c r="D2173" s="98" t="s">
        <v>215</v>
      </c>
      <c r="E2173" s="99"/>
      <c r="F2173" s="100" t="s">
        <v>216</v>
      </c>
      <c r="G2173" s="101"/>
      <c r="H2173" s="104"/>
      <c r="I2173" s="103"/>
      <c r="J2173" s="65"/>
      <c r="K2173" s="65"/>
      <c r="L2173" s="46"/>
    </row>
    <row r="2174" spans="2:12" x14ac:dyDescent="0.35">
      <c r="B2174" s="96"/>
      <c r="C2174" s="97"/>
      <c r="D2174" s="98"/>
      <c r="E2174" s="99"/>
      <c r="F2174" s="100" t="s">
        <v>89</v>
      </c>
      <c r="G2174" s="101" t="s">
        <v>1246</v>
      </c>
      <c r="H2174" s="102">
        <v>68.295000000000002</v>
      </c>
      <c r="I2174" s="103" t="s">
        <v>87</v>
      </c>
      <c r="J2174" s="65">
        <v>31000</v>
      </c>
      <c r="K2174" s="65"/>
      <c r="L2174" s="46">
        <f>J2174*H2174</f>
        <v>2117145</v>
      </c>
    </row>
    <row r="2175" spans="2:12" x14ac:dyDescent="0.35">
      <c r="B2175" s="96"/>
      <c r="C2175" s="97"/>
      <c r="D2175" s="98" t="s">
        <v>217</v>
      </c>
      <c r="E2175" s="99"/>
      <c r="F2175" s="100" t="s">
        <v>218</v>
      </c>
      <c r="G2175" s="101"/>
      <c r="H2175" s="104"/>
      <c r="I2175" s="103"/>
      <c r="J2175" s="65"/>
      <c r="K2175" s="65"/>
      <c r="L2175" s="46"/>
    </row>
    <row r="2176" spans="2:12" x14ac:dyDescent="0.35">
      <c r="B2176" s="96"/>
      <c r="C2176" s="97"/>
      <c r="D2176" s="98"/>
      <c r="E2176" s="99"/>
      <c r="F2176" s="100" t="s">
        <v>89</v>
      </c>
      <c r="G2176" s="101" t="s">
        <v>1247</v>
      </c>
      <c r="H2176" s="102">
        <v>20.347200000000001</v>
      </c>
      <c r="I2176" s="103" t="s">
        <v>87</v>
      </c>
      <c r="J2176" s="65">
        <v>31000</v>
      </c>
      <c r="K2176" s="65"/>
      <c r="L2176" s="46">
        <f t="shared" ref="L2176:L2200" si="92">J2176*H2176</f>
        <v>630763.20000000007</v>
      </c>
    </row>
    <row r="2177" spans="2:12" x14ac:dyDescent="0.35">
      <c r="B2177" s="96"/>
      <c r="C2177" s="97"/>
      <c r="D2177" s="98"/>
      <c r="E2177" s="99"/>
      <c r="F2177" s="100" t="s">
        <v>89</v>
      </c>
      <c r="G2177" s="101" t="s">
        <v>1248</v>
      </c>
      <c r="H2177" s="102">
        <v>67.823999999999998</v>
      </c>
      <c r="I2177" s="103" t="s">
        <v>87</v>
      </c>
      <c r="J2177" s="65">
        <v>31000</v>
      </c>
      <c r="K2177" s="65"/>
      <c r="L2177" s="46">
        <f t="shared" si="92"/>
        <v>2102544</v>
      </c>
    </row>
    <row r="2178" spans="2:12" x14ac:dyDescent="0.35">
      <c r="B2178" s="96"/>
      <c r="C2178" s="97"/>
      <c r="D2178" s="98"/>
      <c r="E2178" s="99"/>
      <c r="F2178" s="100" t="s">
        <v>89</v>
      </c>
      <c r="G2178" s="101" t="s">
        <v>1249</v>
      </c>
      <c r="H2178" s="102">
        <v>47.476799999999997</v>
      </c>
      <c r="I2178" s="103" t="s">
        <v>87</v>
      </c>
      <c r="J2178" s="65">
        <v>31000</v>
      </c>
      <c r="K2178" s="65"/>
      <c r="L2178" s="46">
        <f t="shared" si="92"/>
        <v>1471780.7999999998</v>
      </c>
    </row>
    <row r="2179" spans="2:12" x14ac:dyDescent="0.35">
      <c r="B2179" s="96"/>
      <c r="C2179" s="97"/>
      <c r="D2179" s="98"/>
      <c r="E2179" s="99"/>
      <c r="F2179" s="100" t="s">
        <v>89</v>
      </c>
      <c r="G2179" s="101" t="s">
        <v>1159</v>
      </c>
      <c r="H2179" s="102">
        <v>1427.46912</v>
      </c>
      <c r="I2179" s="103" t="s">
        <v>87</v>
      </c>
      <c r="J2179" s="65">
        <v>31000</v>
      </c>
      <c r="K2179" s="65"/>
      <c r="L2179" s="46">
        <f t="shared" si="92"/>
        <v>44251542.719999999</v>
      </c>
    </row>
    <row r="2180" spans="2:12" x14ac:dyDescent="0.35">
      <c r="B2180" s="96"/>
      <c r="C2180" s="97"/>
      <c r="D2180" s="98"/>
      <c r="E2180" s="99"/>
      <c r="F2180" s="100" t="s">
        <v>89</v>
      </c>
      <c r="G2180" s="101" t="s">
        <v>1160</v>
      </c>
      <c r="H2180" s="102">
        <v>515.46239999999989</v>
      </c>
      <c r="I2180" s="103" t="s">
        <v>87</v>
      </c>
      <c r="J2180" s="65">
        <v>31000</v>
      </c>
      <c r="K2180" s="65"/>
      <c r="L2180" s="46">
        <f t="shared" si="92"/>
        <v>15979334.399999997</v>
      </c>
    </row>
    <row r="2181" spans="2:12" x14ac:dyDescent="0.35">
      <c r="B2181" s="96"/>
      <c r="C2181" s="97"/>
      <c r="D2181" s="98"/>
      <c r="E2181" s="99"/>
      <c r="F2181" s="100" t="s">
        <v>89</v>
      </c>
      <c r="G2181" s="101" t="s">
        <v>1250</v>
      </c>
      <c r="H2181" s="102">
        <v>1141.704</v>
      </c>
      <c r="I2181" s="103" t="s">
        <v>87</v>
      </c>
      <c r="J2181" s="65">
        <v>31000</v>
      </c>
      <c r="K2181" s="65"/>
      <c r="L2181" s="46">
        <f t="shared" si="92"/>
        <v>35392824</v>
      </c>
    </row>
    <row r="2182" spans="2:12" x14ac:dyDescent="0.35">
      <c r="B2182" s="96"/>
      <c r="C2182" s="97"/>
      <c r="D2182" s="98"/>
      <c r="E2182" s="99"/>
      <c r="F2182" s="100" t="s">
        <v>89</v>
      </c>
      <c r="G2182" s="101" t="s">
        <v>1251</v>
      </c>
      <c r="H2182" s="102">
        <v>203.92416</v>
      </c>
      <c r="I2182" s="103" t="s">
        <v>87</v>
      </c>
      <c r="J2182" s="65">
        <v>31000</v>
      </c>
      <c r="K2182" s="65"/>
      <c r="L2182" s="46">
        <f t="shared" si="92"/>
        <v>6321648.96</v>
      </c>
    </row>
    <row r="2183" spans="2:12" x14ac:dyDescent="0.35">
      <c r="B2183" s="96"/>
      <c r="C2183" s="97"/>
      <c r="D2183" s="98"/>
      <c r="E2183" s="99"/>
      <c r="F2183" s="100" t="s">
        <v>89</v>
      </c>
      <c r="G2183" s="101" t="s">
        <v>1252</v>
      </c>
      <c r="H2183" s="102">
        <v>329.7</v>
      </c>
      <c r="I2183" s="103" t="s">
        <v>87</v>
      </c>
      <c r="J2183" s="65">
        <v>31000</v>
      </c>
      <c r="K2183" s="65"/>
      <c r="L2183" s="46">
        <f t="shared" si="92"/>
        <v>10220700</v>
      </c>
    </row>
    <row r="2184" spans="2:12" x14ac:dyDescent="0.35">
      <c r="B2184" s="96"/>
      <c r="C2184" s="97"/>
      <c r="D2184" s="98"/>
      <c r="E2184" s="99"/>
      <c r="F2184" s="100" t="s">
        <v>89</v>
      </c>
      <c r="G2184" s="101" t="s">
        <v>1253</v>
      </c>
      <c r="H2184" s="102">
        <v>32.027999999999999</v>
      </c>
      <c r="I2184" s="103" t="s">
        <v>87</v>
      </c>
      <c r="J2184" s="65">
        <v>31000</v>
      </c>
      <c r="K2184" s="65"/>
      <c r="L2184" s="46">
        <f t="shared" si="92"/>
        <v>992868</v>
      </c>
    </row>
    <row r="2185" spans="2:12" x14ac:dyDescent="0.35">
      <c r="B2185" s="96"/>
      <c r="C2185" s="97"/>
      <c r="D2185" s="98"/>
      <c r="E2185" s="99"/>
      <c r="F2185" s="100" t="s">
        <v>89</v>
      </c>
      <c r="G2185" s="101" t="s">
        <v>1254</v>
      </c>
      <c r="H2185" s="102">
        <v>153.05616000000001</v>
      </c>
      <c r="I2185" s="103" t="s">
        <v>87</v>
      </c>
      <c r="J2185" s="65">
        <v>31000</v>
      </c>
      <c r="K2185" s="65"/>
      <c r="L2185" s="46">
        <f t="shared" si="92"/>
        <v>4744740.96</v>
      </c>
    </row>
    <row r="2186" spans="2:12" x14ac:dyDescent="0.35">
      <c r="B2186" s="96"/>
      <c r="C2186" s="97"/>
      <c r="D2186" s="98"/>
      <c r="E2186" s="99"/>
      <c r="F2186" s="100" t="s">
        <v>89</v>
      </c>
      <c r="G2186" s="101" t="s">
        <v>1255</v>
      </c>
      <c r="H2186" s="102">
        <v>157.12559999999999</v>
      </c>
      <c r="I2186" s="103" t="s">
        <v>87</v>
      </c>
      <c r="J2186" s="65">
        <v>31000</v>
      </c>
      <c r="K2186" s="65"/>
      <c r="L2186" s="46">
        <f t="shared" si="92"/>
        <v>4870893.5999999996</v>
      </c>
    </row>
    <row r="2187" spans="2:12" x14ac:dyDescent="0.35">
      <c r="B2187" s="96"/>
      <c r="C2187" s="97"/>
      <c r="D2187" s="98"/>
      <c r="E2187" s="99"/>
      <c r="F2187" s="100" t="s">
        <v>89</v>
      </c>
      <c r="G2187" s="101" t="s">
        <v>1256</v>
      </c>
      <c r="H2187" s="102">
        <v>77.997599999999991</v>
      </c>
      <c r="I2187" s="103" t="s">
        <v>87</v>
      </c>
      <c r="J2187" s="65">
        <v>31000</v>
      </c>
      <c r="K2187" s="65"/>
      <c r="L2187" s="46">
        <f t="shared" si="92"/>
        <v>2417925.5999999996</v>
      </c>
    </row>
    <row r="2188" spans="2:12" x14ac:dyDescent="0.35">
      <c r="B2188" s="96"/>
      <c r="C2188" s="97"/>
      <c r="D2188" s="98"/>
      <c r="E2188" s="99"/>
      <c r="F2188" s="100" t="s">
        <v>89</v>
      </c>
      <c r="G2188" s="101" t="s">
        <v>1218</v>
      </c>
      <c r="H2188" s="102">
        <v>38.998799999999996</v>
      </c>
      <c r="I2188" s="103" t="s">
        <v>87</v>
      </c>
      <c r="J2188" s="65">
        <v>31000</v>
      </c>
      <c r="K2188" s="65"/>
      <c r="L2188" s="46">
        <f t="shared" si="92"/>
        <v>1208962.7999999998</v>
      </c>
    </row>
    <row r="2189" spans="2:12" x14ac:dyDescent="0.35">
      <c r="B2189" s="96"/>
      <c r="C2189" s="97"/>
      <c r="D2189" s="98"/>
      <c r="E2189" s="99"/>
      <c r="F2189" s="100" t="s">
        <v>89</v>
      </c>
      <c r="G2189" s="101" t="s">
        <v>1257</v>
      </c>
      <c r="H2189" s="102">
        <v>14.6952</v>
      </c>
      <c r="I2189" s="103" t="s">
        <v>87</v>
      </c>
      <c r="J2189" s="65">
        <v>31000</v>
      </c>
      <c r="K2189" s="65"/>
      <c r="L2189" s="46">
        <f t="shared" si="92"/>
        <v>455551.2</v>
      </c>
    </row>
    <row r="2190" spans="2:12" x14ac:dyDescent="0.35">
      <c r="B2190" s="96"/>
      <c r="C2190" s="97"/>
      <c r="D2190" s="98"/>
      <c r="E2190" s="99"/>
      <c r="F2190" s="100" t="s">
        <v>89</v>
      </c>
      <c r="G2190" s="101" t="s">
        <v>1258</v>
      </c>
      <c r="H2190" s="102">
        <v>116.0544</v>
      </c>
      <c r="I2190" s="103" t="s">
        <v>87</v>
      </c>
      <c r="J2190" s="65">
        <v>31000</v>
      </c>
      <c r="K2190" s="65"/>
      <c r="L2190" s="46">
        <f t="shared" si="92"/>
        <v>3597686.4</v>
      </c>
    </row>
    <row r="2191" spans="2:12" x14ac:dyDescent="0.35">
      <c r="B2191" s="96"/>
      <c r="C2191" s="97"/>
      <c r="D2191" s="98"/>
      <c r="E2191" s="99"/>
      <c r="F2191" s="100" t="s">
        <v>89</v>
      </c>
      <c r="G2191" s="101" t="s">
        <v>1259</v>
      </c>
      <c r="H2191" s="102">
        <v>116.0544</v>
      </c>
      <c r="I2191" s="103" t="s">
        <v>87</v>
      </c>
      <c r="J2191" s="65">
        <v>31000</v>
      </c>
      <c r="K2191" s="65"/>
      <c r="L2191" s="46">
        <f t="shared" si="92"/>
        <v>3597686.4</v>
      </c>
    </row>
    <row r="2192" spans="2:12" x14ac:dyDescent="0.35">
      <c r="B2192" s="96"/>
      <c r="C2192" s="97"/>
      <c r="D2192" s="98"/>
      <c r="E2192" s="99"/>
      <c r="F2192" s="100" t="s">
        <v>89</v>
      </c>
      <c r="G2192" s="101" t="s">
        <v>1213</v>
      </c>
      <c r="H2192" s="102">
        <v>77.243999999999986</v>
      </c>
      <c r="I2192" s="103" t="s">
        <v>87</v>
      </c>
      <c r="J2192" s="65">
        <v>31000</v>
      </c>
      <c r="K2192" s="65"/>
      <c r="L2192" s="46">
        <f t="shared" si="92"/>
        <v>2394563.9999999995</v>
      </c>
    </row>
    <row r="2193" spans="2:12" x14ac:dyDescent="0.35">
      <c r="B2193" s="96"/>
      <c r="C2193" s="97"/>
      <c r="D2193" s="98"/>
      <c r="E2193" s="99"/>
      <c r="F2193" s="100" t="s">
        <v>89</v>
      </c>
      <c r="G2193" s="101" t="s">
        <v>1260</v>
      </c>
      <c r="H2193" s="102">
        <v>33.911999999999999</v>
      </c>
      <c r="I2193" s="103" t="s">
        <v>87</v>
      </c>
      <c r="J2193" s="65">
        <v>31000</v>
      </c>
      <c r="K2193" s="65"/>
      <c r="L2193" s="46">
        <f t="shared" si="92"/>
        <v>1051272</v>
      </c>
    </row>
    <row r="2194" spans="2:12" x14ac:dyDescent="0.35">
      <c r="B2194" s="96"/>
      <c r="C2194" s="97"/>
      <c r="D2194" s="98"/>
      <c r="E2194" s="99"/>
      <c r="F2194" s="100" t="s">
        <v>89</v>
      </c>
      <c r="G2194" s="101" t="s">
        <v>1261</v>
      </c>
      <c r="H2194" s="102">
        <v>56.519999999999989</v>
      </c>
      <c r="I2194" s="103" t="s">
        <v>87</v>
      </c>
      <c r="J2194" s="65">
        <v>31000</v>
      </c>
      <c r="K2194" s="65"/>
      <c r="L2194" s="46">
        <f t="shared" si="92"/>
        <v>1752119.9999999998</v>
      </c>
    </row>
    <row r="2195" spans="2:12" x14ac:dyDescent="0.35">
      <c r="B2195" s="96"/>
      <c r="C2195" s="97"/>
      <c r="D2195" s="98"/>
      <c r="E2195" s="99"/>
      <c r="F2195" s="100" t="s">
        <v>89</v>
      </c>
      <c r="G2195" s="101" t="s">
        <v>1262</v>
      </c>
      <c r="H2195" s="102">
        <v>20.252999999999997</v>
      </c>
      <c r="I2195" s="103" t="s">
        <v>87</v>
      </c>
      <c r="J2195" s="65">
        <v>31000</v>
      </c>
      <c r="K2195" s="65"/>
      <c r="L2195" s="46">
        <f t="shared" si="92"/>
        <v>627842.99999999988</v>
      </c>
    </row>
    <row r="2196" spans="2:12" x14ac:dyDescent="0.35">
      <c r="B2196" s="96"/>
      <c r="C2196" s="97"/>
      <c r="D2196" s="98"/>
      <c r="E2196" s="99"/>
      <c r="F2196" s="100" t="s">
        <v>89</v>
      </c>
      <c r="G2196" s="101" t="s">
        <v>1263</v>
      </c>
      <c r="H2196" s="102">
        <v>18.369</v>
      </c>
      <c r="I2196" s="103" t="s">
        <v>87</v>
      </c>
      <c r="J2196" s="65">
        <v>31000</v>
      </c>
      <c r="K2196" s="65"/>
      <c r="L2196" s="46">
        <f t="shared" si="92"/>
        <v>569439</v>
      </c>
    </row>
    <row r="2197" spans="2:12" x14ac:dyDescent="0.35">
      <c r="B2197" s="96"/>
      <c r="C2197" s="97"/>
      <c r="D2197" s="98"/>
      <c r="E2197" s="99"/>
      <c r="F2197" s="100" t="s">
        <v>89</v>
      </c>
      <c r="G2197" s="101" t="s">
        <v>1264</v>
      </c>
      <c r="H2197" s="102">
        <v>30.614999999999998</v>
      </c>
      <c r="I2197" s="103" t="s">
        <v>87</v>
      </c>
      <c r="J2197" s="65">
        <v>31000</v>
      </c>
      <c r="K2197" s="65"/>
      <c r="L2197" s="46">
        <f t="shared" si="92"/>
        <v>949065</v>
      </c>
    </row>
    <row r="2198" spans="2:12" x14ac:dyDescent="0.35">
      <c r="B2198" s="96"/>
      <c r="C2198" s="97"/>
      <c r="D2198" s="98"/>
      <c r="E2198" s="99"/>
      <c r="F2198" s="100" t="s">
        <v>89</v>
      </c>
      <c r="G2198" s="101" t="s">
        <v>1217</v>
      </c>
      <c r="H2198" s="102">
        <v>122.46</v>
      </c>
      <c r="I2198" s="103" t="s">
        <v>87</v>
      </c>
      <c r="J2198" s="65">
        <v>31000</v>
      </c>
      <c r="K2198" s="65"/>
      <c r="L2198" s="46">
        <f t="shared" si="92"/>
        <v>3796260</v>
      </c>
    </row>
    <row r="2199" spans="2:12" x14ac:dyDescent="0.35">
      <c r="B2199" s="96"/>
      <c r="C2199" s="97"/>
      <c r="D2199" s="98"/>
      <c r="E2199" s="99"/>
      <c r="F2199" s="100" t="s">
        <v>89</v>
      </c>
      <c r="G2199" s="101" t="s">
        <v>1265</v>
      </c>
      <c r="H2199" s="102">
        <v>3.3629399999999996</v>
      </c>
      <c r="I2199" s="103" t="s">
        <v>87</v>
      </c>
      <c r="J2199" s="65">
        <v>31000</v>
      </c>
      <c r="K2199" s="65"/>
      <c r="L2199" s="46">
        <f t="shared" si="92"/>
        <v>104251.13999999998</v>
      </c>
    </row>
    <row r="2200" spans="2:12" x14ac:dyDescent="0.35">
      <c r="B2200" s="96"/>
      <c r="C2200" s="97"/>
      <c r="D2200" s="98"/>
      <c r="E2200" s="99"/>
      <c r="F2200" s="100" t="s">
        <v>89</v>
      </c>
      <c r="G2200" s="101" t="s">
        <v>1266</v>
      </c>
      <c r="H2200" s="102">
        <v>15.307499999999999</v>
      </c>
      <c r="I2200" s="103" t="s">
        <v>87</v>
      </c>
      <c r="J2200" s="65">
        <v>31000</v>
      </c>
      <c r="K2200" s="65"/>
      <c r="L2200" s="46">
        <f t="shared" si="92"/>
        <v>474532.5</v>
      </c>
    </row>
    <row r="2201" spans="2:12" x14ac:dyDescent="0.35">
      <c r="B2201" s="96"/>
      <c r="C2201" s="97"/>
      <c r="D2201" s="98" t="s">
        <v>219</v>
      </c>
      <c r="E2201" s="99"/>
      <c r="F2201" s="100" t="s">
        <v>220</v>
      </c>
      <c r="G2201" s="101"/>
      <c r="H2201" s="102"/>
      <c r="I2201" s="103"/>
      <c r="J2201" s="50"/>
      <c r="K2201" s="29"/>
      <c r="L2201" s="52"/>
    </row>
    <row r="2202" spans="2:12" x14ac:dyDescent="0.35">
      <c r="B2202" s="96"/>
      <c r="C2202" s="97"/>
      <c r="D2202" s="98"/>
      <c r="E2202" s="99"/>
      <c r="F2202" s="100" t="s">
        <v>89</v>
      </c>
      <c r="G2202" s="101" t="s">
        <v>1267</v>
      </c>
      <c r="H2202" s="102">
        <f>7.17*0.24*1.2*10*7.85*2</f>
        <v>324.19871999999992</v>
      </c>
      <c r="I2202" s="103" t="s">
        <v>87</v>
      </c>
      <c r="J2202" s="65">
        <v>31000</v>
      </c>
      <c r="K2202" s="65"/>
      <c r="L2202" s="46">
        <f t="shared" ref="L2202:L2203" si="93">J2202*H2202</f>
        <v>10050160.319999998</v>
      </c>
    </row>
    <row r="2203" spans="2:12" x14ac:dyDescent="0.35">
      <c r="B2203" s="96"/>
      <c r="C2203" s="97"/>
      <c r="D2203" s="98"/>
      <c r="E2203" s="99"/>
      <c r="F2203" s="100" t="s">
        <v>89</v>
      </c>
      <c r="G2203" s="101" t="s">
        <v>1268</v>
      </c>
      <c r="H2203" s="102">
        <f>6.02*0.24*1.2*10*7.85</f>
        <v>136.10015999999999</v>
      </c>
      <c r="I2203" s="103" t="s">
        <v>87</v>
      </c>
      <c r="J2203" s="65">
        <v>31000</v>
      </c>
      <c r="K2203" s="65"/>
      <c r="L2203" s="46">
        <f t="shared" si="93"/>
        <v>4219104.96</v>
      </c>
    </row>
    <row r="2204" spans="2:12" x14ac:dyDescent="0.35">
      <c r="B2204" s="96"/>
      <c r="C2204" s="97"/>
      <c r="D2204" s="98" t="s">
        <v>221</v>
      </c>
      <c r="E2204" s="99"/>
      <c r="F2204" s="100" t="s">
        <v>222</v>
      </c>
      <c r="G2204" s="101"/>
      <c r="H2204" s="102"/>
      <c r="I2204" s="103"/>
      <c r="J2204" s="50"/>
      <c r="K2204" s="29"/>
      <c r="L2204" s="52"/>
    </row>
    <row r="2205" spans="2:12" x14ac:dyDescent="0.35">
      <c r="B2205" s="96"/>
      <c r="C2205" s="97"/>
      <c r="D2205" s="98"/>
      <c r="E2205" s="99"/>
      <c r="F2205" s="100" t="s">
        <v>89</v>
      </c>
      <c r="G2205" s="101" t="s">
        <v>1096</v>
      </c>
      <c r="H2205" s="102">
        <v>515.46239999999989</v>
      </c>
      <c r="I2205" s="103" t="s">
        <v>87</v>
      </c>
      <c r="J2205" s="65">
        <v>31000</v>
      </c>
      <c r="K2205" s="65"/>
      <c r="L2205" s="46">
        <f t="shared" ref="L2205:L2214" si="94">J2205*H2205</f>
        <v>15979334.399999997</v>
      </c>
    </row>
    <row r="2206" spans="2:12" x14ac:dyDescent="0.35">
      <c r="B2206" s="96"/>
      <c r="C2206" s="97"/>
      <c r="D2206" s="98"/>
      <c r="E2206" s="99"/>
      <c r="F2206" s="100" t="s">
        <v>89</v>
      </c>
      <c r="G2206" s="101" t="s">
        <v>1269</v>
      </c>
      <c r="H2206" s="102">
        <v>590.0687999999999</v>
      </c>
      <c r="I2206" s="103" t="s">
        <v>87</v>
      </c>
      <c r="J2206" s="65">
        <v>31000</v>
      </c>
      <c r="K2206" s="65"/>
      <c r="L2206" s="46">
        <f t="shared" si="94"/>
        <v>18292132.799999997</v>
      </c>
    </row>
    <row r="2207" spans="2:12" x14ac:dyDescent="0.35">
      <c r="B2207" s="96"/>
      <c r="C2207" s="97"/>
      <c r="D2207" s="98"/>
      <c r="E2207" s="99"/>
      <c r="F2207" s="100" t="s">
        <v>89</v>
      </c>
      <c r="G2207" s="101" t="s">
        <v>1270</v>
      </c>
      <c r="H2207" s="102">
        <v>343.83</v>
      </c>
      <c r="I2207" s="103" t="s">
        <v>87</v>
      </c>
      <c r="J2207" s="65">
        <v>31000</v>
      </c>
      <c r="K2207" s="65"/>
      <c r="L2207" s="46">
        <f t="shared" si="94"/>
        <v>10658730</v>
      </c>
    </row>
    <row r="2208" spans="2:12" x14ac:dyDescent="0.35">
      <c r="B2208" s="96"/>
      <c r="C2208" s="97"/>
      <c r="D2208" s="98"/>
      <c r="E2208" s="99"/>
      <c r="F2208" s="100" t="s">
        <v>89</v>
      </c>
      <c r="G2208" s="101" t="s">
        <v>1271</v>
      </c>
      <c r="H2208" s="102">
        <v>32.027999999999999</v>
      </c>
      <c r="I2208" s="103" t="s">
        <v>87</v>
      </c>
      <c r="J2208" s="65">
        <v>31000</v>
      </c>
      <c r="K2208" s="65"/>
      <c r="L2208" s="46">
        <f t="shared" si="94"/>
        <v>992868</v>
      </c>
    </row>
    <row r="2209" spans="2:12" x14ac:dyDescent="0.35">
      <c r="B2209" s="96"/>
      <c r="C2209" s="97"/>
      <c r="D2209" s="98"/>
      <c r="E2209" s="99"/>
      <c r="F2209" s="100" t="s">
        <v>89</v>
      </c>
      <c r="G2209" s="101" t="s">
        <v>1183</v>
      </c>
      <c r="H2209" s="102">
        <v>407.84832</v>
      </c>
      <c r="I2209" s="103" t="s">
        <v>87</v>
      </c>
      <c r="J2209" s="65">
        <v>31000</v>
      </c>
      <c r="K2209" s="65"/>
      <c r="L2209" s="46">
        <f t="shared" si="94"/>
        <v>12643297.92</v>
      </c>
    </row>
    <row r="2210" spans="2:12" x14ac:dyDescent="0.35">
      <c r="B2210" s="96"/>
      <c r="C2210" s="97"/>
      <c r="D2210" s="98"/>
      <c r="E2210" s="99"/>
      <c r="F2210" s="100" t="s">
        <v>89</v>
      </c>
      <c r="G2210" s="101" t="s">
        <v>1272</v>
      </c>
      <c r="H2210" s="102">
        <v>181.54223999999999</v>
      </c>
      <c r="I2210" s="103" t="s">
        <v>87</v>
      </c>
      <c r="J2210" s="65">
        <v>31000</v>
      </c>
      <c r="K2210" s="65"/>
      <c r="L2210" s="46">
        <f t="shared" si="94"/>
        <v>5627809.4399999995</v>
      </c>
    </row>
    <row r="2211" spans="2:12" x14ac:dyDescent="0.35">
      <c r="B2211" s="96"/>
      <c r="C2211" s="97"/>
      <c r="D2211" s="98"/>
      <c r="E2211" s="99"/>
      <c r="F2211" s="100" t="s">
        <v>89</v>
      </c>
      <c r="G2211" s="101" t="s">
        <v>1273</v>
      </c>
      <c r="H2211" s="102">
        <v>90.997199999999992</v>
      </c>
      <c r="I2211" s="103" t="s">
        <v>87</v>
      </c>
      <c r="J2211" s="65">
        <v>31000</v>
      </c>
      <c r="K2211" s="65"/>
      <c r="L2211" s="46">
        <f t="shared" si="94"/>
        <v>2820913.1999999997</v>
      </c>
    </row>
    <row r="2212" spans="2:12" x14ac:dyDescent="0.35">
      <c r="B2212" s="96"/>
      <c r="C2212" s="97"/>
      <c r="D2212" s="98"/>
      <c r="E2212" s="99"/>
      <c r="F2212" s="100" t="s">
        <v>89</v>
      </c>
      <c r="G2212" s="101" t="s">
        <v>1274</v>
      </c>
      <c r="H2212" s="102">
        <v>96.083999999999989</v>
      </c>
      <c r="I2212" s="103" t="s">
        <v>87</v>
      </c>
      <c r="J2212" s="65">
        <v>31000</v>
      </c>
      <c r="K2212" s="65"/>
      <c r="L2212" s="46">
        <f t="shared" si="94"/>
        <v>2978603.9999999995</v>
      </c>
    </row>
    <row r="2213" spans="2:12" x14ac:dyDescent="0.35">
      <c r="B2213" s="96"/>
      <c r="C2213" s="97"/>
      <c r="D2213" s="98"/>
      <c r="E2213" s="99"/>
      <c r="F2213" s="100" t="s">
        <v>89</v>
      </c>
      <c r="G2213" s="101" t="s">
        <v>1275</v>
      </c>
      <c r="H2213" s="102">
        <v>96.649199999999993</v>
      </c>
      <c r="I2213" s="103" t="s">
        <v>87</v>
      </c>
      <c r="J2213" s="65">
        <v>31000</v>
      </c>
      <c r="K2213" s="65"/>
      <c r="L2213" s="46">
        <f t="shared" si="94"/>
        <v>2996125.1999999997</v>
      </c>
    </row>
    <row r="2214" spans="2:12" x14ac:dyDescent="0.35">
      <c r="B2214" s="96"/>
      <c r="C2214" s="97"/>
      <c r="D2214" s="98"/>
      <c r="E2214" s="99"/>
      <c r="F2214" s="100" t="s">
        <v>89</v>
      </c>
      <c r="G2214" s="101" t="s">
        <v>1276</v>
      </c>
      <c r="H2214" s="102">
        <v>124.34399999999998</v>
      </c>
      <c r="I2214" s="103" t="s">
        <v>87</v>
      </c>
      <c r="J2214" s="65">
        <v>31000</v>
      </c>
      <c r="K2214" s="65"/>
      <c r="L2214" s="46">
        <f t="shared" si="94"/>
        <v>3854663.9999999995</v>
      </c>
    </row>
    <row r="2215" spans="2:12" x14ac:dyDescent="0.35">
      <c r="B2215" s="47"/>
      <c r="C2215" s="48"/>
      <c r="D2215" s="24"/>
      <c r="G2215" s="22"/>
      <c r="I2215" s="22"/>
      <c r="J2215" s="50"/>
      <c r="K2215" s="29"/>
      <c r="L2215" s="52"/>
    </row>
    <row r="2216" spans="2:12" x14ac:dyDescent="0.35">
      <c r="B2216" s="47"/>
      <c r="C2216" s="48"/>
      <c r="D2216" s="24"/>
      <c r="G2216" s="22"/>
      <c r="I2216" s="22"/>
      <c r="J2216" s="50"/>
      <c r="K2216" s="29"/>
      <c r="L2216" s="52"/>
    </row>
    <row r="2217" spans="2:12" x14ac:dyDescent="0.35">
      <c r="B2217" s="8"/>
      <c r="C2217" s="9"/>
      <c r="D2217" s="10"/>
      <c r="E2217" s="4"/>
      <c r="F2217" s="4"/>
      <c r="G2217" s="4"/>
      <c r="H2217" s="1"/>
      <c r="I2217" s="1"/>
      <c r="J2217" s="11" t="s">
        <v>8</v>
      </c>
      <c r="K2217" s="7">
        <f>SUM(K2164:K2216)</f>
        <v>0</v>
      </c>
      <c r="L2217" s="7">
        <f>SUM(L2164:L2216)</f>
        <v>258084939.83999994</v>
      </c>
    </row>
    <row r="2218" spans="2:12" x14ac:dyDescent="0.35">
      <c r="B2218" s="8"/>
      <c r="C2218" s="9"/>
      <c r="D2218" s="9"/>
      <c r="E2218" s="4"/>
      <c r="F2218" s="4"/>
      <c r="G2218" s="4"/>
      <c r="H2218" s="1"/>
      <c r="I2218" s="1"/>
      <c r="J2218" s="11"/>
      <c r="K2218" s="35" t="s">
        <v>22</v>
      </c>
      <c r="L2218" s="36" t="s">
        <v>23</v>
      </c>
    </row>
    <row r="2219" spans="2:12" x14ac:dyDescent="0.35">
      <c r="B2219" s="3" t="s">
        <v>9</v>
      </c>
      <c r="C2219" s="4"/>
      <c r="D2219" s="4"/>
      <c r="E2219" s="4"/>
      <c r="F2219" s="4"/>
      <c r="G2219" s="4"/>
      <c r="H2219" s="1"/>
      <c r="I2219" s="1"/>
      <c r="J2219" s="12"/>
      <c r="K2219" s="12"/>
      <c r="L2219" s="13"/>
    </row>
    <row r="2220" spans="2:12" x14ac:dyDescent="0.35">
      <c r="B2220" s="37"/>
      <c r="C2220" s="1"/>
      <c r="D2220" s="1"/>
      <c r="E2220" s="38"/>
      <c r="F2220" s="38"/>
      <c r="G2220" s="38"/>
      <c r="H2220" s="1"/>
      <c r="I2220" s="1"/>
      <c r="J2220" s="1"/>
      <c r="K2220" s="1"/>
      <c r="L2220" s="19"/>
    </row>
    <row r="2221" spans="2:12" x14ac:dyDescent="0.35">
      <c r="B2221" s="28" t="s">
        <v>6</v>
      </c>
      <c r="C2221" s="27"/>
      <c r="D2221" s="27"/>
      <c r="E2221" s="26"/>
      <c r="F2221" s="26"/>
      <c r="G2221" s="5"/>
      <c r="K2221" s="284" t="s">
        <v>1600</v>
      </c>
      <c r="L2221" s="285"/>
    </row>
    <row r="2222" spans="2:12" x14ac:dyDescent="0.35">
      <c r="B2222" s="28">
        <v>1</v>
      </c>
      <c r="C2222" s="27"/>
      <c r="D2222" s="27"/>
      <c r="E2222" s="26" t="s">
        <v>7</v>
      </c>
      <c r="F2222" s="26"/>
      <c r="G2222" s="5"/>
      <c r="K2222" s="284" t="s">
        <v>28</v>
      </c>
      <c r="L2222" s="285"/>
    </row>
    <row r="2223" spans="2:12" x14ac:dyDescent="0.35">
      <c r="B2223" s="39"/>
      <c r="C2223" s="27"/>
      <c r="D2223" s="27"/>
      <c r="E2223" s="26"/>
      <c r="F2223" s="26"/>
      <c r="G2223" s="5"/>
      <c r="J2223" s="25"/>
      <c r="K2223" s="25"/>
      <c r="L2223" s="24"/>
    </row>
    <row r="2224" spans="2:12" x14ac:dyDescent="0.35">
      <c r="B2224" s="28"/>
      <c r="C2224" s="27"/>
      <c r="D2224" s="27"/>
      <c r="E2224" s="26"/>
      <c r="F2224" s="26"/>
      <c r="G2224" s="5"/>
      <c r="L2224" s="22"/>
    </row>
    <row r="2225" spans="2:12" x14ac:dyDescent="0.35">
      <c r="B2225" s="45"/>
      <c r="E2225" s="5"/>
      <c r="F2225" s="5"/>
      <c r="G2225" s="5"/>
      <c r="L2225" s="22"/>
    </row>
    <row r="2226" spans="2:12" x14ac:dyDescent="0.35">
      <c r="B2226" s="45"/>
      <c r="E2226" s="5"/>
      <c r="F2226" s="5"/>
      <c r="G2226" s="5"/>
      <c r="L2226" s="22"/>
    </row>
    <row r="2227" spans="2:12" x14ac:dyDescent="0.35">
      <c r="B2227" s="45"/>
      <c r="E2227" s="5"/>
      <c r="F2227" s="5"/>
      <c r="G2227" s="5"/>
      <c r="L2227" s="22"/>
    </row>
    <row r="2228" spans="2:12" x14ac:dyDescent="0.35">
      <c r="B2228" s="45"/>
      <c r="E2228" s="5"/>
      <c r="F2228" s="5"/>
      <c r="G2228" s="5"/>
      <c r="J2228" s="40"/>
      <c r="K2228" s="286" t="s">
        <v>36</v>
      </c>
      <c r="L2228" s="287"/>
    </row>
    <row r="2229" spans="2:12" x14ac:dyDescent="0.35">
      <c r="B2229" s="45"/>
      <c r="K2229" s="288" t="s">
        <v>37</v>
      </c>
      <c r="L2229" s="289"/>
    </row>
    <row r="2230" spans="2:12" x14ac:dyDescent="0.35">
      <c r="B2230" s="290"/>
      <c r="C2230" s="291"/>
      <c r="D2230" s="291"/>
      <c r="E2230" s="41"/>
      <c r="F2230" s="41"/>
      <c r="G2230" s="41"/>
      <c r="H2230" s="2"/>
      <c r="I2230" s="2"/>
      <c r="J2230" s="2"/>
      <c r="K2230" s="2"/>
      <c r="L2230" s="21"/>
    </row>
    <row r="2231" spans="2:12" x14ac:dyDescent="0.35">
      <c r="B2231" s="47"/>
      <c r="C2231" s="48"/>
      <c r="D2231" s="49"/>
      <c r="G2231" s="22"/>
      <c r="H2231" s="1"/>
      <c r="I2231" s="1"/>
      <c r="J2231" s="43"/>
      <c r="K2231" s="30"/>
      <c r="L2231" s="44"/>
    </row>
    <row r="2232" spans="2:12" x14ac:dyDescent="0.35">
      <c r="B2232" s="96"/>
      <c r="C2232" s="97"/>
      <c r="D2232" s="98"/>
      <c r="E2232" s="99"/>
      <c r="F2232" s="100" t="s">
        <v>89</v>
      </c>
      <c r="G2232" s="101" t="s">
        <v>1277</v>
      </c>
      <c r="H2232" s="102">
        <v>45.781199999999998</v>
      </c>
      <c r="I2232" s="103" t="s">
        <v>87</v>
      </c>
      <c r="J2232" s="65">
        <v>31000</v>
      </c>
      <c r="K2232" s="65"/>
      <c r="L2232" s="46">
        <f t="shared" ref="L2232:L2245" si="95">J2232*H2232</f>
        <v>1419217.2</v>
      </c>
    </row>
    <row r="2233" spans="2:12" x14ac:dyDescent="0.35">
      <c r="B2233" s="96"/>
      <c r="C2233" s="97"/>
      <c r="D2233" s="98"/>
      <c r="E2233" s="99"/>
      <c r="F2233" s="100" t="s">
        <v>89</v>
      </c>
      <c r="G2233" s="101" t="s">
        <v>1278</v>
      </c>
      <c r="H2233" s="102">
        <v>51.433199999999992</v>
      </c>
      <c r="I2233" s="103" t="s">
        <v>87</v>
      </c>
      <c r="J2233" s="65">
        <v>31000</v>
      </c>
      <c r="K2233" s="65"/>
      <c r="L2233" s="46">
        <f t="shared" si="95"/>
        <v>1594429.1999999997</v>
      </c>
    </row>
    <row r="2234" spans="2:12" x14ac:dyDescent="0.35">
      <c r="B2234" s="96"/>
      <c r="C2234" s="97"/>
      <c r="D2234" s="98"/>
      <c r="E2234" s="99"/>
      <c r="F2234" s="100" t="s">
        <v>89</v>
      </c>
      <c r="G2234" s="101" t="s">
        <v>1279</v>
      </c>
      <c r="H2234" s="102">
        <v>60.476399999999991</v>
      </c>
      <c r="I2234" s="103" t="s">
        <v>87</v>
      </c>
      <c r="J2234" s="65">
        <v>31000</v>
      </c>
      <c r="K2234" s="65"/>
      <c r="L2234" s="46">
        <f t="shared" si="95"/>
        <v>1874768.3999999997</v>
      </c>
    </row>
    <row r="2235" spans="2:12" x14ac:dyDescent="0.35">
      <c r="B2235" s="96"/>
      <c r="C2235" s="97"/>
      <c r="D2235" s="98"/>
      <c r="E2235" s="99"/>
      <c r="F2235" s="100" t="s">
        <v>89</v>
      </c>
      <c r="G2235" s="101" t="s">
        <v>1280</v>
      </c>
      <c r="H2235" s="102">
        <v>90.431999999999988</v>
      </c>
      <c r="I2235" s="103" t="s">
        <v>87</v>
      </c>
      <c r="J2235" s="65">
        <v>31000</v>
      </c>
      <c r="K2235" s="65"/>
      <c r="L2235" s="46">
        <f t="shared" si="95"/>
        <v>2803391.9999999995</v>
      </c>
    </row>
    <row r="2236" spans="2:12" x14ac:dyDescent="0.35">
      <c r="B2236" s="96"/>
      <c r="C2236" s="97"/>
      <c r="D2236" s="98"/>
      <c r="E2236" s="99"/>
      <c r="F2236" s="100" t="s">
        <v>89</v>
      </c>
      <c r="G2236" s="101" t="s">
        <v>1281</v>
      </c>
      <c r="H2236" s="102">
        <v>35.607599999999998</v>
      </c>
      <c r="I2236" s="103" t="s">
        <v>87</v>
      </c>
      <c r="J2236" s="65">
        <v>31000</v>
      </c>
      <c r="K2236" s="65"/>
      <c r="L2236" s="46">
        <f t="shared" si="95"/>
        <v>1103835.5999999999</v>
      </c>
    </row>
    <row r="2237" spans="2:12" x14ac:dyDescent="0.35">
      <c r="B2237" s="96"/>
      <c r="C2237" s="97"/>
      <c r="D2237" s="98"/>
      <c r="E2237" s="99"/>
      <c r="F2237" s="100" t="s">
        <v>89</v>
      </c>
      <c r="G2237" s="101" t="s">
        <v>1282</v>
      </c>
      <c r="H2237" s="102">
        <v>70.084799999999987</v>
      </c>
      <c r="I2237" s="103" t="s">
        <v>87</v>
      </c>
      <c r="J2237" s="65">
        <v>31000</v>
      </c>
      <c r="K2237" s="65"/>
      <c r="L2237" s="46">
        <f t="shared" si="95"/>
        <v>2172628.7999999998</v>
      </c>
    </row>
    <row r="2238" spans="2:12" x14ac:dyDescent="0.35">
      <c r="B2238" s="96"/>
      <c r="C2238" s="97"/>
      <c r="D2238" s="98"/>
      <c r="E2238" s="99"/>
      <c r="F2238" s="100" t="s">
        <v>89</v>
      </c>
      <c r="G2238" s="101" t="s">
        <v>1283</v>
      </c>
      <c r="H2238" s="102">
        <v>48.230399999999996</v>
      </c>
      <c r="I2238" s="103" t="s">
        <v>87</v>
      </c>
      <c r="J2238" s="65">
        <v>31000</v>
      </c>
      <c r="K2238" s="65"/>
      <c r="L2238" s="46">
        <f t="shared" si="95"/>
        <v>1495142.3999999999</v>
      </c>
    </row>
    <row r="2239" spans="2:12" x14ac:dyDescent="0.35">
      <c r="B2239" s="96"/>
      <c r="C2239" s="97"/>
      <c r="D2239" s="98"/>
      <c r="E2239" s="99"/>
      <c r="F2239" s="100" t="s">
        <v>89</v>
      </c>
      <c r="G2239" s="101" t="s">
        <v>1284</v>
      </c>
      <c r="H2239" s="102">
        <v>52.751999999999995</v>
      </c>
      <c r="I2239" s="103" t="s">
        <v>87</v>
      </c>
      <c r="J2239" s="65">
        <v>31000</v>
      </c>
      <c r="K2239" s="65"/>
      <c r="L2239" s="46">
        <f t="shared" si="95"/>
        <v>1635311.9999999998</v>
      </c>
    </row>
    <row r="2240" spans="2:12" x14ac:dyDescent="0.35">
      <c r="B2240" s="96"/>
      <c r="C2240" s="97"/>
      <c r="D2240" s="98"/>
      <c r="E2240" s="99"/>
      <c r="F2240" s="100" t="s">
        <v>89</v>
      </c>
      <c r="G2240" s="101" t="s">
        <v>1285</v>
      </c>
      <c r="H2240" s="102">
        <v>56.519999999999996</v>
      </c>
      <c r="I2240" s="99" t="s">
        <v>87</v>
      </c>
      <c r="J2240" s="65">
        <v>31000</v>
      </c>
      <c r="K2240" s="65"/>
      <c r="L2240" s="46">
        <f t="shared" si="95"/>
        <v>1752119.9999999998</v>
      </c>
    </row>
    <row r="2241" spans="2:12" x14ac:dyDescent="0.35">
      <c r="B2241" s="96"/>
      <c r="C2241" s="97"/>
      <c r="D2241" s="98"/>
      <c r="E2241" s="99"/>
      <c r="F2241" s="100" t="s">
        <v>89</v>
      </c>
      <c r="G2241" s="101" t="s">
        <v>1286</v>
      </c>
      <c r="H2241" s="102">
        <v>43.105919999999998</v>
      </c>
      <c r="I2241" s="99" t="s">
        <v>87</v>
      </c>
      <c r="J2241" s="65">
        <v>31000</v>
      </c>
      <c r="K2241" s="65"/>
      <c r="L2241" s="46">
        <f t="shared" si="95"/>
        <v>1336283.52</v>
      </c>
    </row>
    <row r="2242" spans="2:12" x14ac:dyDescent="0.35">
      <c r="B2242" s="96"/>
      <c r="C2242" s="97"/>
      <c r="D2242" s="98"/>
      <c r="E2242" s="99"/>
      <c r="F2242" s="100" t="s">
        <v>89</v>
      </c>
      <c r="G2242" s="101" t="s">
        <v>1287</v>
      </c>
      <c r="H2242" s="102">
        <v>12.208320000000001</v>
      </c>
      <c r="I2242" s="103" t="s">
        <v>87</v>
      </c>
      <c r="J2242" s="65">
        <v>31000</v>
      </c>
      <c r="K2242" s="65"/>
      <c r="L2242" s="46">
        <f t="shared" si="95"/>
        <v>378457.92000000004</v>
      </c>
    </row>
    <row r="2243" spans="2:12" x14ac:dyDescent="0.35">
      <c r="B2243" s="96"/>
      <c r="C2243" s="97"/>
      <c r="D2243" s="98"/>
      <c r="E2243" s="99"/>
      <c r="F2243" s="100" t="s">
        <v>89</v>
      </c>
      <c r="G2243" s="101" t="s">
        <v>1288</v>
      </c>
      <c r="H2243" s="102">
        <v>70.084799999999987</v>
      </c>
      <c r="I2243" s="103" t="s">
        <v>87</v>
      </c>
      <c r="J2243" s="65">
        <v>31000</v>
      </c>
      <c r="K2243" s="65"/>
      <c r="L2243" s="46">
        <f t="shared" si="95"/>
        <v>2172628.7999999998</v>
      </c>
    </row>
    <row r="2244" spans="2:12" x14ac:dyDescent="0.35">
      <c r="B2244" s="96"/>
      <c r="C2244" s="97"/>
      <c r="D2244" s="98"/>
      <c r="E2244" s="99"/>
      <c r="F2244" s="100" t="s">
        <v>89</v>
      </c>
      <c r="G2244" s="101" t="s">
        <v>1289</v>
      </c>
      <c r="H2244" s="102">
        <v>25.773120000000002</v>
      </c>
      <c r="I2244" s="103" t="s">
        <v>87</v>
      </c>
      <c r="J2244" s="65">
        <v>31000</v>
      </c>
      <c r="K2244" s="65"/>
      <c r="L2244" s="46">
        <f t="shared" si="95"/>
        <v>798966.72000000009</v>
      </c>
    </row>
    <row r="2245" spans="2:12" x14ac:dyDescent="0.35">
      <c r="B2245" s="96"/>
      <c r="C2245" s="97"/>
      <c r="D2245" s="98"/>
      <c r="E2245" s="99"/>
      <c r="F2245" s="100" t="s">
        <v>89</v>
      </c>
      <c r="G2245" s="101" t="s">
        <v>1202</v>
      </c>
      <c r="H2245" s="102">
        <v>36.502499999999998</v>
      </c>
      <c r="I2245" s="103" t="s">
        <v>87</v>
      </c>
      <c r="J2245" s="65">
        <v>31000</v>
      </c>
      <c r="K2245" s="65"/>
      <c r="L2245" s="46">
        <f t="shared" si="95"/>
        <v>1131577.5</v>
      </c>
    </row>
    <row r="2246" spans="2:12" x14ac:dyDescent="0.35">
      <c r="B2246" s="96"/>
      <c r="C2246" s="97"/>
      <c r="D2246" s="98" t="s">
        <v>223</v>
      </c>
      <c r="E2246" s="99"/>
      <c r="F2246" s="100" t="s">
        <v>224</v>
      </c>
      <c r="G2246" s="101"/>
      <c r="H2246" s="102"/>
      <c r="I2246" s="103"/>
      <c r="J2246" s="50"/>
      <c r="K2246" s="29"/>
      <c r="L2246" s="52"/>
    </row>
    <row r="2247" spans="2:12" x14ac:dyDescent="0.35">
      <c r="B2247" s="96"/>
      <c r="C2247" s="97"/>
      <c r="D2247" s="98"/>
      <c r="E2247" s="99"/>
      <c r="F2247" s="100" t="s">
        <v>89</v>
      </c>
      <c r="G2247" s="101" t="s">
        <v>1290</v>
      </c>
      <c r="H2247" s="102">
        <v>17.662500000000001</v>
      </c>
      <c r="I2247" s="103" t="s">
        <v>87</v>
      </c>
      <c r="J2247" s="65">
        <v>31000</v>
      </c>
      <c r="K2247" s="65"/>
      <c r="L2247" s="46">
        <f>J2247*H2247</f>
        <v>547537.5</v>
      </c>
    </row>
    <row r="2248" spans="2:12" x14ac:dyDescent="0.35">
      <c r="B2248" s="96"/>
      <c r="C2248" s="97"/>
      <c r="D2248" s="98" t="s">
        <v>225</v>
      </c>
      <c r="E2248" s="99"/>
      <c r="F2248" s="100" t="s">
        <v>226</v>
      </c>
      <c r="G2248" s="101"/>
      <c r="H2248" s="102"/>
      <c r="I2248" s="103"/>
      <c r="J2248" s="50"/>
      <c r="K2248" s="29"/>
      <c r="L2248" s="52"/>
    </row>
    <row r="2249" spans="2:12" x14ac:dyDescent="0.35">
      <c r="B2249" s="96"/>
      <c r="C2249" s="97"/>
      <c r="D2249" s="98"/>
      <c r="E2249" s="99"/>
      <c r="F2249" s="100" t="s">
        <v>89</v>
      </c>
      <c r="G2249" s="101" t="s">
        <v>1291</v>
      </c>
      <c r="H2249" s="102">
        <v>54.2592</v>
      </c>
      <c r="I2249" s="103" t="s">
        <v>87</v>
      </c>
      <c r="J2249" s="65">
        <v>31000</v>
      </c>
      <c r="K2249" s="65"/>
      <c r="L2249" s="46">
        <f t="shared" ref="L2249:L2253" si="96">J2249*H2249</f>
        <v>1682035.2</v>
      </c>
    </row>
    <row r="2250" spans="2:12" x14ac:dyDescent="0.35">
      <c r="B2250" s="174"/>
      <c r="C2250" s="175"/>
      <c r="D2250" s="176"/>
      <c r="E2250" s="163"/>
      <c r="F2250" s="163" t="s">
        <v>89</v>
      </c>
      <c r="G2250" s="164" t="s">
        <v>1292</v>
      </c>
      <c r="H2250" s="177">
        <v>330.95599999999996</v>
      </c>
      <c r="I2250" s="163" t="s">
        <v>87</v>
      </c>
      <c r="J2250" s="65">
        <v>31000</v>
      </c>
      <c r="K2250" s="65"/>
      <c r="L2250" s="46">
        <f t="shared" si="96"/>
        <v>10259635.999999998</v>
      </c>
    </row>
    <row r="2251" spans="2:12" x14ac:dyDescent="0.35">
      <c r="B2251" s="174"/>
      <c r="C2251" s="175"/>
      <c r="D2251" s="176"/>
      <c r="E2251" s="163"/>
      <c r="F2251" s="163" t="s">
        <v>89</v>
      </c>
      <c r="G2251" s="164" t="s">
        <v>1293</v>
      </c>
      <c r="H2251" s="177">
        <v>32.404800000000002</v>
      </c>
      <c r="I2251" s="163" t="s">
        <v>87</v>
      </c>
      <c r="J2251" s="65">
        <v>31000</v>
      </c>
      <c r="K2251" s="65"/>
      <c r="L2251" s="46">
        <f t="shared" si="96"/>
        <v>1004548.8</v>
      </c>
    </row>
    <row r="2252" spans="2:12" x14ac:dyDescent="0.35">
      <c r="B2252" s="174"/>
      <c r="C2252" s="175"/>
      <c r="D2252" s="176"/>
      <c r="E2252" s="163"/>
      <c r="F2252" s="163" t="s">
        <v>89</v>
      </c>
      <c r="G2252" s="164" t="s">
        <v>1294</v>
      </c>
      <c r="H2252" s="177">
        <v>6.7823999999999991</v>
      </c>
      <c r="I2252" s="163" t="s">
        <v>87</v>
      </c>
      <c r="J2252" s="65">
        <v>31000</v>
      </c>
      <c r="K2252" s="65"/>
      <c r="L2252" s="46">
        <f t="shared" si="96"/>
        <v>210254.39999999997</v>
      </c>
    </row>
    <row r="2253" spans="2:12" x14ac:dyDescent="0.35">
      <c r="B2253" s="174"/>
      <c r="C2253" s="175"/>
      <c r="D2253" s="176"/>
      <c r="E2253" s="163"/>
      <c r="F2253" s="163" t="s">
        <v>89</v>
      </c>
      <c r="G2253" s="164" t="s">
        <v>1295</v>
      </c>
      <c r="H2253" s="177">
        <v>15.778499999999999</v>
      </c>
      <c r="I2253" s="163" t="s">
        <v>87</v>
      </c>
      <c r="J2253" s="65">
        <v>31000</v>
      </c>
      <c r="K2253" s="65"/>
      <c r="L2253" s="46">
        <f t="shared" si="96"/>
        <v>489133.5</v>
      </c>
    </row>
    <row r="2254" spans="2:12" x14ac:dyDescent="0.35">
      <c r="B2254" s="174"/>
      <c r="C2254" s="175"/>
      <c r="D2254" s="176" t="s">
        <v>1296</v>
      </c>
      <c r="E2254" s="163"/>
      <c r="F2254" s="163" t="s">
        <v>282</v>
      </c>
      <c r="G2254" s="164"/>
      <c r="H2254" s="178"/>
      <c r="I2254" s="163"/>
      <c r="J2254" s="50"/>
      <c r="K2254" s="29"/>
      <c r="L2254" s="52"/>
    </row>
    <row r="2255" spans="2:12" x14ac:dyDescent="0.35">
      <c r="B2255" s="174"/>
      <c r="C2255" s="175"/>
      <c r="D2255" s="176"/>
      <c r="E2255" s="163"/>
      <c r="F2255" s="163" t="s">
        <v>89</v>
      </c>
      <c r="G2255" s="164" t="s">
        <v>1297</v>
      </c>
      <c r="H2255" s="177">
        <v>158.82119999999998</v>
      </c>
      <c r="I2255" s="163" t="s">
        <v>87</v>
      </c>
      <c r="J2255" s="65">
        <v>31000</v>
      </c>
      <c r="K2255" s="65"/>
      <c r="L2255" s="46">
        <f t="shared" ref="L2255:L2273" si="97">J2255*H2255</f>
        <v>4923457.1999999993</v>
      </c>
    </row>
    <row r="2256" spans="2:12" x14ac:dyDescent="0.35">
      <c r="B2256" s="174"/>
      <c r="C2256" s="175"/>
      <c r="D2256" s="176"/>
      <c r="E2256" s="163"/>
      <c r="F2256" s="163" t="s">
        <v>89</v>
      </c>
      <c r="G2256" s="164" t="s">
        <v>1298</v>
      </c>
      <c r="H2256" s="177">
        <v>48.041999999999994</v>
      </c>
      <c r="I2256" s="163" t="s">
        <v>87</v>
      </c>
      <c r="J2256" s="65">
        <v>31000</v>
      </c>
      <c r="K2256" s="65"/>
      <c r="L2256" s="46">
        <f t="shared" si="97"/>
        <v>1489301.9999999998</v>
      </c>
    </row>
    <row r="2257" spans="2:12" x14ac:dyDescent="0.35">
      <c r="B2257" s="174"/>
      <c r="C2257" s="175"/>
      <c r="D2257" s="176"/>
      <c r="E2257" s="163"/>
      <c r="F2257" s="163" t="s">
        <v>89</v>
      </c>
      <c r="G2257" s="164" t="s">
        <v>1299</v>
      </c>
      <c r="H2257" s="177">
        <v>154.86479999999997</v>
      </c>
      <c r="I2257" s="163" t="s">
        <v>87</v>
      </c>
      <c r="J2257" s="65">
        <v>31000</v>
      </c>
      <c r="K2257" s="65"/>
      <c r="L2257" s="46">
        <f t="shared" si="97"/>
        <v>4800808.7999999989</v>
      </c>
    </row>
    <row r="2258" spans="2:12" x14ac:dyDescent="0.35">
      <c r="B2258" s="174"/>
      <c r="C2258" s="175"/>
      <c r="D2258" s="176"/>
      <c r="E2258" s="163"/>
      <c r="F2258" s="163" t="s">
        <v>89</v>
      </c>
      <c r="G2258" s="164" t="s">
        <v>1300</v>
      </c>
      <c r="H2258" s="177">
        <v>25.999199999999998</v>
      </c>
      <c r="I2258" s="163" t="s">
        <v>87</v>
      </c>
      <c r="J2258" s="65">
        <v>31000</v>
      </c>
      <c r="K2258" s="65"/>
      <c r="L2258" s="46">
        <f t="shared" si="97"/>
        <v>805975.2</v>
      </c>
    </row>
    <row r="2259" spans="2:12" x14ac:dyDescent="0.35">
      <c r="B2259" s="174"/>
      <c r="C2259" s="175"/>
      <c r="D2259" s="176"/>
      <c r="E2259" s="163"/>
      <c r="F2259" s="163" t="s">
        <v>89</v>
      </c>
      <c r="G2259" s="164" t="s">
        <v>1301</v>
      </c>
      <c r="H2259" s="177">
        <v>51.998399999999997</v>
      </c>
      <c r="I2259" s="163" t="s">
        <v>87</v>
      </c>
      <c r="J2259" s="65">
        <v>31000</v>
      </c>
      <c r="K2259" s="65"/>
      <c r="L2259" s="46">
        <f t="shared" si="97"/>
        <v>1611950.4</v>
      </c>
    </row>
    <row r="2260" spans="2:12" x14ac:dyDescent="0.35">
      <c r="B2260" s="174"/>
      <c r="C2260" s="175"/>
      <c r="D2260" s="176"/>
      <c r="E2260" s="163"/>
      <c r="F2260" s="163" t="s">
        <v>89</v>
      </c>
      <c r="G2260" s="164" t="s">
        <v>1302</v>
      </c>
      <c r="H2260" s="177">
        <v>67.371840000000006</v>
      </c>
      <c r="I2260" s="163" t="s">
        <v>87</v>
      </c>
      <c r="J2260" s="65">
        <v>31000</v>
      </c>
      <c r="K2260" s="65"/>
      <c r="L2260" s="46">
        <f t="shared" si="97"/>
        <v>2088527.0400000003</v>
      </c>
    </row>
    <row r="2261" spans="2:12" x14ac:dyDescent="0.35">
      <c r="B2261" s="174"/>
      <c r="C2261" s="175"/>
      <c r="D2261" s="176"/>
      <c r="E2261" s="163"/>
      <c r="F2261" s="163" t="s">
        <v>89</v>
      </c>
      <c r="G2261" s="164" t="s">
        <v>1303</v>
      </c>
      <c r="H2261" s="177">
        <v>10.62576</v>
      </c>
      <c r="I2261" s="163" t="s">
        <v>87</v>
      </c>
      <c r="J2261" s="65">
        <v>31000</v>
      </c>
      <c r="K2261" s="65"/>
      <c r="L2261" s="46">
        <f t="shared" si="97"/>
        <v>329398.56</v>
      </c>
    </row>
    <row r="2262" spans="2:12" x14ac:dyDescent="0.35">
      <c r="B2262" s="174"/>
      <c r="C2262" s="175"/>
      <c r="D2262" s="176"/>
      <c r="E2262" s="163"/>
      <c r="F2262" s="163" t="s">
        <v>89</v>
      </c>
      <c r="G2262" s="164" t="s">
        <v>1304</v>
      </c>
      <c r="H2262" s="177">
        <v>40.694400000000002</v>
      </c>
      <c r="I2262" s="163" t="s">
        <v>87</v>
      </c>
      <c r="J2262" s="65">
        <v>31000</v>
      </c>
      <c r="K2262" s="65"/>
      <c r="L2262" s="46">
        <f t="shared" si="97"/>
        <v>1261526.4000000001</v>
      </c>
    </row>
    <row r="2263" spans="2:12" x14ac:dyDescent="0.35">
      <c r="B2263" s="174"/>
      <c r="C2263" s="175"/>
      <c r="D2263" s="176"/>
      <c r="E2263" s="163"/>
      <c r="F2263" s="163" t="s">
        <v>89</v>
      </c>
      <c r="G2263" s="164" t="s">
        <v>1305</v>
      </c>
      <c r="H2263" s="177">
        <v>35.607599999999998</v>
      </c>
      <c r="I2263" s="163" t="s">
        <v>87</v>
      </c>
      <c r="J2263" s="65">
        <v>31000</v>
      </c>
      <c r="K2263" s="65"/>
      <c r="L2263" s="46">
        <f t="shared" si="97"/>
        <v>1103835.5999999999</v>
      </c>
    </row>
    <row r="2264" spans="2:12" x14ac:dyDescent="0.35">
      <c r="B2264" s="174"/>
      <c r="C2264" s="175"/>
      <c r="D2264" s="176"/>
      <c r="E2264" s="163"/>
      <c r="F2264" s="163" t="s">
        <v>89</v>
      </c>
      <c r="G2264" s="164" t="s">
        <v>1306</v>
      </c>
      <c r="H2264" s="177">
        <v>82.519199999999998</v>
      </c>
      <c r="I2264" s="163" t="s">
        <v>87</v>
      </c>
      <c r="J2264" s="65">
        <v>31000</v>
      </c>
      <c r="K2264" s="65"/>
      <c r="L2264" s="46">
        <f t="shared" si="97"/>
        <v>2558095.1999999997</v>
      </c>
    </row>
    <row r="2265" spans="2:12" x14ac:dyDescent="0.35">
      <c r="B2265" s="174"/>
      <c r="C2265" s="175"/>
      <c r="D2265" s="176"/>
      <c r="E2265" s="163"/>
      <c r="F2265" s="163" t="s">
        <v>89</v>
      </c>
      <c r="G2265" s="164" t="s">
        <v>1307</v>
      </c>
      <c r="H2265" s="177">
        <v>4.8041999999999998</v>
      </c>
      <c r="I2265" s="163" t="s">
        <v>87</v>
      </c>
      <c r="J2265" s="65">
        <v>31000</v>
      </c>
      <c r="K2265" s="65"/>
      <c r="L2265" s="46">
        <f t="shared" si="97"/>
        <v>148930.19999999998</v>
      </c>
    </row>
    <row r="2266" spans="2:12" x14ac:dyDescent="0.35">
      <c r="B2266" s="174"/>
      <c r="C2266" s="175"/>
      <c r="D2266" s="176"/>
      <c r="E2266" s="163"/>
      <c r="F2266" s="163" t="s">
        <v>89</v>
      </c>
      <c r="G2266" s="164" t="s">
        <v>1308</v>
      </c>
      <c r="H2266" s="177">
        <v>9.222179999999998</v>
      </c>
      <c r="I2266" s="163" t="s">
        <v>87</v>
      </c>
      <c r="J2266" s="65">
        <v>31000</v>
      </c>
      <c r="K2266" s="65"/>
      <c r="L2266" s="46">
        <f t="shared" si="97"/>
        <v>285887.57999999996</v>
      </c>
    </row>
    <row r="2267" spans="2:12" x14ac:dyDescent="0.35">
      <c r="B2267" s="174"/>
      <c r="C2267" s="175"/>
      <c r="D2267" s="176"/>
      <c r="E2267" s="163"/>
      <c r="F2267" s="163" t="s">
        <v>89</v>
      </c>
      <c r="G2267" s="164" t="s">
        <v>1309</v>
      </c>
      <c r="H2267" s="177">
        <v>53.693999999999996</v>
      </c>
      <c r="I2267" s="163" t="s">
        <v>87</v>
      </c>
      <c r="J2267" s="65">
        <v>31000</v>
      </c>
      <c r="K2267" s="65"/>
      <c r="L2267" s="46">
        <f t="shared" si="97"/>
        <v>1664513.9999999998</v>
      </c>
    </row>
    <row r="2268" spans="2:12" x14ac:dyDescent="0.35">
      <c r="B2268" s="174"/>
      <c r="C2268" s="175"/>
      <c r="D2268" s="176"/>
      <c r="E2268" s="163"/>
      <c r="F2268" s="163" t="s">
        <v>89</v>
      </c>
      <c r="G2268" s="164" t="s">
        <v>1310</v>
      </c>
      <c r="H2268" s="177">
        <v>73.475999999999999</v>
      </c>
      <c r="I2268" s="163" t="s">
        <v>87</v>
      </c>
      <c r="J2268" s="65">
        <v>31000</v>
      </c>
      <c r="K2268" s="65"/>
      <c r="L2268" s="46">
        <f t="shared" si="97"/>
        <v>2277756</v>
      </c>
    </row>
    <row r="2269" spans="2:12" x14ac:dyDescent="0.35">
      <c r="B2269" s="174"/>
      <c r="C2269" s="175"/>
      <c r="D2269" s="176"/>
      <c r="E2269" s="163"/>
      <c r="F2269" s="163" t="s">
        <v>89</v>
      </c>
      <c r="G2269" s="164" t="s">
        <v>1311</v>
      </c>
      <c r="H2269" s="177">
        <v>119.79727999999999</v>
      </c>
      <c r="I2269" s="163" t="s">
        <v>87</v>
      </c>
      <c r="J2269" s="65">
        <v>31000</v>
      </c>
      <c r="K2269" s="65"/>
      <c r="L2269" s="46">
        <f t="shared" si="97"/>
        <v>3713715.6799999997</v>
      </c>
    </row>
    <row r="2270" spans="2:12" x14ac:dyDescent="0.35">
      <c r="B2270" s="174"/>
      <c r="C2270" s="175"/>
      <c r="D2270" s="176"/>
      <c r="E2270" s="163"/>
      <c r="F2270" s="163" t="s">
        <v>89</v>
      </c>
      <c r="G2270" s="164" t="s">
        <v>1312</v>
      </c>
      <c r="H2270" s="177">
        <v>49.7376</v>
      </c>
      <c r="I2270" s="163" t="s">
        <v>87</v>
      </c>
      <c r="J2270" s="65">
        <v>31000</v>
      </c>
      <c r="K2270" s="65"/>
      <c r="L2270" s="46">
        <f t="shared" si="97"/>
        <v>1541865.6</v>
      </c>
    </row>
    <row r="2271" spans="2:12" x14ac:dyDescent="0.35">
      <c r="B2271" s="174"/>
      <c r="C2271" s="175"/>
      <c r="D2271" s="176"/>
      <c r="E2271" s="163"/>
      <c r="F2271" s="163" t="s">
        <v>89</v>
      </c>
      <c r="G2271" s="164" t="s">
        <v>1313</v>
      </c>
      <c r="H2271" s="177">
        <v>27.317999999999998</v>
      </c>
      <c r="I2271" s="163" t="s">
        <v>87</v>
      </c>
      <c r="J2271" s="65">
        <v>31000</v>
      </c>
      <c r="K2271" s="65"/>
      <c r="L2271" s="46">
        <f t="shared" si="97"/>
        <v>846857.99999999988</v>
      </c>
    </row>
    <row r="2272" spans="2:12" x14ac:dyDescent="0.35">
      <c r="B2272" s="174"/>
      <c r="C2272" s="175"/>
      <c r="D2272" s="176"/>
      <c r="E2272" s="163"/>
      <c r="F2272" s="163" t="s">
        <v>89</v>
      </c>
      <c r="G2272" s="164" t="s">
        <v>1314</v>
      </c>
      <c r="H2272" s="177">
        <v>20.215319999999998</v>
      </c>
      <c r="I2272" s="163" t="s">
        <v>87</v>
      </c>
      <c r="J2272" s="65">
        <v>31000</v>
      </c>
      <c r="K2272" s="65"/>
      <c r="L2272" s="46">
        <f t="shared" si="97"/>
        <v>626674.91999999993</v>
      </c>
    </row>
    <row r="2273" spans="2:12" x14ac:dyDescent="0.35">
      <c r="B2273" s="174"/>
      <c r="C2273" s="175"/>
      <c r="D2273" s="176"/>
      <c r="E2273" s="163"/>
      <c r="F2273" s="163" t="s">
        <v>89</v>
      </c>
      <c r="G2273" s="164" t="s">
        <v>1048</v>
      </c>
      <c r="H2273" s="177">
        <v>4.0694400000000002</v>
      </c>
      <c r="I2273" s="163" t="s">
        <v>87</v>
      </c>
      <c r="J2273" s="65">
        <v>31000</v>
      </c>
      <c r="K2273" s="65"/>
      <c r="L2273" s="46">
        <f t="shared" si="97"/>
        <v>126152.64</v>
      </c>
    </row>
    <row r="2274" spans="2:12" x14ac:dyDescent="0.35">
      <c r="B2274" s="174"/>
      <c r="C2274" s="175"/>
      <c r="D2274" s="176" t="s">
        <v>1315</v>
      </c>
      <c r="E2274" s="163"/>
      <c r="F2274" s="163" t="s">
        <v>261</v>
      </c>
      <c r="G2274" s="164"/>
      <c r="H2274" s="178"/>
      <c r="I2274" s="163"/>
      <c r="J2274" s="29"/>
      <c r="K2274" s="51"/>
      <c r="L2274" s="46"/>
    </row>
    <row r="2275" spans="2:12" x14ac:dyDescent="0.35">
      <c r="B2275" s="174"/>
      <c r="C2275" s="175"/>
      <c r="D2275" s="176"/>
      <c r="E2275" s="163"/>
      <c r="F2275" s="163" t="s">
        <v>89</v>
      </c>
      <c r="G2275" s="164" t="s">
        <v>1316</v>
      </c>
      <c r="H2275" s="177">
        <v>56.519999999999996</v>
      </c>
      <c r="I2275" s="163" t="s">
        <v>87</v>
      </c>
      <c r="J2275" s="65">
        <v>31000</v>
      </c>
      <c r="K2275" s="65"/>
      <c r="L2275" s="46">
        <f t="shared" ref="L2275:L2277" si="98">J2275*H2275</f>
        <v>1752119.9999999998</v>
      </c>
    </row>
    <row r="2276" spans="2:12" x14ac:dyDescent="0.35">
      <c r="B2276" s="174"/>
      <c r="C2276" s="175"/>
      <c r="D2276" s="176"/>
      <c r="E2276" s="163"/>
      <c r="F2276" s="163" t="s">
        <v>89</v>
      </c>
      <c r="G2276" s="164" t="s">
        <v>1317</v>
      </c>
      <c r="H2276" s="177">
        <v>56.519999999999996</v>
      </c>
      <c r="I2276" s="163" t="s">
        <v>87</v>
      </c>
      <c r="J2276" s="65">
        <v>31000</v>
      </c>
      <c r="K2276" s="65"/>
      <c r="L2276" s="46">
        <f t="shared" si="98"/>
        <v>1752119.9999999998</v>
      </c>
    </row>
    <row r="2277" spans="2:12" x14ac:dyDescent="0.35">
      <c r="B2277" s="174"/>
      <c r="C2277" s="175"/>
      <c r="D2277" s="176"/>
      <c r="E2277" s="163"/>
      <c r="F2277" s="163" t="s">
        <v>89</v>
      </c>
      <c r="G2277" s="164" t="s">
        <v>1318</v>
      </c>
      <c r="H2277" s="177">
        <v>50.867999999999995</v>
      </c>
      <c r="I2277" s="163" t="s">
        <v>87</v>
      </c>
      <c r="J2277" s="65">
        <v>31000</v>
      </c>
      <c r="K2277" s="65"/>
      <c r="L2277" s="46">
        <f t="shared" si="98"/>
        <v>1576907.9999999998</v>
      </c>
    </row>
    <row r="2278" spans="2:12" x14ac:dyDescent="0.35">
      <c r="B2278" s="96"/>
      <c r="C2278" s="97"/>
      <c r="D2278" s="98"/>
      <c r="E2278" s="99"/>
      <c r="F2278" s="100"/>
      <c r="G2278" s="101"/>
      <c r="H2278" s="102"/>
      <c r="I2278" s="103"/>
      <c r="J2278" s="65"/>
      <c r="K2278" s="65"/>
      <c r="L2278" s="46"/>
    </row>
    <row r="2279" spans="2:12" x14ac:dyDescent="0.35">
      <c r="B2279" s="96"/>
      <c r="C2279" s="97"/>
      <c r="D2279" s="98"/>
      <c r="E2279" s="99"/>
      <c r="F2279" s="100"/>
      <c r="G2279" s="101"/>
      <c r="H2279" s="102"/>
      <c r="I2279" s="103"/>
      <c r="J2279" s="65"/>
      <c r="K2279" s="65"/>
      <c r="L2279" s="46"/>
    </row>
    <row r="2280" spans="2:12" x14ac:dyDescent="0.35">
      <c r="B2280" s="174"/>
      <c r="C2280" s="175"/>
      <c r="D2280" s="176"/>
      <c r="E2280" s="163"/>
      <c r="F2280" s="163"/>
      <c r="G2280" s="164"/>
      <c r="H2280" s="178"/>
      <c r="I2280" s="163"/>
      <c r="J2280" s="50"/>
      <c r="K2280" s="29"/>
      <c r="L2280" s="52"/>
    </row>
    <row r="2281" spans="2:12" x14ac:dyDescent="0.35">
      <c r="B2281" s="174"/>
      <c r="C2281" s="175"/>
      <c r="D2281" s="176"/>
      <c r="E2281" s="163"/>
      <c r="F2281" s="163"/>
      <c r="G2281" s="164"/>
      <c r="H2281" s="178"/>
      <c r="I2281" s="163"/>
      <c r="J2281" s="50"/>
      <c r="K2281" s="29"/>
      <c r="L2281" s="52"/>
    </row>
    <row r="2282" spans="2:12" x14ac:dyDescent="0.35">
      <c r="B2282" s="174"/>
      <c r="C2282" s="175"/>
      <c r="D2282" s="176"/>
      <c r="E2282" s="163"/>
      <c r="F2282" s="163"/>
      <c r="G2282" s="164"/>
      <c r="H2282" s="178"/>
      <c r="I2282" s="163"/>
      <c r="J2282" s="50"/>
      <c r="K2282" s="29"/>
      <c r="L2282" s="52"/>
    </row>
    <row r="2283" spans="2:12" x14ac:dyDescent="0.35">
      <c r="B2283" s="47"/>
      <c r="C2283" s="48"/>
      <c r="D2283" s="24"/>
      <c r="G2283" s="22"/>
      <c r="I2283" s="22"/>
      <c r="J2283" s="50"/>
      <c r="K2283" s="29"/>
      <c r="L2283" s="52"/>
    </row>
    <row r="2284" spans="2:12" x14ac:dyDescent="0.35">
      <c r="B2284" s="8"/>
      <c r="C2284" s="9"/>
      <c r="D2284" s="10"/>
      <c r="E2284" s="4"/>
      <c r="F2284" s="4"/>
      <c r="G2284" s="4"/>
      <c r="H2284" s="1"/>
      <c r="I2284" s="1"/>
      <c r="J2284" s="11" t="s">
        <v>8</v>
      </c>
      <c r="K2284" s="7">
        <f>SUM(K2231:K2283)</f>
        <v>0</v>
      </c>
      <c r="L2284" s="7">
        <f>SUM(L2231:L2283)</f>
        <v>73148284.480000004</v>
      </c>
    </row>
    <row r="2285" spans="2:12" x14ac:dyDescent="0.35">
      <c r="B2285" s="8"/>
      <c r="C2285" s="9"/>
      <c r="D2285" s="9"/>
      <c r="E2285" s="4"/>
      <c r="F2285" s="4"/>
      <c r="G2285" s="4"/>
      <c r="H2285" s="1"/>
      <c r="I2285" s="1"/>
      <c r="J2285" s="11"/>
      <c r="K2285" s="35" t="s">
        <v>22</v>
      </c>
      <c r="L2285" s="36" t="s">
        <v>23</v>
      </c>
    </row>
    <row r="2286" spans="2:12" x14ac:dyDescent="0.35">
      <c r="B2286" s="3" t="s">
        <v>9</v>
      </c>
      <c r="C2286" s="4"/>
      <c r="D2286" s="4"/>
      <c r="E2286" s="4"/>
      <c r="F2286" s="4"/>
      <c r="G2286" s="4"/>
      <c r="H2286" s="1"/>
      <c r="I2286" s="1"/>
      <c r="J2286" s="12"/>
      <c r="K2286" s="12"/>
      <c r="L2286" s="13"/>
    </row>
    <row r="2287" spans="2:12" x14ac:dyDescent="0.35">
      <c r="B2287" s="37"/>
      <c r="C2287" s="1"/>
      <c r="D2287" s="1"/>
      <c r="E2287" s="38"/>
      <c r="F2287" s="38"/>
      <c r="G2287" s="38"/>
      <c r="H2287" s="1"/>
      <c r="I2287" s="1"/>
      <c r="J2287" s="1"/>
      <c r="K2287" s="1"/>
      <c r="L2287" s="19"/>
    </row>
    <row r="2288" spans="2:12" x14ac:dyDescent="0.35">
      <c r="B2288" s="28" t="s">
        <v>6</v>
      </c>
      <c r="C2288" s="27"/>
      <c r="D2288" s="27"/>
      <c r="E2288" s="26"/>
      <c r="F2288" s="26"/>
      <c r="G2288" s="5"/>
      <c r="K2288" s="284" t="s">
        <v>1600</v>
      </c>
      <c r="L2288" s="285"/>
    </row>
    <row r="2289" spans="2:12" x14ac:dyDescent="0.35">
      <c r="B2289" s="28">
        <v>1</v>
      </c>
      <c r="C2289" s="27"/>
      <c r="D2289" s="27"/>
      <c r="E2289" s="26" t="s">
        <v>7</v>
      </c>
      <c r="F2289" s="26"/>
      <c r="G2289" s="5"/>
      <c r="K2289" s="284" t="s">
        <v>28</v>
      </c>
      <c r="L2289" s="285"/>
    </row>
    <row r="2290" spans="2:12" x14ac:dyDescent="0.35">
      <c r="B2290" s="39"/>
      <c r="C2290" s="27"/>
      <c r="D2290" s="27"/>
      <c r="E2290" s="26"/>
      <c r="F2290" s="26"/>
      <c r="G2290" s="5"/>
      <c r="J2290" s="25"/>
      <c r="K2290" s="25"/>
      <c r="L2290" s="24"/>
    </row>
    <row r="2291" spans="2:12" x14ac:dyDescent="0.35">
      <c r="B2291" s="28"/>
      <c r="C2291" s="27"/>
      <c r="D2291" s="27"/>
      <c r="E2291" s="26"/>
      <c r="F2291" s="26"/>
      <c r="G2291" s="5"/>
      <c r="L2291" s="22"/>
    </row>
    <row r="2292" spans="2:12" x14ac:dyDescent="0.35">
      <c r="B2292" s="45"/>
      <c r="E2292" s="5"/>
      <c r="F2292" s="5"/>
      <c r="G2292" s="5"/>
      <c r="L2292" s="22"/>
    </row>
    <row r="2293" spans="2:12" x14ac:dyDescent="0.35">
      <c r="B2293" s="45"/>
      <c r="E2293" s="5"/>
      <c r="F2293" s="5"/>
      <c r="G2293" s="5"/>
      <c r="L2293" s="22"/>
    </row>
    <row r="2294" spans="2:12" x14ac:dyDescent="0.35">
      <c r="B2294" s="45"/>
      <c r="E2294" s="5"/>
      <c r="F2294" s="5"/>
      <c r="G2294" s="5"/>
      <c r="L2294" s="22"/>
    </row>
    <row r="2295" spans="2:12" x14ac:dyDescent="0.35">
      <c r="B2295" s="45"/>
      <c r="E2295" s="5"/>
      <c r="F2295" s="5"/>
      <c r="G2295" s="5"/>
      <c r="J2295" s="40"/>
      <c r="K2295" s="286" t="s">
        <v>36</v>
      </c>
      <c r="L2295" s="287"/>
    </row>
    <row r="2296" spans="2:12" x14ac:dyDescent="0.35">
      <c r="B2296" s="45"/>
      <c r="K2296" s="288" t="s">
        <v>37</v>
      </c>
      <c r="L2296" s="289"/>
    </row>
    <row r="2297" spans="2:12" x14ac:dyDescent="0.35">
      <c r="B2297" s="290"/>
      <c r="C2297" s="291"/>
      <c r="D2297" s="291"/>
      <c r="E2297" s="41"/>
      <c r="F2297" s="41"/>
      <c r="G2297" s="41"/>
      <c r="H2297" s="2"/>
      <c r="I2297" s="2"/>
      <c r="J2297" s="2"/>
      <c r="K2297" s="2"/>
      <c r="L2297" s="21"/>
    </row>
    <row r="2298" spans="2:12" x14ac:dyDescent="0.35">
      <c r="B2298" s="47"/>
      <c r="C2298" s="48"/>
      <c r="D2298" s="49"/>
      <c r="G2298" s="22"/>
      <c r="H2298" s="1"/>
      <c r="I2298" s="1"/>
      <c r="J2298" s="43"/>
      <c r="K2298" s="30"/>
      <c r="L2298" s="44"/>
    </row>
    <row r="2299" spans="2:12" x14ac:dyDescent="0.35">
      <c r="B2299" s="250"/>
      <c r="C2299" s="251"/>
      <c r="D2299" s="252"/>
      <c r="E2299" s="69" t="s">
        <v>227</v>
      </c>
      <c r="F2299" s="69"/>
      <c r="G2299" s="70"/>
      <c r="H2299" s="263"/>
      <c r="I2299" s="264"/>
      <c r="J2299" s="29"/>
      <c r="K2299" s="51"/>
      <c r="L2299" s="46"/>
    </row>
    <row r="2300" spans="2:12" x14ac:dyDescent="0.35">
      <c r="B2300" s="168" t="s">
        <v>43</v>
      </c>
      <c r="C2300" s="169"/>
      <c r="D2300" s="170"/>
      <c r="E2300" s="171" t="s">
        <v>178</v>
      </c>
      <c r="F2300" s="171"/>
      <c r="G2300" s="172"/>
      <c r="H2300" s="216"/>
      <c r="I2300" s="171"/>
      <c r="J2300" s="65"/>
      <c r="K2300" s="65"/>
      <c r="L2300" s="46"/>
    </row>
    <row r="2301" spans="2:12" x14ac:dyDescent="0.35">
      <c r="B2301" s="174"/>
      <c r="C2301" s="218">
        <v>1.1000000000000001</v>
      </c>
      <c r="D2301" s="176"/>
      <c r="E2301" s="163"/>
      <c r="F2301" s="163" t="s">
        <v>1319</v>
      </c>
      <c r="G2301" s="164"/>
      <c r="H2301" s="178"/>
      <c r="I2301" s="163"/>
      <c r="J2301" s="29"/>
      <c r="K2301" s="51"/>
      <c r="L2301" s="46"/>
    </row>
    <row r="2302" spans="2:12" x14ac:dyDescent="0.35">
      <c r="B2302" s="174"/>
      <c r="C2302" s="175"/>
      <c r="D2302" s="176" t="s">
        <v>44</v>
      </c>
      <c r="E2302" s="163"/>
      <c r="F2302" s="163" t="s">
        <v>230</v>
      </c>
      <c r="G2302" s="164"/>
      <c r="H2302" s="178"/>
      <c r="I2302" s="163"/>
      <c r="J2302" s="29"/>
      <c r="K2302" s="51"/>
      <c r="L2302" s="46"/>
    </row>
    <row r="2303" spans="2:12" x14ac:dyDescent="0.35">
      <c r="B2303" s="174"/>
      <c r="C2303" s="175"/>
      <c r="D2303" s="176"/>
      <c r="E2303" s="163"/>
      <c r="F2303" s="163" t="s">
        <v>89</v>
      </c>
      <c r="G2303" s="164" t="s">
        <v>1320</v>
      </c>
      <c r="H2303" s="177">
        <v>1036.0963799999997</v>
      </c>
      <c r="I2303" s="163" t="s">
        <v>87</v>
      </c>
      <c r="J2303" s="65">
        <v>31000</v>
      </c>
      <c r="K2303" s="65"/>
      <c r="L2303" s="46">
        <f t="shared" ref="L2303:L2305" si="99">J2303*H2303</f>
        <v>32118987.77999999</v>
      </c>
    </row>
    <row r="2304" spans="2:12" x14ac:dyDescent="0.35">
      <c r="B2304" s="174"/>
      <c r="C2304" s="175"/>
      <c r="D2304" s="176"/>
      <c r="E2304" s="163"/>
      <c r="F2304" s="163" t="s">
        <v>89</v>
      </c>
      <c r="G2304" s="164" t="s">
        <v>1321</v>
      </c>
      <c r="H2304" s="177">
        <v>38.182799999999993</v>
      </c>
      <c r="I2304" s="163" t="s">
        <v>87</v>
      </c>
      <c r="J2304" s="65">
        <v>31000</v>
      </c>
      <c r="K2304" s="65"/>
      <c r="L2304" s="46">
        <f t="shared" si="99"/>
        <v>1183666.7999999998</v>
      </c>
    </row>
    <row r="2305" spans="2:12" x14ac:dyDescent="0.35">
      <c r="B2305" s="174"/>
      <c r="C2305" s="175"/>
      <c r="D2305" s="176"/>
      <c r="E2305" s="163"/>
      <c r="F2305" s="163" t="s">
        <v>89</v>
      </c>
      <c r="G2305" s="164" t="s">
        <v>1322</v>
      </c>
      <c r="H2305" s="177">
        <v>195.11410799999999</v>
      </c>
      <c r="I2305" s="163" t="s">
        <v>87</v>
      </c>
      <c r="J2305" s="65">
        <v>31000</v>
      </c>
      <c r="K2305" s="65"/>
      <c r="L2305" s="46">
        <f t="shared" si="99"/>
        <v>6048537.3479999993</v>
      </c>
    </row>
    <row r="2306" spans="2:12" x14ac:dyDescent="0.35">
      <c r="B2306" s="174"/>
      <c r="C2306" s="175"/>
      <c r="D2306" s="176" t="s">
        <v>47</v>
      </c>
      <c r="E2306" s="163"/>
      <c r="F2306" s="163" t="s">
        <v>1323</v>
      </c>
      <c r="G2306" s="164"/>
      <c r="H2306" s="177"/>
      <c r="I2306" s="163"/>
      <c r="J2306" s="65"/>
      <c r="K2306" s="65"/>
      <c r="L2306" s="46"/>
    </row>
    <row r="2307" spans="2:12" x14ac:dyDescent="0.35">
      <c r="B2307" s="174"/>
      <c r="C2307" s="175"/>
      <c r="D2307" s="176"/>
      <c r="E2307" s="163"/>
      <c r="F2307" s="163" t="s">
        <v>89</v>
      </c>
      <c r="G2307" s="164" t="s">
        <v>1324</v>
      </c>
      <c r="H2307" s="177">
        <v>14.604767999999996</v>
      </c>
      <c r="I2307" s="163" t="s">
        <v>87</v>
      </c>
      <c r="J2307" s="65">
        <v>31000</v>
      </c>
      <c r="K2307" s="65"/>
      <c r="L2307" s="46">
        <f t="shared" ref="L2307" si="100">J2307*H2307</f>
        <v>452747.8079999999</v>
      </c>
    </row>
    <row r="2308" spans="2:12" x14ac:dyDescent="0.35">
      <c r="B2308" s="174"/>
      <c r="C2308" s="175"/>
      <c r="D2308" s="176" t="s">
        <v>49</v>
      </c>
      <c r="E2308" s="163"/>
      <c r="F2308" s="163" t="s">
        <v>1325</v>
      </c>
      <c r="G2308" s="164"/>
      <c r="H2308" s="177"/>
      <c r="I2308" s="163"/>
      <c r="J2308" s="65"/>
      <c r="K2308" s="65"/>
      <c r="L2308" s="46"/>
    </row>
    <row r="2309" spans="2:12" x14ac:dyDescent="0.35">
      <c r="B2309" s="174"/>
      <c r="C2309" s="175"/>
      <c r="D2309" s="176"/>
      <c r="E2309" s="163"/>
      <c r="F2309" s="163" t="s">
        <v>89</v>
      </c>
      <c r="G2309" s="164" t="s">
        <v>1326</v>
      </c>
      <c r="H2309" s="177">
        <v>140.16959999999997</v>
      </c>
      <c r="I2309" s="163" t="s">
        <v>87</v>
      </c>
      <c r="J2309" s="65">
        <v>31000</v>
      </c>
      <c r="K2309" s="65"/>
      <c r="L2309" s="46">
        <f t="shared" ref="L2309" si="101">J2309*H2309</f>
        <v>4345257.5999999996</v>
      </c>
    </row>
    <row r="2310" spans="2:12" x14ac:dyDescent="0.35">
      <c r="B2310" s="174"/>
      <c r="C2310" s="175"/>
      <c r="D2310" s="176" t="s">
        <v>62</v>
      </c>
      <c r="E2310" s="163"/>
      <c r="F2310" s="163" t="s">
        <v>1327</v>
      </c>
      <c r="G2310" s="164"/>
      <c r="H2310" s="177"/>
      <c r="I2310" s="163"/>
      <c r="J2310" s="65"/>
      <c r="K2310" s="65"/>
      <c r="L2310" s="46"/>
    </row>
    <row r="2311" spans="2:12" x14ac:dyDescent="0.35">
      <c r="B2311" s="174"/>
      <c r="C2311" s="175"/>
      <c r="D2311" s="176"/>
      <c r="E2311" s="163"/>
      <c r="F2311" s="163" t="s">
        <v>89</v>
      </c>
      <c r="G2311" s="164" t="s">
        <v>1328</v>
      </c>
      <c r="H2311" s="177">
        <v>76.867199999999997</v>
      </c>
      <c r="I2311" s="163" t="s">
        <v>87</v>
      </c>
      <c r="J2311" s="65">
        <v>31000</v>
      </c>
      <c r="K2311" s="65"/>
      <c r="L2311" s="46">
        <f t="shared" ref="L2311" si="102">J2311*H2311</f>
        <v>2382883.1999999997</v>
      </c>
    </row>
    <row r="2312" spans="2:12" x14ac:dyDescent="0.35">
      <c r="B2312" s="174"/>
      <c r="C2312" s="175"/>
      <c r="D2312" s="176" t="s">
        <v>51</v>
      </c>
      <c r="E2312" s="163"/>
      <c r="F2312" s="163" t="s">
        <v>1329</v>
      </c>
      <c r="G2312" s="164"/>
      <c r="H2312" s="177"/>
      <c r="I2312" s="163"/>
      <c r="J2312" s="29"/>
      <c r="K2312" s="51"/>
      <c r="L2312" s="46"/>
    </row>
    <row r="2313" spans="2:12" x14ac:dyDescent="0.35">
      <c r="B2313" s="174"/>
      <c r="C2313" s="175"/>
      <c r="D2313" s="176"/>
      <c r="E2313" s="163"/>
      <c r="F2313" s="163" t="s">
        <v>89</v>
      </c>
      <c r="G2313" s="163" t="s">
        <v>1330</v>
      </c>
      <c r="H2313" s="214">
        <v>75.36</v>
      </c>
      <c r="I2313" s="164" t="s">
        <v>87</v>
      </c>
      <c r="J2313" s="65">
        <v>31000</v>
      </c>
      <c r="K2313" s="65"/>
      <c r="L2313" s="46">
        <f t="shared" ref="L2313" si="103">J2313*H2313</f>
        <v>2336160</v>
      </c>
    </row>
    <row r="2314" spans="2:12" x14ac:dyDescent="0.35">
      <c r="B2314" s="174"/>
      <c r="C2314" s="175"/>
      <c r="D2314" s="176" t="s">
        <v>53</v>
      </c>
      <c r="E2314" s="163"/>
      <c r="F2314" s="163" t="s">
        <v>1331</v>
      </c>
      <c r="G2314" s="163"/>
      <c r="H2314" s="214"/>
      <c r="I2314" s="164"/>
      <c r="J2314" s="50"/>
      <c r="K2314" s="29"/>
      <c r="L2314" s="52"/>
    </row>
    <row r="2315" spans="2:12" x14ac:dyDescent="0.35">
      <c r="B2315" s="220"/>
      <c r="C2315" s="163"/>
      <c r="D2315" s="164"/>
      <c r="E2315" s="163"/>
      <c r="F2315" s="163" t="s">
        <v>89</v>
      </c>
      <c r="G2315" s="213" t="s">
        <v>1330</v>
      </c>
      <c r="H2315" s="214">
        <v>75.36</v>
      </c>
      <c r="I2315" s="246" t="s">
        <v>87</v>
      </c>
      <c r="J2315" s="65">
        <v>31000</v>
      </c>
      <c r="K2315" s="65"/>
      <c r="L2315" s="46">
        <f t="shared" ref="L2315" si="104">J2315*H2315</f>
        <v>2336160</v>
      </c>
    </row>
    <row r="2316" spans="2:12" x14ac:dyDescent="0.35">
      <c r="B2316" s="220"/>
      <c r="C2316" s="163"/>
      <c r="D2316" s="222" t="s">
        <v>55</v>
      </c>
      <c r="E2316" s="163"/>
      <c r="F2316" s="163" t="s">
        <v>1332</v>
      </c>
      <c r="G2316" s="213"/>
      <c r="H2316" s="214"/>
      <c r="I2316" s="221"/>
      <c r="J2316" s="50"/>
      <c r="K2316" s="29"/>
      <c r="L2316" s="52"/>
    </row>
    <row r="2317" spans="2:12" x14ac:dyDescent="0.35">
      <c r="B2317" s="220"/>
      <c r="C2317" s="163"/>
      <c r="D2317" s="222"/>
      <c r="E2317" s="163"/>
      <c r="F2317" s="163" t="s">
        <v>89</v>
      </c>
      <c r="G2317" s="213" t="s">
        <v>1333</v>
      </c>
      <c r="H2317" s="214">
        <v>74.417999999999992</v>
      </c>
      <c r="I2317" s="246" t="s">
        <v>87</v>
      </c>
      <c r="J2317" s="65">
        <v>31000</v>
      </c>
      <c r="K2317" s="65"/>
      <c r="L2317" s="46">
        <f t="shared" ref="L2317" si="105">J2317*H2317</f>
        <v>2306957.9999999995</v>
      </c>
    </row>
    <row r="2318" spans="2:12" x14ac:dyDescent="0.35">
      <c r="B2318" s="220"/>
      <c r="C2318" s="163"/>
      <c r="D2318" s="223" t="s">
        <v>65</v>
      </c>
      <c r="E2318" s="163"/>
      <c r="F2318" s="163" t="s">
        <v>1334</v>
      </c>
      <c r="G2318" s="191"/>
      <c r="H2318" s="245"/>
      <c r="I2318" s="224"/>
      <c r="J2318" s="50"/>
      <c r="K2318" s="29"/>
      <c r="L2318" s="52"/>
    </row>
    <row r="2319" spans="2:12" x14ac:dyDescent="0.35">
      <c r="B2319" s="174"/>
      <c r="C2319" s="175"/>
      <c r="D2319" s="176"/>
      <c r="E2319" s="163"/>
      <c r="F2319" s="163" t="s">
        <v>89</v>
      </c>
      <c r="G2319" s="164" t="s">
        <v>1330</v>
      </c>
      <c r="H2319" s="177">
        <v>75.36</v>
      </c>
      <c r="I2319" s="163" t="s">
        <v>87</v>
      </c>
      <c r="J2319" s="65">
        <v>31000</v>
      </c>
      <c r="K2319" s="65"/>
      <c r="L2319" s="46">
        <f t="shared" ref="L2319" si="106">J2319*H2319</f>
        <v>2336160</v>
      </c>
    </row>
    <row r="2320" spans="2:12" x14ac:dyDescent="0.35">
      <c r="B2320" s="220"/>
      <c r="C2320" s="163"/>
      <c r="D2320" s="222" t="s">
        <v>141</v>
      </c>
      <c r="E2320" s="163"/>
      <c r="F2320" s="163" t="s">
        <v>1335</v>
      </c>
      <c r="G2320" s="213"/>
      <c r="H2320" s="214"/>
      <c r="I2320" s="221"/>
      <c r="J2320" s="50"/>
      <c r="K2320" s="29"/>
      <c r="L2320" s="52"/>
    </row>
    <row r="2321" spans="2:12" x14ac:dyDescent="0.35">
      <c r="B2321" s="174"/>
      <c r="C2321" s="175"/>
      <c r="D2321" s="176"/>
      <c r="E2321" s="163"/>
      <c r="F2321" s="163" t="s">
        <v>89</v>
      </c>
      <c r="G2321" s="163" t="s">
        <v>1336</v>
      </c>
      <c r="H2321" s="214">
        <v>76.113599999999991</v>
      </c>
      <c r="I2321" s="164" t="s">
        <v>87</v>
      </c>
      <c r="J2321" s="65">
        <v>31000</v>
      </c>
      <c r="K2321" s="65"/>
      <c r="L2321" s="46">
        <f t="shared" ref="L2321" si="107">J2321*H2321</f>
        <v>2359521.5999999996</v>
      </c>
    </row>
    <row r="2322" spans="2:12" x14ac:dyDescent="0.35">
      <c r="B2322" s="174"/>
      <c r="C2322" s="175"/>
      <c r="D2322" s="176" t="s">
        <v>143</v>
      </c>
      <c r="E2322" s="163"/>
      <c r="F2322" s="163" t="s">
        <v>1337</v>
      </c>
      <c r="G2322" s="163"/>
      <c r="H2322" s="214"/>
      <c r="I2322" s="164"/>
      <c r="J2322" s="50"/>
      <c r="K2322" s="29"/>
      <c r="L2322" s="52"/>
    </row>
    <row r="2323" spans="2:12" x14ac:dyDescent="0.35">
      <c r="B2323" s="174"/>
      <c r="C2323" s="175"/>
      <c r="D2323" s="176"/>
      <c r="E2323" s="163"/>
      <c r="F2323" s="163" t="s">
        <v>89</v>
      </c>
      <c r="G2323" s="163" t="s">
        <v>1338</v>
      </c>
      <c r="H2323" s="214">
        <v>78.807719999999989</v>
      </c>
      <c r="I2323" s="164" t="s">
        <v>87</v>
      </c>
      <c r="J2323" s="65">
        <v>31000</v>
      </c>
      <c r="K2323" s="65"/>
      <c r="L2323" s="46">
        <f t="shared" ref="L2323" si="108">J2323*H2323</f>
        <v>2443039.3199999998</v>
      </c>
    </row>
    <row r="2324" spans="2:12" x14ac:dyDescent="0.35">
      <c r="B2324" s="174"/>
      <c r="C2324" s="175">
        <v>1.2</v>
      </c>
      <c r="D2324" s="176"/>
      <c r="E2324" s="163"/>
      <c r="F2324" s="163" t="s">
        <v>1339</v>
      </c>
      <c r="G2324" s="163"/>
      <c r="H2324" s="214"/>
      <c r="I2324" s="164"/>
      <c r="J2324" s="50"/>
      <c r="K2324" s="29"/>
      <c r="L2324" s="52"/>
    </row>
    <row r="2325" spans="2:12" x14ac:dyDescent="0.35">
      <c r="B2325" s="174"/>
      <c r="C2325" s="175"/>
      <c r="D2325" s="176" t="s">
        <v>44</v>
      </c>
      <c r="E2325" s="163"/>
      <c r="F2325" s="163" t="s">
        <v>1340</v>
      </c>
      <c r="G2325" s="163"/>
      <c r="H2325" s="214"/>
      <c r="I2325" s="164"/>
      <c r="J2325" s="50"/>
      <c r="K2325" s="29"/>
      <c r="L2325" s="52"/>
    </row>
    <row r="2326" spans="2:12" x14ac:dyDescent="0.35">
      <c r="B2326" s="174"/>
      <c r="C2326" s="175"/>
      <c r="D2326" s="176"/>
      <c r="E2326" s="163"/>
      <c r="F2326" s="163" t="s">
        <v>89</v>
      </c>
      <c r="G2326" s="163" t="s">
        <v>1341</v>
      </c>
      <c r="H2326" s="214">
        <v>149.77799999999996</v>
      </c>
      <c r="I2326" s="164" t="s">
        <v>87</v>
      </c>
      <c r="J2326" s="65">
        <v>31000</v>
      </c>
      <c r="K2326" s="65"/>
      <c r="L2326" s="46">
        <f t="shared" ref="L2326:L2327" si="109">J2326*H2326</f>
        <v>4643117.9999999991</v>
      </c>
    </row>
    <row r="2327" spans="2:12" x14ac:dyDescent="0.35">
      <c r="B2327" s="174"/>
      <c r="C2327" s="175"/>
      <c r="D2327" s="176"/>
      <c r="E2327" s="163"/>
      <c r="F2327" s="163" t="s">
        <v>89</v>
      </c>
      <c r="G2327" s="163" t="s">
        <v>1342</v>
      </c>
      <c r="H2327" s="214">
        <v>30.546239999999997</v>
      </c>
      <c r="I2327" s="164" t="s">
        <v>87</v>
      </c>
      <c r="J2327" s="65">
        <v>31000</v>
      </c>
      <c r="K2327" s="65"/>
      <c r="L2327" s="46">
        <f t="shared" si="109"/>
        <v>946933.44</v>
      </c>
    </row>
    <row r="2328" spans="2:12" x14ac:dyDescent="0.35">
      <c r="B2328" s="174"/>
      <c r="C2328" s="175"/>
      <c r="D2328" s="176" t="s">
        <v>47</v>
      </c>
      <c r="E2328" s="163"/>
      <c r="F2328" s="163" t="s">
        <v>281</v>
      </c>
      <c r="G2328" s="163"/>
      <c r="H2328" s="214"/>
      <c r="I2328" s="164"/>
      <c r="J2328" s="50"/>
      <c r="K2328" s="29"/>
      <c r="L2328" s="52"/>
    </row>
    <row r="2329" spans="2:12" x14ac:dyDescent="0.35">
      <c r="B2329" s="174"/>
      <c r="C2329" s="175"/>
      <c r="D2329" s="176"/>
      <c r="E2329" s="163"/>
      <c r="F2329" s="163" t="s">
        <v>89</v>
      </c>
      <c r="G2329" s="163" t="s">
        <v>1343</v>
      </c>
      <c r="H2329" s="214">
        <v>173.40335999999996</v>
      </c>
      <c r="I2329" s="164" t="s">
        <v>87</v>
      </c>
      <c r="J2329" s="65">
        <v>31000</v>
      </c>
      <c r="K2329" s="65"/>
      <c r="L2329" s="46">
        <f t="shared" ref="L2329" si="110">J2329*H2329</f>
        <v>5375504.1599999992</v>
      </c>
    </row>
    <row r="2330" spans="2:12" x14ac:dyDescent="0.35">
      <c r="B2330" s="174"/>
      <c r="C2330" s="175"/>
      <c r="D2330" s="176" t="s">
        <v>49</v>
      </c>
      <c r="E2330" s="163"/>
      <c r="F2330" s="163" t="s">
        <v>256</v>
      </c>
      <c r="G2330" s="163"/>
      <c r="H2330" s="214"/>
      <c r="I2330" s="164"/>
      <c r="J2330" s="50"/>
      <c r="K2330" s="29"/>
      <c r="L2330" s="52"/>
    </row>
    <row r="2331" spans="2:12" x14ac:dyDescent="0.35">
      <c r="B2331" s="174"/>
      <c r="C2331" s="175"/>
      <c r="D2331" s="176"/>
      <c r="E2331" s="163"/>
      <c r="F2331" s="163" t="s">
        <v>89</v>
      </c>
      <c r="G2331" s="163" t="s">
        <v>1344</v>
      </c>
      <c r="H2331" s="214">
        <v>198.95039999999997</v>
      </c>
      <c r="I2331" s="164" t="s">
        <v>87</v>
      </c>
      <c r="J2331" s="65">
        <v>31000</v>
      </c>
      <c r="K2331" s="65"/>
      <c r="L2331" s="46">
        <f t="shared" ref="L2331" si="111">J2331*H2331</f>
        <v>6167462.3999999994</v>
      </c>
    </row>
    <row r="2332" spans="2:12" x14ac:dyDescent="0.35">
      <c r="B2332" s="174"/>
      <c r="C2332" s="175"/>
      <c r="D2332" s="176" t="s">
        <v>62</v>
      </c>
      <c r="E2332" s="163"/>
      <c r="F2332" s="163" t="s">
        <v>1345</v>
      </c>
      <c r="G2332" s="163"/>
      <c r="H2332" s="214"/>
      <c r="I2332" s="164"/>
      <c r="J2332" s="50"/>
      <c r="K2332" s="29"/>
      <c r="L2332" s="52"/>
    </row>
    <row r="2333" spans="2:12" x14ac:dyDescent="0.35">
      <c r="B2333" s="174"/>
      <c r="C2333" s="175"/>
      <c r="D2333" s="176"/>
      <c r="E2333" s="163"/>
      <c r="F2333" s="163" t="s">
        <v>89</v>
      </c>
      <c r="G2333" s="163" t="s">
        <v>1328</v>
      </c>
      <c r="H2333" s="214">
        <v>76.867199999999997</v>
      </c>
      <c r="I2333" s="164" t="s">
        <v>87</v>
      </c>
      <c r="J2333" s="65">
        <v>31000</v>
      </c>
      <c r="K2333" s="65"/>
      <c r="L2333" s="46">
        <f t="shared" ref="L2333" si="112">J2333*H2333</f>
        <v>2382883.1999999997</v>
      </c>
    </row>
    <row r="2334" spans="2:12" x14ac:dyDescent="0.35">
      <c r="B2334" s="174"/>
      <c r="C2334" s="175"/>
      <c r="D2334" s="176" t="s">
        <v>51</v>
      </c>
      <c r="E2334" s="163"/>
      <c r="F2334" s="163" t="s">
        <v>1346</v>
      </c>
      <c r="G2334" s="163"/>
      <c r="H2334" s="214"/>
      <c r="I2334" s="164"/>
      <c r="J2334" s="50"/>
      <c r="K2334" s="29"/>
      <c r="L2334" s="52"/>
    </row>
    <row r="2335" spans="2:12" x14ac:dyDescent="0.35">
      <c r="B2335" s="174"/>
      <c r="C2335" s="175"/>
      <c r="D2335" s="176"/>
      <c r="E2335" s="163"/>
      <c r="F2335" s="163" t="s">
        <v>89</v>
      </c>
      <c r="G2335" s="163" t="s">
        <v>1347</v>
      </c>
      <c r="H2335" s="214">
        <v>70.084799999999987</v>
      </c>
      <c r="I2335" s="164" t="s">
        <v>87</v>
      </c>
      <c r="J2335" s="65">
        <v>31000</v>
      </c>
      <c r="K2335" s="65"/>
      <c r="L2335" s="46">
        <f t="shared" ref="L2335" si="113">J2335*H2335</f>
        <v>2172628.7999999998</v>
      </c>
    </row>
    <row r="2336" spans="2:12" x14ac:dyDescent="0.35">
      <c r="B2336" s="174"/>
      <c r="C2336" s="175"/>
      <c r="D2336" s="176" t="s">
        <v>53</v>
      </c>
      <c r="E2336" s="163"/>
      <c r="F2336" s="163" t="s">
        <v>1348</v>
      </c>
      <c r="G2336" s="163"/>
      <c r="H2336" s="214"/>
      <c r="I2336" s="164"/>
      <c r="J2336" s="50"/>
      <c r="K2336" s="29"/>
      <c r="L2336" s="52"/>
    </row>
    <row r="2337" spans="2:12" x14ac:dyDescent="0.35">
      <c r="B2337" s="174"/>
      <c r="C2337" s="175"/>
      <c r="D2337" s="176"/>
      <c r="E2337" s="163"/>
      <c r="F2337" s="163" t="s">
        <v>89</v>
      </c>
      <c r="G2337" s="163" t="s">
        <v>1349</v>
      </c>
      <c r="H2337" s="214">
        <v>90.799379999999985</v>
      </c>
      <c r="I2337" s="164" t="s">
        <v>87</v>
      </c>
      <c r="J2337" s="65">
        <v>31000</v>
      </c>
      <c r="K2337" s="65"/>
      <c r="L2337" s="46">
        <f t="shared" ref="L2337" si="114">J2337*H2337</f>
        <v>2814780.7799999993</v>
      </c>
    </row>
    <row r="2338" spans="2:12" x14ac:dyDescent="0.35">
      <c r="B2338" s="174"/>
      <c r="C2338" s="175"/>
      <c r="D2338" s="176" t="s">
        <v>55</v>
      </c>
      <c r="E2338" s="163"/>
      <c r="F2338" s="163" t="s">
        <v>1350</v>
      </c>
      <c r="G2338" s="163"/>
      <c r="H2338" s="214"/>
      <c r="I2338" s="164"/>
      <c r="J2338" s="50"/>
      <c r="K2338" s="29"/>
      <c r="L2338" s="52"/>
    </row>
    <row r="2339" spans="2:12" x14ac:dyDescent="0.35">
      <c r="B2339" s="174"/>
      <c r="C2339" s="175"/>
      <c r="D2339" s="176"/>
      <c r="E2339" s="163"/>
      <c r="F2339" s="163" t="s">
        <v>89</v>
      </c>
      <c r="G2339" s="163" t="s">
        <v>1351</v>
      </c>
      <c r="H2339" s="214">
        <v>77.06501999999999</v>
      </c>
      <c r="I2339" s="164" t="s">
        <v>87</v>
      </c>
      <c r="J2339" s="65">
        <v>31000</v>
      </c>
      <c r="K2339" s="65"/>
      <c r="L2339" s="46">
        <f t="shared" ref="L2339" si="115">J2339*H2339</f>
        <v>2389015.6199999996</v>
      </c>
    </row>
    <row r="2340" spans="2:12" x14ac:dyDescent="0.35">
      <c r="B2340" s="174"/>
      <c r="C2340" s="175"/>
      <c r="D2340" s="176" t="s">
        <v>65</v>
      </c>
      <c r="E2340" s="163"/>
      <c r="F2340" s="163" t="s">
        <v>1352</v>
      </c>
      <c r="G2340" s="163"/>
      <c r="H2340" s="214"/>
      <c r="I2340" s="164"/>
      <c r="J2340" s="50"/>
      <c r="K2340" s="29"/>
      <c r="L2340" s="52"/>
    </row>
    <row r="2341" spans="2:12" x14ac:dyDescent="0.35">
      <c r="B2341" s="174"/>
      <c r="C2341" s="175"/>
      <c r="D2341" s="176"/>
      <c r="E2341" s="163"/>
      <c r="F2341" s="163" t="s">
        <v>89</v>
      </c>
      <c r="G2341" s="163" t="s">
        <v>1336</v>
      </c>
      <c r="H2341" s="214">
        <v>76.113599999999991</v>
      </c>
      <c r="I2341" s="164" t="s">
        <v>87</v>
      </c>
      <c r="J2341" s="65">
        <v>31000</v>
      </c>
      <c r="K2341" s="65"/>
      <c r="L2341" s="46">
        <f t="shared" ref="L2341" si="116">J2341*H2341</f>
        <v>2359521.5999999996</v>
      </c>
    </row>
    <row r="2342" spans="2:12" x14ac:dyDescent="0.35">
      <c r="B2342" s="174"/>
      <c r="C2342" s="175"/>
      <c r="D2342" s="176" t="s">
        <v>141</v>
      </c>
      <c r="E2342" s="163"/>
      <c r="F2342" s="163" t="s">
        <v>1337</v>
      </c>
      <c r="G2342" s="163"/>
      <c r="H2342" s="214"/>
      <c r="I2342" s="164"/>
      <c r="J2342" s="50"/>
      <c r="K2342" s="29"/>
      <c r="L2342" s="52"/>
    </row>
    <row r="2343" spans="2:12" x14ac:dyDescent="0.35">
      <c r="B2343" s="174"/>
      <c r="C2343" s="175"/>
      <c r="D2343" s="176"/>
      <c r="E2343" s="163"/>
      <c r="F2343" s="163" t="s">
        <v>89</v>
      </c>
      <c r="G2343" s="163" t="s">
        <v>1353</v>
      </c>
      <c r="H2343" s="214">
        <v>82.877159999999989</v>
      </c>
      <c r="I2343" s="164" t="s">
        <v>87</v>
      </c>
      <c r="J2343" s="65">
        <v>31000</v>
      </c>
      <c r="K2343" s="65"/>
      <c r="L2343" s="46">
        <f t="shared" ref="L2343" si="117">J2343*H2343</f>
        <v>2569191.9599999995</v>
      </c>
    </row>
    <row r="2344" spans="2:12" x14ac:dyDescent="0.35">
      <c r="B2344" s="174"/>
      <c r="C2344" s="175"/>
      <c r="D2344" s="176" t="s">
        <v>143</v>
      </c>
      <c r="E2344" s="163"/>
      <c r="F2344" s="163" t="s">
        <v>1354</v>
      </c>
      <c r="G2344" s="163"/>
      <c r="H2344" s="219"/>
      <c r="I2344" s="164"/>
      <c r="J2344" s="29"/>
      <c r="K2344" s="51"/>
      <c r="L2344" s="46"/>
    </row>
    <row r="2345" spans="2:12" x14ac:dyDescent="0.35">
      <c r="B2345" s="174"/>
      <c r="C2345" s="175"/>
      <c r="D2345" s="176"/>
      <c r="E2345" s="163"/>
      <c r="F2345" s="163" t="s">
        <v>89</v>
      </c>
      <c r="G2345" s="163" t="s">
        <v>1355</v>
      </c>
      <c r="H2345" s="214">
        <v>93.257999999999996</v>
      </c>
      <c r="I2345" s="164" t="s">
        <v>87</v>
      </c>
      <c r="J2345" s="65">
        <v>31000</v>
      </c>
      <c r="K2345" s="65"/>
      <c r="L2345" s="46">
        <f t="shared" ref="L2345" si="118">J2345*H2345</f>
        <v>2890998</v>
      </c>
    </row>
    <row r="2346" spans="2:12" x14ac:dyDescent="0.35">
      <c r="B2346" s="174"/>
      <c r="C2346" s="175" t="s">
        <v>231</v>
      </c>
      <c r="D2346" s="176"/>
      <c r="E2346" s="163"/>
      <c r="F2346" s="163" t="s">
        <v>1356</v>
      </c>
      <c r="G2346" s="163"/>
      <c r="H2346" s="214"/>
      <c r="I2346" s="164"/>
      <c r="J2346" s="29"/>
      <c r="K2346" s="51"/>
      <c r="L2346" s="46"/>
    </row>
    <row r="2347" spans="2:12" x14ac:dyDescent="0.35">
      <c r="B2347" s="174"/>
      <c r="C2347" s="175"/>
      <c r="D2347" s="176" t="s">
        <v>44</v>
      </c>
      <c r="E2347" s="163"/>
      <c r="F2347" s="163" t="s">
        <v>1357</v>
      </c>
      <c r="G2347" s="163"/>
      <c r="H2347" s="214"/>
      <c r="I2347" s="164"/>
      <c r="J2347" s="65"/>
      <c r="K2347" s="65"/>
      <c r="L2347" s="46"/>
    </row>
    <row r="2348" spans="2:12" x14ac:dyDescent="0.35">
      <c r="B2348" s="174"/>
      <c r="C2348" s="175"/>
      <c r="D2348" s="176"/>
      <c r="E2348" s="163"/>
      <c r="F2348" s="163" t="s">
        <v>89</v>
      </c>
      <c r="G2348" s="163" t="s">
        <v>1358</v>
      </c>
      <c r="H2348" s="214">
        <v>642.18023999999991</v>
      </c>
      <c r="I2348" s="164" t="s">
        <v>87</v>
      </c>
      <c r="J2348" s="65">
        <v>31000</v>
      </c>
      <c r="K2348" s="65"/>
      <c r="L2348" s="46">
        <f t="shared" ref="L2348" si="119">J2348*H2348</f>
        <v>19907587.439999998</v>
      </c>
    </row>
    <row r="2349" spans="2:12" x14ac:dyDescent="0.35">
      <c r="B2349" s="174"/>
      <c r="C2349" s="175"/>
      <c r="D2349" s="176"/>
      <c r="E2349" s="163"/>
      <c r="F2349" s="163"/>
      <c r="G2349" s="163"/>
      <c r="H2349" s="219"/>
      <c r="I2349" s="164"/>
      <c r="J2349" s="50"/>
      <c r="K2349" s="29"/>
      <c r="L2349" s="52"/>
    </row>
    <row r="2350" spans="2:12" x14ac:dyDescent="0.35">
      <c r="B2350" s="174"/>
      <c r="C2350" s="175"/>
      <c r="D2350" s="176"/>
      <c r="E2350" s="163"/>
      <c r="F2350" s="163"/>
      <c r="G2350" s="163"/>
      <c r="H2350" s="219"/>
      <c r="I2350" s="164"/>
      <c r="J2350" s="50"/>
      <c r="K2350" s="29"/>
      <c r="L2350" s="52"/>
    </row>
    <row r="2351" spans="2:12" x14ac:dyDescent="0.35">
      <c r="B2351" s="8"/>
      <c r="C2351" s="9"/>
      <c r="D2351" s="10"/>
      <c r="E2351" s="4"/>
      <c r="F2351" s="4"/>
      <c r="G2351" s="4"/>
      <c r="H2351" s="1"/>
      <c r="I2351" s="1"/>
      <c r="J2351" s="11" t="s">
        <v>8</v>
      </c>
      <c r="K2351" s="7">
        <f>SUM(K2298:K2350)</f>
        <v>0</v>
      </c>
      <c r="L2351" s="7">
        <f>SUM(L2298:L2350)</f>
        <v>115269704.85599999</v>
      </c>
    </row>
    <row r="2352" spans="2:12" x14ac:dyDescent="0.35">
      <c r="B2352" s="8"/>
      <c r="C2352" s="9"/>
      <c r="D2352" s="9"/>
      <c r="E2352" s="4"/>
      <c r="F2352" s="4"/>
      <c r="G2352" s="4"/>
      <c r="H2352" s="1"/>
      <c r="I2352" s="1"/>
      <c r="J2352" s="11"/>
      <c r="K2352" s="35" t="s">
        <v>22</v>
      </c>
      <c r="L2352" s="36" t="s">
        <v>23</v>
      </c>
    </row>
    <row r="2353" spans="2:12" x14ac:dyDescent="0.35">
      <c r="B2353" s="3" t="s">
        <v>9</v>
      </c>
      <c r="C2353" s="4"/>
      <c r="D2353" s="4"/>
      <c r="E2353" s="4"/>
      <c r="F2353" s="4"/>
      <c r="G2353" s="4"/>
      <c r="H2353" s="1"/>
      <c r="I2353" s="1"/>
      <c r="J2353" s="12"/>
      <c r="K2353" s="12"/>
      <c r="L2353" s="13"/>
    </row>
    <row r="2354" spans="2:12" x14ac:dyDescent="0.35">
      <c r="B2354" s="37"/>
      <c r="C2354" s="1"/>
      <c r="D2354" s="1"/>
      <c r="E2354" s="38"/>
      <c r="F2354" s="38"/>
      <c r="G2354" s="38"/>
      <c r="H2354" s="1"/>
      <c r="I2354" s="1"/>
      <c r="J2354" s="1"/>
      <c r="K2354" s="1"/>
      <c r="L2354" s="19"/>
    </row>
    <row r="2355" spans="2:12" x14ac:dyDescent="0.35">
      <c r="B2355" s="28" t="s">
        <v>6</v>
      </c>
      <c r="C2355" s="27"/>
      <c r="D2355" s="27"/>
      <c r="E2355" s="26"/>
      <c r="F2355" s="26"/>
      <c r="G2355" s="5"/>
      <c r="K2355" s="284" t="s">
        <v>1600</v>
      </c>
      <c r="L2355" s="285"/>
    </row>
    <row r="2356" spans="2:12" x14ac:dyDescent="0.35">
      <c r="B2356" s="28">
        <v>1</v>
      </c>
      <c r="C2356" s="27"/>
      <c r="D2356" s="27"/>
      <c r="E2356" s="26" t="s">
        <v>7</v>
      </c>
      <c r="F2356" s="26"/>
      <c r="G2356" s="5"/>
      <c r="K2356" s="284" t="s">
        <v>28</v>
      </c>
      <c r="L2356" s="285"/>
    </row>
    <row r="2357" spans="2:12" x14ac:dyDescent="0.35">
      <c r="B2357" s="39"/>
      <c r="C2357" s="27"/>
      <c r="D2357" s="27"/>
      <c r="E2357" s="26"/>
      <c r="F2357" s="26"/>
      <c r="G2357" s="5"/>
      <c r="J2357" s="25"/>
      <c r="K2357" s="25"/>
      <c r="L2357" s="24"/>
    </row>
    <row r="2358" spans="2:12" x14ac:dyDescent="0.35">
      <c r="B2358" s="28"/>
      <c r="C2358" s="27"/>
      <c r="D2358" s="27"/>
      <c r="E2358" s="26"/>
      <c r="F2358" s="26"/>
      <c r="G2358" s="5"/>
      <c r="L2358" s="22"/>
    </row>
    <row r="2359" spans="2:12" x14ac:dyDescent="0.35">
      <c r="B2359" s="45"/>
      <c r="E2359" s="5"/>
      <c r="F2359" s="5"/>
      <c r="G2359" s="5"/>
      <c r="L2359" s="22"/>
    </row>
    <row r="2360" spans="2:12" x14ac:dyDescent="0.35">
      <c r="B2360" s="45"/>
      <c r="E2360" s="5"/>
      <c r="F2360" s="5"/>
      <c r="G2360" s="5"/>
      <c r="L2360" s="22"/>
    </row>
    <row r="2361" spans="2:12" x14ac:dyDescent="0.35">
      <c r="B2361" s="45"/>
      <c r="E2361" s="5"/>
      <c r="F2361" s="5"/>
      <c r="G2361" s="5"/>
      <c r="L2361" s="22"/>
    </row>
    <row r="2362" spans="2:12" x14ac:dyDescent="0.35">
      <c r="B2362" s="45"/>
      <c r="E2362" s="5"/>
      <c r="F2362" s="5"/>
      <c r="G2362" s="5"/>
      <c r="J2362" s="40"/>
      <c r="K2362" s="286" t="s">
        <v>36</v>
      </c>
      <c r="L2362" s="287"/>
    </row>
    <row r="2363" spans="2:12" x14ac:dyDescent="0.35">
      <c r="B2363" s="45"/>
      <c r="K2363" s="288" t="s">
        <v>37</v>
      </c>
      <c r="L2363" s="289"/>
    </row>
    <row r="2364" spans="2:12" x14ac:dyDescent="0.35">
      <c r="B2364" s="290"/>
      <c r="C2364" s="291"/>
      <c r="D2364" s="291"/>
      <c r="E2364" s="41"/>
      <c r="F2364" s="41"/>
      <c r="G2364" s="41"/>
      <c r="H2364" s="2"/>
      <c r="I2364" s="2"/>
      <c r="J2364" s="2"/>
      <c r="K2364" s="2"/>
      <c r="L2364" s="21"/>
    </row>
    <row r="2365" spans="2:12" x14ac:dyDescent="0.35">
      <c r="B2365" s="47"/>
      <c r="C2365" s="48"/>
      <c r="D2365" s="49"/>
      <c r="G2365" s="22"/>
      <c r="H2365" s="1"/>
      <c r="I2365" s="1"/>
      <c r="J2365" s="43"/>
      <c r="K2365" s="30"/>
      <c r="L2365" s="44"/>
    </row>
    <row r="2366" spans="2:12" x14ac:dyDescent="0.35">
      <c r="B2366" s="174"/>
      <c r="C2366" s="175"/>
      <c r="D2366" s="176" t="s">
        <v>47</v>
      </c>
      <c r="E2366" s="163"/>
      <c r="F2366" s="163" t="s">
        <v>1359</v>
      </c>
      <c r="G2366" s="163"/>
      <c r="H2366" s="214"/>
      <c r="I2366" s="164"/>
      <c r="J2366" s="29"/>
      <c r="K2366" s="51"/>
      <c r="L2366" s="46"/>
    </row>
    <row r="2367" spans="2:12" x14ac:dyDescent="0.35">
      <c r="B2367" s="174"/>
      <c r="C2367" s="175"/>
      <c r="D2367" s="176"/>
      <c r="E2367" s="163"/>
      <c r="F2367" s="163" t="s">
        <v>89</v>
      </c>
      <c r="G2367" s="163" t="s">
        <v>1360</v>
      </c>
      <c r="H2367" s="214">
        <v>192.16799999999998</v>
      </c>
      <c r="I2367" s="164" t="s">
        <v>87</v>
      </c>
      <c r="J2367" s="65">
        <v>31000</v>
      </c>
      <c r="K2367" s="65"/>
      <c r="L2367" s="46">
        <f t="shared" ref="L2367" si="120">J2367*H2367</f>
        <v>5957207.9999999991</v>
      </c>
    </row>
    <row r="2368" spans="2:12" x14ac:dyDescent="0.35">
      <c r="B2368" s="174"/>
      <c r="C2368" s="175"/>
      <c r="D2368" s="176" t="s">
        <v>49</v>
      </c>
      <c r="E2368" s="163"/>
      <c r="F2368" s="163" t="s">
        <v>1361</v>
      </c>
      <c r="G2368" s="163"/>
      <c r="H2368" s="214"/>
      <c r="I2368" s="164"/>
      <c r="J2368" s="29"/>
      <c r="K2368" s="51"/>
      <c r="L2368" s="46"/>
    </row>
    <row r="2369" spans="2:12" x14ac:dyDescent="0.35">
      <c r="B2369" s="174"/>
      <c r="C2369" s="175"/>
      <c r="D2369" s="176"/>
      <c r="E2369" s="163"/>
      <c r="F2369" s="163" t="s">
        <v>89</v>
      </c>
      <c r="G2369" s="163" t="s">
        <v>1362</v>
      </c>
      <c r="H2369" s="214">
        <v>273.17999999999995</v>
      </c>
      <c r="I2369" s="164" t="s">
        <v>87</v>
      </c>
      <c r="J2369" s="65">
        <v>31000</v>
      </c>
      <c r="K2369" s="65"/>
      <c r="L2369" s="46">
        <f t="shared" ref="L2369" si="121">J2369*H2369</f>
        <v>8468579.9999999981</v>
      </c>
    </row>
    <row r="2370" spans="2:12" x14ac:dyDescent="0.35">
      <c r="B2370" s="174"/>
      <c r="C2370" s="175"/>
      <c r="D2370" s="176" t="s">
        <v>62</v>
      </c>
      <c r="E2370" s="163"/>
      <c r="F2370" s="163" t="s">
        <v>1363</v>
      </c>
      <c r="G2370" s="163"/>
      <c r="H2370" s="214"/>
      <c r="I2370" s="164"/>
      <c r="J2370" s="29"/>
      <c r="K2370" s="51"/>
      <c r="L2370" s="46"/>
    </row>
    <row r="2371" spans="2:12" x14ac:dyDescent="0.35">
      <c r="B2371" s="174"/>
      <c r="C2371" s="175"/>
      <c r="D2371" s="176"/>
      <c r="E2371" s="163"/>
      <c r="F2371" s="163" t="s">
        <v>89</v>
      </c>
      <c r="G2371" s="163" t="s">
        <v>1364</v>
      </c>
      <c r="H2371" s="214">
        <v>282.52463999999998</v>
      </c>
      <c r="I2371" s="164" t="s">
        <v>87</v>
      </c>
      <c r="J2371" s="65">
        <v>31000</v>
      </c>
      <c r="K2371" s="65"/>
      <c r="L2371" s="46">
        <f t="shared" ref="L2371" si="122">J2371*H2371</f>
        <v>8758263.8399999999</v>
      </c>
    </row>
    <row r="2372" spans="2:12" x14ac:dyDescent="0.35">
      <c r="B2372" s="174"/>
      <c r="C2372" s="175"/>
      <c r="D2372" s="176" t="s">
        <v>51</v>
      </c>
      <c r="E2372" s="163"/>
      <c r="F2372" s="163" t="s">
        <v>1365</v>
      </c>
      <c r="G2372" s="163"/>
      <c r="H2372" s="214"/>
      <c r="I2372" s="164"/>
      <c r="J2372" s="65"/>
      <c r="K2372" s="65"/>
      <c r="L2372" s="46"/>
    </row>
    <row r="2373" spans="2:12" x14ac:dyDescent="0.35">
      <c r="B2373" s="174"/>
      <c r="C2373" s="175"/>
      <c r="D2373" s="176"/>
      <c r="E2373" s="163"/>
      <c r="F2373" s="163" t="s">
        <v>89</v>
      </c>
      <c r="G2373" s="163" t="s">
        <v>1366</v>
      </c>
      <c r="H2373" s="214">
        <v>287.30999999999995</v>
      </c>
      <c r="I2373" s="164" t="s">
        <v>87</v>
      </c>
      <c r="J2373" s="65">
        <v>31000</v>
      </c>
      <c r="K2373" s="65"/>
      <c r="L2373" s="46">
        <f t="shared" ref="L2373" si="123">J2373*H2373</f>
        <v>8906609.9999999981</v>
      </c>
    </row>
    <row r="2374" spans="2:12" x14ac:dyDescent="0.35">
      <c r="B2374" s="174"/>
      <c r="C2374" s="175" t="s">
        <v>115</v>
      </c>
      <c r="D2374" s="176"/>
      <c r="E2374" s="163"/>
      <c r="F2374" s="163" t="s">
        <v>1367</v>
      </c>
      <c r="G2374" s="163"/>
      <c r="H2374" s="214"/>
      <c r="I2374" s="164"/>
      <c r="J2374" s="65"/>
      <c r="K2374" s="65"/>
      <c r="L2374" s="46"/>
    </row>
    <row r="2375" spans="2:12" x14ac:dyDescent="0.35">
      <c r="B2375" s="174"/>
      <c r="C2375" s="175"/>
      <c r="D2375" s="176" t="s">
        <v>44</v>
      </c>
      <c r="E2375" s="163"/>
      <c r="F2375" s="163" t="s">
        <v>256</v>
      </c>
      <c r="G2375" s="163"/>
      <c r="H2375" s="214"/>
      <c r="I2375" s="164"/>
      <c r="J2375" s="65"/>
      <c r="K2375" s="65"/>
      <c r="L2375" s="46"/>
    </row>
    <row r="2376" spans="2:12" x14ac:dyDescent="0.35">
      <c r="B2376" s="174"/>
      <c r="C2376" s="175"/>
      <c r="D2376" s="176"/>
      <c r="E2376" s="163"/>
      <c r="F2376" s="163" t="s">
        <v>89</v>
      </c>
      <c r="G2376" s="163" t="s">
        <v>1368</v>
      </c>
      <c r="H2376" s="214">
        <v>60.71378399999999</v>
      </c>
      <c r="I2376" s="164" t="s">
        <v>87</v>
      </c>
      <c r="J2376" s="65">
        <v>31000</v>
      </c>
      <c r="K2376" s="65"/>
      <c r="L2376" s="46">
        <f t="shared" ref="L2376:L2377" si="124">J2376*H2376</f>
        <v>1882127.3039999998</v>
      </c>
    </row>
    <row r="2377" spans="2:12" x14ac:dyDescent="0.35">
      <c r="B2377" s="174"/>
      <c r="C2377" s="175"/>
      <c r="D2377" s="176"/>
      <c r="E2377" s="163"/>
      <c r="F2377" s="163" t="s">
        <v>89</v>
      </c>
      <c r="G2377" s="163" t="s">
        <v>1369</v>
      </c>
      <c r="H2377" s="214">
        <v>19.091399999999997</v>
      </c>
      <c r="I2377" s="164" t="s">
        <v>87</v>
      </c>
      <c r="J2377" s="65">
        <v>31000</v>
      </c>
      <c r="K2377" s="65"/>
      <c r="L2377" s="46">
        <f t="shared" si="124"/>
        <v>591833.39999999991</v>
      </c>
    </row>
    <row r="2378" spans="2:12" x14ac:dyDescent="0.35">
      <c r="B2378" s="174"/>
      <c r="C2378" s="175"/>
      <c r="D2378" s="176" t="s">
        <v>47</v>
      </c>
      <c r="E2378" s="163"/>
      <c r="F2378" s="163" t="s">
        <v>1370</v>
      </c>
      <c r="G2378" s="163"/>
      <c r="H2378" s="214"/>
      <c r="I2378" s="164"/>
      <c r="J2378" s="29"/>
      <c r="K2378" s="51"/>
      <c r="L2378" s="46"/>
    </row>
    <row r="2379" spans="2:12" x14ac:dyDescent="0.35">
      <c r="B2379" s="174"/>
      <c r="C2379" s="175"/>
      <c r="D2379" s="176"/>
      <c r="E2379" s="163"/>
      <c r="F2379" s="163" t="s">
        <v>89</v>
      </c>
      <c r="G2379" s="163" t="s">
        <v>1371</v>
      </c>
      <c r="H2379" s="214">
        <v>522.24479999999983</v>
      </c>
      <c r="I2379" s="164" t="s">
        <v>87</v>
      </c>
      <c r="J2379" s="65">
        <v>31000</v>
      </c>
      <c r="K2379" s="65"/>
      <c r="L2379" s="46">
        <f t="shared" ref="L2379" si="125">J2379*H2379</f>
        <v>16189588.799999995</v>
      </c>
    </row>
    <row r="2380" spans="2:12" x14ac:dyDescent="0.35">
      <c r="B2380" s="174"/>
      <c r="C2380" s="175"/>
      <c r="D2380" s="176" t="s">
        <v>49</v>
      </c>
      <c r="E2380" s="163"/>
      <c r="F2380" s="163" t="s">
        <v>1340</v>
      </c>
      <c r="G2380" s="163"/>
      <c r="H2380" s="214"/>
      <c r="I2380" s="164"/>
      <c r="J2380" s="50"/>
      <c r="K2380" s="29"/>
      <c r="L2380" s="52"/>
    </row>
    <row r="2381" spans="2:12" x14ac:dyDescent="0.35">
      <c r="B2381" s="174"/>
      <c r="C2381" s="175"/>
      <c r="D2381" s="176"/>
      <c r="E2381" s="163"/>
      <c r="F2381" s="163" t="s">
        <v>89</v>
      </c>
      <c r="G2381" s="163" t="s">
        <v>1372</v>
      </c>
      <c r="H2381" s="214">
        <v>236.44199999999995</v>
      </c>
      <c r="I2381" s="164" t="s">
        <v>87</v>
      </c>
      <c r="J2381" s="65">
        <v>31000</v>
      </c>
      <c r="K2381" s="65"/>
      <c r="L2381" s="46">
        <f t="shared" ref="L2381" si="126">J2381*H2381</f>
        <v>7329701.9999999981</v>
      </c>
    </row>
    <row r="2382" spans="2:12" x14ac:dyDescent="0.35">
      <c r="B2382" s="174"/>
      <c r="C2382" s="175"/>
      <c r="D2382" s="176" t="s">
        <v>62</v>
      </c>
      <c r="E2382" s="163"/>
      <c r="F2382" s="163" t="s">
        <v>1363</v>
      </c>
      <c r="G2382" s="163"/>
      <c r="H2382" s="214"/>
      <c r="I2382" s="164"/>
      <c r="J2382" s="50"/>
      <c r="K2382" s="29"/>
      <c r="L2382" s="52"/>
    </row>
    <row r="2383" spans="2:12" x14ac:dyDescent="0.35">
      <c r="B2383" s="174"/>
      <c r="C2383" s="175"/>
      <c r="D2383" s="176"/>
      <c r="E2383" s="163"/>
      <c r="F2383" s="163" t="s">
        <v>89</v>
      </c>
      <c r="G2383" s="163" t="s">
        <v>1373</v>
      </c>
      <c r="H2383" s="214">
        <v>218.39327999999995</v>
      </c>
      <c r="I2383" s="164" t="s">
        <v>87</v>
      </c>
      <c r="J2383" s="65">
        <v>31000</v>
      </c>
      <c r="K2383" s="65"/>
      <c r="L2383" s="46">
        <f t="shared" ref="L2383" si="127">J2383*H2383</f>
        <v>6770191.6799999988</v>
      </c>
    </row>
    <row r="2384" spans="2:12" x14ac:dyDescent="0.35">
      <c r="B2384" s="174"/>
      <c r="C2384" s="175" t="s">
        <v>121</v>
      </c>
      <c r="D2384" s="176"/>
      <c r="E2384" s="163"/>
      <c r="F2384" s="163" t="s">
        <v>232</v>
      </c>
      <c r="G2384" s="163"/>
      <c r="H2384" s="214"/>
      <c r="I2384" s="164"/>
      <c r="J2384" s="50"/>
      <c r="K2384" s="29"/>
      <c r="L2384" s="52"/>
    </row>
    <row r="2385" spans="2:12" x14ac:dyDescent="0.35">
      <c r="B2385" s="174"/>
      <c r="C2385" s="175"/>
      <c r="D2385" s="176" t="s">
        <v>44</v>
      </c>
      <c r="E2385" s="163"/>
      <c r="F2385" s="163" t="s">
        <v>233</v>
      </c>
      <c r="G2385" s="163"/>
      <c r="H2385" s="214"/>
      <c r="I2385" s="164"/>
      <c r="J2385" s="50"/>
      <c r="K2385" s="29"/>
      <c r="L2385" s="52"/>
    </row>
    <row r="2386" spans="2:12" x14ac:dyDescent="0.35">
      <c r="B2386" s="174"/>
      <c r="C2386" s="175"/>
      <c r="D2386" s="176"/>
      <c r="E2386" s="163"/>
      <c r="F2386" s="163" t="s">
        <v>89</v>
      </c>
      <c r="G2386" s="163" t="s">
        <v>1374</v>
      </c>
      <c r="H2386" s="214">
        <v>303.39935999999994</v>
      </c>
      <c r="I2386" s="164" t="s">
        <v>87</v>
      </c>
      <c r="J2386" s="65">
        <v>31000</v>
      </c>
      <c r="K2386" s="65"/>
      <c r="L2386" s="46">
        <f t="shared" ref="L2386:L2387" si="128">J2386*H2386</f>
        <v>9405380.1599999983</v>
      </c>
    </row>
    <row r="2387" spans="2:12" x14ac:dyDescent="0.35">
      <c r="B2387" s="174"/>
      <c r="C2387" s="175"/>
      <c r="D2387" s="176"/>
      <c r="E2387" s="163"/>
      <c r="F2387" s="163" t="s">
        <v>89</v>
      </c>
      <c r="G2387" s="163" t="s">
        <v>1375</v>
      </c>
      <c r="H2387" s="214">
        <v>38.182799999999993</v>
      </c>
      <c r="I2387" s="164" t="s">
        <v>87</v>
      </c>
      <c r="J2387" s="65">
        <v>31000</v>
      </c>
      <c r="K2387" s="65"/>
      <c r="L2387" s="46">
        <f t="shared" si="128"/>
        <v>1183666.7999999998</v>
      </c>
    </row>
    <row r="2388" spans="2:12" x14ac:dyDescent="0.35">
      <c r="B2388" s="174"/>
      <c r="C2388" s="175"/>
      <c r="D2388" s="176" t="s">
        <v>47</v>
      </c>
      <c r="E2388" s="163"/>
      <c r="F2388" s="163" t="s">
        <v>234</v>
      </c>
      <c r="G2388" s="163"/>
      <c r="H2388" s="214"/>
      <c r="I2388" s="164"/>
      <c r="J2388" s="50"/>
      <c r="K2388" s="29"/>
      <c r="L2388" s="52"/>
    </row>
    <row r="2389" spans="2:12" x14ac:dyDescent="0.35">
      <c r="B2389" s="174"/>
      <c r="C2389" s="175"/>
      <c r="D2389" s="176"/>
      <c r="E2389" s="163"/>
      <c r="F2389" s="163" t="s">
        <v>89</v>
      </c>
      <c r="G2389" s="163" t="s">
        <v>1376</v>
      </c>
      <c r="H2389" s="214">
        <v>390.74159999999995</v>
      </c>
      <c r="I2389" s="164" t="s">
        <v>87</v>
      </c>
      <c r="J2389" s="65">
        <v>31000</v>
      </c>
      <c r="K2389" s="65"/>
      <c r="L2389" s="46">
        <f t="shared" ref="L2389:L2390" si="129">J2389*H2389</f>
        <v>12112989.599999998</v>
      </c>
    </row>
    <row r="2390" spans="2:12" x14ac:dyDescent="0.35">
      <c r="B2390" s="174"/>
      <c r="C2390" s="175"/>
      <c r="D2390" s="176"/>
      <c r="E2390" s="163"/>
      <c r="F2390" s="163" t="s">
        <v>89</v>
      </c>
      <c r="G2390" s="163" t="s">
        <v>1377</v>
      </c>
      <c r="H2390" s="214">
        <v>57.274199999999993</v>
      </c>
      <c r="I2390" s="164" t="s">
        <v>87</v>
      </c>
      <c r="J2390" s="65">
        <v>31000</v>
      </c>
      <c r="K2390" s="65"/>
      <c r="L2390" s="46">
        <f t="shared" si="129"/>
        <v>1775500.1999999997</v>
      </c>
    </row>
    <row r="2391" spans="2:12" x14ac:dyDescent="0.35">
      <c r="B2391" s="168" t="s">
        <v>57</v>
      </c>
      <c r="C2391" s="169"/>
      <c r="D2391" s="170"/>
      <c r="E2391" s="171" t="s">
        <v>107</v>
      </c>
      <c r="F2391" s="171"/>
      <c r="G2391" s="171"/>
      <c r="H2391" s="247"/>
      <c r="I2391" s="172"/>
      <c r="J2391" s="50"/>
      <c r="K2391" s="29"/>
      <c r="L2391" s="52"/>
    </row>
    <row r="2392" spans="2:12" x14ac:dyDescent="0.35">
      <c r="B2392" s="174"/>
      <c r="C2392" s="175"/>
      <c r="D2392" s="176" t="s">
        <v>44</v>
      </c>
      <c r="E2392" s="163"/>
      <c r="F2392" s="163" t="s">
        <v>236</v>
      </c>
      <c r="G2392" s="163"/>
      <c r="H2392" s="214"/>
      <c r="I2392" s="164"/>
      <c r="J2392" s="50"/>
      <c r="K2392" s="29"/>
      <c r="L2392" s="52"/>
    </row>
    <row r="2393" spans="2:12" x14ac:dyDescent="0.35">
      <c r="B2393" s="174"/>
      <c r="C2393" s="175"/>
      <c r="D2393" s="176"/>
      <c r="E2393" s="163"/>
      <c r="F2393" s="163" t="s">
        <v>89</v>
      </c>
      <c r="G2393" s="163" t="s">
        <v>1378</v>
      </c>
      <c r="H2393" s="214">
        <v>212.03477999999996</v>
      </c>
      <c r="I2393" s="164" t="s">
        <v>87</v>
      </c>
      <c r="J2393" s="65">
        <v>31000</v>
      </c>
      <c r="K2393" s="65"/>
      <c r="L2393" s="46">
        <f t="shared" ref="L2393:L2406" si="130">J2393*H2393</f>
        <v>6573078.1799999988</v>
      </c>
    </row>
    <row r="2394" spans="2:12" x14ac:dyDescent="0.35">
      <c r="B2394" s="174"/>
      <c r="C2394" s="175"/>
      <c r="D2394" s="176"/>
      <c r="E2394" s="163"/>
      <c r="F2394" s="163" t="s">
        <v>89</v>
      </c>
      <c r="G2394" s="163" t="s">
        <v>1379</v>
      </c>
      <c r="H2394" s="214">
        <v>413.72639999999996</v>
      </c>
      <c r="I2394" s="164" t="s">
        <v>87</v>
      </c>
      <c r="J2394" s="65">
        <v>31000</v>
      </c>
      <c r="K2394" s="65"/>
      <c r="L2394" s="46">
        <f t="shared" si="130"/>
        <v>12825518.399999999</v>
      </c>
    </row>
    <row r="2395" spans="2:12" x14ac:dyDescent="0.35">
      <c r="B2395" s="174"/>
      <c r="C2395" s="175"/>
      <c r="D2395" s="176"/>
      <c r="E2395" s="163"/>
      <c r="F2395" s="163" t="s">
        <v>89</v>
      </c>
      <c r="G2395" s="163" t="s">
        <v>1380</v>
      </c>
      <c r="H2395" s="214">
        <v>108.60317999999999</v>
      </c>
      <c r="I2395" s="164" t="s">
        <v>87</v>
      </c>
      <c r="J2395" s="65">
        <v>31000</v>
      </c>
      <c r="K2395" s="65"/>
      <c r="L2395" s="46">
        <f t="shared" si="130"/>
        <v>3366698.5799999996</v>
      </c>
    </row>
    <row r="2396" spans="2:12" x14ac:dyDescent="0.35">
      <c r="B2396" s="174"/>
      <c r="C2396" s="175"/>
      <c r="D2396" s="176"/>
      <c r="E2396" s="163"/>
      <c r="F2396" s="163" t="s">
        <v>89</v>
      </c>
      <c r="G2396" s="163" t="s">
        <v>1381</v>
      </c>
      <c r="H2396" s="214">
        <v>275.81759999999997</v>
      </c>
      <c r="I2396" s="164" t="s">
        <v>87</v>
      </c>
      <c r="J2396" s="65">
        <v>31000</v>
      </c>
      <c r="K2396" s="65"/>
      <c r="L2396" s="46">
        <f t="shared" si="130"/>
        <v>8550345.5999999996</v>
      </c>
    </row>
    <row r="2397" spans="2:12" x14ac:dyDescent="0.35">
      <c r="B2397" s="174"/>
      <c r="C2397" s="175"/>
      <c r="D2397" s="176"/>
      <c r="E2397" s="163"/>
      <c r="F2397" s="163" t="s">
        <v>89</v>
      </c>
      <c r="G2397" s="163" t="s">
        <v>1382</v>
      </c>
      <c r="H2397" s="214">
        <v>30.546239999999997</v>
      </c>
      <c r="I2397" s="164" t="s">
        <v>87</v>
      </c>
      <c r="J2397" s="65">
        <v>31000</v>
      </c>
      <c r="K2397" s="65"/>
      <c r="L2397" s="46">
        <f t="shared" si="130"/>
        <v>946933.44</v>
      </c>
    </row>
    <row r="2398" spans="2:12" x14ac:dyDescent="0.35">
      <c r="B2398" s="174"/>
      <c r="C2398" s="175"/>
      <c r="D2398" s="176"/>
      <c r="E2398" s="163"/>
      <c r="F2398" s="163" t="s">
        <v>89</v>
      </c>
      <c r="G2398" s="163" t="s">
        <v>1383</v>
      </c>
      <c r="H2398" s="214">
        <v>76.365599999999986</v>
      </c>
      <c r="I2398" s="164" t="s">
        <v>87</v>
      </c>
      <c r="J2398" s="65">
        <v>31000</v>
      </c>
      <c r="K2398" s="65"/>
      <c r="L2398" s="46">
        <f t="shared" si="130"/>
        <v>2367333.5999999996</v>
      </c>
    </row>
    <row r="2399" spans="2:12" x14ac:dyDescent="0.35">
      <c r="B2399" s="174"/>
      <c r="C2399" s="175"/>
      <c r="D2399" s="176"/>
      <c r="E2399" s="163"/>
      <c r="F2399" s="163" t="s">
        <v>89</v>
      </c>
      <c r="G2399" s="163" t="s">
        <v>1384</v>
      </c>
      <c r="H2399" s="214">
        <v>33.409949999999995</v>
      </c>
      <c r="I2399" s="164" t="s">
        <v>87</v>
      </c>
      <c r="J2399" s="65">
        <v>31000</v>
      </c>
      <c r="K2399" s="65"/>
      <c r="L2399" s="46">
        <f t="shared" si="130"/>
        <v>1035708.4499999998</v>
      </c>
    </row>
    <row r="2400" spans="2:12" x14ac:dyDescent="0.35">
      <c r="B2400" s="174"/>
      <c r="C2400" s="175"/>
      <c r="D2400" s="176"/>
      <c r="E2400" s="163"/>
      <c r="F2400" s="163" t="s">
        <v>89</v>
      </c>
      <c r="G2400" s="163" t="s">
        <v>1385</v>
      </c>
      <c r="H2400" s="214">
        <v>33.166249999999998</v>
      </c>
      <c r="I2400" s="164" t="s">
        <v>87</v>
      </c>
      <c r="J2400" s="65">
        <v>31000</v>
      </c>
      <c r="K2400" s="65"/>
      <c r="L2400" s="46">
        <f t="shared" si="130"/>
        <v>1028153.7499999999</v>
      </c>
    </row>
    <row r="2401" spans="2:12" x14ac:dyDescent="0.35">
      <c r="B2401" s="174"/>
      <c r="C2401" s="175"/>
      <c r="D2401" s="176"/>
      <c r="E2401" s="163"/>
      <c r="F2401" s="163" t="s">
        <v>89</v>
      </c>
      <c r="G2401" s="163" t="s">
        <v>237</v>
      </c>
      <c r="H2401" s="219">
        <v>870</v>
      </c>
      <c r="I2401" s="164" t="s">
        <v>100</v>
      </c>
      <c r="J2401" s="29">
        <v>5316</v>
      </c>
      <c r="K2401" s="51"/>
      <c r="L2401" s="46">
        <f t="shared" si="130"/>
        <v>4624920</v>
      </c>
    </row>
    <row r="2402" spans="2:12" x14ac:dyDescent="0.35">
      <c r="B2402" s="174"/>
      <c r="C2402" s="175"/>
      <c r="D2402" s="176"/>
      <c r="E2402" s="163"/>
      <c r="F2402" s="163" t="s">
        <v>89</v>
      </c>
      <c r="G2402" s="163" t="s">
        <v>1386</v>
      </c>
      <c r="H2402" s="214">
        <v>45.819359999999996</v>
      </c>
      <c r="I2402" s="164" t="s">
        <v>87</v>
      </c>
      <c r="J2402" s="65">
        <v>31000</v>
      </c>
      <c r="K2402" s="65"/>
      <c r="L2402" s="46">
        <f t="shared" si="130"/>
        <v>1420400.16</v>
      </c>
    </row>
    <row r="2403" spans="2:12" x14ac:dyDescent="0.35">
      <c r="B2403" s="174"/>
      <c r="C2403" s="175"/>
      <c r="D2403" s="176"/>
      <c r="E2403" s="163"/>
      <c r="F2403" s="163" t="s">
        <v>89</v>
      </c>
      <c r="G2403" s="163" t="s">
        <v>1387</v>
      </c>
      <c r="H2403" s="214">
        <v>26.376000000000001</v>
      </c>
      <c r="I2403" s="164" t="s">
        <v>87</v>
      </c>
      <c r="J2403" s="65">
        <v>31000</v>
      </c>
      <c r="K2403" s="65"/>
      <c r="L2403" s="46">
        <f t="shared" si="130"/>
        <v>817656</v>
      </c>
    </row>
    <row r="2404" spans="2:12" x14ac:dyDescent="0.35">
      <c r="B2404" s="174"/>
      <c r="C2404" s="175"/>
      <c r="D2404" s="176"/>
      <c r="E2404" s="163"/>
      <c r="F2404" s="163" t="s">
        <v>89</v>
      </c>
      <c r="G2404" s="163" t="s">
        <v>1388</v>
      </c>
      <c r="H2404" s="214">
        <v>23.078999999999997</v>
      </c>
      <c r="I2404" s="164" t="s">
        <v>87</v>
      </c>
      <c r="J2404" s="65">
        <v>31000</v>
      </c>
      <c r="K2404" s="65"/>
      <c r="L2404" s="46">
        <f t="shared" si="130"/>
        <v>715448.99999999988</v>
      </c>
    </row>
    <row r="2405" spans="2:12" x14ac:dyDescent="0.35">
      <c r="B2405" s="174"/>
      <c r="C2405" s="175"/>
      <c r="D2405" s="176"/>
      <c r="E2405" s="163"/>
      <c r="F2405" s="163" t="s">
        <v>89</v>
      </c>
      <c r="G2405" s="163" t="s">
        <v>1389</v>
      </c>
      <c r="H2405" s="214">
        <v>15.071999999999997</v>
      </c>
      <c r="I2405" s="164" t="s">
        <v>87</v>
      </c>
      <c r="J2405" s="65">
        <v>31000</v>
      </c>
      <c r="K2405" s="65"/>
      <c r="L2405" s="46">
        <f t="shared" si="130"/>
        <v>467231.99999999994</v>
      </c>
    </row>
    <row r="2406" spans="2:12" x14ac:dyDescent="0.35">
      <c r="B2406" s="174"/>
      <c r="C2406" s="175"/>
      <c r="D2406" s="176"/>
      <c r="E2406" s="163"/>
      <c r="F2406" s="163" t="s">
        <v>89</v>
      </c>
      <c r="G2406" s="163" t="s">
        <v>1390</v>
      </c>
      <c r="H2406" s="214">
        <v>52.846199999999996</v>
      </c>
      <c r="I2406" s="164" t="s">
        <v>87</v>
      </c>
      <c r="J2406" s="65">
        <v>31000</v>
      </c>
      <c r="K2406" s="65"/>
      <c r="L2406" s="46">
        <f t="shared" si="130"/>
        <v>1638232.2</v>
      </c>
    </row>
    <row r="2407" spans="2:12" x14ac:dyDescent="0.35">
      <c r="B2407" s="168" t="s">
        <v>85</v>
      </c>
      <c r="C2407" s="169"/>
      <c r="D2407" s="170"/>
      <c r="E2407" s="171" t="s">
        <v>18</v>
      </c>
      <c r="F2407" s="171"/>
      <c r="G2407" s="171"/>
      <c r="H2407" s="225"/>
      <c r="I2407" s="172"/>
      <c r="J2407" s="50"/>
      <c r="K2407" s="29"/>
      <c r="L2407" s="52"/>
    </row>
    <row r="2408" spans="2:12" x14ac:dyDescent="0.35">
      <c r="B2408" s="174"/>
      <c r="C2408" s="175"/>
      <c r="D2408" s="176" t="s">
        <v>44</v>
      </c>
      <c r="E2408" s="163"/>
      <c r="F2408" s="163" t="s">
        <v>1391</v>
      </c>
      <c r="G2408" s="163"/>
      <c r="H2408" s="219"/>
      <c r="I2408" s="164"/>
      <c r="J2408" s="50"/>
      <c r="K2408" s="29"/>
      <c r="L2408" s="52"/>
    </row>
    <row r="2409" spans="2:12" x14ac:dyDescent="0.35">
      <c r="B2409" s="174"/>
      <c r="C2409" s="175"/>
      <c r="D2409" s="176"/>
      <c r="E2409" s="163"/>
      <c r="F2409" s="163" t="s">
        <v>89</v>
      </c>
      <c r="G2409" s="163" t="s">
        <v>1392</v>
      </c>
      <c r="H2409" s="219">
        <v>1</v>
      </c>
      <c r="I2409" s="164" t="s">
        <v>46</v>
      </c>
      <c r="J2409" s="50">
        <v>5000000</v>
      </c>
      <c r="K2409" s="29">
        <f>J2409*H2409</f>
        <v>5000000</v>
      </c>
      <c r="L2409" s="52"/>
    </row>
    <row r="2410" spans="2:12" x14ac:dyDescent="0.35">
      <c r="B2410" s="174"/>
      <c r="C2410" s="175"/>
      <c r="D2410" s="176"/>
      <c r="E2410" s="163"/>
      <c r="F2410" s="163" t="s">
        <v>89</v>
      </c>
      <c r="G2410" s="163" t="s">
        <v>1393</v>
      </c>
      <c r="H2410" s="219">
        <v>1</v>
      </c>
      <c r="I2410" s="164" t="s">
        <v>46</v>
      </c>
      <c r="J2410" s="50">
        <v>5000000</v>
      </c>
      <c r="K2410" s="29">
        <f>J2410*H2410</f>
        <v>5000000</v>
      </c>
      <c r="L2410" s="52"/>
    </row>
    <row r="2411" spans="2:12" x14ac:dyDescent="0.35">
      <c r="B2411" s="174"/>
      <c r="C2411" s="175"/>
      <c r="D2411" s="176"/>
      <c r="E2411" s="163"/>
      <c r="F2411" s="163" t="s">
        <v>89</v>
      </c>
      <c r="G2411" s="163" t="s">
        <v>1394</v>
      </c>
      <c r="H2411" s="214">
        <v>6.6316800000000002</v>
      </c>
      <c r="I2411" s="164" t="s">
        <v>87</v>
      </c>
      <c r="J2411" s="29">
        <v>29000</v>
      </c>
      <c r="K2411" s="51"/>
      <c r="L2411" s="46">
        <f t="shared" ref="L2411:L2415" si="131">J2411*H2411</f>
        <v>192318.72</v>
      </c>
    </row>
    <row r="2412" spans="2:12" x14ac:dyDescent="0.35">
      <c r="B2412" s="174"/>
      <c r="C2412" s="175"/>
      <c r="D2412" s="176"/>
      <c r="E2412" s="163"/>
      <c r="F2412" s="163" t="s">
        <v>89</v>
      </c>
      <c r="G2412" s="163" t="s">
        <v>1395</v>
      </c>
      <c r="H2412" s="219">
        <v>480</v>
      </c>
      <c r="I2412" s="164" t="s">
        <v>100</v>
      </c>
      <c r="J2412" s="29">
        <v>29000</v>
      </c>
      <c r="K2412" s="51"/>
      <c r="L2412" s="46">
        <f t="shared" si="131"/>
        <v>13920000</v>
      </c>
    </row>
    <row r="2413" spans="2:12" x14ac:dyDescent="0.35">
      <c r="B2413" s="174"/>
      <c r="C2413" s="175"/>
      <c r="D2413" s="176"/>
      <c r="E2413" s="163"/>
      <c r="F2413" s="163" t="s">
        <v>89</v>
      </c>
      <c r="G2413" s="163" t="s">
        <v>1396</v>
      </c>
      <c r="H2413" s="214">
        <v>67.823999999999998</v>
      </c>
      <c r="I2413" s="164" t="s">
        <v>87</v>
      </c>
      <c r="J2413" s="29">
        <v>29000</v>
      </c>
      <c r="K2413" s="51"/>
      <c r="L2413" s="46">
        <f t="shared" si="131"/>
        <v>1966896</v>
      </c>
    </row>
    <row r="2414" spans="2:12" x14ac:dyDescent="0.35">
      <c r="B2414" s="174"/>
      <c r="C2414" s="175"/>
      <c r="D2414" s="176"/>
      <c r="E2414" s="163"/>
      <c r="F2414" s="163" t="s">
        <v>89</v>
      </c>
      <c r="G2414" s="163" t="s">
        <v>1397</v>
      </c>
      <c r="H2414" s="214">
        <v>47.225599999999993</v>
      </c>
      <c r="I2414" s="164" t="s">
        <v>87</v>
      </c>
      <c r="J2414" s="29">
        <v>29000</v>
      </c>
      <c r="K2414" s="51"/>
      <c r="L2414" s="46">
        <f t="shared" si="131"/>
        <v>1369542.4</v>
      </c>
    </row>
    <row r="2415" spans="2:12" x14ac:dyDescent="0.35">
      <c r="B2415" s="174"/>
      <c r="C2415" s="175"/>
      <c r="D2415" s="176"/>
      <c r="E2415" s="163"/>
      <c r="F2415" s="163" t="s">
        <v>89</v>
      </c>
      <c r="G2415" s="163" t="s">
        <v>1398</v>
      </c>
      <c r="H2415" s="214">
        <v>24.727499999999996</v>
      </c>
      <c r="I2415" s="164" t="s">
        <v>87</v>
      </c>
      <c r="J2415" s="29">
        <v>29000</v>
      </c>
      <c r="K2415" s="51"/>
      <c r="L2415" s="46">
        <f t="shared" si="131"/>
        <v>717097.49999999988</v>
      </c>
    </row>
    <row r="2416" spans="2:12" x14ac:dyDescent="0.35">
      <c r="B2416" s="174"/>
      <c r="C2416" s="175"/>
      <c r="D2416" s="176"/>
      <c r="E2416" s="163"/>
      <c r="F2416" s="163"/>
      <c r="G2416" s="163"/>
      <c r="H2416" s="214"/>
      <c r="I2416" s="164"/>
      <c r="J2416" s="65"/>
      <c r="K2416" s="65"/>
      <c r="L2416" s="46"/>
    </row>
    <row r="2417" spans="2:12" x14ac:dyDescent="0.35">
      <c r="B2417" s="47"/>
      <c r="C2417" s="48"/>
      <c r="D2417" s="24"/>
      <c r="G2417" s="22"/>
      <c r="I2417" s="22"/>
      <c r="J2417" s="50"/>
      <c r="K2417" s="29"/>
      <c r="L2417" s="52"/>
    </row>
    <row r="2418" spans="2:12" x14ac:dyDescent="0.35">
      <c r="B2418" s="8"/>
      <c r="C2418" s="9"/>
      <c r="D2418" s="10"/>
      <c r="E2418" s="4"/>
      <c r="F2418" s="4"/>
      <c r="G2418" s="4"/>
      <c r="H2418" s="1"/>
      <c r="I2418" s="1"/>
      <c r="J2418" s="11" t="s">
        <v>8</v>
      </c>
      <c r="K2418" s="7">
        <f>SUM(K2365:K2417)</f>
        <v>10000000</v>
      </c>
      <c r="L2418" s="7">
        <f>SUM(L2365:L2417)</f>
        <v>153875155.76399994</v>
      </c>
    </row>
    <row r="2419" spans="2:12" x14ac:dyDescent="0.35">
      <c r="B2419" s="8"/>
      <c r="C2419" s="9"/>
      <c r="D2419" s="9"/>
      <c r="E2419" s="4"/>
      <c r="F2419" s="4"/>
      <c r="G2419" s="4"/>
      <c r="H2419" s="1"/>
      <c r="I2419" s="1"/>
      <c r="J2419" s="11"/>
      <c r="K2419" s="35" t="s">
        <v>22</v>
      </c>
      <c r="L2419" s="36" t="s">
        <v>23</v>
      </c>
    </row>
    <row r="2420" spans="2:12" x14ac:dyDescent="0.35">
      <c r="B2420" s="3" t="s">
        <v>9</v>
      </c>
      <c r="C2420" s="4"/>
      <c r="D2420" s="4"/>
      <c r="E2420" s="4"/>
      <c r="F2420" s="4"/>
      <c r="G2420" s="4"/>
      <c r="H2420" s="1"/>
      <c r="I2420" s="1"/>
      <c r="J2420" s="12"/>
      <c r="K2420" s="12"/>
      <c r="L2420" s="13"/>
    </row>
    <row r="2421" spans="2:12" x14ac:dyDescent="0.35">
      <c r="B2421" s="37"/>
      <c r="C2421" s="1"/>
      <c r="D2421" s="1"/>
      <c r="E2421" s="38"/>
      <c r="F2421" s="38"/>
      <c r="G2421" s="38"/>
      <c r="H2421" s="1"/>
      <c r="I2421" s="1"/>
      <c r="J2421" s="1"/>
      <c r="K2421" s="1"/>
      <c r="L2421" s="19"/>
    </row>
    <row r="2422" spans="2:12" x14ac:dyDescent="0.35">
      <c r="B2422" s="28" t="s">
        <v>6</v>
      </c>
      <c r="C2422" s="27"/>
      <c r="D2422" s="27"/>
      <c r="E2422" s="26"/>
      <c r="F2422" s="26"/>
      <c r="G2422" s="5"/>
      <c r="K2422" s="284" t="s">
        <v>1600</v>
      </c>
      <c r="L2422" s="285"/>
    </row>
    <row r="2423" spans="2:12" x14ac:dyDescent="0.35">
      <c r="B2423" s="28">
        <v>1</v>
      </c>
      <c r="C2423" s="27"/>
      <c r="D2423" s="27"/>
      <c r="E2423" s="26" t="s">
        <v>7</v>
      </c>
      <c r="F2423" s="26"/>
      <c r="G2423" s="5"/>
      <c r="K2423" s="284" t="s">
        <v>28</v>
      </c>
      <c r="L2423" s="285"/>
    </row>
    <row r="2424" spans="2:12" x14ac:dyDescent="0.35">
      <c r="B2424" s="39"/>
      <c r="C2424" s="27"/>
      <c r="D2424" s="27"/>
      <c r="E2424" s="26"/>
      <c r="F2424" s="26"/>
      <c r="G2424" s="5"/>
      <c r="J2424" s="25"/>
      <c r="K2424" s="25"/>
      <c r="L2424" s="24"/>
    </row>
    <row r="2425" spans="2:12" x14ac:dyDescent="0.35">
      <c r="B2425" s="28"/>
      <c r="C2425" s="27"/>
      <c r="D2425" s="27"/>
      <c r="E2425" s="26"/>
      <c r="F2425" s="26"/>
      <c r="G2425" s="5"/>
      <c r="L2425" s="22"/>
    </row>
    <row r="2426" spans="2:12" x14ac:dyDescent="0.35">
      <c r="B2426" s="45"/>
      <c r="E2426" s="5"/>
      <c r="F2426" s="5"/>
      <c r="G2426" s="5"/>
      <c r="L2426" s="22"/>
    </row>
    <row r="2427" spans="2:12" x14ac:dyDescent="0.35">
      <c r="B2427" s="45"/>
      <c r="E2427" s="5"/>
      <c r="F2427" s="5"/>
      <c r="G2427" s="5"/>
      <c r="L2427" s="22"/>
    </row>
    <row r="2428" spans="2:12" x14ac:dyDescent="0.35">
      <c r="B2428" s="45"/>
      <c r="E2428" s="5"/>
      <c r="F2428" s="5"/>
      <c r="G2428" s="5"/>
      <c r="L2428" s="22"/>
    </row>
    <row r="2429" spans="2:12" x14ac:dyDescent="0.35">
      <c r="B2429" s="45"/>
      <c r="E2429" s="5"/>
      <c r="F2429" s="5"/>
      <c r="G2429" s="5"/>
      <c r="J2429" s="40"/>
      <c r="K2429" s="286" t="s">
        <v>36</v>
      </c>
      <c r="L2429" s="287"/>
    </row>
    <row r="2430" spans="2:12" x14ac:dyDescent="0.35">
      <c r="B2430" s="45"/>
      <c r="K2430" s="288" t="s">
        <v>37</v>
      </c>
      <c r="L2430" s="289"/>
    </row>
    <row r="2431" spans="2:12" x14ac:dyDescent="0.35">
      <c r="B2431" s="290"/>
      <c r="C2431" s="291"/>
      <c r="D2431" s="291"/>
      <c r="E2431" s="41"/>
      <c r="F2431" s="41"/>
      <c r="G2431" s="41"/>
      <c r="H2431" s="2"/>
      <c r="I2431" s="2"/>
      <c r="J2431" s="2"/>
      <c r="K2431" s="2"/>
      <c r="L2431" s="21"/>
    </row>
    <row r="2432" spans="2:12" x14ac:dyDescent="0.35">
      <c r="B2432" s="47"/>
      <c r="C2432" s="48"/>
      <c r="D2432" s="49"/>
      <c r="G2432" s="22"/>
      <c r="H2432" s="1"/>
      <c r="I2432" s="1"/>
      <c r="J2432" s="43"/>
      <c r="K2432" s="30"/>
      <c r="L2432" s="44"/>
    </row>
    <row r="2433" spans="2:12" x14ac:dyDescent="0.35">
      <c r="B2433" s="174"/>
      <c r="C2433" s="175"/>
      <c r="D2433" s="176"/>
      <c r="E2433" s="163"/>
      <c r="F2433" s="163" t="s">
        <v>89</v>
      </c>
      <c r="G2433" s="163" t="s">
        <v>1399</v>
      </c>
      <c r="H2433" s="214">
        <v>15.825599999999996</v>
      </c>
      <c r="I2433" s="164" t="s">
        <v>87</v>
      </c>
      <c r="J2433" s="29">
        <v>29000</v>
      </c>
      <c r="K2433" s="51"/>
      <c r="L2433" s="46">
        <f t="shared" ref="L2433:L2449" si="132">J2433*H2433</f>
        <v>458942.39999999991</v>
      </c>
    </row>
    <row r="2434" spans="2:12" x14ac:dyDescent="0.35">
      <c r="B2434" s="174"/>
      <c r="C2434" s="175"/>
      <c r="D2434" s="176"/>
      <c r="E2434" s="163"/>
      <c r="F2434" s="163" t="s">
        <v>89</v>
      </c>
      <c r="G2434" s="163" t="s">
        <v>1400</v>
      </c>
      <c r="H2434" s="219">
        <v>1</v>
      </c>
      <c r="I2434" s="164" t="s">
        <v>92</v>
      </c>
      <c r="J2434" s="29">
        <v>75000</v>
      </c>
      <c r="K2434" s="51"/>
      <c r="L2434" s="46">
        <f t="shared" si="132"/>
        <v>75000</v>
      </c>
    </row>
    <row r="2435" spans="2:12" x14ac:dyDescent="0.35">
      <c r="B2435" s="174"/>
      <c r="C2435" s="175"/>
      <c r="D2435" s="176"/>
      <c r="E2435" s="163"/>
      <c r="F2435" s="163" t="s">
        <v>89</v>
      </c>
      <c r="G2435" s="163" t="s">
        <v>1401</v>
      </c>
      <c r="H2435" s="214">
        <v>465.63687999999996</v>
      </c>
      <c r="I2435" s="164" t="s">
        <v>87</v>
      </c>
      <c r="J2435" s="29">
        <v>29000</v>
      </c>
      <c r="K2435" s="51"/>
      <c r="L2435" s="46">
        <f t="shared" si="132"/>
        <v>13503469.52</v>
      </c>
    </row>
    <row r="2436" spans="2:12" x14ac:dyDescent="0.35">
      <c r="B2436" s="174"/>
      <c r="C2436" s="175"/>
      <c r="D2436" s="176"/>
      <c r="E2436" s="163"/>
      <c r="F2436" s="163" t="s">
        <v>89</v>
      </c>
      <c r="G2436" s="163" t="s">
        <v>1402</v>
      </c>
      <c r="H2436" s="214">
        <v>399.82247999999998</v>
      </c>
      <c r="I2436" s="164" t="s">
        <v>87</v>
      </c>
      <c r="J2436" s="29">
        <v>29000</v>
      </c>
      <c r="K2436" s="51"/>
      <c r="L2436" s="46">
        <f t="shared" si="132"/>
        <v>11594851.92</v>
      </c>
    </row>
    <row r="2437" spans="2:12" x14ac:dyDescent="0.35">
      <c r="B2437" s="174"/>
      <c r="C2437" s="175"/>
      <c r="D2437" s="176"/>
      <c r="E2437" s="163"/>
      <c r="F2437" s="163" t="s">
        <v>89</v>
      </c>
      <c r="G2437" s="163" t="s">
        <v>1403</v>
      </c>
      <c r="H2437" s="214">
        <v>435.42379999999997</v>
      </c>
      <c r="I2437" s="164" t="s">
        <v>87</v>
      </c>
      <c r="J2437" s="29">
        <v>29000</v>
      </c>
      <c r="K2437" s="51"/>
      <c r="L2437" s="46">
        <f t="shared" si="132"/>
        <v>12627290.199999999</v>
      </c>
    </row>
    <row r="2438" spans="2:12" x14ac:dyDescent="0.35">
      <c r="B2438" s="174"/>
      <c r="C2438" s="175"/>
      <c r="D2438" s="176"/>
      <c r="E2438" s="163"/>
      <c r="F2438" s="163" t="s">
        <v>89</v>
      </c>
      <c r="G2438" s="163" t="s">
        <v>1404</v>
      </c>
      <c r="H2438" s="214">
        <v>59.685119999999998</v>
      </c>
      <c r="I2438" s="164" t="s">
        <v>87</v>
      </c>
      <c r="J2438" s="29">
        <v>29000</v>
      </c>
      <c r="K2438" s="51"/>
      <c r="L2438" s="46">
        <f t="shared" si="132"/>
        <v>1730868.48</v>
      </c>
    </row>
    <row r="2439" spans="2:12" x14ac:dyDescent="0.35">
      <c r="B2439" s="174"/>
      <c r="C2439" s="175"/>
      <c r="D2439" s="176"/>
      <c r="E2439" s="163"/>
      <c r="F2439" s="163" t="s">
        <v>89</v>
      </c>
      <c r="G2439" s="163" t="s">
        <v>1405</v>
      </c>
      <c r="H2439" s="214">
        <v>67.823999999999998</v>
      </c>
      <c r="I2439" s="164" t="s">
        <v>87</v>
      </c>
      <c r="J2439" s="29">
        <v>29000</v>
      </c>
      <c r="K2439" s="51"/>
      <c r="L2439" s="46">
        <f t="shared" si="132"/>
        <v>1966896</v>
      </c>
    </row>
    <row r="2440" spans="2:12" x14ac:dyDescent="0.35">
      <c r="B2440" s="174"/>
      <c r="C2440" s="175"/>
      <c r="D2440" s="176"/>
      <c r="E2440" s="163"/>
      <c r="F2440" s="163" t="s">
        <v>89</v>
      </c>
      <c r="G2440" s="163" t="s">
        <v>1406</v>
      </c>
      <c r="H2440" s="214">
        <v>28.712160000000001</v>
      </c>
      <c r="I2440" s="164" t="s">
        <v>87</v>
      </c>
      <c r="J2440" s="29">
        <v>29000</v>
      </c>
      <c r="K2440" s="51"/>
      <c r="L2440" s="46">
        <f t="shared" si="132"/>
        <v>832652.64</v>
      </c>
    </row>
    <row r="2441" spans="2:12" x14ac:dyDescent="0.35">
      <c r="B2441" s="174"/>
      <c r="C2441" s="175"/>
      <c r="D2441" s="176"/>
      <c r="E2441" s="163"/>
      <c r="F2441" s="163" t="s">
        <v>89</v>
      </c>
      <c r="G2441" s="163" t="s">
        <v>1407</v>
      </c>
      <c r="H2441" s="214">
        <v>6.3302399999999999</v>
      </c>
      <c r="I2441" s="164" t="s">
        <v>87</v>
      </c>
      <c r="J2441" s="29">
        <v>29000</v>
      </c>
      <c r="K2441" s="51"/>
      <c r="L2441" s="46">
        <f t="shared" si="132"/>
        <v>183576.95999999999</v>
      </c>
    </row>
    <row r="2442" spans="2:12" x14ac:dyDescent="0.35">
      <c r="B2442" s="174"/>
      <c r="C2442" s="175"/>
      <c r="D2442" s="176"/>
      <c r="E2442" s="163"/>
      <c r="F2442" s="163" t="s">
        <v>89</v>
      </c>
      <c r="G2442" s="163" t="s">
        <v>1408</v>
      </c>
      <c r="H2442" s="214">
        <v>526.94399999999996</v>
      </c>
      <c r="I2442" s="164" t="s">
        <v>87</v>
      </c>
      <c r="J2442" s="29">
        <v>29000</v>
      </c>
      <c r="K2442" s="51"/>
      <c r="L2442" s="46">
        <f t="shared" si="132"/>
        <v>15281375.999999998</v>
      </c>
    </row>
    <row r="2443" spans="2:12" x14ac:dyDescent="0.35">
      <c r="B2443" s="174"/>
      <c r="C2443" s="175"/>
      <c r="D2443" s="176"/>
      <c r="E2443" s="163"/>
      <c r="F2443" s="163" t="s">
        <v>89</v>
      </c>
      <c r="G2443" s="163" t="s">
        <v>1409</v>
      </c>
      <c r="H2443" s="214">
        <v>397.00440000000003</v>
      </c>
      <c r="I2443" s="164" t="s">
        <v>87</v>
      </c>
      <c r="J2443" s="29">
        <v>29000</v>
      </c>
      <c r="K2443" s="51"/>
      <c r="L2443" s="46">
        <f t="shared" si="132"/>
        <v>11513127.600000001</v>
      </c>
    </row>
    <row r="2444" spans="2:12" x14ac:dyDescent="0.35">
      <c r="B2444" s="174"/>
      <c r="C2444" s="175"/>
      <c r="D2444" s="176"/>
      <c r="E2444" s="163"/>
      <c r="F2444" s="163" t="s">
        <v>89</v>
      </c>
      <c r="G2444" s="163" t="s">
        <v>1410</v>
      </c>
      <c r="H2444" s="214">
        <v>506.58479999999997</v>
      </c>
      <c r="I2444" s="164" t="s">
        <v>87</v>
      </c>
      <c r="J2444" s="29">
        <v>29000</v>
      </c>
      <c r="K2444" s="51"/>
      <c r="L2444" s="46">
        <f t="shared" si="132"/>
        <v>14690959.199999999</v>
      </c>
    </row>
    <row r="2445" spans="2:12" x14ac:dyDescent="0.35">
      <c r="B2445" s="174"/>
      <c r="C2445" s="175"/>
      <c r="D2445" s="176"/>
      <c r="E2445" s="163"/>
      <c r="F2445" s="163" t="s">
        <v>89</v>
      </c>
      <c r="G2445" s="163" t="s">
        <v>1411</v>
      </c>
      <c r="H2445" s="214">
        <v>16.910784</v>
      </c>
      <c r="I2445" s="164" t="s">
        <v>87</v>
      </c>
      <c r="J2445" s="29">
        <v>29000</v>
      </c>
      <c r="K2445" s="51"/>
      <c r="L2445" s="46">
        <f t="shared" si="132"/>
        <v>490412.73599999998</v>
      </c>
    </row>
    <row r="2446" spans="2:12" x14ac:dyDescent="0.35">
      <c r="B2446" s="174"/>
      <c r="C2446" s="175"/>
      <c r="D2446" s="176"/>
      <c r="E2446" s="163"/>
      <c r="F2446" s="163" t="s">
        <v>89</v>
      </c>
      <c r="G2446" s="163" t="s">
        <v>1412</v>
      </c>
      <c r="H2446" s="214">
        <v>10.680923519999997</v>
      </c>
      <c r="I2446" s="164" t="s">
        <v>87</v>
      </c>
      <c r="J2446" s="29">
        <v>29000</v>
      </c>
      <c r="K2446" s="51"/>
      <c r="L2446" s="46">
        <f t="shared" si="132"/>
        <v>309746.78207999992</v>
      </c>
    </row>
    <row r="2447" spans="2:12" x14ac:dyDescent="0.35">
      <c r="B2447" s="174"/>
      <c r="C2447" s="175"/>
      <c r="D2447" s="176"/>
      <c r="E2447" s="163"/>
      <c r="F2447" s="163" t="s">
        <v>89</v>
      </c>
      <c r="G2447" s="163" t="s">
        <v>1413</v>
      </c>
      <c r="H2447" s="214">
        <v>10.199200000000001</v>
      </c>
      <c r="I2447" s="164" t="s">
        <v>87</v>
      </c>
      <c r="J2447" s="29">
        <v>29000</v>
      </c>
      <c r="K2447" s="51"/>
      <c r="L2447" s="46">
        <f t="shared" si="132"/>
        <v>295776.80000000005</v>
      </c>
    </row>
    <row r="2448" spans="2:12" x14ac:dyDescent="0.35">
      <c r="B2448" s="174"/>
      <c r="C2448" s="175"/>
      <c r="D2448" s="176"/>
      <c r="E2448" s="163"/>
      <c r="F2448" s="163" t="s">
        <v>89</v>
      </c>
      <c r="G2448" s="163" t="s">
        <v>1414</v>
      </c>
      <c r="H2448" s="214">
        <v>6.8909183999999986</v>
      </c>
      <c r="I2448" s="164" t="s">
        <v>87</v>
      </c>
      <c r="J2448" s="29">
        <v>29000</v>
      </c>
      <c r="K2448" s="51"/>
      <c r="L2448" s="46">
        <f t="shared" si="132"/>
        <v>199836.63359999997</v>
      </c>
    </row>
    <row r="2449" spans="2:12" x14ac:dyDescent="0.35">
      <c r="B2449" s="174"/>
      <c r="C2449" s="175"/>
      <c r="D2449" s="176"/>
      <c r="E2449" s="163"/>
      <c r="F2449" s="163" t="s">
        <v>89</v>
      </c>
      <c r="G2449" s="163" t="s">
        <v>1415</v>
      </c>
      <c r="H2449" s="214">
        <v>6.8909183999999986</v>
      </c>
      <c r="I2449" s="164" t="s">
        <v>87</v>
      </c>
      <c r="J2449" s="29">
        <v>29000</v>
      </c>
      <c r="K2449" s="51"/>
      <c r="L2449" s="46">
        <f t="shared" si="132"/>
        <v>199836.63359999997</v>
      </c>
    </row>
    <row r="2450" spans="2:12" x14ac:dyDescent="0.35">
      <c r="B2450" s="174"/>
      <c r="C2450" s="175"/>
      <c r="D2450" s="176" t="s">
        <v>47</v>
      </c>
      <c r="E2450" s="163"/>
      <c r="F2450" s="163" t="s">
        <v>1416</v>
      </c>
      <c r="G2450" s="163"/>
      <c r="H2450" s="219"/>
      <c r="I2450" s="164"/>
      <c r="J2450" s="50"/>
      <c r="K2450" s="29"/>
      <c r="L2450" s="52"/>
    </row>
    <row r="2451" spans="2:12" x14ac:dyDescent="0.35">
      <c r="B2451" s="174"/>
      <c r="C2451" s="175"/>
      <c r="D2451" s="176"/>
      <c r="E2451" s="163"/>
      <c r="F2451" s="163" t="s">
        <v>89</v>
      </c>
      <c r="G2451" s="163" t="s">
        <v>1417</v>
      </c>
      <c r="H2451" s="214">
        <v>40.694399999999995</v>
      </c>
      <c r="I2451" s="164" t="s">
        <v>87</v>
      </c>
      <c r="J2451" s="29">
        <v>29000</v>
      </c>
      <c r="K2451" s="51"/>
      <c r="L2451" s="46">
        <f t="shared" ref="L2451:L2455" si="133">J2451*H2451</f>
        <v>1180137.5999999999</v>
      </c>
    </row>
    <row r="2452" spans="2:12" x14ac:dyDescent="0.35">
      <c r="B2452" s="174"/>
      <c r="C2452" s="175"/>
      <c r="D2452" s="176"/>
      <c r="E2452" s="163"/>
      <c r="F2452" s="163" t="s">
        <v>89</v>
      </c>
      <c r="G2452" s="163" t="s">
        <v>1418</v>
      </c>
      <c r="H2452" s="214">
        <v>9.1304668799999984</v>
      </c>
      <c r="I2452" s="164" t="s">
        <v>87</v>
      </c>
      <c r="J2452" s="29">
        <v>29000</v>
      </c>
      <c r="K2452" s="51"/>
      <c r="L2452" s="46">
        <f t="shared" si="133"/>
        <v>264783.53951999993</v>
      </c>
    </row>
    <row r="2453" spans="2:12" x14ac:dyDescent="0.35">
      <c r="B2453" s="174"/>
      <c r="C2453" s="175"/>
      <c r="D2453" s="176"/>
      <c r="E2453" s="163"/>
      <c r="F2453" s="163" t="s">
        <v>89</v>
      </c>
      <c r="G2453" s="163" t="s">
        <v>1419</v>
      </c>
      <c r="H2453" s="214">
        <v>7.8097075199999981</v>
      </c>
      <c r="I2453" s="164" t="s">
        <v>87</v>
      </c>
      <c r="J2453" s="29">
        <v>29000</v>
      </c>
      <c r="K2453" s="51"/>
      <c r="L2453" s="46">
        <f t="shared" si="133"/>
        <v>226481.51807999995</v>
      </c>
    </row>
    <row r="2454" spans="2:12" x14ac:dyDescent="0.35">
      <c r="B2454" s="174"/>
      <c r="C2454" s="175"/>
      <c r="D2454" s="176"/>
      <c r="E2454" s="163"/>
      <c r="F2454" s="163" t="s">
        <v>89</v>
      </c>
      <c r="G2454" s="163" t="s">
        <v>1420</v>
      </c>
      <c r="H2454" s="214">
        <v>8.2978142399999975</v>
      </c>
      <c r="I2454" s="164" t="s">
        <v>87</v>
      </c>
      <c r="J2454" s="29">
        <v>29000</v>
      </c>
      <c r="K2454" s="51"/>
      <c r="L2454" s="46">
        <f t="shared" si="133"/>
        <v>240636.61295999994</v>
      </c>
    </row>
    <row r="2455" spans="2:12" x14ac:dyDescent="0.35">
      <c r="B2455" s="174"/>
      <c r="C2455" s="175"/>
      <c r="D2455" s="176"/>
      <c r="E2455" s="163"/>
      <c r="F2455" s="163" t="s">
        <v>89</v>
      </c>
      <c r="G2455" s="163" t="s">
        <v>1421</v>
      </c>
      <c r="H2455" s="214">
        <v>1.6104000000000001</v>
      </c>
      <c r="I2455" s="164" t="s">
        <v>87</v>
      </c>
      <c r="J2455" s="29">
        <v>29000</v>
      </c>
      <c r="K2455" s="51"/>
      <c r="L2455" s="46">
        <f t="shared" si="133"/>
        <v>46701.599999999999</v>
      </c>
    </row>
    <row r="2456" spans="2:12" x14ac:dyDescent="0.35">
      <c r="B2456" s="174"/>
      <c r="C2456" s="175"/>
      <c r="D2456" s="176" t="s">
        <v>49</v>
      </c>
      <c r="E2456" s="163"/>
      <c r="F2456" s="163" t="s">
        <v>238</v>
      </c>
      <c r="G2456" s="163"/>
      <c r="H2456" s="219">
        <v>7</v>
      </c>
      <c r="I2456" s="164" t="s">
        <v>239</v>
      </c>
      <c r="J2456" s="50">
        <v>225000</v>
      </c>
      <c r="K2456" s="29">
        <f>J2456*H2456</f>
        <v>1575000</v>
      </c>
      <c r="L2456" s="52"/>
    </row>
    <row r="2457" spans="2:12" x14ac:dyDescent="0.35">
      <c r="B2457" s="174"/>
      <c r="C2457" s="175"/>
      <c r="D2457" s="176"/>
      <c r="E2457" s="163"/>
      <c r="F2457" s="163" t="s">
        <v>89</v>
      </c>
      <c r="G2457" s="163" t="s">
        <v>1422</v>
      </c>
      <c r="H2457" s="219">
        <v>80</v>
      </c>
      <c r="I2457" s="164" t="s">
        <v>100</v>
      </c>
      <c r="J2457" s="50">
        <v>500</v>
      </c>
      <c r="K2457" s="29"/>
      <c r="L2457" s="52">
        <f>J2457*H2457</f>
        <v>40000</v>
      </c>
    </row>
    <row r="2458" spans="2:12" x14ac:dyDescent="0.35">
      <c r="B2458" s="174"/>
      <c r="C2458" s="175"/>
      <c r="D2458" s="176"/>
      <c r="E2458" s="163"/>
      <c r="F2458" s="163" t="s">
        <v>89</v>
      </c>
      <c r="G2458" s="163" t="s">
        <v>1423</v>
      </c>
      <c r="H2458" s="219">
        <v>1620</v>
      </c>
      <c r="I2458" s="164" t="s">
        <v>100</v>
      </c>
      <c r="J2458" s="50">
        <v>332</v>
      </c>
      <c r="K2458" s="29"/>
      <c r="L2458" s="52">
        <f>J2458*H2458</f>
        <v>537840</v>
      </c>
    </row>
    <row r="2459" spans="2:12" x14ac:dyDescent="0.35">
      <c r="B2459" s="174"/>
      <c r="C2459" s="175"/>
      <c r="D2459" s="176"/>
      <c r="E2459" s="163"/>
      <c r="F2459" s="163" t="s">
        <v>89</v>
      </c>
      <c r="G2459" s="163" t="s">
        <v>1424</v>
      </c>
      <c r="H2459" s="219">
        <v>2</v>
      </c>
      <c r="I2459" s="164" t="s">
        <v>92</v>
      </c>
      <c r="J2459" s="50">
        <v>95000</v>
      </c>
      <c r="K2459" s="29"/>
      <c r="L2459" s="52">
        <f>J2459*H2459</f>
        <v>190000</v>
      </c>
    </row>
    <row r="2460" spans="2:12" x14ac:dyDescent="0.35">
      <c r="B2460" s="174"/>
      <c r="C2460" s="175"/>
      <c r="D2460" s="176"/>
      <c r="E2460" s="163"/>
      <c r="F2460" s="163" t="s">
        <v>89</v>
      </c>
      <c r="G2460" s="163" t="s">
        <v>1425</v>
      </c>
      <c r="H2460" s="219">
        <v>1</v>
      </c>
      <c r="I2460" s="164" t="s">
        <v>92</v>
      </c>
      <c r="J2460" s="50">
        <v>35000</v>
      </c>
      <c r="K2460" s="29"/>
      <c r="L2460" s="52">
        <f>J2460*H2460</f>
        <v>35000</v>
      </c>
    </row>
    <row r="2461" spans="2:12" x14ac:dyDescent="0.35">
      <c r="B2461" s="174"/>
      <c r="C2461" s="175"/>
      <c r="D2461" s="176" t="s">
        <v>62</v>
      </c>
      <c r="E2461" s="163"/>
      <c r="F2461" s="163" t="s">
        <v>240</v>
      </c>
      <c r="G2461" s="163"/>
      <c r="H2461" s="219"/>
      <c r="I2461" s="164"/>
      <c r="J2461" s="50"/>
      <c r="K2461" s="29"/>
      <c r="L2461" s="52"/>
    </row>
    <row r="2462" spans="2:12" x14ac:dyDescent="0.35">
      <c r="B2462" s="174"/>
      <c r="C2462" s="175"/>
      <c r="D2462" s="176"/>
      <c r="E2462" s="163"/>
      <c r="F2462" s="163" t="s">
        <v>89</v>
      </c>
      <c r="G2462" s="163" t="s">
        <v>1426</v>
      </c>
      <c r="H2462" s="214">
        <v>61.091839999999998</v>
      </c>
      <c r="I2462" s="164" t="s">
        <v>87</v>
      </c>
      <c r="J2462" s="29">
        <v>29000</v>
      </c>
      <c r="K2462" s="51"/>
      <c r="L2462" s="46">
        <f t="shared" ref="L2462:L2468" si="134">J2462*H2462</f>
        <v>1771663.3599999999</v>
      </c>
    </row>
    <row r="2463" spans="2:12" x14ac:dyDescent="0.35">
      <c r="B2463" s="174"/>
      <c r="C2463" s="175"/>
      <c r="D2463" s="176"/>
      <c r="E2463" s="163"/>
      <c r="F2463" s="163" t="s">
        <v>89</v>
      </c>
      <c r="G2463" s="163" t="s">
        <v>1427</v>
      </c>
      <c r="H2463" s="214">
        <v>11.915546399999997</v>
      </c>
      <c r="I2463" s="164" t="s">
        <v>87</v>
      </c>
      <c r="J2463" s="29">
        <v>29000</v>
      </c>
      <c r="K2463" s="51"/>
      <c r="L2463" s="46">
        <f t="shared" si="134"/>
        <v>345550.84559999988</v>
      </c>
    </row>
    <row r="2464" spans="2:12" x14ac:dyDescent="0.35">
      <c r="B2464" s="174"/>
      <c r="C2464" s="175"/>
      <c r="D2464" s="176"/>
      <c r="E2464" s="163"/>
      <c r="F2464" s="163" t="s">
        <v>89</v>
      </c>
      <c r="G2464" s="163" t="s">
        <v>1428</v>
      </c>
      <c r="H2464" s="214">
        <v>12.231380159999997</v>
      </c>
      <c r="I2464" s="164" t="s">
        <v>87</v>
      </c>
      <c r="J2464" s="29">
        <v>29000</v>
      </c>
      <c r="K2464" s="51"/>
      <c r="L2464" s="46">
        <f t="shared" si="134"/>
        <v>354710.0246399999</v>
      </c>
    </row>
    <row r="2465" spans="2:13" x14ac:dyDescent="0.35">
      <c r="B2465" s="174"/>
      <c r="C2465" s="175"/>
      <c r="D2465" s="176"/>
      <c r="E2465" s="163"/>
      <c r="F2465" s="163" t="s">
        <v>89</v>
      </c>
      <c r="G2465" s="163" t="s">
        <v>1429</v>
      </c>
      <c r="H2465" s="214">
        <v>3.9048537599999991</v>
      </c>
      <c r="I2465" s="164" t="s">
        <v>87</v>
      </c>
      <c r="J2465" s="29">
        <v>29000</v>
      </c>
      <c r="K2465" s="51"/>
      <c r="L2465" s="46">
        <f t="shared" si="134"/>
        <v>113240.75903999998</v>
      </c>
    </row>
    <row r="2466" spans="2:13" x14ac:dyDescent="0.35">
      <c r="B2466" s="174"/>
      <c r="C2466" s="175"/>
      <c r="D2466" s="176"/>
      <c r="E2466" s="163"/>
      <c r="F2466" s="163" t="s">
        <v>89</v>
      </c>
      <c r="G2466" s="163" t="s">
        <v>1430</v>
      </c>
      <c r="H2466" s="214">
        <v>4.2201599999999999</v>
      </c>
      <c r="I2466" s="164" t="s">
        <v>87</v>
      </c>
      <c r="J2466" s="29">
        <v>29000</v>
      </c>
      <c r="K2466" s="51"/>
      <c r="L2466" s="46">
        <f t="shared" si="134"/>
        <v>122384.64</v>
      </c>
    </row>
    <row r="2467" spans="2:13" x14ac:dyDescent="0.35">
      <c r="B2467" s="174"/>
      <c r="C2467" s="175"/>
      <c r="D2467" s="176"/>
      <c r="E2467" s="163"/>
      <c r="F2467" s="163" t="s">
        <v>89</v>
      </c>
      <c r="G2467" s="163" t="s">
        <v>1431</v>
      </c>
      <c r="H2467" s="214">
        <v>4.4311679999999996</v>
      </c>
      <c r="I2467" s="164" t="s">
        <v>87</v>
      </c>
      <c r="J2467" s="29">
        <v>29000</v>
      </c>
      <c r="K2467" s="51"/>
      <c r="L2467" s="46">
        <f t="shared" si="134"/>
        <v>128503.87199999999</v>
      </c>
    </row>
    <row r="2468" spans="2:13" x14ac:dyDescent="0.35">
      <c r="B2468" s="174"/>
      <c r="C2468" s="175"/>
      <c r="D2468" s="176"/>
      <c r="E2468" s="163"/>
      <c r="F2468" s="163" t="s">
        <v>89</v>
      </c>
      <c r="G2468" s="163" t="s">
        <v>1432</v>
      </c>
      <c r="H2468" s="219">
        <v>2</v>
      </c>
      <c r="I2468" s="164" t="s">
        <v>92</v>
      </c>
      <c r="J2468" s="50">
        <v>75000</v>
      </c>
      <c r="K2468" s="29"/>
      <c r="L2468" s="52">
        <f t="shared" si="134"/>
        <v>150000</v>
      </c>
    </row>
    <row r="2469" spans="2:13" x14ac:dyDescent="0.35">
      <c r="B2469" s="174"/>
      <c r="C2469" s="175"/>
      <c r="D2469" s="176"/>
      <c r="E2469" s="163"/>
      <c r="F2469" s="163" t="s">
        <v>89</v>
      </c>
      <c r="G2469" s="163" t="s">
        <v>1433</v>
      </c>
      <c r="H2469" s="219">
        <v>1</v>
      </c>
      <c r="I2469" s="164" t="s">
        <v>92</v>
      </c>
      <c r="J2469" s="50">
        <v>35000</v>
      </c>
      <c r="K2469" s="29"/>
      <c r="L2469" s="52">
        <f>J2469*H2469</f>
        <v>35000</v>
      </c>
    </row>
    <row r="2470" spans="2:13" x14ac:dyDescent="0.35">
      <c r="B2470" s="174"/>
      <c r="C2470" s="175"/>
      <c r="D2470" s="176"/>
      <c r="E2470" s="163"/>
      <c r="F2470" s="163" t="s">
        <v>89</v>
      </c>
      <c r="G2470" s="163" t="s">
        <v>1434</v>
      </c>
      <c r="H2470" s="214">
        <v>1.5071999999999997</v>
      </c>
      <c r="I2470" s="164" t="s">
        <v>87</v>
      </c>
      <c r="J2470" s="29">
        <v>29000</v>
      </c>
      <c r="K2470" s="51"/>
      <c r="L2470" s="46">
        <f t="shared" ref="L2470" si="135">J2470*H2470</f>
        <v>43708.799999999988</v>
      </c>
    </row>
    <row r="2471" spans="2:13" x14ac:dyDescent="0.35">
      <c r="B2471" s="174"/>
      <c r="C2471" s="175"/>
      <c r="D2471" s="176"/>
      <c r="E2471" s="163"/>
      <c r="F2471" s="163" t="s">
        <v>89</v>
      </c>
      <c r="G2471" s="163" t="s">
        <v>1435</v>
      </c>
      <c r="H2471" s="219">
        <v>1</v>
      </c>
      <c r="I2471" s="164" t="s">
        <v>92</v>
      </c>
      <c r="J2471" s="50">
        <v>35000</v>
      </c>
      <c r="K2471" s="29"/>
      <c r="L2471" s="52">
        <f>J2471*H2471</f>
        <v>35000</v>
      </c>
    </row>
    <row r="2472" spans="2:13" x14ac:dyDescent="0.35">
      <c r="B2472" s="174"/>
      <c r="C2472" s="175"/>
      <c r="D2472" s="176"/>
      <c r="E2472" s="163"/>
      <c r="F2472" s="163" t="s">
        <v>89</v>
      </c>
      <c r="G2472" s="163" t="s">
        <v>1436</v>
      </c>
      <c r="H2472" s="214">
        <v>8.4553919999999998</v>
      </c>
      <c r="I2472" s="164" t="s">
        <v>87</v>
      </c>
      <c r="J2472" s="29">
        <v>29000</v>
      </c>
      <c r="K2472" s="51"/>
      <c r="L2472" s="46">
        <f t="shared" ref="L2472" si="136">J2472*H2472</f>
        <v>245206.36799999999</v>
      </c>
    </row>
    <row r="2473" spans="2:13" x14ac:dyDescent="0.35">
      <c r="B2473" s="174"/>
      <c r="C2473" s="175"/>
      <c r="D2473" s="176" t="s">
        <v>51</v>
      </c>
      <c r="E2473" s="163"/>
      <c r="F2473" s="163" t="s">
        <v>241</v>
      </c>
      <c r="G2473" s="163"/>
      <c r="H2473" s="219"/>
      <c r="I2473" s="164"/>
      <c r="J2473" s="50"/>
      <c r="K2473" s="29"/>
      <c r="L2473" s="52"/>
    </row>
    <row r="2474" spans="2:13" x14ac:dyDescent="0.35">
      <c r="B2474" s="174"/>
      <c r="C2474" s="175"/>
      <c r="D2474" s="176"/>
      <c r="E2474" s="163"/>
      <c r="F2474" s="163" t="s">
        <v>89</v>
      </c>
      <c r="G2474" s="163" t="s">
        <v>1437</v>
      </c>
      <c r="H2474" s="214">
        <v>56.645599999999988</v>
      </c>
      <c r="I2474" s="164" t="s">
        <v>87</v>
      </c>
      <c r="J2474" s="29">
        <v>29000</v>
      </c>
      <c r="K2474" s="51"/>
      <c r="L2474" s="46">
        <f t="shared" ref="L2474:L2481" si="137">J2474*H2474</f>
        <v>1642722.3999999997</v>
      </c>
    </row>
    <row r="2475" spans="2:13" x14ac:dyDescent="0.35">
      <c r="B2475" s="174"/>
      <c r="C2475" s="175"/>
      <c r="D2475" s="176"/>
      <c r="E2475" s="163"/>
      <c r="F2475" s="163" t="s">
        <v>89</v>
      </c>
      <c r="G2475" s="163" t="s">
        <v>1438</v>
      </c>
      <c r="H2475" s="214">
        <v>34.364159999999998</v>
      </c>
      <c r="I2475" s="164" t="s">
        <v>87</v>
      </c>
      <c r="J2475" s="29">
        <v>29000</v>
      </c>
      <c r="K2475" s="51"/>
      <c r="L2475" s="46">
        <f t="shared" si="137"/>
        <v>996560.6399999999</v>
      </c>
    </row>
    <row r="2476" spans="2:13" x14ac:dyDescent="0.35">
      <c r="B2476" s="174"/>
      <c r="C2476" s="175"/>
      <c r="D2476" s="176"/>
      <c r="E2476" s="163"/>
      <c r="F2476" s="163" t="s">
        <v>89</v>
      </c>
      <c r="G2476" s="163" t="s">
        <v>1439</v>
      </c>
      <c r="H2476" s="214">
        <v>28.712160000000001</v>
      </c>
      <c r="I2476" s="164" t="s">
        <v>87</v>
      </c>
      <c r="J2476" s="29">
        <v>29000</v>
      </c>
      <c r="K2476" s="51"/>
      <c r="L2476" s="46">
        <f t="shared" si="137"/>
        <v>832652.64</v>
      </c>
    </row>
    <row r="2477" spans="2:13" x14ac:dyDescent="0.35">
      <c r="B2477" s="174"/>
      <c r="C2477" s="175"/>
      <c r="D2477" s="176"/>
      <c r="E2477" s="163"/>
      <c r="F2477" s="163" t="s">
        <v>89</v>
      </c>
      <c r="G2477" s="163" t="s">
        <v>1440</v>
      </c>
      <c r="H2477" s="214">
        <v>12.66048</v>
      </c>
      <c r="I2477" s="164" t="s">
        <v>87</v>
      </c>
      <c r="J2477" s="29">
        <v>29000</v>
      </c>
      <c r="K2477" s="51"/>
      <c r="L2477" s="46">
        <f t="shared" si="137"/>
        <v>367153.91999999998</v>
      </c>
    </row>
    <row r="2478" spans="2:13" x14ac:dyDescent="0.35">
      <c r="B2478" s="174"/>
      <c r="C2478" s="175"/>
      <c r="D2478" s="176"/>
      <c r="E2478" s="163"/>
      <c r="F2478" s="163" t="s">
        <v>89</v>
      </c>
      <c r="G2478" s="163" t="s">
        <v>1441</v>
      </c>
      <c r="H2478" s="214">
        <v>33.912000000000006</v>
      </c>
      <c r="I2478" s="164" t="s">
        <v>87</v>
      </c>
      <c r="J2478" s="29">
        <v>29000</v>
      </c>
      <c r="K2478" s="51"/>
      <c r="L2478" s="46">
        <f t="shared" si="137"/>
        <v>983448.00000000023</v>
      </c>
    </row>
    <row r="2479" spans="2:13" x14ac:dyDescent="0.35">
      <c r="B2479" s="174"/>
      <c r="C2479" s="175"/>
      <c r="D2479" s="176"/>
      <c r="E2479" s="163"/>
      <c r="F2479" s="163" t="s">
        <v>89</v>
      </c>
      <c r="G2479" s="163" t="s">
        <v>1442</v>
      </c>
      <c r="H2479" s="214">
        <v>2.2607999999999997</v>
      </c>
      <c r="I2479" s="164" t="s">
        <v>87</v>
      </c>
      <c r="J2479" s="29">
        <v>29000</v>
      </c>
      <c r="K2479" s="51"/>
      <c r="L2479" s="46">
        <f t="shared" si="137"/>
        <v>65563.199999999997</v>
      </c>
    </row>
    <row r="2480" spans="2:13" ht="17.5" customHeight="1" x14ac:dyDescent="0.35">
      <c r="B2480" s="174"/>
      <c r="C2480" s="175"/>
      <c r="D2480" s="176"/>
      <c r="E2480" s="163"/>
      <c r="F2480" s="163" t="s">
        <v>89</v>
      </c>
      <c r="G2480" s="163" t="s">
        <v>1443</v>
      </c>
      <c r="H2480" s="219">
        <v>5</v>
      </c>
      <c r="I2480" s="164" t="s">
        <v>92</v>
      </c>
      <c r="J2480" s="29">
        <v>250000</v>
      </c>
      <c r="K2480" s="51"/>
      <c r="L2480" s="46">
        <f t="shared" si="137"/>
        <v>1250000</v>
      </c>
      <c r="M2480">
        <f>650*220*1.54</f>
        <v>220220</v>
      </c>
    </row>
    <row r="2481" spans="2:12" ht="17.5" customHeight="1" x14ac:dyDescent="0.35">
      <c r="B2481" s="174"/>
      <c r="C2481" s="175"/>
      <c r="D2481" s="176"/>
      <c r="E2481" s="163"/>
      <c r="F2481" s="163" t="s">
        <v>89</v>
      </c>
      <c r="G2481" s="163" t="s">
        <v>1444</v>
      </c>
      <c r="H2481" s="214">
        <v>10.399679999999998</v>
      </c>
      <c r="I2481" s="164" t="s">
        <v>87</v>
      </c>
      <c r="J2481" s="29">
        <v>29000</v>
      </c>
      <c r="K2481" s="51"/>
      <c r="L2481" s="46">
        <f t="shared" si="137"/>
        <v>301590.71999999997</v>
      </c>
    </row>
    <row r="2482" spans="2:12" x14ac:dyDescent="0.35">
      <c r="B2482" s="174"/>
      <c r="C2482" s="175"/>
      <c r="D2482" s="176"/>
      <c r="E2482" s="163"/>
      <c r="F2482" s="163"/>
      <c r="G2482" s="163"/>
      <c r="H2482" s="214"/>
      <c r="I2482" s="164"/>
      <c r="J2482" s="29"/>
      <c r="K2482" s="51"/>
      <c r="L2482" s="46"/>
    </row>
    <row r="2483" spans="2:12" x14ac:dyDescent="0.35">
      <c r="B2483" s="174"/>
      <c r="C2483" s="175"/>
      <c r="D2483" s="176"/>
      <c r="E2483" s="163"/>
      <c r="F2483" s="163"/>
      <c r="G2483" s="163"/>
      <c r="H2483" s="214"/>
      <c r="I2483" s="164"/>
      <c r="J2483" s="29"/>
      <c r="K2483" s="51"/>
      <c r="L2483" s="46"/>
    </row>
    <row r="2484" spans="2:12" x14ac:dyDescent="0.35">
      <c r="B2484" s="47"/>
      <c r="C2484" s="48"/>
      <c r="D2484" s="24"/>
      <c r="G2484" s="22"/>
      <c r="I2484" s="22"/>
      <c r="J2484" s="50"/>
      <c r="K2484" s="29"/>
      <c r="L2484" s="52"/>
    </row>
    <row r="2485" spans="2:12" x14ac:dyDescent="0.35">
      <c r="B2485" s="8"/>
      <c r="C2485" s="9"/>
      <c r="D2485" s="10"/>
      <c r="E2485" s="4"/>
      <c r="F2485" s="4"/>
      <c r="G2485" s="4"/>
      <c r="H2485" s="1"/>
      <c r="I2485" s="1"/>
      <c r="J2485" s="11" t="s">
        <v>8</v>
      </c>
      <c r="K2485" s="7">
        <f>SUM(K2432:K2484)</f>
        <v>1575000</v>
      </c>
      <c r="L2485" s="7">
        <f>SUM(L2432:L2484)</f>
        <v>98500861.565119952</v>
      </c>
    </row>
    <row r="2486" spans="2:12" x14ac:dyDescent="0.35">
      <c r="B2486" s="8"/>
      <c r="C2486" s="9"/>
      <c r="D2486" s="9"/>
      <c r="E2486" s="4"/>
      <c r="F2486" s="4"/>
      <c r="G2486" s="4"/>
      <c r="H2486" s="1"/>
      <c r="I2486" s="1"/>
      <c r="J2486" s="11"/>
      <c r="K2486" s="35" t="s">
        <v>22</v>
      </c>
      <c r="L2486" s="36" t="s">
        <v>23</v>
      </c>
    </row>
    <row r="2487" spans="2:12" x14ac:dyDescent="0.35">
      <c r="B2487" s="3" t="s">
        <v>9</v>
      </c>
      <c r="C2487" s="4"/>
      <c r="D2487" s="4"/>
      <c r="E2487" s="4"/>
      <c r="F2487" s="4"/>
      <c r="G2487" s="4"/>
      <c r="H2487" s="1"/>
      <c r="I2487" s="1"/>
      <c r="J2487" s="12"/>
      <c r="K2487" s="12"/>
      <c r="L2487" s="13"/>
    </row>
    <row r="2488" spans="2:12" x14ac:dyDescent="0.35">
      <c r="B2488" s="37"/>
      <c r="C2488" s="1"/>
      <c r="D2488" s="1"/>
      <c r="E2488" s="38"/>
      <c r="F2488" s="38"/>
      <c r="G2488" s="38"/>
      <c r="H2488" s="1"/>
      <c r="I2488" s="1"/>
      <c r="J2488" s="1"/>
      <c r="K2488" s="1"/>
      <c r="L2488" s="19"/>
    </row>
    <row r="2489" spans="2:12" x14ac:dyDescent="0.35">
      <c r="B2489" s="28" t="s">
        <v>6</v>
      </c>
      <c r="C2489" s="27"/>
      <c r="D2489" s="27"/>
      <c r="E2489" s="26"/>
      <c r="F2489" s="26"/>
      <c r="G2489" s="5"/>
      <c r="K2489" s="284" t="s">
        <v>1600</v>
      </c>
      <c r="L2489" s="285"/>
    </row>
    <row r="2490" spans="2:12" x14ac:dyDescent="0.35">
      <c r="B2490" s="28">
        <v>1</v>
      </c>
      <c r="C2490" s="27"/>
      <c r="D2490" s="27"/>
      <c r="E2490" s="26" t="s">
        <v>7</v>
      </c>
      <c r="F2490" s="26"/>
      <c r="G2490" s="5"/>
      <c r="K2490" s="284" t="s">
        <v>28</v>
      </c>
      <c r="L2490" s="285"/>
    </row>
    <row r="2491" spans="2:12" x14ac:dyDescent="0.35">
      <c r="B2491" s="39"/>
      <c r="C2491" s="27"/>
      <c r="D2491" s="27"/>
      <c r="E2491" s="26"/>
      <c r="F2491" s="26"/>
      <c r="G2491" s="5"/>
      <c r="J2491" s="25"/>
      <c r="K2491" s="25"/>
      <c r="L2491" s="24"/>
    </row>
    <row r="2492" spans="2:12" x14ac:dyDescent="0.35">
      <c r="B2492" s="28"/>
      <c r="C2492" s="27"/>
      <c r="D2492" s="27"/>
      <c r="E2492" s="26"/>
      <c r="F2492" s="26"/>
      <c r="G2492" s="5"/>
      <c r="L2492" s="22"/>
    </row>
    <row r="2493" spans="2:12" x14ac:dyDescent="0.35">
      <c r="B2493" s="45"/>
      <c r="E2493" s="5"/>
      <c r="F2493" s="5"/>
      <c r="G2493" s="5"/>
      <c r="L2493" s="22"/>
    </row>
    <row r="2494" spans="2:12" x14ac:dyDescent="0.35">
      <c r="B2494" s="45"/>
      <c r="E2494" s="5"/>
      <c r="F2494" s="5"/>
      <c r="G2494" s="5"/>
      <c r="L2494" s="22"/>
    </row>
    <row r="2495" spans="2:12" x14ac:dyDescent="0.35">
      <c r="B2495" s="45"/>
      <c r="E2495" s="5"/>
      <c r="F2495" s="5"/>
      <c r="G2495" s="5"/>
      <c r="L2495" s="22"/>
    </row>
    <row r="2496" spans="2:12" x14ac:dyDescent="0.35">
      <c r="B2496" s="45"/>
      <c r="E2496" s="5"/>
      <c r="F2496" s="5"/>
      <c r="G2496" s="5"/>
      <c r="J2496" s="40"/>
      <c r="K2496" s="286" t="s">
        <v>36</v>
      </c>
      <c r="L2496" s="287"/>
    </row>
    <row r="2497" spans="2:12" x14ac:dyDescent="0.35">
      <c r="B2497" s="45"/>
      <c r="K2497" s="288" t="s">
        <v>37</v>
      </c>
      <c r="L2497" s="289"/>
    </row>
    <row r="2498" spans="2:12" x14ac:dyDescent="0.35">
      <c r="B2498" s="290"/>
      <c r="C2498" s="291"/>
      <c r="D2498" s="291"/>
      <c r="E2498" s="41"/>
      <c r="F2498" s="41"/>
      <c r="G2498" s="41"/>
      <c r="H2498" s="2"/>
      <c r="I2498" s="2"/>
      <c r="J2498" s="2"/>
      <c r="K2498" s="2"/>
      <c r="L2498" s="21"/>
    </row>
    <row r="2499" spans="2:12" x14ac:dyDescent="0.35">
      <c r="B2499" s="47"/>
      <c r="C2499" s="48"/>
      <c r="D2499" s="49"/>
      <c r="G2499" s="22"/>
      <c r="H2499" s="1"/>
      <c r="I2499" s="1"/>
      <c r="J2499" s="43"/>
      <c r="K2499" s="30"/>
      <c r="L2499" s="44"/>
    </row>
    <row r="2500" spans="2:12" x14ac:dyDescent="0.35">
      <c r="B2500" s="174"/>
      <c r="C2500" s="175"/>
      <c r="D2500" s="176" t="s">
        <v>53</v>
      </c>
      <c r="E2500" s="163"/>
      <c r="F2500" s="163" t="s">
        <v>242</v>
      </c>
      <c r="G2500" s="163"/>
      <c r="H2500" s="219">
        <v>15</v>
      </c>
      <c r="I2500" s="164" t="s">
        <v>239</v>
      </c>
      <c r="J2500" s="65">
        <v>150000</v>
      </c>
      <c r="K2500" s="65">
        <f>J2500*H2500</f>
        <v>2250000</v>
      </c>
      <c r="L2500" s="46"/>
    </row>
    <row r="2501" spans="2:12" x14ac:dyDescent="0.35">
      <c r="B2501" s="174"/>
      <c r="C2501" s="175"/>
      <c r="D2501" s="176"/>
      <c r="E2501" s="163"/>
      <c r="F2501" s="163" t="s">
        <v>89</v>
      </c>
      <c r="G2501" s="163" t="s">
        <v>1445</v>
      </c>
      <c r="H2501" s="219">
        <v>1460</v>
      </c>
      <c r="I2501" s="164" t="s">
        <v>100</v>
      </c>
      <c r="J2501" s="29">
        <v>332</v>
      </c>
      <c r="K2501" s="51"/>
      <c r="L2501" s="46">
        <f>J2501*H2501</f>
        <v>484720</v>
      </c>
    </row>
    <row r="2502" spans="2:12" x14ac:dyDescent="0.35">
      <c r="B2502" s="174"/>
      <c r="C2502" s="175"/>
      <c r="D2502" s="176"/>
      <c r="E2502" s="163"/>
      <c r="F2502" s="163" t="s">
        <v>89</v>
      </c>
      <c r="G2502" s="163" t="s">
        <v>1446</v>
      </c>
      <c r="H2502" s="219">
        <v>1900</v>
      </c>
      <c r="I2502" s="164" t="s">
        <v>92</v>
      </c>
      <c r="J2502" s="29">
        <v>332</v>
      </c>
      <c r="K2502" s="51"/>
      <c r="L2502" s="46">
        <f>J2502*H2502</f>
        <v>630800</v>
      </c>
    </row>
    <row r="2503" spans="2:12" x14ac:dyDescent="0.35">
      <c r="B2503" s="174"/>
      <c r="C2503" s="175"/>
      <c r="D2503" s="176"/>
      <c r="E2503" s="163"/>
      <c r="F2503" s="163" t="s">
        <v>89</v>
      </c>
      <c r="G2503" s="163" t="s">
        <v>243</v>
      </c>
      <c r="H2503" s="219">
        <v>1400</v>
      </c>
      <c r="I2503" s="164" t="s">
        <v>100</v>
      </c>
      <c r="J2503" s="29">
        <v>332</v>
      </c>
      <c r="K2503" s="51"/>
      <c r="L2503" s="46">
        <f>J2503*H2503</f>
        <v>464800</v>
      </c>
    </row>
    <row r="2504" spans="2:12" x14ac:dyDescent="0.35">
      <c r="B2504" s="174"/>
      <c r="C2504" s="175"/>
      <c r="D2504" s="176"/>
      <c r="E2504" s="163"/>
      <c r="F2504" s="163" t="s">
        <v>89</v>
      </c>
      <c r="G2504" s="163" t="s">
        <v>1447</v>
      </c>
      <c r="H2504" s="219">
        <v>2700</v>
      </c>
      <c r="I2504" s="164" t="s">
        <v>100</v>
      </c>
      <c r="J2504" s="29">
        <v>332</v>
      </c>
      <c r="K2504" s="51"/>
      <c r="L2504" s="46">
        <f>J2504*H2504</f>
        <v>896400</v>
      </c>
    </row>
    <row r="2505" spans="2:12" x14ac:dyDescent="0.35">
      <c r="B2505" s="174"/>
      <c r="C2505" s="175"/>
      <c r="D2505" s="176"/>
      <c r="E2505" s="163"/>
      <c r="F2505" s="163" t="s">
        <v>89</v>
      </c>
      <c r="G2505" s="163" t="s">
        <v>244</v>
      </c>
      <c r="H2505" s="219">
        <v>2</v>
      </c>
      <c r="I2505" s="164" t="s">
        <v>92</v>
      </c>
      <c r="J2505" s="65">
        <v>95000</v>
      </c>
      <c r="K2505" s="65"/>
      <c r="L2505" s="46">
        <f t="shared" ref="L2505" si="138">J2505*H2505</f>
        <v>190000</v>
      </c>
    </row>
    <row r="2506" spans="2:12" x14ac:dyDescent="0.35">
      <c r="B2506" s="174"/>
      <c r="C2506" s="175"/>
      <c r="D2506" s="176" t="s">
        <v>55</v>
      </c>
      <c r="E2506" s="163"/>
      <c r="F2506" s="163" t="s">
        <v>245</v>
      </c>
      <c r="G2506" s="163"/>
      <c r="H2506" s="219"/>
      <c r="I2506" s="164"/>
      <c r="J2506" s="29"/>
      <c r="K2506" s="51"/>
      <c r="L2506" s="46"/>
    </row>
    <row r="2507" spans="2:12" x14ac:dyDescent="0.35">
      <c r="B2507" s="174"/>
      <c r="C2507" s="175"/>
      <c r="D2507" s="176"/>
      <c r="E2507" s="163"/>
      <c r="F2507" s="163" t="s">
        <v>89</v>
      </c>
      <c r="G2507" s="163" t="s">
        <v>1448</v>
      </c>
      <c r="H2507" s="214">
        <v>53.038367999999984</v>
      </c>
      <c r="I2507" s="164" t="s">
        <v>87</v>
      </c>
      <c r="J2507" s="29">
        <v>29000</v>
      </c>
      <c r="K2507" s="51"/>
      <c r="L2507" s="46">
        <f t="shared" ref="L2507:L2509" si="139">J2507*H2507</f>
        <v>1538112.6719999996</v>
      </c>
    </row>
    <row r="2508" spans="2:12" x14ac:dyDescent="0.35">
      <c r="B2508" s="174"/>
      <c r="C2508" s="175"/>
      <c r="D2508" s="176"/>
      <c r="E2508" s="163"/>
      <c r="F2508" s="163" t="s">
        <v>89</v>
      </c>
      <c r="G2508" s="163" t="s">
        <v>1449</v>
      </c>
      <c r="H2508" s="214">
        <v>26.903519999999993</v>
      </c>
      <c r="I2508" s="164" t="s">
        <v>87</v>
      </c>
      <c r="J2508" s="29">
        <v>29000</v>
      </c>
      <c r="K2508" s="51"/>
      <c r="L2508" s="46">
        <f t="shared" si="139"/>
        <v>780202.07999999984</v>
      </c>
    </row>
    <row r="2509" spans="2:12" x14ac:dyDescent="0.35">
      <c r="B2509" s="174"/>
      <c r="C2509" s="175"/>
      <c r="D2509" s="176"/>
      <c r="E2509" s="163"/>
      <c r="F2509" s="163" t="s">
        <v>89</v>
      </c>
      <c r="G2509" s="163" t="s">
        <v>1450</v>
      </c>
      <c r="H2509" s="214">
        <v>2.9524000000000004</v>
      </c>
      <c r="I2509" s="164" t="s">
        <v>87</v>
      </c>
      <c r="J2509" s="29">
        <v>29000</v>
      </c>
      <c r="K2509" s="51"/>
      <c r="L2509" s="46">
        <f t="shared" si="139"/>
        <v>85619.6</v>
      </c>
    </row>
    <row r="2510" spans="2:12" x14ac:dyDescent="0.35">
      <c r="B2510" s="174"/>
      <c r="C2510" s="175"/>
      <c r="D2510" s="176" t="s">
        <v>65</v>
      </c>
      <c r="E2510" s="163"/>
      <c r="F2510" s="163" t="s">
        <v>246</v>
      </c>
      <c r="G2510" s="163"/>
      <c r="H2510" s="219"/>
      <c r="I2510" s="164"/>
      <c r="J2510" s="65"/>
      <c r="K2510" s="65"/>
      <c r="L2510" s="46"/>
    </row>
    <row r="2511" spans="2:12" x14ac:dyDescent="0.35">
      <c r="B2511" s="174"/>
      <c r="C2511" s="175"/>
      <c r="D2511" s="176"/>
      <c r="E2511" s="163"/>
      <c r="F2511" s="163" t="s">
        <v>89</v>
      </c>
      <c r="G2511" s="163" t="s">
        <v>247</v>
      </c>
      <c r="H2511" s="214">
        <v>141.29999999999998</v>
      </c>
      <c r="I2511" s="164" t="s">
        <v>87</v>
      </c>
      <c r="J2511" s="29">
        <v>29000</v>
      </c>
      <c r="K2511" s="51"/>
      <c r="L2511" s="46">
        <f t="shared" ref="L2511:L2515" si="140">J2511*H2511</f>
        <v>4097699.9999999995</v>
      </c>
    </row>
    <row r="2512" spans="2:12" x14ac:dyDescent="0.35">
      <c r="B2512" s="174"/>
      <c r="C2512" s="175"/>
      <c r="D2512" s="176"/>
      <c r="E2512" s="163"/>
      <c r="F2512" s="163" t="s">
        <v>89</v>
      </c>
      <c r="G2512" s="163" t="s">
        <v>248</v>
      </c>
      <c r="H2512" s="219">
        <v>500</v>
      </c>
      <c r="I2512" s="164" t="s">
        <v>100</v>
      </c>
      <c r="J2512" s="65">
        <v>1676</v>
      </c>
      <c r="K2512" s="65"/>
      <c r="L2512" s="46">
        <f t="shared" si="140"/>
        <v>838000</v>
      </c>
    </row>
    <row r="2513" spans="2:14" x14ac:dyDescent="0.35">
      <c r="B2513" s="174"/>
      <c r="C2513" s="175"/>
      <c r="D2513" s="176"/>
      <c r="E2513" s="163"/>
      <c r="F2513" s="163" t="s">
        <v>89</v>
      </c>
      <c r="G2513" s="163" t="s">
        <v>249</v>
      </c>
      <c r="H2513" s="214">
        <v>20.347199999999997</v>
      </c>
      <c r="I2513" s="164" t="s">
        <v>87</v>
      </c>
      <c r="J2513" s="29">
        <v>29000</v>
      </c>
      <c r="K2513" s="51"/>
      <c r="L2513" s="46">
        <f t="shared" si="140"/>
        <v>590068.79999999993</v>
      </c>
    </row>
    <row r="2514" spans="2:14" x14ac:dyDescent="0.35">
      <c r="B2514" s="174"/>
      <c r="C2514" s="175"/>
      <c r="D2514" s="176"/>
      <c r="E2514" s="163"/>
      <c r="F2514" s="163" t="s">
        <v>89</v>
      </c>
      <c r="G2514" s="163" t="s">
        <v>1451</v>
      </c>
      <c r="H2514" s="86">
        <v>200</v>
      </c>
      <c r="I2514" s="85" t="s">
        <v>100</v>
      </c>
      <c r="J2514" s="65">
        <v>345000</v>
      </c>
      <c r="K2514" s="65"/>
      <c r="L2514" s="46">
        <f t="shared" si="140"/>
        <v>69000000</v>
      </c>
    </row>
    <row r="2515" spans="2:14" x14ac:dyDescent="0.35">
      <c r="B2515" s="174"/>
      <c r="C2515" s="175"/>
      <c r="D2515" s="176"/>
      <c r="E2515" s="163"/>
      <c r="F2515" s="163" t="s">
        <v>89</v>
      </c>
      <c r="G2515" s="163" t="s">
        <v>1452</v>
      </c>
      <c r="H2515" s="214">
        <v>17.182399999999998</v>
      </c>
      <c r="I2515" s="164" t="s">
        <v>87</v>
      </c>
      <c r="J2515" s="29">
        <v>29000</v>
      </c>
      <c r="K2515" s="51"/>
      <c r="L2515" s="46">
        <f t="shared" si="140"/>
        <v>498289.59999999992</v>
      </c>
    </row>
    <row r="2516" spans="2:14" x14ac:dyDescent="0.35">
      <c r="B2516" s="174"/>
      <c r="C2516" s="175"/>
      <c r="D2516" s="176"/>
      <c r="E2516" s="163"/>
      <c r="F2516" s="163" t="s">
        <v>89</v>
      </c>
      <c r="G2516" s="163" t="s">
        <v>250</v>
      </c>
      <c r="H2516" s="86">
        <v>1</v>
      </c>
      <c r="I2516" s="85" t="s">
        <v>251</v>
      </c>
      <c r="J2516" s="65">
        <v>6000000</v>
      </c>
      <c r="K2516" s="65">
        <f>J2516*H2516</f>
        <v>6000000</v>
      </c>
      <c r="L2516" s="46"/>
    </row>
    <row r="2517" spans="2:14" x14ac:dyDescent="0.35">
      <c r="B2517" s="174"/>
      <c r="C2517" s="175"/>
      <c r="D2517" s="176" t="s">
        <v>141</v>
      </c>
      <c r="E2517" s="163"/>
      <c r="F2517" s="163" t="s">
        <v>1453</v>
      </c>
      <c r="G2517" s="163"/>
      <c r="H2517" s="219">
        <v>1</v>
      </c>
      <c r="I2517" s="164" t="s">
        <v>133</v>
      </c>
      <c r="J2517" s="50">
        <v>750000</v>
      </c>
      <c r="K2517" s="29"/>
      <c r="L2517" s="52">
        <f>J2517*H2517</f>
        <v>750000</v>
      </c>
    </row>
    <row r="2518" spans="2:14" x14ac:dyDescent="0.35">
      <c r="B2518" s="174"/>
      <c r="C2518" s="175"/>
      <c r="D2518" s="176"/>
      <c r="E2518" s="163"/>
      <c r="F2518" s="163" t="s">
        <v>89</v>
      </c>
      <c r="G2518" s="163" t="s">
        <v>1454</v>
      </c>
      <c r="H2518" s="214"/>
      <c r="I2518" s="164"/>
      <c r="J2518" s="29"/>
      <c r="K2518" s="51"/>
      <c r="L2518" s="46"/>
      <c r="M2518" s="105">
        <v>196689.6</v>
      </c>
    </row>
    <row r="2519" spans="2:14" x14ac:dyDescent="0.35">
      <c r="B2519" s="174"/>
      <c r="C2519" s="175"/>
      <c r="D2519" s="176"/>
      <c r="E2519" s="163"/>
      <c r="F2519" s="163" t="s">
        <v>89</v>
      </c>
      <c r="G2519" s="163" t="s">
        <v>1455</v>
      </c>
      <c r="H2519" s="214"/>
      <c r="I2519" s="164"/>
      <c r="J2519" s="29"/>
      <c r="K2519" s="51"/>
      <c r="L2519" s="46"/>
      <c r="M2519" s="105">
        <v>327816</v>
      </c>
      <c r="N2519" s="105">
        <v>681857.28</v>
      </c>
    </row>
    <row r="2520" spans="2:14" x14ac:dyDescent="0.35">
      <c r="B2520" s="174"/>
      <c r="C2520" s="175"/>
      <c r="D2520" s="176" t="s">
        <v>143</v>
      </c>
      <c r="E2520" s="163"/>
      <c r="F2520" s="163" t="s">
        <v>1456</v>
      </c>
      <c r="G2520" s="163"/>
      <c r="H2520" s="219">
        <v>1</v>
      </c>
      <c r="I2520" s="164" t="s">
        <v>133</v>
      </c>
      <c r="J2520" s="50">
        <v>750000</v>
      </c>
      <c r="K2520" s="29"/>
      <c r="L2520" s="52">
        <f>J2520*H2520</f>
        <v>750000</v>
      </c>
    </row>
    <row r="2521" spans="2:14" x14ac:dyDescent="0.35">
      <c r="B2521" s="174"/>
      <c r="C2521" s="175"/>
      <c r="D2521" s="176"/>
      <c r="E2521" s="163"/>
      <c r="F2521" s="163" t="s">
        <v>89</v>
      </c>
      <c r="G2521" s="163" t="s">
        <v>1454</v>
      </c>
      <c r="H2521" s="214"/>
      <c r="I2521" s="164"/>
      <c r="J2521" s="29"/>
      <c r="K2521" s="51"/>
      <c r="L2521" s="46"/>
      <c r="M2521" s="105">
        <v>196689.6</v>
      </c>
    </row>
    <row r="2522" spans="2:14" x14ac:dyDescent="0.35">
      <c r="B2522" s="174"/>
      <c r="C2522" s="175"/>
      <c r="D2522" s="176"/>
      <c r="E2522" s="163"/>
      <c r="F2522" s="163" t="s">
        <v>89</v>
      </c>
      <c r="G2522" s="163" t="s">
        <v>1455</v>
      </c>
      <c r="H2522" s="214"/>
      <c r="I2522" s="164"/>
      <c r="J2522" s="29"/>
      <c r="K2522" s="51"/>
      <c r="L2522" s="46"/>
      <c r="M2522" s="105">
        <v>327816</v>
      </c>
      <c r="N2522" s="105">
        <v>681857.28</v>
      </c>
    </row>
    <row r="2523" spans="2:14" x14ac:dyDescent="0.35">
      <c r="B2523" s="174"/>
      <c r="C2523" s="175"/>
      <c r="D2523" s="176" t="s">
        <v>67</v>
      </c>
      <c r="E2523" s="163"/>
      <c r="F2523" s="163" t="s">
        <v>1514</v>
      </c>
      <c r="G2523" s="163"/>
      <c r="H2523" s="219">
        <v>1</v>
      </c>
      <c r="I2523" s="164" t="s">
        <v>133</v>
      </c>
      <c r="J2523" s="50">
        <v>1750000</v>
      </c>
      <c r="K2523" s="29"/>
      <c r="L2523" s="52">
        <f>J2523*H2523</f>
        <v>1750000</v>
      </c>
      <c r="M2523" s="105">
        <v>300000</v>
      </c>
    </row>
    <row r="2524" spans="2:14" x14ac:dyDescent="0.35">
      <c r="B2524" s="174"/>
      <c r="C2524" s="175"/>
      <c r="D2524" s="176"/>
      <c r="E2524" s="163"/>
      <c r="F2524" s="163" t="s">
        <v>89</v>
      </c>
      <c r="G2524" s="163" t="s">
        <v>1457</v>
      </c>
      <c r="H2524" s="214"/>
      <c r="I2524" s="164"/>
      <c r="J2524" s="29"/>
      <c r="K2524" s="51"/>
      <c r="L2524" s="46"/>
      <c r="M2524" s="105">
        <v>393379.2</v>
      </c>
    </row>
    <row r="2525" spans="2:14" x14ac:dyDescent="0.35">
      <c r="B2525" s="174"/>
      <c r="C2525" s="175"/>
      <c r="D2525" s="176"/>
      <c r="E2525" s="163"/>
      <c r="F2525" s="163" t="s">
        <v>89</v>
      </c>
      <c r="G2525" s="163" t="s">
        <v>1458</v>
      </c>
      <c r="H2525" s="214"/>
      <c r="I2525" s="164"/>
      <c r="J2525" s="29"/>
      <c r="K2525" s="51"/>
      <c r="L2525" s="46"/>
      <c r="M2525" s="105">
        <v>111894.52799999999</v>
      </c>
    </row>
    <row r="2526" spans="2:14" x14ac:dyDescent="0.35">
      <c r="B2526" s="174"/>
      <c r="C2526" s="175"/>
      <c r="D2526" s="176"/>
      <c r="E2526" s="163"/>
      <c r="F2526" s="163" t="s">
        <v>89</v>
      </c>
      <c r="G2526" s="163" t="s">
        <v>1515</v>
      </c>
      <c r="H2526" s="219"/>
      <c r="I2526" s="164"/>
      <c r="J2526" s="29"/>
      <c r="K2526" s="51"/>
      <c r="L2526" s="46"/>
      <c r="M2526" s="105">
        <v>265600</v>
      </c>
    </row>
    <row r="2527" spans="2:14" x14ac:dyDescent="0.35">
      <c r="B2527" s="174"/>
      <c r="C2527" s="175"/>
      <c r="D2527" s="176"/>
      <c r="E2527" s="163"/>
      <c r="F2527" s="163" t="s">
        <v>89</v>
      </c>
      <c r="G2527" s="163" t="s">
        <v>1459</v>
      </c>
      <c r="H2527" s="214"/>
      <c r="I2527" s="164"/>
      <c r="J2527" s="29"/>
      <c r="K2527" s="51"/>
      <c r="L2527" s="46"/>
      <c r="M2527" s="105">
        <v>118013.75999999998</v>
      </c>
      <c r="N2527" s="105">
        <v>1545553.7344</v>
      </c>
    </row>
    <row r="2528" spans="2:14" x14ac:dyDescent="0.35">
      <c r="B2528" s="174"/>
      <c r="C2528" s="175"/>
      <c r="D2528" s="176" t="s">
        <v>69</v>
      </c>
      <c r="E2528" s="163"/>
      <c r="F2528" s="163" t="s">
        <v>1460</v>
      </c>
      <c r="G2528" s="163"/>
      <c r="H2528" s="219">
        <v>1</v>
      </c>
      <c r="I2528" s="164" t="s">
        <v>133</v>
      </c>
      <c r="J2528" s="50">
        <v>2500000</v>
      </c>
      <c r="K2528" s="29"/>
      <c r="L2528" s="52">
        <f>J2528*H2528</f>
        <v>2500000</v>
      </c>
    </row>
    <row r="2529" spans="2:14" x14ac:dyDescent="0.35">
      <c r="B2529" s="174"/>
      <c r="C2529" s="175"/>
      <c r="D2529" s="176"/>
      <c r="E2529" s="163"/>
      <c r="F2529" s="163" t="s">
        <v>89</v>
      </c>
      <c r="G2529" s="163" t="s">
        <v>1461</v>
      </c>
      <c r="H2529" s="214"/>
      <c r="I2529" s="164"/>
      <c r="J2529" s="29"/>
      <c r="K2529" s="51"/>
      <c r="L2529" s="46"/>
      <c r="M2529" s="105">
        <v>860516.99999999988</v>
      </c>
    </row>
    <row r="2530" spans="2:14" x14ac:dyDescent="0.35">
      <c r="B2530" s="174"/>
      <c r="C2530" s="175"/>
      <c r="D2530" s="176"/>
      <c r="E2530" s="163"/>
      <c r="F2530" s="163" t="s">
        <v>89</v>
      </c>
      <c r="G2530" s="163" t="s">
        <v>1462</v>
      </c>
      <c r="H2530" s="214"/>
      <c r="I2530" s="164"/>
      <c r="J2530" s="29"/>
      <c r="K2530" s="51"/>
      <c r="L2530" s="46"/>
      <c r="M2530" s="105">
        <v>819540</v>
      </c>
    </row>
    <row r="2531" spans="2:14" x14ac:dyDescent="0.35">
      <c r="B2531" s="174"/>
      <c r="C2531" s="175"/>
      <c r="D2531" s="176"/>
      <c r="E2531" s="163"/>
      <c r="F2531" s="163" t="s">
        <v>89</v>
      </c>
      <c r="G2531" s="163" t="s">
        <v>1463</v>
      </c>
      <c r="H2531" s="214"/>
      <c r="I2531" s="164"/>
      <c r="J2531" s="29"/>
      <c r="K2531" s="51"/>
      <c r="L2531" s="46"/>
      <c r="M2531" s="105">
        <v>26771.64</v>
      </c>
    </row>
    <row r="2532" spans="2:14" x14ac:dyDescent="0.35">
      <c r="B2532" s="174"/>
      <c r="C2532" s="175"/>
      <c r="D2532" s="176"/>
      <c r="E2532" s="163"/>
      <c r="F2532" s="163" t="s">
        <v>89</v>
      </c>
      <c r="G2532" s="163" t="s">
        <v>1464</v>
      </c>
      <c r="H2532" s="214"/>
      <c r="I2532" s="164"/>
      <c r="J2532" s="29"/>
      <c r="K2532" s="51"/>
      <c r="L2532" s="46"/>
      <c r="M2532" s="105">
        <v>78675.839999999982</v>
      </c>
      <c r="N2532" s="105">
        <v>2321155.824</v>
      </c>
    </row>
    <row r="2533" spans="2:14" x14ac:dyDescent="0.35">
      <c r="B2533" s="47"/>
      <c r="C2533" s="48"/>
      <c r="D2533" s="24"/>
      <c r="G2533" s="22"/>
      <c r="I2533" s="22"/>
      <c r="J2533" s="50"/>
      <c r="K2533" s="29"/>
      <c r="L2533" s="52"/>
    </row>
    <row r="2534" spans="2:14" x14ac:dyDescent="0.35">
      <c r="B2534" s="250"/>
      <c r="C2534" s="251"/>
      <c r="D2534" s="252"/>
      <c r="E2534" s="69" t="s">
        <v>252</v>
      </c>
      <c r="F2534" s="69"/>
      <c r="G2534" s="69"/>
      <c r="H2534" s="265"/>
      <c r="I2534" s="249"/>
      <c r="J2534" s="50"/>
      <c r="K2534" s="29"/>
      <c r="L2534" s="52"/>
    </row>
    <row r="2535" spans="2:14" x14ac:dyDescent="0.35">
      <c r="B2535" s="168" t="s">
        <v>43</v>
      </c>
      <c r="C2535" s="169"/>
      <c r="D2535" s="170"/>
      <c r="E2535" s="171" t="s">
        <v>178</v>
      </c>
      <c r="F2535" s="171"/>
      <c r="G2535" s="171"/>
      <c r="H2535" s="225"/>
      <c r="I2535" s="172"/>
      <c r="J2535" s="50"/>
      <c r="K2535" s="29"/>
      <c r="L2535" s="52"/>
    </row>
    <row r="2536" spans="2:14" x14ac:dyDescent="0.35">
      <c r="B2536" s="174"/>
      <c r="C2536" s="175" t="s">
        <v>112</v>
      </c>
      <c r="D2536" s="176"/>
      <c r="E2536" s="163"/>
      <c r="F2536" s="163" t="s">
        <v>253</v>
      </c>
      <c r="G2536" s="163"/>
      <c r="H2536" s="219"/>
      <c r="I2536" s="164"/>
      <c r="J2536" s="50"/>
      <c r="K2536" s="29"/>
      <c r="L2536" s="52"/>
    </row>
    <row r="2537" spans="2:14" x14ac:dyDescent="0.35">
      <c r="B2537" s="174"/>
      <c r="C2537" s="175"/>
      <c r="D2537" s="176"/>
      <c r="E2537" s="163"/>
      <c r="F2537" s="163" t="s">
        <v>89</v>
      </c>
      <c r="G2537" s="163" t="s">
        <v>1465</v>
      </c>
      <c r="H2537" s="214">
        <v>1949.94</v>
      </c>
      <c r="I2537" s="164" t="s">
        <v>87</v>
      </c>
      <c r="J2537" s="29">
        <v>31000</v>
      </c>
      <c r="K2537" s="51"/>
      <c r="L2537" s="46">
        <f t="shared" ref="L2537:L2542" si="141">J2537*H2537</f>
        <v>60448140</v>
      </c>
    </row>
    <row r="2538" spans="2:14" x14ac:dyDescent="0.35">
      <c r="B2538" s="174"/>
      <c r="C2538" s="175"/>
      <c r="D2538" s="176"/>
      <c r="E2538" s="163"/>
      <c r="F2538" s="163" t="s">
        <v>89</v>
      </c>
      <c r="G2538" s="163" t="s">
        <v>1466</v>
      </c>
      <c r="H2538" s="214">
        <v>2027.4854399999999</v>
      </c>
      <c r="I2538" s="164" t="s">
        <v>87</v>
      </c>
      <c r="J2538" s="29">
        <v>31000</v>
      </c>
      <c r="K2538" s="51"/>
      <c r="L2538" s="46">
        <f t="shared" si="141"/>
        <v>62852048.640000001</v>
      </c>
    </row>
    <row r="2539" spans="2:14" x14ac:dyDescent="0.35">
      <c r="B2539" s="174"/>
      <c r="C2539" s="175"/>
      <c r="D2539" s="176"/>
      <c r="E2539" s="163"/>
      <c r="F2539" s="163" t="s">
        <v>89</v>
      </c>
      <c r="G2539" s="163" t="s">
        <v>1467</v>
      </c>
      <c r="H2539" s="214">
        <v>476.35055999999997</v>
      </c>
      <c r="I2539" s="164" t="s">
        <v>87</v>
      </c>
      <c r="J2539" s="29">
        <v>31000</v>
      </c>
      <c r="K2539" s="51"/>
      <c r="L2539" s="46">
        <f t="shared" si="141"/>
        <v>14766867.359999999</v>
      </c>
    </row>
    <row r="2540" spans="2:14" x14ac:dyDescent="0.35">
      <c r="B2540" s="174"/>
      <c r="C2540" s="175"/>
      <c r="D2540" s="176"/>
      <c r="E2540" s="163"/>
      <c r="F2540" s="163" t="s">
        <v>89</v>
      </c>
      <c r="G2540" s="163" t="s">
        <v>1468</v>
      </c>
      <c r="H2540" s="214">
        <v>365.79743999999999</v>
      </c>
      <c r="I2540" s="164" t="s">
        <v>87</v>
      </c>
      <c r="J2540" s="29">
        <v>31000</v>
      </c>
      <c r="K2540" s="51"/>
      <c r="L2540" s="46">
        <f t="shared" si="141"/>
        <v>11339720.640000001</v>
      </c>
    </row>
    <row r="2541" spans="2:14" x14ac:dyDescent="0.35">
      <c r="B2541" s="174"/>
      <c r="C2541" s="175"/>
      <c r="D2541" s="176"/>
      <c r="E2541" s="163"/>
      <c r="F2541" s="163" t="s">
        <v>89</v>
      </c>
      <c r="G2541" s="163" t="s">
        <v>1469</v>
      </c>
      <c r="H2541" s="214">
        <v>62.171999999999997</v>
      </c>
      <c r="I2541" s="164" t="s">
        <v>87</v>
      </c>
      <c r="J2541" s="29">
        <v>31000</v>
      </c>
      <c r="K2541" s="51"/>
      <c r="L2541" s="46">
        <f t="shared" si="141"/>
        <v>1927332</v>
      </c>
    </row>
    <row r="2542" spans="2:14" x14ac:dyDescent="0.35">
      <c r="B2542" s="174"/>
      <c r="C2542" s="175"/>
      <c r="D2542" s="176"/>
      <c r="E2542" s="163"/>
      <c r="F2542" s="163" t="s">
        <v>89</v>
      </c>
      <c r="G2542" s="163" t="s">
        <v>1470</v>
      </c>
      <c r="H2542" s="214">
        <v>54.937440000000002</v>
      </c>
      <c r="I2542" s="164" t="s">
        <v>87</v>
      </c>
      <c r="J2542" s="29">
        <v>31000</v>
      </c>
      <c r="K2542" s="51"/>
      <c r="L2542" s="46">
        <f t="shared" si="141"/>
        <v>1703060.6400000001</v>
      </c>
    </row>
    <row r="2543" spans="2:14" x14ac:dyDescent="0.35">
      <c r="B2543" s="47"/>
      <c r="C2543" s="48"/>
      <c r="D2543" s="24"/>
      <c r="G2543" s="22"/>
      <c r="I2543" s="22"/>
      <c r="J2543" s="50"/>
      <c r="K2543" s="29"/>
      <c r="L2543" s="52"/>
    </row>
    <row r="2544" spans="2:14" x14ac:dyDescent="0.35">
      <c r="B2544" s="266"/>
      <c r="C2544" s="267"/>
      <c r="D2544" s="268"/>
      <c r="E2544" s="226" t="s">
        <v>283</v>
      </c>
      <c r="F2544" s="87"/>
      <c r="G2544" s="87"/>
      <c r="H2544" s="269"/>
      <c r="I2544" s="270"/>
      <c r="J2544" s="29"/>
      <c r="K2544" s="51"/>
      <c r="L2544" s="46"/>
    </row>
    <row r="2545" spans="2:12" x14ac:dyDescent="0.35">
      <c r="B2545" s="227" t="s">
        <v>43</v>
      </c>
      <c r="C2545" s="228"/>
      <c r="D2545" s="229"/>
      <c r="E2545" s="230" t="s">
        <v>107</v>
      </c>
      <c r="F2545" s="93"/>
      <c r="G2545" s="93"/>
      <c r="H2545" s="231"/>
      <c r="I2545" s="232"/>
      <c r="J2545" s="29"/>
      <c r="K2545" s="51"/>
      <c r="L2545" s="46"/>
    </row>
    <row r="2546" spans="2:12" x14ac:dyDescent="0.35">
      <c r="B2546" s="233"/>
      <c r="C2546" s="234"/>
      <c r="D2546" s="235" t="s">
        <v>44</v>
      </c>
      <c r="E2546" s="236"/>
      <c r="F2546" s="101" t="s">
        <v>284</v>
      </c>
      <c r="G2546" s="101"/>
      <c r="H2546" s="104">
        <v>4</v>
      </c>
      <c r="I2546" s="103" t="s">
        <v>133</v>
      </c>
      <c r="J2546" s="65">
        <v>750000</v>
      </c>
      <c r="K2546" s="65"/>
      <c r="L2546" s="46">
        <f>J2546*H2546</f>
        <v>3000000</v>
      </c>
    </row>
    <row r="2547" spans="2:12" x14ac:dyDescent="0.35">
      <c r="B2547" s="233"/>
      <c r="C2547" s="234"/>
      <c r="D2547" s="235"/>
      <c r="E2547" s="236"/>
      <c r="F2547" s="101" t="s">
        <v>89</v>
      </c>
      <c r="G2547" s="101" t="s">
        <v>1471</v>
      </c>
      <c r="H2547" s="238"/>
      <c r="I2547" s="224"/>
      <c r="J2547" s="65"/>
      <c r="K2547" s="65"/>
      <c r="L2547" s="46"/>
    </row>
    <row r="2548" spans="2:12" x14ac:dyDescent="0.35">
      <c r="B2548" s="233"/>
      <c r="C2548" s="234"/>
      <c r="D2548" s="235"/>
      <c r="E2548" s="236"/>
      <c r="F2548" s="101" t="s">
        <v>89</v>
      </c>
      <c r="G2548" s="101" t="s">
        <v>1472</v>
      </c>
      <c r="H2548" s="238"/>
      <c r="I2548" s="224"/>
      <c r="J2548" s="29"/>
      <c r="K2548" s="51"/>
      <c r="L2548" s="46"/>
    </row>
    <row r="2549" spans="2:12" x14ac:dyDescent="0.35">
      <c r="B2549" s="233"/>
      <c r="C2549" s="234"/>
      <c r="D2549" s="235"/>
      <c r="E2549" s="236"/>
      <c r="F2549" s="101"/>
      <c r="G2549" s="101"/>
      <c r="H2549" s="238"/>
      <c r="I2549" s="224"/>
      <c r="J2549" s="29"/>
      <c r="K2549" s="51"/>
      <c r="L2549" s="46"/>
    </row>
    <row r="2550" spans="2:12" x14ac:dyDescent="0.35">
      <c r="B2550" s="233"/>
      <c r="C2550" s="234"/>
      <c r="D2550" s="235"/>
      <c r="E2550" s="236"/>
      <c r="F2550" s="101"/>
      <c r="G2550" s="101"/>
      <c r="H2550" s="238"/>
      <c r="I2550" s="224"/>
      <c r="J2550" s="29"/>
      <c r="K2550" s="51"/>
      <c r="L2550" s="46"/>
    </row>
    <row r="2551" spans="2:12" x14ac:dyDescent="0.35">
      <c r="B2551" s="174"/>
      <c r="C2551" s="175"/>
      <c r="D2551" s="176"/>
      <c r="E2551" s="163"/>
      <c r="F2551" s="163"/>
      <c r="G2551" s="163"/>
      <c r="H2551" s="219"/>
      <c r="I2551" s="164"/>
      <c r="J2551" s="29"/>
      <c r="K2551" s="51"/>
      <c r="L2551" s="46"/>
    </row>
    <row r="2552" spans="2:12" x14ac:dyDescent="0.35">
      <c r="B2552" s="8"/>
      <c r="C2552" s="9"/>
      <c r="D2552" s="10"/>
      <c r="E2552" s="4"/>
      <c r="F2552" s="4"/>
      <c r="G2552" s="4"/>
      <c r="H2552" s="1"/>
      <c r="I2552" s="1"/>
      <c r="J2552" s="11" t="s">
        <v>8</v>
      </c>
      <c r="K2552" s="7">
        <f>SUM(K2499:K2550)</f>
        <v>8250000</v>
      </c>
      <c r="L2552" s="7">
        <f>SUM(L2499:L2550)</f>
        <v>241881882.03199995</v>
      </c>
    </row>
    <row r="2553" spans="2:12" x14ac:dyDescent="0.35">
      <c r="B2553" s="8"/>
      <c r="C2553" s="9"/>
      <c r="D2553" s="9"/>
      <c r="E2553" s="4"/>
      <c r="F2553" s="4"/>
      <c r="G2553" s="4"/>
      <c r="H2553" s="1"/>
      <c r="I2553" s="1"/>
      <c r="J2553" s="11"/>
      <c r="K2553" s="35" t="s">
        <v>22</v>
      </c>
      <c r="L2553" s="36" t="s">
        <v>23</v>
      </c>
    </row>
    <row r="2554" spans="2:12" x14ac:dyDescent="0.35">
      <c r="B2554" s="3" t="s">
        <v>9</v>
      </c>
      <c r="C2554" s="4"/>
      <c r="D2554" s="4"/>
      <c r="E2554" s="4"/>
      <c r="F2554" s="4"/>
      <c r="G2554" s="4"/>
      <c r="H2554" s="1"/>
      <c r="I2554" s="1"/>
      <c r="J2554" s="12"/>
      <c r="K2554" s="12"/>
      <c r="L2554" s="13"/>
    </row>
    <row r="2555" spans="2:12" x14ac:dyDescent="0.35">
      <c r="B2555" s="37"/>
      <c r="C2555" s="1"/>
      <c r="D2555" s="1"/>
      <c r="E2555" s="38"/>
      <c r="F2555" s="38"/>
      <c r="G2555" s="38"/>
      <c r="H2555" s="1"/>
      <c r="I2555" s="1"/>
      <c r="J2555" s="1"/>
      <c r="K2555" s="1"/>
      <c r="L2555" s="19"/>
    </row>
    <row r="2556" spans="2:12" x14ac:dyDescent="0.35">
      <c r="B2556" s="28" t="s">
        <v>6</v>
      </c>
      <c r="C2556" s="27"/>
      <c r="D2556" s="27"/>
      <c r="E2556" s="26"/>
      <c r="F2556" s="26"/>
      <c r="G2556" s="5"/>
      <c r="K2556" s="284" t="s">
        <v>1600</v>
      </c>
      <c r="L2556" s="285"/>
    </row>
    <row r="2557" spans="2:12" x14ac:dyDescent="0.35">
      <c r="B2557" s="28">
        <v>1</v>
      </c>
      <c r="C2557" s="27"/>
      <c r="D2557" s="27"/>
      <c r="E2557" s="26" t="s">
        <v>7</v>
      </c>
      <c r="F2557" s="26"/>
      <c r="G2557" s="5"/>
      <c r="K2557" s="284" t="s">
        <v>28</v>
      </c>
      <c r="L2557" s="285"/>
    </row>
    <row r="2558" spans="2:12" x14ac:dyDescent="0.35">
      <c r="B2558" s="39"/>
      <c r="C2558" s="27"/>
      <c r="D2558" s="27"/>
      <c r="E2558" s="26"/>
      <c r="F2558" s="26"/>
      <c r="G2558" s="5"/>
      <c r="J2558" s="25"/>
      <c r="K2558" s="25"/>
      <c r="L2558" s="24"/>
    </row>
    <row r="2559" spans="2:12" x14ac:dyDescent="0.35">
      <c r="B2559" s="28"/>
      <c r="C2559" s="27"/>
      <c r="D2559" s="27"/>
      <c r="E2559" s="26"/>
      <c r="F2559" s="26"/>
      <c r="G2559" s="5"/>
      <c r="L2559" s="22"/>
    </row>
    <row r="2560" spans="2:12" x14ac:dyDescent="0.35">
      <c r="B2560" s="45"/>
      <c r="E2560" s="5"/>
      <c r="F2560" s="5"/>
      <c r="G2560" s="5"/>
      <c r="L2560" s="22"/>
    </row>
    <row r="2561" spans="2:14" x14ac:dyDescent="0.35">
      <c r="B2561" s="45"/>
      <c r="E2561" s="5"/>
      <c r="F2561" s="5"/>
      <c r="G2561" s="5"/>
      <c r="L2561" s="22"/>
    </row>
    <row r="2562" spans="2:14" x14ac:dyDescent="0.35">
      <c r="B2562" s="45"/>
      <c r="E2562" s="5"/>
      <c r="F2562" s="5"/>
      <c r="G2562" s="5"/>
      <c r="L2562" s="22"/>
    </row>
    <row r="2563" spans="2:14" x14ac:dyDescent="0.35">
      <c r="B2563" s="45"/>
      <c r="E2563" s="5"/>
      <c r="F2563" s="5"/>
      <c r="G2563" s="5"/>
      <c r="J2563" s="40"/>
      <c r="K2563" s="286" t="s">
        <v>36</v>
      </c>
      <c r="L2563" s="287"/>
    </row>
    <row r="2564" spans="2:14" x14ac:dyDescent="0.35">
      <c r="B2564" s="45"/>
      <c r="K2564" s="288" t="s">
        <v>37</v>
      </c>
      <c r="L2564" s="289"/>
    </row>
    <row r="2565" spans="2:14" x14ac:dyDescent="0.35">
      <c r="B2565" s="290"/>
      <c r="C2565" s="291"/>
      <c r="D2565" s="291"/>
      <c r="E2565" s="41"/>
      <c r="F2565" s="41"/>
      <c r="G2565" s="41"/>
      <c r="H2565" s="2"/>
      <c r="I2565" s="2"/>
      <c r="J2565" s="2"/>
      <c r="K2565" s="2"/>
      <c r="L2565" s="21"/>
    </row>
    <row r="2566" spans="2:14" x14ac:dyDescent="0.35">
      <c r="B2566" s="47"/>
      <c r="C2566" s="48"/>
      <c r="D2566" s="49"/>
      <c r="G2566" s="22"/>
      <c r="H2566" s="1"/>
      <c r="I2566" s="1"/>
      <c r="J2566" s="43"/>
      <c r="K2566" s="30"/>
      <c r="L2566" s="44"/>
    </row>
    <row r="2567" spans="2:14" x14ac:dyDescent="0.35">
      <c r="B2567" s="233"/>
      <c r="C2567" s="234"/>
      <c r="D2567" s="235" t="s">
        <v>47</v>
      </c>
      <c r="E2567" s="236"/>
      <c r="F2567" s="101" t="s">
        <v>1473</v>
      </c>
      <c r="G2567" s="101"/>
      <c r="H2567" s="237">
        <v>1</v>
      </c>
      <c r="I2567" s="224" t="s">
        <v>133</v>
      </c>
      <c r="J2567" s="29">
        <v>59000000</v>
      </c>
      <c r="K2567" s="51"/>
      <c r="L2567" s="46">
        <f>J2567*H2567</f>
        <v>59000000</v>
      </c>
    </row>
    <row r="2568" spans="2:14" x14ac:dyDescent="0.35">
      <c r="B2568" s="233"/>
      <c r="C2568" s="234"/>
      <c r="D2568" s="235"/>
      <c r="E2568" s="236"/>
      <c r="F2568" s="101" t="s">
        <v>89</v>
      </c>
      <c r="G2568" s="101" t="s">
        <v>1474</v>
      </c>
      <c r="H2568" s="237"/>
      <c r="I2568" s="224"/>
      <c r="J2568" s="65"/>
      <c r="K2568" s="65"/>
      <c r="L2568" s="46"/>
      <c r="M2568" s="14">
        <v>44222400</v>
      </c>
    </row>
    <row r="2569" spans="2:14" x14ac:dyDescent="0.35">
      <c r="B2569" s="233"/>
      <c r="C2569" s="234"/>
      <c r="D2569" s="235"/>
      <c r="E2569" s="236"/>
      <c r="F2569" s="101" t="s">
        <v>89</v>
      </c>
      <c r="G2569" s="101" t="s">
        <v>1475</v>
      </c>
      <c r="H2569" s="238"/>
      <c r="I2569" s="224"/>
      <c r="J2569" s="29"/>
      <c r="K2569" s="51"/>
      <c r="L2569" s="46"/>
      <c r="M2569" s="14">
        <v>13185754.271999998</v>
      </c>
    </row>
    <row r="2570" spans="2:14" x14ac:dyDescent="0.35">
      <c r="B2570" s="233"/>
      <c r="C2570" s="234"/>
      <c r="D2570" s="235"/>
      <c r="E2570" s="236"/>
      <c r="F2570" s="101" t="s">
        <v>89</v>
      </c>
      <c r="G2570" s="101" t="s">
        <v>1476</v>
      </c>
      <c r="H2570" s="238"/>
      <c r="I2570" s="224"/>
      <c r="J2570" s="29"/>
      <c r="K2570" s="51"/>
      <c r="L2570" s="46"/>
      <c r="M2570" s="14">
        <v>457917.11999999994</v>
      </c>
    </row>
    <row r="2571" spans="2:14" x14ac:dyDescent="0.35">
      <c r="B2571" s="233"/>
      <c r="C2571" s="234"/>
      <c r="D2571" s="235"/>
      <c r="E2571" s="236"/>
      <c r="F2571" s="101" t="s">
        <v>89</v>
      </c>
      <c r="G2571" s="101" t="s">
        <v>1477</v>
      </c>
      <c r="H2571" s="238"/>
      <c r="I2571" s="224"/>
      <c r="J2571" s="29"/>
      <c r="K2571" s="51"/>
      <c r="L2571" s="46"/>
      <c r="M2571" s="14">
        <v>981187.19999999984</v>
      </c>
      <c r="N2571" s="261">
        <v>58847258.592</v>
      </c>
    </row>
    <row r="2572" spans="2:14" x14ac:dyDescent="0.35">
      <c r="B2572" s="233"/>
      <c r="C2572" s="234"/>
      <c r="D2572" s="235" t="s">
        <v>49</v>
      </c>
      <c r="E2572" s="236"/>
      <c r="F2572" s="101" t="s">
        <v>1516</v>
      </c>
      <c r="G2572" s="101"/>
      <c r="H2572" s="237">
        <v>1</v>
      </c>
      <c r="I2572" s="224" t="s">
        <v>133</v>
      </c>
      <c r="J2572" s="29">
        <v>7000000</v>
      </c>
      <c r="K2572" s="51"/>
      <c r="L2572" s="46">
        <f>J2572*H2572</f>
        <v>7000000</v>
      </c>
      <c r="M2572" s="14">
        <v>3200000</v>
      </c>
    </row>
    <row r="2573" spans="2:14" x14ac:dyDescent="0.35">
      <c r="B2573" s="233"/>
      <c r="C2573" s="234"/>
      <c r="D2573" s="235"/>
      <c r="E2573" s="236"/>
      <c r="F2573" s="101" t="s">
        <v>89</v>
      </c>
      <c r="G2573" s="101" t="s">
        <v>1478</v>
      </c>
      <c r="H2573" s="237"/>
      <c r="I2573" s="224"/>
      <c r="J2573" s="65"/>
      <c r="K2573" s="65"/>
      <c r="L2573" s="46"/>
      <c r="M2573" s="14">
        <v>707400</v>
      </c>
    </row>
    <row r="2574" spans="2:14" x14ac:dyDescent="0.35">
      <c r="B2574" s="233"/>
      <c r="C2574" s="234"/>
      <c r="D2574" s="235"/>
      <c r="E2574" s="236"/>
      <c r="F2574" s="101" t="s">
        <v>89</v>
      </c>
      <c r="G2574" s="101" t="s">
        <v>1479</v>
      </c>
      <c r="H2574" s="237"/>
      <c r="I2574" s="224"/>
      <c r="J2574" s="65"/>
      <c r="K2574" s="65"/>
      <c r="L2574" s="46"/>
      <c r="M2574" s="14">
        <v>762420</v>
      </c>
    </row>
    <row r="2575" spans="2:14" x14ac:dyDescent="0.35">
      <c r="B2575" s="233"/>
      <c r="C2575" s="234"/>
      <c r="D2575" s="235"/>
      <c r="E2575" s="236"/>
      <c r="F2575" s="101" t="s">
        <v>89</v>
      </c>
      <c r="G2575" s="101" t="s">
        <v>1480</v>
      </c>
      <c r="H2575" s="237"/>
      <c r="I2575" s="224"/>
      <c r="J2575" s="65"/>
      <c r="K2575" s="65"/>
      <c r="L2575" s="46"/>
      <c r="M2575" s="14">
        <v>235800</v>
      </c>
    </row>
    <row r="2576" spans="2:14" x14ac:dyDescent="0.35">
      <c r="B2576" s="233"/>
      <c r="C2576" s="234"/>
      <c r="D2576" s="235"/>
      <c r="E2576" s="236"/>
      <c r="F2576" s="101" t="s">
        <v>89</v>
      </c>
      <c r="G2576" s="101" t="s">
        <v>1481</v>
      </c>
      <c r="H2576" s="237"/>
      <c r="I2576" s="224"/>
      <c r="J2576" s="65"/>
      <c r="K2576" s="65"/>
      <c r="L2576" s="46"/>
      <c r="M2576" s="14">
        <v>369420</v>
      </c>
    </row>
    <row r="2577" spans="2:14" x14ac:dyDescent="0.35">
      <c r="B2577" s="233"/>
      <c r="C2577" s="234"/>
      <c r="D2577" s="235"/>
      <c r="E2577" s="236"/>
      <c r="F2577" s="101" t="s">
        <v>89</v>
      </c>
      <c r="G2577" s="101" t="s">
        <v>285</v>
      </c>
      <c r="H2577" s="237"/>
      <c r="I2577" s="224"/>
      <c r="J2577" s="65"/>
      <c r="K2577" s="65"/>
      <c r="L2577" s="46"/>
      <c r="M2577" s="14">
        <v>360000</v>
      </c>
    </row>
    <row r="2578" spans="2:14" x14ac:dyDescent="0.35">
      <c r="B2578" s="233"/>
      <c r="C2578" s="234"/>
      <c r="D2578" s="235"/>
      <c r="E2578" s="236"/>
      <c r="F2578" s="101" t="s">
        <v>89</v>
      </c>
      <c r="G2578" s="101" t="s">
        <v>1483</v>
      </c>
      <c r="H2578" s="238"/>
      <c r="I2578" s="224"/>
      <c r="J2578" s="65"/>
      <c r="K2578" s="65"/>
      <c r="L2578" s="46"/>
      <c r="M2578" s="14">
        <v>106212.38399999999</v>
      </c>
    </row>
    <row r="2579" spans="2:14" x14ac:dyDescent="0.35">
      <c r="B2579" s="233"/>
      <c r="C2579" s="234"/>
      <c r="D2579" s="235"/>
      <c r="E2579" s="236"/>
      <c r="F2579" s="101" t="s">
        <v>89</v>
      </c>
      <c r="G2579" s="101" t="s">
        <v>1484</v>
      </c>
      <c r="H2579" s="238"/>
      <c r="I2579" s="224"/>
      <c r="J2579" s="29"/>
      <c r="K2579" s="51"/>
      <c r="L2579" s="46"/>
      <c r="M2579" s="14">
        <v>524505.59999999998</v>
      </c>
      <c r="N2579" s="261">
        <v>6892333.7823999999</v>
      </c>
    </row>
    <row r="2580" spans="2:14" x14ac:dyDescent="0.35">
      <c r="B2580" s="233"/>
      <c r="C2580" s="234"/>
      <c r="D2580" s="235" t="s">
        <v>62</v>
      </c>
      <c r="E2580" s="236"/>
      <c r="F2580" s="101" t="s">
        <v>1485</v>
      </c>
      <c r="G2580" s="101"/>
      <c r="H2580" s="237">
        <v>1</v>
      </c>
      <c r="I2580" s="224" t="s">
        <v>133</v>
      </c>
      <c r="J2580" s="29">
        <v>59000000</v>
      </c>
      <c r="K2580" s="51"/>
      <c r="L2580" s="46">
        <f>J2580*H2580</f>
        <v>59000000</v>
      </c>
    </row>
    <row r="2581" spans="2:14" x14ac:dyDescent="0.35">
      <c r="B2581" s="233"/>
      <c r="C2581" s="234"/>
      <c r="D2581" s="235"/>
      <c r="E2581" s="236"/>
      <c r="F2581" s="101" t="s">
        <v>89</v>
      </c>
      <c r="G2581" s="101" t="s">
        <v>1474</v>
      </c>
      <c r="H2581" s="237"/>
      <c r="I2581" s="224"/>
      <c r="J2581" s="65"/>
      <c r="K2581" s="65"/>
      <c r="L2581" s="46"/>
    </row>
    <row r="2582" spans="2:14" x14ac:dyDescent="0.35">
      <c r="B2582" s="233"/>
      <c r="C2582" s="234"/>
      <c r="D2582" s="235"/>
      <c r="E2582" s="236"/>
      <c r="F2582" s="101" t="s">
        <v>89</v>
      </c>
      <c r="G2582" s="101" t="s">
        <v>1475</v>
      </c>
      <c r="H2582" s="238"/>
      <c r="I2582" s="224"/>
      <c r="J2582" s="29"/>
      <c r="K2582" s="51"/>
      <c r="L2582" s="46"/>
    </row>
    <row r="2583" spans="2:14" x14ac:dyDescent="0.35">
      <c r="B2583" s="233"/>
      <c r="C2583" s="234"/>
      <c r="D2583" s="235"/>
      <c r="E2583" s="236"/>
      <c r="F2583" s="101" t="s">
        <v>89</v>
      </c>
      <c r="G2583" s="101" t="s">
        <v>1476</v>
      </c>
      <c r="H2583" s="238"/>
      <c r="I2583" s="224"/>
      <c r="J2583" s="29"/>
      <c r="K2583" s="51"/>
      <c r="L2583" s="46"/>
    </row>
    <row r="2584" spans="2:14" x14ac:dyDescent="0.35">
      <c r="B2584" s="233"/>
      <c r="C2584" s="234"/>
      <c r="D2584" s="235"/>
      <c r="E2584" s="236"/>
      <c r="F2584" s="101" t="s">
        <v>89</v>
      </c>
      <c r="G2584" s="101" t="s">
        <v>1477</v>
      </c>
      <c r="H2584" s="238"/>
      <c r="I2584" s="224"/>
      <c r="J2584" s="29"/>
      <c r="K2584" s="51"/>
      <c r="L2584" s="46"/>
    </row>
    <row r="2585" spans="2:14" x14ac:dyDescent="0.35">
      <c r="B2585" s="233"/>
      <c r="C2585" s="234"/>
      <c r="D2585" s="235" t="s">
        <v>51</v>
      </c>
      <c r="E2585" s="236"/>
      <c r="F2585" s="101" t="s">
        <v>1486</v>
      </c>
      <c r="G2585" s="101"/>
      <c r="H2585" s="237">
        <v>1</v>
      </c>
      <c r="I2585" s="224" t="s">
        <v>133</v>
      </c>
      <c r="J2585" s="29">
        <v>7000000</v>
      </c>
      <c r="K2585" s="51"/>
      <c r="L2585" s="46">
        <f>J2585*H2585</f>
        <v>7000000</v>
      </c>
    </row>
    <row r="2586" spans="2:14" x14ac:dyDescent="0.35">
      <c r="B2586" s="233"/>
      <c r="C2586" s="234"/>
      <c r="D2586" s="235"/>
      <c r="E2586" s="236"/>
      <c r="F2586" s="101" t="s">
        <v>89</v>
      </c>
      <c r="G2586" s="101" t="s">
        <v>1478</v>
      </c>
      <c r="H2586" s="237"/>
      <c r="I2586" s="224"/>
      <c r="J2586" s="65"/>
      <c r="K2586" s="65"/>
      <c r="L2586" s="46"/>
    </row>
    <row r="2587" spans="2:14" x14ac:dyDescent="0.35">
      <c r="B2587" s="233"/>
      <c r="C2587" s="234"/>
      <c r="D2587" s="235"/>
      <c r="E2587" s="236"/>
      <c r="F2587" s="101" t="s">
        <v>89</v>
      </c>
      <c r="G2587" s="101" t="s">
        <v>1479</v>
      </c>
      <c r="H2587" s="237"/>
      <c r="I2587" s="224"/>
      <c r="J2587" s="65"/>
      <c r="K2587" s="65"/>
      <c r="L2587" s="46"/>
    </row>
    <row r="2588" spans="2:14" x14ac:dyDescent="0.35">
      <c r="B2588" s="233"/>
      <c r="C2588" s="234"/>
      <c r="D2588" s="235"/>
      <c r="E2588" s="236"/>
      <c r="F2588" s="101" t="s">
        <v>89</v>
      </c>
      <c r="G2588" s="101" t="s">
        <v>1480</v>
      </c>
      <c r="H2588" s="237"/>
      <c r="I2588" s="224"/>
      <c r="J2588" s="65"/>
      <c r="K2588" s="65"/>
      <c r="L2588" s="46"/>
    </row>
    <row r="2589" spans="2:14" x14ac:dyDescent="0.35">
      <c r="B2589" s="233"/>
      <c r="C2589" s="234"/>
      <c r="D2589" s="235"/>
      <c r="E2589" s="236"/>
      <c r="F2589" s="101" t="s">
        <v>89</v>
      </c>
      <c r="G2589" s="101" t="s">
        <v>1481</v>
      </c>
      <c r="H2589" s="237"/>
      <c r="I2589" s="224"/>
      <c r="J2589" s="65"/>
      <c r="K2589" s="65"/>
      <c r="L2589" s="46"/>
    </row>
    <row r="2590" spans="2:14" x14ac:dyDescent="0.35">
      <c r="B2590" s="233"/>
      <c r="C2590" s="234"/>
      <c r="D2590" s="235"/>
      <c r="E2590" s="236"/>
      <c r="F2590" s="101" t="s">
        <v>89</v>
      </c>
      <c r="G2590" s="101" t="s">
        <v>1482</v>
      </c>
      <c r="H2590" s="237"/>
      <c r="I2590" s="224"/>
      <c r="J2590" s="65"/>
      <c r="K2590" s="65"/>
      <c r="L2590" s="46"/>
    </row>
    <row r="2591" spans="2:14" x14ac:dyDescent="0.35">
      <c r="B2591" s="233"/>
      <c r="C2591" s="234"/>
      <c r="D2591" s="235"/>
      <c r="E2591" s="236"/>
      <c r="F2591" s="101" t="s">
        <v>89</v>
      </c>
      <c r="G2591" s="101" t="s">
        <v>1483</v>
      </c>
      <c r="H2591" s="238"/>
      <c r="I2591" s="224"/>
      <c r="J2591" s="65"/>
      <c r="K2591" s="65"/>
      <c r="L2591" s="46"/>
    </row>
    <row r="2592" spans="2:14" x14ac:dyDescent="0.35">
      <c r="B2592" s="233"/>
      <c r="C2592" s="234"/>
      <c r="D2592" s="235"/>
      <c r="E2592" s="236"/>
      <c r="F2592" s="101" t="s">
        <v>89</v>
      </c>
      <c r="G2592" s="101" t="s">
        <v>1484</v>
      </c>
      <c r="H2592" s="238"/>
      <c r="I2592" s="224"/>
      <c r="J2592" s="29"/>
      <c r="K2592" s="51"/>
      <c r="L2592" s="46"/>
    </row>
    <row r="2593" spans="2:12" x14ac:dyDescent="0.35">
      <c r="B2593" s="227" t="s">
        <v>57</v>
      </c>
      <c r="C2593" s="228"/>
      <c r="D2593" s="229"/>
      <c r="E2593" s="230" t="s">
        <v>18</v>
      </c>
      <c r="F2593" s="93"/>
      <c r="G2593" s="93"/>
      <c r="H2593" s="231"/>
      <c r="I2593" s="232"/>
      <c r="J2593" s="50"/>
      <c r="K2593" s="29"/>
      <c r="L2593" s="52"/>
    </row>
    <row r="2594" spans="2:12" x14ac:dyDescent="0.35">
      <c r="B2594" s="233"/>
      <c r="C2594" s="234"/>
      <c r="D2594" s="235" t="s">
        <v>44</v>
      </c>
      <c r="E2594" s="236"/>
      <c r="F2594" s="101" t="s">
        <v>1487</v>
      </c>
      <c r="G2594" s="101"/>
      <c r="H2594" s="237">
        <v>7</v>
      </c>
      <c r="I2594" s="224" t="s">
        <v>99</v>
      </c>
      <c r="J2594" s="65">
        <v>1500000</v>
      </c>
      <c r="K2594" s="65">
        <f>J2594*H2594</f>
        <v>10500000</v>
      </c>
      <c r="L2594" s="46"/>
    </row>
    <row r="2595" spans="2:12" x14ac:dyDescent="0.35">
      <c r="B2595" s="233"/>
      <c r="C2595" s="234"/>
      <c r="D2595" s="235" t="s">
        <v>47</v>
      </c>
      <c r="E2595" s="236"/>
      <c r="F2595" s="101" t="s">
        <v>1488</v>
      </c>
      <c r="G2595" s="101"/>
      <c r="H2595" s="237">
        <v>7</v>
      </c>
      <c r="I2595" s="224" t="s">
        <v>99</v>
      </c>
      <c r="J2595" s="65">
        <v>1500000</v>
      </c>
      <c r="K2595" s="65">
        <f t="shared" ref="K2595:K2596" si="142">J2595*H2595</f>
        <v>10500000</v>
      </c>
      <c r="L2595" s="46"/>
    </row>
    <row r="2596" spans="2:12" x14ac:dyDescent="0.35">
      <c r="B2596" s="233"/>
      <c r="C2596" s="234"/>
      <c r="D2596" s="235" t="s">
        <v>49</v>
      </c>
      <c r="E2596" s="236"/>
      <c r="F2596" s="101" t="s">
        <v>1489</v>
      </c>
      <c r="G2596" s="101"/>
      <c r="H2596" s="237">
        <v>2</v>
      </c>
      <c r="I2596" s="224" t="s">
        <v>99</v>
      </c>
      <c r="J2596" s="65">
        <v>1500000</v>
      </c>
      <c r="K2596" s="65">
        <f t="shared" si="142"/>
        <v>3000000</v>
      </c>
      <c r="L2596" s="46"/>
    </row>
    <row r="2597" spans="2:12" x14ac:dyDescent="0.35">
      <c r="B2597" s="233"/>
      <c r="C2597" s="234"/>
      <c r="D2597" s="235" t="s">
        <v>62</v>
      </c>
      <c r="E2597" s="236"/>
      <c r="F2597" s="101" t="s">
        <v>286</v>
      </c>
      <c r="G2597" s="101"/>
      <c r="H2597" s="237"/>
      <c r="I2597" s="224"/>
      <c r="J2597" s="50"/>
      <c r="K2597" s="29"/>
      <c r="L2597" s="52"/>
    </row>
    <row r="2598" spans="2:12" x14ac:dyDescent="0.35">
      <c r="B2598" s="233"/>
      <c r="C2598" s="234"/>
      <c r="D2598" s="235"/>
      <c r="E2598" s="236"/>
      <c r="F2598" s="101" t="s">
        <v>89</v>
      </c>
      <c r="G2598" s="101" t="s">
        <v>1490</v>
      </c>
      <c r="H2598" s="238">
        <v>215.56799999999998</v>
      </c>
      <c r="I2598" s="224" t="s">
        <v>87</v>
      </c>
      <c r="J2598" s="29">
        <v>29000</v>
      </c>
      <c r="K2598" s="51"/>
      <c r="L2598" s="46">
        <f>J2598*H2598</f>
        <v>6251471.9999999991</v>
      </c>
    </row>
    <row r="2599" spans="2:12" x14ac:dyDescent="0.35">
      <c r="B2599" s="233"/>
      <c r="C2599" s="234"/>
      <c r="D2599" s="235"/>
      <c r="E2599" s="236"/>
      <c r="F2599" s="101" t="s">
        <v>89</v>
      </c>
      <c r="G2599" s="101" t="s">
        <v>1491</v>
      </c>
      <c r="H2599" s="238">
        <v>143.71199999999999</v>
      </c>
      <c r="I2599" s="224" t="s">
        <v>87</v>
      </c>
      <c r="J2599" s="29">
        <v>29000</v>
      </c>
      <c r="K2599" s="51"/>
      <c r="L2599" s="46">
        <f>J2599*H2599</f>
        <v>4167647.9999999995</v>
      </c>
    </row>
    <row r="2600" spans="2:12" x14ac:dyDescent="0.35">
      <c r="B2600" s="233"/>
      <c r="C2600" s="234"/>
      <c r="D2600" s="235"/>
      <c r="E2600" s="236"/>
      <c r="F2600" s="101" t="s">
        <v>89</v>
      </c>
      <c r="G2600" s="101" t="s">
        <v>1492</v>
      </c>
      <c r="H2600" s="238">
        <v>14.129999999999997</v>
      </c>
      <c r="I2600" s="224" t="s">
        <v>87</v>
      </c>
      <c r="J2600" s="29">
        <v>29000</v>
      </c>
      <c r="K2600" s="51"/>
      <c r="L2600" s="46">
        <f>J2600*H2600</f>
        <v>409769.99999999994</v>
      </c>
    </row>
    <row r="2601" spans="2:12" x14ac:dyDescent="0.35">
      <c r="B2601" s="233"/>
      <c r="C2601" s="234"/>
      <c r="D2601" s="235" t="s">
        <v>51</v>
      </c>
      <c r="E2601" s="236"/>
      <c r="F2601" s="101" t="s">
        <v>287</v>
      </c>
      <c r="G2601" s="101"/>
      <c r="H2601" s="237"/>
      <c r="I2601" s="224"/>
      <c r="J2601" s="50"/>
      <c r="K2601" s="29"/>
      <c r="L2601" s="52"/>
    </row>
    <row r="2602" spans="2:12" x14ac:dyDescent="0.35">
      <c r="B2602" s="233"/>
      <c r="C2602" s="234"/>
      <c r="D2602" s="235"/>
      <c r="E2602" s="236"/>
      <c r="F2602" s="101" t="s">
        <v>89</v>
      </c>
      <c r="G2602" s="101" t="s">
        <v>1490</v>
      </c>
      <c r="H2602" s="238">
        <v>215.56799999999998</v>
      </c>
      <c r="I2602" s="224" t="s">
        <v>87</v>
      </c>
      <c r="J2602" s="29">
        <v>29000</v>
      </c>
      <c r="K2602" s="51"/>
      <c r="L2602" s="46">
        <f>J2602*H2602</f>
        <v>6251471.9999999991</v>
      </c>
    </row>
    <row r="2603" spans="2:12" x14ac:dyDescent="0.35">
      <c r="B2603" s="233"/>
      <c r="C2603" s="234"/>
      <c r="D2603" s="235"/>
      <c r="E2603" s="236"/>
      <c r="F2603" s="101" t="s">
        <v>89</v>
      </c>
      <c r="G2603" s="101" t="s">
        <v>1491</v>
      </c>
      <c r="H2603" s="238">
        <v>143.71199999999999</v>
      </c>
      <c r="I2603" s="224" t="s">
        <v>87</v>
      </c>
      <c r="J2603" s="29">
        <v>29000</v>
      </c>
      <c r="K2603" s="51"/>
      <c r="L2603" s="46">
        <f>J2603*H2603</f>
        <v>4167647.9999999995</v>
      </c>
    </row>
    <row r="2604" spans="2:12" x14ac:dyDescent="0.35">
      <c r="B2604" s="233"/>
      <c r="C2604" s="234"/>
      <c r="D2604" s="235"/>
      <c r="E2604" s="236"/>
      <c r="F2604" s="101" t="s">
        <v>89</v>
      </c>
      <c r="G2604" s="101" t="s">
        <v>1492</v>
      </c>
      <c r="H2604" s="238">
        <v>14.129999999999997</v>
      </c>
      <c r="I2604" s="224" t="s">
        <v>87</v>
      </c>
      <c r="J2604" s="29">
        <v>29000</v>
      </c>
      <c r="K2604" s="51"/>
      <c r="L2604" s="46">
        <f>J2604*H2604</f>
        <v>409769.99999999994</v>
      </c>
    </row>
    <row r="2605" spans="2:12" x14ac:dyDescent="0.35">
      <c r="B2605" s="233"/>
      <c r="C2605" s="234"/>
      <c r="D2605" s="235" t="s">
        <v>53</v>
      </c>
      <c r="E2605" s="236"/>
      <c r="F2605" s="101" t="s">
        <v>288</v>
      </c>
      <c r="G2605" s="101"/>
      <c r="H2605" s="237"/>
      <c r="I2605" s="224"/>
      <c r="J2605" s="50"/>
      <c r="K2605" s="29"/>
      <c r="L2605" s="52"/>
    </row>
    <row r="2606" spans="2:12" x14ac:dyDescent="0.35">
      <c r="B2606" s="233"/>
      <c r="C2606" s="234"/>
      <c r="D2606" s="235"/>
      <c r="E2606" s="236"/>
      <c r="F2606" s="101" t="s">
        <v>89</v>
      </c>
      <c r="G2606" s="101" t="s">
        <v>1490</v>
      </c>
      <c r="H2606" s="238">
        <v>215.56799999999998</v>
      </c>
      <c r="I2606" s="224" t="s">
        <v>87</v>
      </c>
      <c r="J2606" s="29">
        <v>29000</v>
      </c>
      <c r="K2606" s="51"/>
      <c r="L2606" s="46">
        <f>J2606*H2606</f>
        <v>6251471.9999999991</v>
      </c>
    </row>
    <row r="2607" spans="2:12" x14ac:dyDescent="0.35">
      <c r="B2607" s="233"/>
      <c r="C2607" s="234"/>
      <c r="D2607" s="235"/>
      <c r="E2607" s="236"/>
      <c r="F2607" s="101" t="s">
        <v>89</v>
      </c>
      <c r="G2607" s="101" t="s">
        <v>1491</v>
      </c>
      <c r="H2607" s="238">
        <v>143.71199999999999</v>
      </c>
      <c r="I2607" s="224" t="s">
        <v>87</v>
      </c>
      <c r="J2607" s="29">
        <v>29000</v>
      </c>
      <c r="K2607" s="51"/>
      <c r="L2607" s="46">
        <f>J2607*H2607</f>
        <v>4167647.9999999995</v>
      </c>
    </row>
    <row r="2608" spans="2:12" x14ac:dyDescent="0.35">
      <c r="B2608" s="233"/>
      <c r="C2608" s="234"/>
      <c r="D2608" s="235"/>
      <c r="E2608" s="236"/>
      <c r="F2608" s="101" t="s">
        <v>89</v>
      </c>
      <c r="G2608" s="101" t="s">
        <v>1492</v>
      </c>
      <c r="H2608" s="238">
        <v>14.129999999999997</v>
      </c>
      <c r="I2608" s="224" t="s">
        <v>87</v>
      </c>
      <c r="J2608" s="29">
        <v>29000</v>
      </c>
      <c r="K2608" s="51"/>
      <c r="L2608" s="46">
        <f>J2608*H2608</f>
        <v>409769.99999999994</v>
      </c>
    </row>
    <row r="2609" spans="2:14" x14ac:dyDescent="0.35">
      <c r="B2609" s="233"/>
      <c r="C2609" s="234"/>
      <c r="D2609" s="235" t="s">
        <v>55</v>
      </c>
      <c r="E2609" s="236"/>
      <c r="F2609" s="101" t="s">
        <v>289</v>
      </c>
      <c r="G2609" s="101"/>
      <c r="H2609" s="237">
        <v>1</v>
      </c>
      <c r="I2609" s="224" t="s">
        <v>133</v>
      </c>
      <c r="J2609" s="50">
        <v>4250000</v>
      </c>
      <c r="K2609" s="29"/>
      <c r="L2609" s="52">
        <f>J2609*H2609</f>
        <v>4250000</v>
      </c>
    </row>
    <row r="2610" spans="2:14" x14ac:dyDescent="0.35">
      <c r="B2610" s="233"/>
      <c r="C2610" s="234"/>
      <c r="D2610" s="235"/>
      <c r="E2610" s="236"/>
      <c r="F2610" s="101" t="s">
        <v>89</v>
      </c>
      <c r="G2610" s="101" t="s">
        <v>1493</v>
      </c>
      <c r="H2610" s="238"/>
      <c r="I2610" s="224"/>
      <c r="J2610" s="50"/>
      <c r="K2610" s="29"/>
      <c r="L2610" s="52"/>
      <c r="M2610" s="105">
        <v>1751522.2799999998</v>
      </c>
    </row>
    <row r="2611" spans="2:14" x14ac:dyDescent="0.35">
      <c r="B2611" s="233"/>
      <c r="C2611" s="234"/>
      <c r="D2611" s="235"/>
      <c r="E2611" s="236"/>
      <c r="F2611" s="101" t="s">
        <v>89</v>
      </c>
      <c r="G2611" s="101" t="s">
        <v>1494</v>
      </c>
      <c r="H2611" s="238"/>
      <c r="I2611" s="224"/>
      <c r="J2611" s="50"/>
      <c r="K2611" s="29"/>
      <c r="L2611" s="52"/>
      <c r="M2611" s="105">
        <v>1751522.2799999998</v>
      </c>
      <c r="N2611" s="105">
        <v>4203653.4719999991</v>
      </c>
    </row>
    <row r="2612" spans="2:14" x14ac:dyDescent="0.35">
      <c r="B2612" s="233"/>
      <c r="C2612" s="234"/>
      <c r="D2612" s="235" t="s">
        <v>65</v>
      </c>
      <c r="E2612" s="236"/>
      <c r="F2612" s="101" t="s">
        <v>290</v>
      </c>
      <c r="G2612" s="101"/>
      <c r="H2612" s="237">
        <v>1</v>
      </c>
      <c r="I2612" s="224" t="s">
        <v>133</v>
      </c>
      <c r="J2612" s="50">
        <v>1000000</v>
      </c>
      <c r="K2612" s="29"/>
      <c r="L2612" s="52">
        <f>J2612*H2612</f>
        <v>1000000</v>
      </c>
    </row>
    <row r="2613" spans="2:14" x14ac:dyDescent="0.35">
      <c r="B2613" s="233"/>
      <c r="C2613" s="234"/>
      <c r="D2613" s="235"/>
      <c r="E2613" s="236"/>
      <c r="F2613" s="101" t="s">
        <v>89</v>
      </c>
      <c r="G2613" s="101" t="s">
        <v>291</v>
      </c>
      <c r="H2613" s="238"/>
      <c r="I2613" s="224"/>
      <c r="J2613" s="50"/>
      <c r="K2613" s="29"/>
      <c r="L2613" s="52"/>
      <c r="M2613" s="105">
        <v>273179.99999999994</v>
      </c>
    </row>
    <row r="2614" spans="2:14" x14ac:dyDescent="0.35">
      <c r="B2614" s="233"/>
      <c r="C2614" s="234"/>
      <c r="D2614" s="235"/>
      <c r="E2614" s="236"/>
      <c r="F2614" s="101" t="s">
        <v>89</v>
      </c>
      <c r="G2614" s="101" t="s">
        <v>1495</v>
      </c>
      <c r="H2614" s="238"/>
      <c r="I2614" s="224"/>
      <c r="J2614" s="50"/>
      <c r="K2614" s="29"/>
      <c r="L2614" s="52"/>
      <c r="M2614" s="105">
        <v>314157</v>
      </c>
    </row>
    <row r="2615" spans="2:14" x14ac:dyDescent="0.35">
      <c r="B2615" s="233"/>
      <c r="C2615" s="234"/>
      <c r="D2615" s="235"/>
      <c r="E2615" s="236"/>
      <c r="F2615" s="101" t="s">
        <v>89</v>
      </c>
      <c r="G2615" s="101" t="s">
        <v>1496</v>
      </c>
      <c r="H2615" s="238"/>
      <c r="I2615" s="224"/>
      <c r="J2615" s="50"/>
      <c r="K2615" s="29"/>
      <c r="L2615" s="52"/>
      <c r="M2615" s="105">
        <v>35000</v>
      </c>
    </row>
    <row r="2616" spans="2:14" x14ac:dyDescent="0.35">
      <c r="B2616" s="233"/>
      <c r="C2616" s="234"/>
      <c r="D2616" s="235"/>
      <c r="E2616" s="236"/>
      <c r="F2616" s="101" t="s">
        <v>89</v>
      </c>
      <c r="G2616" s="101" t="s">
        <v>1497</v>
      </c>
      <c r="H2616" s="238"/>
      <c r="I2616" s="224"/>
      <c r="J2616" s="50"/>
      <c r="K2616" s="29"/>
      <c r="L2616" s="52"/>
      <c r="M2616" s="105">
        <v>38918</v>
      </c>
      <c r="N2616" s="105">
        <v>859631.5</v>
      </c>
    </row>
    <row r="2617" spans="2:14" x14ac:dyDescent="0.35">
      <c r="B2617" s="47"/>
      <c r="C2617" s="48"/>
      <c r="D2617" s="24"/>
      <c r="G2617" s="22"/>
      <c r="I2617" s="22"/>
      <c r="J2617" s="50"/>
      <c r="K2617" s="29"/>
      <c r="L2617" s="52"/>
      <c r="M2617" s="105"/>
    </row>
    <row r="2618" spans="2:14" x14ac:dyDescent="0.35">
      <c r="B2618" s="47"/>
      <c r="C2618" s="48"/>
      <c r="D2618" s="24"/>
      <c r="G2618" s="22"/>
      <c r="I2618" s="22"/>
      <c r="J2618" s="50"/>
      <c r="K2618" s="29"/>
      <c r="L2618" s="52"/>
    </row>
    <row r="2619" spans="2:14" x14ac:dyDescent="0.35">
      <c r="B2619" s="8"/>
      <c r="C2619" s="9"/>
      <c r="D2619" s="10"/>
      <c r="E2619" s="4"/>
      <c r="F2619" s="4"/>
      <c r="G2619" s="4"/>
      <c r="H2619" s="1"/>
      <c r="I2619" s="1"/>
      <c r="J2619" s="11" t="s">
        <v>8</v>
      </c>
      <c r="K2619" s="7">
        <f>SUM(K2566:K2618)</f>
        <v>24000000</v>
      </c>
      <c r="L2619" s="7">
        <f>SUM(L2566:L2618)</f>
        <v>169736670</v>
      </c>
    </row>
    <row r="2620" spans="2:14" x14ac:dyDescent="0.35">
      <c r="B2620" s="8"/>
      <c r="C2620" s="9"/>
      <c r="D2620" s="9"/>
      <c r="E2620" s="4"/>
      <c r="F2620" s="4"/>
      <c r="G2620" s="4"/>
      <c r="H2620" s="1"/>
      <c r="I2620" s="1"/>
      <c r="J2620" s="11"/>
      <c r="K2620" s="35" t="s">
        <v>22</v>
      </c>
      <c r="L2620" s="36" t="s">
        <v>23</v>
      </c>
    </row>
    <row r="2621" spans="2:14" x14ac:dyDescent="0.35">
      <c r="B2621" s="3" t="s">
        <v>9</v>
      </c>
      <c r="C2621" s="4"/>
      <c r="D2621" s="4"/>
      <c r="E2621" s="4"/>
      <c r="F2621" s="4"/>
      <c r="G2621" s="4"/>
      <c r="H2621" s="1"/>
      <c r="I2621" s="1"/>
      <c r="J2621" s="12"/>
      <c r="K2621" s="12"/>
      <c r="L2621" s="13"/>
    </row>
    <row r="2622" spans="2:14" x14ac:dyDescent="0.35">
      <c r="B2622" s="37"/>
      <c r="C2622" s="1"/>
      <c r="D2622" s="1"/>
      <c r="E2622" s="38"/>
      <c r="F2622" s="38"/>
      <c r="G2622" s="38"/>
      <c r="H2622" s="1"/>
      <c r="I2622" s="1"/>
      <c r="J2622" s="1"/>
      <c r="K2622" s="1"/>
      <c r="L2622" s="19"/>
    </row>
    <row r="2623" spans="2:14" x14ac:dyDescent="0.35">
      <c r="B2623" s="28" t="s">
        <v>6</v>
      </c>
      <c r="C2623" s="27"/>
      <c r="D2623" s="27"/>
      <c r="E2623" s="26"/>
      <c r="F2623" s="26"/>
      <c r="G2623" s="5"/>
      <c r="K2623" s="284" t="s">
        <v>1600</v>
      </c>
      <c r="L2623" s="285"/>
    </row>
    <row r="2624" spans="2:14" x14ac:dyDescent="0.35">
      <c r="B2624" s="28">
        <v>1</v>
      </c>
      <c r="C2624" s="27"/>
      <c r="D2624" s="27"/>
      <c r="E2624" s="26" t="s">
        <v>7</v>
      </c>
      <c r="F2624" s="26"/>
      <c r="G2624" s="5"/>
      <c r="K2624" s="284" t="s">
        <v>28</v>
      </c>
      <c r="L2624" s="285"/>
    </row>
    <row r="2625" spans="2:12" x14ac:dyDescent="0.35">
      <c r="B2625" s="39"/>
      <c r="C2625" s="27"/>
      <c r="D2625" s="27"/>
      <c r="E2625" s="26"/>
      <c r="F2625" s="26"/>
      <c r="G2625" s="5"/>
      <c r="J2625" s="25"/>
      <c r="K2625" s="25"/>
      <c r="L2625" s="24"/>
    </row>
    <row r="2626" spans="2:12" x14ac:dyDescent="0.35">
      <c r="B2626" s="28"/>
      <c r="C2626" s="27"/>
      <c r="D2626" s="27"/>
      <c r="E2626" s="26"/>
      <c r="F2626" s="26"/>
      <c r="G2626" s="5"/>
      <c r="L2626" s="22"/>
    </row>
    <row r="2627" spans="2:12" x14ac:dyDescent="0.35">
      <c r="B2627" s="45"/>
      <c r="E2627" s="5"/>
      <c r="F2627" s="5"/>
      <c r="G2627" s="5"/>
      <c r="L2627" s="22"/>
    </row>
    <row r="2628" spans="2:12" x14ac:dyDescent="0.35">
      <c r="B2628" s="45"/>
      <c r="E2628" s="5"/>
      <c r="F2628" s="5"/>
      <c r="G2628" s="5"/>
      <c r="L2628" s="22"/>
    </row>
    <row r="2629" spans="2:12" x14ac:dyDescent="0.35">
      <c r="B2629" s="45"/>
      <c r="E2629" s="5"/>
      <c r="F2629" s="5"/>
      <c r="G2629" s="5"/>
      <c r="L2629" s="22"/>
    </row>
    <row r="2630" spans="2:12" x14ac:dyDescent="0.35">
      <c r="B2630" s="45"/>
      <c r="E2630" s="5"/>
      <c r="F2630" s="5"/>
      <c r="G2630" s="5"/>
      <c r="J2630" s="40"/>
      <c r="K2630" s="286" t="s">
        <v>36</v>
      </c>
      <c r="L2630" s="287"/>
    </row>
    <row r="2631" spans="2:12" x14ac:dyDescent="0.35">
      <c r="B2631" s="45"/>
      <c r="K2631" s="288" t="s">
        <v>37</v>
      </c>
      <c r="L2631" s="289"/>
    </row>
    <row r="2632" spans="2:12" x14ac:dyDescent="0.35">
      <c r="B2632" s="290"/>
      <c r="C2632" s="291"/>
      <c r="D2632" s="291"/>
      <c r="E2632" s="41"/>
      <c r="F2632" s="41"/>
      <c r="G2632" s="41"/>
      <c r="H2632" s="2"/>
      <c r="I2632" s="2"/>
      <c r="J2632" s="2"/>
      <c r="K2632" s="2"/>
      <c r="L2632" s="21"/>
    </row>
    <row r="2633" spans="2:12" x14ac:dyDescent="0.35">
      <c r="B2633" s="47"/>
      <c r="C2633" s="48"/>
      <c r="D2633" s="49"/>
      <c r="G2633" s="22"/>
      <c r="H2633" s="1"/>
      <c r="I2633" s="1"/>
      <c r="J2633" s="43"/>
      <c r="K2633" s="30"/>
      <c r="L2633" s="44"/>
    </row>
    <row r="2634" spans="2:12" x14ac:dyDescent="0.35">
      <c r="B2634" s="266"/>
      <c r="C2634" s="267"/>
      <c r="D2634" s="268"/>
      <c r="E2634" s="226" t="s">
        <v>1498</v>
      </c>
      <c r="F2634" s="87"/>
      <c r="G2634" s="87"/>
      <c r="H2634" s="271"/>
      <c r="I2634" s="270"/>
      <c r="J2634" s="29"/>
      <c r="K2634" s="51"/>
      <c r="L2634" s="46"/>
    </row>
    <row r="2635" spans="2:12" x14ac:dyDescent="0.35">
      <c r="B2635" s="227" t="s">
        <v>43</v>
      </c>
      <c r="C2635" s="228"/>
      <c r="D2635" s="229"/>
      <c r="E2635" s="230" t="s">
        <v>18</v>
      </c>
      <c r="F2635" s="93"/>
      <c r="G2635" s="93"/>
      <c r="H2635" s="239"/>
      <c r="I2635" s="232"/>
      <c r="J2635" s="29"/>
      <c r="K2635" s="51"/>
      <c r="L2635" s="46"/>
    </row>
    <row r="2636" spans="2:12" x14ac:dyDescent="0.35">
      <c r="B2636" s="233"/>
      <c r="C2636" s="234"/>
      <c r="D2636" s="235" t="s">
        <v>44</v>
      </c>
      <c r="E2636" s="236"/>
      <c r="F2636" s="101" t="s">
        <v>1499</v>
      </c>
      <c r="G2636" s="101"/>
      <c r="H2636" s="238"/>
      <c r="I2636" s="224"/>
      <c r="J2636" s="29"/>
      <c r="K2636" s="51"/>
      <c r="L2636" s="46"/>
    </row>
    <row r="2637" spans="2:12" x14ac:dyDescent="0.35">
      <c r="B2637" s="233"/>
      <c r="C2637" s="234"/>
      <c r="D2637" s="235"/>
      <c r="E2637" s="236"/>
      <c r="F2637" s="101" t="s">
        <v>89</v>
      </c>
      <c r="G2637" s="101" t="s">
        <v>1500</v>
      </c>
      <c r="H2637" s="238">
        <v>90.432000000000002</v>
      </c>
      <c r="I2637" s="224" t="s">
        <v>87</v>
      </c>
      <c r="J2637" s="29">
        <v>29000</v>
      </c>
      <c r="K2637" s="51"/>
      <c r="L2637" s="46">
        <f t="shared" ref="L2637:L2643" si="143">J2637*H2637</f>
        <v>2622528</v>
      </c>
    </row>
    <row r="2638" spans="2:12" x14ac:dyDescent="0.35">
      <c r="B2638" s="233"/>
      <c r="C2638" s="234"/>
      <c r="D2638" s="235"/>
      <c r="E2638" s="236"/>
      <c r="F2638" s="101" t="s">
        <v>89</v>
      </c>
      <c r="G2638" s="101" t="s">
        <v>1501</v>
      </c>
      <c r="H2638" s="238">
        <v>81.388800000000003</v>
      </c>
      <c r="I2638" s="224" t="s">
        <v>87</v>
      </c>
      <c r="J2638" s="29">
        <v>29000</v>
      </c>
      <c r="K2638" s="51"/>
      <c r="L2638" s="46">
        <f t="shared" si="143"/>
        <v>2360275.2000000002</v>
      </c>
    </row>
    <row r="2639" spans="2:12" x14ac:dyDescent="0.35">
      <c r="B2639" s="233"/>
      <c r="C2639" s="234"/>
      <c r="D2639" s="235"/>
      <c r="E2639" s="236"/>
      <c r="F2639" s="101" t="s">
        <v>89</v>
      </c>
      <c r="G2639" s="101" t="s">
        <v>1502</v>
      </c>
      <c r="H2639" s="238">
        <v>158.76</v>
      </c>
      <c r="I2639" s="224" t="s">
        <v>87</v>
      </c>
      <c r="J2639" s="29">
        <v>29000</v>
      </c>
      <c r="K2639" s="51"/>
      <c r="L2639" s="46">
        <f t="shared" si="143"/>
        <v>4604040</v>
      </c>
    </row>
    <row r="2640" spans="2:12" x14ac:dyDescent="0.35">
      <c r="B2640" s="233"/>
      <c r="C2640" s="234"/>
      <c r="D2640" s="235"/>
      <c r="E2640" s="236"/>
      <c r="F2640" s="101" t="s">
        <v>89</v>
      </c>
      <c r="G2640" s="101" t="s">
        <v>1503</v>
      </c>
      <c r="H2640" s="238">
        <v>24.192</v>
      </c>
      <c r="I2640" s="224" t="s">
        <v>87</v>
      </c>
      <c r="J2640" s="29">
        <v>29000</v>
      </c>
      <c r="K2640" s="51"/>
      <c r="L2640" s="46">
        <f t="shared" si="143"/>
        <v>701568</v>
      </c>
    </row>
    <row r="2641" spans="2:12" x14ac:dyDescent="0.35">
      <c r="B2641" s="233"/>
      <c r="C2641" s="234"/>
      <c r="D2641" s="235"/>
      <c r="E2641" s="236"/>
      <c r="F2641" s="101" t="s">
        <v>89</v>
      </c>
      <c r="G2641" s="101" t="s">
        <v>1504</v>
      </c>
      <c r="H2641" s="238">
        <v>15.120000000000001</v>
      </c>
      <c r="I2641" s="224" t="s">
        <v>87</v>
      </c>
      <c r="J2641" s="29">
        <v>29000</v>
      </c>
      <c r="K2641" s="51"/>
      <c r="L2641" s="46">
        <f t="shared" si="143"/>
        <v>438480</v>
      </c>
    </row>
    <row r="2642" spans="2:12" x14ac:dyDescent="0.35">
      <c r="B2642" s="233"/>
      <c r="C2642" s="234"/>
      <c r="D2642" s="235"/>
      <c r="E2642" s="236"/>
      <c r="F2642" s="101" t="s">
        <v>89</v>
      </c>
      <c r="G2642" s="101" t="s">
        <v>1505</v>
      </c>
      <c r="H2642" s="238">
        <v>8.5911999999999988</v>
      </c>
      <c r="I2642" s="224" t="s">
        <v>87</v>
      </c>
      <c r="J2642" s="29">
        <v>29000</v>
      </c>
      <c r="K2642" s="51"/>
      <c r="L2642" s="46">
        <f t="shared" si="143"/>
        <v>249144.79999999996</v>
      </c>
    </row>
    <row r="2643" spans="2:12" x14ac:dyDescent="0.35">
      <c r="B2643" s="233"/>
      <c r="C2643" s="234"/>
      <c r="D2643" s="235"/>
      <c r="E2643" s="236"/>
      <c r="F2643" s="101" t="s">
        <v>89</v>
      </c>
      <c r="G2643" s="101" t="s">
        <v>1506</v>
      </c>
      <c r="H2643" s="238">
        <v>1.5071999999999997</v>
      </c>
      <c r="I2643" s="224" t="s">
        <v>87</v>
      </c>
      <c r="J2643" s="29">
        <v>29000</v>
      </c>
      <c r="K2643" s="51"/>
      <c r="L2643" s="46">
        <f t="shared" si="143"/>
        <v>43708.799999999988</v>
      </c>
    </row>
    <row r="2644" spans="2:12" x14ac:dyDescent="0.35">
      <c r="B2644" s="233"/>
      <c r="C2644" s="234"/>
      <c r="D2644" s="235" t="s">
        <v>47</v>
      </c>
      <c r="E2644" s="236"/>
      <c r="F2644" s="101" t="s">
        <v>1507</v>
      </c>
      <c r="G2644" s="101"/>
      <c r="H2644" s="238"/>
      <c r="I2644" s="224"/>
      <c r="J2644" s="29"/>
      <c r="K2644" s="51"/>
      <c r="L2644" s="46"/>
    </row>
    <row r="2645" spans="2:12" x14ac:dyDescent="0.35">
      <c r="B2645" s="233"/>
      <c r="C2645" s="234"/>
      <c r="D2645" s="235"/>
      <c r="E2645" s="236"/>
      <c r="F2645" s="101" t="s">
        <v>89</v>
      </c>
      <c r="G2645" s="101" t="s">
        <v>1508</v>
      </c>
      <c r="H2645" s="238">
        <v>1.5071999999999997</v>
      </c>
      <c r="I2645" s="224" t="s">
        <v>87</v>
      </c>
      <c r="J2645" s="29">
        <v>29000</v>
      </c>
      <c r="K2645" s="51"/>
      <c r="L2645" s="46">
        <f t="shared" ref="L2645:L2650" si="144">J2645*H2645</f>
        <v>43708.799999999988</v>
      </c>
    </row>
    <row r="2646" spans="2:12" x14ac:dyDescent="0.35">
      <c r="B2646" s="233"/>
      <c r="C2646" s="234"/>
      <c r="D2646" s="235"/>
      <c r="E2646" s="236"/>
      <c r="F2646" s="101" t="s">
        <v>89</v>
      </c>
      <c r="G2646" s="101" t="s">
        <v>1502</v>
      </c>
      <c r="H2646" s="238">
        <v>158.76</v>
      </c>
      <c r="I2646" s="224" t="s">
        <v>87</v>
      </c>
      <c r="J2646" s="29">
        <v>29000</v>
      </c>
      <c r="K2646" s="51"/>
      <c r="L2646" s="46">
        <f t="shared" si="144"/>
        <v>4604040</v>
      </c>
    </row>
    <row r="2647" spans="2:12" x14ac:dyDescent="0.35">
      <c r="B2647" s="233"/>
      <c r="C2647" s="234"/>
      <c r="D2647" s="235"/>
      <c r="E2647" s="236"/>
      <c r="F2647" s="101" t="s">
        <v>89</v>
      </c>
      <c r="G2647" s="101" t="s">
        <v>1503</v>
      </c>
      <c r="H2647" s="238">
        <v>24.192</v>
      </c>
      <c r="I2647" s="224" t="s">
        <v>87</v>
      </c>
      <c r="J2647" s="29">
        <v>29000</v>
      </c>
      <c r="K2647" s="51"/>
      <c r="L2647" s="46">
        <f t="shared" si="144"/>
        <v>701568</v>
      </c>
    </row>
    <row r="2648" spans="2:12" x14ac:dyDescent="0.35">
      <c r="B2648" s="233"/>
      <c r="C2648" s="234"/>
      <c r="D2648" s="235"/>
      <c r="E2648" s="236"/>
      <c r="F2648" s="101" t="s">
        <v>89</v>
      </c>
      <c r="G2648" s="101" t="s">
        <v>1504</v>
      </c>
      <c r="H2648" s="238">
        <v>15.120000000000001</v>
      </c>
      <c r="I2648" s="224" t="s">
        <v>87</v>
      </c>
      <c r="J2648" s="29">
        <v>29000</v>
      </c>
      <c r="K2648" s="51"/>
      <c r="L2648" s="46">
        <f t="shared" si="144"/>
        <v>438480</v>
      </c>
    </row>
    <row r="2649" spans="2:12" x14ac:dyDescent="0.35">
      <c r="B2649" s="233"/>
      <c r="C2649" s="234"/>
      <c r="D2649" s="235"/>
      <c r="E2649" s="236"/>
      <c r="F2649" s="101" t="s">
        <v>89</v>
      </c>
      <c r="G2649" s="101" t="s">
        <v>1505</v>
      </c>
      <c r="H2649" s="238">
        <v>8.5911999999999988</v>
      </c>
      <c r="I2649" s="224" t="s">
        <v>87</v>
      </c>
      <c r="J2649" s="29">
        <v>29000</v>
      </c>
      <c r="K2649" s="51"/>
      <c r="L2649" s="46">
        <f t="shared" si="144"/>
        <v>249144.79999999996</v>
      </c>
    </row>
    <row r="2650" spans="2:12" x14ac:dyDescent="0.35">
      <c r="B2650" s="233"/>
      <c r="C2650" s="234"/>
      <c r="D2650" s="235"/>
      <c r="E2650" s="236"/>
      <c r="F2650" s="101" t="s">
        <v>89</v>
      </c>
      <c r="G2650" s="101" t="s">
        <v>1506</v>
      </c>
      <c r="H2650" s="238">
        <v>1.5071999999999997</v>
      </c>
      <c r="I2650" s="224" t="s">
        <v>87</v>
      </c>
      <c r="J2650" s="29">
        <v>29000</v>
      </c>
      <c r="K2650" s="51"/>
      <c r="L2650" s="46">
        <f t="shared" si="144"/>
        <v>43708.799999999988</v>
      </c>
    </row>
    <row r="2651" spans="2:12" x14ac:dyDescent="0.35">
      <c r="B2651" s="233"/>
      <c r="C2651" s="234"/>
      <c r="D2651" s="235" t="s">
        <v>49</v>
      </c>
      <c r="E2651" s="236"/>
      <c r="F2651" s="101" t="s">
        <v>1509</v>
      </c>
      <c r="G2651" s="101"/>
      <c r="H2651" s="238"/>
      <c r="I2651" s="224"/>
      <c r="J2651" s="29"/>
      <c r="K2651" s="51"/>
      <c r="L2651" s="46"/>
    </row>
    <row r="2652" spans="2:12" x14ac:dyDescent="0.35">
      <c r="B2652" s="233"/>
      <c r="C2652" s="234"/>
      <c r="D2652" s="235"/>
      <c r="E2652" s="236"/>
      <c r="F2652" s="101" t="s">
        <v>89</v>
      </c>
      <c r="G2652" s="101" t="s">
        <v>1510</v>
      </c>
      <c r="H2652" s="238">
        <v>207.9</v>
      </c>
      <c r="I2652" s="224" t="s">
        <v>87</v>
      </c>
      <c r="J2652" s="29">
        <v>29000</v>
      </c>
      <c r="K2652" s="51"/>
      <c r="L2652" s="46">
        <f t="shared" ref="L2652:L2657" si="145">J2652*H2652</f>
        <v>6029100</v>
      </c>
    </row>
    <row r="2653" spans="2:12" x14ac:dyDescent="0.35">
      <c r="B2653" s="233"/>
      <c r="C2653" s="234"/>
      <c r="D2653" s="235"/>
      <c r="E2653" s="236"/>
      <c r="F2653" s="101" t="s">
        <v>89</v>
      </c>
      <c r="G2653" s="101" t="s">
        <v>1502</v>
      </c>
      <c r="H2653" s="238">
        <v>158.76</v>
      </c>
      <c r="I2653" s="224" t="s">
        <v>87</v>
      </c>
      <c r="J2653" s="29">
        <v>29000</v>
      </c>
      <c r="K2653" s="51"/>
      <c r="L2653" s="46">
        <f t="shared" si="145"/>
        <v>4604040</v>
      </c>
    </row>
    <row r="2654" spans="2:12" x14ac:dyDescent="0.35">
      <c r="B2654" s="233"/>
      <c r="C2654" s="234"/>
      <c r="D2654" s="235"/>
      <c r="E2654" s="236"/>
      <c r="F2654" s="101" t="s">
        <v>89</v>
      </c>
      <c r="G2654" s="101" t="s">
        <v>1503</v>
      </c>
      <c r="H2654" s="238">
        <v>24.192</v>
      </c>
      <c r="I2654" s="224" t="s">
        <v>87</v>
      </c>
      <c r="J2654" s="29">
        <v>29000</v>
      </c>
      <c r="K2654" s="51"/>
      <c r="L2654" s="46">
        <f t="shared" si="145"/>
        <v>701568</v>
      </c>
    </row>
    <row r="2655" spans="2:12" x14ac:dyDescent="0.35">
      <c r="B2655" s="233"/>
      <c r="C2655" s="234"/>
      <c r="D2655" s="235"/>
      <c r="E2655" s="236"/>
      <c r="F2655" s="101" t="s">
        <v>89</v>
      </c>
      <c r="G2655" s="101" t="s">
        <v>1504</v>
      </c>
      <c r="H2655" s="238">
        <v>15.120000000000001</v>
      </c>
      <c r="I2655" s="224" t="s">
        <v>87</v>
      </c>
      <c r="J2655" s="29">
        <v>29000</v>
      </c>
      <c r="K2655" s="51"/>
      <c r="L2655" s="46">
        <f t="shared" si="145"/>
        <v>438480</v>
      </c>
    </row>
    <row r="2656" spans="2:12" x14ac:dyDescent="0.35">
      <c r="B2656" s="233"/>
      <c r="C2656" s="234"/>
      <c r="D2656" s="235"/>
      <c r="E2656" s="236"/>
      <c r="F2656" s="101" t="s">
        <v>89</v>
      </c>
      <c r="G2656" s="101" t="s">
        <v>1505</v>
      </c>
      <c r="H2656" s="238">
        <v>8.5911999999999988</v>
      </c>
      <c r="I2656" s="224" t="s">
        <v>87</v>
      </c>
      <c r="J2656" s="29">
        <v>29000</v>
      </c>
      <c r="K2656" s="51"/>
      <c r="L2656" s="46">
        <f t="shared" si="145"/>
        <v>249144.79999999996</v>
      </c>
    </row>
    <row r="2657" spans="2:12" x14ac:dyDescent="0.35">
      <c r="B2657" s="233"/>
      <c r="C2657" s="234"/>
      <c r="D2657" s="235"/>
      <c r="E2657" s="236"/>
      <c r="F2657" s="101" t="s">
        <v>89</v>
      </c>
      <c r="G2657" s="101" t="s">
        <v>1506</v>
      </c>
      <c r="H2657" s="238">
        <v>1.5071999999999997</v>
      </c>
      <c r="I2657" s="224" t="s">
        <v>87</v>
      </c>
      <c r="J2657" s="29">
        <v>29000</v>
      </c>
      <c r="K2657" s="51"/>
      <c r="L2657" s="46">
        <f t="shared" si="145"/>
        <v>43708.799999999988</v>
      </c>
    </row>
    <row r="2658" spans="2:12" x14ac:dyDescent="0.35">
      <c r="B2658" s="233"/>
      <c r="C2658" s="234"/>
      <c r="D2658" s="235" t="s">
        <v>62</v>
      </c>
      <c r="E2658" s="236"/>
      <c r="F2658" s="101" t="s">
        <v>1511</v>
      </c>
      <c r="G2658" s="101"/>
      <c r="H2658" s="237"/>
      <c r="I2658" s="224"/>
      <c r="J2658" s="50"/>
      <c r="K2658" s="29"/>
      <c r="L2658" s="52"/>
    </row>
    <row r="2659" spans="2:12" x14ac:dyDescent="0.35">
      <c r="B2659" s="233"/>
      <c r="C2659" s="234"/>
      <c r="D2659" s="235"/>
      <c r="E2659" s="236"/>
      <c r="F2659" s="101" t="s">
        <v>89</v>
      </c>
      <c r="G2659" s="101" t="s">
        <v>1512</v>
      </c>
      <c r="H2659" s="238">
        <v>35.927999999999997</v>
      </c>
      <c r="I2659" s="224" t="s">
        <v>87</v>
      </c>
      <c r="J2659" s="29">
        <v>29000</v>
      </c>
      <c r="K2659" s="51"/>
      <c r="L2659" s="46">
        <f t="shared" ref="L2659" si="146">J2659*H2659</f>
        <v>1041911.9999999999</v>
      </c>
    </row>
    <row r="2660" spans="2:12" x14ac:dyDescent="0.35">
      <c r="B2660" s="47"/>
      <c r="C2660" s="48"/>
      <c r="D2660" s="24"/>
      <c r="G2660" s="22"/>
      <c r="I2660" s="22"/>
      <c r="J2660" s="50"/>
      <c r="K2660" s="29"/>
      <c r="L2660" s="52"/>
    </row>
    <row r="2661" spans="2:12" x14ac:dyDescent="0.35">
      <c r="B2661" s="47"/>
      <c r="C2661" s="48"/>
      <c r="D2661" s="24"/>
      <c r="G2661" s="22"/>
      <c r="I2661" s="22"/>
      <c r="J2661" s="50"/>
      <c r="K2661" s="29"/>
      <c r="L2661" s="52"/>
    </row>
    <row r="2662" spans="2:12" x14ac:dyDescent="0.35">
      <c r="B2662" s="266"/>
      <c r="C2662" s="267"/>
      <c r="D2662" s="268"/>
      <c r="E2662" s="226" t="s">
        <v>292</v>
      </c>
      <c r="F2662" s="87"/>
      <c r="G2662" s="87"/>
      <c r="H2662" s="269"/>
      <c r="I2662" s="270"/>
      <c r="J2662" s="50"/>
      <c r="K2662" s="29"/>
      <c r="L2662" s="52"/>
    </row>
    <row r="2663" spans="2:12" x14ac:dyDescent="0.35">
      <c r="B2663" s="227" t="s">
        <v>43</v>
      </c>
      <c r="C2663" s="228"/>
      <c r="D2663" s="229"/>
      <c r="E2663" s="230" t="s">
        <v>18</v>
      </c>
      <c r="F2663" s="93"/>
      <c r="G2663" s="93"/>
      <c r="H2663" s="231"/>
      <c r="I2663" s="232"/>
      <c r="J2663" s="50"/>
      <c r="K2663" s="29"/>
      <c r="L2663" s="52"/>
    </row>
    <row r="2664" spans="2:12" x14ac:dyDescent="0.35">
      <c r="B2664" s="233"/>
      <c r="C2664" s="234"/>
      <c r="D2664" s="235" t="s">
        <v>44</v>
      </c>
      <c r="E2664" s="236"/>
      <c r="F2664" s="101" t="s">
        <v>288</v>
      </c>
      <c r="G2664" s="101"/>
      <c r="H2664" s="237"/>
      <c r="I2664" s="224"/>
      <c r="J2664" s="50"/>
      <c r="K2664" s="29"/>
      <c r="L2664" s="52"/>
    </row>
    <row r="2665" spans="2:12" x14ac:dyDescent="0.35">
      <c r="B2665" s="233"/>
      <c r="C2665" s="234"/>
      <c r="D2665" s="235"/>
      <c r="E2665" s="236"/>
      <c r="F2665" s="101" t="s">
        <v>89</v>
      </c>
      <c r="G2665" s="101" t="s">
        <v>1490</v>
      </c>
      <c r="H2665" s="238">
        <v>215.56799999999998</v>
      </c>
      <c r="I2665" s="224" t="s">
        <v>87</v>
      </c>
      <c r="J2665" s="29">
        <v>29000</v>
      </c>
      <c r="K2665" s="51"/>
      <c r="L2665" s="46">
        <f t="shared" ref="L2665:L2666" si="147">J2665*H2665</f>
        <v>6251471.9999999991</v>
      </c>
    </row>
    <row r="2666" spans="2:12" x14ac:dyDescent="0.35">
      <c r="B2666" s="233"/>
      <c r="C2666" s="234"/>
      <c r="D2666" s="235"/>
      <c r="E2666" s="236"/>
      <c r="F2666" s="101" t="s">
        <v>89</v>
      </c>
      <c r="G2666" s="101" t="s">
        <v>1491</v>
      </c>
      <c r="H2666" s="238">
        <v>143.71199999999999</v>
      </c>
      <c r="I2666" s="224" t="s">
        <v>87</v>
      </c>
      <c r="J2666" s="29">
        <v>29000</v>
      </c>
      <c r="K2666" s="51"/>
      <c r="L2666" s="46">
        <f t="shared" si="147"/>
        <v>4167647.9999999995</v>
      </c>
    </row>
    <row r="2667" spans="2:12" x14ac:dyDescent="0.35">
      <c r="B2667" s="47"/>
      <c r="C2667" s="48"/>
      <c r="D2667" s="24"/>
      <c r="G2667" s="22"/>
      <c r="I2667" s="22"/>
      <c r="J2667" s="50"/>
      <c r="K2667" s="29"/>
      <c r="L2667" s="52"/>
    </row>
    <row r="2668" spans="2:12" x14ac:dyDescent="0.35">
      <c r="B2668" s="227"/>
      <c r="C2668" s="228"/>
      <c r="D2668" s="229"/>
      <c r="E2668" s="230"/>
      <c r="F2668" s="93"/>
      <c r="G2668" s="93"/>
      <c r="H2668" s="231"/>
      <c r="I2668" s="232"/>
      <c r="J2668" s="50"/>
      <c r="K2668" s="29"/>
      <c r="L2668" s="52"/>
    </row>
    <row r="2669" spans="2:12" x14ac:dyDescent="0.35">
      <c r="B2669" s="233"/>
      <c r="C2669" s="234"/>
      <c r="D2669" s="235"/>
      <c r="E2669" s="236"/>
      <c r="F2669" s="101"/>
      <c r="G2669" s="101"/>
      <c r="H2669" s="237"/>
      <c r="I2669" s="224"/>
      <c r="J2669" s="50"/>
      <c r="K2669" s="29"/>
      <c r="L2669" s="52"/>
    </row>
    <row r="2670" spans="2:12" x14ac:dyDescent="0.35">
      <c r="B2670" s="233"/>
      <c r="C2670" s="234"/>
      <c r="D2670" s="235"/>
      <c r="E2670" s="236"/>
      <c r="F2670" s="101"/>
      <c r="G2670" s="101"/>
      <c r="H2670" s="238"/>
      <c r="I2670" s="224"/>
      <c r="J2670" s="29"/>
      <c r="K2670" s="51"/>
      <c r="L2670" s="46"/>
    </row>
    <row r="2671" spans="2:12" x14ac:dyDescent="0.35">
      <c r="B2671" s="233"/>
      <c r="C2671" s="234"/>
      <c r="D2671" s="235"/>
      <c r="E2671" s="236"/>
      <c r="F2671" s="101"/>
      <c r="G2671" s="101"/>
      <c r="H2671" s="238"/>
      <c r="I2671" s="224"/>
      <c r="J2671" s="29"/>
      <c r="K2671" s="51"/>
      <c r="L2671" s="46"/>
    </row>
    <row r="2672" spans="2:12" x14ac:dyDescent="0.35">
      <c r="B2672" s="233"/>
      <c r="C2672" s="234"/>
      <c r="D2672" s="235"/>
      <c r="E2672" s="236"/>
      <c r="F2672" s="101"/>
      <c r="G2672" s="101"/>
      <c r="H2672" s="238"/>
      <c r="I2672" s="224"/>
      <c r="J2672" s="29"/>
      <c r="K2672" s="51"/>
      <c r="L2672" s="46"/>
    </row>
    <row r="2673" spans="2:14" x14ac:dyDescent="0.35">
      <c r="B2673" s="47"/>
      <c r="C2673" s="48"/>
      <c r="D2673" s="24"/>
      <c r="G2673" s="22"/>
      <c r="I2673" s="22"/>
      <c r="J2673" s="50"/>
      <c r="K2673" s="29"/>
      <c r="L2673" s="52"/>
    </row>
    <row r="2674" spans="2:14" x14ac:dyDescent="0.35">
      <c r="B2674" s="47"/>
      <c r="C2674" s="48"/>
      <c r="D2674" s="24"/>
      <c r="G2674" s="22"/>
      <c r="I2674" s="22"/>
      <c r="J2674" s="50"/>
      <c r="K2674" s="29"/>
      <c r="L2674" s="52"/>
    </row>
    <row r="2675" spans="2:14" x14ac:dyDescent="0.35">
      <c r="B2675" s="47"/>
      <c r="C2675" s="48"/>
      <c r="D2675" s="24"/>
      <c r="G2675" s="22"/>
      <c r="I2675" s="22"/>
      <c r="J2675" s="50"/>
      <c r="K2675" s="29"/>
      <c r="L2675" s="52"/>
    </row>
    <row r="2676" spans="2:14" x14ac:dyDescent="0.35">
      <c r="B2676" s="47"/>
      <c r="C2676" s="48"/>
      <c r="D2676" s="24"/>
      <c r="G2676" s="22"/>
      <c r="I2676" s="22"/>
      <c r="J2676" s="50"/>
      <c r="K2676" s="29"/>
      <c r="L2676" s="52"/>
    </row>
    <row r="2677" spans="2:14" x14ac:dyDescent="0.35">
      <c r="B2677" s="47"/>
      <c r="C2677" s="48"/>
      <c r="D2677" s="24"/>
      <c r="G2677" s="22"/>
      <c r="I2677" s="22"/>
      <c r="J2677" s="50"/>
      <c r="K2677" s="29"/>
      <c r="L2677" s="52"/>
    </row>
    <row r="2678" spans="2:14" x14ac:dyDescent="0.35">
      <c r="B2678" s="47"/>
      <c r="C2678" s="48"/>
      <c r="D2678" s="24"/>
      <c r="G2678" s="22"/>
      <c r="I2678" s="22"/>
      <c r="J2678" s="50"/>
      <c r="K2678" s="29"/>
      <c r="L2678" s="52"/>
    </row>
    <row r="2679" spans="2:14" x14ac:dyDescent="0.35">
      <c r="B2679" s="47"/>
      <c r="C2679" s="48"/>
      <c r="D2679" s="24"/>
      <c r="G2679" s="22"/>
      <c r="I2679" s="22"/>
      <c r="J2679" s="50"/>
      <c r="K2679" s="29"/>
      <c r="L2679" s="52"/>
    </row>
    <row r="2680" spans="2:14" x14ac:dyDescent="0.35">
      <c r="B2680" s="47"/>
      <c r="C2680" s="48"/>
      <c r="D2680" s="24"/>
      <c r="G2680" s="22"/>
      <c r="I2680" s="22"/>
      <c r="J2680" s="50"/>
      <c r="K2680" s="29"/>
      <c r="L2680" s="52"/>
    </row>
    <row r="2681" spans="2:14" x14ac:dyDescent="0.35">
      <c r="B2681" s="47"/>
      <c r="C2681" s="48"/>
      <c r="D2681" s="24"/>
      <c r="G2681" s="22"/>
      <c r="I2681" s="22"/>
      <c r="J2681" s="50"/>
      <c r="K2681" s="29"/>
      <c r="L2681" s="52"/>
    </row>
    <row r="2682" spans="2:14" x14ac:dyDescent="0.35">
      <c r="B2682" s="47"/>
      <c r="C2682" s="48"/>
      <c r="D2682" s="24"/>
      <c r="G2682" s="22"/>
      <c r="I2682" s="22"/>
      <c r="J2682" s="50"/>
      <c r="K2682" s="29"/>
      <c r="L2682" s="52"/>
    </row>
    <row r="2683" spans="2:14" x14ac:dyDescent="0.35">
      <c r="B2683" s="8"/>
      <c r="C2683" s="9"/>
      <c r="D2683" s="10"/>
      <c r="E2683" s="4"/>
      <c r="F2683" s="4"/>
      <c r="G2683" s="4"/>
      <c r="H2683" s="1"/>
      <c r="I2683" s="1"/>
      <c r="J2683" s="11" t="s">
        <v>8</v>
      </c>
      <c r="K2683" s="7">
        <f>SUM(K2632:K2681)</f>
        <v>0</v>
      </c>
      <c r="L2683" s="7">
        <f>SUM(L2632:L2681)</f>
        <v>40627468.800000004</v>
      </c>
    </row>
    <row r="2684" spans="2:14" x14ac:dyDescent="0.35">
      <c r="B2684" s="8"/>
      <c r="C2684" s="9"/>
      <c r="D2684" s="10"/>
      <c r="E2684" s="4"/>
      <c r="F2684" s="4"/>
      <c r="G2684" s="4"/>
      <c r="H2684" s="1"/>
      <c r="I2684" s="1"/>
      <c r="J2684" s="11" t="s">
        <v>1517</v>
      </c>
      <c r="K2684" s="7">
        <f>SUM(K73,K140,K207,K274,K341,K408,K475,K542,K609,K676,K743,K810,K877,K944,K1011,K1078,K1145,K1212,K1279,K1346,K1413,K1480,K1547,K1614,K1681,K1748,K1815,K1882,K1949,K2016,K2083,K2150,K2217,K2284,K2351,K2418,K2485,K2552,K2619,K2683)</f>
        <v>2486582560.7999997</v>
      </c>
      <c r="L2684" s="7">
        <f>SUM(L73,L140,L207,L274,L341,L408,L475,L542,L609,L676,L743,L810,L877,L944,L1011,L1078,L1279,L1346,L1413,L1480,L1547,L1614,L1681,L1748,L1815,L1882,L1949,L2016,L2083,L2150,L2217,L2284,L2351,L2418,L2485,L2552,L2619,L2683)</f>
        <v>11630211591.069117</v>
      </c>
      <c r="M2684" s="14">
        <f>K2684+L2684</f>
        <v>14116794151.869116</v>
      </c>
      <c r="N2684" s="67">
        <f>M2684*7.5%</f>
        <v>1058759561.3901837</v>
      </c>
    </row>
    <row r="2685" spans="2:14" x14ac:dyDescent="0.35">
      <c r="B2685" s="8"/>
      <c r="C2685" s="9"/>
      <c r="D2685" s="9"/>
      <c r="E2685" s="4"/>
      <c r="F2685" s="4"/>
      <c r="G2685" s="4"/>
      <c r="H2685" s="1"/>
      <c r="I2685" s="1"/>
      <c r="J2685" s="11" t="s">
        <v>1598</v>
      </c>
      <c r="K2685" s="54">
        <v>1058759561</v>
      </c>
      <c r="L2685" s="7">
        <v>0</v>
      </c>
      <c r="M2685" s="14"/>
    </row>
    <row r="2686" spans="2:14" x14ac:dyDescent="0.35">
      <c r="B2686" s="8"/>
      <c r="C2686" s="9"/>
      <c r="D2686" s="9"/>
      <c r="E2686" s="4"/>
      <c r="F2686" s="4"/>
      <c r="G2686" s="4"/>
      <c r="H2686" s="1"/>
      <c r="I2686" s="1"/>
      <c r="J2686" s="11" t="s">
        <v>1599</v>
      </c>
      <c r="K2686" s="54">
        <f>K2684-K2685</f>
        <v>1427822999.7999997</v>
      </c>
      <c r="L2686" s="54">
        <f>L2684-L2685</f>
        <v>11630211591.069117</v>
      </c>
      <c r="M2686" s="14">
        <f>L2686+K2686</f>
        <v>13058034590.869116</v>
      </c>
    </row>
    <row r="2687" spans="2:14" x14ac:dyDescent="0.35">
      <c r="B2687" s="8"/>
      <c r="C2687" s="9"/>
      <c r="D2687" s="9"/>
      <c r="E2687" s="4"/>
      <c r="F2687" s="4"/>
      <c r="G2687" s="4"/>
      <c r="H2687" s="1"/>
      <c r="I2687" s="1"/>
      <c r="J2687" s="11"/>
      <c r="K2687" s="35" t="s">
        <v>22</v>
      </c>
      <c r="L2687" s="36" t="s">
        <v>23</v>
      </c>
    </row>
    <row r="2688" spans="2:14" x14ac:dyDescent="0.35">
      <c r="B2688" s="3" t="s">
        <v>9</v>
      </c>
      <c r="C2688" s="4"/>
      <c r="D2688" s="4"/>
      <c r="E2688" s="4"/>
      <c r="F2688" s="4"/>
      <c r="G2688" s="4"/>
      <c r="H2688" s="1"/>
      <c r="I2688" s="1"/>
      <c r="J2688" s="12"/>
      <c r="K2688" s="12"/>
      <c r="L2688" s="13"/>
    </row>
    <row r="2689" spans="2:12" x14ac:dyDescent="0.35">
      <c r="B2689" s="37"/>
      <c r="C2689" s="1"/>
      <c r="D2689" s="1"/>
      <c r="E2689" s="38"/>
      <c r="F2689" s="38"/>
      <c r="G2689" s="38"/>
      <c r="H2689" s="1"/>
      <c r="I2689" s="1"/>
      <c r="J2689" s="1"/>
      <c r="K2689" s="1"/>
      <c r="L2689" s="19"/>
    </row>
    <row r="2690" spans="2:12" x14ac:dyDescent="0.35">
      <c r="B2690" s="28" t="s">
        <v>6</v>
      </c>
      <c r="C2690" s="27"/>
      <c r="D2690" s="27"/>
      <c r="E2690" s="26"/>
      <c r="F2690" s="26"/>
      <c r="G2690" s="5"/>
      <c r="K2690" s="284" t="s">
        <v>1600</v>
      </c>
      <c r="L2690" s="285"/>
    </row>
    <row r="2691" spans="2:12" x14ac:dyDescent="0.35">
      <c r="B2691" s="28">
        <v>1</v>
      </c>
      <c r="C2691" s="27"/>
      <c r="D2691" s="27"/>
      <c r="E2691" s="26" t="s">
        <v>7</v>
      </c>
      <c r="F2691" s="26"/>
      <c r="G2691" s="5"/>
      <c r="K2691" s="284" t="s">
        <v>28</v>
      </c>
      <c r="L2691" s="285"/>
    </row>
    <row r="2692" spans="2:12" x14ac:dyDescent="0.35">
      <c r="B2692" s="39"/>
      <c r="C2692" s="27"/>
      <c r="D2692" s="27"/>
      <c r="E2692" s="26"/>
      <c r="F2692" s="26"/>
      <c r="G2692" s="5"/>
      <c r="J2692" s="25"/>
      <c r="K2692" s="25"/>
      <c r="L2692" s="24"/>
    </row>
    <row r="2693" spans="2:12" x14ac:dyDescent="0.35">
      <c r="B2693" s="28"/>
      <c r="C2693" s="27"/>
      <c r="D2693" s="27"/>
      <c r="E2693" s="26"/>
      <c r="F2693" s="26"/>
      <c r="G2693" s="5"/>
      <c r="L2693" s="22"/>
    </row>
    <row r="2694" spans="2:12" x14ac:dyDescent="0.35">
      <c r="B2694" s="45"/>
      <c r="E2694" s="5"/>
      <c r="F2694" s="5"/>
      <c r="G2694" s="5"/>
      <c r="L2694" s="22"/>
    </row>
    <row r="2695" spans="2:12" x14ac:dyDescent="0.35">
      <c r="B2695" s="45"/>
      <c r="E2695" s="5"/>
      <c r="F2695" s="5"/>
      <c r="G2695" s="5"/>
      <c r="L2695" s="22"/>
    </row>
    <row r="2696" spans="2:12" x14ac:dyDescent="0.35">
      <c r="B2696" s="45"/>
      <c r="E2696" s="5"/>
      <c r="F2696" s="5"/>
      <c r="G2696" s="5"/>
      <c r="L2696" s="22"/>
    </row>
    <row r="2697" spans="2:12" x14ac:dyDescent="0.35">
      <c r="B2697" s="45"/>
      <c r="E2697" s="5"/>
      <c r="F2697" s="5"/>
      <c r="G2697" s="5"/>
      <c r="J2697" s="40"/>
      <c r="K2697" s="286" t="s">
        <v>36</v>
      </c>
      <c r="L2697" s="287"/>
    </row>
    <row r="2698" spans="2:12" x14ac:dyDescent="0.35">
      <c r="B2698" s="45"/>
      <c r="K2698" s="288" t="s">
        <v>37</v>
      </c>
      <c r="L2698" s="289"/>
    </row>
    <row r="2699" spans="2:12" x14ac:dyDescent="0.35">
      <c r="B2699" s="290"/>
      <c r="C2699" s="291"/>
      <c r="D2699" s="291"/>
      <c r="E2699" s="41"/>
      <c r="F2699" s="41"/>
      <c r="G2699" s="41"/>
      <c r="H2699" s="2"/>
      <c r="I2699" s="2"/>
      <c r="J2699" s="2"/>
      <c r="K2699" s="2"/>
      <c r="L2699" s="21"/>
    </row>
  </sheetData>
  <mergeCells count="208">
    <mergeCell ref="F15:G15"/>
    <mergeCell ref="B18:D19"/>
    <mergeCell ref="E18:G19"/>
    <mergeCell ref="H18:I19"/>
    <mergeCell ref="J18:J19"/>
    <mergeCell ref="K18:K19"/>
    <mergeCell ref="B86:D86"/>
    <mergeCell ref="K144:L144"/>
    <mergeCell ref="K145:L145"/>
    <mergeCell ref="K151:L151"/>
    <mergeCell ref="K152:L152"/>
    <mergeCell ref="B153:D153"/>
    <mergeCell ref="L18:L19"/>
    <mergeCell ref="N21:O21"/>
    <mergeCell ref="K77:L77"/>
    <mergeCell ref="K78:L78"/>
    <mergeCell ref="K84:L84"/>
    <mergeCell ref="K85:L85"/>
    <mergeCell ref="K279:L279"/>
    <mergeCell ref="K285:L285"/>
    <mergeCell ref="K286:L286"/>
    <mergeCell ref="B287:D287"/>
    <mergeCell ref="K345:L345"/>
    <mergeCell ref="K346:L346"/>
    <mergeCell ref="K211:L211"/>
    <mergeCell ref="K212:L212"/>
    <mergeCell ref="K218:L218"/>
    <mergeCell ref="K219:L219"/>
    <mergeCell ref="B220:D220"/>
    <mergeCell ref="K278:L278"/>
    <mergeCell ref="K420:L420"/>
    <mergeCell ref="B421:D421"/>
    <mergeCell ref="K479:L479"/>
    <mergeCell ref="K480:L480"/>
    <mergeCell ref="K486:L486"/>
    <mergeCell ref="K487:L487"/>
    <mergeCell ref="K352:L352"/>
    <mergeCell ref="K353:L353"/>
    <mergeCell ref="B354:D354"/>
    <mergeCell ref="K412:L412"/>
    <mergeCell ref="K413:L413"/>
    <mergeCell ref="K419:L419"/>
    <mergeCell ref="K613:L613"/>
    <mergeCell ref="K614:L614"/>
    <mergeCell ref="K620:L620"/>
    <mergeCell ref="K621:L621"/>
    <mergeCell ref="B622:D622"/>
    <mergeCell ref="K680:L680"/>
    <mergeCell ref="B488:D488"/>
    <mergeCell ref="K546:L546"/>
    <mergeCell ref="K547:L547"/>
    <mergeCell ref="K553:L553"/>
    <mergeCell ref="K554:L554"/>
    <mergeCell ref="B555:D555"/>
    <mergeCell ref="K754:L754"/>
    <mergeCell ref="K755:L755"/>
    <mergeCell ref="B756:D756"/>
    <mergeCell ref="K814:L814"/>
    <mergeCell ref="K815:L815"/>
    <mergeCell ref="K821:L821"/>
    <mergeCell ref="K681:L681"/>
    <mergeCell ref="K687:L687"/>
    <mergeCell ref="K688:L688"/>
    <mergeCell ref="B689:D689"/>
    <mergeCell ref="K747:L747"/>
    <mergeCell ref="K748:L748"/>
    <mergeCell ref="B890:D890"/>
    <mergeCell ref="K948:L948"/>
    <mergeCell ref="K949:L949"/>
    <mergeCell ref="K955:L955"/>
    <mergeCell ref="K956:L956"/>
    <mergeCell ref="B957:D957"/>
    <mergeCell ref="K822:L822"/>
    <mergeCell ref="B823:D823"/>
    <mergeCell ref="K881:L881"/>
    <mergeCell ref="K882:L882"/>
    <mergeCell ref="K888:L888"/>
    <mergeCell ref="K889:L889"/>
    <mergeCell ref="K1083:L1083"/>
    <mergeCell ref="K1089:L1089"/>
    <mergeCell ref="K1090:L1090"/>
    <mergeCell ref="B1091:D1091"/>
    <mergeCell ref="K1149:L1149"/>
    <mergeCell ref="K1150:L1150"/>
    <mergeCell ref="K1015:L1015"/>
    <mergeCell ref="K1016:L1016"/>
    <mergeCell ref="K1022:L1022"/>
    <mergeCell ref="K1023:L1023"/>
    <mergeCell ref="B1024:D1024"/>
    <mergeCell ref="K1082:L1082"/>
    <mergeCell ref="K1224:L1224"/>
    <mergeCell ref="B1225:D1225"/>
    <mergeCell ref="K1283:L1283"/>
    <mergeCell ref="K1284:L1284"/>
    <mergeCell ref="K1290:L1290"/>
    <mergeCell ref="K1291:L1291"/>
    <mergeCell ref="K1156:L1156"/>
    <mergeCell ref="K1157:L1157"/>
    <mergeCell ref="B1158:D1158"/>
    <mergeCell ref="K1216:L1216"/>
    <mergeCell ref="K1217:L1217"/>
    <mergeCell ref="K1223:L1223"/>
    <mergeCell ref="K1417:L1417"/>
    <mergeCell ref="K1418:L1418"/>
    <mergeCell ref="K1424:L1424"/>
    <mergeCell ref="K1425:L1425"/>
    <mergeCell ref="B1426:D1426"/>
    <mergeCell ref="K1484:L1484"/>
    <mergeCell ref="B1292:D1292"/>
    <mergeCell ref="K1350:L1350"/>
    <mergeCell ref="K1351:L1351"/>
    <mergeCell ref="K1357:L1357"/>
    <mergeCell ref="K1358:L1358"/>
    <mergeCell ref="B1359:D1359"/>
    <mergeCell ref="K1558:L1558"/>
    <mergeCell ref="K1559:L1559"/>
    <mergeCell ref="B1560:D1560"/>
    <mergeCell ref="K1618:L1618"/>
    <mergeCell ref="K1619:L1619"/>
    <mergeCell ref="K1625:L1625"/>
    <mergeCell ref="K1485:L1485"/>
    <mergeCell ref="K1491:L1491"/>
    <mergeCell ref="K1492:L1492"/>
    <mergeCell ref="B1493:D1493"/>
    <mergeCell ref="K1551:L1551"/>
    <mergeCell ref="K1552:L1552"/>
    <mergeCell ref="B1694:D1694"/>
    <mergeCell ref="K1752:L1752"/>
    <mergeCell ref="K1753:L1753"/>
    <mergeCell ref="K1759:L1759"/>
    <mergeCell ref="K1760:L1760"/>
    <mergeCell ref="B1761:D1761"/>
    <mergeCell ref="K1626:L1626"/>
    <mergeCell ref="B1627:D1627"/>
    <mergeCell ref="K1685:L1685"/>
    <mergeCell ref="K1686:L1686"/>
    <mergeCell ref="K1692:L1692"/>
    <mergeCell ref="K1693:L1693"/>
    <mergeCell ref="K1887:L1887"/>
    <mergeCell ref="K1893:L1893"/>
    <mergeCell ref="K1894:L1894"/>
    <mergeCell ref="B1895:D1895"/>
    <mergeCell ref="K1953:L1953"/>
    <mergeCell ref="K1954:L1954"/>
    <mergeCell ref="K1819:L1819"/>
    <mergeCell ref="K1820:L1820"/>
    <mergeCell ref="K1826:L1826"/>
    <mergeCell ref="K1827:L1827"/>
    <mergeCell ref="B1828:D1828"/>
    <mergeCell ref="K1886:L1886"/>
    <mergeCell ref="K2028:L2028"/>
    <mergeCell ref="B2029:D2029"/>
    <mergeCell ref="K2087:L2087"/>
    <mergeCell ref="K2088:L2088"/>
    <mergeCell ref="K2094:L2094"/>
    <mergeCell ref="K2095:L2095"/>
    <mergeCell ref="K1960:L1960"/>
    <mergeCell ref="K1961:L1961"/>
    <mergeCell ref="B1962:D1962"/>
    <mergeCell ref="K2020:L2020"/>
    <mergeCell ref="K2021:L2021"/>
    <mergeCell ref="K2027:L2027"/>
    <mergeCell ref="K2221:L2221"/>
    <mergeCell ref="K2222:L2222"/>
    <mergeCell ref="K2228:L2228"/>
    <mergeCell ref="K2229:L2229"/>
    <mergeCell ref="B2230:D2230"/>
    <mergeCell ref="K2288:L2288"/>
    <mergeCell ref="B2096:D2096"/>
    <mergeCell ref="K2154:L2154"/>
    <mergeCell ref="K2155:L2155"/>
    <mergeCell ref="K2161:L2161"/>
    <mergeCell ref="K2162:L2162"/>
    <mergeCell ref="B2163:D2163"/>
    <mergeCell ref="K2362:L2362"/>
    <mergeCell ref="K2363:L2363"/>
    <mergeCell ref="B2364:D2364"/>
    <mergeCell ref="K2422:L2422"/>
    <mergeCell ref="K2423:L2423"/>
    <mergeCell ref="K2429:L2429"/>
    <mergeCell ref="K2289:L2289"/>
    <mergeCell ref="K2295:L2295"/>
    <mergeCell ref="K2296:L2296"/>
    <mergeCell ref="B2297:D2297"/>
    <mergeCell ref="K2355:L2355"/>
    <mergeCell ref="K2356:L2356"/>
    <mergeCell ref="B2498:D2498"/>
    <mergeCell ref="K2556:L2556"/>
    <mergeCell ref="K2557:L2557"/>
    <mergeCell ref="K2563:L2563"/>
    <mergeCell ref="K2564:L2564"/>
    <mergeCell ref="B2565:D2565"/>
    <mergeCell ref="K2430:L2430"/>
    <mergeCell ref="B2431:D2431"/>
    <mergeCell ref="K2489:L2489"/>
    <mergeCell ref="K2490:L2490"/>
    <mergeCell ref="K2496:L2496"/>
    <mergeCell ref="K2497:L2497"/>
    <mergeCell ref="K2691:L2691"/>
    <mergeCell ref="K2697:L2697"/>
    <mergeCell ref="K2698:L2698"/>
    <mergeCell ref="B2699:D2699"/>
    <mergeCell ref="K2623:L2623"/>
    <mergeCell ref="K2624:L2624"/>
    <mergeCell ref="K2630:L2630"/>
    <mergeCell ref="K2631:L2631"/>
    <mergeCell ref="B2632:D2632"/>
    <mergeCell ref="K2690:L2690"/>
  </mergeCells>
  <conditionalFormatting sqref="B1525:C1528">
    <cfRule type="expression" dxfId="10" priority="4">
      <formula>AND((ISBLANK($B1525)=FALSE),(ISBLANK(#REF!)=FALSE))</formula>
    </cfRule>
  </conditionalFormatting>
  <conditionalFormatting sqref="C1525:C1528 E1525:E1528">
    <cfRule type="expression" dxfId="9" priority="7">
      <formula>AND(ISBLANK($B1525),(ISBLANK($C1525)=FALSE),ISBLANK($D1525),((ISBLANK($E1525))=FALSE))</formula>
    </cfRule>
  </conditionalFormatting>
  <conditionalFormatting sqref="E48:E50">
    <cfRule type="expression" dxfId="8" priority="11">
      <formula>AND((ISBLANK(#REF!)=FALSE),(ISBLANK($E48)=FALSE))</formula>
    </cfRule>
  </conditionalFormatting>
  <conditionalFormatting sqref="E54:E55">
    <cfRule type="expression" dxfId="7" priority="10">
      <formula>AND((ISBLANK(#REF!)=FALSE),(ISBLANK($E54)=FALSE))</formula>
    </cfRule>
  </conditionalFormatting>
  <conditionalFormatting sqref="E1504">
    <cfRule type="expression" dxfId="6" priority="9">
      <formula>AND((ISBLANK($B1504)=FALSE),(ISBLANK($E1504)=FALSE))</formula>
    </cfRule>
  </conditionalFormatting>
  <conditionalFormatting sqref="E1517:E1520">
    <cfRule type="expression" dxfId="5" priority="8">
      <formula>AND((ISBLANK($B1517)=FALSE),(ISBLANK($E1517)=FALSE))</formula>
    </cfRule>
  </conditionalFormatting>
  <conditionalFormatting sqref="E1524">
    <cfRule type="expression" dxfId="4" priority="3">
      <formula>AND((ISBLANK($B1524)=FALSE),(ISBLANK($E1524)=FALSE))</formula>
    </cfRule>
  </conditionalFormatting>
  <conditionalFormatting sqref="E1525:E1528">
    <cfRule type="expression" dxfId="3" priority="6">
      <formula>AND(ISBLANK($B1525),ISBLANK($C1525),ISBLANK($D1525),((ISBLANK($E1525))=FALSE),ISBLANK($F1525))</formula>
    </cfRule>
  </conditionalFormatting>
  <conditionalFormatting sqref="E1537">
    <cfRule type="expression" dxfId="2" priority="2">
      <formula>AND((ISBLANK($B1537)=FALSE),(ISBLANK($E1537)=FALSE))</formula>
    </cfRule>
  </conditionalFormatting>
  <conditionalFormatting sqref="E1539:E1540">
    <cfRule type="expression" dxfId="1" priority="1">
      <formula>AND((ISBLANK($B1539)=FALSE),(ISBLANK($E1539)=FALSE))</formula>
    </cfRule>
  </conditionalFormatting>
  <conditionalFormatting sqref="F1525:F1528">
    <cfRule type="expression" dxfId="0" priority="5">
      <formula>AND(ISBLANK($B1525),ISBLANK($C1525),ISBLANK($D1525),ISBLANK($E1525),ISBLANK(#REF!),ISBLANK($E1525))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rev.03</vt:lpstr>
      <vt:lpstr>'Rincian Biaya rev.03'!Print_Area</vt:lpstr>
      <vt:lpstr>'Rincian Biaya rev.03'!Print_Titles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2022-06-22T06:43:51Z</cp:lastPrinted>
  <dcterms:created xsi:type="dcterms:W3CDTF">2015-07-30T04:54:41Z</dcterms:created>
  <dcterms:modified xsi:type="dcterms:W3CDTF">2025-12-23T07:58:28Z</dcterms:modified>
</cp:coreProperties>
</file>