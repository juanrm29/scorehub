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showInkAnnotation="0" codeName="ThisWorkbook" autoCompressPictures="0"/>
  <mc:AlternateContent xmlns:mc="http://schemas.openxmlformats.org/markup-compatibility/2006">
    <mc:Choice Requires="x15">
      <x15ac:absPath xmlns:x15ac="http://schemas.microsoft.com/office/spreadsheetml/2010/11/ac" url="H:\Shared drives\HO-A.1 MANAGEMENT REPRESENTATIF\TUGAS\MARKETING JUAN\"/>
    </mc:Choice>
  </mc:AlternateContent>
  <xr:revisionPtr revIDLastSave="0" documentId="13_ncr:1_{7E256E73-2F33-438A-B0A3-FBEEE7F52AFF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Rincian Biaya rev.01" sheetId="43" r:id="rId1"/>
  </sheets>
  <definedNames>
    <definedName name="_xlnm.Print_Area" localSheetId="0">'Rincian Biaya rev.01'!$B$2:$L$152</definedName>
    <definedName name="_xlnm.Print_Titles" localSheetId="0">'Rincian Biaya rev.01'!$2:$19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39" i="43" l="1"/>
  <c r="M139" i="43" s="1"/>
  <c r="L139" i="43"/>
  <c r="K108" i="43"/>
  <c r="L104" i="43"/>
  <c r="H103" i="43"/>
  <c r="L103" i="43" s="1"/>
  <c r="H102" i="43"/>
  <c r="L102" i="43" s="1"/>
  <c r="H101" i="43"/>
  <c r="L101" i="43" s="1"/>
  <c r="K96" i="43"/>
  <c r="K94" i="43"/>
  <c r="Q93" i="43"/>
  <c r="P93" i="43"/>
  <c r="O93" i="43"/>
  <c r="O94" i="43" s="1"/>
  <c r="K93" i="43"/>
  <c r="Q92" i="43"/>
  <c r="O92" i="43"/>
  <c r="K92" i="43"/>
  <c r="Q91" i="43"/>
  <c r="O91" i="43"/>
  <c r="K91" i="43"/>
  <c r="P90" i="43"/>
  <c r="O90" i="43"/>
  <c r="K90" i="43"/>
  <c r="K89" i="43"/>
  <c r="Q88" i="43"/>
  <c r="R89" i="43" s="1"/>
  <c r="P88" i="43"/>
  <c r="K136" i="43" l="1"/>
  <c r="S89" i="43"/>
  <c r="T89" i="43" s="1"/>
  <c r="L136" i="43"/>
  <c r="M136" i="43" l="1"/>
  <c r="K70" i="43" l="1"/>
  <c r="K68" i="43"/>
  <c r="L67" i="43"/>
  <c r="L66" i="43"/>
  <c r="L65" i="43"/>
  <c r="K64" i="43"/>
  <c r="L63" i="43"/>
  <c r="L62" i="43"/>
  <c r="K61" i="43"/>
  <c r="K60" i="43"/>
  <c r="K58" i="43"/>
  <c r="K56" i="43"/>
  <c r="K55" i="43"/>
  <c r="K54" i="43"/>
  <c r="K53" i="43"/>
  <c r="M52" i="43"/>
  <c r="M51" i="43"/>
  <c r="M50" i="43"/>
  <c r="K49" i="43"/>
  <c r="K48" i="43"/>
  <c r="M46" i="43"/>
  <c r="M45" i="43"/>
  <c r="M44" i="43"/>
  <c r="M43" i="43"/>
  <c r="K42" i="43"/>
  <c r="M40" i="43"/>
  <c r="M39" i="43"/>
  <c r="M38" i="43"/>
  <c r="M37" i="43"/>
  <c r="M36" i="43" s="1"/>
  <c r="K36" i="43"/>
  <c r="M35" i="43"/>
  <c r="M34" i="43"/>
  <c r="M33" i="43"/>
  <c r="M32" i="43"/>
  <c r="M31" i="43"/>
  <c r="M30" i="43"/>
  <c r="K29" i="43"/>
  <c r="K28" i="43"/>
  <c r="Q27" i="43"/>
  <c r="P27" i="43"/>
  <c r="O27" i="43"/>
  <c r="O28" i="43" s="1"/>
  <c r="Q26" i="43"/>
  <c r="O26" i="43"/>
  <c r="Q25" i="43"/>
  <c r="O25" i="43"/>
  <c r="P24" i="43"/>
  <c r="O24" i="43"/>
  <c r="K24" i="43"/>
  <c r="K23" i="43"/>
  <c r="Q22" i="43"/>
  <c r="R23" i="43" s="1"/>
  <c r="P22" i="43"/>
  <c r="K22" i="43"/>
  <c r="M29" i="43" l="1"/>
  <c r="M49" i="43"/>
  <c r="L72" i="43"/>
  <c r="L137" i="43" s="1"/>
  <c r="M42" i="43"/>
  <c r="K72" i="43"/>
  <c r="K137" i="43" s="1"/>
  <c r="S23" i="43"/>
  <c r="T23" i="43" s="1"/>
  <c r="M72" i="43" l="1"/>
</calcChain>
</file>

<file path=xl/sharedStrings.xml><?xml version="1.0" encoding="utf-8"?>
<sst xmlns="http://schemas.openxmlformats.org/spreadsheetml/2006/main" count="274" uniqueCount="140">
  <si>
    <t>No</t>
  </si>
  <si>
    <t>Item</t>
  </si>
  <si>
    <t>Volume</t>
  </si>
  <si>
    <t>Unit Price</t>
  </si>
  <si>
    <t>Client</t>
  </si>
  <si>
    <t>Contact</t>
  </si>
  <si>
    <t>Note :</t>
  </si>
  <si>
    <t>Cara pembayaran :</t>
  </si>
  <si>
    <t xml:space="preserve">Total   </t>
  </si>
  <si>
    <t>Say   :</t>
  </si>
  <si>
    <t>PELAYANAN UMUM</t>
  </si>
  <si>
    <t>L</t>
  </si>
  <si>
    <t>D</t>
  </si>
  <si>
    <t>Keliling</t>
  </si>
  <si>
    <t>Bottom</t>
  </si>
  <si>
    <t>Luasan Painting</t>
  </si>
  <si>
    <t>PERAWATAN LAMBUNG</t>
  </si>
  <si>
    <t>SISTIM PENGGERAK</t>
  </si>
  <si>
    <t>PERLENGKAPAN DECK</t>
  </si>
  <si>
    <t>Panjang Sideboard</t>
  </si>
  <si>
    <t>Lebar Sideboard</t>
  </si>
  <si>
    <t>B</t>
  </si>
  <si>
    <t>Service</t>
  </si>
  <si>
    <t>Material</t>
  </si>
  <si>
    <t>DETAIL OF DOCKING AND REPAIR COST</t>
  </si>
  <si>
    <t>Rincian Biaya Docking Dan Perbaikan</t>
  </si>
  <si>
    <t>: All</t>
  </si>
  <si>
    <t>AKOMODASI</t>
  </si>
  <si>
    <t>PT. Meranti Nusa Bahari</t>
  </si>
  <si>
    <t>Project Information</t>
  </si>
  <si>
    <t>Name</t>
  </si>
  <si>
    <t>Length</t>
  </si>
  <si>
    <t>Breadth</t>
  </si>
  <si>
    <t>Depth</t>
  </si>
  <si>
    <t>Klass</t>
  </si>
  <si>
    <t>Type</t>
  </si>
  <si>
    <t>Aditya Agung H.</t>
  </si>
  <si>
    <t>General Manager</t>
  </si>
  <si>
    <t>: 6/FIN/MKT-MNB/I/2025</t>
  </si>
  <si>
    <t>:  23.17 Meter</t>
  </si>
  <si>
    <t>:    6.70 Meter</t>
  </si>
  <si>
    <t>:    3,50 Meter</t>
  </si>
  <si>
    <t>: BKI</t>
  </si>
  <si>
    <t>I</t>
  </si>
  <si>
    <t>a</t>
  </si>
  <si>
    <t>Hari</t>
  </si>
  <si>
    <t>b</t>
  </si>
  <si>
    <t>Penyambungan Listrik Darat Ke Kapal</t>
  </si>
  <si>
    <t>Ls</t>
  </si>
  <si>
    <t>c</t>
  </si>
  <si>
    <t>II</t>
  </si>
  <si>
    <t>PERMESINAN</t>
  </si>
  <si>
    <t>I.1</t>
  </si>
  <si>
    <t>Pondasi AE SB</t>
  </si>
  <si>
    <t>Modifikasi cover flywheel</t>
  </si>
  <si>
    <t>-</t>
  </si>
  <si>
    <t>buat lubang baut bracket pondasi (include all machining)</t>
  </si>
  <si>
    <t>titik</t>
  </si>
  <si>
    <t>Fabrikasi bracket pondasi engine AE Cover</t>
  </si>
  <si>
    <t>set</t>
  </si>
  <si>
    <t>bracket Face | Plate (A) thickness 8 mm | 160 X 60 mm @ 2 sht</t>
  </si>
  <si>
    <t>Kg</t>
  </si>
  <si>
    <t>bracket (bending) | Plate (A) thickness 8 mm | 160 X 60 mm @ 2 sht</t>
  </si>
  <si>
    <t>bracket back | Plate (A) thickness 8 mm | 80 X 60 mm @ 2 sht</t>
  </si>
  <si>
    <t>Web Bracket | Plate (A) thickness 8 mm | 150 X 100 mm @ 2 sht</t>
  </si>
  <si>
    <t>Alas bracket | Plate (A) thickness 8 mm | 140 X 60 mm @ 2 sht</t>
  </si>
  <si>
    <t>lock | B/N CS size. 1/2" X 2"</t>
  </si>
  <si>
    <t>Pcs</t>
  </si>
  <si>
    <t>Pondasi Mesin AE</t>
  </si>
  <si>
    <t xml:space="preserve"> | Angle bar size. 120 x 120 x 10 mm | 170 mm @ 2 pcs</t>
  </si>
  <si>
    <t xml:space="preserve"> | Plate (A) thickness 10 mm | 110 X 120 mm @ 2 sht</t>
  </si>
  <si>
    <t xml:space="preserve"> | Angle bar size. 120 x 120 x 10 mm | 130 mm @ 2 pcs</t>
  </si>
  <si>
    <t>bongkar dan pasang kembali mesin AE</t>
  </si>
  <si>
    <t>d</t>
  </si>
  <si>
    <t>Rekondisi Pondasi mounting Engine Bed AE</t>
  </si>
  <si>
    <t xml:space="preserve"> | Angle bar size. 120 x 120 x 10 mm | 930 mm @ 2 pcs</t>
  </si>
  <si>
    <t xml:space="preserve"> | Angle bar size. 120 x 120 x 10 mm | 450 mm @ 2 pcs</t>
  </si>
  <si>
    <t xml:space="preserve"> | Angle bar size. 120 x 120 x 10 mm | 300 mm @ 2 pcs</t>
  </si>
  <si>
    <t>Pasang Baut Mounting Pondasi Mounting AE</t>
  </si>
  <si>
    <t>bongkar dan pasang kembali pondasi AE</t>
  </si>
  <si>
    <t>e</t>
  </si>
  <si>
    <t>Alignment mesin-dinamo AE</t>
  </si>
  <si>
    <t>f</t>
  </si>
  <si>
    <t>Tambah Pondasi Dinamo</t>
  </si>
  <si>
    <t>Plat Alas | Plate (A) thickness 10 mm | 180 390 mm @ 1 sht</t>
  </si>
  <si>
    <t>girder | Angle bar size. 120 x 120 x 10 mm | 390 mm @ 2 pcs</t>
  </si>
  <si>
    <t xml:space="preserve"> | B/N CS size. 1/2" X 2"</t>
  </si>
  <si>
    <t>g</t>
  </si>
  <si>
    <t>Bongkar Pasang kembali Cooler / Heat Exchanger</t>
  </si>
  <si>
    <t>h</t>
  </si>
  <si>
    <t>Bongkar Pasang Pondasi Cooler / Heat Exchanger</t>
  </si>
  <si>
    <t xml:space="preserve"> | Pipe seamless size. 2" Sch 40</t>
  </si>
  <si>
    <t>Join</t>
  </si>
  <si>
    <t>i</t>
  </si>
  <si>
    <t>Bongkar Pasang Kembali Pipa Cooler to AE</t>
  </si>
  <si>
    <t>j</t>
  </si>
  <si>
    <t>Bongkar Pasang kembali Sea Water Pump</t>
  </si>
  <si>
    <t>k</t>
  </si>
  <si>
    <t>Bongkar Pasang kembali pipa Sea Water Pump to Cooler / Heat Exchanger</t>
  </si>
  <si>
    <t>l</t>
  </si>
  <si>
    <t>Bogkar Pasang Control Panel Ae</t>
  </si>
  <si>
    <t>m</t>
  </si>
  <si>
    <t>Bongkar Pasang Flexible Exhaust</t>
  </si>
  <si>
    <t>Rekondisi Flexible Exhaust | Flange plate size. 2 1/2" 5K 1 Pcs</t>
  </si>
  <si>
    <t xml:space="preserve"> | Packing | 110 X 70 mm @ 1 pcs</t>
  </si>
  <si>
    <t>n</t>
  </si>
  <si>
    <t xml:space="preserve">Rekondisi Pipa Cooler to Over board </t>
  </si>
  <si>
    <t xml:space="preserve"> | Pipe seamless size. 1 1/4" Sch 40</t>
  </si>
  <si>
    <t>mm</t>
  </si>
  <si>
    <t>Flange Custom | Plate (A) thickness 12 mm | 110 X 70 mm @ 1 sht</t>
  </si>
  <si>
    <t>o</t>
  </si>
  <si>
    <t>Penyambungan Kabel Generator AE ke Panel</t>
  </si>
  <si>
    <t>I.2</t>
  </si>
  <si>
    <t>Penggantian Carbon Brush (material by owner)</t>
  </si>
  <si>
    <t>Sewa Tempat Sandar (21 - 28 Januari 2025)</t>
  </si>
  <si>
    <t>Suplai Listrik  16A 380V selama sandar  (21 - 28 Januari 2025)</t>
  </si>
  <si>
    <t>AE PS</t>
  </si>
  <si>
    <t>JR. Rev. 00 Floating repair TB. ASL PROGRESS</t>
  </si>
  <si>
    <t>Beaching-Unbeaching</t>
  </si>
  <si>
    <t>Asistensi Tali Temali Dari Darat</t>
  </si>
  <si>
    <t>Asistensi Dengan Mooring Boat</t>
  </si>
  <si>
    <t>Sewa Tempat Sandar (after repair)</t>
  </si>
  <si>
    <t>Suplai Listrik  16A 380V selama sewa sandar</t>
  </si>
  <si>
    <t>SISTEM PENGGERAK KAPAL</t>
  </si>
  <si>
    <t>Repair propeller PS &amp; SB</t>
  </si>
  <si>
    <t>JR. Rev. 00 Floating repair TB. BILITON 11</t>
  </si>
  <si>
    <t>REPLATING</t>
  </si>
  <si>
    <t>Replating Plat Bulwark</t>
  </si>
  <si>
    <t xml:space="preserve">Plat uk. 1000x2000x8 mm </t>
  </si>
  <si>
    <t>kg</t>
  </si>
  <si>
    <t xml:space="preserve">Siku press uk. (300x100)x1000x10 mm </t>
  </si>
  <si>
    <t>Face plate bulwark 200x 2000x8 mm</t>
  </si>
  <si>
    <t>Kupingan</t>
  </si>
  <si>
    <t>Plat uk. 130x80x8mm</t>
  </si>
  <si>
    <t>Plat uk. 150x60x8mm</t>
  </si>
  <si>
    <t>Biaya MOB-DEMOB tim selama 3 hari pekerjaan dan survey 1 hari</t>
  </si>
  <si>
    <t xml:space="preserve">Grand Total   </t>
  </si>
  <si>
    <t xml:space="preserve">Discount   </t>
  </si>
  <si>
    <t xml:space="preserve">Grand Total after Discount   </t>
  </si>
  <si>
    <t>Balikpapan, 18 Maret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</si>
</sst>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-&quot;IDR&quot;* #,##0_-;\-&quot;IDR&quot;* #,##0_-;_-&quot;IDR&quot;* &quot;-&quot;_-;_-@_-"/>
    <numFmt numFmtId="165" formatCode="_([$IDR]\ * #,##0_);_([$IDR]\ * \(#,##0\);_([$IDR]\ * &quot;-&quot;??_);_(@_)"/>
    <numFmt numFmtId="166" formatCode="_(&quot;IDR&quot;* #,##0_);_(&quot;IDR&quot;* \(#,##0\);_(&quot;IDR&quot;* &quot;-&quot;_);_(@_)"/>
    <numFmt numFmtId="167" formatCode="&quot;IDR&quot;#,##0;\-&quot;IDR&quot;#,##0"/>
    <numFmt numFmtId="168" formatCode="0.0"/>
  </numFmts>
  <fonts count="18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Arial"/>
      <family val="2"/>
    </font>
    <font>
      <i/>
      <sz val="11"/>
      <color theme="1"/>
      <name val="Arial"/>
      <family val="2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1"/>
      <color rgb="FF222222"/>
      <name val="Arial"/>
      <family val="2"/>
    </font>
    <font>
      <sz val="11"/>
      <name val="Arial"/>
      <family val="2"/>
    </font>
    <font>
      <sz val="11"/>
      <color rgb="FF000000"/>
      <name val="Arial"/>
      <family val="2"/>
    </font>
    <font>
      <u/>
      <sz val="11"/>
      <color theme="1"/>
      <name val="Arial"/>
      <family val="2"/>
    </font>
    <font>
      <b/>
      <sz val="11"/>
      <color theme="1"/>
      <name val="Arial"/>
      <family val="2"/>
    </font>
    <font>
      <b/>
      <sz val="14"/>
      <color theme="1"/>
      <name val="Arial"/>
      <family val="2"/>
    </font>
    <font>
      <b/>
      <u/>
      <sz val="11"/>
      <color theme="1"/>
      <name val="Arial"/>
      <family val="2"/>
    </font>
    <font>
      <b/>
      <sz val="11"/>
      <name val="Arial"/>
      <family val="2"/>
    </font>
    <font>
      <sz val="12"/>
      <name val="Calibri"/>
      <family val="2"/>
      <scheme val="minor"/>
    </font>
    <font>
      <sz val="11"/>
      <color theme="0"/>
      <name val="Arial"/>
      <family val="2"/>
    </font>
    <font>
      <b/>
      <sz val="11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139">
    <xf numFmtId="0" fontId="0" fillId="0" borderId="0"/>
    <xf numFmtId="164" fontId="2" fillId="0" borderId="0" applyFon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</cellStyleXfs>
  <cellXfs count="179">
    <xf numFmtId="0" fontId="0" fillId="0" borderId="0" xfId="0"/>
    <xf numFmtId="0" fontId="3" fillId="2" borderId="3" xfId="0" applyFont="1" applyFill="1" applyBorder="1"/>
    <xf numFmtId="0" fontId="3" fillId="2" borderId="8" xfId="0" applyFont="1" applyFill="1" applyBorder="1"/>
    <xf numFmtId="0" fontId="3" fillId="2" borderId="13" xfId="0" applyFont="1" applyFill="1" applyBorder="1"/>
    <xf numFmtId="0" fontId="3" fillId="2" borderId="14" xfId="0" applyFont="1" applyFill="1" applyBorder="1"/>
    <xf numFmtId="0" fontId="4" fillId="2" borderId="0" xfId="0" applyFont="1" applyFill="1"/>
    <xf numFmtId="0" fontId="7" fillId="0" borderId="0" xfId="0" applyFont="1"/>
    <xf numFmtId="164" fontId="3" fillId="2" borderId="1" xfId="1" applyFont="1" applyFill="1" applyBorder="1"/>
    <xf numFmtId="0" fontId="9" fillId="2" borderId="13" xfId="0" quotePrefix="1" applyFont="1" applyFill="1" applyBorder="1" applyAlignment="1">
      <alignment horizontal="left" vertical="center"/>
    </xf>
    <xf numFmtId="0" fontId="9" fillId="2" borderId="14" xfId="0" quotePrefix="1" applyFont="1" applyFill="1" applyBorder="1" applyAlignment="1">
      <alignment horizontal="center" vertical="center"/>
    </xf>
    <xf numFmtId="0" fontId="9" fillId="2" borderId="15" xfId="0" quotePrefix="1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right"/>
    </xf>
    <xf numFmtId="0" fontId="3" fillId="2" borderId="15" xfId="0" applyFont="1" applyFill="1" applyBorder="1"/>
    <xf numFmtId="0" fontId="4" fillId="2" borderId="1" xfId="0" applyFont="1" applyFill="1" applyBorder="1" applyAlignment="1">
      <alignment horizontal="center"/>
    </xf>
    <xf numFmtId="164" fontId="0" fillId="0" borderId="0" xfId="0" applyNumberFormat="1"/>
    <xf numFmtId="0" fontId="0" fillId="2" borderId="5" xfId="0" applyFill="1" applyBorder="1"/>
    <xf numFmtId="0" fontId="0" fillId="2" borderId="6" xfId="0" applyFill="1" applyBorder="1"/>
    <xf numFmtId="0" fontId="12" fillId="2" borderId="0" xfId="0" applyFont="1" applyFill="1"/>
    <xf numFmtId="0" fontId="3" fillId="2" borderId="0" xfId="0" applyFont="1" applyFill="1"/>
    <xf numFmtId="0" fontId="3" fillId="2" borderId="4" xfId="0" applyFont="1" applyFill="1" applyBorder="1"/>
    <xf numFmtId="0" fontId="13" fillId="2" borderId="0" xfId="0" applyFont="1" applyFill="1"/>
    <xf numFmtId="0" fontId="3" fillId="2" borderId="9" xfId="0" applyFont="1" applyFill="1" applyBorder="1"/>
    <xf numFmtId="0" fontId="3" fillId="2" borderId="6" xfId="0" applyFont="1" applyFill="1" applyBorder="1"/>
    <xf numFmtId="0" fontId="0" fillId="0" borderId="1" xfId="0" applyBorder="1"/>
    <xf numFmtId="0" fontId="3" fillId="2" borderId="6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9" fillId="4" borderId="0" xfId="0" applyFont="1" applyFill="1"/>
    <xf numFmtId="0" fontId="9" fillId="4" borderId="0" xfId="0" applyFont="1" applyFill="1" applyAlignment="1">
      <alignment horizontal="center"/>
    </xf>
    <xf numFmtId="0" fontId="9" fillId="4" borderId="5" xfId="0" applyFont="1" applyFill="1" applyBorder="1" applyAlignment="1">
      <alignment horizontal="left"/>
    </xf>
    <xf numFmtId="165" fontId="9" fillId="4" borderId="11" xfId="0" applyNumberFormat="1" applyFont="1" applyFill="1" applyBorder="1" applyAlignment="1">
      <alignment vertical="center"/>
    </xf>
    <xf numFmtId="0" fontId="8" fillId="2" borderId="6" xfId="0" applyFont="1" applyFill="1" applyBorder="1"/>
    <xf numFmtId="0" fontId="12" fillId="2" borderId="0" xfId="0" applyFont="1" applyFill="1" applyAlignment="1">
      <alignment horizontal="left"/>
    </xf>
    <xf numFmtId="0" fontId="4" fillId="2" borderId="0" xfId="0" applyFont="1" applyFill="1" applyAlignment="1">
      <alignment horizontal="left"/>
    </xf>
    <xf numFmtId="0" fontId="0" fillId="0" borderId="0" xfId="0" applyAlignment="1">
      <alignment vertical="center"/>
    </xf>
    <xf numFmtId="0" fontId="0" fillId="2" borderId="0" xfId="0" applyFill="1"/>
    <xf numFmtId="0" fontId="4" fillId="2" borderId="15" xfId="0" applyFont="1" applyFill="1" applyBorder="1" applyAlignment="1">
      <alignment horizontal="center"/>
    </xf>
    <xf numFmtId="164" fontId="4" fillId="2" borderId="1" xfId="1" applyFont="1" applyFill="1" applyBorder="1" applyAlignment="1">
      <alignment horizontal="center"/>
    </xf>
    <xf numFmtId="0" fontId="3" fillId="2" borderId="2" xfId="0" applyFont="1" applyFill="1" applyBorder="1" applyAlignment="1">
      <alignment horizontal="left"/>
    </xf>
    <xf numFmtId="0" fontId="4" fillId="2" borderId="3" xfId="0" applyFont="1" applyFill="1" applyBorder="1"/>
    <xf numFmtId="20" fontId="9" fillId="4" borderId="5" xfId="0" applyNumberFormat="1" applyFont="1" applyFill="1" applyBorder="1" applyAlignment="1">
      <alignment horizontal="left"/>
    </xf>
    <xf numFmtId="0" fontId="10" fillId="2" borderId="0" xfId="0" applyFont="1" applyFill="1"/>
    <xf numFmtId="0" fontId="4" fillId="2" borderId="8" xfId="0" applyFont="1" applyFill="1" applyBorder="1"/>
    <xf numFmtId="0" fontId="3" fillId="2" borderId="0" xfId="0" applyFont="1" applyFill="1" applyAlignment="1">
      <alignment vertical="top"/>
    </xf>
    <xf numFmtId="0" fontId="8" fillId="2" borderId="10" xfId="0" applyFont="1" applyFill="1" applyBorder="1"/>
    <xf numFmtId="0" fontId="8" fillId="2" borderId="11" xfId="0" applyFont="1" applyFill="1" applyBorder="1"/>
    <xf numFmtId="0" fontId="3" fillId="2" borderId="5" xfId="0" applyFont="1" applyFill="1" applyBorder="1" applyAlignment="1">
      <alignment horizontal="left"/>
    </xf>
    <xf numFmtId="164" fontId="3" fillId="2" borderId="11" xfId="1" applyFont="1" applyFill="1" applyBorder="1"/>
    <xf numFmtId="0" fontId="9" fillId="2" borderId="5" xfId="0" quotePrefix="1" applyFont="1" applyFill="1" applyBorder="1" applyAlignment="1">
      <alignment horizontal="left" vertical="center"/>
    </xf>
    <xf numFmtId="0" fontId="9" fillId="2" borderId="0" xfId="0" quotePrefix="1" applyFont="1" applyFill="1" applyAlignment="1">
      <alignment horizontal="center" vertical="center"/>
    </xf>
    <xf numFmtId="0" fontId="9" fillId="2" borderId="6" xfId="0" quotePrefix="1" applyFont="1" applyFill="1" applyBorder="1" applyAlignment="1">
      <alignment horizontal="center" vertical="center"/>
    </xf>
    <xf numFmtId="165" fontId="9" fillId="3" borderId="11" xfId="0" applyNumberFormat="1" applyFont="1" applyFill="1" applyBorder="1" applyAlignment="1">
      <alignment vertical="center"/>
    </xf>
    <xf numFmtId="165" fontId="9" fillId="4" borderId="0" xfId="0" applyNumberFormat="1" applyFont="1" applyFill="1" applyAlignment="1">
      <alignment vertical="center"/>
    </xf>
    <xf numFmtId="164" fontId="3" fillId="2" borderId="6" xfId="1" applyFont="1" applyFill="1" applyBorder="1"/>
    <xf numFmtId="0" fontId="9" fillId="3" borderId="0" xfId="0" applyFont="1" applyFill="1"/>
    <xf numFmtId="0" fontId="16" fillId="5" borderId="6" xfId="136" applyFont="1" applyFill="1" applyBorder="1"/>
    <xf numFmtId="2" fontId="16" fillId="5" borderId="0" xfId="136" applyNumberFormat="1" applyFont="1" applyFill="1"/>
    <xf numFmtId="0" fontId="16" fillId="3" borderId="6" xfId="136" applyFont="1" applyFill="1" applyBorder="1"/>
    <xf numFmtId="2" fontId="16" fillId="3" borderId="0" xfId="136" applyNumberFormat="1" applyFont="1" applyFill="1"/>
    <xf numFmtId="0" fontId="16" fillId="3" borderId="6" xfId="136" applyFont="1" applyFill="1" applyBorder="1" applyAlignment="1">
      <alignment vertical="center"/>
    </xf>
    <xf numFmtId="0" fontId="16" fillId="5" borderId="0" xfId="136" applyFont="1" applyFill="1"/>
    <xf numFmtId="166" fontId="16" fillId="5" borderId="6" xfId="136" applyNumberFormat="1" applyFont="1" applyFill="1" applyBorder="1" applyAlignment="1">
      <alignment horizontal="left" vertical="center"/>
    </xf>
    <xf numFmtId="168" fontId="16" fillId="5" borderId="0" xfId="136" applyNumberFormat="1" applyFont="1" applyFill="1" applyAlignment="1">
      <alignment horizontal="right" vertical="center"/>
    </xf>
    <xf numFmtId="166" fontId="16" fillId="5" borderId="6" xfId="136" applyNumberFormat="1" applyFont="1" applyFill="1" applyBorder="1" applyAlignment="1">
      <alignment horizontal="center" vertical="center"/>
    </xf>
    <xf numFmtId="0" fontId="8" fillId="5" borderId="5" xfId="136" applyFont="1" applyFill="1" applyBorder="1" applyAlignment="1">
      <alignment horizontal="center"/>
    </xf>
    <xf numFmtId="0" fontId="14" fillId="5" borderId="0" xfId="136" applyFont="1" applyFill="1" applyAlignment="1">
      <alignment horizontal="left"/>
    </xf>
    <xf numFmtId="0" fontId="14" fillId="5" borderId="6" xfId="136" applyFont="1" applyFill="1" applyBorder="1" applyAlignment="1">
      <alignment horizontal="center"/>
    </xf>
    <xf numFmtId="1" fontId="8" fillId="3" borderId="5" xfId="136" applyNumberFormat="1" applyFont="1" applyFill="1" applyBorder="1"/>
    <xf numFmtId="0" fontId="8" fillId="3" borderId="6" xfId="136" applyFont="1" applyFill="1" applyBorder="1"/>
    <xf numFmtId="0" fontId="8" fillId="3" borderId="0" xfId="136" quotePrefix="1" applyFont="1" applyFill="1"/>
    <xf numFmtId="0" fontId="8" fillId="3" borderId="0" xfId="136" applyFont="1" applyFill="1"/>
    <xf numFmtId="0" fontId="8" fillId="3" borderId="6" xfId="136" applyFont="1" applyFill="1" applyBorder="1" applyAlignment="1">
      <alignment horizontal="center"/>
    </xf>
    <xf numFmtId="0" fontId="8" fillId="5" borderId="0" xfId="136" applyFont="1" applyFill="1" applyAlignment="1">
      <alignment horizontal="center"/>
    </xf>
    <xf numFmtId="0" fontId="14" fillId="5" borderId="5" xfId="136" applyFont="1" applyFill="1" applyBorder="1" applyAlignment="1">
      <alignment horizontal="left"/>
    </xf>
    <xf numFmtId="0" fontId="14" fillId="5" borderId="5" xfId="136" applyFont="1" applyFill="1" applyBorder="1" applyAlignment="1">
      <alignment horizontal="center" vertical="center"/>
    </xf>
    <xf numFmtId="0" fontId="8" fillId="3" borderId="6" xfId="136" applyFont="1" applyFill="1" applyBorder="1" applyAlignment="1">
      <alignment vertical="center"/>
    </xf>
    <xf numFmtId="0" fontId="8" fillId="5" borderId="0" xfId="133" applyFont="1" applyFill="1" applyAlignment="1">
      <alignment vertical="center"/>
    </xf>
    <xf numFmtId="0" fontId="14" fillId="5" borderId="5" xfId="133" applyFont="1" applyFill="1" applyBorder="1" applyAlignment="1">
      <alignment vertical="center"/>
    </xf>
    <xf numFmtId="0" fontId="8" fillId="5" borderId="0" xfId="136" applyFont="1" applyFill="1" applyAlignment="1">
      <alignment horizontal="center" vertical="center"/>
    </xf>
    <xf numFmtId="0" fontId="8" fillId="5" borderId="5" xfId="136" applyFont="1" applyFill="1" applyBorder="1" applyAlignment="1">
      <alignment horizontal="center" vertical="center"/>
    </xf>
    <xf numFmtId="0" fontId="8" fillId="5" borderId="5" xfId="136" applyFont="1" applyFill="1" applyBorder="1"/>
    <xf numFmtId="0" fontId="14" fillId="5" borderId="0" xfId="136" applyFont="1" applyFill="1" applyAlignment="1">
      <alignment horizontal="center"/>
    </xf>
    <xf numFmtId="0" fontId="14" fillId="5" borderId="5" xfId="136" applyFont="1" applyFill="1" applyBorder="1" applyAlignment="1">
      <alignment horizontal="center"/>
    </xf>
    <xf numFmtId="0" fontId="8" fillId="5" borderId="6" xfId="136" applyFont="1" applyFill="1" applyBorder="1" applyAlignment="1">
      <alignment horizontal="center"/>
    </xf>
    <xf numFmtId="0" fontId="8" fillId="5" borderId="0" xfId="136" quotePrefix="1" applyFont="1" applyFill="1" applyAlignment="1">
      <alignment horizontal="center" vertical="center"/>
    </xf>
    <xf numFmtId="0" fontId="8" fillId="5" borderId="5" xfId="136" quotePrefix="1" applyFont="1" applyFill="1" applyBorder="1" applyAlignment="1">
      <alignment horizontal="left" vertical="center"/>
    </xf>
    <xf numFmtId="0" fontId="8" fillId="5" borderId="6" xfId="136" applyFont="1" applyFill="1" applyBorder="1"/>
    <xf numFmtId="0" fontId="8" fillId="5" borderId="0" xfId="136" applyFont="1" applyFill="1"/>
    <xf numFmtId="0" fontId="14" fillId="5" borderId="6" xfId="136" applyFont="1" applyFill="1" applyBorder="1"/>
    <xf numFmtId="0" fontId="14" fillId="5" borderId="0" xfId="136" applyFont="1" applyFill="1"/>
    <xf numFmtId="0" fontId="14" fillId="5" borderId="6" xfId="136" quotePrefix="1" applyFont="1" applyFill="1" applyBorder="1" applyAlignment="1">
      <alignment horizontal="center" vertical="center"/>
    </xf>
    <xf numFmtId="0" fontId="14" fillId="5" borderId="0" xfId="136" quotePrefix="1" applyFont="1" applyFill="1" applyAlignment="1">
      <alignment horizontal="center" vertical="center"/>
    </xf>
    <xf numFmtId="0" fontId="14" fillId="5" borderId="5" xfId="136" quotePrefix="1" applyFont="1" applyFill="1" applyBorder="1" applyAlignment="1">
      <alignment horizontal="left" vertical="center"/>
    </xf>
    <xf numFmtId="2" fontId="16" fillId="5" borderId="0" xfId="136" applyNumberFormat="1" applyFont="1" applyFill="1" applyAlignment="1">
      <alignment horizontal="right" vertical="center"/>
    </xf>
    <xf numFmtId="43" fontId="11" fillId="2" borderId="0" xfId="127" applyFont="1" applyFill="1"/>
    <xf numFmtId="0" fontId="16" fillId="3" borderId="6" xfId="112" applyFont="1" applyFill="1" applyBorder="1" applyAlignment="1">
      <alignment vertical="center"/>
    </xf>
    <xf numFmtId="0" fontId="16" fillId="5" borderId="5" xfId="112" applyFont="1" applyFill="1" applyBorder="1"/>
    <xf numFmtId="0" fontId="16" fillId="5" borderId="6" xfId="112" applyFont="1" applyFill="1" applyBorder="1"/>
    <xf numFmtId="2" fontId="16" fillId="5" borderId="5" xfId="112" applyNumberFormat="1" applyFont="1" applyFill="1" applyBorder="1"/>
    <xf numFmtId="165" fontId="3" fillId="2" borderId="11" xfId="0" applyNumberFormat="1" applyFont="1" applyFill="1" applyBorder="1"/>
    <xf numFmtId="165" fontId="9" fillId="3" borderId="0" xfId="0" applyNumberFormat="1" applyFont="1" applyFill="1" applyAlignment="1">
      <alignment vertical="center"/>
    </xf>
    <xf numFmtId="0" fontId="14" fillId="5" borderId="5" xfId="112" quotePrefix="1" applyFont="1" applyFill="1" applyBorder="1" applyAlignment="1">
      <alignment horizontal="center" vertical="center"/>
    </xf>
    <xf numFmtId="0" fontId="15" fillId="5" borderId="0" xfId="116" applyFont="1" applyFill="1"/>
    <xf numFmtId="0" fontId="8" fillId="5" borderId="6" xfId="116" applyFont="1" applyFill="1" applyBorder="1" applyAlignment="1">
      <alignment horizontal="center" vertical="center"/>
    </xf>
    <xf numFmtId="0" fontId="14" fillId="5" borderId="0" xfId="112" applyFont="1" applyFill="1"/>
    <xf numFmtId="0" fontId="14" fillId="5" borderId="0" xfId="116" applyFont="1" applyFill="1" applyAlignment="1">
      <alignment horizontal="left"/>
    </xf>
    <xf numFmtId="0" fontId="8" fillId="5" borderId="0" xfId="116" applyFont="1" applyFill="1" applyAlignment="1">
      <alignment horizontal="left"/>
    </xf>
    <xf numFmtId="2" fontId="8" fillId="5" borderId="5" xfId="116" applyNumberFormat="1" applyFont="1" applyFill="1" applyBorder="1"/>
    <xf numFmtId="0" fontId="8" fillId="3" borderId="6" xfId="116" applyFont="1" applyFill="1" applyBorder="1" applyAlignment="1">
      <alignment vertical="center"/>
    </xf>
    <xf numFmtId="0" fontId="8" fillId="5" borderId="5" xfId="116" applyFont="1" applyFill="1" applyBorder="1" applyAlignment="1">
      <alignment horizontal="center" vertical="center"/>
    </xf>
    <xf numFmtId="0" fontId="8" fillId="5" borderId="0" xfId="116" applyFont="1" applyFill="1" applyAlignment="1">
      <alignment vertical="center"/>
    </xf>
    <xf numFmtId="0" fontId="8" fillId="5" borderId="0" xfId="112" applyFont="1" applyFill="1" applyAlignment="1">
      <alignment horizontal="center"/>
    </xf>
    <xf numFmtId="0" fontId="14" fillId="5" borderId="5" xfId="116" applyFont="1" applyFill="1" applyBorder="1" applyAlignment="1">
      <alignment horizontal="left"/>
    </xf>
    <xf numFmtId="0" fontId="8" fillId="5" borderId="5" xfId="112" applyFont="1" applyFill="1" applyBorder="1"/>
    <xf numFmtId="0" fontId="8" fillId="5" borderId="6" xfId="112" applyFont="1" applyFill="1" applyBorder="1"/>
    <xf numFmtId="0" fontId="8" fillId="5" borderId="0" xfId="112" applyFont="1" applyFill="1" applyAlignment="1">
      <alignment horizontal="left"/>
    </xf>
    <xf numFmtId="0" fontId="8" fillId="5" borderId="0" xfId="112" applyFont="1" applyFill="1" applyAlignment="1">
      <alignment horizontal="left" vertical="center"/>
    </xf>
    <xf numFmtId="0" fontId="8" fillId="5" borderId="6" xfId="112" applyFont="1" applyFill="1" applyBorder="1" applyAlignment="1">
      <alignment horizontal="left" vertical="center"/>
    </xf>
    <xf numFmtId="0" fontId="8" fillId="5" borderId="5" xfId="112" applyFont="1" applyFill="1" applyBorder="1" applyAlignment="1">
      <alignment horizontal="left"/>
    </xf>
    <xf numFmtId="0" fontId="8" fillId="5" borderId="5" xfId="112" applyFont="1" applyFill="1" applyBorder="1" applyAlignment="1">
      <alignment horizontal="left" vertical="center"/>
    </xf>
    <xf numFmtId="0" fontId="14" fillId="5" borderId="0" xfId="112" applyFont="1" applyFill="1" applyAlignment="1">
      <alignment horizontal="left"/>
    </xf>
    <xf numFmtId="1" fontId="8" fillId="5" borderId="5" xfId="112" applyNumberFormat="1" applyFont="1" applyFill="1" applyBorder="1"/>
    <xf numFmtId="0" fontId="8" fillId="5" borderId="0" xfId="112" applyFont="1" applyFill="1"/>
    <xf numFmtId="0" fontId="14" fillId="5" borderId="5" xfId="112" applyFont="1" applyFill="1" applyBorder="1" applyAlignment="1">
      <alignment horizontal="left"/>
    </xf>
    <xf numFmtId="0" fontId="8" fillId="5" borderId="6" xfId="112" applyFont="1" applyFill="1" applyBorder="1" applyAlignment="1">
      <alignment horizontal="center" vertical="center"/>
    </xf>
    <xf numFmtId="0" fontId="8" fillId="5" borderId="0" xfId="112" applyFont="1" applyFill="1" applyAlignment="1">
      <alignment horizontal="center" vertical="center"/>
    </xf>
    <xf numFmtId="2" fontId="8" fillId="3" borderId="5" xfId="136" applyNumberFormat="1" applyFont="1" applyFill="1" applyBorder="1"/>
    <xf numFmtId="0" fontId="14" fillId="3" borderId="0" xfId="136" applyFont="1" applyFill="1"/>
    <xf numFmtId="0" fontId="16" fillId="5" borderId="0" xfId="112" applyFont="1" applyFill="1"/>
    <xf numFmtId="1" fontId="16" fillId="5" borderId="5" xfId="112" applyNumberFormat="1" applyFont="1" applyFill="1" applyBorder="1"/>
    <xf numFmtId="0" fontId="11" fillId="2" borderId="0" xfId="0" applyFont="1" applyFill="1"/>
    <xf numFmtId="0" fontId="8" fillId="3" borderId="6" xfId="112" applyFont="1" applyFill="1" applyBorder="1" applyAlignment="1">
      <alignment vertical="center"/>
    </xf>
    <xf numFmtId="2" fontId="8" fillId="5" borderId="5" xfId="112" applyNumberFormat="1" applyFont="1" applyFill="1" applyBorder="1"/>
    <xf numFmtId="0" fontId="17" fillId="2" borderId="5" xfId="112" quotePrefix="1" applyFont="1" applyFill="1" applyBorder="1" applyAlignment="1">
      <alignment horizontal="left" vertical="center"/>
    </xf>
    <xf numFmtId="0" fontId="17" fillId="2" borderId="0" xfId="112" quotePrefix="1" applyFont="1" applyFill="1" applyAlignment="1">
      <alignment horizontal="center" vertical="center"/>
    </xf>
    <xf numFmtId="0" fontId="11" fillId="6" borderId="5" xfId="112" applyFont="1" applyFill="1" applyBorder="1"/>
    <xf numFmtId="0" fontId="11" fillId="6" borderId="0" xfId="112" applyFont="1" applyFill="1"/>
    <xf numFmtId="0" fontId="3" fillId="2" borderId="5" xfId="112" applyFont="1" applyFill="1" applyBorder="1"/>
    <xf numFmtId="0" fontId="3" fillId="2" borderId="6" xfId="112" applyFont="1" applyFill="1" applyBorder="1"/>
    <xf numFmtId="0" fontId="11" fillId="2" borderId="5" xfId="112" applyFont="1" applyFill="1" applyBorder="1"/>
    <xf numFmtId="0" fontId="11" fillId="2" borderId="0" xfId="112" applyFont="1" applyFill="1"/>
    <xf numFmtId="165" fontId="9" fillId="3" borderId="6" xfId="0" applyNumberFormat="1" applyFont="1" applyFill="1" applyBorder="1" applyAlignment="1">
      <alignment vertical="center"/>
    </xf>
    <xf numFmtId="0" fontId="9" fillId="2" borderId="5" xfId="112" quotePrefix="1" applyFont="1" applyFill="1" applyBorder="1" applyAlignment="1">
      <alignment horizontal="left" vertical="center"/>
    </xf>
    <xf numFmtId="0" fontId="9" fillId="2" borderId="0" xfId="112" quotePrefix="1" applyFont="1" applyFill="1" applyAlignment="1">
      <alignment horizontal="center" vertical="center"/>
    </xf>
    <xf numFmtId="0" fontId="9" fillId="2" borderId="6" xfId="112" quotePrefix="1" applyFont="1" applyFill="1" applyBorder="1" applyAlignment="1">
      <alignment horizontal="center" vertical="center"/>
    </xf>
    <xf numFmtId="0" fontId="3" fillId="2" borderId="0" xfId="112" applyFont="1" applyFill="1"/>
    <xf numFmtId="0" fontId="3" fillId="2" borderId="6" xfId="112" applyFont="1" applyFill="1" applyBorder="1" applyAlignment="1">
      <alignment horizontal="center"/>
    </xf>
    <xf numFmtId="0" fontId="8" fillId="2" borderId="6" xfId="112" applyFont="1" applyFill="1" applyBorder="1"/>
    <xf numFmtId="0" fontId="11" fillId="2" borderId="0" xfId="112" applyFont="1" applyFill="1" applyAlignment="1">
      <alignment horizontal="center"/>
    </xf>
    <xf numFmtId="0" fontId="11" fillId="2" borderId="6" xfId="112" applyFont="1" applyFill="1" applyBorder="1" applyAlignment="1">
      <alignment horizontal="center"/>
    </xf>
    <xf numFmtId="164" fontId="9" fillId="3" borderId="11" xfId="1" applyFont="1" applyFill="1" applyBorder="1"/>
    <xf numFmtId="164" fontId="9" fillId="3" borderId="6" xfId="1" applyFont="1" applyFill="1" applyBorder="1"/>
    <xf numFmtId="0" fontId="11" fillId="2" borderId="16" xfId="0" applyFont="1" applyFill="1" applyBorder="1" applyAlignment="1">
      <alignment horizontal="center"/>
    </xf>
    <xf numFmtId="0" fontId="11" fillId="2" borderId="0" xfId="0" applyFont="1" applyFill="1" applyAlignment="1">
      <alignment horizontal="center"/>
    </xf>
    <xf numFmtId="0" fontId="3" fillId="2" borderId="16" xfId="0" applyFont="1" applyFill="1" applyBorder="1" applyAlignment="1">
      <alignment horizontal="center"/>
    </xf>
    <xf numFmtId="1" fontId="3" fillId="2" borderId="0" xfId="0" applyNumberFormat="1" applyFont="1" applyFill="1"/>
    <xf numFmtId="0" fontId="9" fillId="2" borderId="17" xfId="0" applyFont="1" applyFill="1" applyBorder="1" applyAlignment="1">
      <alignment vertical="center"/>
    </xf>
    <xf numFmtId="0" fontId="11" fillId="6" borderId="6" xfId="112" applyFont="1" applyFill="1" applyBorder="1"/>
    <xf numFmtId="0" fontId="11" fillId="2" borderId="6" xfId="112" applyFont="1" applyFill="1" applyBorder="1"/>
    <xf numFmtId="164" fontId="3" fillId="2" borderId="15" xfId="1" applyFont="1" applyFill="1" applyBorder="1"/>
    <xf numFmtId="0" fontId="3" fillId="2" borderId="14" xfId="0" applyFont="1" applyFill="1" applyBorder="1" applyAlignment="1">
      <alignment horizontal="right"/>
    </xf>
    <xf numFmtId="164" fontId="4" fillId="2" borderId="15" xfId="1" applyFont="1" applyFill="1" applyBorder="1" applyAlignment="1">
      <alignment horizont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3" fillId="2" borderId="0" xfId="0" applyFont="1" applyFill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10" fillId="2" borderId="0" xfId="0" applyFont="1" applyFill="1" applyAlignment="1">
      <alignment horizontal="center"/>
    </xf>
    <xf numFmtId="0" fontId="10" fillId="2" borderId="6" xfId="0" applyFont="1" applyFill="1" applyBorder="1" applyAlignment="1">
      <alignment horizontal="center"/>
    </xf>
    <xf numFmtId="0" fontId="3" fillId="2" borderId="0" xfId="0" applyFont="1" applyFill="1" applyAlignment="1">
      <alignment horizontal="center" vertical="top"/>
    </xf>
    <xf numFmtId="0" fontId="3" fillId="2" borderId="6" xfId="0" applyFont="1" applyFill="1" applyBorder="1" applyAlignment="1">
      <alignment horizontal="center" vertical="top"/>
    </xf>
    <xf numFmtId="0" fontId="3" fillId="2" borderId="10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49" fontId="3" fillId="2" borderId="0" xfId="0" quotePrefix="1" applyNumberFormat="1" applyFont="1" applyFill="1" applyAlignment="1">
      <alignment horizontal="left"/>
    </xf>
  </cellXfs>
  <cellStyles count="139">
    <cellStyle name="Comma" xfId="127" builtinId="3"/>
    <cellStyle name="Comma [0] 2" xfId="128" xr:uid="{19043970-9297-481A-AE9F-6B18BF19724D}"/>
    <cellStyle name="Currency [0]" xfId="1" builtinId="7"/>
    <cellStyle name="Currency [0] 2" xfId="130" xr:uid="{F361EDF4-F5FD-45A2-9FE1-D772D19CFF8F}"/>
    <cellStyle name="Currency [0] 2 2" xfId="135" xr:uid="{407D96C7-4C60-47E2-A537-A0D3DCDF1457}"/>
    <cellStyle name="Currency [0] 3" xfId="131" xr:uid="{67551CCC-3E52-44A8-ACC9-E38D2EA869BD}"/>
    <cellStyle name="Currency [0] 4" xfId="134" xr:uid="{3A809A34-BC53-42BE-B8E8-D1686FA42345}"/>
    <cellStyle name="Currency [0] 5" xfId="129" xr:uid="{463877EF-B081-4A1F-9A93-C4354F4B2B6D}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Followed Hyperlink" xfId="39" builtinId="9" hidden="1"/>
    <cellStyle name="Followed Hyperlink" xfId="41" builtinId="9" hidde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Followed Hyperlink" xfId="53" builtinId="9" hidden="1"/>
    <cellStyle name="Followed Hyperlink" xfId="55" builtinId="9" hidden="1"/>
    <cellStyle name="Followed Hyperlink" xfId="57" builtinId="9" hidden="1"/>
    <cellStyle name="Followed Hyperlink" xfId="59" builtinId="9" hidden="1"/>
    <cellStyle name="Followed Hyperlink" xfId="61" builtinId="9" hidden="1"/>
    <cellStyle name="Followed Hyperlink" xfId="63" builtinId="9" hidden="1"/>
    <cellStyle name="Followed Hyperlink" xfId="65" builtinId="9" hidden="1"/>
    <cellStyle name="Followed Hyperlink" xfId="67" builtinId="9" hidden="1"/>
    <cellStyle name="Followed Hyperlink" xfId="69" builtinId="9" hidden="1"/>
    <cellStyle name="Followed Hyperlink" xfId="71" builtinId="9" hidden="1"/>
    <cellStyle name="Followed Hyperlink" xfId="73" builtinId="9" hidden="1"/>
    <cellStyle name="Followed Hyperlink" xfId="75" builtinId="9" hidden="1"/>
    <cellStyle name="Followed Hyperlink" xfId="77" builtinId="9" hidden="1"/>
    <cellStyle name="Followed Hyperlink" xfId="79" builtinId="9" hidden="1"/>
    <cellStyle name="Followed Hyperlink" xfId="81" builtinId="9" hidden="1"/>
    <cellStyle name="Followed Hyperlink" xfId="83" builtinId="9" hidden="1"/>
    <cellStyle name="Followed Hyperlink" xfId="85" builtinId="9" hidden="1"/>
    <cellStyle name="Followed Hyperlink" xfId="87" builtinId="9" hidden="1"/>
    <cellStyle name="Followed Hyperlink" xfId="89" builtinId="9" hidden="1"/>
    <cellStyle name="Followed Hyperlink" xfId="91" builtinId="9" hidden="1"/>
    <cellStyle name="Followed Hyperlink" xfId="93" builtinId="9" hidden="1"/>
    <cellStyle name="Followed Hyperlink" xfId="95" builtinId="9" hidden="1"/>
    <cellStyle name="Followed Hyperlink" xfId="97" builtinId="9" hidden="1"/>
    <cellStyle name="Followed Hyperlink" xfId="99" builtinId="9" hidden="1"/>
    <cellStyle name="Followed Hyperlink" xfId="101" builtinId="9" hidden="1"/>
    <cellStyle name="Followed Hyperlink" xfId="103" builtinId="9" hidden="1"/>
    <cellStyle name="Followed Hyperlink" xfId="105" builtinId="9" hidden="1"/>
    <cellStyle name="Followed Hyperlink" xfId="107" builtinId="9" hidden="1"/>
    <cellStyle name="Followed Hyperlink" xfId="109" builtinId="9" hidden="1"/>
    <cellStyle name="Followed Hyperlink" xfId="111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Hyperlink" xfId="38" builtinId="8" hidden="1"/>
    <cellStyle name="Hyperlink" xfId="40" builtinId="8" hidde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Hyperlink" xfId="52" builtinId="8" hidden="1"/>
    <cellStyle name="Hyperlink" xfId="54" builtinId="8" hidden="1"/>
    <cellStyle name="Hyperlink" xfId="56" builtinId="8" hidden="1"/>
    <cellStyle name="Hyperlink" xfId="58" builtinId="8" hidden="1"/>
    <cellStyle name="Hyperlink" xfId="60" builtinId="8" hidden="1"/>
    <cellStyle name="Hyperlink" xfId="62" builtinId="8" hidden="1"/>
    <cellStyle name="Hyperlink" xfId="64" builtinId="8" hidden="1"/>
    <cellStyle name="Hyperlink" xfId="66" builtinId="8" hidden="1"/>
    <cellStyle name="Hyperlink" xfId="68" builtinId="8" hidden="1"/>
    <cellStyle name="Hyperlink" xfId="70" builtinId="8" hidden="1"/>
    <cellStyle name="Hyperlink" xfId="72" builtinId="8" hidden="1"/>
    <cellStyle name="Hyperlink" xfId="74" builtinId="8" hidden="1"/>
    <cellStyle name="Hyperlink" xfId="76" builtinId="8" hidden="1"/>
    <cellStyle name="Hyperlink" xfId="78" builtinId="8" hidden="1"/>
    <cellStyle name="Hyperlink" xfId="80" builtinId="8" hidden="1"/>
    <cellStyle name="Hyperlink" xfId="82" builtinId="8" hidden="1"/>
    <cellStyle name="Hyperlink" xfId="84" builtinId="8" hidden="1"/>
    <cellStyle name="Hyperlink" xfId="86" builtinId="8" hidden="1"/>
    <cellStyle name="Hyperlink" xfId="88" builtinId="8" hidden="1"/>
    <cellStyle name="Hyperlink" xfId="90" builtinId="8" hidden="1"/>
    <cellStyle name="Hyperlink" xfId="92" builtinId="8" hidden="1"/>
    <cellStyle name="Hyperlink" xfId="94" builtinId="8" hidden="1"/>
    <cellStyle name="Hyperlink" xfId="96" builtinId="8" hidden="1"/>
    <cellStyle name="Hyperlink" xfId="98" builtinId="8" hidden="1"/>
    <cellStyle name="Hyperlink" xfId="100" builtinId="8" hidden="1"/>
    <cellStyle name="Hyperlink" xfId="102" builtinId="8" hidden="1"/>
    <cellStyle name="Hyperlink" xfId="104" builtinId="8" hidden="1"/>
    <cellStyle name="Hyperlink" xfId="106" builtinId="8" hidden="1"/>
    <cellStyle name="Hyperlink" xfId="108" builtinId="8" hidden="1"/>
    <cellStyle name="Hyperlink" xfId="110" builtinId="8" hidden="1"/>
    <cellStyle name="Normal" xfId="0" builtinId="0"/>
    <cellStyle name="Normal 10" xfId="138" xr:uid="{6B0B797D-A5FF-4FA0-B6D1-203EE9C1BC85}"/>
    <cellStyle name="Normal 2" xfId="112" xr:uid="{00000000-0005-0000-0000-000070000000}"/>
    <cellStyle name="Normal 2 2" xfId="116" xr:uid="{00000000-0005-0000-0000-000071000000}"/>
    <cellStyle name="Normal 2 2 2" xfId="123" xr:uid="{00000000-0005-0000-0000-000072000000}"/>
    <cellStyle name="Normal 2 2 3" xfId="121" xr:uid="{00000000-0005-0000-0000-000073000000}"/>
    <cellStyle name="Normal 2 2 7" xfId="119" xr:uid="{00000000-0005-0000-0000-000074000000}"/>
    <cellStyle name="Normal 3" xfId="115" xr:uid="{00000000-0005-0000-0000-000075000000}"/>
    <cellStyle name="Normal 3 2" xfId="125" xr:uid="{00000000-0005-0000-0000-000076000000}"/>
    <cellStyle name="Normal 4" xfId="132" xr:uid="{1EC00454-BA4B-40CF-9C0B-9FD11CA08233}"/>
    <cellStyle name="Normal 4 2 2 2" xfId="117" xr:uid="{00000000-0005-0000-0000-000077000000}"/>
    <cellStyle name="Normal 5" xfId="133" xr:uid="{38F5DA3F-2E56-4ADE-88D6-AB329B322737}"/>
    <cellStyle name="Normal 5 2 2" xfId="118" xr:uid="{00000000-0005-0000-0000-000078000000}"/>
    <cellStyle name="Normal 5 3" xfId="124" xr:uid="{00000000-0005-0000-0000-000079000000}"/>
    <cellStyle name="Normal 6" xfId="113" xr:uid="{00000000-0005-0000-0000-00007A000000}"/>
    <cellStyle name="Normal 6 2" xfId="126" xr:uid="{00000000-0005-0000-0000-00007B000000}"/>
    <cellStyle name="Normal 6 3" xfId="120" xr:uid="{00000000-0005-0000-0000-00007C000000}"/>
    <cellStyle name="Normal 7" xfId="136" xr:uid="{C554004D-5720-4F3D-A14C-A7060502FE5E}"/>
    <cellStyle name="Normal 7 2" xfId="114" xr:uid="{00000000-0005-0000-0000-00007D000000}"/>
    <cellStyle name="Normal 8" xfId="122" xr:uid="{00000000-0005-0000-0000-00007E000000}"/>
    <cellStyle name="Normal 9" xfId="137" xr:uid="{F8BF5967-72A2-48EA-AD9F-FE5BBFD180C8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17779</xdr:colOff>
      <xdr:row>2</xdr:row>
      <xdr:rowOff>153264</xdr:rowOff>
    </xdr:from>
    <xdr:to>
      <xdr:col>11</xdr:col>
      <xdr:colOff>868383</xdr:colOff>
      <xdr:row>7</xdr:row>
      <xdr:rowOff>82224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15AD9F8-282A-4DCE-B49E-253F152DA1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8300719" y="549504"/>
          <a:ext cx="3502364" cy="911940"/>
        </a:xfrm>
        <a:prstGeom prst="rect">
          <a:avLst/>
        </a:prstGeom>
      </xdr:spPr>
    </xdr:pic>
    <xdr:clientData/>
  </xdr:twoCellAnchor>
  <xdr:twoCellAnchor editAs="oneCell">
    <xdr:from>
      <xdr:col>2</xdr:col>
      <xdr:colOff>35859</xdr:colOff>
      <xdr:row>1</xdr:row>
      <xdr:rowOff>26894</xdr:rowOff>
    </xdr:from>
    <xdr:to>
      <xdr:col>6</xdr:col>
      <xdr:colOff>2516939</xdr:colOff>
      <xdr:row>6</xdr:row>
      <xdr:rowOff>131315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76A37CB-F678-4DE5-B018-B11B0987F7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11219" y="225014"/>
          <a:ext cx="3204980" cy="109502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AC86E-E991-4E2E-9BF4-65490B225D4C}">
  <sheetPr>
    <tabColor theme="3" tint="0.39997558519241921"/>
  </sheetPr>
  <dimension ref="B7:W152"/>
  <sheetViews>
    <sheetView showGridLines="0" tabSelected="1" view="pageBreakPreview" topLeftCell="A130" zoomScale="78" zoomScaleSheetLayoutView="85" workbookViewId="0">
      <selection activeCell="K11" sqref="K11"/>
    </sheetView>
  </sheetViews>
  <sheetFormatPr defaultColWidth="11" defaultRowHeight="15.5" x14ac:dyDescent="0.35"/>
  <cols>
    <col min="2" max="4" width="1.83203125" style="18" customWidth="1"/>
    <col min="5" max="5" width="3.08203125" style="18" customWidth="1"/>
    <col min="6" max="6" width="2.83203125" style="18" customWidth="1"/>
    <col min="7" max="7" width="70.58203125" style="18" customWidth="1"/>
    <col min="8" max="8" width="9.5" style="18" customWidth="1"/>
    <col min="9" max="9" width="6.33203125" style="18" customWidth="1"/>
    <col min="10" max="10" width="16" style="18" customWidth="1"/>
    <col min="11" max="11" width="18.83203125" style="18" customWidth="1"/>
    <col min="12" max="12" width="20.5" style="18" customWidth="1"/>
    <col min="13" max="13" width="18.33203125" customWidth="1"/>
    <col min="14" max="14" width="18.33203125" bestFit="1" customWidth="1"/>
  </cols>
  <sheetData>
    <row r="7" spans="2:13" ht="15" customHeight="1" x14ac:dyDescent="0.35"/>
    <row r="8" spans="2:13" ht="18" x14ac:dyDescent="0.4">
      <c r="B8" s="31" t="s">
        <v>24</v>
      </c>
      <c r="C8" s="17"/>
      <c r="D8" s="17"/>
    </row>
    <row r="9" spans="2:13" x14ac:dyDescent="0.35">
      <c r="B9" s="32" t="s">
        <v>25</v>
      </c>
      <c r="C9" s="5"/>
      <c r="D9" s="5"/>
      <c r="E9" s="5"/>
      <c r="F9" s="5"/>
      <c r="G9" s="5"/>
    </row>
    <row r="10" spans="2:13" x14ac:dyDescent="0.35">
      <c r="H10" s="20"/>
      <c r="I10" s="20"/>
      <c r="J10" s="20" t="s">
        <v>29</v>
      </c>
      <c r="L10" s="20"/>
      <c r="M10" s="18"/>
    </row>
    <row r="11" spans="2:13" x14ac:dyDescent="0.35">
      <c r="B11" s="18" t="s">
        <v>0</v>
      </c>
      <c r="F11" s="18" t="s">
        <v>38</v>
      </c>
      <c r="J11" s="18" t="s">
        <v>30</v>
      </c>
      <c r="M11" s="18"/>
    </row>
    <row r="12" spans="2:13" x14ac:dyDescent="0.35">
      <c r="B12" s="18" t="s">
        <v>35</v>
      </c>
      <c r="F12" s="18" t="s">
        <v>26</v>
      </c>
      <c r="J12" s="18" t="s">
        <v>31</v>
      </c>
      <c r="K12" s="18" t="s">
        <v>39</v>
      </c>
      <c r="M12" s="18"/>
    </row>
    <row r="13" spans="2:13" x14ac:dyDescent="0.35">
      <c r="B13" s="18" t="s">
        <v>4</v>
      </c>
      <c r="F13" s="53"/>
      <c r="J13" s="18" t="s">
        <v>32</v>
      </c>
      <c r="K13" s="18" t="s">
        <v>40</v>
      </c>
      <c r="M13" s="18"/>
    </row>
    <row r="14" spans="2:13" x14ac:dyDescent="0.35">
      <c r="B14" s="18" t="s">
        <v>5</v>
      </c>
      <c r="F14" s="53"/>
      <c r="J14" s="18" t="s">
        <v>33</v>
      </c>
      <c r="K14" s="18" t="s">
        <v>41</v>
      </c>
      <c r="M14" s="18"/>
    </row>
    <row r="15" spans="2:13" x14ac:dyDescent="0.35">
      <c r="F15" s="178"/>
      <c r="G15" s="178"/>
      <c r="J15" s="18" t="s">
        <v>34</v>
      </c>
      <c r="K15" s="18" t="s">
        <v>42</v>
      </c>
      <c r="M15" s="18"/>
    </row>
    <row r="16" spans="2:13" x14ac:dyDescent="0.35">
      <c r="F16" s="6"/>
    </row>
    <row r="18" spans="2:20" s="33" customFormat="1" ht="15" customHeight="1" x14ac:dyDescent="0.35">
      <c r="B18" s="163" t="s">
        <v>0</v>
      </c>
      <c r="C18" s="164"/>
      <c r="D18" s="165"/>
      <c r="E18" s="163" t="s">
        <v>1</v>
      </c>
      <c r="F18" s="164"/>
      <c r="G18" s="165"/>
      <c r="H18" s="163" t="s">
        <v>2</v>
      </c>
      <c r="I18" s="165"/>
      <c r="J18" s="176" t="s">
        <v>3</v>
      </c>
      <c r="K18" s="176" t="s">
        <v>22</v>
      </c>
      <c r="L18" s="176" t="s">
        <v>23</v>
      </c>
    </row>
    <row r="19" spans="2:20" s="33" customFormat="1" ht="15" customHeight="1" x14ac:dyDescent="0.35">
      <c r="B19" s="166"/>
      <c r="C19" s="167"/>
      <c r="D19" s="168"/>
      <c r="E19" s="166"/>
      <c r="F19" s="167"/>
      <c r="G19" s="168"/>
      <c r="H19" s="166"/>
      <c r="I19" s="168"/>
      <c r="J19" s="177"/>
      <c r="K19" s="177"/>
      <c r="L19" s="177"/>
    </row>
    <row r="20" spans="2:20" x14ac:dyDescent="0.35">
      <c r="B20" s="47"/>
      <c r="C20" s="48"/>
      <c r="D20" s="49"/>
      <c r="G20" s="22"/>
      <c r="H20" s="1"/>
      <c r="I20" s="1"/>
      <c r="J20" s="43"/>
      <c r="K20" s="30"/>
      <c r="L20" s="44"/>
    </row>
    <row r="21" spans="2:20" x14ac:dyDescent="0.35">
      <c r="B21" s="91" t="s">
        <v>43</v>
      </c>
      <c r="C21" s="90"/>
      <c r="D21" s="89"/>
      <c r="E21" s="88" t="s">
        <v>10</v>
      </c>
      <c r="F21" s="88"/>
      <c r="G21" s="87"/>
      <c r="H21" s="86"/>
      <c r="I21" s="85"/>
      <c r="J21" s="29"/>
      <c r="K21" s="51"/>
      <c r="L21" s="46"/>
      <c r="M21" s="18"/>
      <c r="N21" s="169" t="s">
        <v>15</v>
      </c>
      <c r="O21" s="169"/>
    </row>
    <row r="22" spans="2:20" x14ac:dyDescent="0.35">
      <c r="B22" s="84"/>
      <c r="C22" s="83"/>
      <c r="D22" s="82" t="s">
        <v>44</v>
      </c>
      <c r="E22" s="86"/>
      <c r="F22" s="86" t="s">
        <v>114</v>
      </c>
      <c r="G22" s="85"/>
      <c r="H22" s="86">
        <v>7</v>
      </c>
      <c r="I22" s="85" t="s">
        <v>45</v>
      </c>
      <c r="J22" s="50">
        <v>400000</v>
      </c>
      <c r="K22" s="99">
        <f>J22*H22</f>
        <v>2800000</v>
      </c>
      <c r="L22" s="46"/>
      <c r="N22" s="23" t="s">
        <v>11</v>
      </c>
      <c r="O22" s="23">
        <v>26.98</v>
      </c>
      <c r="P22">
        <f>O22*O23</f>
        <v>242.82</v>
      </c>
      <c r="Q22">
        <f>O22*O23</f>
        <v>242.82</v>
      </c>
    </row>
    <row r="23" spans="2:20" x14ac:dyDescent="0.35">
      <c r="B23" s="84"/>
      <c r="C23" s="83"/>
      <c r="D23" s="82" t="s">
        <v>46</v>
      </c>
      <c r="E23" s="86"/>
      <c r="F23" s="86" t="s">
        <v>47</v>
      </c>
      <c r="G23" s="85"/>
      <c r="H23" s="86">
        <v>1</v>
      </c>
      <c r="I23" s="85" t="s">
        <v>48</v>
      </c>
      <c r="J23" s="50">
        <v>950000</v>
      </c>
      <c r="K23" s="99">
        <f>J23*H23</f>
        <v>950000</v>
      </c>
      <c r="L23" s="46"/>
      <c r="N23" s="23" t="s">
        <v>21</v>
      </c>
      <c r="O23" s="23">
        <v>9</v>
      </c>
      <c r="R23" t="e">
        <f>Q22-#REF!</f>
        <v>#REF!</v>
      </c>
      <c r="S23" t="e">
        <f>R23*20%</f>
        <v>#REF!</v>
      </c>
      <c r="T23" t="e">
        <f>R23+S23</f>
        <v>#REF!</v>
      </c>
    </row>
    <row r="24" spans="2:20" x14ac:dyDescent="0.35">
      <c r="B24" s="84"/>
      <c r="C24" s="83"/>
      <c r="D24" s="82" t="s">
        <v>49</v>
      </c>
      <c r="E24" s="86"/>
      <c r="F24" s="86" t="s">
        <v>115</v>
      </c>
      <c r="G24" s="85"/>
      <c r="H24" s="86">
        <v>7</v>
      </c>
      <c r="I24" s="85" t="s">
        <v>45</v>
      </c>
      <c r="J24" s="50">
        <v>650000</v>
      </c>
      <c r="K24" s="50">
        <f>J24*H24</f>
        <v>4550000</v>
      </c>
      <c r="L24" s="52"/>
      <c r="N24" s="23" t="s">
        <v>12</v>
      </c>
      <c r="O24" s="23" t="e">
        <f>#REF!-#REF!</f>
        <v>#REF!</v>
      </c>
      <c r="P24">
        <f>140*50%</f>
        <v>70</v>
      </c>
    </row>
    <row r="25" spans="2:20" x14ac:dyDescent="0.35">
      <c r="B25" s="100" t="s">
        <v>50</v>
      </c>
      <c r="C25" s="101"/>
      <c r="D25" s="102"/>
      <c r="E25" s="103" t="s">
        <v>51</v>
      </c>
      <c r="F25" s="104"/>
      <c r="G25" s="105"/>
      <c r="H25" s="106"/>
      <c r="I25" s="107"/>
      <c r="J25" s="50"/>
      <c r="K25" s="29"/>
      <c r="L25" s="52"/>
      <c r="M25" s="18"/>
      <c r="N25" s="23" t="s">
        <v>13</v>
      </c>
      <c r="O25" s="23">
        <f>(O22+O23)*2</f>
        <v>71.960000000000008</v>
      </c>
      <c r="Q25">
        <f>O22-(1.83*4)</f>
        <v>19.66</v>
      </c>
      <c r="R25" t="s">
        <v>19</v>
      </c>
    </row>
    <row r="26" spans="2:20" x14ac:dyDescent="0.35">
      <c r="B26" s="108"/>
      <c r="C26" s="109" t="s">
        <v>52</v>
      </c>
      <c r="D26" s="110"/>
      <c r="E26" s="111"/>
      <c r="F26" s="105" t="s">
        <v>53</v>
      </c>
      <c r="G26" s="105"/>
      <c r="H26" s="112"/>
      <c r="I26" s="113"/>
      <c r="J26" s="50"/>
      <c r="K26" s="29"/>
      <c r="L26" s="52"/>
      <c r="M26" s="18"/>
      <c r="N26" s="23" t="s">
        <v>14</v>
      </c>
      <c r="O26" s="23">
        <f>(O22-5)*O23</f>
        <v>197.82</v>
      </c>
      <c r="Q26">
        <f>O23-2</f>
        <v>7</v>
      </c>
      <c r="R26" t="s">
        <v>20</v>
      </c>
    </row>
    <row r="27" spans="2:20" x14ac:dyDescent="0.35">
      <c r="B27" s="108"/>
      <c r="C27" s="109"/>
      <c r="D27" s="110" t="s">
        <v>44</v>
      </c>
      <c r="E27" s="111"/>
      <c r="F27" s="105" t="s">
        <v>54</v>
      </c>
      <c r="G27" s="105"/>
      <c r="H27" s="112"/>
      <c r="I27" s="113"/>
      <c r="J27" s="50"/>
      <c r="K27" s="29"/>
      <c r="L27" s="52"/>
      <c r="M27" s="18"/>
      <c r="N27" s="23"/>
      <c r="O27" s="23" t="e">
        <f>#REF!*40%</f>
        <v>#REF!</v>
      </c>
      <c r="P27" t="e">
        <f>#REF!+#REF!</f>
        <v>#REF!</v>
      </c>
      <c r="Q27" t="e">
        <f>#REF!*25%</f>
        <v>#REF!</v>
      </c>
    </row>
    <row r="28" spans="2:20" x14ac:dyDescent="0.35">
      <c r="B28" s="108"/>
      <c r="C28" s="109"/>
      <c r="D28" s="110"/>
      <c r="E28" s="111"/>
      <c r="F28" s="105" t="s">
        <v>55</v>
      </c>
      <c r="G28" s="105" t="s">
        <v>56</v>
      </c>
      <c r="H28" s="112">
        <v>4</v>
      </c>
      <c r="I28" s="113" t="s">
        <v>57</v>
      </c>
      <c r="J28" s="50">
        <v>500000</v>
      </c>
      <c r="K28" s="98">
        <f>J28*H28</f>
        <v>2000000</v>
      </c>
      <c r="L28" s="52"/>
      <c r="M28" s="18"/>
      <c r="N28" s="23"/>
      <c r="O28" s="23" t="e">
        <f>#REF!+O27</f>
        <v>#REF!</v>
      </c>
    </row>
    <row r="29" spans="2:20" x14ac:dyDescent="0.35">
      <c r="B29" s="108"/>
      <c r="C29" s="109"/>
      <c r="D29" s="110" t="s">
        <v>46</v>
      </c>
      <c r="E29" s="111"/>
      <c r="F29" s="105" t="s">
        <v>58</v>
      </c>
      <c r="G29" s="105"/>
      <c r="H29" s="112">
        <v>1</v>
      </c>
      <c r="I29" s="113" t="s">
        <v>59</v>
      </c>
      <c r="J29" s="50">
        <v>1500000</v>
      </c>
      <c r="K29" s="98">
        <f>J29*H29</f>
        <v>1500000</v>
      </c>
      <c r="L29" s="52"/>
      <c r="M29" s="93">
        <f>SUM(M30:M35)*1.3</f>
        <v>479195.72480000003</v>
      </c>
      <c r="N29" s="23"/>
      <c r="O29" s="23"/>
    </row>
    <row r="30" spans="2:20" x14ac:dyDescent="0.35">
      <c r="B30" s="108"/>
      <c r="C30" s="109"/>
      <c r="D30" s="110"/>
      <c r="E30" s="111"/>
      <c r="F30" s="105" t="s">
        <v>55</v>
      </c>
      <c r="G30" s="105" t="s">
        <v>60</v>
      </c>
      <c r="H30" s="97">
        <v>1.446912</v>
      </c>
      <c r="I30" s="96" t="s">
        <v>61</v>
      </c>
      <c r="J30" s="50"/>
      <c r="K30" s="29"/>
      <c r="L30" s="52"/>
      <c r="M30" s="18">
        <f>32000*H30</f>
        <v>46301.184000000001</v>
      </c>
      <c r="N30" s="23"/>
      <c r="O30" s="23"/>
    </row>
    <row r="31" spans="2:20" x14ac:dyDescent="0.35">
      <c r="B31" s="108"/>
      <c r="C31" s="109"/>
      <c r="D31" s="110"/>
      <c r="E31" s="111"/>
      <c r="F31" s="105" t="s">
        <v>55</v>
      </c>
      <c r="G31" s="105" t="s">
        <v>62</v>
      </c>
      <c r="H31" s="97">
        <v>1.446912</v>
      </c>
      <c r="I31" s="96" t="s">
        <v>61</v>
      </c>
      <c r="J31" s="50"/>
      <c r="K31" s="29"/>
      <c r="L31" s="52"/>
      <c r="M31" s="18">
        <f>32000*H31</f>
        <v>46301.184000000001</v>
      </c>
      <c r="N31" s="23"/>
      <c r="O31" s="23"/>
    </row>
    <row r="32" spans="2:20" x14ac:dyDescent="0.35">
      <c r="B32" s="108"/>
      <c r="C32" s="109"/>
      <c r="D32" s="110"/>
      <c r="E32" s="111"/>
      <c r="F32" s="105" t="s">
        <v>55</v>
      </c>
      <c r="G32" s="105" t="s">
        <v>63</v>
      </c>
      <c r="H32" s="97">
        <v>0.72345599999999999</v>
      </c>
      <c r="I32" s="96" t="s">
        <v>61</v>
      </c>
      <c r="J32" s="50"/>
      <c r="K32" s="29"/>
      <c r="L32" s="52"/>
      <c r="M32" s="18">
        <f>32000*H32</f>
        <v>23150.592000000001</v>
      </c>
      <c r="N32" s="23">
        <v>1</v>
      </c>
      <c r="O32" s="23" t="s">
        <v>10</v>
      </c>
    </row>
    <row r="33" spans="2:15" x14ac:dyDescent="0.35">
      <c r="B33" s="100"/>
      <c r="C33" s="109"/>
      <c r="D33" s="102"/>
      <c r="E33" s="111"/>
      <c r="F33" s="105" t="s">
        <v>55</v>
      </c>
      <c r="G33" s="105" t="s">
        <v>64</v>
      </c>
      <c r="H33" s="97">
        <v>2.2607999999999997</v>
      </c>
      <c r="I33" s="96" t="s">
        <v>61</v>
      </c>
      <c r="J33" s="50"/>
      <c r="K33" s="29"/>
      <c r="L33" s="52"/>
      <c r="M33" s="18">
        <f>32000*H33</f>
        <v>72345.599999999991</v>
      </c>
      <c r="N33" s="23"/>
      <c r="O33" s="23"/>
    </row>
    <row r="34" spans="2:15" x14ac:dyDescent="0.35">
      <c r="B34" s="100"/>
      <c r="C34" s="109"/>
      <c r="D34" s="110"/>
      <c r="E34" s="111"/>
      <c r="F34" s="114" t="s">
        <v>55</v>
      </c>
      <c r="G34" s="105" t="s">
        <v>65</v>
      </c>
      <c r="H34" s="97">
        <v>1.2660479999999998</v>
      </c>
      <c r="I34" s="96" t="s">
        <v>61</v>
      </c>
      <c r="J34" s="50"/>
      <c r="K34" s="29"/>
      <c r="L34" s="52"/>
      <c r="M34" s="18">
        <f>32000*H34</f>
        <v>40513.535999999993</v>
      </c>
      <c r="N34" s="23"/>
      <c r="O34" s="23"/>
    </row>
    <row r="35" spans="2:15" x14ac:dyDescent="0.35">
      <c r="B35" s="100"/>
      <c r="C35" s="109"/>
      <c r="D35" s="110"/>
      <c r="E35" s="111"/>
      <c r="F35" s="114" t="s">
        <v>55</v>
      </c>
      <c r="G35" s="105" t="s">
        <v>66</v>
      </c>
      <c r="H35" s="95">
        <v>4</v>
      </c>
      <c r="I35" s="94" t="s">
        <v>67</v>
      </c>
      <c r="J35" s="50"/>
      <c r="K35" s="29"/>
      <c r="L35" s="52"/>
      <c r="M35" s="18">
        <f>35000*H35</f>
        <v>140000</v>
      </c>
      <c r="N35" s="23"/>
      <c r="O35" s="23"/>
    </row>
    <row r="36" spans="2:15" x14ac:dyDescent="0.35">
      <c r="B36" s="100"/>
      <c r="C36" s="109"/>
      <c r="D36" s="110" t="s">
        <v>49</v>
      </c>
      <c r="E36" s="111"/>
      <c r="F36" s="114" t="s">
        <v>68</v>
      </c>
      <c r="G36" s="105"/>
      <c r="H36" s="112">
        <v>1</v>
      </c>
      <c r="I36" s="113" t="s">
        <v>59</v>
      </c>
      <c r="J36" s="50">
        <v>10500000</v>
      </c>
      <c r="K36" s="98">
        <f>J36*H36</f>
        <v>10500000</v>
      </c>
      <c r="L36" s="52"/>
      <c r="M36" s="129">
        <f>SUM(M37:M41)*1.3</f>
        <v>7349749.8880000003</v>
      </c>
      <c r="N36" s="23">
        <v>2</v>
      </c>
      <c r="O36" s="23" t="s">
        <v>16</v>
      </c>
    </row>
    <row r="37" spans="2:15" x14ac:dyDescent="0.35">
      <c r="B37" s="100"/>
      <c r="C37" s="109"/>
      <c r="D37" s="110"/>
      <c r="E37" s="111"/>
      <c r="F37" s="114" t="s">
        <v>55</v>
      </c>
      <c r="G37" s="105" t="s">
        <v>69</v>
      </c>
      <c r="H37" s="97">
        <v>7.6867200000000002</v>
      </c>
      <c r="I37" s="96" t="s">
        <v>61</v>
      </c>
      <c r="J37" s="50"/>
      <c r="K37" s="29"/>
      <c r="L37" s="52"/>
      <c r="M37" s="18">
        <f>32000*H37</f>
        <v>245975.04000000001</v>
      </c>
      <c r="N37" s="23">
        <v>4</v>
      </c>
      <c r="O37" s="23" t="s">
        <v>17</v>
      </c>
    </row>
    <row r="38" spans="2:15" x14ac:dyDescent="0.35">
      <c r="B38" s="100"/>
      <c r="C38" s="109"/>
      <c r="D38" s="110"/>
      <c r="E38" s="111"/>
      <c r="F38" s="114" t="s">
        <v>55</v>
      </c>
      <c r="G38" s="105" t="s">
        <v>70</v>
      </c>
      <c r="H38" s="97">
        <v>2.4868799999999998</v>
      </c>
      <c r="I38" s="96" t="s">
        <v>61</v>
      </c>
      <c r="J38" s="50"/>
      <c r="K38" s="29"/>
      <c r="L38" s="52"/>
      <c r="M38" s="18">
        <f>32000*H38</f>
        <v>79580.159999999989</v>
      </c>
      <c r="N38" s="23"/>
      <c r="O38" s="23"/>
    </row>
    <row r="39" spans="2:15" x14ac:dyDescent="0.35">
      <c r="B39" s="100"/>
      <c r="C39" s="109"/>
      <c r="D39" s="110"/>
      <c r="E39" s="111"/>
      <c r="F39" s="114" t="s">
        <v>55</v>
      </c>
      <c r="G39" s="105" t="s">
        <v>71</v>
      </c>
      <c r="H39" s="97">
        <v>5.8780799999999997</v>
      </c>
      <c r="I39" s="94" t="s">
        <v>61</v>
      </c>
      <c r="J39" s="50"/>
      <c r="K39" s="29"/>
      <c r="L39" s="52"/>
      <c r="M39" s="18">
        <f>32000*H39</f>
        <v>188098.56</v>
      </c>
      <c r="N39" s="23"/>
      <c r="O39" s="23"/>
    </row>
    <row r="40" spans="2:15" x14ac:dyDescent="0.35">
      <c r="B40" s="100"/>
      <c r="C40" s="109"/>
      <c r="D40" s="110"/>
      <c r="E40" s="111"/>
      <c r="F40" s="114" t="s">
        <v>55</v>
      </c>
      <c r="G40" s="105" t="s">
        <v>66</v>
      </c>
      <c r="H40" s="95">
        <v>4</v>
      </c>
      <c r="I40" s="94" t="s">
        <v>67</v>
      </c>
      <c r="J40" s="50"/>
      <c r="K40" s="29"/>
      <c r="L40" s="52"/>
      <c r="M40" s="18">
        <f>35000*H40</f>
        <v>140000</v>
      </c>
      <c r="N40" s="23">
        <v>14</v>
      </c>
      <c r="O40" s="23" t="s">
        <v>18</v>
      </c>
    </row>
    <row r="41" spans="2:15" x14ac:dyDescent="0.35">
      <c r="B41" s="100"/>
      <c r="C41" s="109"/>
      <c r="D41" s="110"/>
      <c r="E41" s="111"/>
      <c r="F41" s="114" t="s">
        <v>55</v>
      </c>
      <c r="G41" s="105" t="s">
        <v>72</v>
      </c>
      <c r="H41" s="95">
        <v>1</v>
      </c>
      <c r="I41" s="94" t="s">
        <v>48</v>
      </c>
      <c r="J41" s="50"/>
      <c r="K41" s="29"/>
      <c r="L41" s="52"/>
      <c r="M41" s="18">
        <v>5000000</v>
      </c>
      <c r="N41" s="23">
        <v>15</v>
      </c>
      <c r="O41" s="23" t="s">
        <v>27</v>
      </c>
    </row>
    <row r="42" spans="2:15" x14ac:dyDescent="0.35">
      <c r="B42" s="81"/>
      <c r="C42" s="80"/>
      <c r="D42" s="82" t="s">
        <v>73</v>
      </c>
      <c r="E42" s="88"/>
      <c r="F42" s="86" t="s">
        <v>74</v>
      </c>
      <c r="G42" s="85"/>
      <c r="H42" s="79">
        <v>1</v>
      </c>
      <c r="I42" s="85" t="s">
        <v>59</v>
      </c>
      <c r="J42" s="50">
        <v>10000000</v>
      </c>
      <c r="K42" s="98">
        <f>J42*H42</f>
        <v>10000000</v>
      </c>
      <c r="L42" s="52"/>
      <c r="M42" s="129">
        <f>SUM(M43:M47)*1.3</f>
        <v>7424055.8080000002</v>
      </c>
      <c r="N42" s="23"/>
      <c r="O42" s="23"/>
    </row>
    <row r="43" spans="2:15" x14ac:dyDescent="0.35">
      <c r="B43" s="78"/>
      <c r="C43" s="77"/>
      <c r="D43" s="77"/>
      <c r="E43" s="76"/>
      <c r="F43" s="75" t="s">
        <v>55</v>
      </c>
      <c r="G43" s="74" t="s">
        <v>75</v>
      </c>
      <c r="H43" s="92">
        <v>42.050879999999999</v>
      </c>
      <c r="I43" s="62" t="s">
        <v>61</v>
      </c>
      <c r="J43" s="50"/>
      <c r="K43" s="29"/>
      <c r="L43" s="52"/>
      <c r="M43" s="18">
        <f>32000*H43</f>
        <v>1345628.1599999999</v>
      </c>
      <c r="N43" s="23"/>
      <c r="O43" s="23"/>
    </row>
    <row r="44" spans="2:15" x14ac:dyDescent="0.35">
      <c r="B44" s="73"/>
      <c r="C44" s="77"/>
      <c r="D44" s="77"/>
      <c r="E44" s="76"/>
      <c r="F44" s="75" t="s">
        <v>55</v>
      </c>
      <c r="G44" s="74" t="s">
        <v>76</v>
      </c>
      <c r="H44" s="92">
        <v>20.347200000000001</v>
      </c>
      <c r="I44" s="62" t="s">
        <v>61</v>
      </c>
      <c r="J44" s="50"/>
      <c r="K44" s="29"/>
      <c r="L44" s="52"/>
      <c r="M44" s="18">
        <f>32000*H44</f>
        <v>651110.40000000002</v>
      </c>
      <c r="N44" s="23"/>
      <c r="O44" s="23"/>
    </row>
    <row r="45" spans="2:15" x14ac:dyDescent="0.35">
      <c r="B45" s="78"/>
      <c r="C45" s="77"/>
      <c r="D45" s="77"/>
      <c r="E45" s="76"/>
      <c r="F45" s="75" t="s">
        <v>55</v>
      </c>
      <c r="G45" s="74" t="s">
        <v>77</v>
      </c>
      <c r="H45" s="61">
        <v>13.5648</v>
      </c>
      <c r="I45" s="60" t="s">
        <v>61</v>
      </c>
      <c r="J45" s="50"/>
      <c r="K45" s="29"/>
      <c r="L45" s="52"/>
      <c r="M45" s="18">
        <f>32000*H45</f>
        <v>434073.59999999998</v>
      </c>
      <c r="N45" s="23"/>
      <c r="O45" s="23"/>
    </row>
    <row r="46" spans="2:15" x14ac:dyDescent="0.35">
      <c r="B46" s="72"/>
      <c r="C46" s="71"/>
      <c r="D46" s="71"/>
      <c r="E46" s="79"/>
      <c r="F46" s="86" t="s">
        <v>55</v>
      </c>
      <c r="G46" s="85" t="s">
        <v>78</v>
      </c>
      <c r="H46" s="59">
        <v>8</v>
      </c>
      <c r="I46" s="58" t="s">
        <v>67</v>
      </c>
      <c r="J46" s="50"/>
      <c r="K46" s="29"/>
      <c r="L46" s="52"/>
      <c r="M46" s="18">
        <f>35000*H46</f>
        <v>280000</v>
      </c>
      <c r="N46" s="23"/>
      <c r="O46" s="23"/>
    </row>
    <row r="47" spans="2:15" x14ac:dyDescent="0.35">
      <c r="B47" s="72"/>
      <c r="C47" s="80"/>
      <c r="D47" s="82"/>
      <c r="E47" s="88"/>
      <c r="F47" s="86" t="s">
        <v>55</v>
      </c>
      <c r="G47" s="85" t="s">
        <v>79</v>
      </c>
      <c r="H47" s="59">
        <v>1</v>
      </c>
      <c r="I47" s="58" t="s">
        <v>48</v>
      </c>
      <c r="J47" s="50"/>
      <c r="K47" s="29"/>
      <c r="L47" s="52"/>
      <c r="M47" s="18">
        <v>3000000</v>
      </c>
      <c r="N47" s="23"/>
      <c r="O47" s="23"/>
    </row>
    <row r="48" spans="2:15" x14ac:dyDescent="0.35">
      <c r="B48" s="84"/>
      <c r="C48" s="83"/>
      <c r="D48" s="70" t="s">
        <v>80</v>
      </c>
      <c r="E48" s="69"/>
      <c r="F48" s="68" t="s">
        <v>81</v>
      </c>
      <c r="G48" s="67"/>
      <c r="H48" s="66">
        <v>1</v>
      </c>
      <c r="I48" s="67" t="s">
        <v>48</v>
      </c>
      <c r="J48" s="50">
        <v>16500000</v>
      </c>
      <c r="K48" s="98">
        <f>J48*H48</f>
        <v>16500000</v>
      </c>
      <c r="L48" s="52"/>
      <c r="M48" s="18"/>
      <c r="N48" s="23"/>
      <c r="O48" s="23"/>
    </row>
    <row r="49" spans="2:15" x14ac:dyDescent="0.35">
      <c r="B49" s="84"/>
      <c r="C49" s="83"/>
      <c r="D49" s="70" t="s">
        <v>82</v>
      </c>
      <c r="E49" s="69"/>
      <c r="F49" s="68" t="s">
        <v>83</v>
      </c>
      <c r="G49" s="67"/>
      <c r="H49" s="69">
        <v>1</v>
      </c>
      <c r="I49" s="67" t="s">
        <v>59</v>
      </c>
      <c r="J49" s="50">
        <v>2000000</v>
      </c>
      <c r="K49" s="98">
        <f>J49*H49</f>
        <v>2000000</v>
      </c>
      <c r="L49" s="52"/>
      <c r="M49" s="93">
        <f>SUM(M50:M52)*1.3</f>
        <v>1281678.5279999999</v>
      </c>
      <c r="N49" s="23"/>
      <c r="O49" s="23"/>
    </row>
    <row r="50" spans="2:15" x14ac:dyDescent="0.35">
      <c r="B50" s="84"/>
      <c r="C50" s="83"/>
      <c r="D50" s="70"/>
      <c r="E50" s="69"/>
      <c r="F50" s="68" t="s">
        <v>55</v>
      </c>
      <c r="G50" s="67" t="s">
        <v>84</v>
      </c>
      <c r="H50" s="57">
        <v>6.6128399999999994</v>
      </c>
      <c r="I50" s="56" t="s">
        <v>61</v>
      </c>
      <c r="J50" s="50"/>
      <c r="K50" s="29"/>
      <c r="L50" s="52"/>
      <c r="M50" s="18">
        <f>32000*H50</f>
        <v>211610.87999999998</v>
      </c>
      <c r="N50" s="23"/>
      <c r="O50" s="23"/>
    </row>
    <row r="51" spans="2:15" x14ac:dyDescent="0.35">
      <c r="B51" s="81"/>
      <c r="C51" s="80"/>
      <c r="D51" s="65"/>
      <c r="E51" s="64"/>
      <c r="F51" s="88" t="s">
        <v>55</v>
      </c>
      <c r="G51" s="85" t="s">
        <v>85</v>
      </c>
      <c r="H51" s="55">
        <v>17.634239999999998</v>
      </c>
      <c r="I51" s="58" t="s">
        <v>61</v>
      </c>
      <c r="J51" s="50"/>
      <c r="K51" s="29"/>
      <c r="L51" s="52"/>
      <c r="M51" s="18">
        <f>32000*H51</f>
        <v>564295.67999999993</v>
      </c>
      <c r="N51" s="23"/>
      <c r="O51" s="23"/>
    </row>
    <row r="52" spans="2:15" x14ac:dyDescent="0.35">
      <c r="B52" s="63"/>
      <c r="C52" s="71"/>
      <c r="D52" s="82"/>
      <c r="E52" s="86"/>
      <c r="F52" s="86" t="s">
        <v>55</v>
      </c>
      <c r="G52" s="85" t="s">
        <v>86</v>
      </c>
      <c r="H52" s="59">
        <v>6</v>
      </c>
      <c r="I52" s="54" t="s">
        <v>67</v>
      </c>
      <c r="J52" s="50"/>
      <c r="K52" s="29"/>
      <c r="L52" s="52"/>
      <c r="M52" s="18">
        <f>35000*H52</f>
        <v>210000</v>
      </c>
      <c r="N52" s="23"/>
      <c r="O52" s="23"/>
    </row>
    <row r="53" spans="2:15" x14ac:dyDescent="0.35">
      <c r="B53" s="63"/>
      <c r="C53" s="71"/>
      <c r="D53" s="82" t="s">
        <v>87</v>
      </c>
      <c r="E53" s="71"/>
      <c r="F53" s="86" t="s">
        <v>88</v>
      </c>
      <c r="G53" s="85"/>
      <c r="H53" s="86">
        <v>1</v>
      </c>
      <c r="I53" s="74" t="s">
        <v>48</v>
      </c>
      <c r="J53" s="50">
        <v>1500000</v>
      </c>
      <c r="K53" s="98">
        <f>J53*H53</f>
        <v>1500000</v>
      </c>
      <c r="L53" s="52"/>
      <c r="M53" s="18"/>
      <c r="N53" s="23"/>
      <c r="O53" s="23"/>
    </row>
    <row r="54" spans="2:15" x14ac:dyDescent="0.35">
      <c r="B54" s="63"/>
      <c r="C54" s="71"/>
      <c r="D54" s="82" t="s">
        <v>89</v>
      </c>
      <c r="E54" s="86"/>
      <c r="F54" s="86" t="s">
        <v>90</v>
      </c>
      <c r="G54" s="85" t="s">
        <v>91</v>
      </c>
      <c r="H54" s="86">
        <v>1</v>
      </c>
      <c r="I54" s="74" t="s">
        <v>92</v>
      </c>
      <c r="J54" s="50">
        <v>500000</v>
      </c>
      <c r="K54" s="98">
        <f>J54*H54</f>
        <v>500000</v>
      </c>
      <c r="L54" s="52"/>
      <c r="M54" s="18"/>
      <c r="N54" s="23"/>
      <c r="O54" s="23"/>
    </row>
    <row r="55" spans="2:15" x14ac:dyDescent="0.35">
      <c r="B55" s="63"/>
      <c r="C55" s="71"/>
      <c r="D55" s="82" t="s">
        <v>93</v>
      </c>
      <c r="E55" s="71"/>
      <c r="F55" s="86" t="s">
        <v>94</v>
      </c>
      <c r="G55" s="85"/>
      <c r="H55" s="86">
        <v>1</v>
      </c>
      <c r="I55" s="74" t="s">
        <v>48</v>
      </c>
      <c r="J55" s="50">
        <v>500000</v>
      </c>
      <c r="K55" s="98">
        <f>J55*H55</f>
        <v>500000</v>
      </c>
      <c r="L55" s="52"/>
      <c r="M55" s="18"/>
      <c r="N55" s="23"/>
      <c r="O55" s="23"/>
    </row>
    <row r="56" spans="2:15" x14ac:dyDescent="0.35">
      <c r="B56" s="63"/>
      <c r="C56" s="71"/>
      <c r="D56" s="70" t="s">
        <v>95</v>
      </c>
      <c r="E56" s="69"/>
      <c r="F56" s="68" t="s">
        <v>96</v>
      </c>
      <c r="G56" s="67"/>
      <c r="H56" s="66">
        <v>1</v>
      </c>
      <c r="I56" s="74" t="s">
        <v>48</v>
      </c>
      <c r="J56" s="50">
        <v>1000000</v>
      </c>
      <c r="K56" s="98">
        <f>J56*H56</f>
        <v>1000000</v>
      </c>
      <c r="L56" s="52"/>
      <c r="M56" s="18"/>
      <c r="N56" s="23"/>
      <c r="O56" s="23"/>
    </row>
    <row r="57" spans="2:15" x14ac:dyDescent="0.35">
      <c r="B57" s="91"/>
      <c r="C57" s="90"/>
      <c r="D57" s="70" t="s">
        <v>97</v>
      </c>
      <c r="E57" s="126"/>
      <c r="F57" s="68" t="s">
        <v>98</v>
      </c>
      <c r="G57" s="67"/>
      <c r="H57" s="125"/>
      <c r="I57" s="67"/>
      <c r="J57" s="50"/>
      <c r="K57" s="29"/>
      <c r="L57" s="52"/>
      <c r="M57" s="18"/>
      <c r="N57" s="23"/>
      <c r="O57" s="23"/>
    </row>
    <row r="58" spans="2:15" x14ac:dyDescent="0.35">
      <c r="B58" s="84"/>
      <c r="C58" s="83"/>
      <c r="D58" s="70" t="s">
        <v>99</v>
      </c>
      <c r="E58" s="69"/>
      <c r="F58" s="68" t="s">
        <v>100</v>
      </c>
      <c r="G58" s="67"/>
      <c r="H58" s="69">
        <v>1</v>
      </c>
      <c r="I58" s="67" t="s">
        <v>48</v>
      </c>
      <c r="J58" s="50">
        <v>1000000</v>
      </c>
      <c r="K58" s="98">
        <f>J58*H58</f>
        <v>1000000</v>
      </c>
      <c r="L58" s="52"/>
      <c r="M58" s="18"/>
      <c r="N58" s="23"/>
      <c r="O58" s="23"/>
    </row>
    <row r="59" spans="2:15" x14ac:dyDescent="0.35">
      <c r="B59" s="91"/>
      <c r="C59" s="124"/>
      <c r="D59" s="123"/>
      <c r="E59" s="122"/>
      <c r="F59" s="114" t="s">
        <v>55</v>
      </c>
      <c r="G59" s="121" t="s">
        <v>86</v>
      </c>
      <c r="H59" s="128">
        <v>2</v>
      </c>
      <c r="I59" s="127" t="s">
        <v>67</v>
      </c>
      <c r="J59" s="50"/>
      <c r="K59" s="29"/>
      <c r="L59" s="52"/>
      <c r="M59" s="18"/>
      <c r="N59" s="23"/>
      <c r="O59" s="23"/>
    </row>
    <row r="60" spans="2:15" x14ac:dyDescent="0.35">
      <c r="B60" s="84"/>
      <c r="C60" s="83"/>
      <c r="D60" s="123" t="s">
        <v>101</v>
      </c>
      <c r="E60" s="86"/>
      <c r="F60" s="86" t="s">
        <v>102</v>
      </c>
      <c r="G60" s="121"/>
      <c r="H60" s="120">
        <v>1</v>
      </c>
      <c r="I60" s="86" t="s">
        <v>48</v>
      </c>
      <c r="J60" s="50">
        <v>1000000</v>
      </c>
      <c r="K60" s="98">
        <f>J60*H60</f>
        <v>1000000</v>
      </c>
      <c r="L60" s="52"/>
      <c r="M60" s="18"/>
      <c r="N60" s="23"/>
      <c r="O60" s="23"/>
    </row>
    <row r="61" spans="2:15" x14ac:dyDescent="0.35">
      <c r="B61" s="91"/>
      <c r="C61" s="124"/>
      <c r="D61" s="123"/>
      <c r="E61" s="122"/>
      <c r="F61" s="119" t="s">
        <v>55</v>
      </c>
      <c r="G61" s="114" t="s">
        <v>103</v>
      </c>
      <c r="H61" s="120">
        <v>2</v>
      </c>
      <c r="I61" s="130" t="s">
        <v>92</v>
      </c>
      <c r="J61" s="50">
        <v>260000</v>
      </c>
      <c r="K61" s="98">
        <f>J61*H61</f>
        <v>520000</v>
      </c>
      <c r="L61" s="52"/>
      <c r="M61" s="18"/>
      <c r="N61" s="23"/>
      <c r="O61" s="23"/>
    </row>
    <row r="62" spans="2:15" x14ac:dyDescent="0.35">
      <c r="B62" s="118"/>
      <c r="C62" s="83"/>
      <c r="D62" s="123"/>
      <c r="E62" s="122"/>
      <c r="F62" s="114" t="s">
        <v>55</v>
      </c>
      <c r="G62" s="114" t="s">
        <v>86</v>
      </c>
      <c r="H62" s="120">
        <v>4</v>
      </c>
      <c r="I62" s="130" t="s">
        <v>67</v>
      </c>
      <c r="J62" s="50">
        <v>35000</v>
      </c>
      <c r="K62" s="29"/>
      <c r="L62" s="52">
        <f>J62*H62</f>
        <v>140000</v>
      </c>
      <c r="M62" s="18"/>
      <c r="N62" s="23"/>
      <c r="O62" s="23"/>
    </row>
    <row r="63" spans="2:15" x14ac:dyDescent="0.35">
      <c r="B63" s="118"/>
      <c r="C63" s="83"/>
      <c r="D63" s="123"/>
      <c r="E63" s="122"/>
      <c r="F63" s="114" t="s">
        <v>55</v>
      </c>
      <c r="G63" s="114" t="s">
        <v>104</v>
      </c>
      <c r="H63" s="120">
        <v>1</v>
      </c>
      <c r="I63" s="130" t="s">
        <v>67</v>
      </c>
      <c r="J63" s="50">
        <v>35000</v>
      </c>
      <c r="K63" s="29"/>
      <c r="L63" s="52">
        <f>J63*H63</f>
        <v>35000</v>
      </c>
      <c r="M63" s="18"/>
      <c r="N63" s="23"/>
      <c r="O63" s="23"/>
    </row>
    <row r="64" spans="2:15" x14ac:dyDescent="0.35">
      <c r="B64" s="118"/>
      <c r="C64" s="124"/>
      <c r="D64" s="123" t="s">
        <v>105</v>
      </c>
      <c r="E64" s="117"/>
      <c r="F64" s="114" t="s">
        <v>106</v>
      </c>
      <c r="G64" s="114"/>
      <c r="H64" s="120">
        <v>2</v>
      </c>
      <c r="I64" s="67" t="s">
        <v>92</v>
      </c>
      <c r="J64" s="50">
        <v>150000</v>
      </c>
      <c r="K64" s="98">
        <f>J64*H64</f>
        <v>300000</v>
      </c>
      <c r="L64" s="52"/>
      <c r="M64" s="18"/>
      <c r="N64" s="23"/>
      <c r="O64" s="23"/>
    </row>
    <row r="65" spans="2:23" x14ac:dyDescent="0.35">
      <c r="B65" s="118"/>
      <c r="C65" s="124"/>
      <c r="D65" s="123"/>
      <c r="E65" s="122"/>
      <c r="F65" s="119" t="s">
        <v>55</v>
      </c>
      <c r="G65" s="114" t="s">
        <v>107</v>
      </c>
      <c r="H65" s="120">
        <v>60</v>
      </c>
      <c r="I65" s="67" t="s">
        <v>108</v>
      </c>
      <c r="J65" s="50">
        <v>342</v>
      </c>
      <c r="K65" s="29"/>
      <c r="L65" s="52">
        <f>J65*H65</f>
        <v>20520</v>
      </c>
      <c r="M65" s="18"/>
      <c r="N65" s="23"/>
      <c r="O65" s="23"/>
    </row>
    <row r="66" spans="2:23" x14ac:dyDescent="0.35">
      <c r="B66" s="118"/>
      <c r="C66" s="83"/>
      <c r="D66" s="123"/>
      <c r="E66" s="122"/>
      <c r="F66" s="68" t="s">
        <v>55</v>
      </c>
      <c r="G66" s="114" t="s">
        <v>109</v>
      </c>
      <c r="H66" s="120">
        <v>1</v>
      </c>
      <c r="I66" s="67" t="s">
        <v>67</v>
      </c>
      <c r="J66" s="50">
        <v>145000</v>
      </c>
      <c r="K66" s="98"/>
      <c r="L66" s="52">
        <f>J66*H66</f>
        <v>145000</v>
      </c>
      <c r="M66" s="18"/>
      <c r="N66" s="23"/>
      <c r="O66" s="23"/>
    </row>
    <row r="67" spans="2:23" x14ac:dyDescent="0.35">
      <c r="B67" s="118"/>
      <c r="C67" s="124"/>
      <c r="D67" s="116"/>
      <c r="E67" s="122"/>
      <c r="F67" s="119" t="s">
        <v>55</v>
      </c>
      <c r="G67" s="114" t="s">
        <v>104</v>
      </c>
      <c r="H67" s="120">
        <v>1</v>
      </c>
      <c r="I67" s="67" t="s">
        <v>67</v>
      </c>
      <c r="J67" s="50">
        <v>35000</v>
      </c>
      <c r="K67" s="29"/>
      <c r="L67" s="52">
        <f>J67*H67</f>
        <v>35000</v>
      </c>
      <c r="M67" s="18"/>
      <c r="N67" s="23"/>
      <c r="O67" s="23"/>
    </row>
    <row r="68" spans="2:23" x14ac:dyDescent="0.35">
      <c r="B68" s="118"/>
      <c r="C68" s="124"/>
      <c r="D68" s="124" t="s">
        <v>110</v>
      </c>
      <c r="E68" s="122"/>
      <c r="F68" s="114" t="s">
        <v>111</v>
      </c>
      <c r="G68" s="114"/>
      <c r="H68" s="120">
        <v>1</v>
      </c>
      <c r="I68" s="67" t="s">
        <v>48</v>
      </c>
      <c r="J68" s="50">
        <v>1500000</v>
      </c>
      <c r="K68" s="98">
        <f>J68*H68</f>
        <v>1500000</v>
      </c>
      <c r="L68" s="52"/>
      <c r="M68" s="18"/>
      <c r="N68" s="23"/>
      <c r="O68" s="23"/>
    </row>
    <row r="69" spans="2:23" x14ac:dyDescent="0.35">
      <c r="B69" s="118"/>
      <c r="C69" s="124" t="s">
        <v>112</v>
      </c>
      <c r="D69" s="115"/>
      <c r="E69" s="122"/>
      <c r="F69" s="119" t="s">
        <v>116</v>
      </c>
      <c r="G69" s="114"/>
      <c r="H69" s="131"/>
      <c r="I69" s="67"/>
      <c r="J69" s="50"/>
      <c r="K69" s="29"/>
      <c r="L69" s="52"/>
      <c r="M69" s="18"/>
      <c r="N69" s="23"/>
      <c r="O69" s="23"/>
    </row>
    <row r="70" spans="2:23" x14ac:dyDescent="0.35">
      <c r="B70" s="118"/>
      <c r="C70" s="124"/>
      <c r="D70" s="115" t="s">
        <v>44</v>
      </c>
      <c r="E70" s="117"/>
      <c r="F70" s="114" t="s">
        <v>113</v>
      </c>
      <c r="G70" s="114"/>
      <c r="H70" s="120">
        <v>2</v>
      </c>
      <c r="I70" s="67" t="s">
        <v>67</v>
      </c>
      <c r="J70" s="50">
        <v>1500000</v>
      </c>
      <c r="K70" s="98">
        <f>J70*H70</f>
        <v>3000000</v>
      </c>
      <c r="L70" s="52"/>
      <c r="M70" s="18"/>
      <c r="N70" s="23"/>
      <c r="O70" s="23"/>
    </row>
    <row r="71" spans="2:23" x14ac:dyDescent="0.35">
      <c r="B71" s="118"/>
      <c r="C71" s="124"/>
      <c r="D71" s="115"/>
      <c r="E71" s="122"/>
      <c r="F71" s="119"/>
      <c r="G71" s="114"/>
      <c r="H71" s="131"/>
      <c r="I71" s="67"/>
      <c r="J71" s="50"/>
      <c r="K71" s="29"/>
      <c r="L71" s="52"/>
      <c r="M71" s="18"/>
      <c r="N71" s="23"/>
      <c r="O71" s="23"/>
    </row>
    <row r="72" spans="2:23" x14ac:dyDescent="0.35">
      <c r="B72" s="8"/>
      <c r="C72" s="9"/>
      <c r="D72" s="10"/>
      <c r="E72" s="4"/>
      <c r="F72" s="4"/>
      <c r="G72" s="4"/>
      <c r="H72" s="1"/>
      <c r="I72" s="1"/>
      <c r="J72" s="11" t="s">
        <v>8</v>
      </c>
      <c r="K72" s="7">
        <f>SUM(K20:K71)</f>
        <v>61620000</v>
      </c>
      <c r="L72" s="7">
        <f>SUM(L20:L71)</f>
        <v>375520</v>
      </c>
      <c r="M72" s="14">
        <f>K72+L72</f>
        <v>61995520</v>
      </c>
      <c r="N72" s="15"/>
      <c r="O72" s="34"/>
      <c r="P72" s="34"/>
      <c r="Q72" s="34"/>
      <c r="R72" s="34"/>
      <c r="S72">
        <v>102.15</v>
      </c>
      <c r="T72" s="34" t="s">
        <v>19</v>
      </c>
      <c r="U72" s="34"/>
      <c r="V72" s="34"/>
      <c r="W72" s="16"/>
    </row>
    <row r="73" spans="2:23" x14ac:dyDescent="0.35">
      <c r="B73" s="8"/>
      <c r="C73" s="9"/>
      <c r="D73" s="9"/>
      <c r="E73" s="4"/>
      <c r="F73" s="4"/>
      <c r="G73" s="4"/>
      <c r="H73" s="1"/>
      <c r="I73" s="1"/>
      <c r="J73" s="11"/>
      <c r="K73" s="35" t="s">
        <v>22</v>
      </c>
      <c r="L73" s="36" t="s">
        <v>23</v>
      </c>
      <c r="M73" s="14"/>
      <c r="N73" s="15"/>
      <c r="O73" s="34"/>
      <c r="P73" s="34"/>
      <c r="Q73" s="34"/>
      <c r="R73" s="34"/>
      <c r="T73" s="34"/>
      <c r="U73" s="34"/>
      <c r="V73" s="34"/>
      <c r="W73" s="16"/>
    </row>
    <row r="74" spans="2:23" x14ac:dyDescent="0.35">
      <c r="B74" s="3" t="s">
        <v>9</v>
      </c>
      <c r="C74" s="4"/>
      <c r="D74" s="4"/>
      <c r="E74" s="4"/>
      <c r="F74" s="4"/>
      <c r="G74" s="4"/>
      <c r="H74" s="1"/>
      <c r="I74" s="1"/>
      <c r="J74" s="12"/>
      <c r="K74" s="12"/>
      <c r="L74" s="13"/>
      <c r="N74" s="15"/>
      <c r="O74" s="34"/>
      <c r="P74" s="34"/>
      <c r="Q74" s="34"/>
      <c r="R74" s="34"/>
      <c r="S74">
        <v>26.04</v>
      </c>
      <c r="T74" s="34" t="s">
        <v>20</v>
      </c>
      <c r="U74" s="34"/>
      <c r="V74" s="34"/>
      <c r="W74" s="16"/>
    </row>
    <row r="75" spans="2:23" x14ac:dyDescent="0.35">
      <c r="B75" s="37"/>
      <c r="C75" s="1"/>
      <c r="D75" s="1"/>
      <c r="E75" s="38"/>
      <c r="F75" s="38"/>
      <c r="G75" s="38"/>
      <c r="H75" s="1"/>
      <c r="I75" s="1"/>
      <c r="J75" s="1"/>
      <c r="K75" s="1"/>
      <c r="L75" s="19"/>
    </row>
    <row r="76" spans="2:23" x14ac:dyDescent="0.35">
      <c r="B76" s="28" t="s">
        <v>6</v>
      </c>
      <c r="C76" s="27"/>
      <c r="D76" s="27"/>
      <c r="E76" s="26"/>
      <c r="F76" s="26"/>
      <c r="G76" s="5"/>
      <c r="K76" s="170" t="s">
        <v>139</v>
      </c>
      <c r="L76" s="171"/>
    </row>
    <row r="77" spans="2:23" x14ac:dyDescent="0.35">
      <c r="B77" s="28">
        <v>1</v>
      </c>
      <c r="C77" s="27"/>
      <c r="D77" s="27"/>
      <c r="E77" s="26" t="s">
        <v>7</v>
      </c>
      <c r="F77" s="26"/>
      <c r="G77" s="5"/>
      <c r="K77" s="170" t="s">
        <v>28</v>
      </c>
      <c r="L77" s="171"/>
    </row>
    <row r="78" spans="2:23" x14ac:dyDescent="0.35">
      <c r="B78" s="39"/>
      <c r="C78" s="27"/>
      <c r="D78" s="27"/>
      <c r="E78" s="26"/>
      <c r="F78" s="26"/>
      <c r="G78" s="5"/>
      <c r="J78" s="25"/>
      <c r="K78" s="25"/>
      <c r="L78" s="24"/>
    </row>
    <row r="79" spans="2:23" x14ac:dyDescent="0.35">
      <c r="B79" s="28"/>
      <c r="C79" s="27"/>
      <c r="D79" s="27"/>
      <c r="E79" s="26"/>
      <c r="F79" s="26"/>
      <c r="G79" s="5"/>
      <c r="L79" s="22"/>
    </row>
    <row r="80" spans="2:23" x14ac:dyDescent="0.35">
      <c r="B80" s="45"/>
      <c r="E80" s="5"/>
      <c r="F80" s="5"/>
      <c r="G80" s="5"/>
      <c r="L80" s="22"/>
    </row>
    <row r="81" spans="2:20" x14ac:dyDescent="0.35">
      <c r="B81" s="45"/>
      <c r="E81" s="5"/>
      <c r="F81" s="5"/>
      <c r="G81" s="5"/>
      <c r="L81" s="22"/>
    </row>
    <row r="82" spans="2:20" x14ac:dyDescent="0.35">
      <c r="B82" s="45"/>
      <c r="E82" s="5"/>
      <c r="F82" s="5"/>
      <c r="G82" s="5"/>
      <c r="L82" s="22"/>
    </row>
    <row r="83" spans="2:20" x14ac:dyDescent="0.35">
      <c r="B83" s="45"/>
      <c r="E83" s="5"/>
      <c r="F83" s="5"/>
      <c r="G83" s="5"/>
      <c r="J83" s="40"/>
      <c r="K83" s="172" t="s">
        <v>36</v>
      </c>
      <c r="L83" s="173"/>
      <c r="M83" s="40"/>
    </row>
    <row r="84" spans="2:20" x14ac:dyDescent="0.35">
      <c r="B84" s="45"/>
      <c r="K84" s="174" t="s">
        <v>37</v>
      </c>
      <c r="L84" s="175"/>
      <c r="M84" s="42"/>
    </row>
    <row r="85" spans="2:20" x14ac:dyDescent="0.35">
      <c r="B85" s="161"/>
      <c r="C85" s="162"/>
      <c r="D85" s="162"/>
      <c r="E85" s="41"/>
      <c r="F85" s="41"/>
      <c r="G85" s="41"/>
      <c r="H85" s="2"/>
      <c r="I85" s="2"/>
      <c r="J85" s="2"/>
      <c r="K85" s="2"/>
      <c r="L85" s="21"/>
    </row>
    <row r="86" spans="2:20" x14ac:dyDescent="0.35">
      <c r="B86" s="47"/>
      <c r="C86" s="48"/>
      <c r="D86" s="49"/>
      <c r="G86" s="22"/>
      <c r="H86" s="1"/>
      <c r="I86" s="1"/>
      <c r="J86" s="43"/>
      <c r="K86" s="30"/>
      <c r="L86" s="44"/>
    </row>
    <row r="87" spans="2:20" x14ac:dyDescent="0.35">
      <c r="B87" s="132"/>
      <c r="C87" s="133"/>
      <c r="D87" s="133"/>
      <c r="E87" s="134" t="s">
        <v>117</v>
      </c>
      <c r="F87" s="135"/>
      <c r="G87" s="135"/>
      <c r="H87" s="136"/>
      <c r="I87" s="137"/>
      <c r="J87" s="52"/>
      <c r="K87" s="52"/>
      <c r="L87" s="46"/>
      <c r="M87" s="18"/>
      <c r="N87" s="169" t="s">
        <v>15</v>
      </c>
      <c r="O87" s="169"/>
    </row>
    <row r="88" spans="2:20" x14ac:dyDescent="0.35">
      <c r="B88" s="132" t="s">
        <v>43</v>
      </c>
      <c r="C88" s="133"/>
      <c r="D88" s="133"/>
      <c r="E88" s="138" t="s">
        <v>10</v>
      </c>
      <c r="F88" s="139"/>
      <c r="G88" s="139"/>
      <c r="H88" s="136"/>
      <c r="I88" s="137"/>
      <c r="J88" s="140"/>
      <c r="K88" s="99"/>
      <c r="L88" s="46"/>
      <c r="N88" s="23" t="s">
        <v>11</v>
      </c>
      <c r="O88" s="23">
        <v>26.98</v>
      </c>
      <c r="P88">
        <f>O88*O89</f>
        <v>242.82</v>
      </c>
      <c r="Q88">
        <f>O88*O89</f>
        <v>242.82</v>
      </c>
    </row>
    <row r="89" spans="2:20" x14ac:dyDescent="0.35">
      <c r="B89" s="141"/>
      <c r="C89" s="142"/>
      <c r="D89" s="143" t="s">
        <v>44</v>
      </c>
      <c r="E89" s="144"/>
      <c r="F89" s="144" t="s">
        <v>118</v>
      </c>
      <c r="G89" s="137"/>
      <c r="H89" s="144">
        <v>1</v>
      </c>
      <c r="I89" s="137" t="s">
        <v>48</v>
      </c>
      <c r="J89" s="50">
        <v>15000000</v>
      </c>
      <c r="K89" s="50">
        <f>J89*H89</f>
        <v>15000000</v>
      </c>
      <c r="L89" s="52"/>
      <c r="N89" s="23" t="s">
        <v>21</v>
      </c>
      <c r="O89" s="23">
        <v>9</v>
      </c>
      <c r="R89" t="e">
        <f>Q88-#REF!</f>
        <v>#REF!</v>
      </c>
      <c r="S89" t="e">
        <f>R89*20%</f>
        <v>#REF!</v>
      </c>
      <c r="T89" t="e">
        <f>R89+S89</f>
        <v>#REF!</v>
      </c>
    </row>
    <row r="90" spans="2:20" x14ac:dyDescent="0.35">
      <c r="B90" s="141"/>
      <c r="C90" s="142"/>
      <c r="D90" s="145" t="s">
        <v>46</v>
      </c>
      <c r="E90" s="144"/>
      <c r="F90" s="144" t="s">
        <v>119</v>
      </c>
      <c r="G90" s="137"/>
      <c r="H90" s="144">
        <v>1</v>
      </c>
      <c r="I90" s="137" t="s">
        <v>48</v>
      </c>
      <c r="J90" s="50">
        <v>4000000</v>
      </c>
      <c r="K90" s="50">
        <f t="shared" ref="K90:K94" si="0">J90*H90</f>
        <v>4000000</v>
      </c>
      <c r="L90" s="52"/>
      <c r="N90" s="23" t="s">
        <v>12</v>
      </c>
      <c r="O90" s="23" t="e">
        <f>#REF!-#REF!</f>
        <v>#REF!</v>
      </c>
      <c r="P90">
        <f>140*50%</f>
        <v>70</v>
      </c>
    </row>
    <row r="91" spans="2:20" x14ac:dyDescent="0.35">
      <c r="B91" s="141"/>
      <c r="C91" s="142"/>
      <c r="D91" s="145" t="s">
        <v>49</v>
      </c>
      <c r="E91" s="144"/>
      <c r="F91" s="144" t="s">
        <v>120</v>
      </c>
      <c r="G91" s="137"/>
      <c r="H91" s="144">
        <v>1</v>
      </c>
      <c r="I91" s="146" t="s">
        <v>48</v>
      </c>
      <c r="J91" s="50">
        <v>5500000</v>
      </c>
      <c r="K91" s="50">
        <f t="shared" si="0"/>
        <v>5500000</v>
      </c>
      <c r="L91" s="52"/>
      <c r="M91" s="18"/>
      <c r="N91" s="23" t="s">
        <v>13</v>
      </c>
      <c r="O91" s="23">
        <f>(O88+O89)*2</f>
        <v>71.960000000000008</v>
      </c>
      <c r="Q91">
        <f>O88-(1.83*4)</f>
        <v>19.66</v>
      </c>
      <c r="R91" t="s">
        <v>19</v>
      </c>
    </row>
    <row r="92" spans="2:20" x14ac:dyDescent="0.35">
      <c r="B92" s="141"/>
      <c r="C92" s="142"/>
      <c r="D92" s="143" t="s">
        <v>73</v>
      </c>
      <c r="E92" s="144"/>
      <c r="F92" s="144" t="s">
        <v>121</v>
      </c>
      <c r="G92" s="137"/>
      <c r="H92" s="144">
        <v>3</v>
      </c>
      <c r="I92" s="137" t="s">
        <v>45</v>
      </c>
      <c r="J92" s="50">
        <v>350000</v>
      </c>
      <c r="K92" s="50">
        <f t="shared" si="0"/>
        <v>1050000</v>
      </c>
      <c r="L92" s="52"/>
      <c r="M92" s="18"/>
      <c r="N92" s="23" t="s">
        <v>14</v>
      </c>
      <c r="O92" s="23">
        <f>(O88-5)*O89</f>
        <v>197.82</v>
      </c>
      <c r="Q92">
        <f>O89-2</f>
        <v>7</v>
      </c>
      <c r="R92" t="s">
        <v>20</v>
      </c>
    </row>
    <row r="93" spans="2:20" x14ac:dyDescent="0.35">
      <c r="B93" s="141"/>
      <c r="C93" s="142"/>
      <c r="D93" s="145" t="s">
        <v>80</v>
      </c>
      <c r="E93" s="144"/>
      <c r="F93" s="144" t="s">
        <v>47</v>
      </c>
      <c r="G93" s="137"/>
      <c r="H93" s="144">
        <v>1</v>
      </c>
      <c r="I93" s="137" t="s">
        <v>48</v>
      </c>
      <c r="J93" s="50">
        <v>850000</v>
      </c>
      <c r="K93" s="50">
        <f t="shared" si="0"/>
        <v>850000</v>
      </c>
      <c r="L93" s="52"/>
      <c r="M93" s="18"/>
      <c r="N93" s="23"/>
      <c r="O93" s="23" t="e">
        <f>#REF!*40%</f>
        <v>#REF!</v>
      </c>
      <c r="P93" t="e">
        <f>#REF!+#REF!</f>
        <v>#REF!</v>
      </c>
      <c r="Q93" t="e">
        <f>#REF!*25%</f>
        <v>#REF!</v>
      </c>
    </row>
    <row r="94" spans="2:20" x14ac:dyDescent="0.35">
      <c r="B94" s="141"/>
      <c r="C94" s="142"/>
      <c r="D94" s="145" t="s">
        <v>82</v>
      </c>
      <c r="E94" s="144"/>
      <c r="F94" s="144" t="s">
        <v>122</v>
      </c>
      <c r="G94" s="137"/>
      <c r="H94" s="144">
        <v>5</v>
      </c>
      <c r="I94" s="137" t="s">
        <v>45</v>
      </c>
      <c r="J94" s="50">
        <v>550000</v>
      </c>
      <c r="K94" s="50">
        <f t="shared" si="0"/>
        <v>2750000</v>
      </c>
      <c r="L94" s="52"/>
      <c r="M94" s="18"/>
      <c r="N94" s="23"/>
      <c r="O94" s="23" t="e">
        <f>#REF!+O93</f>
        <v>#REF!</v>
      </c>
    </row>
    <row r="95" spans="2:20" x14ac:dyDescent="0.35">
      <c r="B95" s="132" t="s">
        <v>50</v>
      </c>
      <c r="C95" s="147"/>
      <c r="D95" s="148"/>
      <c r="E95" s="139" t="s">
        <v>123</v>
      </c>
      <c r="F95" s="144"/>
      <c r="G95" s="137"/>
      <c r="H95" s="136"/>
      <c r="I95" s="144"/>
      <c r="J95" s="149"/>
      <c r="K95" s="150"/>
      <c r="L95" s="52"/>
      <c r="M95" s="18"/>
      <c r="N95" s="23"/>
      <c r="O95" s="23"/>
    </row>
    <row r="96" spans="2:20" x14ac:dyDescent="0.35">
      <c r="B96" s="151"/>
      <c r="C96" s="152"/>
      <c r="D96" s="25" t="s">
        <v>44</v>
      </c>
      <c r="E96" s="153"/>
      <c r="F96" s="18" t="s">
        <v>124</v>
      </c>
      <c r="G96" s="16"/>
      <c r="H96" s="154">
        <v>2</v>
      </c>
      <c r="I96" s="155" t="s">
        <v>59</v>
      </c>
      <c r="J96" s="50">
        <v>9000000</v>
      </c>
      <c r="K96" s="50">
        <f t="shared" ref="K96" si="1">J96*H96</f>
        <v>18000000</v>
      </c>
      <c r="L96" s="52"/>
      <c r="M96" s="18"/>
      <c r="N96" s="23"/>
      <c r="O96" s="23"/>
    </row>
    <row r="97" spans="2:15" x14ac:dyDescent="0.35">
      <c r="B97" s="47"/>
      <c r="C97" s="48"/>
      <c r="D97" s="24"/>
      <c r="G97" s="22"/>
      <c r="I97" s="22"/>
      <c r="J97" s="50"/>
      <c r="K97" s="29"/>
      <c r="L97" s="52"/>
      <c r="M97" s="18"/>
      <c r="N97" s="23"/>
      <c r="O97" s="23"/>
    </row>
    <row r="98" spans="2:15" x14ac:dyDescent="0.35">
      <c r="B98" s="47"/>
      <c r="C98" s="48"/>
      <c r="D98" s="24"/>
      <c r="E98" s="134" t="s">
        <v>125</v>
      </c>
      <c r="F98" s="135"/>
      <c r="G98" s="156"/>
      <c r="I98" s="22"/>
      <c r="J98" s="50"/>
      <c r="K98" s="29"/>
      <c r="L98" s="52"/>
      <c r="M98" s="18"/>
      <c r="N98" s="23">
        <v>1</v>
      </c>
      <c r="O98" s="23" t="s">
        <v>10</v>
      </c>
    </row>
    <row r="99" spans="2:15" x14ac:dyDescent="0.35">
      <c r="B99" s="132" t="s">
        <v>43</v>
      </c>
      <c r="C99" s="133"/>
      <c r="D99" s="133"/>
      <c r="E99" s="138" t="s">
        <v>126</v>
      </c>
      <c r="F99" s="139"/>
      <c r="G99" s="139"/>
      <c r="H99" s="136"/>
      <c r="I99" s="137"/>
      <c r="J99" s="140"/>
      <c r="K99" s="29"/>
      <c r="L99" s="52"/>
      <c r="M99" s="18"/>
      <c r="N99" s="23"/>
      <c r="O99" s="23"/>
    </row>
    <row r="100" spans="2:15" x14ac:dyDescent="0.35">
      <c r="B100" s="47"/>
      <c r="C100" s="48"/>
      <c r="D100" s="24" t="s">
        <v>44</v>
      </c>
      <c r="F100" s="18" t="s">
        <v>127</v>
      </c>
      <c r="G100" s="22"/>
      <c r="I100" s="22"/>
      <c r="J100" s="50"/>
      <c r="K100" s="29"/>
      <c r="L100" s="52"/>
      <c r="M100" s="18"/>
      <c r="N100" s="23"/>
      <c r="O100" s="23"/>
    </row>
    <row r="101" spans="2:15" x14ac:dyDescent="0.35">
      <c r="B101" s="47"/>
      <c r="C101" s="48"/>
      <c r="D101" s="24"/>
      <c r="F101" s="18" t="s">
        <v>55</v>
      </c>
      <c r="G101" s="22" t="s">
        <v>128</v>
      </c>
      <c r="H101" s="18">
        <f>1*2*8*7.85</f>
        <v>125.6</v>
      </c>
      <c r="I101" s="22" t="s">
        <v>129</v>
      </c>
      <c r="J101" s="50">
        <v>35000</v>
      </c>
      <c r="K101" s="29"/>
      <c r="L101" s="52">
        <f>J101*H101</f>
        <v>4396000</v>
      </c>
      <c r="M101" s="18"/>
      <c r="N101" s="23"/>
      <c r="O101" s="23"/>
    </row>
    <row r="102" spans="2:15" x14ac:dyDescent="0.35">
      <c r="B102" s="47"/>
      <c r="C102" s="48"/>
      <c r="D102" s="24"/>
      <c r="F102" s="18" t="s">
        <v>55</v>
      </c>
      <c r="G102" s="22" t="s">
        <v>130</v>
      </c>
      <c r="H102" s="18">
        <f>0.4*1*10*1.2*7.85</f>
        <v>37.68</v>
      </c>
      <c r="I102" s="22" t="s">
        <v>129</v>
      </c>
      <c r="J102" s="50">
        <v>35000</v>
      </c>
      <c r="K102" s="29"/>
      <c r="L102" s="52">
        <f>J102*H102</f>
        <v>1318800</v>
      </c>
      <c r="M102" s="18"/>
      <c r="N102" s="23">
        <v>2</v>
      </c>
      <c r="O102" s="23" t="s">
        <v>16</v>
      </c>
    </row>
    <row r="103" spans="2:15" x14ac:dyDescent="0.35">
      <c r="B103" s="47"/>
      <c r="C103" s="48"/>
      <c r="D103" s="24"/>
      <c r="F103" s="18" t="s">
        <v>55</v>
      </c>
      <c r="G103" s="22" t="s">
        <v>131</v>
      </c>
      <c r="H103" s="18">
        <f>0.2*2*7.85*8</f>
        <v>25.12</v>
      </c>
      <c r="I103" s="22" t="s">
        <v>129</v>
      </c>
      <c r="J103" s="50">
        <v>35000</v>
      </c>
      <c r="K103" s="29"/>
      <c r="L103" s="52">
        <f>J103*H103</f>
        <v>879200</v>
      </c>
      <c r="M103" s="18"/>
      <c r="N103" s="23">
        <v>4</v>
      </c>
      <c r="O103" s="23" t="s">
        <v>17</v>
      </c>
    </row>
    <row r="104" spans="2:15" x14ac:dyDescent="0.35">
      <c r="B104" s="47"/>
      <c r="C104" s="48"/>
      <c r="D104" s="24" t="s">
        <v>46</v>
      </c>
      <c r="F104" s="18" t="s">
        <v>132</v>
      </c>
      <c r="G104" s="22"/>
      <c r="H104" s="18">
        <v>3</v>
      </c>
      <c r="I104" s="22" t="s">
        <v>59</v>
      </c>
      <c r="J104" s="50">
        <v>250000</v>
      </c>
      <c r="K104" s="29"/>
      <c r="L104" s="52">
        <f>J104*H104</f>
        <v>750000</v>
      </c>
      <c r="M104" s="18"/>
      <c r="N104" s="23"/>
      <c r="O104" s="23"/>
    </row>
    <row r="105" spans="2:15" x14ac:dyDescent="0.35">
      <c r="B105" s="47"/>
      <c r="C105" s="48"/>
      <c r="D105" s="24"/>
      <c r="F105" s="18" t="s">
        <v>55</v>
      </c>
      <c r="G105" s="22" t="s">
        <v>133</v>
      </c>
      <c r="I105" s="22"/>
      <c r="J105" s="50"/>
      <c r="K105" s="29"/>
      <c r="L105" s="52"/>
      <c r="M105" s="18"/>
      <c r="N105" s="23"/>
      <c r="O105" s="23"/>
    </row>
    <row r="106" spans="2:15" x14ac:dyDescent="0.35">
      <c r="B106" s="47"/>
      <c r="C106" s="48"/>
      <c r="D106" s="24"/>
      <c r="F106" s="18" t="s">
        <v>55</v>
      </c>
      <c r="G106" s="22" t="s">
        <v>134</v>
      </c>
      <c r="I106" s="22"/>
      <c r="J106" s="50"/>
      <c r="K106" s="29"/>
      <c r="L106" s="52"/>
      <c r="M106" s="18"/>
      <c r="N106" s="23">
        <v>14</v>
      </c>
      <c r="O106" s="23" t="s">
        <v>18</v>
      </c>
    </row>
    <row r="107" spans="2:15" x14ac:dyDescent="0.35">
      <c r="B107" s="132" t="s">
        <v>43</v>
      </c>
      <c r="C107" s="133"/>
      <c r="D107" s="133"/>
      <c r="E107" s="138" t="s">
        <v>126</v>
      </c>
      <c r="F107" s="139"/>
      <c r="G107" s="157"/>
      <c r="I107" s="22"/>
      <c r="J107" s="50"/>
      <c r="K107" s="29"/>
      <c r="L107" s="52"/>
      <c r="M107" s="18"/>
      <c r="N107" s="23">
        <v>15</v>
      </c>
      <c r="O107" s="23" t="s">
        <v>27</v>
      </c>
    </row>
    <row r="108" spans="2:15" x14ac:dyDescent="0.35">
      <c r="B108" s="47"/>
      <c r="C108" s="48"/>
      <c r="D108" s="24" t="s">
        <v>44</v>
      </c>
      <c r="F108" s="18" t="s">
        <v>135</v>
      </c>
      <c r="G108" s="22"/>
      <c r="H108" s="18">
        <v>1</v>
      </c>
      <c r="I108" s="22" t="s">
        <v>48</v>
      </c>
      <c r="J108" s="50">
        <v>10000000</v>
      </c>
      <c r="K108" s="50">
        <f t="shared" ref="K108" si="2">J108*H108</f>
        <v>10000000</v>
      </c>
      <c r="L108" s="52"/>
      <c r="M108" s="18"/>
      <c r="N108" s="23"/>
      <c r="O108" s="23"/>
    </row>
    <row r="109" spans="2:15" x14ac:dyDescent="0.35">
      <c r="B109" s="78"/>
      <c r="C109" s="77"/>
      <c r="D109" s="77"/>
      <c r="E109" s="76"/>
      <c r="F109" s="75"/>
      <c r="G109" s="74"/>
      <c r="H109" s="92"/>
      <c r="I109" s="62"/>
      <c r="J109" s="50"/>
      <c r="K109" s="29"/>
      <c r="L109" s="52"/>
      <c r="M109" s="18"/>
      <c r="N109" s="23"/>
      <c r="O109" s="23"/>
    </row>
    <row r="110" spans="2:15" x14ac:dyDescent="0.35">
      <c r="B110" s="73"/>
      <c r="C110" s="77"/>
      <c r="D110" s="77"/>
      <c r="E110" s="76"/>
      <c r="F110" s="75"/>
      <c r="G110" s="74"/>
      <c r="H110" s="92"/>
      <c r="I110" s="62"/>
      <c r="J110" s="50"/>
      <c r="K110" s="29"/>
      <c r="L110" s="52"/>
      <c r="M110" s="18"/>
      <c r="N110" s="23"/>
      <c r="O110" s="23"/>
    </row>
    <row r="111" spans="2:15" x14ac:dyDescent="0.35">
      <c r="B111" s="78"/>
      <c r="C111" s="77"/>
      <c r="D111" s="77"/>
      <c r="E111" s="76"/>
      <c r="F111" s="75"/>
      <c r="G111" s="74"/>
      <c r="H111" s="61"/>
      <c r="I111" s="60"/>
      <c r="J111" s="50"/>
      <c r="K111" s="29"/>
      <c r="L111" s="52"/>
      <c r="M111" s="18"/>
      <c r="N111" s="23"/>
      <c r="O111" s="23"/>
    </row>
    <row r="112" spans="2:15" x14ac:dyDescent="0.35">
      <c r="B112" s="72"/>
      <c r="C112" s="71"/>
      <c r="D112" s="71"/>
      <c r="E112" s="79"/>
      <c r="F112" s="86"/>
      <c r="G112" s="85"/>
      <c r="H112" s="59"/>
      <c r="I112" s="58"/>
      <c r="J112" s="50"/>
      <c r="K112" s="29"/>
      <c r="L112" s="52"/>
      <c r="M112" s="18"/>
      <c r="N112" s="23"/>
      <c r="O112" s="23"/>
    </row>
    <row r="113" spans="2:15" x14ac:dyDescent="0.35">
      <c r="B113" s="72"/>
      <c r="C113" s="80"/>
      <c r="D113" s="82"/>
      <c r="E113" s="88"/>
      <c r="F113" s="86"/>
      <c r="G113" s="85"/>
      <c r="H113" s="59"/>
      <c r="I113" s="58"/>
      <c r="J113" s="50"/>
      <c r="K113" s="29"/>
      <c r="L113" s="52"/>
      <c r="M113" s="18"/>
      <c r="N113" s="23"/>
      <c r="O113" s="23"/>
    </row>
    <row r="114" spans="2:15" x14ac:dyDescent="0.35">
      <c r="B114" s="84"/>
      <c r="C114" s="83"/>
      <c r="D114" s="70"/>
      <c r="E114" s="69"/>
      <c r="F114" s="68"/>
      <c r="G114" s="67"/>
      <c r="H114" s="66"/>
      <c r="I114" s="67"/>
      <c r="J114" s="50"/>
      <c r="K114" s="98"/>
      <c r="L114" s="52"/>
      <c r="M114" s="18"/>
      <c r="N114" s="23"/>
      <c r="O114" s="23"/>
    </row>
    <row r="115" spans="2:15" x14ac:dyDescent="0.35">
      <c r="B115" s="84"/>
      <c r="C115" s="83"/>
      <c r="D115" s="70"/>
      <c r="E115" s="69"/>
      <c r="F115" s="68"/>
      <c r="G115" s="67"/>
      <c r="H115" s="69"/>
      <c r="I115" s="67"/>
      <c r="J115" s="50"/>
      <c r="K115" s="98"/>
      <c r="L115" s="52"/>
      <c r="M115" s="93"/>
      <c r="N115" s="23"/>
      <c r="O115" s="23"/>
    </row>
    <row r="116" spans="2:15" x14ac:dyDescent="0.35">
      <c r="B116" s="84"/>
      <c r="C116" s="83"/>
      <c r="D116" s="70"/>
      <c r="E116" s="69"/>
      <c r="F116" s="68"/>
      <c r="G116" s="67"/>
      <c r="H116" s="57"/>
      <c r="I116" s="56"/>
      <c r="J116" s="50"/>
      <c r="K116" s="29"/>
      <c r="L116" s="52"/>
      <c r="M116" s="18"/>
      <c r="N116" s="23"/>
      <c r="O116" s="23"/>
    </row>
    <row r="117" spans="2:15" x14ac:dyDescent="0.35">
      <c r="B117" s="81"/>
      <c r="C117" s="80"/>
      <c r="D117" s="65"/>
      <c r="E117" s="64"/>
      <c r="F117" s="88"/>
      <c r="G117" s="85"/>
      <c r="H117" s="55"/>
      <c r="I117" s="58"/>
      <c r="J117" s="50"/>
      <c r="K117" s="29"/>
      <c r="L117" s="52"/>
      <c r="M117" s="18"/>
      <c r="N117" s="23"/>
      <c r="O117" s="23"/>
    </row>
    <row r="118" spans="2:15" x14ac:dyDescent="0.35">
      <c r="B118" s="63"/>
      <c r="C118" s="71"/>
      <c r="D118" s="82"/>
      <c r="E118" s="86"/>
      <c r="F118" s="86"/>
      <c r="G118" s="85"/>
      <c r="H118" s="59"/>
      <c r="I118" s="54"/>
      <c r="J118" s="50"/>
      <c r="K118" s="29"/>
      <c r="L118" s="52"/>
      <c r="M118" s="18"/>
      <c r="N118" s="23"/>
      <c r="O118" s="23"/>
    </row>
    <row r="119" spans="2:15" x14ac:dyDescent="0.35">
      <c r="B119" s="63"/>
      <c r="C119" s="71"/>
      <c r="D119" s="82"/>
      <c r="E119" s="71"/>
      <c r="F119" s="86"/>
      <c r="G119" s="85"/>
      <c r="H119" s="86"/>
      <c r="I119" s="74"/>
      <c r="J119" s="50"/>
      <c r="K119" s="98"/>
      <c r="L119" s="52"/>
      <c r="M119" s="18"/>
      <c r="N119" s="23"/>
      <c r="O119" s="23"/>
    </row>
    <row r="120" spans="2:15" x14ac:dyDescent="0.35">
      <c r="B120" s="63"/>
      <c r="C120" s="71"/>
      <c r="D120" s="82"/>
      <c r="E120" s="86"/>
      <c r="F120" s="86"/>
      <c r="G120" s="85"/>
      <c r="H120" s="86"/>
      <c r="I120" s="74"/>
      <c r="J120" s="50"/>
      <c r="K120" s="98"/>
      <c r="L120" s="52"/>
      <c r="M120" s="18"/>
      <c r="N120" s="23"/>
      <c r="O120" s="23"/>
    </row>
    <row r="121" spans="2:15" x14ac:dyDescent="0.35">
      <c r="B121" s="63"/>
      <c r="C121" s="71"/>
      <c r="D121" s="82"/>
      <c r="E121" s="71"/>
      <c r="F121" s="86"/>
      <c r="G121" s="85"/>
      <c r="H121" s="86"/>
      <c r="I121" s="74"/>
      <c r="J121" s="50"/>
      <c r="K121" s="98"/>
      <c r="L121" s="52"/>
      <c r="M121" s="18"/>
      <c r="N121" s="23"/>
      <c r="O121" s="23"/>
    </row>
    <row r="122" spans="2:15" x14ac:dyDescent="0.35">
      <c r="B122" s="63"/>
      <c r="C122" s="71"/>
      <c r="D122" s="70"/>
      <c r="E122" s="69"/>
      <c r="F122" s="68"/>
      <c r="G122" s="67"/>
      <c r="H122" s="66"/>
      <c r="I122" s="74"/>
      <c r="J122" s="50"/>
      <c r="K122" s="98"/>
      <c r="L122" s="52"/>
      <c r="M122" s="18"/>
      <c r="N122" s="23"/>
      <c r="O122" s="23"/>
    </row>
    <row r="123" spans="2:15" x14ac:dyDescent="0.35">
      <c r="B123" s="91"/>
      <c r="C123" s="90"/>
      <c r="D123" s="70"/>
      <c r="E123" s="126"/>
      <c r="F123" s="68"/>
      <c r="G123" s="67"/>
      <c r="H123" s="125"/>
      <c r="I123" s="67"/>
      <c r="J123" s="50"/>
      <c r="K123" s="29"/>
      <c r="L123" s="52"/>
      <c r="M123" s="18"/>
      <c r="N123" s="23"/>
      <c r="O123" s="23"/>
    </row>
    <row r="124" spans="2:15" x14ac:dyDescent="0.35">
      <c r="B124" s="84"/>
      <c r="C124" s="83"/>
      <c r="D124" s="70"/>
      <c r="E124" s="69"/>
      <c r="F124" s="68"/>
      <c r="G124" s="67"/>
      <c r="H124" s="69"/>
      <c r="I124" s="67"/>
      <c r="J124" s="50"/>
      <c r="K124" s="98"/>
      <c r="L124" s="52"/>
      <c r="M124" s="18"/>
      <c r="N124" s="23"/>
      <c r="O124" s="23"/>
    </row>
    <row r="125" spans="2:15" x14ac:dyDescent="0.35">
      <c r="B125" s="91"/>
      <c r="C125" s="124"/>
      <c r="D125" s="123"/>
      <c r="E125" s="122"/>
      <c r="F125" s="114"/>
      <c r="G125" s="121"/>
      <c r="H125" s="128"/>
      <c r="I125" s="127"/>
      <c r="J125" s="50"/>
      <c r="K125" s="29"/>
      <c r="L125" s="52"/>
      <c r="M125" s="18"/>
      <c r="N125" s="23"/>
      <c r="O125" s="23"/>
    </row>
    <row r="126" spans="2:15" x14ac:dyDescent="0.35">
      <c r="B126" s="84"/>
      <c r="C126" s="83"/>
      <c r="D126" s="123"/>
      <c r="E126" s="86"/>
      <c r="F126" s="86"/>
      <c r="G126" s="121"/>
      <c r="H126" s="120"/>
      <c r="I126" s="86"/>
      <c r="J126" s="50"/>
      <c r="K126" s="98"/>
      <c r="L126" s="52"/>
      <c r="M126" s="18"/>
      <c r="N126" s="23"/>
      <c r="O126" s="23"/>
    </row>
    <row r="127" spans="2:15" x14ac:dyDescent="0.35">
      <c r="B127" s="91"/>
      <c r="C127" s="124"/>
      <c r="D127" s="123"/>
      <c r="E127" s="122"/>
      <c r="F127" s="119"/>
      <c r="G127" s="114"/>
      <c r="H127" s="120"/>
      <c r="I127" s="130"/>
      <c r="J127" s="50"/>
      <c r="K127" s="98"/>
      <c r="L127" s="52"/>
      <c r="M127" s="18"/>
      <c r="N127" s="23"/>
      <c r="O127" s="23"/>
    </row>
    <row r="128" spans="2:15" x14ac:dyDescent="0.35">
      <c r="B128" s="118"/>
      <c r="C128" s="124"/>
      <c r="D128" s="123"/>
      <c r="E128" s="117"/>
      <c r="F128" s="114"/>
      <c r="G128" s="114"/>
      <c r="H128" s="120"/>
      <c r="I128" s="67"/>
      <c r="J128" s="50"/>
      <c r="K128" s="98"/>
      <c r="L128" s="52"/>
      <c r="M128" s="18"/>
      <c r="N128" s="23"/>
      <c r="O128" s="23"/>
    </row>
    <row r="129" spans="2:23" x14ac:dyDescent="0.35">
      <c r="B129" s="118"/>
      <c r="C129" s="124"/>
      <c r="D129" s="123"/>
      <c r="E129" s="122"/>
      <c r="F129" s="119"/>
      <c r="G129" s="114"/>
      <c r="H129" s="120"/>
      <c r="I129" s="67"/>
      <c r="J129" s="50"/>
      <c r="K129" s="29"/>
      <c r="L129" s="52"/>
      <c r="M129" s="18"/>
      <c r="N129" s="23"/>
      <c r="O129" s="23"/>
    </row>
    <row r="130" spans="2:23" x14ac:dyDescent="0.35">
      <c r="B130" s="118"/>
      <c r="C130" s="83"/>
      <c r="D130" s="123"/>
      <c r="E130" s="122"/>
      <c r="F130" s="68"/>
      <c r="G130" s="114"/>
      <c r="H130" s="120"/>
      <c r="I130" s="67"/>
      <c r="J130" s="50"/>
      <c r="K130" s="98"/>
      <c r="L130" s="52"/>
      <c r="M130" s="18"/>
      <c r="N130" s="23"/>
      <c r="O130" s="23"/>
    </row>
    <row r="131" spans="2:23" x14ac:dyDescent="0.35">
      <c r="B131" s="118"/>
      <c r="C131" s="124"/>
      <c r="D131" s="116"/>
      <c r="E131" s="122"/>
      <c r="F131" s="119"/>
      <c r="G131" s="114"/>
      <c r="H131" s="120"/>
      <c r="I131" s="67"/>
      <c r="J131" s="50"/>
      <c r="K131" s="29"/>
      <c r="L131" s="52"/>
      <c r="M131" s="18"/>
      <c r="N131" s="23"/>
      <c r="O131" s="23"/>
    </row>
    <row r="132" spans="2:23" x14ac:dyDescent="0.35">
      <c r="B132" s="118"/>
      <c r="C132" s="124"/>
      <c r="D132" s="124"/>
      <c r="E132" s="122"/>
      <c r="F132" s="114"/>
      <c r="G132" s="114"/>
      <c r="H132" s="120"/>
      <c r="I132" s="67"/>
      <c r="J132" s="50"/>
      <c r="K132" s="98"/>
      <c r="L132" s="52"/>
      <c r="M132" s="18"/>
      <c r="N132" s="23"/>
      <c r="O132" s="23"/>
    </row>
    <row r="133" spans="2:23" x14ac:dyDescent="0.35">
      <c r="B133" s="118"/>
      <c r="C133" s="124"/>
      <c r="D133" s="115"/>
      <c r="E133" s="122"/>
      <c r="F133" s="119"/>
      <c r="G133" s="114"/>
      <c r="H133" s="131"/>
      <c r="I133" s="67"/>
      <c r="J133" s="50"/>
      <c r="K133" s="29"/>
      <c r="L133" s="52"/>
      <c r="M133" s="18"/>
      <c r="N133" s="23"/>
      <c r="O133" s="23"/>
    </row>
    <row r="134" spans="2:23" x14ac:dyDescent="0.35">
      <c r="B134" s="118"/>
      <c r="C134" s="124"/>
      <c r="D134" s="115"/>
      <c r="E134" s="117"/>
      <c r="F134" s="114"/>
      <c r="G134" s="114"/>
      <c r="H134" s="120"/>
      <c r="I134" s="67"/>
      <c r="J134" s="50"/>
      <c r="K134" s="98"/>
      <c r="L134" s="52"/>
      <c r="M134" s="18"/>
      <c r="N134" s="23"/>
      <c r="O134" s="23"/>
    </row>
    <row r="135" spans="2:23" x14ac:dyDescent="0.35">
      <c r="B135" s="118"/>
      <c r="C135" s="124"/>
      <c r="D135" s="115"/>
      <c r="E135" s="122"/>
      <c r="F135" s="119"/>
      <c r="G135" s="114"/>
      <c r="H135" s="131"/>
      <c r="I135" s="67"/>
      <c r="J135" s="50"/>
      <c r="K135" s="29"/>
      <c r="L135" s="52"/>
      <c r="M135" s="18"/>
      <c r="N135" s="23"/>
      <c r="O135" s="23"/>
    </row>
    <row r="136" spans="2:23" x14ac:dyDescent="0.35">
      <c r="B136" s="8"/>
      <c r="C136" s="9"/>
      <c r="D136" s="10"/>
      <c r="E136" s="4"/>
      <c r="F136" s="4"/>
      <c r="G136" s="4"/>
      <c r="H136" s="1"/>
      <c r="I136" s="1"/>
      <c r="J136" s="11" t="s">
        <v>8</v>
      </c>
      <c r="K136" s="7">
        <f>SUM(K86:K135)</f>
        <v>57150000</v>
      </c>
      <c r="L136" s="7">
        <f>SUM(L86:L135)</f>
        <v>7344000</v>
      </c>
      <c r="M136" s="14">
        <f>K136+L136</f>
        <v>64494000</v>
      </c>
      <c r="N136" s="15"/>
      <c r="O136" s="34"/>
      <c r="P136" s="34"/>
      <c r="Q136" s="34"/>
      <c r="R136" s="34"/>
      <c r="S136">
        <v>102.15</v>
      </c>
      <c r="T136" s="34" t="s">
        <v>19</v>
      </c>
      <c r="U136" s="34"/>
      <c r="V136" s="34"/>
      <c r="W136" s="16"/>
    </row>
    <row r="137" spans="2:23" x14ac:dyDescent="0.35">
      <c r="B137" s="8"/>
      <c r="C137" s="9"/>
      <c r="D137" s="9"/>
      <c r="E137" s="4"/>
      <c r="F137" s="4"/>
      <c r="G137" s="4"/>
      <c r="H137" s="1"/>
      <c r="I137" s="1"/>
      <c r="J137" s="11" t="s">
        <v>136</v>
      </c>
      <c r="K137" s="158">
        <f>SUM(K136,K72)</f>
        <v>118770000</v>
      </c>
      <c r="L137" s="158">
        <f>SUM(L136,L72)</f>
        <v>7719520</v>
      </c>
      <c r="M137" s="14"/>
      <c r="N137" s="15"/>
      <c r="O137" s="34"/>
      <c r="P137" s="34"/>
      <c r="Q137" s="34"/>
      <c r="R137" s="34"/>
      <c r="T137" s="34"/>
      <c r="U137" s="34"/>
      <c r="V137" s="34"/>
      <c r="W137" s="16"/>
    </row>
    <row r="138" spans="2:23" x14ac:dyDescent="0.35">
      <c r="B138" s="8"/>
      <c r="C138" s="9"/>
      <c r="D138" s="9"/>
      <c r="E138" s="4"/>
      <c r="F138" s="4"/>
      <c r="G138" s="4"/>
      <c r="H138" s="4"/>
      <c r="I138" s="4"/>
      <c r="J138" s="11" t="s">
        <v>137</v>
      </c>
      <c r="K138" s="158">
        <v>76489520</v>
      </c>
      <c r="L138" s="158">
        <v>0</v>
      </c>
      <c r="M138" s="14"/>
      <c r="N138" s="15"/>
      <c r="O138" s="34"/>
      <c r="P138" s="34"/>
      <c r="Q138" s="34"/>
      <c r="R138" s="34"/>
      <c r="T138" s="34"/>
      <c r="U138" s="34"/>
      <c r="V138" s="34"/>
      <c r="W138" s="16"/>
    </row>
    <row r="139" spans="2:23" x14ac:dyDescent="0.35">
      <c r="B139" s="8"/>
      <c r="C139" s="9"/>
      <c r="D139" s="9"/>
      <c r="E139" s="4"/>
      <c r="F139" s="4"/>
      <c r="G139" s="4"/>
      <c r="H139" s="4"/>
      <c r="I139" s="4"/>
      <c r="J139" s="11" t="s">
        <v>138</v>
      </c>
      <c r="K139" s="158">
        <f>K137-K138</f>
        <v>42280480</v>
      </c>
      <c r="L139" s="158">
        <f>L137-L138</f>
        <v>7719520</v>
      </c>
      <c r="M139" s="14">
        <f>SUM(K139:L139)</f>
        <v>50000000</v>
      </c>
      <c r="N139" s="15"/>
      <c r="O139" s="34"/>
      <c r="P139" s="34"/>
      <c r="Q139" s="34"/>
      <c r="R139" s="34"/>
      <c r="T139" s="34"/>
      <c r="U139" s="34"/>
      <c r="V139" s="34"/>
      <c r="W139" s="16"/>
    </row>
    <row r="140" spans="2:23" x14ac:dyDescent="0.35">
      <c r="B140" s="8"/>
      <c r="C140" s="9"/>
      <c r="D140" s="9"/>
      <c r="E140" s="4"/>
      <c r="F140" s="4"/>
      <c r="G140" s="4"/>
      <c r="H140" s="4"/>
      <c r="I140" s="4"/>
      <c r="J140" s="159"/>
      <c r="K140" s="13" t="s">
        <v>22</v>
      </c>
      <c r="L140" s="160" t="s">
        <v>23</v>
      </c>
      <c r="M140" s="14"/>
      <c r="N140" s="34"/>
      <c r="O140" s="34"/>
      <c r="P140" s="34"/>
      <c r="Q140" s="34"/>
      <c r="R140" s="34"/>
      <c r="T140" s="34"/>
      <c r="U140" s="34"/>
      <c r="V140" s="34"/>
      <c r="W140" s="34"/>
    </row>
    <row r="141" spans="2:23" x14ac:dyDescent="0.35">
      <c r="B141" s="3" t="s">
        <v>9</v>
      </c>
      <c r="C141" s="4"/>
      <c r="D141" s="4"/>
      <c r="E141" s="4"/>
      <c r="F141" s="4"/>
      <c r="G141" s="4"/>
      <c r="H141" s="1"/>
      <c r="I141" s="1"/>
      <c r="J141" s="12"/>
      <c r="K141" s="12"/>
      <c r="L141" s="13"/>
      <c r="N141" s="15"/>
      <c r="O141" s="34"/>
      <c r="P141" s="34"/>
      <c r="Q141" s="34"/>
      <c r="R141" s="34"/>
      <c r="S141">
        <v>26.04</v>
      </c>
      <c r="T141" s="34" t="s">
        <v>20</v>
      </c>
      <c r="U141" s="34"/>
      <c r="V141" s="34"/>
      <c r="W141" s="16"/>
    </row>
    <row r="142" spans="2:23" x14ac:dyDescent="0.35">
      <c r="B142" s="37"/>
      <c r="C142" s="1"/>
      <c r="D142" s="1"/>
      <c r="E142" s="38"/>
      <c r="F142" s="38"/>
      <c r="G142" s="38"/>
      <c r="H142" s="1"/>
      <c r="I142" s="1"/>
      <c r="J142" s="1"/>
      <c r="K142" s="1"/>
      <c r="L142" s="19"/>
    </row>
    <row r="143" spans="2:23" x14ac:dyDescent="0.35">
      <c r="B143" s="28" t="s">
        <v>6</v>
      </c>
      <c r="C143" s="27"/>
      <c r="D143" s="27"/>
      <c r="E143" s="26"/>
      <c r="F143" s="26"/>
      <c r="G143" s="5"/>
      <c r="K143" s="170" t="s">
        <v>139</v>
      </c>
      <c r="L143" s="171"/>
    </row>
    <row r="144" spans="2:23" x14ac:dyDescent="0.35">
      <c r="B144" s="28">
        <v>1</v>
      </c>
      <c r="C144" s="27"/>
      <c r="D144" s="27"/>
      <c r="E144" s="26" t="s">
        <v>7</v>
      </c>
      <c r="F144" s="26"/>
      <c r="G144" s="5"/>
      <c r="K144" s="170" t="s">
        <v>28</v>
      </c>
      <c r="L144" s="171"/>
    </row>
    <row r="145" spans="2:13" x14ac:dyDescent="0.35">
      <c r="B145" s="39"/>
      <c r="C145" s="27"/>
      <c r="D145" s="27"/>
      <c r="E145" s="26"/>
      <c r="F145" s="26"/>
      <c r="G145" s="5"/>
      <c r="J145" s="25"/>
      <c r="K145" s="25"/>
      <c r="L145" s="24"/>
    </row>
    <row r="146" spans="2:13" x14ac:dyDescent="0.35">
      <c r="B146" s="28"/>
      <c r="C146" s="27"/>
      <c r="D146" s="27"/>
      <c r="E146" s="26"/>
      <c r="F146" s="26"/>
      <c r="G146" s="5"/>
      <c r="L146" s="22"/>
    </row>
    <row r="147" spans="2:13" x14ac:dyDescent="0.35">
      <c r="B147" s="45"/>
      <c r="E147" s="5"/>
      <c r="F147" s="5"/>
      <c r="G147" s="5"/>
      <c r="L147" s="22"/>
    </row>
    <row r="148" spans="2:13" x14ac:dyDescent="0.35">
      <c r="B148" s="45"/>
      <c r="E148" s="5"/>
      <c r="F148" s="5"/>
      <c r="G148" s="5"/>
      <c r="L148" s="22"/>
    </row>
    <row r="149" spans="2:13" x14ac:dyDescent="0.35">
      <c r="B149" s="45"/>
      <c r="E149" s="5"/>
      <c r="F149" s="5"/>
      <c r="G149" s="5"/>
      <c r="L149" s="22"/>
    </row>
    <row r="150" spans="2:13" x14ac:dyDescent="0.35">
      <c r="B150" s="45"/>
      <c r="E150" s="5"/>
      <c r="F150" s="5"/>
      <c r="G150" s="5"/>
      <c r="J150" s="40"/>
      <c r="K150" s="172" t="s">
        <v>36</v>
      </c>
      <c r="L150" s="173"/>
      <c r="M150" s="40"/>
    </row>
    <row r="151" spans="2:13" x14ac:dyDescent="0.35">
      <c r="B151" s="45"/>
      <c r="K151" s="174" t="s">
        <v>37</v>
      </c>
      <c r="L151" s="175"/>
      <c r="M151" s="42"/>
    </row>
    <row r="152" spans="2:13" x14ac:dyDescent="0.35">
      <c r="B152" s="161"/>
      <c r="C152" s="162"/>
      <c r="D152" s="162"/>
      <c r="E152" s="41"/>
      <c r="F152" s="41"/>
      <c r="G152" s="41"/>
      <c r="H152" s="2"/>
      <c r="I152" s="2"/>
      <c r="J152" s="2"/>
      <c r="K152" s="2"/>
      <c r="L152" s="21"/>
    </row>
  </sheetData>
  <mergeCells count="19">
    <mergeCell ref="F15:G15"/>
    <mergeCell ref="B18:D19"/>
    <mergeCell ref="E18:G19"/>
    <mergeCell ref="H18:I19"/>
    <mergeCell ref="J18:J19"/>
    <mergeCell ref="B152:D152"/>
    <mergeCell ref="B85:D85"/>
    <mergeCell ref="L18:L19"/>
    <mergeCell ref="N21:O21"/>
    <mergeCell ref="K76:L76"/>
    <mergeCell ref="K77:L77"/>
    <mergeCell ref="K83:L83"/>
    <mergeCell ref="K84:L84"/>
    <mergeCell ref="K18:K19"/>
    <mergeCell ref="N87:O87"/>
    <mergeCell ref="K143:L143"/>
    <mergeCell ref="K144:L144"/>
    <mergeCell ref="K150:L150"/>
    <mergeCell ref="K151:L151"/>
  </mergeCells>
  <printOptions horizontalCentered="1"/>
  <pageMargins left="0.23622047244094491" right="0.23622047244094491" top="0.39370078740157483" bottom="0.39370078740157483" header="0.31496062992125984" footer="0.31496062992125984"/>
  <pageSetup scale="55" fitToHeight="0" orientation="portrait" r:id="rId1"/>
  <headerFooter>
    <oddFooter>&amp;LMKT-FM-002/Rev.01/18 Des 15/&amp;K00B050Green&amp;RPage &amp;P of &amp;N</oddFooter>
  </headerFooter>
  <rowBreaks count="1" manualBreakCount="1">
    <brk id="85" min="1" max="11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Rincian Biaya rev.01</vt:lpstr>
      <vt:lpstr>'Rincian Biaya rev.01'!Print_Area</vt:lpstr>
      <vt:lpstr>'Rincian Biaya rev.01'!Print_Titles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wimba prambada</dc:creator>
  <cp:lastModifiedBy>sigit hartono</cp:lastModifiedBy>
  <cp:lastPrinted>2025-03-18T06:52:31Z</cp:lastPrinted>
  <dcterms:created xsi:type="dcterms:W3CDTF">2015-07-30T04:54:41Z</dcterms:created>
  <dcterms:modified xsi:type="dcterms:W3CDTF">2025-12-23T07:41:06Z</dcterms:modified>
</cp:coreProperties>
</file>