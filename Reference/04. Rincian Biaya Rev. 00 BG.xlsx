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H:\Shared drives\HO-A.1 MANAGEMENT REPRESENTATIF\TUGAS\MARKETING JUAN\"/>
    </mc:Choice>
  </mc:AlternateContent>
  <xr:revisionPtr revIDLastSave="0" documentId="13_ncr:1_{348F63F4-9666-4007-B015-65A3E1A8D30A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Rincian Biaya rev.00" sheetId="42" r:id="rId1"/>
  </sheets>
  <definedNames>
    <definedName name="_xlnm.Print_Area" localSheetId="0">'Rincian Biaya rev.00'!$B$2:$L$153</definedName>
    <definedName name="_xlnm.Print_Titles" localSheetId="0">'Rincian Biaya rev.00'!$2:$19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39" i="42" l="1"/>
  <c r="K139" i="42"/>
  <c r="H56" i="42"/>
  <c r="H55" i="42"/>
  <c r="H53" i="42"/>
  <c r="H51" i="42"/>
  <c r="H49" i="42"/>
  <c r="H32" i="42"/>
  <c r="H31" i="42"/>
  <c r="K73" i="42"/>
  <c r="L73" i="42"/>
  <c r="Q26" i="42"/>
  <c r="O26" i="42"/>
  <c r="Q25" i="42"/>
  <c r="O25" i="42"/>
  <c r="P24" i="42"/>
  <c r="O24" i="42"/>
  <c r="Q22" i="42"/>
  <c r="P22" i="42"/>
  <c r="R23" i="42"/>
  <c r="S23" i="42"/>
  <c r="T23" i="42"/>
  <c r="M73" i="42"/>
  <c r="O27" i="42"/>
  <c r="O28" i="42"/>
  <c r="Q27" i="42"/>
  <c r="P27" i="42"/>
</calcChain>
</file>

<file path=xl/sharedStrings.xml><?xml version="1.0" encoding="utf-8"?>
<sst xmlns="http://schemas.openxmlformats.org/spreadsheetml/2006/main" count="254" uniqueCount="133">
  <si>
    <t>No</t>
  </si>
  <si>
    <t>Item</t>
  </si>
  <si>
    <t>Volume</t>
  </si>
  <si>
    <t>Unit Price</t>
  </si>
  <si>
    <t>Client</t>
  </si>
  <si>
    <t>Contact</t>
  </si>
  <si>
    <t>Note :</t>
  </si>
  <si>
    <t>Cara pembayaran :</t>
  </si>
  <si>
    <t xml:space="preserve">Total   </t>
  </si>
  <si>
    <t>Say   :</t>
  </si>
  <si>
    <t>PELAYANAN UMUM</t>
  </si>
  <si>
    <t>L</t>
  </si>
  <si>
    <t>D</t>
  </si>
  <si>
    <t>Keliling</t>
  </si>
  <si>
    <t>Bottom</t>
  </si>
  <si>
    <t>Luasan Painting</t>
  </si>
  <si>
    <t>PERAWATAN LAMBUNG</t>
  </si>
  <si>
    <t>SISTIM PENGGERAK</t>
  </si>
  <si>
    <t>PERLENGKAPAN DECK</t>
  </si>
  <si>
    <t>Panjang Sideboard</t>
  </si>
  <si>
    <t>Lebar Sideboard</t>
  </si>
  <si>
    <t>B</t>
  </si>
  <si>
    <t>Service</t>
  </si>
  <si>
    <t>Material</t>
  </si>
  <si>
    <t>DETAIL OF DOCKING AND REPAIR COST</t>
  </si>
  <si>
    <t>Rincian Biaya Docking Dan Perbaikan</t>
  </si>
  <si>
    <t>: All</t>
  </si>
  <si>
    <t>AKOMODASI</t>
  </si>
  <si>
    <t>PT. Meranti Nusa Bahari</t>
  </si>
  <si>
    <t>Project Information</t>
  </si>
  <si>
    <t>Name</t>
  </si>
  <si>
    <t>Length</t>
  </si>
  <si>
    <t>Breadth</t>
  </si>
  <si>
    <t>Depth</t>
  </si>
  <si>
    <t>Klass</t>
  </si>
  <si>
    <t>Type</t>
  </si>
  <si>
    <t xml:space="preserve">Grand Total  </t>
  </si>
  <si>
    <t>Aditya Agung H.</t>
  </si>
  <si>
    <t>General Manager</t>
  </si>
  <si>
    <t>: 04/FIN/MKT-MNB/I/2025</t>
  </si>
  <si>
    <t>: -</t>
  </si>
  <si>
    <t>:  54.70 Meter</t>
  </si>
  <si>
    <t>:  15.22 Meter</t>
  </si>
  <si>
    <t>:     3.18 Meter</t>
  </si>
  <si>
    <t>:  BKI</t>
  </si>
  <si>
    <t>I</t>
  </si>
  <si>
    <t>a</t>
  </si>
  <si>
    <t>Docking / Undocking</t>
  </si>
  <si>
    <t>Ls</t>
  </si>
  <si>
    <t>b</t>
  </si>
  <si>
    <t>Asistensi naik/ turun dock, termasuk persiapan ganjal</t>
  </si>
  <si>
    <t>c</t>
  </si>
  <si>
    <t>Asistensi dengan mooring Boat</t>
  </si>
  <si>
    <t>d</t>
  </si>
  <si>
    <t>Sewa dock selama tongkang dalam perbaikan</t>
  </si>
  <si>
    <t>Hari</t>
  </si>
  <si>
    <t>e</t>
  </si>
  <si>
    <t>Fasilitas sandar sesudah docking (sewa sandar)</t>
  </si>
  <si>
    <t>f</t>
  </si>
  <si>
    <t>Disediakan Tempat penyimpanan logistik selama perbaikan</t>
  </si>
  <si>
    <t>g</t>
  </si>
  <si>
    <t>Penggunaan alat angkat (&lt;1 Ton)</t>
  </si>
  <si>
    <t>II</t>
  </si>
  <si>
    <r>
      <t xml:space="preserve">PERAWATAN BADAN KAPAL </t>
    </r>
    <r>
      <rPr>
        <b/>
        <i/>
        <sz val="11"/>
        <color theme="1"/>
        <rFont val="Arial"/>
        <family val="2"/>
      </rPr>
      <t>(Supplai Material by Owner)</t>
    </r>
  </si>
  <si>
    <t>Sekrap Bagian Bawah Air</t>
  </si>
  <si>
    <t>m2</t>
  </si>
  <si>
    <t>Sandblasting Bottom Sampai Waterline (S.A 2.0)</t>
  </si>
  <si>
    <t>Cuci Air Tawar</t>
  </si>
  <si>
    <t>Pengecatan Bagian Bawah Air (1x primer,1x sealer,1 xAF)</t>
  </si>
  <si>
    <t>Pemasangan Zinc Anode</t>
  </si>
  <si>
    <t>bh</t>
  </si>
  <si>
    <t>III</t>
  </si>
  <si>
    <t xml:space="preserve">REPLATING </t>
  </si>
  <si>
    <t>III.1</t>
  </si>
  <si>
    <t>Replating Plate sideboard dan Rumah Winch (Marine Grade A)</t>
  </si>
  <si>
    <t>Plate marine grade A</t>
  </si>
  <si>
    <t>Kg</t>
  </si>
  <si>
    <t>III.2</t>
  </si>
  <si>
    <t>Replating Plate hull, Bottom dan Main deck</t>
  </si>
  <si>
    <t>Plate RINA (IACS Member)</t>
  </si>
  <si>
    <t>Plate Klass BKI</t>
  </si>
  <si>
    <t>IV</t>
  </si>
  <si>
    <t>LAPORAN DAN GAMBAR</t>
  </si>
  <si>
    <t>Dibuatkan laporan pengedockan dan gambar bukaan kulit sesuai posisi replating</t>
  </si>
  <si>
    <t>set</t>
  </si>
  <si>
    <t>JR Rev. 00 Initial Survey Join with OS (10/01/25)</t>
  </si>
  <si>
    <t>PERAWATAN BADAN KAPAL (Supply material by owner)</t>
  </si>
  <si>
    <t>Sandblasting top side (S.A 2.0)</t>
  </si>
  <si>
    <t>Pengecatan top side ( 1x primer, 1x topcoat)</t>
  </si>
  <si>
    <t>REPLATTING</t>
  </si>
  <si>
    <t>Fr 0-2</t>
  </si>
  <si>
    <t>-</t>
  </si>
  <si>
    <t>Lajur F PS | Plate (KI) thickness 10 mm | 4000 X 1830 mm</t>
  </si>
  <si>
    <t>Fr 9/10-19/20</t>
  </si>
  <si>
    <t>Lajur F PS | Plate (KI) thickness 10 mm | 20000 X 1830 mm</t>
  </si>
  <si>
    <t>Fr 27-28</t>
  </si>
  <si>
    <t>Lajur C/D SB | Plate (KI) thickness 10 mm | 900 X 900 mm</t>
  </si>
  <si>
    <t>Fr 27/28-29/30</t>
  </si>
  <si>
    <t>Laju F/G PS | Plate (KI) thickness 10 mm | 4000 X 1830 mm</t>
  </si>
  <si>
    <t>Fender | Plate (KI) thickness 10 mm | 5000 X 400 mm</t>
  </si>
  <si>
    <t>JR Rev. 01 Additional Work Req by OS (21/01/25)</t>
  </si>
  <si>
    <t>I.1</t>
  </si>
  <si>
    <t>SIDE SHELL</t>
  </si>
  <si>
    <t>Fr 12/13-14/15</t>
  </si>
  <si>
    <t>Lajur F SB | Plate (KI) thickness 10 mm | 6100 X 1830 mm</t>
  </si>
  <si>
    <t>Balikpapan, 28 Januari 2025</t>
  </si>
  <si>
    <t>I.2</t>
  </si>
  <si>
    <t>BOTTOM</t>
  </si>
  <si>
    <t>Fr 27/28-28/29</t>
  </si>
  <si>
    <t>Lajur E SB | Plate (KI) thickness 10 mm | 800 X 300 mm</t>
  </si>
  <si>
    <t>Fr 28/29-FP</t>
  </si>
  <si>
    <t>Lajur D SB | Plate (KI) thickness 10 mm | 1000 X 750 mm</t>
  </si>
  <si>
    <t>Rekondisi manhole tank no 1 PS</t>
  </si>
  <si>
    <t>|B/N SS size. 3/4" X 2"</t>
  </si>
  <si>
    <t>Pcs</t>
  </si>
  <si>
    <t>Rekondisi manhole tank no 3 PS</t>
  </si>
  <si>
    <t>Rekondisi manhole tank no 4 PS</t>
  </si>
  <si>
    <t>Rekondisi manhole tank no 5 PS</t>
  </si>
  <si>
    <t>Rekondisi manhole tank no 6 PS</t>
  </si>
  <si>
    <t>Rekondisi manhole tank no 7 PS</t>
  </si>
  <si>
    <t>Rekondisi manhole tank no 1 SB</t>
  </si>
  <si>
    <t>h</t>
  </si>
  <si>
    <t>Rekondisi manhole tank no 2 SB</t>
  </si>
  <si>
    <t>i</t>
  </si>
  <si>
    <t>Rekondisi manhole tank no 3 SB</t>
  </si>
  <si>
    <t>j</t>
  </si>
  <si>
    <t>Rekondisi manhole tank no 4 SB</t>
  </si>
  <si>
    <t>k</t>
  </si>
  <si>
    <t>Rekondisi manhole tank no 5 SB</t>
  </si>
  <si>
    <t>l</t>
  </si>
  <si>
    <t>Rekondisi manhole tank no 6 SB</t>
  </si>
  <si>
    <t>m</t>
  </si>
  <si>
    <t>Rekondisi manhole tank no 7 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</si>
</sst>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IDR&quot;* #,##0_-;\-&quot;IDR&quot;* #,##0_-;_-&quot;IDR&quot;* &quot;-&quot;_-;_-@_-"/>
    <numFmt numFmtId="165" formatCode="_([$IDR]\ * #,##0_);_([$IDR]\ * \(#,##0\);_([$IDR]\ * &quot;-&quot;??_);_(@_)"/>
  </numFmts>
  <fonts count="1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rgb="FF222222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u/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b/>
      <u/>
      <sz val="11"/>
      <color theme="1"/>
      <name val="Arial"/>
      <family val="2"/>
    </font>
    <font>
      <b/>
      <sz val="11"/>
      <color rgb="FF000000"/>
      <name val="Arial"/>
      <family val="2"/>
    </font>
    <font>
      <b/>
      <i/>
      <sz val="11"/>
      <color theme="1"/>
      <name val="Arial"/>
      <family val="2"/>
    </font>
    <font>
      <b/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rgb="FF000000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</borders>
  <cellStyleXfs count="127">
    <xf numFmtId="0" fontId="0" fillId="0" borderId="0"/>
    <xf numFmtId="164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47">
    <xf numFmtId="0" fontId="0" fillId="0" borderId="0" xfId="0"/>
    <xf numFmtId="0" fontId="2" fillId="2" borderId="3" xfId="0" applyFont="1" applyFill="1" applyBorder="1"/>
    <xf numFmtId="0" fontId="2" fillId="2" borderId="8" xfId="0" applyFont="1" applyFill="1" applyBorder="1"/>
    <xf numFmtId="0" fontId="2" fillId="2" borderId="13" xfId="0" applyFont="1" applyFill="1" applyBorder="1"/>
    <xf numFmtId="0" fontId="2" fillId="2" borderId="14" xfId="0" applyFont="1" applyFill="1" applyBorder="1"/>
    <xf numFmtId="0" fontId="3" fillId="2" borderId="0" xfId="0" applyFont="1" applyFill="1"/>
    <xf numFmtId="0" fontId="6" fillId="0" borderId="0" xfId="0" applyFont="1"/>
    <xf numFmtId="164" fontId="2" fillId="2" borderId="1" xfId="1" applyFont="1" applyFill="1" applyBorder="1"/>
    <xf numFmtId="0" fontId="8" fillId="2" borderId="13" xfId="0" quotePrefix="1" applyFont="1" applyFill="1" applyBorder="1" applyAlignment="1">
      <alignment horizontal="left" vertical="center"/>
    </xf>
    <xf numFmtId="0" fontId="8" fillId="2" borderId="14" xfId="0" quotePrefix="1" applyFont="1" applyFill="1" applyBorder="1" applyAlignment="1">
      <alignment horizontal="center" vertical="center"/>
    </xf>
    <xf numFmtId="0" fontId="8" fillId="2" borderId="15" xfId="0" quotePrefix="1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right"/>
    </xf>
    <xf numFmtId="0" fontId="2" fillId="2" borderId="15" xfId="0" applyFont="1" applyFill="1" applyBorder="1"/>
    <xf numFmtId="0" fontId="3" fillId="2" borderId="1" xfId="0" applyFont="1" applyFill="1" applyBorder="1" applyAlignment="1">
      <alignment horizontal="center"/>
    </xf>
    <xf numFmtId="164" fontId="0" fillId="0" borderId="0" xfId="0" applyNumberFormat="1"/>
    <xf numFmtId="0" fontId="0" fillId="2" borderId="5" xfId="0" applyFill="1" applyBorder="1"/>
    <xf numFmtId="0" fontId="0" fillId="2" borderId="6" xfId="0" applyFill="1" applyBorder="1"/>
    <xf numFmtId="0" fontId="11" fillId="2" borderId="0" xfId="0" applyFont="1" applyFill="1"/>
    <xf numFmtId="0" fontId="2" fillId="2" borderId="0" xfId="0" applyFont="1" applyFill="1"/>
    <xf numFmtId="0" fontId="2" fillId="2" borderId="4" xfId="0" applyFont="1" applyFill="1" applyBorder="1"/>
    <xf numFmtId="0" fontId="12" fillId="2" borderId="0" xfId="0" applyFont="1" applyFill="1"/>
    <xf numFmtId="0" fontId="2" fillId="2" borderId="9" xfId="0" applyFont="1" applyFill="1" applyBorder="1"/>
    <xf numFmtId="0" fontId="2" fillId="2" borderId="6" xfId="0" applyFont="1" applyFill="1" applyBorder="1"/>
    <xf numFmtId="0" fontId="0" fillId="0" borderId="1" xfId="0" applyBorder="1"/>
    <xf numFmtId="0" fontId="2" fillId="2" borderId="6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8" fillId="4" borderId="0" xfId="0" applyFont="1" applyFill="1"/>
    <xf numFmtId="0" fontId="8" fillId="4" borderId="0" xfId="0" applyFont="1" applyFill="1" applyAlignment="1">
      <alignment horizontal="center"/>
    </xf>
    <xf numFmtId="0" fontId="8" fillId="4" borderId="5" xfId="0" applyFont="1" applyFill="1" applyBorder="1" applyAlignment="1">
      <alignment horizontal="left"/>
    </xf>
    <xf numFmtId="165" fontId="8" fillId="4" borderId="11" xfId="0" applyNumberFormat="1" applyFont="1" applyFill="1" applyBorder="1" applyAlignment="1">
      <alignment vertical="center"/>
    </xf>
    <xf numFmtId="0" fontId="7" fillId="2" borderId="6" xfId="0" applyFont="1" applyFill="1" applyBorder="1"/>
    <xf numFmtId="0" fontId="11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0" fillId="0" borderId="0" xfId="0" applyAlignment="1">
      <alignment vertical="center"/>
    </xf>
    <xf numFmtId="0" fontId="0" fillId="2" borderId="0" xfId="0" applyFill="1"/>
    <xf numFmtId="0" fontId="3" fillId="2" borderId="15" xfId="0" applyFont="1" applyFill="1" applyBorder="1" applyAlignment="1">
      <alignment horizontal="center"/>
    </xf>
    <xf numFmtId="164" fontId="3" fillId="2" borderId="1" xfId="1" applyFont="1" applyFill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0" fontId="3" fillId="2" borderId="3" xfId="0" applyFont="1" applyFill="1" applyBorder="1"/>
    <xf numFmtId="20" fontId="8" fillId="4" borderId="5" xfId="0" applyNumberFormat="1" applyFont="1" applyFill="1" applyBorder="1" applyAlignment="1">
      <alignment horizontal="left"/>
    </xf>
    <xf numFmtId="0" fontId="9" fillId="2" borderId="0" xfId="0" applyFont="1" applyFill="1"/>
    <xf numFmtId="0" fontId="3" fillId="2" borderId="8" xfId="0" applyFont="1" applyFill="1" applyBorder="1"/>
    <xf numFmtId="0" fontId="2" fillId="2" borderId="0" xfId="0" applyFont="1" applyFill="1" applyAlignment="1">
      <alignment vertical="top"/>
    </xf>
    <xf numFmtId="0" fontId="7" fillId="2" borderId="10" xfId="0" applyFont="1" applyFill="1" applyBorder="1"/>
    <xf numFmtId="0" fontId="7" fillId="2" borderId="11" xfId="0" applyFont="1" applyFill="1" applyBorder="1"/>
    <xf numFmtId="0" fontId="2" fillId="2" borderId="5" xfId="0" applyFont="1" applyFill="1" applyBorder="1" applyAlignment="1">
      <alignment horizontal="left"/>
    </xf>
    <xf numFmtId="164" fontId="2" fillId="2" borderId="11" xfId="1" applyFont="1" applyFill="1" applyBorder="1"/>
    <xf numFmtId="0" fontId="8" fillId="2" borderId="5" xfId="0" quotePrefix="1" applyFont="1" applyFill="1" applyBorder="1" applyAlignment="1">
      <alignment horizontal="left" vertical="center"/>
    </xf>
    <xf numFmtId="0" fontId="8" fillId="2" borderId="0" xfId="0" quotePrefix="1" applyFont="1" applyFill="1" applyAlignment="1">
      <alignment horizontal="center" vertical="center"/>
    </xf>
    <xf numFmtId="165" fontId="8" fillId="3" borderId="11" xfId="0" applyNumberFormat="1" applyFont="1" applyFill="1" applyBorder="1" applyAlignment="1">
      <alignment vertical="center"/>
    </xf>
    <xf numFmtId="165" fontId="8" fillId="4" borderId="0" xfId="0" applyNumberFormat="1" applyFont="1" applyFill="1" applyAlignment="1">
      <alignment vertical="center"/>
    </xf>
    <xf numFmtId="164" fontId="2" fillId="2" borderId="6" xfId="1" applyFont="1" applyFill="1" applyBorder="1"/>
    <xf numFmtId="0" fontId="10" fillId="2" borderId="0" xfId="0" applyFont="1" applyFill="1"/>
    <xf numFmtId="0" fontId="7" fillId="2" borderId="6" xfId="0" applyFont="1" applyFill="1" applyBorder="1" applyAlignment="1">
      <alignment vertical="center"/>
    </xf>
    <xf numFmtId="0" fontId="8" fillId="3" borderId="0" xfId="0" applyFont="1" applyFill="1"/>
    <xf numFmtId="0" fontId="13" fillId="2" borderId="5" xfId="0" quotePrefix="1" applyFont="1" applyFill="1" applyBorder="1" applyAlignment="1">
      <alignment horizontal="left" vertical="center"/>
    </xf>
    <xf numFmtId="0" fontId="13" fillId="2" borderId="0" xfId="0" quotePrefix="1" applyFont="1" applyFill="1" applyAlignment="1">
      <alignment horizontal="center" vertical="center"/>
    </xf>
    <xf numFmtId="0" fontId="13" fillId="2" borderId="6" xfId="0" quotePrefix="1" applyFont="1" applyFill="1" applyBorder="1" applyAlignment="1">
      <alignment horizontal="center" vertical="center"/>
    </xf>
    <xf numFmtId="0" fontId="10" fillId="2" borderId="6" xfId="0" applyFont="1" applyFill="1" applyBorder="1"/>
    <xf numFmtId="164" fontId="2" fillId="2" borderId="15" xfId="1" applyFont="1" applyFill="1" applyBorder="1"/>
    <xf numFmtId="0" fontId="2" fillId="2" borderId="0" xfId="0" applyFont="1" applyFill="1" applyAlignment="1">
      <alignment horizontal="center" vertical="center"/>
    </xf>
    <xf numFmtId="0" fontId="8" fillId="2" borderId="5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left"/>
    </xf>
    <xf numFmtId="0" fontId="8" fillId="3" borderId="0" xfId="0" applyFont="1" applyFill="1" applyAlignment="1">
      <alignment horizontal="center"/>
    </xf>
    <xf numFmtId="0" fontId="10" fillId="2" borderId="5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center" vertical="center"/>
    </xf>
    <xf numFmtId="0" fontId="10" fillId="2" borderId="5" xfId="0" applyFont="1" applyFill="1" applyBorder="1"/>
    <xf numFmtId="0" fontId="2" fillId="2" borderId="5" xfId="0" applyFont="1" applyFill="1" applyBorder="1" applyAlignment="1">
      <alignment horizontal="left" vertical="center"/>
    </xf>
    <xf numFmtId="1" fontId="2" fillId="0" borderId="5" xfId="0" applyNumberFormat="1" applyFont="1" applyBorder="1" applyAlignment="1">
      <alignment vertical="center"/>
    </xf>
    <xf numFmtId="0" fontId="8" fillId="3" borderId="6" xfId="0" applyFont="1" applyFill="1" applyBorder="1" applyAlignment="1">
      <alignment vertical="center"/>
    </xf>
    <xf numFmtId="0" fontId="8" fillId="4" borderId="6" xfId="0" applyFont="1" applyFill="1" applyBorder="1" applyAlignment="1">
      <alignment vertical="center"/>
    </xf>
    <xf numFmtId="0" fontId="13" fillId="3" borderId="5" xfId="0" applyFont="1" applyFill="1" applyBorder="1" applyAlignment="1">
      <alignment horizontal="left"/>
    </xf>
    <xf numFmtId="0" fontId="10" fillId="2" borderId="5" xfId="0" applyFont="1" applyFill="1" applyBorder="1" applyAlignment="1">
      <alignment horizontal="left"/>
    </xf>
    <xf numFmtId="0" fontId="2" fillId="2" borderId="5" xfId="0" applyFont="1" applyFill="1" applyBorder="1"/>
    <xf numFmtId="0" fontId="10" fillId="2" borderId="0" xfId="0" applyFont="1" applyFill="1" applyAlignment="1">
      <alignment horizontal="center"/>
    </xf>
    <xf numFmtId="0" fontId="7" fillId="4" borderId="6" xfId="0" applyFont="1" applyFill="1" applyBorder="1" applyAlignment="1">
      <alignment horizontal="center"/>
    </xf>
    <xf numFmtId="0" fontId="7" fillId="4" borderId="0" xfId="0" applyFont="1" applyFill="1"/>
    <xf numFmtId="0" fontId="7" fillId="4" borderId="0" xfId="0" quotePrefix="1" applyFont="1" applyFill="1"/>
    <xf numFmtId="0" fontId="7" fillId="4" borderId="6" xfId="0" applyFont="1" applyFill="1" applyBorder="1"/>
    <xf numFmtId="2" fontId="8" fillId="3" borderId="5" xfId="0" applyNumberFormat="1" applyFont="1" applyFill="1" applyBorder="1"/>
    <xf numFmtId="0" fontId="8" fillId="3" borderId="6" xfId="0" applyFont="1" applyFill="1" applyBorder="1"/>
    <xf numFmtId="0" fontId="15" fillId="4" borderId="6" xfId="0" applyFont="1" applyFill="1" applyBorder="1" applyAlignment="1">
      <alignment horizontal="center"/>
    </xf>
    <xf numFmtId="0" fontId="15" fillId="4" borderId="0" xfId="0" applyFont="1" applyFill="1"/>
    <xf numFmtId="0" fontId="15" fillId="5" borderId="0" xfId="0" applyFont="1" applyFill="1"/>
    <xf numFmtId="0" fontId="15" fillId="5" borderId="6" xfId="0" applyFont="1" applyFill="1" applyBorder="1"/>
    <xf numFmtId="0" fontId="15" fillId="6" borderId="5" xfId="0" quotePrefix="1" applyFont="1" applyFill="1" applyBorder="1" applyAlignment="1">
      <alignment horizontal="left" vertical="center"/>
    </xf>
    <xf numFmtId="0" fontId="15" fillId="6" borderId="0" xfId="0" quotePrefix="1" applyFont="1" applyFill="1" applyAlignment="1">
      <alignment horizontal="center" vertical="center"/>
    </xf>
    <xf numFmtId="0" fontId="15" fillId="6" borderId="6" xfId="0" applyFont="1" applyFill="1" applyBorder="1" applyAlignment="1">
      <alignment horizontal="center"/>
    </xf>
    <xf numFmtId="0" fontId="15" fillId="6" borderId="0" xfId="0" applyFont="1" applyFill="1"/>
    <xf numFmtId="0" fontId="15" fillId="6" borderId="6" xfId="0" applyFont="1" applyFill="1" applyBorder="1"/>
    <xf numFmtId="0" fontId="15" fillId="3" borderId="5" xfId="0" applyFont="1" applyFill="1" applyBorder="1"/>
    <xf numFmtId="0" fontId="15" fillId="3" borderId="6" xfId="0" applyFont="1" applyFill="1" applyBorder="1" applyAlignment="1">
      <alignment vertical="center"/>
    </xf>
    <xf numFmtId="0" fontId="7" fillId="6" borderId="5" xfId="0" quotePrefix="1" applyFont="1" applyFill="1" applyBorder="1" applyAlignment="1">
      <alignment horizontal="left" vertical="center"/>
    </xf>
    <xf numFmtId="0" fontId="7" fillId="6" borderId="0" xfId="0" quotePrefix="1" applyFont="1" applyFill="1" applyAlignment="1">
      <alignment horizontal="center" vertical="center"/>
    </xf>
    <xf numFmtId="0" fontId="7" fillId="6" borderId="6" xfId="0" applyFont="1" applyFill="1" applyBorder="1" applyAlignment="1">
      <alignment horizontal="center"/>
    </xf>
    <xf numFmtId="0" fontId="7" fillId="6" borderId="0" xfId="0" applyFont="1" applyFill="1"/>
    <xf numFmtId="0" fontId="7" fillId="6" borderId="6" xfId="0" applyFont="1" applyFill="1" applyBorder="1"/>
    <xf numFmtId="0" fontId="7" fillId="3" borderId="5" xfId="0" applyFont="1" applyFill="1" applyBorder="1" applyAlignment="1">
      <alignment horizontal="right"/>
    </xf>
    <xf numFmtId="0" fontId="7" fillId="3" borderId="6" xfId="0" applyFont="1" applyFill="1" applyBorder="1" applyAlignment="1">
      <alignment vertical="center"/>
    </xf>
    <xf numFmtId="0" fontId="7" fillId="6" borderId="5" xfId="0" applyFont="1" applyFill="1" applyBorder="1" applyAlignment="1">
      <alignment horizontal="center"/>
    </xf>
    <xf numFmtId="0" fontId="7" fillId="6" borderId="0" xfId="0" applyFont="1" applyFill="1" applyAlignment="1">
      <alignment horizontal="center"/>
    </xf>
    <xf numFmtId="0" fontId="7" fillId="6" borderId="5" xfId="0" applyFont="1" applyFill="1" applyBorder="1"/>
    <xf numFmtId="0" fontId="15" fillId="6" borderId="5" xfId="0" applyFont="1" applyFill="1" applyBorder="1" applyAlignment="1">
      <alignment horizontal="center"/>
    </xf>
    <xf numFmtId="0" fontId="15" fillId="6" borderId="0" xfId="0" applyFont="1" applyFill="1" applyAlignment="1">
      <alignment horizontal="center"/>
    </xf>
    <xf numFmtId="0" fontId="7" fillId="3" borderId="5" xfId="0" applyFont="1" applyFill="1" applyBorder="1"/>
    <xf numFmtId="2" fontId="7" fillId="3" borderId="5" xfId="0" applyNumberFormat="1" applyFont="1" applyFill="1" applyBorder="1"/>
    <xf numFmtId="0" fontId="7" fillId="6" borderId="6" xfId="0" quotePrefix="1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right"/>
    </xf>
    <xf numFmtId="0" fontId="15" fillId="7" borderId="0" xfId="0" applyFont="1" applyFill="1"/>
    <xf numFmtId="0" fontId="15" fillId="7" borderId="6" xfId="0" applyFont="1" applyFill="1" applyBorder="1"/>
    <xf numFmtId="0" fontId="7" fillId="3" borderId="5" xfId="0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7" fillId="3" borderId="0" xfId="0" applyFont="1" applyFill="1"/>
    <xf numFmtId="0" fontId="7" fillId="3" borderId="6" xfId="0" applyFont="1" applyFill="1" applyBorder="1"/>
    <xf numFmtId="0" fontId="7" fillId="3" borderId="5" xfId="0" applyFont="1" applyFill="1" applyBorder="1" applyAlignment="1">
      <alignment horizontal="left"/>
    </xf>
    <xf numFmtId="0" fontId="7" fillId="3" borderId="0" xfId="0" applyFont="1" applyFill="1" applyAlignment="1">
      <alignment horizontal="center" vertical="center"/>
    </xf>
    <xf numFmtId="0" fontId="7" fillId="3" borderId="5" xfId="0" applyFont="1" applyFill="1" applyBorder="1" applyAlignment="1">
      <alignment vertical="center"/>
    </xf>
    <xf numFmtId="0" fontId="7" fillId="3" borderId="0" xfId="0" applyFont="1" applyFill="1" applyAlignment="1">
      <alignment vertical="center"/>
    </xf>
    <xf numFmtId="0" fontId="7" fillId="6" borderId="6" xfId="0" applyFont="1" applyFill="1" applyBorder="1" applyAlignment="1">
      <alignment vertical="center"/>
    </xf>
    <xf numFmtId="0" fontId="7" fillId="6" borderId="5" xfId="0" applyFont="1" applyFill="1" applyBorder="1" applyAlignment="1">
      <alignment vertical="center"/>
    </xf>
    <xf numFmtId="0" fontId="7" fillId="6" borderId="0" xfId="112" quotePrefix="1" applyFont="1" applyFill="1" applyAlignment="1">
      <alignment horizontal="center" vertical="center"/>
    </xf>
    <xf numFmtId="0" fontId="7" fillId="6" borderId="6" xfId="112" quotePrefix="1" applyFont="1" applyFill="1" applyBorder="1" applyAlignment="1">
      <alignment horizontal="right" vertical="center"/>
    </xf>
    <xf numFmtId="0" fontId="7" fillId="6" borderId="0" xfId="112" applyFont="1" applyFill="1"/>
    <xf numFmtId="0" fontId="7" fillId="6" borderId="6" xfId="112" applyFont="1" applyFill="1" applyBorder="1"/>
    <xf numFmtId="2" fontId="7" fillId="6" borderId="0" xfId="112" applyNumberFormat="1" applyFont="1" applyFill="1"/>
    <xf numFmtId="1" fontId="7" fillId="6" borderId="0" xfId="112" applyNumberFormat="1" applyFont="1" applyFill="1"/>
    <xf numFmtId="0" fontId="2" fillId="2" borderId="0" xfId="0" applyFont="1" applyFill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2" fillId="2" borderId="0" xfId="0" applyFont="1" applyFill="1" applyAlignment="1">
      <alignment horizontal="center" vertical="top"/>
    </xf>
    <xf numFmtId="0" fontId="2" fillId="2" borderId="6" xfId="0" applyFont="1" applyFill="1" applyBorder="1" applyAlignment="1">
      <alignment horizontal="center" vertical="top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2" borderId="10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49" fontId="2" fillId="2" borderId="0" xfId="0" quotePrefix="1" applyNumberFormat="1" applyFont="1" applyFill="1" applyAlignment="1">
      <alignment horizontal="left"/>
    </xf>
  </cellXfs>
  <cellStyles count="127">
    <cellStyle name="Currency [0]" xfId="1" builtinId="7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Normal" xfId="0" builtinId="0"/>
    <cellStyle name="Normal 2" xfId="112" xr:uid="{00000000-0005-0000-0000-000070000000}"/>
    <cellStyle name="Normal 2 2" xfId="116" xr:uid="{00000000-0005-0000-0000-000071000000}"/>
    <cellStyle name="Normal 2 2 2" xfId="123" xr:uid="{00000000-0005-0000-0000-000072000000}"/>
    <cellStyle name="Normal 2 2 3" xfId="121" xr:uid="{00000000-0005-0000-0000-000073000000}"/>
    <cellStyle name="Normal 2 2 7" xfId="119" xr:uid="{00000000-0005-0000-0000-000074000000}"/>
    <cellStyle name="Normal 3" xfId="115" xr:uid="{00000000-0005-0000-0000-000075000000}"/>
    <cellStyle name="Normal 3 2" xfId="125" xr:uid="{00000000-0005-0000-0000-000076000000}"/>
    <cellStyle name="Normal 4 2 2 2" xfId="117" xr:uid="{00000000-0005-0000-0000-000077000000}"/>
    <cellStyle name="Normal 5 2 2" xfId="118" xr:uid="{00000000-0005-0000-0000-000078000000}"/>
    <cellStyle name="Normal 5 3" xfId="124" xr:uid="{00000000-0005-0000-0000-000079000000}"/>
    <cellStyle name="Normal 6" xfId="113" xr:uid="{00000000-0005-0000-0000-00007A000000}"/>
    <cellStyle name="Normal 6 2" xfId="126" xr:uid="{00000000-0005-0000-0000-00007B000000}"/>
    <cellStyle name="Normal 6 3" xfId="120" xr:uid="{00000000-0005-0000-0000-00007C000000}"/>
    <cellStyle name="Normal 7 2" xfId="114" xr:uid="{00000000-0005-0000-0000-00007D000000}"/>
    <cellStyle name="Normal 8" xfId="122" xr:uid="{00000000-0005-0000-0000-00007E000000}"/>
  </cellStyles>
  <dxfs count="6">
    <dxf>
      <font>
        <b/>
        <i val="0"/>
        <strike val="0"/>
        <color rgb="FF000000"/>
      </font>
    </dxf>
    <dxf>
      <font>
        <b/>
        <i val="0"/>
        <strike val="0"/>
        <color rgb="FF000000"/>
      </font>
    </dxf>
    <dxf>
      <font>
        <b/>
        <i val="0"/>
        <strike val="0"/>
        <color rgb="FF000000"/>
      </font>
    </dxf>
    <dxf>
      <font>
        <b/>
        <i val="0"/>
        <strike val="0"/>
        <color rgb="FF000000"/>
      </font>
    </dxf>
    <dxf>
      <font>
        <b/>
        <i val="0"/>
        <strike val="0"/>
        <color rgb="FF000000"/>
      </font>
    </dxf>
    <dxf>
      <font>
        <b/>
        <i val="0"/>
        <strike val="0"/>
        <color rgb="FF000000"/>
      </font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95250</xdr:colOff>
      <xdr:row>1</xdr:row>
      <xdr:rowOff>127000</xdr:rowOff>
    </xdr:from>
    <xdr:to>
      <xdr:col>6</xdr:col>
      <xdr:colOff>2014525</xdr:colOff>
      <xdr:row>6</xdr:row>
      <xdr:rowOff>65526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2075" y="327025"/>
          <a:ext cx="2376475" cy="938651"/>
        </a:xfrm>
        <a:prstGeom prst="rect">
          <a:avLst/>
        </a:prstGeom>
      </xdr:spPr>
    </xdr:pic>
    <xdr:clientData/>
  </xdr:twoCellAnchor>
  <xdr:twoCellAnchor editAs="oneCell">
    <xdr:from>
      <xdr:col>9</xdr:col>
      <xdr:colOff>17779</xdr:colOff>
      <xdr:row>2</xdr:row>
      <xdr:rowOff>153264</xdr:rowOff>
    </xdr:from>
    <xdr:to>
      <xdr:col>11</xdr:col>
      <xdr:colOff>868383</xdr:colOff>
      <xdr:row>7</xdr:row>
      <xdr:rowOff>82224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333104" y="553314"/>
          <a:ext cx="3508079" cy="9195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39997558519241921"/>
  </sheetPr>
  <dimension ref="B7:W153"/>
  <sheetViews>
    <sheetView showGridLines="0" tabSelected="1" view="pageBreakPreview" zoomScale="70" zoomScaleSheetLayoutView="70" workbookViewId="0">
      <selection activeCell="K11" sqref="K11"/>
    </sheetView>
  </sheetViews>
  <sheetFormatPr defaultColWidth="11" defaultRowHeight="15.5" x14ac:dyDescent="0.35"/>
  <cols>
    <col min="2" max="4" width="1.83203125" style="18" customWidth="1"/>
    <col min="5" max="5" width="3.08203125" style="18" customWidth="1"/>
    <col min="6" max="6" width="2.83203125" style="18" customWidth="1"/>
    <col min="7" max="7" width="70.58203125" style="18" customWidth="1"/>
    <col min="8" max="8" width="9.5" style="18" customWidth="1"/>
    <col min="9" max="9" width="6.33203125" style="18" customWidth="1"/>
    <col min="10" max="10" width="16" style="18" customWidth="1"/>
    <col min="11" max="11" width="18.83203125" style="18" customWidth="1"/>
    <col min="12" max="12" width="20.5" style="18" customWidth="1"/>
    <col min="13" max="13" width="18.33203125" customWidth="1"/>
    <col min="14" max="14" width="18.33203125" bestFit="1" customWidth="1"/>
  </cols>
  <sheetData>
    <row r="7" spans="2:13" ht="15" customHeight="1" x14ac:dyDescent="0.35"/>
    <row r="8" spans="2:13" ht="18" x14ac:dyDescent="0.4">
      <c r="B8" s="31" t="s">
        <v>24</v>
      </c>
      <c r="C8" s="17"/>
      <c r="D8" s="17"/>
    </row>
    <row r="9" spans="2:13" x14ac:dyDescent="0.35">
      <c r="B9" s="32" t="s">
        <v>25</v>
      </c>
      <c r="C9" s="5"/>
      <c r="D9" s="5"/>
      <c r="E9" s="5"/>
      <c r="F9" s="5"/>
      <c r="G9" s="5"/>
    </row>
    <row r="10" spans="2:13" x14ac:dyDescent="0.35">
      <c r="H10" s="20"/>
      <c r="I10" s="20"/>
      <c r="J10" s="20" t="s">
        <v>29</v>
      </c>
      <c r="L10" s="20"/>
      <c r="M10" s="18"/>
    </row>
    <row r="11" spans="2:13" x14ac:dyDescent="0.35">
      <c r="B11" s="18" t="s">
        <v>0</v>
      </c>
      <c r="F11" s="18" t="s">
        <v>39</v>
      </c>
      <c r="J11" s="18" t="s">
        <v>30</v>
      </c>
      <c r="M11" s="18"/>
    </row>
    <row r="12" spans="2:13" x14ac:dyDescent="0.35">
      <c r="B12" s="18" t="s">
        <v>35</v>
      </c>
      <c r="F12" s="18" t="s">
        <v>26</v>
      </c>
      <c r="J12" s="18" t="s">
        <v>31</v>
      </c>
      <c r="K12" s="18" t="s">
        <v>41</v>
      </c>
      <c r="M12" s="18"/>
    </row>
    <row r="13" spans="2:13" x14ac:dyDescent="0.35">
      <c r="B13" s="18" t="s">
        <v>4</v>
      </c>
      <c r="F13" s="54"/>
      <c r="J13" s="18" t="s">
        <v>32</v>
      </c>
      <c r="K13" s="18" t="s">
        <v>42</v>
      </c>
      <c r="M13" s="18"/>
    </row>
    <row r="14" spans="2:13" x14ac:dyDescent="0.35">
      <c r="B14" s="18" t="s">
        <v>5</v>
      </c>
      <c r="F14" s="54" t="s">
        <v>40</v>
      </c>
      <c r="J14" s="18" t="s">
        <v>33</v>
      </c>
      <c r="K14" s="18" t="s">
        <v>43</v>
      </c>
      <c r="M14" s="18"/>
    </row>
    <row r="15" spans="2:13" x14ac:dyDescent="0.35">
      <c r="F15" s="146"/>
      <c r="G15" s="146"/>
      <c r="J15" s="18" t="s">
        <v>34</v>
      </c>
      <c r="K15" s="18" t="s">
        <v>44</v>
      </c>
      <c r="M15" s="18"/>
    </row>
    <row r="16" spans="2:13" x14ac:dyDescent="0.35">
      <c r="F16" s="6"/>
    </row>
    <row r="18" spans="2:20" s="33" customFormat="1" ht="15" customHeight="1" x14ac:dyDescent="0.35">
      <c r="B18" s="137" t="s">
        <v>0</v>
      </c>
      <c r="C18" s="138"/>
      <c r="D18" s="139"/>
      <c r="E18" s="137" t="s">
        <v>1</v>
      </c>
      <c r="F18" s="138"/>
      <c r="G18" s="139"/>
      <c r="H18" s="137" t="s">
        <v>2</v>
      </c>
      <c r="I18" s="139"/>
      <c r="J18" s="144" t="s">
        <v>3</v>
      </c>
      <c r="K18" s="144" t="s">
        <v>22</v>
      </c>
      <c r="L18" s="144" t="s">
        <v>23</v>
      </c>
    </row>
    <row r="19" spans="2:20" s="33" customFormat="1" ht="15" customHeight="1" x14ac:dyDescent="0.35">
      <c r="B19" s="140"/>
      <c r="C19" s="141"/>
      <c r="D19" s="142"/>
      <c r="E19" s="140"/>
      <c r="F19" s="141"/>
      <c r="G19" s="142"/>
      <c r="H19" s="140"/>
      <c r="I19" s="142"/>
      <c r="J19" s="145"/>
      <c r="K19" s="145"/>
      <c r="L19" s="145"/>
    </row>
    <row r="20" spans="2:20" x14ac:dyDescent="0.35">
      <c r="B20" s="55" t="s">
        <v>45</v>
      </c>
      <c r="C20" s="56"/>
      <c r="D20" s="57"/>
      <c r="E20" s="52" t="s">
        <v>10</v>
      </c>
      <c r="F20" s="52"/>
      <c r="G20" s="58"/>
      <c r="J20" s="43"/>
      <c r="K20" s="30"/>
      <c r="L20" s="44"/>
    </row>
    <row r="21" spans="2:20" x14ac:dyDescent="0.35">
      <c r="B21" s="61"/>
      <c r="C21" s="62"/>
      <c r="D21" s="25" t="s">
        <v>46</v>
      </c>
      <c r="E21" s="63"/>
      <c r="F21" s="18" t="s">
        <v>47</v>
      </c>
      <c r="G21" s="22"/>
      <c r="H21" s="18">
        <v>1</v>
      </c>
      <c r="I21" s="22" t="s">
        <v>48</v>
      </c>
      <c r="J21" s="29"/>
      <c r="K21" s="50"/>
      <c r="L21" s="46"/>
      <c r="M21" s="18"/>
      <c r="N21" s="143" t="s">
        <v>15</v>
      </c>
      <c r="O21" s="143"/>
    </row>
    <row r="22" spans="2:20" x14ac:dyDescent="0.35">
      <c r="B22" s="61"/>
      <c r="C22" s="62"/>
      <c r="D22" s="25" t="s">
        <v>49</v>
      </c>
      <c r="E22" s="63"/>
      <c r="F22" s="18" t="s">
        <v>50</v>
      </c>
      <c r="G22" s="22"/>
      <c r="H22" s="18">
        <v>1</v>
      </c>
      <c r="I22" s="22" t="s">
        <v>48</v>
      </c>
      <c r="J22" s="49"/>
      <c r="K22" s="50"/>
      <c r="L22" s="46"/>
      <c r="N22" s="23" t="s">
        <v>11</v>
      </c>
      <c r="O22" s="23">
        <v>26.98</v>
      </c>
      <c r="P22">
        <f>O22*O23</f>
        <v>242.82</v>
      </c>
      <c r="Q22">
        <f>O22*O23</f>
        <v>242.82</v>
      </c>
    </row>
    <row r="23" spans="2:20" x14ac:dyDescent="0.35">
      <c r="B23" s="61"/>
      <c r="C23" s="62"/>
      <c r="D23" s="25" t="s">
        <v>51</v>
      </c>
      <c r="E23" s="63"/>
      <c r="F23" s="18" t="s">
        <v>52</v>
      </c>
      <c r="G23" s="22"/>
      <c r="H23" s="18">
        <v>1</v>
      </c>
      <c r="I23" s="30" t="s">
        <v>48</v>
      </c>
      <c r="J23" s="49"/>
      <c r="K23" s="50"/>
      <c r="L23" s="46"/>
      <c r="N23" s="23" t="s">
        <v>21</v>
      </c>
      <c r="O23" s="23">
        <v>9</v>
      </c>
      <c r="R23" t="e">
        <f>Q22-#REF!</f>
        <v>#REF!</v>
      </c>
      <c r="S23" t="e">
        <f>R23*20%</f>
        <v>#REF!</v>
      </c>
      <c r="T23" t="e">
        <f>R23+S23</f>
        <v>#REF!</v>
      </c>
    </row>
    <row r="24" spans="2:20" x14ac:dyDescent="0.35">
      <c r="B24" s="61"/>
      <c r="C24" s="62"/>
      <c r="D24" s="25" t="s">
        <v>53</v>
      </c>
      <c r="E24" s="63"/>
      <c r="F24" s="18" t="s">
        <v>54</v>
      </c>
      <c r="G24" s="22"/>
      <c r="H24" s="18">
        <v>20</v>
      </c>
      <c r="I24" s="53" t="s">
        <v>55</v>
      </c>
      <c r="J24" s="49"/>
      <c r="K24" s="29"/>
      <c r="L24" s="51"/>
      <c r="N24" s="23" t="s">
        <v>12</v>
      </c>
      <c r="O24" s="23" t="e">
        <f>#REF!-#REF!</f>
        <v>#REF!</v>
      </c>
      <c r="P24">
        <f>140*50%</f>
        <v>70</v>
      </c>
    </row>
    <row r="25" spans="2:20" x14ac:dyDescent="0.35">
      <c r="B25" s="61"/>
      <c r="C25" s="62"/>
      <c r="D25" s="25" t="s">
        <v>56</v>
      </c>
      <c r="E25" s="63"/>
      <c r="F25" s="18" t="s">
        <v>57</v>
      </c>
      <c r="G25" s="22"/>
      <c r="H25" s="18">
        <v>2</v>
      </c>
      <c r="I25" s="22" t="s">
        <v>55</v>
      </c>
      <c r="J25" s="49"/>
      <c r="K25" s="29"/>
      <c r="L25" s="51"/>
      <c r="M25" s="18"/>
      <c r="N25" s="23" t="s">
        <v>13</v>
      </c>
      <c r="O25" s="23">
        <f>(O22+O23)*2</f>
        <v>71.960000000000008</v>
      </c>
      <c r="Q25">
        <f>O22-(1.83*4)</f>
        <v>19.66</v>
      </c>
      <c r="R25" t="s">
        <v>19</v>
      </c>
    </row>
    <row r="26" spans="2:20" x14ac:dyDescent="0.35">
      <c r="B26" s="64"/>
      <c r="C26" s="65"/>
      <c r="D26" s="25" t="s">
        <v>58</v>
      </c>
      <c r="E26" s="63"/>
      <c r="F26" s="18" t="s">
        <v>59</v>
      </c>
      <c r="G26" s="22"/>
      <c r="H26" s="18">
        <v>1</v>
      </c>
      <c r="I26" s="22" t="s">
        <v>48</v>
      </c>
      <c r="J26" s="49"/>
      <c r="K26" s="29"/>
      <c r="L26" s="51"/>
      <c r="M26" s="18"/>
      <c r="N26" s="23" t="s">
        <v>14</v>
      </c>
      <c r="O26" s="23">
        <f>(O22-5)*O23</f>
        <v>197.82</v>
      </c>
      <c r="Q26">
        <f>O23-2</f>
        <v>7</v>
      </c>
      <c r="R26" t="s">
        <v>20</v>
      </c>
    </row>
    <row r="27" spans="2:20" x14ac:dyDescent="0.35">
      <c r="B27" s="64"/>
      <c r="C27" s="65"/>
      <c r="D27" s="25" t="s">
        <v>60</v>
      </c>
      <c r="E27" s="63"/>
      <c r="F27" s="18" t="s">
        <v>61</v>
      </c>
      <c r="G27" s="22"/>
      <c r="H27" s="18">
        <v>1</v>
      </c>
      <c r="I27" s="22" t="s">
        <v>48</v>
      </c>
      <c r="J27" s="49"/>
      <c r="K27" s="29"/>
      <c r="L27" s="51"/>
      <c r="M27" s="18"/>
      <c r="N27" s="23"/>
      <c r="O27" s="23" t="e">
        <f>#REF!*40%</f>
        <v>#REF!</v>
      </c>
      <c r="P27" t="e">
        <f>#REF!+#REF!</f>
        <v>#REF!</v>
      </c>
      <c r="Q27" t="e">
        <f>#REF!*25%</f>
        <v>#REF!</v>
      </c>
    </row>
    <row r="28" spans="2:20" x14ac:dyDescent="0.35">
      <c r="B28" s="66" t="s">
        <v>62</v>
      </c>
      <c r="C28" s="67"/>
      <c r="D28" s="67"/>
      <c r="E28" s="68" t="s">
        <v>63</v>
      </c>
      <c r="F28" s="52"/>
      <c r="G28" s="58"/>
      <c r="I28" s="22"/>
      <c r="J28" s="49"/>
      <c r="K28" s="29"/>
      <c r="L28" s="51"/>
      <c r="M28" s="18"/>
      <c r="N28" s="23"/>
      <c r="O28" s="23" t="e">
        <f>#REF!+O27</f>
        <v>#REF!</v>
      </c>
    </row>
    <row r="29" spans="2:20" x14ac:dyDescent="0.35">
      <c r="B29" s="69"/>
      <c r="C29" s="60"/>
      <c r="D29" s="25" t="s">
        <v>46</v>
      </c>
      <c r="E29" s="63"/>
      <c r="F29" s="18" t="s">
        <v>64</v>
      </c>
      <c r="G29" s="22"/>
      <c r="H29" s="70">
        <v>1042</v>
      </c>
      <c r="I29" s="71" t="s">
        <v>65</v>
      </c>
      <c r="J29" s="49"/>
      <c r="K29" s="29"/>
      <c r="L29" s="51"/>
      <c r="M29" s="18"/>
      <c r="N29" s="23"/>
      <c r="O29" s="23"/>
    </row>
    <row r="30" spans="2:20" x14ac:dyDescent="0.35">
      <c r="B30" s="69"/>
      <c r="C30" s="60"/>
      <c r="D30" s="25" t="s">
        <v>49</v>
      </c>
      <c r="E30" s="63"/>
      <c r="F30" s="18" t="s">
        <v>66</v>
      </c>
      <c r="G30" s="22"/>
      <c r="H30" s="18">
        <v>1042</v>
      </c>
      <c r="I30" s="72" t="s">
        <v>65</v>
      </c>
      <c r="J30" s="49"/>
      <c r="K30" s="29"/>
      <c r="L30" s="51"/>
      <c r="M30" s="18"/>
      <c r="N30" s="23"/>
      <c r="O30" s="23"/>
    </row>
    <row r="31" spans="2:20" x14ac:dyDescent="0.35">
      <c r="B31" s="69"/>
      <c r="C31" s="60"/>
      <c r="D31" s="25" t="s">
        <v>51</v>
      </c>
      <c r="E31" s="63"/>
      <c r="F31" s="18" t="s">
        <v>67</v>
      </c>
      <c r="G31" s="22"/>
      <c r="H31" s="18">
        <f>SUM(H30:H30)</f>
        <v>1042</v>
      </c>
      <c r="I31" s="72" t="s">
        <v>65</v>
      </c>
      <c r="J31" s="49"/>
      <c r="K31" s="29"/>
      <c r="L31" s="51"/>
      <c r="M31" s="18"/>
      <c r="N31" s="23"/>
      <c r="O31" s="23"/>
    </row>
    <row r="32" spans="2:20" x14ac:dyDescent="0.35">
      <c r="B32" s="73"/>
      <c r="C32" s="65"/>
      <c r="D32" s="25" t="s">
        <v>53</v>
      </c>
      <c r="E32" s="63"/>
      <c r="F32" s="18" t="s">
        <v>68</v>
      </c>
      <c r="G32" s="22"/>
      <c r="H32" s="18">
        <f>H29</f>
        <v>1042</v>
      </c>
      <c r="I32" s="72" t="s">
        <v>65</v>
      </c>
      <c r="J32" s="49"/>
      <c r="K32" s="29"/>
      <c r="L32" s="51"/>
      <c r="M32" s="18"/>
      <c r="N32" s="23">
        <v>1</v>
      </c>
      <c r="O32" s="23" t="s">
        <v>10</v>
      </c>
    </row>
    <row r="33" spans="2:15" x14ac:dyDescent="0.35">
      <c r="B33" s="74"/>
      <c r="C33" s="25"/>
      <c r="D33" s="25" t="s">
        <v>56</v>
      </c>
      <c r="E33" s="63"/>
      <c r="F33" s="18" t="s">
        <v>69</v>
      </c>
      <c r="G33" s="22"/>
      <c r="H33" s="18">
        <v>40</v>
      </c>
      <c r="I33" s="72" t="s">
        <v>70</v>
      </c>
      <c r="J33" s="49"/>
      <c r="K33" s="29"/>
      <c r="L33" s="51"/>
      <c r="M33" s="18"/>
      <c r="N33" s="23"/>
      <c r="O33" s="23"/>
    </row>
    <row r="34" spans="2:15" x14ac:dyDescent="0.35">
      <c r="B34" s="74" t="s">
        <v>71</v>
      </c>
      <c r="C34" s="25"/>
      <c r="D34" s="25"/>
      <c r="E34" s="74" t="s">
        <v>72</v>
      </c>
      <c r="G34" s="22"/>
      <c r="I34" s="71"/>
      <c r="J34" s="49"/>
      <c r="K34" s="29"/>
      <c r="L34" s="51"/>
      <c r="M34" s="18"/>
      <c r="N34" s="23"/>
      <c r="O34" s="23"/>
    </row>
    <row r="35" spans="2:15" x14ac:dyDescent="0.35">
      <c r="B35" s="74"/>
      <c r="C35" s="25" t="s">
        <v>73</v>
      </c>
      <c r="D35" s="25"/>
      <c r="E35" s="75" t="s">
        <v>74</v>
      </c>
      <c r="G35" s="22"/>
      <c r="I35" s="71"/>
      <c r="J35" s="49"/>
      <c r="K35" s="29"/>
      <c r="L35" s="51"/>
      <c r="M35" s="18"/>
      <c r="N35" s="23"/>
      <c r="O35" s="23"/>
    </row>
    <row r="36" spans="2:15" x14ac:dyDescent="0.35">
      <c r="B36" s="74"/>
      <c r="C36" s="76"/>
      <c r="D36" s="24" t="s">
        <v>46</v>
      </c>
      <c r="E36" s="52"/>
      <c r="F36" s="18" t="s">
        <v>75</v>
      </c>
      <c r="G36" s="22"/>
      <c r="H36" s="18">
        <v>0</v>
      </c>
      <c r="I36" s="71" t="s">
        <v>76</v>
      </c>
      <c r="J36" s="49"/>
      <c r="K36" s="29"/>
      <c r="L36" s="51"/>
      <c r="M36" s="18"/>
      <c r="N36" s="23">
        <v>2</v>
      </c>
      <c r="O36" s="23" t="s">
        <v>16</v>
      </c>
    </row>
    <row r="37" spans="2:15" x14ac:dyDescent="0.35">
      <c r="B37" s="47"/>
      <c r="C37" s="48" t="s">
        <v>77</v>
      </c>
      <c r="D37" s="77"/>
      <c r="E37" s="78" t="s">
        <v>78</v>
      </c>
      <c r="F37" s="79"/>
      <c r="G37" s="80"/>
      <c r="H37" s="81"/>
      <c r="I37" s="82"/>
      <c r="J37" s="49"/>
      <c r="K37" s="29"/>
      <c r="L37" s="51"/>
      <c r="M37" s="18"/>
      <c r="N37" s="23">
        <v>4</v>
      </c>
      <c r="O37" s="23" t="s">
        <v>17</v>
      </c>
    </row>
    <row r="38" spans="2:15" x14ac:dyDescent="0.35">
      <c r="B38" s="47"/>
      <c r="C38" s="48"/>
      <c r="D38" s="77" t="s">
        <v>46</v>
      </c>
      <c r="E38" s="78"/>
      <c r="F38" s="79" t="s">
        <v>79</v>
      </c>
      <c r="G38" s="80"/>
      <c r="H38" s="54">
        <v>0</v>
      </c>
      <c r="I38" s="82" t="s">
        <v>76</v>
      </c>
      <c r="J38" s="49"/>
      <c r="K38" s="29"/>
      <c r="L38" s="51"/>
      <c r="M38" s="18"/>
      <c r="N38" s="23"/>
      <c r="O38" s="23"/>
    </row>
    <row r="39" spans="2:15" x14ac:dyDescent="0.35">
      <c r="B39" s="47"/>
      <c r="C39" s="48"/>
      <c r="D39" s="77" t="s">
        <v>49</v>
      </c>
      <c r="E39" s="78"/>
      <c r="F39" s="79" t="s">
        <v>80</v>
      </c>
      <c r="G39" s="80"/>
      <c r="H39" s="54">
        <v>0</v>
      </c>
      <c r="I39" s="82" t="s">
        <v>76</v>
      </c>
      <c r="J39" s="49"/>
      <c r="K39" s="29"/>
      <c r="L39" s="51"/>
      <c r="M39" s="18"/>
      <c r="N39" s="23"/>
      <c r="O39" s="23"/>
    </row>
    <row r="40" spans="2:15" x14ac:dyDescent="0.35">
      <c r="B40" s="55" t="s">
        <v>81</v>
      </c>
      <c r="C40" s="56"/>
      <c r="D40" s="83"/>
      <c r="E40" s="84" t="s">
        <v>82</v>
      </c>
      <c r="F40" s="79"/>
      <c r="G40" s="80"/>
      <c r="H40" s="81"/>
      <c r="I40" s="82"/>
      <c r="J40" s="49"/>
      <c r="K40" s="29"/>
      <c r="L40" s="51"/>
      <c r="M40" s="18"/>
      <c r="N40" s="23">
        <v>14</v>
      </c>
      <c r="O40" s="23" t="s">
        <v>18</v>
      </c>
    </row>
    <row r="41" spans="2:15" x14ac:dyDescent="0.35">
      <c r="B41" s="47"/>
      <c r="C41" s="48"/>
      <c r="D41" s="77" t="s">
        <v>46</v>
      </c>
      <c r="E41" s="78"/>
      <c r="F41" s="79" t="s">
        <v>83</v>
      </c>
      <c r="G41" s="80"/>
      <c r="H41" s="54">
        <v>1</v>
      </c>
      <c r="I41" s="82" t="s">
        <v>84</v>
      </c>
      <c r="J41" s="49"/>
      <c r="K41" s="29"/>
      <c r="L41" s="51"/>
      <c r="M41" s="18"/>
      <c r="N41" s="23">
        <v>15</v>
      </c>
      <c r="O41" s="23" t="s">
        <v>27</v>
      </c>
    </row>
    <row r="42" spans="2:15" x14ac:dyDescent="0.35">
      <c r="B42" s="47"/>
      <c r="C42" s="48"/>
      <c r="D42" s="77"/>
      <c r="E42" s="78"/>
      <c r="F42" s="79"/>
      <c r="G42" s="80"/>
      <c r="H42" s="54"/>
      <c r="I42" s="82"/>
      <c r="J42" s="49"/>
      <c r="K42" s="29"/>
      <c r="L42" s="51"/>
      <c r="M42" s="18"/>
      <c r="N42" s="23"/>
      <c r="O42" s="23"/>
    </row>
    <row r="43" spans="2:15" x14ac:dyDescent="0.35">
      <c r="B43" s="55"/>
      <c r="C43" s="56"/>
      <c r="D43" s="57"/>
      <c r="E43" s="85"/>
      <c r="F43" s="85" t="s">
        <v>85</v>
      </c>
      <c r="G43" s="86"/>
      <c r="J43" s="49"/>
      <c r="K43" s="29"/>
      <c r="L43" s="51"/>
      <c r="M43" s="18"/>
      <c r="N43" s="23"/>
      <c r="O43" s="23"/>
    </row>
    <row r="44" spans="2:15" x14ac:dyDescent="0.35">
      <c r="B44" s="87" t="s">
        <v>45</v>
      </c>
      <c r="C44" s="88"/>
      <c r="D44" s="89"/>
      <c r="E44" s="90" t="s">
        <v>86</v>
      </c>
      <c r="F44" s="90"/>
      <c r="G44" s="91"/>
      <c r="H44" s="92"/>
      <c r="I44" s="93"/>
      <c r="J44" s="49"/>
      <c r="K44" s="29"/>
      <c r="L44" s="51"/>
      <c r="M44" s="18"/>
      <c r="N44" s="23"/>
      <c r="O44" s="23"/>
    </row>
    <row r="45" spans="2:15" x14ac:dyDescent="0.35">
      <c r="B45" s="94"/>
      <c r="C45" s="95"/>
      <c r="D45" s="96" t="s">
        <v>46</v>
      </c>
      <c r="E45" s="97"/>
      <c r="F45" s="97" t="s">
        <v>87</v>
      </c>
      <c r="G45" s="98"/>
      <c r="H45" s="99">
        <v>475.74</v>
      </c>
      <c r="I45" s="100" t="s">
        <v>65</v>
      </c>
      <c r="J45" s="49"/>
      <c r="K45" s="29"/>
      <c r="L45" s="51"/>
      <c r="M45" s="18"/>
      <c r="N45" s="23"/>
      <c r="O45" s="23"/>
    </row>
    <row r="46" spans="2:15" x14ac:dyDescent="0.35">
      <c r="B46" s="101"/>
      <c r="C46" s="102"/>
      <c r="D46" s="96" t="s">
        <v>49</v>
      </c>
      <c r="E46" s="97"/>
      <c r="F46" s="97" t="s">
        <v>88</v>
      </c>
      <c r="G46" s="98"/>
      <c r="H46" s="103">
        <v>475.74</v>
      </c>
      <c r="I46" s="98" t="s">
        <v>65</v>
      </c>
      <c r="J46" s="49"/>
      <c r="K46" s="29"/>
      <c r="L46" s="51"/>
      <c r="M46" s="18"/>
      <c r="N46" s="23"/>
      <c r="O46" s="23"/>
    </row>
    <row r="47" spans="2:15" x14ac:dyDescent="0.35">
      <c r="B47" s="104" t="s">
        <v>62</v>
      </c>
      <c r="C47" s="105"/>
      <c r="D47" s="89"/>
      <c r="E47" s="90" t="s">
        <v>89</v>
      </c>
      <c r="F47" s="90"/>
      <c r="G47" s="91"/>
      <c r="H47" s="92"/>
      <c r="I47" s="93"/>
      <c r="J47" s="49"/>
      <c r="K47" s="29"/>
      <c r="L47" s="51"/>
      <c r="M47" s="18"/>
      <c r="N47" s="23"/>
      <c r="O47" s="23"/>
    </row>
    <row r="48" spans="2:15" x14ac:dyDescent="0.35">
      <c r="B48" s="101"/>
      <c r="C48" s="102"/>
      <c r="D48" s="96" t="s">
        <v>46</v>
      </c>
      <c r="E48" s="97"/>
      <c r="F48" s="97" t="s">
        <v>90</v>
      </c>
      <c r="G48" s="98"/>
      <c r="H48" s="106"/>
      <c r="I48" s="100"/>
      <c r="J48" s="49"/>
      <c r="K48" s="29"/>
      <c r="L48" s="51"/>
      <c r="M48" s="18"/>
      <c r="N48" s="23"/>
      <c r="O48" s="23"/>
    </row>
    <row r="49" spans="2:15" x14ac:dyDescent="0.35">
      <c r="B49" s="101"/>
      <c r="C49" s="102"/>
      <c r="D49" s="96"/>
      <c r="E49" s="97"/>
      <c r="F49" s="97" t="s">
        <v>91</v>
      </c>
      <c r="G49" s="98" t="s">
        <v>92</v>
      </c>
      <c r="H49" s="106">
        <f>4*1.83*10*7.85</f>
        <v>574.62</v>
      </c>
      <c r="I49" s="100" t="s">
        <v>76</v>
      </c>
      <c r="J49" s="49"/>
      <c r="K49" s="29"/>
      <c r="L49" s="51"/>
      <c r="M49" s="18"/>
      <c r="N49" s="23"/>
      <c r="O49" s="23"/>
    </row>
    <row r="50" spans="2:15" x14ac:dyDescent="0.35">
      <c r="B50" s="101"/>
      <c r="C50" s="102"/>
      <c r="D50" s="96" t="s">
        <v>49</v>
      </c>
      <c r="E50" s="97"/>
      <c r="F50" s="97" t="s">
        <v>93</v>
      </c>
      <c r="G50" s="98"/>
      <c r="H50" s="103"/>
      <c r="I50" s="98"/>
      <c r="J50" s="49"/>
      <c r="K50" s="29"/>
      <c r="L50" s="51"/>
      <c r="M50" s="18"/>
      <c r="N50" s="23"/>
      <c r="O50" s="23"/>
    </row>
    <row r="51" spans="2:15" x14ac:dyDescent="0.35">
      <c r="B51" s="101"/>
      <c r="C51" s="102"/>
      <c r="D51" s="96"/>
      <c r="E51" s="97"/>
      <c r="F51" s="97" t="s">
        <v>91</v>
      </c>
      <c r="G51" s="98" t="s">
        <v>94</v>
      </c>
      <c r="H51" s="106">
        <f>20*1.83*10*7.85</f>
        <v>2873.1</v>
      </c>
      <c r="I51" s="100" t="s">
        <v>76</v>
      </c>
      <c r="J51" s="49"/>
      <c r="K51" s="29"/>
      <c r="L51" s="51"/>
      <c r="M51" s="18"/>
      <c r="N51" s="23"/>
      <c r="O51" s="23"/>
    </row>
    <row r="52" spans="2:15" x14ac:dyDescent="0.35">
      <c r="B52" s="101"/>
      <c r="C52" s="102"/>
      <c r="D52" s="96" t="s">
        <v>51</v>
      </c>
      <c r="E52" s="97"/>
      <c r="F52" s="97" t="s">
        <v>95</v>
      </c>
      <c r="G52" s="98"/>
      <c r="H52" s="106"/>
      <c r="I52" s="100"/>
      <c r="J52" s="49"/>
      <c r="K52" s="29"/>
      <c r="L52" s="51"/>
      <c r="M52" s="18"/>
      <c r="N52" s="23"/>
      <c r="O52" s="23"/>
    </row>
    <row r="53" spans="2:15" x14ac:dyDescent="0.35">
      <c r="B53" s="101"/>
      <c r="C53" s="102"/>
      <c r="D53" s="96"/>
      <c r="E53" s="97"/>
      <c r="F53" s="97" t="s">
        <v>91</v>
      </c>
      <c r="G53" s="98" t="s">
        <v>96</v>
      </c>
      <c r="H53" s="107">
        <f>0.9*0.9*10*7.85</f>
        <v>63.585000000000008</v>
      </c>
      <c r="I53" s="100" t="s">
        <v>76</v>
      </c>
      <c r="J53" s="49"/>
      <c r="K53" s="29"/>
      <c r="L53" s="51"/>
      <c r="M53" s="18"/>
      <c r="N53" s="23"/>
      <c r="O53" s="23"/>
    </row>
    <row r="54" spans="2:15" x14ac:dyDescent="0.35">
      <c r="B54" s="94"/>
      <c r="C54" s="95"/>
      <c r="D54" s="108" t="s">
        <v>53</v>
      </c>
      <c r="E54" s="97"/>
      <c r="F54" s="97" t="s">
        <v>97</v>
      </c>
      <c r="G54" s="98"/>
      <c r="H54" s="103"/>
      <c r="I54" s="98"/>
      <c r="J54" s="49"/>
      <c r="K54" s="29"/>
      <c r="L54" s="51"/>
      <c r="M54" s="18"/>
      <c r="N54" s="23"/>
      <c r="O54" s="23"/>
    </row>
    <row r="55" spans="2:15" x14ac:dyDescent="0.35">
      <c r="B55" s="94"/>
      <c r="C55" s="95"/>
      <c r="D55" s="109"/>
      <c r="E55" s="102"/>
      <c r="F55" s="97" t="s">
        <v>91</v>
      </c>
      <c r="G55" s="98" t="s">
        <v>98</v>
      </c>
      <c r="H55" s="106">
        <f>4*1.83*10*7.85</f>
        <v>574.62</v>
      </c>
      <c r="I55" s="100" t="s">
        <v>76</v>
      </c>
      <c r="J55" s="49"/>
      <c r="K55" s="29"/>
      <c r="L55" s="51"/>
      <c r="M55" s="18"/>
      <c r="N55" s="23"/>
      <c r="O55" s="23"/>
    </row>
    <row r="56" spans="2:15" x14ac:dyDescent="0.35">
      <c r="B56" s="94"/>
      <c r="C56" s="95"/>
      <c r="D56" s="109"/>
      <c r="E56" s="102"/>
      <c r="F56" s="97" t="s">
        <v>91</v>
      </c>
      <c r="G56" s="98" t="s">
        <v>99</v>
      </c>
      <c r="H56" s="106">
        <f>5*0.4*10*7.85*1.2</f>
        <v>188.4</v>
      </c>
      <c r="I56" s="100" t="s">
        <v>76</v>
      </c>
      <c r="J56" s="49"/>
      <c r="K56" s="29"/>
      <c r="L56" s="51"/>
      <c r="M56" s="18"/>
      <c r="N56" s="23"/>
      <c r="O56" s="23"/>
    </row>
    <row r="57" spans="2:15" x14ac:dyDescent="0.35">
      <c r="B57" s="47"/>
      <c r="C57" s="48"/>
      <c r="D57" s="77"/>
      <c r="E57" s="78"/>
      <c r="F57" s="79"/>
      <c r="G57" s="80"/>
      <c r="H57" s="54"/>
      <c r="I57" s="82"/>
      <c r="J57" s="49"/>
      <c r="K57" s="29"/>
      <c r="L57" s="51"/>
      <c r="M57" s="18"/>
      <c r="N57" s="23"/>
      <c r="O57" s="23"/>
    </row>
    <row r="58" spans="2:15" x14ac:dyDescent="0.35">
      <c r="B58" s="47"/>
      <c r="C58" s="48"/>
      <c r="D58" s="77"/>
      <c r="E58" s="110"/>
      <c r="F58" s="110" t="s">
        <v>100</v>
      </c>
      <c r="G58" s="111"/>
      <c r="H58" s="54"/>
      <c r="I58" s="82"/>
      <c r="J58" s="49"/>
      <c r="K58" s="29"/>
      <c r="L58" s="51"/>
      <c r="M58" s="18"/>
      <c r="N58" s="23"/>
      <c r="O58" s="23"/>
    </row>
    <row r="59" spans="2:15" x14ac:dyDescent="0.35">
      <c r="B59" s="112" t="s">
        <v>45</v>
      </c>
      <c r="C59" s="113"/>
      <c r="D59" s="114"/>
      <c r="E59" s="115" t="s">
        <v>89</v>
      </c>
      <c r="F59" s="115"/>
      <c r="G59" s="116"/>
      <c r="H59" s="106"/>
      <c r="I59" s="116"/>
      <c r="J59" s="49"/>
      <c r="K59" s="29"/>
      <c r="L59" s="51"/>
      <c r="M59" s="18"/>
      <c r="N59" s="23"/>
      <c r="O59" s="23"/>
    </row>
    <row r="60" spans="2:15" x14ac:dyDescent="0.35">
      <c r="B60" s="112"/>
      <c r="C60" s="113" t="s">
        <v>101</v>
      </c>
      <c r="D60" s="114"/>
      <c r="E60" s="115"/>
      <c r="F60" s="115" t="s">
        <v>102</v>
      </c>
      <c r="G60" s="116"/>
      <c r="H60" s="106"/>
      <c r="I60" s="116"/>
      <c r="J60" s="49"/>
      <c r="K60" s="29"/>
      <c r="L60" s="51"/>
      <c r="M60" s="18"/>
      <c r="N60" s="23"/>
      <c r="O60" s="23"/>
    </row>
    <row r="61" spans="2:15" x14ac:dyDescent="0.35">
      <c r="B61" s="112"/>
      <c r="C61" s="113"/>
      <c r="D61" s="114" t="s">
        <v>46</v>
      </c>
      <c r="E61" s="115"/>
      <c r="F61" s="115" t="s">
        <v>103</v>
      </c>
      <c r="G61" s="116"/>
      <c r="H61" s="106"/>
      <c r="I61" s="116"/>
      <c r="J61" s="49"/>
      <c r="K61" s="29"/>
      <c r="L61" s="51"/>
      <c r="M61" s="18"/>
      <c r="N61" s="23"/>
      <c r="O61" s="23"/>
    </row>
    <row r="62" spans="2:15" x14ac:dyDescent="0.35">
      <c r="B62" s="117"/>
      <c r="C62" s="113"/>
      <c r="D62" s="114"/>
      <c r="E62" s="115"/>
      <c r="F62" s="115" t="s">
        <v>91</v>
      </c>
      <c r="G62" s="116" t="s">
        <v>104</v>
      </c>
      <c r="H62" s="107">
        <v>876.29549999999995</v>
      </c>
      <c r="I62" s="116" t="s">
        <v>76</v>
      </c>
      <c r="J62" s="49"/>
      <c r="K62" s="29"/>
      <c r="L62" s="51"/>
      <c r="M62" s="18"/>
      <c r="N62" s="23"/>
      <c r="O62" s="23"/>
    </row>
    <row r="63" spans="2:15" x14ac:dyDescent="0.35">
      <c r="B63" s="47"/>
      <c r="C63" s="48"/>
      <c r="D63" s="24"/>
      <c r="G63" s="22"/>
      <c r="I63" s="22"/>
      <c r="J63" s="49"/>
      <c r="K63" s="29"/>
      <c r="L63" s="51"/>
      <c r="M63" s="18"/>
      <c r="N63" s="23"/>
      <c r="O63" s="23"/>
    </row>
    <row r="64" spans="2:15" x14ac:dyDescent="0.35">
      <c r="B64" s="47"/>
      <c r="C64" s="48"/>
      <c r="D64" s="77"/>
      <c r="E64" s="110"/>
      <c r="F64" s="110" t="s">
        <v>100</v>
      </c>
      <c r="G64" s="111"/>
      <c r="H64" s="54"/>
      <c r="I64" s="82"/>
      <c r="J64" s="49"/>
      <c r="K64" s="29"/>
      <c r="L64" s="51"/>
      <c r="M64" s="18"/>
      <c r="N64" s="23"/>
      <c r="O64" s="23"/>
    </row>
    <row r="65" spans="2:23" x14ac:dyDescent="0.35">
      <c r="B65" s="104" t="s">
        <v>45</v>
      </c>
      <c r="C65" s="105"/>
      <c r="D65" s="89"/>
      <c r="E65" s="90" t="s">
        <v>89</v>
      </c>
      <c r="F65" s="90"/>
      <c r="G65" s="91"/>
      <c r="H65" s="92"/>
      <c r="I65" s="93"/>
      <c r="J65" s="49"/>
      <c r="K65" s="29"/>
      <c r="L65" s="51"/>
      <c r="M65" s="18"/>
      <c r="N65" s="23"/>
      <c r="O65" s="23"/>
    </row>
    <row r="66" spans="2:23" x14ac:dyDescent="0.35">
      <c r="B66" s="112"/>
      <c r="C66" s="113" t="s">
        <v>101</v>
      </c>
      <c r="D66" s="114"/>
      <c r="E66" s="115"/>
      <c r="F66" s="115" t="s">
        <v>102</v>
      </c>
      <c r="G66" s="116"/>
      <c r="H66" s="106"/>
      <c r="I66" s="116"/>
      <c r="J66" s="49"/>
      <c r="K66" s="29"/>
      <c r="L66" s="51"/>
      <c r="M66" s="18"/>
      <c r="N66" s="23"/>
      <c r="O66" s="23"/>
    </row>
    <row r="67" spans="2:23" x14ac:dyDescent="0.35">
      <c r="B67" s="112"/>
      <c r="C67" s="113"/>
      <c r="D67" s="114" t="s">
        <v>46</v>
      </c>
      <c r="E67" s="115"/>
      <c r="F67" s="115" t="s">
        <v>103</v>
      </c>
      <c r="G67" s="116"/>
      <c r="H67" s="106"/>
      <c r="I67" s="116"/>
      <c r="J67" s="49"/>
      <c r="K67" s="29"/>
      <c r="L67" s="51"/>
      <c r="M67" s="18"/>
      <c r="N67" s="23"/>
      <c r="O67" s="23"/>
    </row>
    <row r="68" spans="2:23" x14ac:dyDescent="0.35">
      <c r="B68" s="117"/>
      <c r="C68" s="113"/>
      <c r="D68" s="114"/>
      <c r="E68" s="115"/>
      <c r="F68" s="115" t="s">
        <v>91</v>
      </c>
      <c r="G68" s="116" t="s">
        <v>104</v>
      </c>
      <c r="H68" s="107">
        <v>876.29549999999995</v>
      </c>
      <c r="I68" s="116" t="s">
        <v>76</v>
      </c>
      <c r="J68" s="49"/>
      <c r="K68" s="29"/>
      <c r="L68" s="51"/>
      <c r="M68" s="18"/>
      <c r="N68" s="23"/>
      <c r="O68" s="23"/>
    </row>
    <row r="69" spans="2:23" x14ac:dyDescent="0.35">
      <c r="B69" s="61"/>
      <c r="C69" s="118"/>
      <c r="D69" s="118"/>
      <c r="E69" s="119"/>
      <c r="F69" s="120"/>
      <c r="G69" s="121"/>
      <c r="H69" s="122"/>
      <c r="I69" s="121"/>
      <c r="J69" s="49"/>
      <c r="K69" s="29"/>
      <c r="L69" s="51"/>
      <c r="M69" s="18"/>
      <c r="N69" s="23"/>
      <c r="O69" s="23"/>
    </row>
    <row r="70" spans="2:23" x14ac:dyDescent="0.35">
      <c r="B70" s="64"/>
      <c r="C70" s="123"/>
      <c r="D70" s="124"/>
      <c r="E70" s="125"/>
      <c r="F70" s="125"/>
      <c r="G70" s="126"/>
      <c r="H70" s="127"/>
      <c r="I70" s="126"/>
      <c r="J70" s="49"/>
      <c r="K70" s="29"/>
      <c r="L70" s="51"/>
      <c r="M70" s="18"/>
      <c r="N70" s="23"/>
      <c r="O70" s="23"/>
    </row>
    <row r="71" spans="2:23" x14ac:dyDescent="0.35">
      <c r="B71" s="64"/>
      <c r="C71" s="123"/>
      <c r="D71" s="124"/>
      <c r="E71" s="125"/>
      <c r="F71" s="125"/>
      <c r="G71" s="126"/>
      <c r="H71" s="127"/>
      <c r="I71" s="126"/>
      <c r="J71" s="49"/>
      <c r="K71" s="29"/>
      <c r="L71" s="51"/>
      <c r="M71" s="18"/>
      <c r="N71" s="23"/>
      <c r="O71" s="23"/>
    </row>
    <row r="72" spans="2:23" x14ac:dyDescent="0.35">
      <c r="B72" s="47"/>
      <c r="C72" s="48"/>
      <c r="D72" s="24"/>
      <c r="G72" s="22"/>
      <c r="I72" s="22"/>
      <c r="J72" s="49"/>
      <c r="K72" s="29"/>
      <c r="L72" s="51"/>
      <c r="M72" s="18"/>
      <c r="N72" s="23"/>
      <c r="O72" s="23"/>
    </row>
    <row r="73" spans="2:23" x14ac:dyDescent="0.35">
      <c r="B73" s="8"/>
      <c r="C73" s="9"/>
      <c r="D73" s="10"/>
      <c r="E73" s="4"/>
      <c r="F73" s="4"/>
      <c r="G73" s="4"/>
      <c r="H73" s="1"/>
      <c r="I73" s="1"/>
      <c r="J73" s="11" t="s">
        <v>8</v>
      </c>
      <c r="K73" s="7">
        <f>SUM(K20:K72)</f>
        <v>0</v>
      </c>
      <c r="L73" s="7">
        <f>SUM(L20:L72)</f>
        <v>0</v>
      </c>
      <c r="M73" s="14">
        <f>K73+L73</f>
        <v>0</v>
      </c>
      <c r="N73" s="15"/>
      <c r="O73" s="34"/>
      <c r="P73" s="34"/>
      <c r="Q73" s="34"/>
      <c r="R73" s="34"/>
      <c r="S73">
        <v>102.15</v>
      </c>
      <c r="T73" s="34" t="s">
        <v>19</v>
      </c>
      <c r="U73" s="34"/>
      <c r="V73" s="34"/>
      <c r="W73" s="16"/>
    </row>
    <row r="74" spans="2:23" x14ac:dyDescent="0.35">
      <c r="B74" s="8"/>
      <c r="C74" s="9"/>
      <c r="D74" s="9"/>
      <c r="E74" s="4"/>
      <c r="F74" s="4"/>
      <c r="G74" s="4"/>
      <c r="H74" s="1"/>
      <c r="I74" s="1"/>
      <c r="J74" s="11"/>
      <c r="K74" s="35" t="s">
        <v>22</v>
      </c>
      <c r="L74" s="36" t="s">
        <v>23</v>
      </c>
      <c r="M74" s="14"/>
      <c r="N74" s="15"/>
      <c r="O74" s="34"/>
      <c r="P74" s="34"/>
      <c r="Q74" s="34"/>
      <c r="R74" s="34"/>
      <c r="T74" s="34"/>
      <c r="U74" s="34"/>
      <c r="V74" s="34"/>
      <c r="W74" s="16"/>
    </row>
    <row r="75" spans="2:23" x14ac:dyDescent="0.35">
      <c r="B75" s="3" t="s">
        <v>9</v>
      </c>
      <c r="C75" s="4"/>
      <c r="D75" s="4"/>
      <c r="E75" s="4"/>
      <c r="F75" s="4"/>
      <c r="G75" s="4"/>
      <c r="H75" s="1"/>
      <c r="I75" s="1"/>
      <c r="J75" s="12"/>
      <c r="K75" s="12"/>
      <c r="L75" s="13"/>
      <c r="N75" s="15"/>
      <c r="O75" s="34"/>
      <c r="P75" s="34"/>
      <c r="Q75" s="34"/>
      <c r="R75" s="34"/>
      <c r="S75">
        <v>26.04</v>
      </c>
      <c r="T75" s="34" t="s">
        <v>20</v>
      </c>
      <c r="U75" s="34"/>
      <c r="V75" s="34"/>
      <c r="W75" s="16"/>
    </row>
    <row r="76" spans="2:23" x14ac:dyDescent="0.35">
      <c r="B76" s="37"/>
      <c r="C76" s="1"/>
      <c r="D76" s="1"/>
      <c r="E76" s="38"/>
      <c r="F76" s="38"/>
      <c r="G76" s="38"/>
      <c r="H76" s="1"/>
      <c r="I76" s="1"/>
      <c r="J76" s="1"/>
      <c r="K76" s="1"/>
      <c r="L76" s="19"/>
    </row>
    <row r="77" spans="2:23" x14ac:dyDescent="0.35">
      <c r="B77" s="28" t="s">
        <v>6</v>
      </c>
      <c r="C77" s="27"/>
      <c r="D77" s="27"/>
      <c r="E77" s="26"/>
      <c r="F77" s="26"/>
      <c r="G77" s="5"/>
      <c r="K77" s="129" t="s">
        <v>105</v>
      </c>
      <c r="L77" s="130"/>
    </row>
    <row r="78" spans="2:23" x14ac:dyDescent="0.35">
      <c r="B78" s="28">
        <v>1</v>
      </c>
      <c r="C78" s="27"/>
      <c r="D78" s="27"/>
      <c r="E78" s="26" t="s">
        <v>7</v>
      </c>
      <c r="F78" s="26"/>
      <c r="G78" s="5"/>
      <c r="K78" s="129" t="s">
        <v>28</v>
      </c>
      <c r="L78" s="130"/>
    </row>
    <row r="79" spans="2:23" x14ac:dyDescent="0.35">
      <c r="B79" s="39"/>
      <c r="C79" s="27"/>
      <c r="D79" s="27"/>
      <c r="E79" s="26"/>
      <c r="F79" s="26"/>
      <c r="G79" s="5"/>
      <c r="J79" s="25"/>
      <c r="K79" s="25"/>
      <c r="L79" s="24"/>
    </row>
    <row r="80" spans="2:23" x14ac:dyDescent="0.35">
      <c r="B80" s="28"/>
      <c r="C80" s="27"/>
      <c r="D80" s="27"/>
      <c r="E80" s="26"/>
      <c r="F80" s="26"/>
      <c r="G80" s="5"/>
      <c r="L80" s="22"/>
    </row>
    <row r="81" spans="2:13" x14ac:dyDescent="0.35">
      <c r="B81" s="45"/>
      <c r="E81" s="5"/>
      <c r="F81" s="5"/>
      <c r="G81" s="5"/>
      <c r="L81" s="22"/>
    </row>
    <row r="82" spans="2:13" x14ac:dyDescent="0.35">
      <c r="B82" s="45"/>
      <c r="E82" s="5"/>
      <c r="F82" s="5"/>
      <c r="G82" s="5"/>
      <c r="L82" s="22"/>
    </row>
    <row r="83" spans="2:13" x14ac:dyDescent="0.35">
      <c r="B83" s="45"/>
      <c r="E83" s="5"/>
      <c r="F83" s="5"/>
      <c r="G83" s="5"/>
      <c r="L83" s="22"/>
    </row>
    <row r="84" spans="2:13" x14ac:dyDescent="0.35">
      <c r="B84" s="45"/>
      <c r="E84" s="5"/>
      <c r="F84" s="5"/>
      <c r="G84" s="5"/>
      <c r="J84" s="40"/>
      <c r="K84" s="131" t="s">
        <v>37</v>
      </c>
      <c r="L84" s="132"/>
      <c r="M84" s="40"/>
    </row>
    <row r="85" spans="2:13" x14ac:dyDescent="0.35">
      <c r="B85" s="45"/>
      <c r="K85" s="133" t="s">
        <v>38</v>
      </c>
      <c r="L85" s="134"/>
      <c r="M85" s="42"/>
    </row>
    <row r="86" spans="2:13" x14ac:dyDescent="0.35">
      <c r="B86" s="135"/>
      <c r="C86" s="136"/>
      <c r="D86" s="136"/>
      <c r="E86" s="41"/>
      <c r="F86" s="41"/>
      <c r="G86" s="41"/>
      <c r="H86" s="2"/>
      <c r="I86" s="2"/>
      <c r="J86" s="2"/>
      <c r="K86" s="2"/>
      <c r="L86" s="21"/>
    </row>
    <row r="87" spans="2:13" x14ac:dyDescent="0.35">
      <c r="B87" s="55"/>
      <c r="C87" s="56"/>
      <c r="D87" s="57"/>
      <c r="E87" s="52"/>
      <c r="F87" s="52"/>
      <c r="G87" s="58"/>
      <c r="J87" s="43"/>
      <c r="K87" s="30"/>
      <c r="L87" s="44"/>
    </row>
    <row r="88" spans="2:13" x14ac:dyDescent="0.35">
      <c r="B88" s="61"/>
      <c r="C88" s="118" t="s">
        <v>106</v>
      </c>
      <c r="D88" s="118"/>
      <c r="E88" s="119"/>
      <c r="F88" s="120" t="s">
        <v>107</v>
      </c>
      <c r="G88" s="121"/>
      <c r="H88" s="122"/>
      <c r="I88" s="121"/>
      <c r="J88" s="29"/>
      <c r="K88" s="50"/>
      <c r="L88" s="46"/>
    </row>
    <row r="89" spans="2:13" x14ac:dyDescent="0.35">
      <c r="B89" s="64"/>
      <c r="C89" s="123"/>
      <c r="D89" s="124" t="s">
        <v>46</v>
      </c>
      <c r="E89" s="125"/>
      <c r="F89" s="125" t="s">
        <v>108</v>
      </c>
      <c r="G89" s="126"/>
      <c r="H89" s="127"/>
      <c r="I89" s="126"/>
      <c r="J89" s="49"/>
      <c r="K89" s="50"/>
      <c r="L89" s="46"/>
    </row>
    <row r="90" spans="2:13" x14ac:dyDescent="0.35">
      <c r="B90" s="64"/>
      <c r="C90" s="123"/>
      <c r="D90" s="124"/>
      <c r="E90" s="125"/>
      <c r="F90" s="125" t="s">
        <v>91</v>
      </c>
      <c r="G90" s="126" t="s">
        <v>109</v>
      </c>
      <c r="H90" s="127">
        <v>22.608000000000001</v>
      </c>
      <c r="I90" s="126" t="s">
        <v>76</v>
      </c>
      <c r="J90" s="49"/>
      <c r="K90" s="50"/>
      <c r="L90" s="46"/>
    </row>
    <row r="91" spans="2:13" x14ac:dyDescent="0.35">
      <c r="B91" s="66"/>
      <c r="C91" s="123"/>
      <c r="D91" s="124" t="s">
        <v>49</v>
      </c>
      <c r="E91" s="125"/>
      <c r="F91" s="125" t="s">
        <v>110</v>
      </c>
      <c r="G91" s="126"/>
      <c r="H91" s="127"/>
      <c r="I91" s="126"/>
      <c r="J91" s="49"/>
      <c r="K91" s="29"/>
      <c r="L91" s="51"/>
    </row>
    <row r="92" spans="2:13" x14ac:dyDescent="0.35">
      <c r="B92" s="69"/>
      <c r="C92" s="123"/>
      <c r="D92" s="124"/>
      <c r="E92" s="125"/>
      <c r="F92" s="125" t="s">
        <v>91</v>
      </c>
      <c r="G92" s="126" t="s">
        <v>111</v>
      </c>
      <c r="H92" s="127">
        <v>58.875</v>
      </c>
      <c r="I92" s="126" t="s">
        <v>76</v>
      </c>
      <c r="J92" s="49"/>
      <c r="K92" s="29"/>
      <c r="L92" s="51"/>
    </row>
    <row r="93" spans="2:13" x14ac:dyDescent="0.35">
      <c r="B93" s="104" t="s">
        <v>62</v>
      </c>
      <c r="C93" s="105"/>
      <c r="D93" s="89"/>
      <c r="E93" s="90" t="s">
        <v>18</v>
      </c>
      <c r="F93" s="90"/>
      <c r="G93" s="91"/>
      <c r="H93" s="92"/>
      <c r="I93" s="93"/>
      <c r="J93" s="49"/>
      <c r="K93" s="29"/>
      <c r="L93" s="51"/>
    </row>
    <row r="94" spans="2:13" x14ac:dyDescent="0.35">
      <c r="B94" s="69"/>
      <c r="C94" s="123"/>
      <c r="D94" s="124" t="s">
        <v>46</v>
      </c>
      <c r="E94" s="125"/>
      <c r="F94" s="125" t="s">
        <v>112</v>
      </c>
      <c r="G94" s="126"/>
      <c r="H94" s="128"/>
      <c r="I94" s="126"/>
      <c r="J94" s="49"/>
      <c r="K94" s="29"/>
      <c r="L94" s="51"/>
    </row>
    <row r="95" spans="2:13" x14ac:dyDescent="0.35">
      <c r="B95" s="73"/>
      <c r="C95" s="123"/>
      <c r="D95" s="124"/>
      <c r="E95" s="125"/>
      <c r="F95" s="125" t="s">
        <v>91</v>
      </c>
      <c r="G95" s="126" t="s">
        <v>113</v>
      </c>
      <c r="H95" s="128">
        <v>8</v>
      </c>
      <c r="I95" s="126" t="s">
        <v>114</v>
      </c>
      <c r="J95" s="49"/>
      <c r="K95" s="29"/>
      <c r="L95" s="51"/>
    </row>
    <row r="96" spans="2:13" x14ac:dyDescent="0.35">
      <c r="B96" s="74"/>
      <c r="C96" s="123"/>
      <c r="D96" s="124" t="s">
        <v>49</v>
      </c>
      <c r="E96" s="125"/>
      <c r="F96" s="125" t="s">
        <v>115</v>
      </c>
      <c r="G96" s="126"/>
      <c r="H96" s="127"/>
      <c r="I96" s="126"/>
      <c r="J96" s="49"/>
      <c r="K96" s="29"/>
      <c r="L96" s="51"/>
    </row>
    <row r="97" spans="2:12" x14ac:dyDescent="0.35">
      <c r="B97" s="74"/>
      <c r="C97" s="123"/>
      <c r="D97" s="124"/>
      <c r="E97" s="125"/>
      <c r="F97" s="125" t="s">
        <v>91</v>
      </c>
      <c r="G97" s="126" t="s">
        <v>113</v>
      </c>
      <c r="H97" s="106">
        <v>12</v>
      </c>
      <c r="I97" s="116" t="s">
        <v>114</v>
      </c>
      <c r="J97" s="49"/>
      <c r="K97" s="29"/>
      <c r="L97" s="51"/>
    </row>
    <row r="98" spans="2:12" x14ac:dyDescent="0.35">
      <c r="B98" s="74"/>
      <c r="C98" s="123"/>
      <c r="D98" s="124" t="s">
        <v>51</v>
      </c>
      <c r="E98" s="125"/>
      <c r="F98" s="125" t="s">
        <v>116</v>
      </c>
      <c r="G98" s="126"/>
      <c r="H98" s="128"/>
      <c r="I98" s="126"/>
      <c r="J98" s="49"/>
      <c r="K98" s="29"/>
      <c r="L98" s="51"/>
    </row>
    <row r="99" spans="2:12" x14ac:dyDescent="0.35">
      <c r="B99" s="74"/>
      <c r="C99" s="123"/>
      <c r="D99" s="124"/>
      <c r="E99" s="125"/>
      <c r="F99" s="125" t="s">
        <v>91</v>
      </c>
      <c r="G99" s="126" t="s">
        <v>113</v>
      </c>
      <c r="H99" s="128">
        <v>17</v>
      </c>
      <c r="I99" s="126" t="s">
        <v>114</v>
      </c>
      <c r="J99" s="49"/>
      <c r="K99" s="29"/>
      <c r="L99" s="51"/>
    </row>
    <row r="100" spans="2:12" x14ac:dyDescent="0.35">
      <c r="B100" s="47"/>
      <c r="C100" s="123"/>
      <c r="D100" s="124" t="s">
        <v>53</v>
      </c>
      <c r="E100" s="125"/>
      <c r="F100" s="125" t="s">
        <v>117</v>
      </c>
      <c r="G100" s="126"/>
      <c r="H100" s="128"/>
      <c r="I100" s="126"/>
      <c r="J100" s="49"/>
      <c r="K100" s="29"/>
      <c r="L100" s="51"/>
    </row>
    <row r="101" spans="2:12" x14ac:dyDescent="0.35">
      <c r="B101" s="47"/>
      <c r="C101" s="123"/>
      <c r="D101" s="124"/>
      <c r="E101" s="125"/>
      <c r="F101" s="125" t="s">
        <v>91</v>
      </c>
      <c r="G101" s="126" t="s">
        <v>113</v>
      </c>
      <c r="H101" s="128">
        <v>9</v>
      </c>
      <c r="I101" s="126" t="s">
        <v>114</v>
      </c>
      <c r="J101" s="49"/>
      <c r="K101" s="29"/>
      <c r="L101" s="51"/>
    </row>
    <row r="102" spans="2:12" x14ac:dyDescent="0.35">
      <c r="B102" s="47"/>
      <c r="C102" s="123"/>
      <c r="D102" s="124" t="s">
        <v>56</v>
      </c>
      <c r="E102" s="125"/>
      <c r="F102" s="125" t="s">
        <v>118</v>
      </c>
      <c r="G102" s="126"/>
      <c r="H102" s="128"/>
      <c r="I102" s="126"/>
      <c r="J102" s="49"/>
      <c r="K102" s="29"/>
      <c r="L102" s="51"/>
    </row>
    <row r="103" spans="2:12" x14ac:dyDescent="0.35">
      <c r="B103" s="55"/>
      <c r="C103" s="123"/>
      <c r="D103" s="124"/>
      <c r="E103" s="125"/>
      <c r="F103" s="125" t="s">
        <v>91</v>
      </c>
      <c r="G103" s="126" t="s">
        <v>113</v>
      </c>
      <c r="H103" s="128">
        <v>10</v>
      </c>
      <c r="I103" s="126" t="s">
        <v>114</v>
      </c>
      <c r="J103" s="49"/>
      <c r="K103" s="29"/>
      <c r="L103" s="51"/>
    </row>
    <row r="104" spans="2:12" x14ac:dyDescent="0.35">
      <c r="B104" s="47"/>
      <c r="C104" s="123"/>
      <c r="D104" s="124" t="s">
        <v>58</v>
      </c>
      <c r="E104" s="125"/>
      <c r="F104" s="125" t="s">
        <v>119</v>
      </c>
      <c r="G104" s="126"/>
      <c r="H104" s="128"/>
      <c r="I104" s="126"/>
      <c r="J104" s="49"/>
      <c r="K104" s="29"/>
      <c r="L104" s="51"/>
    </row>
    <row r="105" spans="2:12" x14ac:dyDescent="0.35">
      <c r="B105" s="47"/>
      <c r="C105" s="123"/>
      <c r="D105" s="124"/>
      <c r="E105" s="125"/>
      <c r="F105" s="125" t="s">
        <v>91</v>
      </c>
      <c r="G105" s="126" t="s">
        <v>113</v>
      </c>
      <c r="H105" s="128">
        <v>7</v>
      </c>
      <c r="I105" s="126" t="s">
        <v>114</v>
      </c>
      <c r="J105" s="49"/>
      <c r="K105" s="29"/>
      <c r="L105" s="51"/>
    </row>
    <row r="106" spans="2:12" x14ac:dyDescent="0.35">
      <c r="B106" s="55"/>
      <c r="C106" s="123"/>
      <c r="D106" s="124" t="s">
        <v>60</v>
      </c>
      <c r="E106" s="125"/>
      <c r="F106" s="125" t="s">
        <v>120</v>
      </c>
      <c r="G106" s="126"/>
      <c r="H106" s="127"/>
      <c r="I106" s="126"/>
      <c r="J106" s="49"/>
      <c r="K106" s="29"/>
      <c r="L106" s="51"/>
    </row>
    <row r="107" spans="2:12" x14ac:dyDescent="0.35">
      <c r="B107" s="87"/>
      <c r="C107" s="123"/>
      <c r="D107" s="124"/>
      <c r="E107" s="125"/>
      <c r="F107" s="125" t="s">
        <v>91</v>
      </c>
      <c r="G107" s="126" t="s">
        <v>113</v>
      </c>
      <c r="H107" s="128">
        <v>7</v>
      </c>
      <c r="I107" s="126" t="s">
        <v>114</v>
      </c>
      <c r="J107" s="49"/>
      <c r="K107" s="29"/>
      <c r="L107" s="51"/>
    </row>
    <row r="108" spans="2:12" x14ac:dyDescent="0.35">
      <c r="B108" s="94"/>
      <c r="C108" s="123"/>
      <c r="D108" s="124" t="s">
        <v>121</v>
      </c>
      <c r="E108" s="125"/>
      <c r="F108" s="125" t="s">
        <v>122</v>
      </c>
      <c r="G108" s="126"/>
      <c r="H108" s="128"/>
      <c r="I108" s="126"/>
      <c r="J108" s="49"/>
      <c r="K108" s="29"/>
      <c r="L108" s="51"/>
    </row>
    <row r="109" spans="2:12" x14ac:dyDescent="0.35">
      <c r="B109" s="101"/>
      <c r="C109" s="123"/>
      <c r="D109" s="124"/>
      <c r="E109" s="125"/>
      <c r="F109" s="125" t="s">
        <v>91</v>
      </c>
      <c r="G109" s="126" t="s">
        <v>113</v>
      </c>
      <c r="H109" s="128">
        <v>13</v>
      </c>
      <c r="I109" s="126" t="s">
        <v>114</v>
      </c>
      <c r="J109" s="49"/>
      <c r="K109" s="29"/>
      <c r="L109" s="51"/>
    </row>
    <row r="110" spans="2:12" x14ac:dyDescent="0.35">
      <c r="B110" s="104"/>
      <c r="C110" s="123"/>
      <c r="D110" s="124" t="s">
        <v>123</v>
      </c>
      <c r="E110" s="125"/>
      <c r="F110" s="125" t="s">
        <v>124</v>
      </c>
      <c r="G110" s="126"/>
      <c r="H110" s="127"/>
      <c r="I110" s="126"/>
      <c r="J110" s="49"/>
      <c r="K110" s="29"/>
      <c r="L110" s="51"/>
    </row>
    <row r="111" spans="2:12" x14ac:dyDescent="0.35">
      <c r="B111" s="101"/>
      <c r="C111" s="123"/>
      <c r="D111" s="124"/>
      <c r="E111" s="125"/>
      <c r="F111" s="125" t="s">
        <v>91</v>
      </c>
      <c r="G111" s="126" t="s">
        <v>113</v>
      </c>
      <c r="H111" s="128">
        <v>13</v>
      </c>
      <c r="I111" s="126" t="s">
        <v>114</v>
      </c>
      <c r="J111" s="49"/>
      <c r="K111" s="29"/>
      <c r="L111" s="51"/>
    </row>
    <row r="112" spans="2:12" x14ac:dyDescent="0.35">
      <c r="B112" s="101"/>
      <c r="C112" s="123"/>
      <c r="D112" s="124" t="s">
        <v>125</v>
      </c>
      <c r="E112" s="125"/>
      <c r="F112" s="125" t="s">
        <v>126</v>
      </c>
      <c r="G112" s="126"/>
      <c r="H112" s="128"/>
      <c r="I112" s="126"/>
      <c r="J112" s="49"/>
      <c r="K112" s="29"/>
      <c r="L112" s="51"/>
    </row>
    <row r="113" spans="2:12" x14ac:dyDescent="0.35">
      <c r="B113" s="101"/>
      <c r="C113" s="123"/>
      <c r="D113" s="124"/>
      <c r="E113" s="125"/>
      <c r="F113" s="125" t="s">
        <v>91</v>
      </c>
      <c r="G113" s="126" t="s">
        <v>113</v>
      </c>
      <c r="H113" s="128">
        <v>15</v>
      </c>
      <c r="I113" s="126" t="s">
        <v>114</v>
      </c>
      <c r="J113" s="49"/>
      <c r="K113" s="29"/>
      <c r="L113" s="51"/>
    </row>
    <row r="114" spans="2:12" x14ac:dyDescent="0.35">
      <c r="B114" s="101"/>
      <c r="C114" s="123"/>
      <c r="D114" s="124" t="s">
        <v>127</v>
      </c>
      <c r="E114" s="125"/>
      <c r="F114" s="125" t="s">
        <v>128</v>
      </c>
      <c r="G114" s="126"/>
      <c r="H114" s="128"/>
      <c r="I114" s="126"/>
      <c r="J114" s="49"/>
      <c r="K114" s="29"/>
      <c r="L114" s="51"/>
    </row>
    <row r="115" spans="2:12" x14ac:dyDescent="0.35">
      <c r="B115" s="101"/>
      <c r="C115" s="123"/>
      <c r="D115" s="124"/>
      <c r="E115" s="125"/>
      <c r="F115" s="125" t="s">
        <v>91</v>
      </c>
      <c r="G115" s="126" t="s">
        <v>113</v>
      </c>
      <c r="H115" s="128">
        <v>7</v>
      </c>
      <c r="I115" s="126" t="s">
        <v>114</v>
      </c>
      <c r="J115" s="49"/>
      <c r="K115" s="29"/>
      <c r="L115" s="51"/>
    </row>
    <row r="116" spans="2:12" x14ac:dyDescent="0.35">
      <c r="B116" s="101"/>
      <c r="C116" s="123"/>
      <c r="D116" s="124" t="s">
        <v>129</v>
      </c>
      <c r="E116" s="125"/>
      <c r="F116" s="125" t="s">
        <v>130</v>
      </c>
      <c r="G116" s="126"/>
      <c r="H116" s="128"/>
      <c r="I116" s="126"/>
      <c r="J116" s="49"/>
      <c r="K116" s="29"/>
      <c r="L116" s="51"/>
    </row>
    <row r="117" spans="2:12" x14ac:dyDescent="0.35">
      <c r="B117" s="94"/>
      <c r="C117" s="123"/>
      <c r="D117" s="124"/>
      <c r="E117" s="125"/>
      <c r="F117" s="125" t="s">
        <v>91</v>
      </c>
      <c r="G117" s="126" t="s">
        <v>113</v>
      </c>
      <c r="H117" s="128">
        <v>17</v>
      </c>
      <c r="I117" s="126" t="s">
        <v>114</v>
      </c>
      <c r="J117" s="49"/>
      <c r="K117" s="29"/>
      <c r="L117" s="51"/>
    </row>
    <row r="118" spans="2:12" x14ac:dyDescent="0.35">
      <c r="B118" s="94"/>
      <c r="C118" s="123"/>
      <c r="D118" s="124" t="s">
        <v>131</v>
      </c>
      <c r="E118" s="125"/>
      <c r="F118" s="125" t="s">
        <v>132</v>
      </c>
      <c r="G118" s="126"/>
      <c r="H118" s="128"/>
      <c r="I118" s="126"/>
      <c r="J118" s="49"/>
      <c r="K118" s="29"/>
      <c r="L118" s="51"/>
    </row>
    <row r="119" spans="2:12" x14ac:dyDescent="0.35">
      <c r="B119" s="94"/>
      <c r="C119" s="123"/>
      <c r="D119" s="124"/>
      <c r="E119" s="125"/>
      <c r="F119" s="125" t="s">
        <v>91</v>
      </c>
      <c r="G119" s="126" t="s">
        <v>113</v>
      </c>
      <c r="H119" s="128">
        <v>13</v>
      </c>
      <c r="I119" s="126" t="s">
        <v>114</v>
      </c>
      <c r="J119" s="49"/>
      <c r="K119" s="29"/>
      <c r="L119" s="51"/>
    </row>
    <row r="120" spans="2:12" x14ac:dyDescent="0.35">
      <c r="B120" s="101"/>
      <c r="C120" s="102"/>
      <c r="D120" s="96"/>
      <c r="E120" s="97"/>
      <c r="F120" s="97"/>
      <c r="G120" s="98"/>
      <c r="H120" s="107"/>
      <c r="I120" s="100"/>
      <c r="J120" s="49"/>
      <c r="K120" s="29"/>
      <c r="L120" s="51"/>
    </row>
    <row r="121" spans="2:12" x14ac:dyDescent="0.35">
      <c r="B121" s="94"/>
      <c r="C121" s="95"/>
      <c r="D121" s="108"/>
      <c r="E121" s="97"/>
      <c r="F121" s="97"/>
      <c r="G121" s="98"/>
      <c r="H121" s="103"/>
      <c r="I121" s="98"/>
      <c r="J121" s="49"/>
      <c r="K121" s="29"/>
      <c r="L121" s="51"/>
    </row>
    <row r="122" spans="2:12" x14ac:dyDescent="0.35">
      <c r="B122" s="94"/>
      <c r="C122" s="95"/>
      <c r="D122" s="109"/>
      <c r="E122" s="102"/>
      <c r="F122" s="97"/>
      <c r="G122" s="98"/>
      <c r="H122" s="106"/>
      <c r="I122" s="100"/>
      <c r="J122" s="49"/>
      <c r="K122" s="29"/>
      <c r="L122" s="51"/>
    </row>
    <row r="123" spans="2:12" x14ac:dyDescent="0.35">
      <c r="B123" s="94"/>
      <c r="C123" s="95"/>
      <c r="D123" s="109"/>
      <c r="E123" s="102"/>
      <c r="F123" s="97"/>
      <c r="G123" s="98"/>
      <c r="H123" s="106"/>
      <c r="I123" s="100"/>
      <c r="J123" s="49"/>
      <c r="K123" s="29"/>
      <c r="L123" s="51"/>
    </row>
    <row r="124" spans="2:12" x14ac:dyDescent="0.35">
      <c r="B124" s="94"/>
      <c r="C124" s="95"/>
      <c r="D124" s="108"/>
      <c r="E124" s="97"/>
      <c r="F124" s="97"/>
      <c r="G124" s="98"/>
      <c r="H124" s="103"/>
      <c r="I124" s="98"/>
      <c r="J124" s="49"/>
      <c r="K124" s="29"/>
      <c r="L124" s="51"/>
    </row>
    <row r="125" spans="2:12" x14ac:dyDescent="0.35">
      <c r="B125" s="94"/>
      <c r="C125" s="95"/>
      <c r="D125" s="108"/>
      <c r="E125" s="97"/>
      <c r="F125" s="97"/>
      <c r="G125" s="98"/>
      <c r="H125" s="103"/>
      <c r="I125" s="98"/>
      <c r="J125" s="49"/>
      <c r="K125" s="29"/>
      <c r="L125" s="51"/>
    </row>
    <row r="126" spans="2:12" x14ac:dyDescent="0.35">
      <c r="B126" s="94"/>
      <c r="C126" s="95"/>
      <c r="D126" s="108"/>
      <c r="E126" s="97"/>
      <c r="F126" s="97"/>
      <c r="G126" s="98"/>
      <c r="H126" s="103"/>
      <c r="I126" s="98"/>
      <c r="J126" s="49"/>
      <c r="K126" s="29"/>
      <c r="L126" s="51"/>
    </row>
    <row r="127" spans="2:12" x14ac:dyDescent="0.35">
      <c r="B127" s="94"/>
      <c r="C127" s="95"/>
      <c r="D127" s="108"/>
      <c r="E127" s="97"/>
      <c r="F127" s="97"/>
      <c r="G127" s="98"/>
      <c r="H127" s="103"/>
      <c r="I127" s="98"/>
      <c r="J127" s="49"/>
      <c r="K127" s="29"/>
      <c r="L127" s="51"/>
    </row>
    <row r="128" spans="2:12" x14ac:dyDescent="0.35">
      <c r="B128" s="112"/>
      <c r="C128" s="113"/>
      <c r="D128" s="114"/>
      <c r="E128" s="115"/>
      <c r="F128" s="115"/>
      <c r="G128" s="116"/>
      <c r="H128" s="106"/>
      <c r="I128" s="116"/>
      <c r="J128" s="49"/>
      <c r="K128" s="29"/>
      <c r="L128" s="51"/>
    </row>
    <row r="129" spans="2:12" x14ac:dyDescent="0.35">
      <c r="B129" s="117"/>
      <c r="C129" s="113"/>
      <c r="D129" s="114"/>
      <c r="E129" s="115"/>
      <c r="F129" s="115"/>
      <c r="G129" s="116"/>
      <c r="H129" s="107"/>
      <c r="I129" s="116"/>
      <c r="J129" s="49"/>
      <c r="K129" s="29"/>
      <c r="L129" s="51"/>
    </row>
    <row r="130" spans="2:12" x14ac:dyDescent="0.35">
      <c r="B130" s="47"/>
      <c r="C130" s="48"/>
      <c r="D130" s="24"/>
      <c r="G130" s="22"/>
      <c r="I130" s="22"/>
      <c r="J130" s="49"/>
      <c r="K130" s="29"/>
      <c r="L130" s="51"/>
    </row>
    <row r="131" spans="2:12" x14ac:dyDescent="0.35">
      <c r="B131" s="47"/>
      <c r="C131" s="48"/>
      <c r="D131" s="24"/>
      <c r="G131" s="22"/>
      <c r="I131" s="22"/>
      <c r="J131" s="49"/>
      <c r="K131" s="29"/>
      <c r="L131" s="51"/>
    </row>
    <row r="132" spans="2:12" x14ac:dyDescent="0.35">
      <c r="B132" s="47"/>
      <c r="C132" s="48"/>
      <c r="D132" s="24"/>
      <c r="G132" s="22"/>
      <c r="I132" s="22"/>
      <c r="J132" s="49"/>
      <c r="K132" s="29"/>
      <c r="L132" s="51"/>
    </row>
    <row r="133" spans="2:12" x14ac:dyDescent="0.35">
      <c r="B133" s="47"/>
      <c r="C133" s="48"/>
      <c r="D133" s="24"/>
      <c r="G133" s="22"/>
      <c r="I133" s="22"/>
      <c r="J133" s="49"/>
      <c r="K133" s="29"/>
      <c r="L133" s="51"/>
    </row>
    <row r="134" spans="2:12" x14ac:dyDescent="0.35">
      <c r="B134" s="47"/>
      <c r="C134" s="48"/>
      <c r="D134" s="24"/>
      <c r="G134" s="22"/>
      <c r="I134" s="22"/>
      <c r="J134" s="49"/>
      <c r="K134" s="29"/>
      <c r="L134" s="51"/>
    </row>
    <row r="135" spans="2:12" x14ac:dyDescent="0.35">
      <c r="B135" s="47"/>
      <c r="C135" s="48"/>
      <c r="D135" s="24"/>
      <c r="G135" s="22"/>
      <c r="I135" s="22"/>
      <c r="J135" s="49"/>
      <c r="K135" s="29"/>
      <c r="L135" s="51"/>
    </row>
    <row r="136" spans="2:12" x14ac:dyDescent="0.35">
      <c r="B136" s="47"/>
      <c r="C136" s="48"/>
      <c r="D136" s="24"/>
      <c r="G136" s="22"/>
      <c r="I136" s="22"/>
      <c r="J136" s="49"/>
      <c r="K136" s="29"/>
      <c r="L136" s="51"/>
    </row>
    <row r="137" spans="2:12" x14ac:dyDescent="0.35">
      <c r="B137" s="47"/>
      <c r="C137" s="48"/>
      <c r="D137" s="24"/>
      <c r="G137" s="22"/>
      <c r="I137" s="22"/>
      <c r="J137" s="49"/>
      <c r="K137" s="29"/>
      <c r="L137" s="51"/>
    </row>
    <row r="138" spans="2:12" x14ac:dyDescent="0.35">
      <c r="B138" s="47"/>
      <c r="C138" s="48"/>
      <c r="D138" s="24"/>
      <c r="G138" s="22"/>
      <c r="I138" s="22"/>
      <c r="J138" s="49"/>
      <c r="K138" s="29"/>
      <c r="L138" s="51"/>
    </row>
    <row r="139" spans="2:12" x14ac:dyDescent="0.35">
      <c r="B139" s="8"/>
      <c r="C139" s="9"/>
      <c r="D139" s="10"/>
      <c r="E139" s="4"/>
      <c r="F139" s="4"/>
      <c r="G139" s="4"/>
      <c r="H139" s="1"/>
      <c r="I139" s="1"/>
      <c r="J139" s="11" t="s">
        <v>8</v>
      </c>
      <c r="K139" s="7">
        <f>SUM(K87:K138)</f>
        <v>0</v>
      </c>
      <c r="L139" s="7">
        <f>SUM(L87:L138)</f>
        <v>0</v>
      </c>
    </row>
    <row r="140" spans="2:12" x14ac:dyDescent="0.35">
      <c r="B140" s="8"/>
      <c r="C140" s="9"/>
      <c r="D140" s="9"/>
      <c r="E140" s="4"/>
      <c r="F140" s="4"/>
      <c r="G140" s="4"/>
      <c r="H140" s="1"/>
      <c r="I140" s="1"/>
      <c r="J140" s="11" t="s">
        <v>36</v>
      </c>
      <c r="K140" s="59"/>
      <c r="L140" s="7"/>
    </row>
    <row r="141" spans="2:12" x14ac:dyDescent="0.35">
      <c r="B141" s="8"/>
      <c r="C141" s="9"/>
      <c r="D141" s="9"/>
      <c r="E141" s="4"/>
      <c r="F141" s="4"/>
      <c r="G141" s="4"/>
      <c r="H141" s="1"/>
      <c r="I141" s="1"/>
      <c r="J141" s="11"/>
      <c r="K141" s="35" t="s">
        <v>22</v>
      </c>
      <c r="L141" s="36" t="s">
        <v>23</v>
      </c>
    </row>
    <row r="142" spans="2:12" x14ac:dyDescent="0.35">
      <c r="B142" s="3" t="s">
        <v>9</v>
      </c>
      <c r="C142" s="4"/>
      <c r="D142" s="4"/>
      <c r="E142" s="4"/>
      <c r="F142" s="4"/>
      <c r="G142" s="4"/>
      <c r="H142" s="1"/>
      <c r="I142" s="1"/>
      <c r="J142" s="12"/>
      <c r="K142" s="12"/>
      <c r="L142" s="13"/>
    </row>
    <row r="143" spans="2:12" x14ac:dyDescent="0.35">
      <c r="B143" s="37"/>
      <c r="C143" s="1"/>
      <c r="D143" s="1"/>
      <c r="E143" s="38"/>
      <c r="F143" s="38"/>
      <c r="G143" s="38"/>
      <c r="H143" s="1"/>
      <c r="I143" s="1"/>
      <c r="J143" s="1"/>
      <c r="K143" s="1"/>
      <c r="L143" s="19"/>
    </row>
    <row r="144" spans="2:12" x14ac:dyDescent="0.35">
      <c r="B144" s="28" t="s">
        <v>6</v>
      </c>
      <c r="C144" s="27"/>
      <c r="D144" s="27"/>
      <c r="E144" s="26"/>
      <c r="F144" s="26"/>
      <c r="G144" s="5"/>
      <c r="K144" s="129" t="s">
        <v>105</v>
      </c>
      <c r="L144" s="130"/>
    </row>
    <row r="145" spans="2:12" x14ac:dyDescent="0.35">
      <c r="B145" s="28">
        <v>1</v>
      </c>
      <c r="C145" s="27"/>
      <c r="D145" s="27"/>
      <c r="E145" s="26" t="s">
        <v>7</v>
      </c>
      <c r="F145" s="26"/>
      <c r="G145" s="5"/>
      <c r="K145" s="129" t="s">
        <v>28</v>
      </c>
      <c r="L145" s="130"/>
    </row>
    <row r="146" spans="2:12" x14ac:dyDescent="0.35">
      <c r="B146" s="39"/>
      <c r="C146" s="27"/>
      <c r="D146" s="27"/>
      <c r="E146" s="26"/>
      <c r="F146" s="26"/>
      <c r="G146" s="5"/>
      <c r="J146" s="25"/>
      <c r="K146" s="25"/>
      <c r="L146" s="24"/>
    </row>
    <row r="147" spans="2:12" x14ac:dyDescent="0.35">
      <c r="B147" s="28"/>
      <c r="C147" s="27"/>
      <c r="D147" s="27"/>
      <c r="E147" s="26"/>
      <c r="F147" s="26"/>
      <c r="G147" s="5"/>
      <c r="L147" s="22"/>
    </row>
    <row r="148" spans="2:12" x14ac:dyDescent="0.35">
      <c r="B148" s="45"/>
      <c r="E148" s="5"/>
      <c r="F148" s="5"/>
      <c r="G148" s="5"/>
      <c r="L148" s="22"/>
    </row>
    <row r="149" spans="2:12" x14ac:dyDescent="0.35">
      <c r="B149" s="45"/>
      <c r="E149" s="5"/>
      <c r="F149" s="5"/>
      <c r="G149" s="5"/>
      <c r="L149" s="22"/>
    </row>
    <row r="150" spans="2:12" x14ac:dyDescent="0.35">
      <c r="B150" s="45"/>
      <c r="E150" s="5"/>
      <c r="F150" s="5"/>
      <c r="G150" s="5"/>
      <c r="L150" s="22"/>
    </row>
    <row r="151" spans="2:12" x14ac:dyDescent="0.35">
      <c r="B151" s="45"/>
      <c r="E151" s="5"/>
      <c r="F151" s="5"/>
      <c r="G151" s="5"/>
      <c r="J151" s="40"/>
      <c r="K151" s="131" t="s">
        <v>37</v>
      </c>
      <c r="L151" s="132"/>
    </row>
    <row r="152" spans="2:12" x14ac:dyDescent="0.35">
      <c r="B152" s="45"/>
      <c r="K152" s="133" t="s">
        <v>38</v>
      </c>
      <c r="L152" s="134"/>
    </row>
    <row r="153" spans="2:12" x14ac:dyDescent="0.35">
      <c r="B153" s="135"/>
      <c r="C153" s="136"/>
      <c r="D153" s="136"/>
      <c r="E153" s="41"/>
      <c r="F153" s="41"/>
      <c r="G153" s="41"/>
      <c r="H153" s="2"/>
      <c r="I153" s="2"/>
      <c r="J153" s="2"/>
      <c r="K153" s="2"/>
      <c r="L153" s="21"/>
    </row>
  </sheetData>
  <mergeCells count="18">
    <mergeCell ref="F15:G15"/>
    <mergeCell ref="E18:G19"/>
    <mergeCell ref="H18:I19"/>
    <mergeCell ref="J18:J19"/>
    <mergeCell ref="K18:K19"/>
    <mergeCell ref="B86:D86"/>
    <mergeCell ref="B18:D19"/>
    <mergeCell ref="N21:O21"/>
    <mergeCell ref="K77:L77"/>
    <mergeCell ref="K84:L84"/>
    <mergeCell ref="K85:L85"/>
    <mergeCell ref="K78:L78"/>
    <mergeCell ref="L18:L19"/>
    <mergeCell ref="K144:L144"/>
    <mergeCell ref="K145:L145"/>
    <mergeCell ref="K151:L151"/>
    <mergeCell ref="K152:L152"/>
    <mergeCell ref="B153:D153"/>
  </mergeCells>
  <conditionalFormatting sqref="E58:E60">
    <cfRule type="expression" dxfId="5" priority="9">
      <formula>AND((ISBLANK($B58)=FALSE),(ISBLANK($E58)=FALSE))</formula>
    </cfRule>
  </conditionalFormatting>
  <conditionalFormatting sqref="E62">
    <cfRule type="expression" dxfId="4" priority="8">
      <formula>AND((ISBLANK($B62)=FALSE),(ISBLANK($E62)=FALSE))</formula>
    </cfRule>
  </conditionalFormatting>
  <conditionalFormatting sqref="E64 E66">
    <cfRule type="expression" dxfId="3" priority="4">
      <formula>AND((ISBLANK($B64)=FALSE),(ISBLANK($E64)=FALSE))</formula>
    </cfRule>
  </conditionalFormatting>
  <conditionalFormatting sqref="E68:E69">
    <cfRule type="expression" dxfId="2" priority="2">
      <formula>AND((ISBLANK($B68)=FALSE),(ISBLANK($E68)=FALSE))</formula>
    </cfRule>
  </conditionalFormatting>
  <conditionalFormatting sqref="E88">
    <cfRule type="expression" dxfId="1" priority="1">
      <formula>AND((ISBLANK($B88)=FALSE),(ISBLANK($E88)=FALSE))</formula>
    </cfRule>
  </conditionalFormatting>
  <conditionalFormatting sqref="E129">
    <cfRule type="expression" dxfId="0" priority="5">
      <formula>AND((ISBLANK($B129)=FALSE),(ISBLANK($E129)=FALSE))</formula>
    </cfRule>
  </conditionalFormatting>
  <printOptions horizontalCentered="1"/>
  <pageMargins left="0.80870078740157503" right="0.39370078740157499" top="0.39370078740157499" bottom="0.39370078740157499" header="0.31496062992126" footer="0.31496062992126"/>
  <pageSetup scale="55" fitToHeight="0" orientation="portrait" r:id="rId1"/>
  <headerFooter>
    <oddFooter>&amp;LMKT-FM-002/Rev.01/18 Des 15/&amp;K00B050Green&amp;RPage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Rincian Biaya rev.00</vt:lpstr>
      <vt:lpstr>'Rincian Biaya rev.00'!Print_Area</vt:lpstr>
      <vt:lpstr>'Rincian Biaya rev.00'!Print_Titles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wimba prambada</dc:creator>
  <cp:lastModifiedBy>sigit hartono</cp:lastModifiedBy>
  <cp:lastPrinted>2022-06-22T06:43:51Z</cp:lastPrinted>
  <dcterms:created xsi:type="dcterms:W3CDTF">2015-07-30T04:54:41Z</dcterms:created>
  <dcterms:modified xsi:type="dcterms:W3CDTF">2025-12-23T07:39:42Z</dcterms:modified>
</cp:coreProperties>
</file>