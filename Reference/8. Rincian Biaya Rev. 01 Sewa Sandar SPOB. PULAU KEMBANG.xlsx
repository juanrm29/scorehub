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6BA74EA9-233A-4313-92D7-B5C59CDF6A9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1" sheetId="43" r:id="rId1"/>
  </sheets>
  <definedNames>
    <definedName name="_xlnm.Print_Area" localSheetId="0">'Rincian Biaya rev.01'!$B$2:$L$85</definedName>
    <definedName name="_xlnm.Print_Titles" localSheetId="0">'Rincian Biaya rev.01'!$2:$19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0" i="43" l="1"/>
  <c r="Q27" i="43"/>
  <c r="P27" i="43"/>
  <c r="O27" i="43"/>
  <c r="O28" i="43" s="1"/>
  <c r="Q26" i="43"/>
  <c r="O26" i="43"/>
  <c r="Q25" i="43"/>
  <c r="O25" i="43"/>
  <c r="P24" i="43"/>
  <c r="O24" i="43"/>
  <c r="Q22" i="43"/>
  <c r="R23" i="43" s="1"/>
  <c r="S23" i="43" s="1"/>
  <c r="P22" i="43"/>
  <c r="K22" i="43"/>
  <c r="K70" i="43" s="1"/>
  <c r="M70" i="43" s="1"/>
  <c r="N70" i="43" s="1"/>
  <c r="K72" i="43" l="1"/>
  <c r="T23" i="43"/>
</calcChain>
</file>

<file path=xl/sharedStrings.xml><?xml version="1.0" encoding="utf-8"?>
<sst xmlns="http://schemas.openxmlformats.org/spreadsheetml/2006/main" count="61" uniqueCount="55">
  <si>
    <t>No</t>
  </si>
  <si>
    <t>Item</t>
  </si>
  <si>
    <t>Volume</t>
  </si>
  <si>
    <t>Unit Price</t>
  </si>
  <si>
    <t>Client</t>
  </si>
  <si>
    <t>Contact</t>
  </si>
  <si>
    <t>Note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</si>
  <si>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</si>
  <si>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</si>
  <si>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</si>
  <si>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</si>
  <si>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</si>
  <si>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</si>
  <si>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</si>
  <si>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</si>
  <si>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</si>
  <si>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</si>
  <si>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</si>
  <si>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</si>
  <si>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</si>
  <si>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</si>
  <si>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</si>
  <si>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</si>
  <si>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</si>
  <si>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</si>
  <si>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</si>
  <si>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</si>
  <si>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</si>
  <si>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</si>
  <si>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</si>
  <si>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</si>
  <si>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</si>
  <si>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</si>
  <si>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</si>
  <si>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</si>
  <si>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</si>
  <si>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</si>
  <si>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25 Meter</t>
  </si>
  <si>
    <t>: 5.5 Meter</t>
  </si>
  <si>
    <t>: 2 Meter</t>
  </si>
  <si>
    <t xml:space="preserve">: </t>
  </si>
  <si>
    <t>: 8/FIN/MKT-MNB/II/2025</t>
  </si>
  <si>
    <t>I</t>
  </si>
  <si>
    <t>a</t>
  </si>
  <si>
    <t>Hari</t>
  </si>
  <si>
    <t>Sewa Sandar setelah udnocking (7 April 2023 - 10 Februari 2025)</t>
  </si>
  <si>
    <t xml:space="preserve">Discount   </t>
  </si>
  <si>
    <t xml:space="preserve">Total After Discount   </t>
  </si>
  <si>
    <t>Balikpapan, 24 Februari 2025</t>
  </si>
  <si>
    <t xml:space="preserve">Nama Bank </t>
  </si>
  <si>
    <t>No. Rek</t>
  </si>
  <si>
    <t>A.N</t>
  </si>
  <si>
    <t>Mandiri Cab. Balikpapan Suprapto</t>
  </si>
  <si>
    <t>149-0005082708</t>
  </si>
  <si>
    <t>PT.Meranti Nusa Bahari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</si>
</sst>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IDR&quot;* #,##0_-;\-&quot;IDR&quot;* #,##0_-;_-&quot;IDR&quot;* &quot;-&quot;_-;_-@_-"/>
    <numFmt numFmtId="165" formatCode="_([$IDR]\ * #,##0_);_([$IDR]\ * \(#,##0\);_([$IDR]\ 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10" fillId="2" borderId="0" xfId="0" applyFont="1" applyFill="1"/>
    <xf numFmtId="0" fontId="7" fillId="2" borderId="6" xfId="0" applyFont="1" applyFill="1" applyBorder="1" applyAlignment="1">
      <alignment vertical="center"/>
    </xf>
    <xf numFmtId="0" fontId="8" fillId="3" borderId="0" xfId="0" applyFont="1" applyFill="1"/>
    <xf numFmtId="0" fontId="13" fillId="2" borderId="5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0" fontId="10" fillId="2" borderId="6" xfId="0" applyFont="1" applyFill="1" applyBorder="1"/>
    <xf numFmtId="164" fontId="2" fillId="2" borderId="15" xfId="1" applyFont="1" applyFill="1" applyBorder="1"/>
    <xf numFmtId="164" fontId="0" fillId="2" borderId="5" xfId="0" applyNumberFormat="1" applyFill="1" applyBorder="1"/>
    <xf numFmtId="0" fontId="8" fillId="4" borderId="0" xfId="0" applyFont="1" applyFill="1" applyAlignment="1">
      <alignment horizontal="left"/>
    </xf>
    <xf numFmtId="49" fontId="2" fillId="2" borderId="0" xfId="0" quotePrefix="1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7481D-9546-4108-9327-9CF3DB7A7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97B56B-1F92-454E-B692-EA5EFCE22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FB69-D66E-4375-B2AC-3A6461C118B5}">
  <sheetPr>
    <tabColor theme="3" tint="0.39997558519241921"/>
  </sheetPr>
  <dimension ref="B7:W85"/>
  <sheetViews>
    <sheetView showGridLines="0" tabSelected="1" view="pageBreakPreview" topLeftCell="A52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</cols>
  <sheetData>
    <row r="7" spans="2:13" ht="15" customHeight="1" x14ac:dyDescent="0.35"/>
    <row r="8" spans="2:13" ht="18" x14ac:dyDescent="0.4">
      <c r="B8" s="31" t="s">
        <v>23</v>
      </c>
      <c r="C8" s="17"/>
      <c r="D8" s="17"/>
    </row>
    <row r="9" spans="2:13" x14ac:dyDescent="0.35">
      <c r="B9" s="32" t="s">
        <v>24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28</v>
      </c>
      <c r="L10" s="20"/>
      <c r="M10" s="18"/>
    </row>
    <row r="11" spans="2:13" x14ac:dyDescent="0.35">
      <c r="B11" s="18" t="s">
        <v>0</v>
      </c>
      <c r="F11" s="18" t="s">
        <v>41</v>
      </c>
      <c r="J11" s="18" t="s">
        <v>29</v>
      </c>
      <c r="M11" s="18"/>
    </row>
    <row r="12" spans="2:13" x14ac:dyDescent="0.35">
      <c r="B12" s="18" t="s">
        <v>34</v>
      </c>
      <c r="F12" s="18" t="s">
        <v>25</v>
      </c>
      <c r="J12" s="18" t="s">
        <v>30</v>
      </c>
      <c r="K12" s="18" t="s">
        <v>37</v>
      </c>
      <c r="M12" s="18"/>
    </row>
    <row r="13" spans="2:13" x14ac:dyDescent="0.35">
      <c r="B13" s="18" t="s">
        <v>4</v>
      </c>
      <c r="F13" s="55"/>
      <c r="J13" s="18" t="s">
        <v>31</v>
      </c>
      <c r="K13" s="18" t="s">
        <v>38</v>
      </c>
      <c r="M13" s="18"/>
    </row>
    <row r="14" spans="2:13" x14ac:dyDescent="0.35">
      <c r="B14" s="18" t="s">
        <v>5</v>
      </c>
      <c r="F14" s="55"/>
      <c r="J14" s="18" t="s">
        <v>32</v>
      </c>
      <c r="K14" s="18" t="s">
        <v>39</v>
      </c>
      <c r="M14" s="18"/>
    </row>
    <row r="15" spans="2:13" x14ac:dyDescent="0.35">
      <c r="F15" s="63"/>
      <c r="G15" s="63"/>
      <c r="J15" s="18" t="s">
        <v>33</v>
      </c>
      <c r="K15" s="18" t="s">
        <v>40</v>
      </c>
      <c r="M15" s="18"/>
    </row>
    <row r="16" spans="2:13" x14ac:dyDescent="0.35">
      <c r="F16" s="6"/>
    </row>
    <row r="18" spans="2:20" s="33" customFormat="1" ht="15" customHeight="1" x14ac:dyDescent="0.35">
      <c r="B18" s="64" t="s">
        <v>0</v>
      </c>
      <c r="C18" s="65"/>
      <c r="D18" s="66"/>
      <c r="E18" s="64" t="s">
        <v>1</v>
      </c>
      <c r="F18" s="65"/>
      <c r="G18" s="66"/>
      <c r="H18" s="64" t="s">
        <v>2</v>
      </c>
      <c r="I18" s="66"/>
      <c r="J18" s="70" t="s">
        <v>3</v>
      </c>
      <c r="K18" s="70" t="s">
        <v>21</v>
      </c>
      <c r="L18" s="70" t="s">
        <v>22</v>
      </c>
    </row>
    <row r="19" spans="2:20" s="33" customFormat="1" ht="15" customHeight="1" x14ac:dyDescent="0.35">
      <c r="B19" s="67"/>
      <c r="C19" s="68"/>
      <c r="D19" s="69"/>
      <c r="E19" s="67"/>
      <c r="F19" s="68"/>
      <c r="G19" s="69"/>
      <c r="H19" s="67"/>
      <c r="I19" s="69"/>
      <c r="J19" s="71"/>
      <c r="K19" s="71"/>
      <c r="L19" s="71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56"/>
      <c r="C21" s="57"/>
      <c r="D21" s="58" t="s">
        <v>42</v>
      </c>
      <c r="E21" s="53" t="s">
        <v>9</v>
      </c>
      <c r="F21" s="53"/>
      <c r="G21" s="59"/>
      <c r="J21" s="29"/>
      <c r="K21" s="51"/>
      <c r="L21" s="46"/>
      <c r="M21" s="18"/>
      <c r="N21" s="74" t="s">
        <v>14</v>
      </c>
      <c r="O21" s="74"/>
    </row>
    <row r="22" spans="2:20" x14ac:dyDescent="0.35">
      <c r="B22" s="47"/>
      <c r="C22" s="48"/>
      <c r="D22" s="49" t="s">
        <v>43</v>
      </c>
      <c r="F22" s="18" t="s">
        <v>45</v>
      </c>
      <c r="G22" s="22"/>
      <c r="H22" s="18">
        <v>667</v>
      </c>
      <c r="I22" s="22" t="s">
        <v>44</v>
      </c>
      <c r="J22" s="50">
        <v>450000</v>
      </c>
      <c r="K22" s="51">
        <f>J22*H22</f>
        <v>300150000</v>
      </c>
      <c r="L22" s="46"/>
      <c r="N22" s="23" t="s">
        <v>10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47"/>
      <c r="C23" s="48"/>
      <c r="D23" s="24"/>
      <c r="G23" s="22"/>
      <c r="I23" s="22"/>
      <c r="J23" s="50"/>
      <c r="K23" s="51"/>
      <c r="L23" s="46"/>
      <c r="N23" s="23" t="s">
        <v>20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47"/>
      <c r="C24" s="48"/>
      <c r="D24" s="24"/>
      <c r="G24" s="22"/>
      <c r="I24" s="30"/>
      <c r="J24" s="50"/>
      <c r="K24" s="29"/>
      <c r="L24" s="52"/>
      <c r="N24" s="23" t="s">
        <v>11</v>
      </c>
      <c r="O24" s="23" t="e">
        <f>#REF!-#REF!</f>
        <v>#REF!</v>
      </c>
      <c r="P24">
        <f>140*50%</f>
        <v>70</v>
      </c>
    </row>
    <row r="25" spans="2:20" x14ac:dyDescent="0.35">
      <c r="B25" s="47"/>
      <c r="C25" s="48"/>
      <c r="D25" s="24"/>
      <c r="G25" s="22"/>
      <c r="I25" s="54"/>
      <c r="J25" s="50"/>
      <c r="K25" s="29"/>
      <c r="L25" s="52"/>
      <c r="M25" s="18"/>
      <c r="N25" s="23" t="s">
        <v>12</v>
      </c>
      <c r="O25" s="23">
        <f>(O22+O23)*2</f>
        <v>71.960000000000008</v>
      </c>
      <c r="Q25">
        <f>O22-(1.83*4)</f>
        <v>19.66</v>
      </c>
      <c r="R25" t="s">
        <v>18</v>
      </c>
    </row>
    <row r="26" spans="2:20" x14ac:dyDescent="0.35">
      <c r="B26" s="47"/>
      <c r="C26" s="48"/>
      <c r="D26" s="24"/>
      <c r="G26" s="22"/>
      <c r="I26" s="22"/>
      <c r="J26" s="50"/>
      <c r="K26" s="29"/>
      <c r="L26" s="52"/>
      <c r="M26" s="18"/>
      <c r="N26" s="23" t="s">
        <v>13</v>
      </c>
      <c r="O26" s="23">
        <f>(O22-5)*O23</f>
        <v>197.82</v>
      </c>
      <c r="Q26">
        <f>O23-2</f>
        <v>7</v>
      </c>
      <c r="R26" t="s">
        <v>19</v>
      </c>
    </row>
    <row r="27" spans="2:20" x14ac:dyDescent="0.35">
      <c r="B27" s="47"/>
      <c r="C27" s="48"/>
      <c r="D27" s="24"/>
      <c r="G27" s="22"/>
      <c r="I27" s="22"/>
      <c r="J27" s="50"/>
      <c r="K27" s="29"/>
      <c r="L27" s="52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47"/>
      <c r="C28" s="48"/>
      <c r="D28" s="24"/>
      <c r="G28" s="22"/>
      <c r="I28" s="22"/>
      <c r="J28" s="50"/>
      <c r="K28" s="29"/>
      <c r="L28" s="52"/>
      <c r="M28" s="18"/>
      <c r="N28" s="23"/>
      <c r="O28" s="23" t="e">
        <f>#REF!+O27</f>
        <v>#REF!</v>
      </c>
    </row>
    <row r="29" spans="2:20" x14ac:dyDescent="0.35">
      <c r="B29" s="47"/>
      <c r="C29" s="48"/>
      <c r="D29" s="24"/>
      <c r="G29" s="22"/>
      <c r="I29" s="22"/>
      <c r="J29" s="50"/>
      <c r="K29" s="29"/>
      <c r="L29" s="52"/>
      <c r="M29" s="18"/>
      <c r="N29" s="23"/>
      <c r="O29" s="23"/>
    </row>
    <row r="30" spans="2:20" x14ac:dyDescent="0.35">
      <c r="B30" s="47"/>
      <c r="C30" s="48"/>
      <c r="D30" s="24"/>
      <c r="G30" s="22"/>
      <c r="I30" s="22"/>
      <c r="J30" s="50"/>
      <c r="K30" s="29"/>
      <c r="L30" s="52"/>
      <c r="M30" s="18"/>
      <c r="N30" s="23"/>
      <c r="O30" s="23"/>
    </row>
    <row r="31" spans="2:20" x14ac:dyDescent="0.35">
      <c r="B31" s="47"/>
      <c r="C31" s="48"/>
      <c r="D31" s="24"/>
      <c r="G31" s="22"/>
      <c r="I31" s="22"/>
      <c r="J31" s="50"/>
      <c r="K31" s="29"/>
      <c r="L31" s="52"/>
      <c r="M31" s="18"/>
      <c r="N31" s="23"/>
      <c r="O31" s="23"/>
    </row>
    <row r="32" spans="2:20" x14ac:dyDescent="0.35">
      <c r="B32" s="47"/>
      <c r="C32" s="48"/>
      <c r="D32" s="24"/>
      <c r="G32" s="22"/>
      <c r="I32" s="22"/>
      <c r="J32" s="50"/>
      <c r="K32" s="29"/>
      <c r="L32" s="52"/>
      <c r="M32" s="18"/>
      <c r="N32" s="23">
        <v>1</v>
      </c>
      <c r="O32" s="23" t="s">
        <v>9</v>
      </c>
    </row>
    <row r="33" spans="2:15" x14ac:dyDescent="0.35">
      <c r="B33" s="47"/>
      <c r="C33" s="48"/>
      <c r="D33" s="24"/>
      <c r="G33" s="22"/>
      <c r="I33" s="22"/>
      <c r="J33" s="50"/>
      <c r="K33" s="29"/>
      <c r="L33" s="52"/>
      <c r="M33" s="18"/>
      <c r="N33" s="23"/>
      <c r="O33" s="23"/>
    </row>
    <row r="34" spans="2:15" x14ac:dyDescent="0.35">
      <c r="B34" s="47"/>
      <c r="C34" s="48"/>
      <c r="D34" s="24"/>
      <c r="G34" s="22"/>
      <c r="I34" s="22"/>
      <c r="J34" s="50"/>
      <c r="K34" s="29"/>
      <c r="L34" s="52"/>
      <c r="M34" s="18"/>
      <c r="N34" s="23"/>
      <c r="O34" s="23"/>
    </row>
    <row r="35" spans="2:15" x14ac:dyDescent="0.35">
      <c r="B35" s="47"/>
      <c r="C35" s="48"/>
      <c r="D35" s="24"/>
      <c r="G35" s="22"/>
      <c r="I35" s="22"/>
      <c r="J35" s="50"/>
      <c r="K35" s="29"/>
      <c r="L35" s="52"/>
      <c r="M35" s="18"/>
      <c r="N35" s="23"/>
      <c r="O35" s="23"/>
    </row>
    <row r="36" spans="2:15" x14ac:dyDescent="0.35">
      <c r="B36" s="47"/>
      <c r="C36" s="48"/>
      <c r="D36" s="24"/>
      <c r="G36" s="22"/>
      <c r="I36" s="22"/>
      <c r="J36" s="50"/>
      <c r="K36" s="29"/>
      <c r="L36" s="52"/>
      <c r="M36" s="18"/>
      <c r="N36" s="23">
        <v>2</v>
      </c>
      <c r="O36" s="23" t="s">
        <v>15</v>
      </c>
    </row>
    <row r="37" spans="2:15" x14ac:dyDescent="0.35">
      <c r="B37" s="47"/>
      <c r="C37" s="48"/>
      <c r="D37" s="24"/>
      <c r="G37" s="22"/>
      <c r="I37" s="22"/>
      <c r="J37" s="50"/>
      <c r="K37" s="29"/>
      <c r="L37" s="52"/>
      <c r="M37" s="18"/>
      <c r="N37" s="23">
        <v>4</v>
      </c>
      <c r="O37" s="23" t="s">
        <v>16</v>
      </c>
    </row>
    <row r="38" spans="2:15" x14ac:dyDescent="0.35">
      <c r="B38" s="47"/>
      <c r="C38" s="48"/>
      <c r="D38" s="24"/>
      <c r="G38" s="22"/>
      <c r="I38" s="22"/>
      <c r="J38" s="50"/>
      <c r="K38" s="29"/>
      <c r="L38" s="52"/>
      <c r="M38" s="18"/>
      <c r="N38" s="23"/>
      <c r="O38" s="23"/>
    </row>
    <row r="39" spans="2:15" x14ac:dyDescent="0.35">
      <c r="B39" s="47"/>
      <c r="C39" s="48"/>
      <c r="D39" s="24"/>
      <c r="G39" s="22"/>
      <c r="I39" s="22"/>
      <c r="J39" s="50"/>
      <c r="K39" s="29"/>
      <c r="L39" s="52"/>
      <c r="M39" s="18"/>
      <c r="N39" s="23"/>
      <c r="O39" s="23"/>
    </row>
    <row r="40" spans="2:15" x14ac:dyDescent="0.35">
      <c r="B40" s="47"/>
      <c r="C40" s="48"/>
      <c r="D40" s="24"/>
      <c r="G40" s="22"/>
      <c r="I40" s="22"/>
      <c r="J40" s="50"/>
      <c r="K40" s="29"/>
      <c r="L40" s="52"/>
      <c r="M40" s="18"/>
      <c r="N40" s="23">
        <v>14</v>
      </c>
      <c r="O40" s="23" t="s">
        <v>17</v>
      </c>
    </row>
    <row r="41" spans="2:15" x14ac:dyDescent="0.35">
      <c r="B41" s="47"/>
      <c r="C41" s="48"/>
      <c r="D41" s="24"/>
      <c r="G41" s="22"/>
      <c r="I41" s="22"/>
      <c r="J41" s="50"/>
      <c r="K41" s="29"/>
      <c r="L41" s="52"/>
      <c r="M41" s="18"/>
      <c r="N41" s="23">
        <v>15</v>
      </c>
      <c r="O41" s="23" t="s">
        <v>26</v>
      </c>
    </row>
    <row r="42" spans="2:15" x14ac:dyDescent="0.35">
      <c r="B42" s="47"/>
      <c r="C42" s="48"/>
      <c r="D42" s="24"/>
      <c r="G42" s="22"/>
      <c r="I42" s="22"/>
      <c r="J42" s="50"/>
      <c r="K42" s="29"/>
      <c r="L42" s="52"/>
      <c r="M42" s="18"/>
      <c r="N42" s="23"/>
      <c r="O42" s="23"/>
    </row>
    <row r="43" spans="2:15" x14ac:dyDescent="0.35">
      <c r="B43" s="47"/>
      <c r="C43" s="48"/>
      <c r="D43" s="24"/>
      <c r="G43" s="22"/>
      <c r="I43" s="22"/>
      <c r="J43" s="50"/>
      <c r="K43" s="29"/>
      <c r="L43" s="52"/>
      <c r="M43" s="18"/>
      <c r="N43" s="23"/>
      <c r="O43" s="23"/>
    </row>
    <row r="44" spans="2:15" x14ac:dyDescent="0.35">
      <c r="B44" s="47"/>
      <c r="C44" s="48"/>
      <c r="D44" s="24"/>
      <c r="G44" s="22"/>
      <c r="I44" s="22"/>
      <c r="J44" s="50"/>
      <c r="K44" s="29"/>
      <c r="L44" s="52"/>
      <c r="M44" s="18"/>
      <c r="N44" s="23"/>
      <c r="O44" s="23"/>
    </row>
    <row r="45" spans="2:15" x14ac:dyDescent="0.35">
      <c r="B45" s="47"/>
      <c r="C45" s="48"/>
      <c r="D45" s="24"/>
      <c r="G45" s="22"/>
      <c r="I45" s="22"/>
      <c r="J45" s="50"/>
      <c r="K45" s="29"/>
      <c r="L45" s="52"/>
      <c r="M45" s="18"/>
      <c r="N45" s="23"/>
      <c r="O45" s="23"/>
    </row>
    <row r="46" spans="2:15" x14ac:dyDescent="0.35">
      <c r="B46" s="47"/>
      <c r="C46" s="48"/>
      <c r="D46" s="24"/>
      <c r="G46" s="22"/>
      <c r="I46" s="22"/>
      <c r="J46" s="50"/>
      <c r="K46" s="29"/>
      <c r="L46" s="52"/>
      <c r="M46" s="18"/>
      <c r="N46" s="23"/>
      <c r="O46" s="23"/>
    </row>
    <row r="47" spans="2:15" x14ac:dyDescent="0.35">
      <c r="B47" s="47"/>
      <c r="C47" s="48"/>
      <c r="D47" s="24"/>
      <c r="G47" s="22"/>
      <c r="I47" s="22"/>
      <c r="J47" s="50"/>
      <c r="K47" s="29"/>
      <c r="L47" s="52"/>
      <c r="M47" s="18"/>
      <c r="N47" s="23"/>
      <c r="O47" s="23"/>
    </row>
    <row r="48" spans="2:15" x14ac:dyDescent="0.35">
      <c r="B48" s="47"/>
      <c r="C48" s="48"/>
      <c r="D48" s="24"/>
      <c r="G48" s="22"/>
      <c r="I48" s="22"/>
      <c r="J48" s="50"/>
      <c r="K48" s="29"/>
      <c r="L48" s="52"/>
      <c r="M48" s="18"/>
      <c r="N48" s="23"/>
      <c r="O48" s="23"/>
    </row>
    <row r="49" spans="2:15" x14ac:dyDescent="0.35">
      <c r="B49" s="47"/>
      <c r="C49" s="48"/>
      <c r="D49" s="24"/>
      <c r="G49" s="22"/>
      <c r="I49" s="22"/>
      <c r="J49" s="50"/>
      <c r="K49" s="29"/>
      <c r="L49" s="52"/>
      <c r="M49" s="18"/>
      <c r="N49" s="23"/>
      <c r="O49" s="23"/>
    </row>
    <row r="50" spans="2:15" x14ac:dyDescent="0.35">
      <c r="B50" s="47"/>
      <c r="C50" s="48"/>
      <c r="D50" s="24"/>
      <c r="G50" s="22"/>
      <c r="I50" s="22"/>
      <c r="J50" s="50"/>
      <c r="K50" s="29"/>
      <c r="L50" s="52"/>
      <c r="M50" s="18"/>
      <c r="N50" s="23"/>
      <c r="O50" s="23"/>
    </row>
    <row r="51" spans="2:15" x14ac:dyDescent="0.35">
      <c r="B51" s="47"/>
      <c r="C51" s="48"/>
      <c r="D51" s="24"/>
      <c r="G51" s="22"/>
      <c r="I51" s="22"/>
      <c r="J51" s="50"/>
      <c r="K51" s="29"/>
      <c r="L51" s="52"/>
      <c r="M51" s="18"/>
      <c r="N51" s="23"/>
      <c r="O51" s="23"/>
    </row>
    <row r="52" spans="2:15" x14ac:dyDescent="0.35">
      <c r="B52" s="47"/>
      <c r="C52" s="48"/>
      <c r="D52" s="24"/>
      <c r="G52" s="22"/>
      <c r="I52" s="22"/>
      <c r="J52" s="50"/>
      <c r="K52" s="29"/>
      <c r="L52" s="52"/>
      <c r="M52" s="18"/>
      <c r="N52" s="23"/>
      <c r="O52" s="23"/>
    </row>
    <row r="53" spans="2:15" x14ac:dyDescent="0.35">
      <c r="B53" s="47"/>
      <c r="C53" s="48"/>
      <c r="D53" s="24"/>
      <c r="G53" s="22"/>
      <c r="I53" s="22"/>
      <c r="J53" s="50"/>
      <c r="K53" s="29"/>
      <c r="L53" s="52"/>
      <c r="M53" s="18"/>
      <c r="N53" s="23"/>
      <c r="O53" s="23"/>
    </row>
    <row r="54" spans="2:15" x14ac:dyDescent="0.35">
      <c r="B54" s="47"/>
      <c r="C54" s="48"/>
      <c r="D54" s="24"/>
      <c r="G54" s="22"/>
      <c r="I54" s="22"/>
      <c r="J54" s="50"/>
      <c r="K54" s="29"/>
      <c r="L54" s="52"/>
      <c r="M54" s="18"/>
      <c r="N54" s="23"/>
      <c r="O54" s="23"/>
    </row>
    <row r="55" spans="2:15" x14ac:dyDescent="0.35">
      <c r="B55" s="47"/>
      <c r="C55" s="48"/>
      <c r="D55" s="24"/>
      <c r="G55" s="22"/>
      <c r="I55" s="22"/>
      <c r="J55" s="50"/>
      <c r="K55" s="29"/>
      <c r="L55" s="52"/>
      <c r="M55" s="18"/>
      <c r="N55" s="23"/>
      <c r="O55" s="23"/>
    </row>
    <row r="56" spans="2:15" x14ac:dyDescent="0.35">
      <c r="B56" s="47"/>
      <c r="C56" s="48"/>
      <c r="D56" s="24"/>
      <c r="G56" s="22"/>
      <c r="I56" s="22"/>
      <c r="J56" s="50"/>
      <c r="K56" s="29"/>
      <c r="L56" s="52"/>
      <c r="M56" s="18"/>
      <c r="N56" s="23"/>
      <c r="O56" s="23"/>
    </row>
    <row r="57" spans="2:15" x14ac:dyDescent="0.35">
      <c r="B57" s="47"/>
      <c r="C57" s="48"/>
      <c r="D57" s="24"/>
      <c r="G57" s="22"/>
      <c r="I57" s="22"/>
      <c r="J57" s="50"/>
      <c r="K57" s="29"/>
      <c r="L57" s="52"/>
      <c r="M57" s="18"/>
      <c r="N57" s="23"/>
      <c r="O57" s="23"/>
    </row>
    <row r="58" spans="2:15" x14ac:dyDescent="0.35">
      <c r="B58" s="47"/>
      <c r="C58" s="48"/>
      <c r="D58" s="24"/>
      <c r="G58" s="22"/>
      <c r="I58" s="22"/>
      <c r="J58" s="50"/>
      <c r="K58" s="29"/>
      <c r="L58" s="52"/>
      <c r="M58" s="18"/>
      <c r="N58" s="23"/>
      <c r="O58" s="23"/>
    </row>
    <row r="59" spans="2:15" x14ac:dyDescent="0.35">
      <c r="B59" s="47"/>
      <c r="C59" s="48"/>
      <c r="D59" s="24"/>
      <c r="G59" s="22"/>
      <c r="I59" s="22"/>
      <c r="J59" s="50"/>
      <c r="K59" s="29"/>
      <c r="L59" s="52"/>
      <c r="M59" s="18"/>
      <c r="N59" s="23"/>
      <c r="O59" s="23"/>
    </row>
    <row r="60" spans="2:15" x14ac:dyDescent="0.35">
      <c r="B60" s="47"/>
      <c r="C60" s="48"/>
      <c r="D60" s="24"/>
      <c r="G60" s="22"/>
      <c r="I60" s="22"/>
      <c r="J60" s="50"/>
      <c r="K60" s="29"/>
      <c r="L60" s="52"/>
      <c r="M60" s="18"/>
      <c r="N60" s="23"/>
      <c r="O60" s="23"/>
    </row>
    <row r="61" spans="2:15" x14ac:dyDescent="0.35">
      <c r="B61" s="47"/>
      <c r="C61" s="48"/>
      <c r="D61" s="24"/>
      <c r="G61" s="22"/>
      <c r="I61" s="22"/>
      <c r="J61" s="50"/>
      <c r="K61" s="29"/>
      <c r="L61" s="52"/>
      <c r="M61" s="18"/>
      <c r="N61" s="23"/>
      <c r="O61" s="23"/>
    </row>
    <row r="62" spans="2:15" x14ac:dyDescent="0.35">
      <c r="B62" s="47"/>
      <c r="C62" s="48"/>
      <c r="D62" s="24"/>
      <c r="G62" s="22"/>
      <c r="I62" s="22"/>
      <c r="J62" s="50"/>
      <c r="K62" s="29"/>
      <c r="L62" s="52"/>
      <c r="M62" s="18"/>
      <c r="N62" s="23"/>
      <c r="O62" s="23"/>
    </row>
    <row r="63" spans="2:15" x14ac:dyDescent="0.35">
      <c r="B63" s="47"/>
      <c r="C63" s="48"/>
      <c r="D63" s="24"/>
      <c r="G63" s="22"/>
      <c r="I63" s="22"/>
      <c r="J63" s="50"/>
      <c r="K63" s="29"/>
      <c r="L63" s="52"/>
      <c r="M63" s="18"/>
      <c r="N63" s="23"/>
      <c r="O63" s="23"/>
    </row>
    <row r="64" spans="2:15" x14ac:dyDescent="0.35">
      <c r="B64" s="47"/>
      <c r="C64" s="48"/>
      <c r="D64" s="24"/>
      <c r="G64" s="22"/>
      <c r="I64" s="22"/>
      <c r="J64" s="50"/>
      <c r="K64" s="29"/>
      <c r="L64" s="52"/>
      <c r="M64" s="18"/>
      <c r="N64" s="23"/>
      <c r="O64" s="23"/>
    </row>
    <row r="65" spans="2:23" x14ac:dyDescent="0.35">
      <c r="B65" s="47"/>
      <c r="C65" s="48"/>
      <c r="D65" s="24"/>
      <c r="G65" s="22"/>
      <c r="I65" s="22"/>
      <c r="J65" s="50"/>
      <c r="K65" s="29"/>
      <c r="L65" s="52"/>
      <c r="M65" s="18"/>
      <c r="N65" s="23"/>
      <c r="O65" s="23"/>
    </row>
    <row r="66" spans="2:23" x14ac:dyDescent="0.35">
      <c r="B66" s="47"/>
      <c r="C66" s="48"/>
      <c r="D66" s="24"/>
      <c r="G66" s="22"/>
      <c r="I66" s="22"/>
      <c r="J66" s="50"/>
      <c r="K66" s="29"/>
      <c r="L66" s="52"/>
      <c r="M66" s="18"/>
      <c r="N66" s="23"/>
      <c r="O66" s="23"/>
    </row>
    <row r="67" spans="2:23" x14ac:dyDescent="0.35">
      <c r="B67" s="47"/>
      <c r="C67" s="48"/>
      <c r="D67" s="24"/>
      <c r="G67" s="22"/>
      <c r="I67" s="22"/>
      <c r="J67" s="50"/>
      <c r="K67" s="29"/>
      <c r="L67" s="52"/>
      <c r="M67" s="18"/>
      <c r="N67" s="23"/>
      <c r="O67" s="23"/>
    </row>
    <row r="68" spans="2:23" x14ac:dyDescent="0.35">
      <c r="B68" s="47"/>
      <c r="C68" s="48"/>
      <c r="D68" s="24"/>
      <c r="G68" s="22"/>
      <c r="I68" s="22"/>
      <c r="J68" s="50"/>
      <c r="K68" s="29"/>
      <c r="L68" s="52"/>
      <c r="M68" s="18"/>
      <c r="N68" s="23"/>
      <c r="O68" s="23"/>
    </row>
    <row r="69" spans="2:23" x14ac:dyDescent="0.35">
      <c r="B69" s="47"/>
      <c r="C69" s="48"/>
      <c r="D69" s="24"/>
      <c r="G69" s="22"/>
      <c r="I69" s="22"/>
      <c r="J69" s="50"/>
      <c r="K69" s="29"/>
      <c r="L69" s="52"/>
      <c r="M69" s="18"/>
      <c r="N69" s="23"/>
      <c r="O69" s="23"/>
    </row>
    <row r="70" spans="2:23" x14ac:dyDescent="0.35">
      <c r="B70" s="8"/>
      <c r="C70" s="9"/>
      <c r="D70" s="10"/>
      <c r="E70" s="4"/>
      <c r="F70" s="4"/>
      <c r="G70" s="4"/>
      <c r="H70" s="1"/>
      <c r="I70" s="1"/>
      <c r="J70" s="11" t="s">
        <v>7</v>
      </c>
      <c r="K70" s="7">
        <f>SUM(K20:K69)</f>
        <v>300150000</v>
      </c>
      <c r="L70" s="7">
        <f>SUM(L20:L69)</f>
        <v>0</v>
      </c>
      <c r="M70" s="14">
        <f>K70+L70</f>
        <v>300150000</v>
      </c>
      <c r="N70" s="61">
        <f>M70*40%</f>
        <v>120060000</v>
      </c>
      <c r="O70" s="34"/>
      <c r="P70" s="34"/>
      <c r="Q70" s="34"/>
      <c r="R70" s="34"/>
      <c r="S70">
        <v>102.15</v>
      </c>
      <c r="T70" s="34" t="s">
        <v>18</v>
      </c>
      <c r="U70" s="34"/>
      <c r="V70" s="34"/>
      <c r="W70" s="16"/>
    </row>
    <row r="71" spans="2:23" x14ac:dyDescent="0.35">
      <c r="B71" s="8"/>
      <c r="C71" s="9"/>
      <c r="D71" s="9"/>
      <c r="E71" s="4"/>
      <c r="F71" s="4"/>
      <c r="G71" s="4"/>
      <c r="H71" s="1"/>
      <c r="I71" s="1"/>
      <c r="J71" s="11" t="s">
        <v>46</v>
      </c>
      <c r="K71" s="60">
        <v>120060000</v>
      </c>
      <c r="L71" s="7"/>
      <c r="M71" s="14"/>
      <c r="N71" s="15"/>
      <c r="O71" s="34"/>
      <c r="P71" s="34"/>
      <c r="Q71" s="34"/>
      <c r="R71" s="34"/>
      <c r="T71" s="34"/>
      <c r="U71" s="34"/>
      <c r="V71" s="34"/>
      <c r="W71" s="16"/>
    </row>
    <row r="72" spans="2:23" x14ac:dyDescent="0.35">
      <c r="B72" s="8"/>
      <c r="C72" s="9"/>
      <c r="D72" s="9"/>
      <c r="E72" s="4"/>
      <c r="F72" s="4"/>
      <c r="G72" s="4"/>
      <c r="H72" s="1"/>
      <c r="I72" s="1"/>
      <c r="J72" s="11" t="s">
        <v>47</v>
      </c>
      <c r="K72" s="60">
        <f>K70-K71</f>
        <v>180090000</v>
      </c>
      <c r="L72" s="7"/>
      <c r="M72" s="14"/>
      <c r="N72" s="15"/>
      <c r="O72" s="34"/>
      <c r="P72" s="34"/>
      <c r="Q72" s="34"/>
      <c r="R72" s="34"/>
      <c r="T72" s="34"/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21</v>
      </c>
      <c r="L73" s="36" t="s">
        <v>22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8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19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75" t="s">
        <v>48</v>
      </c>
      <c r="L76" s="76"/>
    </row>
    <row r="77" spans="2:23" x14ac:dyDescent="0.35">
      <c r="B77" s="28"/>
      <c r="C77" s="62" t="s">
        <v>49</v>
      </c>
      <c r="D77" s="27"/>
      <c r="E77" s="26"/>
      <c r="F77" s="26"/>
      <c r="G77" s="5" t="s">
        <v>52</v>
      </c>
      <c r="K77" s="75" t="s">
        <v>27</v>
      </c>
      <c r="L77" s="76"/>
    </row>
    <row r="78" spans="2:23" x14ac:dyDescent="0.35">
      <c r="B78" s="39"/>
      <c r="C78" s="62" t="s">
        <v>50</v>
      </c>
      <c r="D78" s="27"/>
      <c r="E78" s="26"/>
      <c r="F78" s="26"/>
      <c r="G78" s="5" t="s">
        <v>53</v>
      </c>
      <c r="J78" s="25"/>
      <c r="K78" s="25"/>
      <c r="L78" s="24"/>
    </row>
    <row r="79" spans="2:23" x14ac:dyDescent="0.35">
      <c r="B79" s="28"/>
      <c r="C79" s="62" t="s">
        <v>51</v>
      </c>
      <c r="D79" s="27"/>
      <c r="E79" s="26"/>
      <c r="F79" s="26"/>
      <c r="G79" s="5" t="s">
        <v>54</v>
      </c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77" t="s">
        <v>35</v>
      </c>
      <c r="L83" s="78"/>
      <c r="M83" s="40"/>
    </row>
    <row r="84" spans="2:13" x14ac:dyDescent="0.35">
      <c r="B84" s="45"/>
      <c r="K84" s="79" t="s">
        <v>36</v>
      </c>
      <c r="L84" s="80"/>
      <c r="M84" s="42"/>
    </row>
    <row r="85" spans="2:13" x14ac:dyDescent="0.35">
      <c r="B85" s="72"/>
      <c r="C85" s="73"/>
      <c r="D85" s="73"/>
      <c r="E85" s="41"/>
      <c r="F85" s="41"/>
      <c r="G85" s="41"/>
      <c r="H85" s="2"/>
      <c r="I85" s="2"/>
      <c r="J85" s="2"/>
      <c r="K85" s="2"/>
      <c r="L85" s="21"/>
    </row>
  </sheetData>
  <mergeCells count="13">
    <mergeCell ref="B85:D85"/>
    <mergeCell ref="L18:L19"/>
    <mergeCell ref="N21:O21"/>
    <mergeCell ref="K76:L76"/>
    <mergeCell ref="K77:L77"/>
    <mergeCell ref="K83:L83"/>
    <mergeCell ref="K84:L84"/>
    <mergeCell ref="K18:K19"/>
    <mergeCell ref="F15:G15"/>
    <mergeCell ref="B18:D19"/>
    <mergeCell ref="E18:G19"/>
    <mergeCell ref="H18:I19"/>
    <mergeCell ref="J18:J19"/>
  </mergeCells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rev.01</vt:lpstr>
      <vt:lpstr>'Rincian Biaya rev.01'!Print_Area</vt:lpstr>
      <vt:lpstr>'Rincian Biaya rev.01'!Print_Titles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2025-12-23T07:43:30Z</dcterms:modified>
</cp:coreProperties>
</file>