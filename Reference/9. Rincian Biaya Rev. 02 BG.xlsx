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E6B507F3-2D7A-4417-87CE-201629DA27E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2" sheetId="44" r:id="rId1"/>
  </sheets>
  <definedNames>
    <definedName name="_xlnm.Print_Area" localSheetId="0">'Rincian Biaya rev.02'!$B$2:$L$151</definedName>
    <definedName name="_xlnm.Print_Titles" localSheetId="0">'Rincian Biaya rev.02'!$2:$19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0" i="44" l="1"/>
  <c r="K116" i="44"/>
  <c r="K118" i="44"/>
  <c r="K119" i="44"/>
  <c r="K121" i="44"/>
  <c r="K122" i="44"/>
  <c r="K123" i="44"/>
  <c r="K128" i="44"/>
  <c r="K137" i="44"/>
  <c r="K22" i="44"/>
  <c r="K23" i="44"/>
  <c r="K24" i="44"/>
  <c r="K25" i="44"/>
  <c r="K26" i="44"/>
  <c r="K27" i="44"/>
  <c r="K28" i="44"/>
  <c r="K30" i="44"/>
  <c r="K31" i="44"/>
  <c r="K33" i="44"/>
  <c r="K35" i="44"/>
  <c r="K72" i="44"/>
  <c r="K138" i="44"/>
  <c r="L87" i="44"/>
  <c r="L88" i="44"/>
  <c r="L89" i="44"/>
  <c r="L90" i="44"/>
  <c r="L91" i="44"/>
  <c r="L92" i="44"/>
  <c r="L93" i="44"/>
  <c r="L94" i="44"/>
  <c r="L95" i="44"/>
  <c r="L96" i="44"/>
  <c r="L97" i="44"/>
  <c r="L98" i="44"/>
  <c r="L99" i="44"/>
  <c r="L101" i="44"/>
  <c r="L102" i="44"/>
  <c r="L103" i="44"/>
  <c r="L104" i="44"/>
  <c r="L105" i="44"/>
  <c r="L106" i="44"/>
  <c r="L107" i="44"/>
  <c r="L108" i="44"/>
  <c r="L109" i="44"/>
  <c r="L110" i="44"/>
  <c r="L111" i="44"/>
  <c r="L137" i="44"/>
  <c r="L42" i="44"/>
  <c r="L49" i="44"/>
  <c r="L50" i="44"/>
  <c r="L52" i="44"/>
  <c r="L54" i="44"/>
  <c r="L57" i="44"/>
  <c r="L59" i="44"/>
  <c r="L60" i="44"/>
  <c r="L61" i="44"/>
  <c r="L63" i="44"/>
  <c r="L64" i="44"/>
  <c r="L67" i="44"/>
  <c r="L68" i="44"/>
  <c r="L69" i="44"/>
  <c r="L70" i="44"/>
  <c r="L72" i="44"/>
  <c r="L138" i="44"/>
  <c r="M138" i="44"/>
  <c r="M72" i="44"/>
  <c r="O27" i="44"/>
  <c r="O28" i="44"/>
  <c r="Q27" i="44"/>
  <c r="P27" i="44"/>
  <c r="Q26" i="44"/>
  <c r="O26" i="44"/>
  <c r="Q25" i="44"/>
  <c r="O25" i="44"/>
  <c r="P24" i="44"/>
  <c r="O24" i="44"/>
  <c r="Q22" i="44"/>
  <c r="R23" i="44"/>
  <c r="S23" i="44"/>
  <c r="T23" i="44"/>
  <c r="P22" i="44"/>
</calcChain>
</file>

<file path=xl/sharedStrings.xml><?xml version="1.0" encoding="utf-8"?>
<sst xmlns="http://schemas.openxmlformats.org/spreadsheetml/2006/main" count="281" uniqueCount="146">
  <si>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</si>
  <si>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</si>
  <si>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</si>
  <si>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</si>
  <si>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</si>
  <si>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</si>
  <si>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</si>
  <si>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</si>
  <si>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</si>
  <si>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</si>
  <si>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</si>
  <si>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</si>
  <si>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</si>
  <si>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</si>
  <si>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</si>
  <si>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</si>
  <si>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</si>
  <si>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</si>
  <si>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</si>
  <si>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</si>
  <si>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</si>
  <si>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</si>
  <si>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</si>
  <si>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</si>
  <si>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</si>
  <si>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</si>
  <si>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</si>
  <si>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</si>
  <si>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</si>
  <si>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</si>
  <si>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</si>
  <si>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</si>
  <si>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</si>
  <si>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</si>
  <si>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</si>
  <si>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</si>
  <si>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</si>
  <si>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</si>
  <si>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9/FIN/MKT-MNB/II/2025</t>
  </si>
  <si>
    <t>:  67.06 Meter</t>
  </si>
  <si>
    <t>:  17.07 Meter</t>
  </si>
  <si>
    <t>:    3.66 Meter</t>
  </si>
  <si>
    <t>: BKI</t>
  </si>
  <si>
    <t>I</t>
  </si>
  <si>
    <t>a</t>
  </si>
  <si>
    <t>Docking / Undocking</t>
  </si>
  <si>
    <t>Ls</t>
  </si>
  <si>
    <t>b</t>
  </si>
  <si>
    <t>Asistensi naik/ turun dock, termasuk persiapan ganjal</t>
  </si>
  <si>
    <t>c</t>
  </si>
  <si>
    <t>Asistensi dengan mooring Boat</t>
  </si>
  <si>
    <t>d</t>
  </si>
  <si>
    <t>Hari</t>
  </si>
  <si>
    <t>e</t>
  </si>
  <si>
    <t>f</t>
  </si>
  <si>
    <t>Disediakan Tempat penyimpanan logistik selama perbaikan</t>
  </si>
  <si>
    <t>g</t>
  </si>
  <si>
    <t>Penggunaan alat angkat (&lt;1 Ton)</t>
  </si>
  <si>
    <t>II</t>
  </si>
  <si>
    <t>Sandblasting Flat Bottom (S.A 2.0)</t>
  </si>
  <si>
    <t>m2</t>
  </si>
  <si>
    <t>Pengecatan Flat Bottom (1x primer,1x sealer,1 xAF)</t>
  </si>
  <si>
    <t>III</t>
  </si>
  <si>
    <t xml:space="preserve">REPLATING </t>
  </si>
  <si>
    <t>Kg</t>
  </si>
  <si>
    <t>IV</t>
  </si>
  <si>
    <t>TANGKI - TANGKI</t>
  </si>
  <si>
    <t>Tank</t>
  </si>
  <si>
    <t>LAPORAN DAN GAMBAR</t>
  </si>
  <si>
    <t>Dibuatkan laporan pengedockan dan gambar bukaan kulit sesuai posisi replating</t>
  </si>
  <si>
    <t>set</t>
  </si>
  <si>
    <t>JR Rev.00 Initial Survey with Crew (29/01/2025)</t>
  </si>
  <si>
    <t>I.1</t>
  </si>
  <si>
    <t>Bottom Plate (Material by Owner)</t>
  </si>
  <si>
    <t>Fr. 6/7, Lajur C PS</t>
  </si>
  <si>
    <t>-</t>
  </si>
  <si>
    <t>JR Rev.01 Additional work by Owner (02/02/2025)</t>
  </si>
  <si>
    <t>Fr. 31/32 s/d Fr. 35/36, Lajur B PS</t>
  </si>
  <si>
    <t>I.2</t>
  </si>
  <si>
    <t>Bottom Plate (Material by Shipyard)</t>
  </si>
  <si>
    <t>Fr. 34/35 s/d Fr. 36/37, Lajur A/B SB</t>
  </si>
  <si>
    <t>I.3</t>
  </si>
  <si>
    <t>Internal tank (Material by Owner)</t>
  </si>
  <si>
    <t>JR Rev.02 Additional work by Owner (13/02/2025)</t>
  </si>
  <si>
    <t>Pasang zinc anode (material by owner)</t>
  </si>
  <si>
    <t>pcs</t>
  </si>
  <si>
    <t>PERAWATAN BADAN KAPAL (Supplai Material by Owner)</t>
  </si>
  <si>
    <t>Sandblasting plat ceruk haluan</t>
  </si>
  <si>
    <t>Pengecatan plat ceruk haluan (2x layer)</t>
  </si>
  <si>
    <t>Pengecatan plat ceruk buritan (1x layer)</t>
  </si>
  <si>
    <t xml:space="preserve">Grand Total   </t>
  </si>
  <si>
    <t>Sewa dock selama tongkang dalam perbaikan (28 Januari 2025 - 18 Februari 2025)</t>
  </si>
  <si>
    <t>Air Test tangki</t>
  </si>
  <si>
    <t xml:space="preserve"> | Plate (KI) thickness 12 mm | 5100 X 1520 mm</t>
  </si>
  <si>
    <t>Fr. 30/31 s/d Fr. 31/32, Lajur B/D PS</t>
  </si>
  <si>
    <t xml:space="preserve"> | Plate (KI) thickness 12 mm | 4610 X 1500 mm</t>
  </si>
  <si>
    <t xml:space="preserve"> | Plate (KI) thickness 12 mm | 1510 X 1500 mm</t>
  </si>
  <si>
    <t>Fr. 33/34 s/d Fr. 35/36, Lajur B/C PS</t>
  </si>
  <si>
    <t xml:space="preserve"> | Plate (KI) thickness 12 mm | 2030 X 1530 mm</t>
  </si>
  <si>
    <t>Fr. 31/32 s/d Fr. 33/34, Lajur B/C PS</t>
  </si>
  <si>
    <t xml:space="preserve"> | Plate (KI) thickness 12 mm | 2280 X 1530 mm</t>
  </si>
  <si>
    <t xml:space="preserve"> | Plate (KI) thickness 12 mm | 900 X 600 mm</t>
  </si>
  <si>
    <t>Fr. 31/32 s/d Fr. 33/34, Lajur C PS</t>
  </si>
  <si>
    <t xml:space="preserve"> | Plate (KI) thickness 12 mm | 480 X 480 mm</t>
  </si>
  <si>
    <t xml:space="preserve"> | Plate (KI) thickness 12 mm | 1770 X 440 mm</t>
  </si>
  <si>
    <t xml:space="preserve"> | Plate (KI) thickness 12 mm | 1850 X 270 mm</t>
  </si>
  <si>
    <t xml:space="preserve"> | Plate (KI) thickness 12 mm | 2640 X 1530 mm</t>
  </si>
  <si>
    <t xml:space="preserve"> | Plate (KI) thickness 12 mm | 2620 X 1470 mm</t>
  </si>
  <si>
    <t>Tanki 1 Ps</t>
  </si>
  <si>
    <t>side girder No. 1 (web) | Plate (KI) thickness 12 mm | 400 X 1500 mm</t>
  </si>
  <si>
    <t>side girder No. 1 (face) | Plate (KI) thickness 12 mm | 100 X 1500 mm</t>
  </si>
  <si>
    <t>side girder No. 2 (web) | Plate (KI) thickness 12 mm | 400 X 1500 mm</t>
  </si>
  <si>
    <t>side girder No. 1 (face) | Plate (KI) thickness 12 mm | 100 X 1400 mm</t>
  </si>
  <si>
    <t>bottom transverse No. 1 | Angle bar size. 120 x 120 x 10 mm | 5860 mm</t>
  </si>
  <si>
    <t>bottom transverse No. 2 | Angle bar size. 120 x 120 x 10 mm | 6000 mm</t>
  </si>
  <si>
    <t>collar plate | Plate (KI) thickness 12 mm | 170 X 70 mm @ 2 sht</t>
  </si>
  <si>
    <t>bracket ordinary bottom transverse - stiff. TBHD | Plate (KI) thickness 12 mm | 290 X 410 mm</t>
  </si>
  <si>
    <t>bracket ordinary bottom transverse - stiff. TBHD | Plate (KI) thickness 12 mm | 270 X 430 mm</t>
  </si>
  <si>
    <t>bracket ordinary bottom transverse - stiff. TBHD | Plate (KI) thickness 12 mm | 260 X 420 mm</t>
  </si>
  <si>
    <t>bracket ordinary bottom transverse - stiff. TBHD | Plate (KI) thickness 12 mm | 250 X 420 mm</t>
  </si>
  <si>
    <t>bracket ordinary bottom transverse - stiff. TBHD | Plate (KI) thickness 12 mm | 230 X 440 mm</t>
  </si>
  <si>
    <t>bracket side girder - web. TBHD | Plate (KI) thickness 12 mm | 240 X 210 mm</t>
  </si>
  <si>
    <t>bracket ordinary bottom transverse - stiff. TBHD | Plate (KI) thickness 12 mm | 230 X 420 mm</t>
  </si>
  <si>
    <t>bracket ordinary bottom transverse - stiff. TBHD | Plate (KI) thickness 12 mm | 230 X 430 mm</t>
  </si>
  <si>
    <t>bracket obt-side girder | Plate (KI) thickness 12 mm | 260 X 260 mm @ 4 sht</t>
  </si>
  <si>
    <t>Tanki 1 SB</t>
  </si>
  <si>
    <t>web bottom transverse (web) | Plate (KI) thickness 12 mm | 1230 X 390 mm</t>
  </si>
  <si>
    <t>web bottom transverse (face) | Plate (KI) thickness 12 mm | 1220 X 110 mm</t>
  </si>
  <si>
    <t>ordinary bottom transverse | Angle bar size. 120 x 120 x 10 mm | 1700 mm</t>
  </si>
  <si>
    <t>ordinary bottom transverse | Angle bar size. 120 x 120 x 10 mm | 1120 mm</t>
  </si>
  <si>
    <t>bracket obt-side girder | Plate (KI) thickness 12 mm | 310 X 250 mm @ 2 sht</t>
  </si>
  <si>
    <t>ordinary chine (web) | Plate (KI) thickness 12 mm | 930 X 300 mm</t>
  </si>
  <si>
    <t>ordinary chine (face) | Plate (KI) thickness 12 mm | 750 X 100 mm</t>
  </si>
  <si>
    <t>bracket ordinary chine | Plate (KI) thickness 12 mm | 550 X 360 mm</t>
  </si>
  <si>
    <t>ordinary chine (web) | Plate (KI) thickness 12 mm | 700 X 290 mm</t>
  </si>
  <si>
    <t>bracket ordinary chine | Plate (KI) thickness 12 mm | 400 X 300 mm</t>
  </si>
  <si>
    <t>collar plate | Plate (KI) thickness 12 mm | 150 X 80 mm</t>
  </si>
  <si>
    <t>Rewelding</t>
  </si>
  <si>
    <t>Rewelding skeg</t>
  </si>
  <si>
    <t>Titik</t>
  </si>
  <si>
    <t>Rewelding roundbar chine</t>
  </si>
  <si>
    <t>mm</t>
  </si>
  <si>
    <t>Rincian Biaya TB. PERMATA</t>
  </si>
  <si>
    <t>Fasilitas sandar (sewa sandar)(28 Januari 2025 - 24 Februari 2025)</t>
  </si>
  <si>
    <t>Fasilitas sandar sesudah docking (sewa sandar)(19 Februari 2025 - 24 Februari 2025)</t>
  </si>
  <si>
    <t>Balikpapan, 24 Februari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</si>
</sst>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  <numFmt numFmtId="167" formatCode="_-[$IDR]\ * #,##0_-;\-[$IDR]\ * #,##0_-;_-[$IDR]\ * &quot;-&quot;_-;_-@_-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8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48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2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4" fontId="3" fillId="2" borderId="6" xfId="1" applyFont="1" applyFill="1" applyBorder="1"/>
    <xf numFmtId="164" fontId="3" fillId="2" borderId="15" xfId="1" applyFont="1" applyFill="1" applyBorder="1"/>
    <xf numFmtId="0" fontId="9" fillId="2" borderId="2" xfId="0" quotePrefix="1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center" vertical="center"/>
    </xf>
    <xf numFmtId="0" fontId="3" fillId="2" borderId="10" xfId="0" applyFont="1" applyFill="1" applyBorder="1"/>
    <xf numFmtId="0" fontId="3" fillId="2" borderId="11" xfId="0" applyFont="1" applyFill="1" applyBorder="1"/>
    <xf numFmtId="164" fontId="9" fillId="3" borderId="11" xfId="1" applyFont="1" applyFill="1" applyBorder="1" applyAlignment="1">
      <alignment vertical="center"/>
    </xf>
    <xf numFmtId="164" fontId="9" fillId="3" borderId="6" xfId="1" applyFont="1" applyFill="1" applyBorder="1" applyAlignment="1">
      <alignment vertical="center"/>
    </xf>
    <xf numFmtId="165" fontId="9" fillId="3" borderId="6" xfId="0" applyNumberFormat="1" applyFont="1" applyFill="1" applyBorder="1" applyAlignment="1">
      <alignment vertical="center"/>
    </xf>
    <xf numFmtId="166" fontId="9" fillId="3" borderId="11" xfId="0" applyNumberFormat="1" applyFont="1" applyFill="1" applyBorder="1"/>
    <xf numFmtId="166" fontId="9" fillId="3" borderId="6" xfId="0" applyNumberFormat="1" applyFont="1" applyFill="1" applyBorder="1"/>
    <xf numFmtId="0" fontId="8" fillId="5" borderId="0" xfId="112" applyFont="1" applyFill="1" applyAlignment="1">
      <alignment horizontal="center" vertical="center"/>
    </xf>
    <xf numFmtId="0" fontId="8" fillId="5" borderId="0" xfId="127" applyFont="1" applyFill="1" applyAlignment="1">
      <alignment horizontal="center"/>
    </xf>
    <xf numFmtId="0" fontId="8" fillId="5" borderId="5" xfId="112" applyFont="1" applyFill="1" applyBorder="1" applyAlignment="1">
      <alignment horizontal="left"/>
    </xf>
    <xf numFmtId="0" fontId="8" fillId="5" borderId="0" xfId="127" applyFont="1" applyFill="1" applyAlignment="1">
      <alignment horizontal="left"/>
    </xf>
    <xf numFmtId="0" fontId="8" fillId="5" borderId="0" xfId="112" applyFont="1" applyFill="1" applyAlignment="1">
      <alignment horizontal="left"/>
    </xf>
    <xf numFmtId="0" fontId="8" fillId="5" borderId="5" xfId="127" applyFont="1" applyFill="1" applyBorder="1"/>
    <xf numFmtId="0" fontId="8" fillId="5" borderId="6" xfId="127" applyFont="1" applyFill="1" applyBorder="1" applyAlignment="1">
      <alignment vertical="center"/>
    </xf>
    <xf numFmtId="165" fontId="9" fillId="3" borderId="0" xfId="0" applyNumberFormat="1" applyFont="1" applyFill="1" applyAlignment="1">
      <alignment vertical="center"/>
    </xf>
    <xf numFmtId="0" fontId="8" fillId="5" borderId="5" xfId="127" applyFont="1" applyFill="1" applyBorder="1" applyAlignment="1">
      <alignment horizontal="left"/>
    </xf>
    <xf numFmtId="2" fontId="8" fillId="5" borderId="5" xfId="112" applyNumberFormat="1" applyFont="1" applyFill="1" applyBorder="1"/>
    <xf numFmtId="0" fontId="8" fillId="5" borderId="6" xfId="112" applyFont="1" applyFill="1" applyBorder="1" applyAlignment="1">
      <alignment vertical="center"/>
    </xf>
    <xf numFmtId="0" fontId="8" fillId="5" borderId="6" xfId="127" applyFont="1" applyFill="1" applyBorder="1" applyAlignment="1">
      <alignment horizontal="center"/>
    </xf>
    <xf numFmtId="0" fontId="8" fillId="5" borderId="0" xfId="127" applyFont="1" applyFill="1"/>
    <xf numFmtId="0" fontId="8" fillId="5" borderId="0" xfId="127" quotePrefix="1" applyFont="1" applyFill="1" applyAlignment="1">
      <alignment horizontal="center" vertical="center"/>
    </xf>
    <xf numFmtId="2" fontId="8" fillId="5" borderId="5" xfId="127" applyNumberFormat="1" applyFont="1" applyFill="1" applyBorder="1"/>
    <xf numFmtId="0" fontId="8" fillId="5" borderId="6" xfId="127" applyFont="1" applyFill="1" applyBorder="1"/>
    <xf numFmtId="0" fontId="8" fillId="5" borderId="0" xfId="127" quotePrefix="1" applyFont="1" applyFill="1" applyAlignment="1">
      <alignment horizontal="left"/>
    </xf>
    <xf numFmtId="0" fontId="8" fillId="5" borderId="0" xfId="112" quotePrefix="1" applyFont="1" applyFill="1" applyAlignment="1">
      <alignment horizontal="left"/>
    </xf>
    <xf numFmtId="0" fontId="8" fillId="5" borderId="6" xfId="112" applyFont="1" applyFill="1" applyBorder="1" applyAlignment="1">
      <alignment horizontal="center" vertical="center"/>
    </xf>
    <xf numFmtId="0" fontId="8" fillId="5" borderId="0" xfId="127" quotePrefix="1" applyFont="1" applyFill="1"/>
    <xf numFmtId="1" fontId="8" fillId="5" borderId="5" xfId="112" applyNumberFormat="1" applyFont="1" applyFill="1" applyBorder="1"/>
    <xf numFmtId="0" fontId="13" fillId="5" borderId="5" xfId="127" quotePrefix="1" applyFont="1" applyFill="1" applyBorder="1" applyAlignment="1">
      <alignment horizontal="center" vertical="center"/>
    </xf>
    <xf numFmtId="0" fontId="13" fillId="5" borderId="0" xfId="127" quotePrefix="1" applyFont="1" applyFill="1" applyAlignment="1">
      <alignment horizontal="center" vertical="center"/>
    </xf>
    <xf numFmtId="0" fontId="13" fillId="5" borderId="6" xfId="127" quotePrefix="1" applyFont="1" applyFill="1" applyBorder="1" applyAlignment="1">
      <alignment horizontal="center" vertical="center"/>
    </xf>
    <xf numFmtId="0" fontId="13" fillId="5" borderId="0" xfId="127" applyFont="1" applyFill="1"/>
    <xf numFmtId="0" fontId="13" fillId="5" borderId="6" xfId="127" applyFont="1" applyFill="1" applyBorder="1"/>
    <xf numFmtId="0" fontId="8" fillId="5" borderId="5" xfId="127" applyFont="1" applyFill="1" applyBorder="1" applyAlignment="1">
      <alignment horizontal="center" vertical="center"/>
    </xf>
    <xf numFmtId="0" fontId="8" fillId="5" borderId="0" xfId="127" applyFont="1" applyFill="1" applyAlignment="1">
      <alignment horizontal="center" vertical="center"/>
    </xf>
    <xf numFmtId="0" fontId="8" fillId="5" borderId="5" xfId="127" applyFont="1" applyFill="1" applyBorder="1" applyAlignment="1">
      <alignment horizontal="center"/>
    </xf>
    <xf numFmtId="0" fontId="13" fillId="5" borderId="5" xfId="127" applyFont="1" applyFill="1" applyBorder="1" applyAlignment="1">
      <alignment horizontal="center" vertical="center"/>
    </xf>
    <xf numFmtId="0" fontId="13" fillId="5" borderId="0" xfId="127" applyFont="1" applyFill="1" applyAlignment="1">
      <alignment horizontal="center" vertical="center"/>
    </xf>
    <xf numFmtId="0" fontId="13" fillId="5" borderId="5" xfId="127" applyFont="1" applyFill="1" applyBorder="1"/>
    <xf numFmtId="0" fontId="13" fillId="5" borderId="5" xfId="127" applyFont="1" applyFill="1" applyBorder="1" applyAlignment="1">
      <alignment horizontal="center"/>
    </xf>
    <xf numFmtId="0" fontId="13" fillId="5" borderId="0" xfId="127" applyFont="1" applyFill="1" applyAlignment="1">
      <alignment horizontal="center"/>
    </xf>
    <xf numFmtId="0" fontId="13" fillId="5" borderId="6" xfId="127" applyFont="1" applyFill="1" applyBorder="1" applyAlignment="1">
      <alignment horizontal="center"/>
    </xf>
    <xf numFmtId="0" fontId="13" fillId="5" borderId="0" xfId="127" applyFont="1" applyFill="1" applyAlignment="1">
      <alignment horizontal="left"/>
    </xf>
    <xf numFmtId="1" fontId="8" fillId="5" borderId="5" xfId="127" applyNumberFormat="1" applyFont="1" applyFill="1" applyBorder="1"/>
    <xf numFmtId="0" fontId="8" fillId="5" borderId="5" xfId="127" quotePrefix="1" applyFont="1" applyFill="1" applyBorder="1" applyAlignment="1">
      <alignment horizontal="center" vertical="center"/>
    </xf>
    <xf numFmtId="0" fontId="9" fillId="6" borderId="5" xfId="112" applyFont="1" applyFill="1" applyBorder="1" applyAlignment="1">
      <alignment horizontal="center" vertical="center"/>
    </xf>
    <xf numFmtId="0" fontId="9" fillId="6" borderId="0" xfId="112" applyFont="1" applyFill="1" applyAlignment="1">
      <alignment horizontal="center" vertical="center"/>
    </xf>
    <xf numFmtId="0" fontId="9" fillId="6" borderId="0" xfId="127" applyFont="1" applyFill="1" applyAlignment="1">
      <alignment horizontal="center"/>
    </xf>
    <xf numFmtId="0" fontId="9" fillId="6" borderId="5" xfId="112" applyFont="1" applyFill="1" applyBorder="1" applyAlignment="1">
      <alignment horizontal="left"/>
    </xf>
    <xf numFmtId="0" fontId="9" fillId="6" borderId="0" xfId="127" applyFont="1" applyFill="1" applyAlignment="1">
      <alignment horizontal="left"/>
    </xf>
    <xf numFmtId="0" fontId="9" fillId="6" borderId="0" xfId="112" applyFont="1" applyFill="1" applyAlignment="1">
      <alignment horizontal="left"/>
    </xf>
    <xf numFmtId="0" fontId="9" fillId="6" borderId="5" xfId="127" applyFont="1" applyFill="1" applyBorder="1"/>
    <xf numFmtId="0" fontId="9" fillId="6" borderId="6" xfId="127" applyFont="1" applyFill="1" applyBorder="1" applyAlignment="1">
      <alignment vertical="center"/>
    </xf>
    <xf numFmtId="0" fontId="8" fillId="5" borderId="0" xfId="112" applyFont="1" applyFill="1"/>
    <xf numFmtId="0" fontId="9" fillId="6" borderId="5" xfId="127" quotePrefix="1" applyFont="1" applyFill="1" applyBorder="1" applyAlignment="1">
      <alignment horizontal="center" vertical="center"/>
    </xf>
    <xf numFmtId="0" fontId="9" fillId="6" borderId="0" xfId="127" quotePrefix="1" applyFont="1" applyFill="1" applyAlignment="1">
      <alignment horizontal="center" vertical="center"/>
    </xf>
    <xf numFmtId="0" fontId="9" fillId="6" borderId="6" xfId="127" applyFont="1" applyFill="1" applyBorder="1" applyAlignment="1">
      <alignment horizontal="center"/>
    </xf>
    <xf numFmtId="0" fontId="9" fillId="6" borderId="0" xfId="112" applyFont="1" applyFill="1"/>
    <xf numFmtId="0" fontId="9" fillId="6" borderId="0" xfId="127" applyFont="1" applyFill="1"/>
    <xf numFmtId="2" fontId="9" fillId="6" borderId="5" xfId="127" applyNumberFormat="1" applyFont="1" applyFill="1" applyBorder="1"/>
    <xf numFmtId="0" fontId="9" fillId="6" borderId="6" xfId="127" applyFont="1" applyFill="1" applyBorder="1"/>
    <xf numFmtId="0" fontId="8" fillId="5" borderId="5" xfId="127" applyFont="1" applyFill="1" applyBorder="1" applyAlignment="1">
      <alignment vertical="center"/>
    </xf>
    <xf numFmtId="0" fontId="8" fillId="5" borderId="0" xfId="127" applyFont="1" applyFill="1" applyAlignment="1">
      <alignment vertical="center"/>
    </xf>
    <xf numFmtId="0" fontId="8" fillId="5" borderId="5" xfId="112" applyFont="1" applyFill="1" applyBorder="1" applyAlignment="1">
      <alignment horizontal="center" vertical="center"/>
    </xf>
    <xf numFmtId="2" fontId="8" fillId="5" borderId="0" xfId="127" applyNumberFormat="1" applyFont="1" applyFill="1"/>
    <xf numFmtId="0" fontId="8" fillId="6" borderId="5" xfId="112" applyFont="1" applyFill="1" applyBorder="1" applyAlignment="1">
      <alignment horizontal="center" vertical="center"/>
    </xf>
    <xf numFmtId="0" fontId="8" fillId="6" borderId="0" xfId="112" applyFont="1" applyFill="1" applyAlignment="1">
      <alignment horizontal="center" vertical="center"/>
    </xf>
    <xf numFmtId="0" fontId="8" fillId="6" borderId="5" xfId="112" applyFont="1" applyFill="1" applyBorder="1" applyAlignment="1">
      <alignment horizontal="left"/>
    </xf>
    <xf numFmtId="0" fontId="8" fillId="6" borderId="0" xfId="112" applyFont="1" applyFill="1" applyAlignment="1">
      <alignment horizontal="left"/>
    </xf>
    <xf numFmtId="1" fontId="8" fillId="6" borderId="5" xfId="112" applyNumberFormat="1" applyFont="1" applyFill="1" applyBorder="1"/>
    <xf numFmtId="0" fontId="8" fillId="6" borderId="6" xfId="127" applyFont="1" applyFill="1" applyBorder="1"/>
    <xf numFmtId="0" fontId="8" fillId="5" borderId="5" xfId="127" applyFont="1" applyFill="1" applyBorder="1" applyAlignment="1">
      <alignment horizontal="left" vertical="center"/>
    </xf>
    <xf numFmtId="0" fontId="13" fillId="5" borderId="5" xfId="127" applyFont="1" applyFill="1" applyBorder="1" applyAlignment="1">
      <alignment horizontal="left" vertical="center"/>
    </xf>
    <xf numFmtId="0" fontId="13" fillId="5" borderId="5" xfId="127" applyFont="1" applyFill="1" applyBorder="1" applyAlignment="1">
      <alignment horizontal="left"/>
    </xf>
    <xf numFmtId="167" fontId="0" fillId="0" borderId="0" xfId="0" applyNumberFormat="1"/>
    <xf numFmtId="49" fontId="3" fillId="2" borderId="0" xfId="0" quotePrefix="1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</cellXfs>
  <cellStyles count="128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7" xr:uid="{C22F285A-C6D0-481D-A3C1-74904E192D96}"/>
    <cellStyle name="Normal 7 2" xfId="114" xr:uid="{00000000-0005-0000-0000-00007D000000}"/>
    <cellStyle name="Normal 8" xfId="122" xr:uid="{00000000-0005-0000-0000-00007E000000}"/>
  </cellStyles>
  <dxfs count="1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  <color rgb="FF000000"/>
      </font>
    </dxf>
    <dxf>
      <font>
        <b/>
        <i val="0"/>
      </font>
    </dxf>
    <dxf>
      <font>
        <b/>
        <i val="0"/>
        <strike val="0"/>
        <color rgb="FF00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E2863-E42E-49FE-A137-BDDA11A7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E976F-9273-42B8-9C57-B1846C14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18" y="251907"/>
          <a:ext cx="3204980" cy="10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FC84-6451-4D26-8DE2-0F18AF45999F}">
  <sheetPr>
    <tabColor theme="3" tint="0.39997558519241921"/>
  </sheetPr>
  <dimension ref="B7:W151"/>
  <sheetViews>
    <sheetView showGridLines="0" tabSelected="1" view="pageBreakPreview" topLeftCell="A124" zoomScale="78" zoomScaleSheetLayoutView="85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J14" s="18" t="s">
        <v>33</v>
      </c>
      <c r="K14" s="18" t="s">
        <v>41</v>
      </c>
      <c r="M14" s="18"/>
    </row>
    <row r="15" spans="2:13" x14ac:dyDescent="0.35">
      <c r="F15" s="130"/>
      <c r="G15" s="130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131" t="s">
        <v>0</v>
      </c>
      <c r="C18" s="132"/>
      <c r="D18" s="133"/>
      <c r="E18" s="131" t="s">
        <v>1</v>
      </c>
      <c r="F18" s="132"/>
      <c r="G18" s="133"/>
      <c r="H18" s="131" t="s">
        <v>2</v>
      </c>
      <c r="I18" s="133"/>
      <c r="J18" s="137" t="s">
        <v>3</v>
      </c>
      <c r="K18" s="137" t="s">
        <v>22</v>
      </c>
      <c r="L18" s="137" t="s">
        <v>23</v>
      </c>
    </row>
    <row r="19" spans="2:20" s="33" customFormat="1" ht="15" customHeight="1" x14ac:dyDescent="0.35">
      <c r="B19" s="134"/>
      <c r="C19" s="135"/>
      <c r="D19" s="136"/>
      <c r="E19" s="134"/>
      <c r="F19" s="135"/>
      <c r="G19" s="136"/>
      <c r="H19" s="134"/>
      <c r="I19" s="136"/>
      <c r="J19" s="138"/>
      <c r="K19" s="138"/>
      <c r="L19" s="138"/>
    </row>
    <row r="20" spans="2:20" x14ac:dyDescent="0.35">
      <c r="B20" s="53"/>
      <c r="C20" s="54"/>
      <c r="D20" s="49"/>
      <c r="G20" s="22"/>
      <c r="H20" s="1"/>
      <c r="I20" s="1"/>
      <c r="J20" s="55"/>
      <c r="K20" s="22"/>
      <c r="L20" s="56"/>
    </row>
    <row r="21" spans="2:20" x14ac:dyDescent="0.35">
      <c r="B21" s="83" t="s">
        <v>43</v>
      </c>
      <c r="C21" s="84"/>
      <c r="D21" s="85"/>
      <c r="E21" s="86" t="s">
        <v>10</v>
      </c>
      <c r="F21" s="86"/>
      <c r="G21" s="87"/>
      <c r="H21" s="74"/>
      <c r="I21" s="77"/>
      <c r="J21" s="46"/>
      <c r="K21" s="46"/>
      <c r="L21" s="56"/>
      <c r="M21" s="18"/>
      <c r="N21" s="141" t="s">
        <v>15</v>
      </c>
      <c r="O21" s="141"/>
    </row>
    <row r="22" spans="2:20" x14ac:dyDescent="0.35">
      <c r="B22" s="88"/>
      <c r="C22" s="89"/>
      <c r="D22" s="63" t="s">
        <v>44</v>
      </c>
      <c r="E22" s="90"/>
      <c r="F22" s="74" t="s">
        <v>45</v>
      </c>
      <c r="G22" s="77"/>
      <c r="H22" s="74">
        <v>1</v>
      </c>
      <c r="I22" s="77" t="s">
        <v>46</v>
      </c>
      <c r="J22" s="57">
        <v>25000000</v>
      </c>
      <c r="K22" s="57">
        <f t="shared" ref="K22:K28" si="0">J22*H22</f>
        <v>25000000</v>
      </c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88"/>
      <c r="C23" s="89"/>
      <c r="D23" s="63" t="s">
        <v>47</v>
      </c>
      <c r="E23" s="90"/>
      <c r="F23" s="74" t="s">
        <v>48</v>
      </c>
      <c r="G23" s="77"/>
      <c r="H23" s="74">
        <v>1</v>
      </c>
      <c r="I23" s="77" t="s">
        <v>46</v>
      </c>
      <c r="J23" s="57">
        <v>7000000</v>
      </c>
      <c r="K23" s="57">
        <f t="shared" si="0"/>
        <v>7000000</v>
      </c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88"/>
      <c r="C24" s="89"/>
      <c r="D24" s="63" t="s">
        <v>49</v>
      </c>
      <c r="E24" s="90"/>
      <c r="F24" s="74" t="s">
        <v>50</v>
      </c>
      <c r="G24" s="77"/>
      <c r="H24" s="74">
        <v>1</v>
      </c>
      <c r="I24" s="77" t="s">
        <v>46</v>
      </c>
      <c r="J24" s="57">
        <v>6000000</v>
      </c>
      <c r="K24" s="57">
        <f t="shared" si="0"/>
        <v>6000000</v>
      </c>
      <c r="L24" s="46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88"/>
      <c r="C25" s="89"/>
      <c r="D25" s="63" t="s">
        <v>51</v>
      </c>
      <c r="E25" s="90"/>
      <c r="F25" s="74" t="s">
        <v>91</v>
      </c>
      <c r="G25" s="77"/>
      <c r="H25" s="74">
        <v>21</v>
      </c>
      <c r="I25" s="68" t="s">
        <v>52</v>
      </c>
      <c r="J25" s="57">
        <v>1500000</v>
      </c>
      <c r="K25" s="57">
        <f t="shared" si="0"/>
        <v>31500000</v>
      </c>
      <c r="L25" s="46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88"/>
      <c r="C26" s="89"/>
      <c r="D26" s="63" t="s">
        <v>53</v>
      </c>
      <c r="E26" s="90"/>
      <c r="F26" s="74" t="s">
        <v>144</v>
      </c>
      <c r="G26" s="77"/>
      <c r="H26" s="74">
        <v>8</v>
      </c>
      <c r="I26" s="77" t="s">
        <v>52</v>
      </c>
      <c r="J26" s="57">
        <v>300000</v>
      </c>
      <c r="K26" s="57">
        <f t="shared" si="0"/>
        <v>2400000</v>
      </c>
      <c r="L26" s="46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88"/>
      <c r="C27" s="89"/>
      <c r="D27" s="63" t="s">
        <v>54</v>
      </c>
      <c r="E27" s="90"/>
      <c r="F27" s="74" t="s">
        <v>55</v>
      </c>
      <c r="G27" s="77"/>
      <c r="H27" s="74">
        <v>1</v>
      </c>
      <c r="I27" s="77" t="s">
        <v>46</v>
      </c>
      <c r="J27" s="57">
        <v>2000000</v>
      </c>
      <c r="K27" s="57">
        <f t="shared" si="0"/>
        <v>2000000</v>
      </c>
      <c r="L27" s="46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90"/>
      <c r="C28" s="63"/>
      <c r="D28" s="63" t="s">
        <v>56</v>
      </c>
      <c r="E28" s="90"/>
      <c r="F28" s="74" t="s">
        <v>57</v>
      </c>
      <c r="G28" s="77"/>
      <c r="H28" s="74">
        <v>1</v>
      </c>
      <c r="I28" s="77" t="s">
        <v>46</v>
      </c>
      <c r="J28" s="57">
        <v>10000000</v>
      </c>
      <c r="K28" s="57">
        <f t="shared" si="0"/>
        <v>10000000</v>
      </c>
      <c r="L28" s="46"/>
      <c r="M28" s="18"/>
      <c r="N28" s="23"/>
      <c r="O28" s="23" t="e">
        <f>#REF!+O27</f>
        <v>#REF!</v>
      </c>
    </row>
    <row r="29" spans="2:20" x14ac:dyDescent="0.35">
      <c r="B29" s="91" t="s">
        <v>58</v>
      </c>
      <c r="C29" s="92"/>
      <c r="D29" s="92"/>
      <c r="E29" s="93" t="s">
        <v>86</v>
      </c>
      <c r="F29" s="86"/>
      <c r="G29" s="87"/>
      <c r="H29" s="74"/>
      <c r="I29" s="77"/>
      <c r="J29" s="50"/>
      <c r="K29" s="59"/>
      <c r="L29" s="46"/>
      <c r="M29" s="18"/>
      <c r="N29" s="23"/>
      <c r="O29" s="23"/>
    </row>
    <row r="30" spans="2:20" x14ac:dyDescent="0.35">
      <c r="B30" s="88"/>
      <c r="C30" s="89"/>
      <c r="D30" s="63" t="s">
        <v>44</v>
      </c>
      <c r="E30" s="90"/>
      <c r="F30" s="74" t="s">
        <v>59</v>
      </c>
      <c r="G30" s="77"/>
      <c r="H30" s="74">
        <v>1146</v>
      </c>
      <c r="I30" s="68" t="s">
        <v>60</v>
      </c>
      <c r="J30" s="57">
        <v>75000</v>
      </c>
      <c r="K30" s="57">
        <f>J30*H30</f>
        <v>85950000</v>
      </c>
      <c r="L30" s="46"/>
      <c r="M30" s="18"/>
      <c r="N30" s="23"/>
      <c r="O30" s="23"/>
    </row>
    <row r="31" spans="2:20" x14ac:dyDescent="0.35">
      <c r="B31" s="88"/>
      <c r="C31" s="89"/>
      <c r="D31" s="63" t="s">
        <v>47</v>
      </c>
      <c r="E31" s="90"/>
      <c r="F31" s="74" t="s">
        <v>61</v>
      </c>
      <c r="G31" s="77"/>
      <c r="H31" s="74">
        <v>1146</v>
      </c>
      <c r="I31" s="68" t="s">
        <v>60</v>
      </c>
      <c r="J31" s="57">
        <v>23000</v>
      </c>
      <c r="K31" s="57">
        <f>J31*H31</f>
        <v>26358000</v>
      </c>
      <c r="L31" s="46"/>
      <c r="M31" s="18"/>
      <c r="N31" s="23"/>
      <c r="O31" s="23"/>
    </row>
    <row r="32" spans="2:20" x14ac:dyDescent="0.35">
      <c r="B32" s="94" t="s">
        <v>62</v>
      </c>
      <c r="C32" s="95"/>
      <c r="D32" s="96"/>
      <c r="E32" s="97" t="s">
        <v>66</v>
      </c>
      <c r="F32" s="86"/>
      <c r="G32" s="87"/>
      <c r="H32" s="74"/>
      <c r="I32" s="68"/>
      <c r="J32" s="56"/>
      <c r="K32" s="22"/>
      <c r="L32" s="46"/>
      <c r="M32" s="18"/>
      <c r="N32" s="23">
        <v>1</v>
      </c>
      <c r="O32" s="23" t="s">
        <v>10</v>
      </c>
    </row>
    <row r="33" spans="2:15" x14ac:dyDescent="0.35">
      <c r="B33" s="90"/>
      <c r="C33" s="63"/>
      <c r="D33" s="73" t="s">
        <v>44</v>
      </c>
      <c r="E33" s="74"/>
      <c r="F33" s="81" t="s">
        <v>92</v>
      </c>
      <c r="G33" s="77"/>
      <c r="H33" s="98">
        <v>4</v>
      </c>
      <c r="I33" s="68" t="s">
        <v>67</v>
      </c>
      <c r="J33" s="51">
        <v>1500000</v>
      </c>
      <c r="K33" s="57">
        <f>J33*H33</f>
        <v>6000000</v>
      </c>
      <c r="L33" s="46"/>
      <c r="M33" s="18"/>
      <c r="N33" s="23"/>
      <c r="O33" s="23"/>
    </row>
    <row r="34" spans="2:15" x14ac:dyDescent="0.35">
      <c r="B34" s="83" t="s">
        <v>65</v>
      </c>
      <c r="C34" s="84"/>
      <c r="D34" s="96"/>
      <c r="E34" s="86" t="s">
        <v>68</v>
      </c>
      <c r="F34" s="81"/>
      <c r="G34" s="77"/>
      <c r="H34" s="76"/>
      <c r="I34" s="77"/>
      <c r="J34" s="60"/>
      <c r="K34" s="61"/>
      <c r="L34" s="46"/>
      <c r="M34" s="18"/>
      <c r="N34" s="23"/>
      <c r="O34" s="23"/>
    </row>
    <row r="35" spans="2:15" x14ac:dyDescent="0.35">
      <c r="B35" s="99"/>
      <c r="C35" s="75"/>
      <c r="D35" s="63" t="s">
        <v>44</v>
      </c>
      <c r="E35" s="67"/>
      <c r="F35" s="81" t="s">
        <v>69</v>
      </c>
      <c r="G35" s="77"/>
      <c r="H35" s="74">
        <v>1</v>
      </c>
      <c r="I35" s="77" t="s">
        <v>70</v>
      </c>
      <c r="J35" s="46">
        <v>2000000</v>
      </c>
      <c r="K35" s="57">
        <f>J35*H35</f>
        <v>2000000</v>
      </c>
      <c r="L35" s="46"/>
      <c r="M35" s="18"/>
      <c r="N35" s="23"/>
      <c r="O35" s="23"/>
    </row>
    <row r="36" spans="2:15" x14ac:dyDescent="0.35">
      <c r="B36" s="90"/>
      <c r="C36" s="63"/>
      <c r="D36" s="73"/>
      <c r="E36" s="74"/>
      <c r="F36" s="81"/>
      <c r="G36" s="77"/>
      <c r="H36" s="98"/>
      <c r="I36" s="68"/>
      <c r="J36" s="51"/>
      <c r="K36" s="57"/>
      <c r="L36" s="46"/>
      <c r="M36" s="18"/>
      <c r="N36" s="23">
        <v>2</v>
      </c>
      <c r="O36" s="23" t="s">
        <v>16</v>
      </c>
    </row>
    <row r="37" spans="2:15" x14ac:dyDescent="0.35">
      <c r="B37" s="100"/>
      <c r="C37" s="101"/>
      <c r="D37" s="102"/>
      <c r="E37" s="103"/>
      <c r="F37" s="104" t="s">
        <v>71</v>
      </c>
      <c r="G37" s="105"/>
      <c r="H37" s="106"/>
      <c r="I37" s="107"/>
      <c r="J37" s="50"/>
      <c r="K37" s="59"/>
      <c r="L37" s="46"/>
      <c r="M37" s="18"/>
      <c r="N37" s="23">
        <v>4</v>
      </c>
      <c r="O37" s="23" t="s">
        <v>17</v>
      </c>
    </row>
    <row r="38" spans="2:15" x14ac:dyDescent="0.35">
      <c r="B38" s="99"/>
      <c r="C38" s="62"/>
      <c r="D38" s="63"/>
      <c r="E38" s="64"/>
      <c r="F38" s="65"/>
      <c r="G38" s="66"/>
      <c r="H38" s="67"/>
      <c r="I38" s="68"/>
      <c r="J38" s="46"/>
      <c r="K38" s="58"/>
      <c r="L38" s="46"/>
      <c r="M38" s="18"/>
      <c r="N38" s="23"/>
      <c r="O38" s="23"/>
    </row>
    <row r="39" spans="2:15" x14ac:dyDescent="0.35">
      <c r="B39" s="99" t="s">
        <v>43</v>
      </c>
      <c r="C39" s="62"/>
      <c r="D39" s="63"/>
      <c r="E39" s="64" t="s">
        <v>63</v>
      </c>
      <c r="F39" s="65"/>
      <c r="G39" s="66"/>
      <c r="H39" s="67"/>
      <c r="I39" s="68"/>
      <c r="J39" s="56"/>
      <c r="K39" s="22"/>
      <c r="L39" s="56"/>
      <c r="M39" s="18"/>
      <c r="N39" s="23"/>
      <c r="O39" s="23"/>
    </row>
    <row r="40" spans="2:15" x14ac:dyDescent="0.35">
      <c r="B40" s="99"/>
      <c r="C40" s="62" t="s">
        <v>72</v>
      </c>
      <c r="D40" s="63"/>
      <c r="E40" s="64"/>
      <c r="F40" s="65" t="s">
        <v>73</v>
      </c>
      <c r="G40" s="66"/>
      <c r="H40" s="67"/>
      <c r="I40" s="68"/>
      <c r="J40" s="60"/>
      <c r="K40" s="61"/>
      <c r="L40" s="46"/>
      <c r="M40" s="18"/>
      <c r="N40" s="23">
        <v>14</v>
      </c>
      <c r="O40" s="23" t="s">
        <v>18</v>
      </c>
    </row>
    <row r="41" spans="2:15" x14ac:dyDescent="0.35">
      <c r="B41" s="99"/>
      <c r="C41" s="62"/>
      <c r="D41" s="80" t="s">
        <v>44</v>
      </c>
      <c r="E41" s="70"/>
      <c r="F41" s="66" t="s">
        <v>77</v>
      </c>
      <c r="G41" s="66"/>
      <c r="H41" s="71"/>
      <c r="I41" s="72"/>
      <c r="J41" s="46"/>
      <c r="K41" s="58"/>
      <c r="L41" s="46"/>
      <c r="M41" s="18"/>
      <c r="N41" s="23">
        <v>15</v>
      </c>
      <c r="O41" s="23" t="s">
        <v>27</v>
      </c>
    </row>
    <row r="42" spans="2:15" x14ac:dyDescent="0.35">
      <c r="B42" s="99"/>
      <c r="C42" s="63"/>
      <c r="D42" s="73"/>
      <c r="E42" s="108"/>
      <c r="F42" s="74" t="s">
        <v>75</v>
      </c>
      <c r="G42" s="66" t="s">
        <v>93</v>
      </c>
      <c r="H42" s="71">
        <v>730.23839999999984</v>
      </c>
      <c r="I42" s="72" t="s">
        <v>64</v>
      </c>
      <c r="J42" s="46">
        <v>16000</v>
      </c>
      <c r="K42" s="58"/>
      <c r="L42" s="46">
        <f>J42*H42</f>
        <v>11683814.399999997</v>
      </c>
      <c r="M42" s="18"/>
      <c r="N42" s="23"/>
      <c r="O42" s="23"/>
    </row>
    <row r="43" spans="2:15" x14ac:dyDescent="0.35">
      <c r="B43" s="99"/>
      <c r="C43" s="63"/>
      <c r="D43" s="73"/>
      <c r="E43" s="74"/>
      <c r="F43" s="65"/>
      <c r="G43" s="66"/>
      <c r="H43" s="67"/>
      <c r="I43" s="68"/>
      <c r="J43" s="50"/>
      <c r="K43" s="69"/>
      <c r="L43" s="46"/>
      <c r="M43" s="18"/>
      <c r="N43" s="23"/>
      <c r="O43" s="23"/>
    </row>
    <row r="44" spans="2:15" x14ac:dyDescent="0.35">
      <c r="B44" s="109"/>
      <c r="C44" s="110"/>
      <c r="D44" s="111"/>
      <c r="E44" s="112"/>
      <c r="F44" s="113" t="s">
        <v>76</v>
      </c>
      <c r="G44" s="105"/>
      <c r="H44" s="114"/>
      <c r="I44" s="115"/>
      <c r="J44" s="46"/>
      <c r="K44" s="58"/>
      <c r="L44" s="46"/>
      <c r="M44" s="18"/>
      <c r="N44" s="23"/>
      <c r="O44" s="23"/>
    </row>
    <row r="45" spans="2:15" x14ac:dyDescent="0.35">
      <c r="B45" s="99"/>
      <c r="C45" s="75"/>
      <c r="D45" s="89"/>
      <c r="E45" s="116"/>
      <c r="F45" s="117"/>
      <c r="G45" s="68"/>
      <c r="H45" s="117"/>
      <c r="I45" s="68"/>
      <c r="J45" s="46"/>
      <c r="L45" s="46"/>
      <c r="M45" s="18"/>
      <c r="N45" s="23"/>
      <c r="O45" s="23"/>
    </row>
    <row r="46" spans="2:15" x14ac:dyDescent="0.35">
      <c r="B46" s="88" t="s">
        <v>43</v>
      </c>
      <c r="C46" s="89"/>
      <c r="D46" s="63"/>
      <c r="E46" s="70" t="s">
        <v>63</v>
      </c>
      <c r="F46" s="74"/>
      <c r="G46" s="77"/>
      <c r="H46" s="74"/>
      <c r="I46" s="68"/>
      <c r="J46" s="56"/>
      <c r="L46" s="46"/>
      <c r="M46" s="18"/>
      <c r="N46" s="23"/>
      <c r="O46" s="23"/>
    </row>
    <row r="47" spans="2:15" x14ac:dyDescent="0.35">
      <c r="B47" s="88"/>
      <c r="C47" s="89" t="s">
        <v>72</v>
      </c>
      <c r="D47" s="63"/>
      <c r="E47" s="70"/>
      <c r="F47" s="74" t="s">
        <v>73</v>
      </c>
      <c r="G47" s="77"/>
      <c r="H47" s="74"/>
      <c r="I47" s="68"/>
      <c r="J47" s="46"/>
      <c r="L47" s="46"/>
      <c r="M47" s="18"/>
      <c r="N47" s="23"/>
      <c r="O47" s="23"/>
    </row>
    <row r="48" spans="2:15" x14ac:dyDescent="0.35">
      <c r="B48" s="99"/>
      <c r="C48" s="62"/>
      <c r="D48" s="63" t="s">
        <v>44</v>
      </c>
      <c r="E48" s="64"/>
      <c r="F48" s="65" t="s">
        <v>94</v>
      </c>
      <c r="G48" s="66"/>
      <c r="H48" s="67"/>
      <c r="I48" s="68"/>
      <c r="J48" s="46"/>
      <c r="K48" s="58"/>
      <c r="L48" s="46"/>
      <c r="M48" s="18"/>
      <c r="N48" s="23"/>
      <c r="O48" s="23"/>
    </row>
    <row r="49" spans="2:15" x14ac:dyDescent="0.35">
      <c r="B49" s="99"/>
      <c r="C49" s="75"/>
      <c r="D49" s="73"/>
      <c r="E49" s="66"/>
      <c r="F49" s="74" t="s">
        <v>75</v>
      </c>
      <c r="G49" s="66" t="s">
        <v>95</v>
      </c>
      <c r="H49" s="76">
        <v>651.39299999999992</v>
      </c>
      <c r="I49" s="77" t="s">
        <v>64</v>
      </c>
      <c r="J49" s="46">
        <v>16000</v>
      </c>
      <c r="K49" s="46"/>
      <c r="L49" s="46">
        <f>J49*H49</f>
        <v>10422287.999999998</v>
      </c>
      <c r="M49" s="18"/>
      <c r="N49" s="23"/>
      <c r="O49" s="23"/>
    </row>
    <row r="50" spans="2:15" x14ac:dyDescent="0.35">
      <c r="B50" s="99"/>
      <c r="C50" s="62"/>
      <c r="D50" s="73"/>
      <c r="E50" s="64"/>
      <c r="F50" s="78" t="s">
        <v>75</v>
      </c>
      <c r="G50" s="66" t="s">
        <v>96</v>
      </c>
      <c r="H50" s="76">
        <v>213.36299999999997</v>
      </c>
      <c r="I50" s="77" t="s">
        <v>64</v>
      </c>
      <c r="J50" s="46">
        <v>16000</v>
      </c>
      <c r="K50" s="57"/>
      <c r="L50" s="46">
        <f>J50*H50</f>
        <v>3413807.9999999995</v>
      </c>
      <c r="M50" s="18"/>
      <c r="N50" s="23"/>
      <c r="O50" s="23"/>
    </row>
    <row r="51" spans="2:15" x14ac:dyDescent="0.35">
      <c r="B51" s="99"/>
      <c r="C51" s="75"/>
      <c r="D51" s="73" t="s">
        <v>47</v>
      </c>
      <c r="E51" s="66"/>
      <c r="F51" s="74" t="s">
        <v>97</v>
      </c>
      <c r="G51" s="66"/>
      <c r="H51" s="76"/>
      <c r="I51" s="77"/>
      <c r="J51" s="57"/>
      <c r="K51" s="57"/>
      <c r="L51" s="46"/>
      <c r="M51" s="18"/>
      <c r="N51" s="23"/>
      <c r="O51" s="23"/>
    </row>
    <row r="52" spans="2:15" x14ac:dyDescent="0.35">
      <c r="B52" s="99"/>
      <c r="C52" s="62"/>
      <c r="D52" s="73"/>
      <c r="E52" s="64"/>
      <c r="F52" s="78" t="s">
        <v>75</v>
      </c>
      <c r="G52" s="66" t="s">
        <v>98</v>
      </c>
      <c r="H52" s="76">
        <v>292.57577999999995</v>
      </c>
      <c r="I52" s="77" t="s">
        <v>64</v>
      </c>
      <c r="J52" s="46">
        <v>16000</v>
      </c>
      <c r="K52" s="57"/>
      <c r="L52" s="46">
        <f>J52*H52</f>
        <v>4681212.4799999995</v>
      </c>
      <c r="M52" s="18"/>
      <c r="N52" s="23"/>
      <c r="O52" s="23"/>
    </row>
    <row r="53" spans="2:15" x14ac:dyDescent="0.35">
      <c r="B53" s="99"/>
      <c r="C53" s="75"/>
      <c r="D53" s="73" t="s">
        <v>49</v>
      </c>
      <c r="E53" s="66"/>
      <c r="F53" s="74" t="s">
        <v>99</v>
      </c>
      <c r="G53" s="66"/>
      <c r="H53" s="76"/>
      <c r="I53" s="77"/>
      <c r="J53" s="57"/>
      <c r="K53" s="57"/>
      <c r="L53" s="46"/>
      <c r="M53" s="18"/>
      <c r="N53" s="23"/>
      <c r="O53" s="23"/>
    </row>
    <row r="54" spans="2:15" x14ac:dyDescent="0.35">
      <c r="B54" s="99"/>
      <c r="C54" s="62"/>
      <c r="D54" s="73"/>
      <c r="E54" s="64"/>
      <c r="F54" s="78" t="s">
        <v>75</v>
      </c>
      <c r="G54" s="66" t="s">
        <v>100</v>
      </c>
      <c r="H54" s="76">
        <v>328.60727999999995</v>
      </c>
      <c r="I54" s="77" t="s">
        <v>64</v>
      </c>
      <c r="J54" s="46">
        <v>16000</v>
      </c>
      <c r="K54" s="57"/>
      <c r="L54" s="46">
        <f>J54*H54</f>
        <v>5257716.4799999995</v>
      </c>
      <c r="M54" s="18"/>
      <c r="N54" s="23"/>
      <c r="O54" s="23"/>
    </row>
    <row r="55" spans="2:15" x14ac:dyDescent="0.35">
      <c r="B55" s="118"/>
      <c r="C55" s="62" t="s">
        <v>78</v>
      </c>
      <c r="D55" s="73"/>
      <c r="E55" s="64"/>
      <c r="F55" s="79" t="s">
        <v>79</v>
      </c>
      <c r="G55" s="66"/>
      <c r="H55" s="76"/>
      <c r="I55" s="77"/>
      <c r="J55" s="57"/>
      <c r="K55" s="57"/>
      <c r="L55" s="46"/>
      <c r="M55" s="18"/>
      <c r="N55" s="23"/>
      <c r="O55" s="23"/>
    </row>
    <row r="56" spans="2:15" x14ac:dyDescent="0.35">
      <c r="B56" s="118"/>
      <c r="C56" s="62"/>
      <c r="D56" s="80" t="s">
        <v>44</v>
      </c>
      <c r="E56" s="64"/>
      <c r="F56" s="66" t="s">
        <v>74</v>
      </c>
      <c r="G56" s="66"/>
      <c r="H56" s="71"/>
      <c r="I56" s="72"/>
      <c r="J56" s="57"/>
      <c r="K56" s="58"/>
      <c r="L56" s="46"/>
      <c r="M56" s="18"/>
      <c r="N56" s="23"/>
      <c r="O56" s="23"/>
    </row>
    <row r="57" spans="2:15" x14ac:dyDescent="0.35">
      <c r="B57" s="118"/>
      <c r="C57" s="62"/>
      <c r="D57" s="80"/>
      <c r="E57" s="66"/>
      <c r="F57" s="66" t="s">
        <v>75</v>
      </c>
      <c r="G57" s="66" t="s">
        <v>101</v>
      </c>
      <c r="H57" s="71">
        <v>61.041599999999981</v>
      </c>
      <c r="I57" s="72" t="s">
        <v>64</v>
      </c>
      <c r="J57" s="50">
        <v>33000</v>
      </c>
      <c r="K57" s="59"/>
      <c r="L57" s="46">
        <f>J57*H57</f>
        <v>2014372.7999999993</v>
      </c>
      <c r="M57" s="18"/>
      <c r="N57" s="23"/>
      <c r="O57" s="23"/>
    </row>
    <row r="58" spans="2:15" x14ac:dyDescent="0.35">
      <c r="B58" s="99"/>
      <c r="C58" s="62"/>
      <c r="D58" s="80" t="s">
        <v>47</v>
      </c>
      <c r="E58" s="64"/>
      <c r="F58" s="66" t="s">
        <v>102</v>
      </c>
      <c r="G58" s="66"/>
      <c r="H58" s="71"/>
      <c r="I58" s="72"/>
      <c r="J58" s="57"/>
      <c r="K58" s="58"/>
      <c r="L58" s="46"/>
      <c r="M58" s="18"/>
      <c r="N58" s="23"/>
      <c r="O58" s="23"/>
    </row>
    <row r="59" spans="2:15" x14ac:dyDescent="0.35">
      <c r="B59" s="118"/>
      <c r="C59" s="75"/>
      <c r="D59" s="80"/>
      <c r="E59" s="64"/>
      <c r="F59" s="66" t="s">
        <v>75</v>
      </c>
      <c r="G59" s="66" t="s">
        <v>103</v>
      </c>
      <c r="H59" s="71">
        <v>26.044415999999995</v>
      </c>
      <c r="I59" s="72" t="s">
        <v>64</v>
      </c>
      <c r="J59" s="50">
        <v>33000</v>
      </c>
      <c r="K59" s="58"/>
      <c r="L59" s="46">
        <f>J59*H59</f>
        <v>859465.72799999977</v>
      </c>
      <c r="M59" s="18"/>
      <c r="N59" s="23"/>
      <c r="O59" s="23"/>
    </row>
    <row r="60" spans="2:15" x14ac:dyDescent="0.35">
      <c r="B60" s="118"/>
      <c r="C60" s="75"/>
      <c r="D60" s="80"/>
      <c r="E60" s="64"/>
      <c r="F60" s="66" t="s">
        <v>75</v>
      </c>
      <c r="G60" s="66" t="s">
        <v>104</v>
      </c>
      <c r="H60" s="71">
        <v>88.035551999999981</v>
      </c>
      <c r="I60" s="72" t="s">
        <v>64</v>
      </c>
      <c r="J60" s="50">
        <v>33000</v>
      </c>
      <c r="K60" s="22"/>
      <c r="L60" s="46">
        <f>J60*H60</f>
        <v>2905173.2159999995</v>
      </c>
      <c r="M60" s="18"/>
      <c r="N60" s="23"/>
      <c r="O60" s="23"/>
    </row>
    <row r="61" spans="2:15" x14ac:dyDescent="0.35">
      <c r="B61" s="88"/>
      <c r="C61" s="89"/>
      <c r="D61" s="63"/>
      <c r="E61" s="90"/>
      <c r="F61" s="74" t="s">
        <v>75</v>
      </c>
      <c r="G61" s="77" t="s">
        <v>105</v>
      </c>
      <c r="H61" s="119">
        <v>56.46347999999999</v>
      </c>
      <c r="I61" s="77" t="s">
        <v>64</v>
      </c>
      <c r="J61" s="50">
        <v>33000</v>
      </c>
      <c r="K61" s="58"/>
      <c r="L61" s="46">
        <f>J61*H61</f>
        <v>1863294.8399999996</v>
      </c>
      <c r="M61" s="18"/>
      <c r="N61" s="23"/>
      <c r="O61" s="23"/>
    </row>
    <row r="62" spans="2:15" x14ac:dyDescent="0.35">
      <c r="B62" s="88"/>
      <c r="C62" s="89"/>
      <c r="D62" s="63" t="s">
        <v>49</v>
      </c>
      <c r="E62" s="90"/>
      <c r="F62" s="74" t="s">
        <v>80</v>
      </c>
      <c r="G62" s="77"/>
      <c r="H62" s="119"/>
      <c r="I62" s="77"/>
      <c r="J62" s="60"/>
      <c r="K62" s="61"/>
      <c r="L62" s="46"/>
      <c r="M62" s="18"/>
      <c r="N62" s="23"/>
      <c r="O62" s="23"/>
    </row>
    <row r="63" spans="2:15" x14ac:dyDescent="0.35">
      <c r="B63" s="88"/>
      <c r="C63" s="89"/>
      <c r="D63" s="63"/>
      <c r="E63" s="90"/>
      <c r="F63" s="74" t="s">
        <v>75</v>
      </c>
      <c r="G63" s="77" t="s">
        <v>106</v>
      </c>
      <c r="H63" s="119">
        <v>380.49263999999994</v>
      </c>
      <c r="I63" s="77" t="s">
        <v>64</v>
      </c>
      <c r="J63" s="50">
        <v>33000</v>
      </c>
      <c r="K63" s="61"/>
      <c r="L63" s="46">
        <f>J63*H63</f>
        <v>12556257.119999997</v>
      </c>
      <c r="M63" s="18"/>
      <c r="N63" s="23"/>
      <c r="O63" s="23"/>
    </row>
    <row r="64" spans="2:15" x14ac:dyDescent="0.35">
      <c r="B64" s="88"/>
      <c r="C64" s="89"/>
      <c r="D64" s="63"/>
      <c r="E64" s="90"/>
      <c r="F64" s="74" t="s">
        <v>75</v>
      </c>
      <c r="G64" s="77" t="s">
        <v>107</v>
      </c>
      <c r="H64" s="119">
        <v>362.80187999999993</v>
      </c>
      <c r="I64" s="77" t="s">
        <v>64</v>
      </c>
      <c r="J64" s="50">
        <v>33000</v>
      </c>
      <c r="K64" s="29"/>
      <c r="L64" s="46">
        <f>J64*H64</f>
        <v>11972462.039999997</v>
      </c>
      <c r="M64" s="18"/>
      <c r="N64" s="23"/>
      <c r="O64" s="23"/>
    </row>
    <row r="65" spans="2:23" x14ac:dyDescent="0.35">
      <c r="B65" s="88"/>
      <c r="C65" s="89" t="s">
        <v>81</v>
      </c>
      <c r="D65" s="63"/>
      <c r="E65" s="90"/>
      <c r="F65" s="74" t="s">
        <v>82</v>
      </c>
      <c r="G65" s="77"/>
      <c r="H65" s="119"/>
      <c r="I65" s="77"/>
      <c r="J65" s="50"/>
      <c r="K65" s="29"/>
      <c r="L65" s="51"/>
      <c r="M65" s="18"/>
      <c r="N65" s="23"/>
      <c r="O65" s="23"/>
    </row>
    <row r="66" spans="2:23" x14ac:dyDescent="0.35">
      <c r="B66" s="88"/>
      <c r="C66" s="89"/>
      <c r="D66" s="63" t="s">
        <v>44</v>
      </c>
      <c r="E66" s="90"/>
      <c r="F66" s="74" t="s">
        <v>108</v>
      </c>
      <c r="G66" s="77"/>
      <c r="H66" s="119"/>
      <c r="I66" s="77"/>
      <c r="J66" s="50"/>
      <c r="K66" s="29"/>
      <c r="L66" s="51"/>
      <c r="M66" s="18"/>
      <c r="N66" s="23"/>
      <c r="O66" s="23"/>
    </row>
    <row r="67" spans="2:23" x14ac:dyDescent="0.35">
      <c r="B67" s="88"/>
      <c r="C67" s="89"/>
      <c r="D67" s="63"/>
      <c r="E67" s="90"/>
      <c r="F67" s="74" t="s">
        <v>75</v>
      </c>
      <c r="G67" s="77" t="s">
        <v>109</v>
      </c>
      <c r="H67" s="119">
        <v>67.823999999999984</v>
      </c>
      <c r="I67" s="77" t="s">
        <v>64</v>
      </c>
      <c r="J67" s="46">
        <v>16000</v>
      </c>
      <c r="K67" s="29"/>
      <c r="L67" s="46">
        <f>J67*H67</f>
        <v>1085183.9999999998</v>
      </c>
      <c r="M67" s="18"/>
      <c r="N67" s="23"/>
      <c r="O67" s="23"/>
    </row>
    <row r="68" spans="2:23" x14ac:dyDescent="0.35">
      <c r="B68" s="88"/>
      <c r="C68" s="89"/>
      <c r="D68" s="63"/>
      <c r="E68" s="90"/>
      <c r="F68" s="74" t="s">
        <v>75</v>
      </c>
      <c r="G68" s="77" t="s">
        <v>110</v>
      </c>
      <c r="H68" s="119">
        <v>16.955999999999996</v>
      </c>
      <c r="I68" s="77" t="s">
        <v>64</v>
      </c>
      <c r="J68" s="46">
        <v>16000</v>
      </c>
      <c r="K68" s="29"/>
      <c r="L68" s="46">
        <f>J68*H68</f>
        <v>271295.99999999994</v>
      </c>
      <c r="M68" s="18"/>
      <c r="N68" s="23"/>
      <c r="O68" s="23"/>
    </row>
    <row r="69" spans="2:23" x14ac:dyDescent="0.35">
      <c r="B69" s="88"/>
      <c r="C69" s="89"/>
      <c r="D69" s="63"/>
      <c r="E69" s="90"/>
      <c r="F69" s="74" t="s">
        <v>75</v>
      </c>
      <c r="G69" s="77" t="s">
        <v>111</v>
      </c>
      <c r="H69" s="119">
        <v>67.823999999999984</v>
      </c>
      <c r="I69" s="77" t="s">
        <v>64</v>
      </c>
      <c r="J69" s="46">
        <v>16000</v>
      </c>
      <c r="K69" s="29"/>
      <c r="L69" s="46">
        <f>J69*H69</f>
        <v>1085183.9999999998</v>
      </c>
      <c r="M69" s="18"/>
      <c r="N69" s="23"/>
      <c r="O69" s="23"/>
    </row>
    <row r="70" spans="2:23" x14ac:dyDescent="0.35">
      <c r="B70" s="88"/>
      <c r="C70" s="89"/>
      <c r="D70" s="63"/>
      <c r="E70" s="90"/>
      <c r="F70" s="74" t="s">
        <v>75</v>
      </c>
      <c r="G70" s="77" t="s">
        <v>112</v>
      </c>
      <c r="H70" s="119">
        <v>15.825599999999996</v>
      </c>
      <c r="I70" s="77" t="s">
        <v>64</v>
      </c>
      <c r="J70" s="46">
        <v>16000</v>
      </c>
      <c r="K70" s="29"/>
      <c r="L70" s="46">
        <f>J70*H70</f>
        <v>253209.59999999995</v>
      </c>
      <c r="M70" s="18"/>
      <c r="N70" s="23"/>
      <c r="O70" s="23"/>
    </row>
    <row r="71" spans="2:23" x14ac:dyDescent="0.35">
      <c r="B71" s="47"/>
      <c r="C71" s="48"/>
      <c r="D71" s="24"/>
      <c r="G71" s="22"/>
      <c r="I71" s="22"/>
      <c r="J71" s="50"/>
      <c r="K71" s="29"/>
      <c r="L71" s="51"/>
      <c r="M71" s="18"/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204208000</v>
      </c>
      <c r="L72" s="7">
        <f>SUM(L20:L71)</f>
        <v>70324738.703999966</v>
      </c>
      <c r="M72" s="14">
        <f>K72+L72</f>
        <v>274532738.704</v>
      </c>
      <c r="N72" s="15"/>
      <c r="O72" s="34"/>
      <c r="P72" s="34"/>
      <c r="Q72" s="34"/>
      <c r="R72" s="34"/>
      <c r="S72">
        <v>102.15</v>
      </c>
      <c r="T72" s="34" t="s">
        <v>19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22</v>
      </c>
      <c r="L73" s="36" t="s">
        <v>23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20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142" t="s">
        <v>145</v>
      </c>
      <c r="L76" s="143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142" t="s">
        <v>28</v>
      </c>
      <c r="L77" s="143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144" t="s">
        <v>36</v>
      </c>
      <c r="L83" s="145"/>
      <c r="M83" s="40"/>
    </row>
    <row r="84" spans="2:13" x14ac:dyDescent="0.35">
      <c r="B84" s="45"/>
      <c r="K84" s="146" t="s">
        <v>37</v>
      </c>
      <c r="L84" s="147"/>
      <c r="M84" s="42"/>
    </row>
    <row r="85" spans="2:13" x14ac:dyDescent="0.35">
      <c r="B85" s="139"/>
      <c r="C85" s="140"/>
      <c r="D85" s="140"/>
      <c r="E85" s="41"/>
      <c r="F85" s="41"/>
      <c r="G85" s="41"/>
      <c r="H85" s="2"/>
      <c r="I85" s="2"/>
      <c r="J85" s="2"/>
      <c r="K85" s="2"/>
      <c r="L85" s="21"/>
    </row>
    <row r="86" spans="2:13" x14ac:dyDescent="0.35">
      <c r="B86" s="47"/>
      <c r="C86" s="48"/>
      <c r="D86" s="49"/>
      <c r="G86" s="22"/>
      <c r="H86" s="1"/>
      <c r="I86" s="1"/>
      <c r="J86" s="43"/>
      <c r="K86" s="30"/>
      <c r="L86" s="44"/>
    </row>
    <row r="87" spans="2:13" x14ac:dyDescent="0.35">
      <c r="B87" s="88"/>
      <c r="C87" s="89"/>
      <c r="D87" s="63"/>
      <c r="E87" s="90"/>
      <c r="F87" s="74" t="s">
        <v>75</v>
      </c>
      <c r="G87" s="77" t="s">
        <v>113</v>
      </c>
      <c r="H87" s="119">
        <v>132.48287999999999</v>
      </c>
      <c r="I87" s="77" t="s">
        <v>64</v>
      </c>
      <c r="J87" s="46">
        <v>16000</v>
      </c>
      <c r="K87" s="46"/>
      <c r="L87" s="46">
        <f>J87*H87</f>
        <v>2119726.0800000001</v>
      </c>
    </row>
    <row r="88" spans="2:13" x14ac:dyDescent="0.35">
      <c r="B88" s="88"/>
      <c r="C88" s="89"/>
      <c r="D88" s="63"/>
      <c r="E88" s="90"/>
      <c r="F88" s="74" t="s">
        <v>75</v>
      </c>
      <c r="G88" s="77" t="s">
        <v>114</v>
      </c>
      <c r="H88" s="119">
        <v>135.648</v>
      </c>
      <c r="I88" s="77" t="s">
        <v>64</v>
      </c>
      <c r="J88" s="46">
        <v>16000</v>
      </c>
      <c r="K88" s="57"/>
      <c r="L88" s="46">
        <f t="shared" ref="L88:L111" si="1">J88*H88</f>
        <v>2170368</v>
      </c>
    </row>
    <row r="89" spans="2:13" x14ac:dyDescent="0.35">
      <c r="B89" s="88"/>
      <c r="C89" s="89"/>
      <c r="D89" s="63"/>
      <c r="E89" s="90"/>
      <c r="F89" s="74" t="s">
        <v>75</v>
      </c>
      <c r="G89" s="77" t="s">
        <v>115</v>
      </c>
      <c r="H89" s="119">
        <v>2.6903519999999994</v>
      </c>
      <c r="I89" s="77" t="s">
        <v>64</v>
      </c>
      <c r="J89" s="46">
        <v>16000</v>
      </c>
      <c r="K89" s="57"/>
      <c r="L89" s="46">
        <f t="shared" si="1"/>
        <v>43045.631999999991</v>
      </c>
    </row>
    <row r="90" spans="2:13" x14ac:dyDescent="0.35">
      <c r="B90" s="88"/>
      <c r="C90" s="89"/>
      <c r="D90" s="63"/>
      <c r="E90" s="90"/>
      <c r="F90" s="74" t="s">
        <v>75</v>
      </c>
      <c r="G90" s="77" t="s">
        <v>116</v>
      </c>
      <c r="H90" s="119">
        <v>13.440455999999996</v>
      </c>
      <c r="I90" s="77" t="s">
        <v>64</v>
      </c>
      <c r="J90" s="46">
        <v>16000</v>
      </c>
      <c r="K90" s="57"/>
      <c r="L90" s="46">
        <f t="shared" si="1"/>
        <v>215047.29599999994</v>
      </c>
    </row>
    <row r="91" spans="2:13" x14ac:dyDescent="0.35">
      <c r="B91" s="88"/>
      <c r="C91" s="89"/>
      <c r="D91" s="63"/>
      <c r="E91" s="90"/>
      <c r="F91" s="74" t="s">
        <v>75</v>
      </c>
      <c r="G91" s="77" t="s">
        <v>117</v>
      </c>
      <c r="H91" s="119">
        <v>13.123943999999996</v>
      </c>
      <c r="I91" s="77" t="s">
        <v>64</v>
      </c>
      <c r="J91" s="46">
        <v>16000</v>
      </c>
      <c r="K91" s="57"/>
      <c r="L91" s="46">
        <f t="shared" si="1"/>
        <v>209983.10399999993</v>
      </c>
    </row>
    <row r="92" spans="2:13" x14ac:dyDescent="0.35">
      <c r="B92" s="88"/>
      <c r="C92" s="89"/>
      <c r="D92" s="63"/>
      <c r="E92" s="90"/>
      <c r="F92" s="74" t="s">
        <v>75</v>
      </c>
      <c r="G92" s="77" t="s">
        <v>118</v>
      </c>
      <c r="H92" s="119">
        <v>12.343967999999998</v>
      </c>
      <c r="I92" s="77" t="s">
        <v>64</v>
      </c>
      <c r="J92" s="46">
        <v>16000</v>
      </c>
      <c r="K92" s="57"/>
      <c r="L92" s="46">
        <f t="shared" si="1"/>
        <v>197503.48799999998</v>
      </c>
    </row>
    <row r="93" spans="2:13" x14ac:dyDescent="0.35">
      <c r="B93" s="88"/>
      <c r="C93" s="89"/>
      <c r="D93" s="63"/>
      <c r="E93" s="90"/>
      <c r="F93" s="74" t="s">
        <v>75</v>
      </c>
      <c r="G93" s="77" t="s">
        <v>119</v>
      </c>
      <c r="H93" s="119">
        <v>11.869199999999999</v>
      </c>
      <c r="I93" s="77" t="s">
        <v>64</v>
      </c>
      <c r="J93" s="46">
        <v>16000</v>
      </c>
      <c r="K93" s="57"/>
      <c r="L93" s="46">
        <f t="shared" si="1"/>
        <v>189907.19999999998</v>
      </c>
    </row>
    <row r="94" spans="2:13" x14ac:dyDescent="0.35">
      <c r="B94" s="88"/>
      <c r="C94" s="89"/>
      <c r="D94" s="63"/>
      <c r="E94" s="90"/>
      <c r="F94" s="74" t="s">
        <v>75</v>
      </c>
      <c r="G94" s="77" t="s">
        <v>120</v>
      </c>
      <c r="H94" s="119">
        <v>11.439648</v>
      </c>
      <c r="I94" s="77" t="s">
        <v>64</v>
      </c>
      <c r="J94" s="46">
        <v>16000</v>
      </c>
      <c r="K94" s="57"/>
      <c r="L94" s="46">
        <f t="shared" si="1"/>
        <v>183034.36799999999</v>
      </c>
    </row>
    <row r="95" spans="2:13" x14ac:dyDescent="0.35">
      <c r="B95" s="88"/>
      <c r="C95" s="89"/>
      <c r="D95" s="63"/>
      <c r="E95" s="90"/>
      <c r="F95" s="74" t="s">
        <v>75</v>
      </c>
      <c r="G95" s="77" t="s">
        <v>118</v>
      </c>
      <c r="H95" s="119">
        <v>12.343967999999998</v>
      </c>
      <c r="I95" s="77" t="s">
        <v>64</v>
      </c>
      <c r="J95" s="46">
        <v>16000</v>
      </c>
      <c r="K95" s="29"/>
      <c r="L95" s="46">
        <f t="shared" si="1"/>
        <v>197503.48799999998</v>
      </c>
    </row>
    <row r="96" spans="2:13" x14ac:dyDescent="0.35">
      <c r="B96" s="88"/>
      <c r="C96" s="89"/>
      <c r="D96" s="63"/>
      <c r="E96" s="90"/>
      <c r="F96" s="74" t="s">
        <v>75</v>
      </c>
      <c r="G96" s="77" t="s">
        <v>121</v>
      </c>
      <c r="H96" s="119">
        <v>5.6972159999999983</v>
      </c>
      <c r="I96" s="77" t="s">
        <v>64</v>
      </c>
      <c r="J96" s="46">
        <v>16000</v>
      </c>
      <c r="K96" s="29"/>
      <c r="L96" s="46">
        <f t="shared" si="1"/>
        <v>91155.455999999976</v>
      </c>
    </row>
    <row r="97" spans="2:12" x14ac:dyDescent="0.35">
      <c r="B97" s="88"/>
      <c r="C97" s="89"/>
      <c r="D97" s="63"/>
      <c r="E97" s="90"/>
      <c r="F97" s="74" t="s">
        <v>75</v>
      </c>
      <c r="G97" s="77" t="s">
        <v>122</v>
      </c>
      <c r="H97" s="119">
        <v>10.919663999999999</v>
      </c>
      <c r="I97" s="77" t="s">
        <v>64</v>
      </c>
      <c r="J97" s="46">
        <v>16000</v>
      </c>
      <c r="K97" s="29"/>
      <c r="L97" s="46">
        <f t="shared" si="1"/>
        <v>174714.62399999998</v>
      </c>
    </row>
    <row r="98" spans="2:12" x14ac:dyDescent="0.35">
      <c r="B98" s="88"/>
      <c r="C98" s="89"/>
      <c r="D98" s="63"/>
      <c r="E98" s="90"/>
      <c r="F98" s="74" t="s">
        <v>75</v>
      </c>
      <c r="G98" s="77" t="s">
        <v>123</v>
      </c>
      <c r="H98" s="119">
        <v>11.179655999999998</v>
      </c>
      <c r="I98" s="77" t="s">
        <v>64</v>
      </c>
      <c r="J98" s="46">
        <v>16000</v>
      </c>
      <c r="K98" s="29"/>
      <c r="L98" s="46">
        <f t="shared" si="1"/>
        <v>178874.49599999996</v>
      </c>
    </row>
    <row r="99" spans="2:12" x14ac:dyDescent="0.35">
      <c r="B99" s="88"/>
      <c r="C99" s="89"/>
      <c r="D99" s="63"/>
      <c r="E99" s="90"/>
      <c r="F99" s="74" t="s">
        <v>75</v>
      </c>
      <c r="G99" s="77" t="s">
        <v>124</v>
      </c>
      <c r="H99" s="119">
        <v>30.566015999999994</v>
      </c>
      <c r="I99" s="77" t="s">
        <v>64</v>
      </c>
      <c r="J99" s="46">
        <v>16000</v>
      </c>
      <c r="K99" s="29"/>
      <c r="L99" s="46">
        <f t="shared" si="1"/>
        <v>489056.25599999988</v>
      </c>
    </row>
    <row r="100" spans="2:12" x14ac:dyDescent="0.35">
      <c r="B100" s="88"/>
      <c r="C100" s="89"/>
      <c r="D100" s="63" t="s">
        <v>47</v>
      </c>
      <c r="E100" s="90"/>
      <c r="F100" s="74" t="s">
        <v>125</v>
      </c>
      <c r="G100" s="77"/>
      <c r="H100" s="119"/>
      <c r="I100" s="77"/>
      <c r="J100" s="46"/>
      <c r="K100" s="29"/>
      <c r="L100" s="51"/>
    </row>
    <row r="101" spans="2:12" x14ac:dyDescent="0.35">
      <c r="B101" s="88"/>
      <c r="C101" s="89"/>
      <c r="D101" s="63"/>
      <c r="E101" s="90"/>
      <c r="F101" s="74" t="s">
        <v>75</v>
      </c>
      <c r="G101" s="77" t="s">
        <v>126</v>
      </c>
      <c r="H101" s="119">
        <v>54.225287999999985</v>
      </c>
      <c r="I101" s="77" t="s">
        <v>64</v>
      </c>
      <c r="J101" s="46">
        <v>16000</v>
      </c>
      <c r="K101" s="29"/>
      <c r="L101" s="46">
        <f t="shared" si="1"/>
        <v>867604.60799999977</v>
      </c>
    </row>
    <row r="102" spans="2:12" x14ac:dyDescent="0.35">
      <c r="B102" s="88"/>
      <c r="C102" s="89"/>
      <c r="D102" s="63"/>
      <c r="E102" s="90"/>
      <c r="F102" s="74" t="s">
        <v>75</v>
      </c>
      <c r="G102" s="77" t="s">
        <v>127</v>
      </c>
      <c r="H102" s="119">
        <v>15.169967999999997</v>
      </c>
      <c r="I102" s="77" t="s">
        <v>64</v>
      </c>
      <c r="J102" s="46">
        <v>16000</v>
      </c>
      <c r="K102" s="29"/>
      <c r="L102" s="46">
        <f t="shared" si="1"/>
        <v>242719.48799999995</v>
      </c>
    </row>
    <row r="103" spans="2:12" x14ac:dyDescent="0.35">
      <c r="B103" s="88"/>
      <c r="C103" s="89"/>
      <c r="D103" s="63"/>
      <c r="E103" s="90"/>
      <c r="F103" s="74" t="s">
        <v>75</v>
      </c>
      <c r="G103" s="77" t="s">
        <v>128</v>
      </c>
      <c r="H103" s="119">
        <v>38.433599999999998</v>
      </c>
      <c r="I103" s="77" t="s">
        <v>64</v>
      </c>
      <c r="J103" s="46">
        <v>16000</v>
      </c>
      <c r="K103" s="29"/>
      <c r="L103" s="46">
        <f t="shared" si="1"/>
        <v>614937.59999999998</v>
      </c>
    </row>
    <row r="104" spans="2:12" x14ac:dyDescent="0.35">
      <c r="B104" s="88"/>
      <c r="C104" s="89"/>
      <c r="D104" s="63"/>
      <c r="E104" s="90"/>
      <c r="F104" s="74" t="s">
        <v>75</v>
      </c>
      <c r="G104" s="77" t="s">
        <v>129</v>
      </c>
      <c r="H104" s="119">
        <v>25.320959999999999</v>
      </c>
      <c r="I104" s="77" t="s">
        <v>64</v>
      </c>
      <c r="J104" s="46">
        <v>16000</v>
      </c>
      <c r="K104" s="29"/>
      <c r="L104" s="46">
        <f t="shared" si="1"/>
        <v>405135.35999999999</v>
      </c>
    </row>
    <row r="105" spans="2:12" x14ac:dyDescent="0.35">
      <c r="B105" s="88"/>
      <c r="C105" s="89"/>
      <c r="D105" s="63"/>
      <c r="E105" s="90"/>
      <c r="F105" s="74" t="s">
        <v>75</v>
      </c>
      <c r="G105" s="77" t="s">
        <v>130</v>
      </c>
      <c r="H105" s="119">
        <v>17.521199999999997</v>
      </c>
      <c r="I105" s="77" t="s">
        <v>64</v>
      </c>
      <c r="J105" s="46">
        <v>16000</v>
      </c>
      <c r="K105" s="29"/>
      <c r="L105" s="46">
        <f t="shared" si="1"/>
        <v>280339.19999999995</v>
      </c>
    </row>
    <row r="106" spans="2:12" x14ac:dyDescent="0.35">
      <c r="B106" s="118"/>
      <c r="C106" s="62"/>
      <c r="D106" s="80"/>
      <c r="E106" s="64"/>
      <c r="F106" s="66" t="s">
        <v>75</v>
      </c>
      <c r="G106" s="66" t="s">
        <v>131</v>
      </c>
      <c r="H106" s="71">
        <v>31.538159999999994</v>
      </c>
      <c r="I106" s="77" t="s">
        <v>64</v>
      </c>
      <c r="J106" s="46">
        <v>16000</v>
      </c>
      <c r="K106" s="29"/>
      <c r="L106" s="46">
        <f t="shared" si="1"/>
        <v>504610.55999999988</v>
      </c>
    </row>
    <row r="107" spans="2:12" x14ac:dyDescent="0.35">
      <c r="B107" s="118"/>
      <c r="C107" s="75"/>
      <c r="D107" s="80"/>
      <c r="E107" s="64"/>
      <c r="F107" s="81" t="s">
        <v>75</v>
      </c>
      <c r="G107" s="66" t="s">
        <v>132</v>
      </c>
      <c r="H107" s="71">
        <v>8.4779999999999998</v>
      </c>
      <c r="I107" s="72" t="s">
        <v>64</v>
      </c>
      <c r="J107" s="46">
        <v>16000</v>
      </c>
      <c r="K107" s="29"/>
      <c r="L107" s="46">
        <f t="shared" si="1"/>
        <v>135648</v>
      </c>
    </row>
    <row r="108" spans="2:12" x14ac:dyDescent="0.35">
      <c r="B108" s="118"/>
      <c r="C108" s="62"/>
      <c r="D108" s="80"/>
      <c r="E108" s="64"/>
      <c r="F108" s="66" t="s">
        <v>75</v>
      </c>
      <c r="G108" s="66" t="s">
        <v>133</v>
      </c>
      <c r="H108" s="71">
        <v>22.381919999999997</v>
      </c>
      <c r="I108" s="77" t="s">
        <v>64</v>
      </c>
      <c r="J108" s="46">
        <v>16000</v>
      </c>
      <c r="K108" s="29"/>
      <c r="L108" s="46">
        <f t="shared" si="1"/>
        <v>358110.71999999997</v>
      </c>
    </row>
    <row r="109" spans="2:12" x14ac:dyDescent="0.35">
      <c r="B109" s="118"/>
      <c r="C109" s="62"/>
      <c r="D109" s="62"/>
      <c r="E109" s="64"/>
      <c r="F109" s="66" t="s">
        <v>75</v>
      </c>
      <c r="G109" s="66" t="s">
        <v>134</v>
      </c>
      <c r="H109" s="71">
        <v>22.947119999999995</v>
      </c>
      <c r="I109" s="77" t="s">
        <v>64</v>
      </c>
      <c r="J109" s="46">
        <v>16000</v>
      </c>
      <c r="K109" s="29"/>
      <c r="L109" s="46">
        <f t="shared" si="1"/>
        <v>367153.91999999993</v>
      </c>
    </row>
    <row r="110" spans="2:12" x14ac:dyDescent="0.35">
      <c r="B110" s="118"/>
      <c r="C110" s="62"/>
      <c r="D110" s="62"/>
      <c r="E110" s="64"/>
      <c r="F110" s="66" t="s">
        <v>75</v>
      </c>
      <c r="G110" s="66" t="s">
        <v>135</v>
      </c>
      <c r="H110" s="71">
        <v>13.564799999999996</v>
      </c>
      <c r="I110" s="77" t="s">
        <v>64</v>
      </c>
      <c r="J110" s="46">
        <v>16000</v>
      </c>
      <c r="K110" s="29"/>
      <c r="L110" s="46">
        <f t="shared" si="1"/>
        <v>217036.79999999993</v>
      </c>
    </row>
    <row r="111" spans="2:12" x14ac:dyDescent="0.35">
      <c r="B111" s="118"/>
      <c r="C111" s="62"/>
      <c r="D111" s="62"/>
      <c r="E111" s="64"/>
      <c r="F111" s="66" t="s">
        <v>75</v>
      </c>
      <c r="G111" s="66" t="s">
        <v>136</v>
      </c>
      <c r="H111" s="71">
        <v>1.3564799999999997</v>
      </c>
      <c r="I111" s="77" t="s">
        <v>64</v>
      </c>
      <c r="J111" s="46">
        <v>16000</v>
      </c>
      <c r="K111" s="29"/>
      <c r="L111" s="46">
        <f t="shared" si="1"/>
        <v>21703.679999999997</v>
      </c>
    </row>
    <row r="112" spans="2:12" x14ac:dyDescent="0.35">
      <c r="B112" s="118"/>
      <c r="C112" s="62"/>
      <c r="D112" s="62"/>
      <c r="E112" s="64"/>
      <c r="F112" s="66"/>
      <c r="G112" s="66"/>
      <c r="H112" s="82"/>
      <c r="I112" s="77"/>
      <c r="J112" s="50"/>
      <c r="K112" s="29"/>
      <c r="L112" s="51"/>
    </row>
    <row r="113" spans="2:12" x14ac:dyDescent="0.35">
      <c r="B113" s="120"/>
      <c r="C113" s="121"/>
      <c r="D113" s="121"/>
      <c r="E113" s="122"/>
      <c r="F113" s="123" t="s">
        <v>83</v>
      </c>
      <c r="G113" s="123"/>
      <c r="H113" s="124"/>
      <c r="I113" s="125"/>
      <c r="J113" s="50"/>
      <c r="K113" s="29"/>
      <c r="L113" s="51"/>
    </row>
    <row r="114" spans="2:12" x14ac:dyDescent="0.35">
      <c r="B114" s="126"/>
      <c r="C114" s="89"/>
      <c r="D114" s="63"/>
      <c r="E114" s="90"/>
      <c r="F114" s="74"/>
      <c r="G114" s="77"/>
      <c r="H114" s="74"/>
      <c r="I114" s="77"/>
      <c r="J114" s="50"/>
      <c r="K114" s="29"/>
      <c r="L114" s="51"/>
    </row>
    <row r="115" spans="2:12" x14ac:dyDescent="0.35">
      <c r="B115" s="127" t="s">
        <v>43</v>
      </c>
      <c r="C115" s="92"/>
      <c r="D115" s="95"/>
      <c r="E115" s="128" t="s">
        <v>63</v>
      </c>
      <c r="F115" s="86"/>
      <c r="G115" s="87"/>
      <c r="H115" s="86"/>
      <c r="I115" s="87"/>
      <c r="J115" s="50"/>
      <c r="K115" s="29"/>
      <c r="L115" s="51"/>
    </row>
    <row r="116" spans="2:12" x14ac:dyDescent="0.35">
      <c r="B116" s="126"/>
      <c r="C116" s="89"/>
      <c r="D116" s="63" t="s">
        <v>44</v>
      </c>
      <c r="E116" s="90"/>
      <c r="F116" s="74" t="s">
        <v>84</v>
      </c>
      <c r="G116" s="77"/>
      <c r="H116" s="74">
        <v>5</v>
      </c>
      <c r="I116" s="77" t="s">
        <v>85</v>
      </c>
      <c r="J116" s="50">
        <v>150000</v>
      </c>
      <c r="K116" s="29">
        <f>J116*H116</f>
        <v>750000</v>
      </c>
      <c r="L116" s="51"/>
    </row>
    <row r="117" spans="2:12" x14ac:dyDescent="0.35">
      <c r="B117" s="126"/>
      <c r="C117" s="89"/>
      <c r="D117" s="63" t="s">
        <v>47</v>
      </c>
      <c r="E117" s="70"/>
      <c r="F117" s="74" t="s">
        <v>137</v>
      </c>
      <c r="G117" s="77"/>
      <c r="H117" s="74"/>
      <c r="I117" s="77"/>
      <c r="J117" s="50"/>
      <c r="K117" s="29"/>
      <c r="L117" s="51"/>
    </row>
    <row r="118" spans="2:12" x14ac:dyDescent="0.35">
      <c r="B118" s="126"/>
      <c r="C118" s="89"/>
      <c r="D118" s="63"/>
      <c r="E118" s="90"/>
      <c r="F118" s="74" t="s">
        <v>75</v>
      </c>
      <c r="G118" s="77" t="s">
        <v>138</v>
      </c>
      <c r="H118" s="74">
        <v>1</v>
      </c>
      <c r="I118" s="77" t="s">
        <v>139</v>
      </c>
      <c r="J118" s="50">
        <v>110000</v>
      </c>
      <c r="K118" s="29">
        <f>J118*H118</f>
        <v>110000</v>
      </c>
      <c r="L118" s="51"/>
    </row>
    <row r="119" spans="2:12" x14ac:dyDescent="0.35">
      <c r="B119" s="126"/>
      <c r="C119" s="89"/>
      <c r="D119" s="63"/>
      <c r="E119" s="90"/>
      <c r="F119" s="74" t="s">
        <v>75</v>
      </c>
      <c r="G119" s="77" t="s">
        <v>140</v>
      </c>
      <c r="H119" s="74">
        <v>50</v>
      </c>
      <c r="I119" s="77" t="s">
        <v>141</v>
      </c>
      <c r="J119" s="50">
        <v>2000</v>
      </c>
      <c r="K119" s="29">
        <f>J119*H119</f>
        <v>100000</v>
      </c>
      <c r="L119" s="51"/>
    </row>
    <row r="120" spans="2:12" x14ac:dyDescent="0.35">
      <c r="B120" s="127" t="s">
        <v>58</v>
      </c>
      <c r="C120" s="92"/>
      <c r="D120" s="95"/>
      <c r="E120" s="128" t="s">
        <v>86</v>
      </c>
      <c r="F120" s="86"/>
      <c r="G120" s="87"/>
      <c r="H120" s="86"/>
      <c r="I120" s="87"/>
      <c r="J120" s="50"/>
      <c r="K120" s="29"/>
      <c r="L120" s="51"/>
    </row>
    <row r="121" spans="2:12" x14ac:dyDescent="0.35">
      <c r="B121" s="126"/>
      <c r="C121" s="89"/>
      <c r="D121" s="63" t="s">
        <v>44</v>
      </c>
      <c r="E121" s="90"/>
      <c r="F121" s="74" t="s">
        <v>87</v>
      </c>
      <c r="G121" s="77"/>
      <c r="H121" s="74">
        <v>120</v>
      </c>
      <c r="I121" s="77" t="s">
        <v>60</v>
      </c>
      <c r="J121" s="50">
        <v>75000</v>
      </c>
      <c r="K121" s="29">
        <f>J121*H121</f>
        <v>9000000</v>
      </c>
      <c r="L121" s="51"/>
    </row>
    <row r="122" spans="2:12" x14ac:dyDescent="0.35">
      <c r="B122" s="126"/>
      <c r="C122" s="89"/>
      <c r="D122" s="63" t="s">
        <v>47</v>
      </c>
      <c r="E122" s="90"/>
      <c r="F122" s="74" t="s">
        <v>88</v>
      </c>
      <c r="G122" s="77"/>
      <c r="H122" s="74">
        <v>120</v>
      </c>
      <c r="I122" s="77" t="s">
        <v>60</v>
      </c>
      <c r="J122" s="50">
        <v>13000</v>
      </c>
      <c r="K122" s="29">
        <f>J122*H122</f>
        <v>1560000</v>
      </c>
      <c r="L122" s="51"/>
    </row>
    <row r="123" spans="2:12" x14ac:dyDescent="0.35">
      <c r="B123" s="126"/>
      <c r="C123" s="89"/>
      <c r="D123" s="63" t="s">
        <v>49</v>
      </c>
      <c r="E123" s="90"/>
      <c r="F123" s="74" t="s">
        <v>89</v>
      </c>
      <c r="G123" s="77"/>
      <c r="H123" s="74">
        <v>100</v>
      </c>
      <c r="I123" s="77" t="s">
        <v>60</v>
      </c>
      <c r="J123" s="50">
        <v>13000</v>
      </c>
      <c r="K123" s="29">
        <f>J123*H123</f>
        <v>1300000</v>
      </c>
      <c r="L123" s="51"/>
    </row>
    <row r="124" spans="2:12" x14ac:dyDescent="0.35">
      <c r="B124" s="47"/>
      <c r="C124" s="48"/>
      <c r="D124" s="24"/>
      <c r="G124" s="22"/>
      <c r="I124" s="22"/>
      <c r="J124" s="50"/>
      <c r="K124" s="29"/>
      <c r="L124" s="51"/>
    </row>
    <row r="125" spans="2:12" x14ac:dyDescent="0.35">
      <c r="B125" s="120"/>
      <c r="C125" s="121"/>
      <c r="D125" s="121"/>
      <c r="E125" s="122"/>
      <c r="F125" s="123" t="s">
        <v>142</v>
      </c>
      <c r="G125" s="123"/>
      <c r="H125" s="124"/>
      <c r="I125" s="125"/>
      <c r="J125" s="50"/>
      <c r="K125" s="29"/>
      <c r="L125" s="51"/>
    </row>
    <row r="126" spans="2:12" x14ac:dyDescent="0.35">
      <c r="B126" s="47"/>
      <c r="C126" s="48"/>
      <c r="D126" s="24"/>
      <c r="G126" s="22"/>
      <c r="I126" s="22"/>
      <c r="J126" s="50"/>
      <c r="K126" s="29"/>
      <c r="L126" s="51"/>
    </row>
    <row r="127" spans="2:12" x14ac:dyDescent="0.35">
      <c r="B127" s="83" t="s">
        <v>43</v>
      </c>
      <c r="C127" s="84"/>
      <c r="D127" s="85"/>
      <c r="E127" s="86" t="s">
        <v>10</v>
      </c>
      <c r="F127" s="86"/>
      <c r="G127" s="87"/>
      <c r="I127" s="22"/>
      <c r="J127" s="50"/>
      <c r="K127" s="29"/>
      <c r="L127" s="51"/>
    </row>
    <row r="128" spans="2:12" x14ac:dyDescent="0.35">
      <c r="B128" s="47"/>
      <c r="C128" s="48"/>
      <c r="D128" s="63" t="s">
        <v>53</v>
      </c>
      <c r="E128" s="90"/>
      <c r="F128" s="74" t="s">
        <v>143</v>
      </c>
      <c r="G128" s="77"/>
      <c r="H128" s="18">
        <v>29</v>
      </c>
      <c r="I128" s="22" t="s">
        <v>52</v>
      </c>
      <c r="J128" s="50">
        <v>300000</v>
      </c>
      <c r="K128" s="29">
        <f>J128*H128</f>
        <v>8700000</v>
      </c>
      <c r="L128" s="51"/>
    </row>
    <row r="129" spans="2:14" x14ac:dyDescent="0.35">
      <c r="B129" s="47"/>
      <c r="C129" s="48"/>
      <c r="D129" s="24"/>
      <c r="G129" s="22"/>
      <c r="I129" s="22"/>
      <c r="J129" s="50"/>
      <c r="K129" s="29"/>
      <c r="L129" s="51"/>
    </row>
    <row r="130" spans="2:14" x14ac:dyDescent="0.35">
      <c r="B130" s="47"/>
      <c r="C130" s="48"/>
      <c r="D130" s="24"/>
      <c r="G130" s="22"/>
      <c r="I130" s="22"/>
      <c r="J130" s="50"/>
      <c r="K130" s="29"/>
      <c r="L130" s="51"/>
    </row>
    <row r="131" spans="2:14" x14ac:dyDescent="0.35">
      <c r="B131" s="47"/>
      <c r="C131" s="48"/>
      <c r="D131" s="24"/>
      <c r="G131" s="22"/>
      <c r="I131" s="22"/>
      <c r="J131" s="50"/>
      <c r="K131" s="29"/>
      <c r="L131" s="51"/>
    </row>
    <row r="132" spans="2:14" x14ac:dyDescent="0.35">
      <c r="B132" s="47"/>
      <c r="C132" s="48"/>
      <c r="D132" s="24"/>
      <c r="G132" s="22"/>
      <c r="I132" s="22"/>
      <c r="J132" s="50"/>
      <c r="K132" s="29"/>
      <c r="L132" s="51"/>
    </row>
    <row r="133" spans="2:14" x14ac:dyDescent="0.35">
      <c r="B133" s="47"/>
      <c r="C133" s="48"/>
      <c r="D133" s="24"/>
      <c r="G133" s="22"/>
      <c r="I133" s="22"/>
      <c r="J133" s="50"/>
      <c r="K133" s="29"/>
      <c r="L133" s="51"/>
    </row>
    <row r="134" spans="2:14" x14ac:dyDescent="0.35">
      <c r="B134" s="47"/>
      <c r="C134" s="48"/>
      <c r="D134" s="24"/>
      <c r="G134" s="22"/>
      <c r="I134" s="22"/>
      <c r="J134" s="50"/>
      <c r="K134" s="29"/>
      <c r="L134" s="51"/>
    </row>
    <row r="135" spans="2:14" x14ac:dyDescent="0.35">
      <c r="B135" s="47"/>
      <c r="C135" s="48"/>
      <c r="D135" s="24"/>
      <c r="G135" s="22"/>
      <c r="I135" s="22"/>
      <c r="J135" s="50"/>
      <c r="K135" s="29"/>
      <c r="L135" s="51"/>
    </row>
    <row r="136" spans="2:14" x14ac:dyDescent="0.35">
      <c r="B136" s="47"/>
      <c r="C136" s="48"/>
      <c r="D136" s="24"/>
      <c r="G136" s="22"/>
      <c r="I136" s="22"/>
      <c r="J136" s="50"/>
      <c r="K136" s="29"/>
      <c r="L136" s="51"/>
    </row>
    <row r="137" spans="2:14" x14ac:dyDescent="0.35">
      <c r="B137" s="8"/>
      <c r="C137" s="9"/>
      <c r="D137" s="10"/>
      <c r="E137" s="4"/>
      <c r="F137" s="4"/>
      <c r="G137" s="4"/>
      <c r="H137" s="1"/>
      <c r="I137" s="1"/>
      <c r="J137" s="11" t="s">
        <v>8</v>
      </c>
      <c r="K137" s="7">
        <f>SUM(K86:K136)</f>
        <v>21520000</v>
      </c>
      <c r="L137" s="7">
        <f>SUM(L86:L136)</f>
        <v>10474919.424000001</v>
      </c>
    </row>
    <row r="138" spans="2:14" x14ac:dyDescent="0.35">
      <c r="B138" s="8"/>
      <c r="C138" s="9"/>
      <c r="D138" s="9"/>
      <c r="E138" s="4"/>
      <c r="F138" s="4"/>
      <c r="G138" s="4"/>
      <c r="H138" s="1"/>
      <c r="I138" s="1"/>
      <c r="J138" s="11" t="s">
        <v>90</v>
      </c>
      <c r="K138" s="52">
        <f>SUM(K137,K72)</f>
        <v>225728000</v>
      </c>
      <c r="L138" s="52">
        <f>SUM(L137,L72)</f>
        <v>80799658.127999961</v>
      </c>
      <c r="M138" s="14">
        <f>SUM(K138:L138)</f>
        <v>306527658.12799996</v>
      </c>
      <c r="N138" s="129">
        <v>341927827.21999997</v>
      </c>
    </row>
    <row r="139" spans="2:14" x14ac:dyDescent="0.35">
      <c r="B139" s="8"/>
      <c r="C139" s="9"/>
      <c r="D139" s="9"/>
      <c r="E139" s="4"/>
      <c r="F139" s="4"/>
      <c r="G139" s="4"/>
      <c r="H139" s="1"/>
      <c r="I139" s="1"/>
      <c r="J139" s="11"/>
      <c r="K139" s="35" t="s">
        <v>22</v>
      </c>
      <c r="L139" s="36" t="s">
        <v>23</v>
      </c>
    </row>
    <row r="140" spans="2:14" x14ac:dyDescent="0.35">
      <c r="B140" s="3" t="s">
        <v>9</v>
      </c>
      <c r="C140" s="4"/>
      <c r="D140" s="4"/>
      <c r="E140" s="4"/>
      <c r="F140" s="4"/>
      <c r="G140" s="4"/>
      <c r="H140" s="1"/>
      <c r="I140" s="1"/>
      <c r="J140" s="12"/>
      <c r="K140" s="12"/>
      <c r="L140" s="13"/>
      <c r="M140">
        <f>M138/N138*100</f>
        <v>89.646888532057616</v>
      </c>
    </row>
    <row r="141" spans="2:14" x14ac:dyDescent="0.35">
      <c r="B141" s="37"/>
      <c r="C141" s="1"/>
      <c r="D141" s="1"/>
      <c r="E141" s="38"/>
      <c r="F141" s="38"/>
      <c r="G141" s="38"/>
      <c r="H141" s="1"/>
      <c r="I141" s="1"/>
      <c r="J141" s="1"/>
      <c r="K141" s="1"/>
      <c r="L141" s="19"/>
    </row>
    <row r="142" spans="2:14" x14ac:dyDescent="0.35">
      <c r="B142" s="28" t="s">
        <v>6</v>
      </c>
      <c r="C142" s="27"/>
      <c r="D142" s="27"/>
      <c r="E142" s="26"/>
      <c r="F142" s="26"/>
      <c r="G142" s="5"/>
      <c r="K142" s="142" t="s">
        <v>145</v>
      </c>
      <c r="L142" s="143"/>
    </row>
    <row r="143" spans="2:14" x14ac:dyDescent="0.35">
      <c r="B143" s="28">
        <v>1</v>
      </c>
      <c r="C143" s="27"/>
      <c r="D143" s="27"/>
      <c r="E143" s="26" t="s">
        <v>7</v>
      </c>
      <c r="F143" s="26"/>
      <c r="G143" s="5"/>
      <c r="K143" s="142" t="s">
        <v>28</v>
      </c>
      <c r="L143" s="143"/>
    </row>
    <row r="144" spans="2:14" x14ac:dyDescent="0.35">
      <c r="B144" s="39"/>
      <c r="C144" s="27"/>
      <c r="D144" s="27"/>
      <c r="E144" s="26"/>
      <c r="F144" s="26"/>
      <c r="G144" s="5"/>
      <c r="J144" s="25"/>
      <c r="K144" s="25"/>
      <c r="L144" s="24"/>
    </row>
    <row r="145" spans="2:12" x14ac:dyDescent="0.35">
      <c r="B145" s="28"/>
      <c r="C145" s="27"/>
      <c r="D145" s="27"/>
      <c r="E145" s="26"/>
      <c r="F145" s="26"/>
      <c r="G145" s="5"/>
      <c r="L145" s="22"/>
    </row>
    <row r="146" spans="2:12" x14ac:dyDescent="0.35">
      <c r="B146" s="45"/>
      <c r="E146" s="5"/>
      <c r="F146" s="5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J149" s="40"/>
      <c r="K149" s="144" t="s">
        <v>36</v>
      </c>
      <c r="L149" s="145"/>
    </row>
    <row r="150" spans="2:12" x14ac:dyDescent="0.35">
      <c r="B150" s="45"/>
      <c r="K150" s="146" t="s">
        <v>37</v>
      </c>
      <c r="L150" s="147"/>
    </row>
    <row r="151" spans="2:12" x14ac:dyDescent="0.35">
      <c r="B151" s="139"/>
      <c r="C151" s="140"/>
      <c r="D151" s="140"/>
      <c r="E151" s="41"/>
      <c r="F151" s="41"/>
      <c r="G151" s="41"/>
      <c r="H151" s="2"/>
      <c r="I151" s="2"/>
      <c r="J151" s="2"/>
      <c r="K151" s="2"/>
      <c r="L151" s="21"/>
    </row>
  </sheetData>
  <mergeCells count="18">
    <mergeCell ref="F15:G15"/>
    <mergeCell ref="B18:D19"/>
    <mergeCell ref="E18:G19"/>
    <mergeCell ref="H18:I19"/>
    <mergeCell ref="J18:J19"/>
    <mergeCell ref="B151:D151"/>
    <mergeCell ref="L18:L19"/>
    <mergeCell ref="N21:O21"/>
    <mergeCell ref="K76:L76"/>
    <mergeCell ref="K77:L77"/>
    <mergeCell ref="K83:L83"/>
    <mergeCell ref="K84:L84"/>
    <mergeCell ref="K18:K19"/>
    <mergeCell ref="B85:D85"/>
    <mergeCell ref="K142:L142"/>
    <mergeCell ref="K143:L143"/>
    <mergeCell ref="K149:L149"/>
    <mergeCell ref="K150:L150"/>
  </mergeCells>
  <conditionalFormatting sqref="B37:B44">
    <cfRule type="expression" dxfId="17" priority="16">
      <formula>ISTEXT($E37)=TRUE</formula>
    </cfRule>
  </conditionalFormatting>
  <conditionalFormatting sqref="B46:B60">
    <cfRule type="expression" dxfId="16" priority="12">
      <formula>ISTEXT($E46)=TRUE</formula>
    </cfRule>
  </conditionalFormatting>
  <conditionalFormatting sqref="B106:B113">
    <cfRule type="expression" dxfId="15" priority="7">
      <formula>ISTEXT($E106)=TRUE</formula>
    </cfRule>
  </conditionalFormatting>
  <conditionalFormatting sqref="B125">
    <cfRule type="expression" dxfId="14" priority="3">
      <formula>ISTEXT($E125)=TRUE</formula>
    </cfRule>
  </conditionalFormatting>
  <conditionalFormatting sqref="B37:I44">
    <cfRule type="expression" dxfId="13" priority="13">
      <formula>AND((ISTEXT($F37)=TRUE),(ISTEXT($B37)=FALSE),(ISTEXT($C37)=FALSE),(ISTEXT($D37)=FALSE),(ISTEXT($G37)=FALSE),(ISTEXT($H37)=FALSE))</formula>
    </cfRule>
  </conditionalFormatting>
  <conditionalFormatting sqref="B46:I60">
    <cfRule type="expression" dxfId="12" priority="9">
      <formula>AND((ISTEXT($F46)=TRUE),(ISTEXT($B46)=FALSE),(ISTEXT($C46)=FALSE),(ISTEXT($D46)=FALSE),(ISTEXT($G46)=FALSE),(ISTEXT($H46)=FALSE))</formula>
    </cfRule>
  </conditionalFormatting>
  <conditionalFormatting sqref="B106:I113">
    <cfRule type="expression" dxfId="11" priority="8">
      <formula>AND((ISTEXT($F106)=TRUE),(ISTEXT($B106)=FALSE),(ISTEXT($C106)=FALSE),(ISTEXT($D106)=FALSE),(ISTEXT($G106)=FALSE),(ISTEXT($H106)=FALSE))</formula>
    </cfRule>
  </conditionalFormatting>
  <conditionalFormatting sqref="B125:I125">
    <cfRule type="expression" dxfId="10" priority="4">
      <formula>AND((ISTEXT($F125)=TRUE),(ISTEXT($B125)=FALSE),(ISTEXT($C125)=FALSE),(ISTEXT($D125)=FALSE),(ISTEXT($G125)=FALSE),(ISTEXT($H125)=FALSE))</formula>
    </cfRule>
  </conditionalFormatting>
  <conditionalFormatting sqref="E31">
    <cfRule type="expression" dxfId="9" priority="18">
      <formula>AND((ISBLANK($B31)=FALSE),(ISBLANK($E31)=FALSE))</formula>
    </cfRule>
  </conditionalFormatting>
  <conditionalFormatting sqref="E37:E44">
    <cfRule type="expression" dxfId="8" priority="15">
      <formula>ISTEXT($B37)=TRUE</formula>
    </cfRule>
  </conditionalFormatting>
  <conditionalFormatting sqref="E45">
    <cfRule type="expression" dxfId="7" priority="17">
      <formula>AND((ISBLANK($B45)=FALSE),(ISBLANK($E45)=FALSE))</formula>
    </cfRule>
  </conditionalFormatting>
  <conditionalFormatting sqref="E46:E60">
    <cfRule type="expression" dxfId="6" priority="11">
      <formula>ISTEXT($B46)=TRUE</formula>
    </cfRule>
  </conditionalFormatting>
  <conditionalFormatting sqref="E106:E113">
    <cfRule type="expression" dxfId="5" priority="6">
      <formula>ISTEXT($B106)=TRUE</formula>
    </cfRule>
  </conditionalFormatting>
  <conditionalFormatting sqref="E125">
    <cfRule type="expression" dxfId="4" priority="2">
      <formula>ISTEXT($B125)=TRUE</formula>
    </cfRule>
  </conditionalFormatting>
  <conditionalFormatting sqref="F37:F44">
    <cfRule type="expression" dxfId="3" priority="14">
      <formula>AND((ISTEXT($B37)=FALSE),(ISTEXT($C37)=FALSE),(ISTEXT($D37)=FALSE),(ISTEXT($G37)=FALSE))</formula>
    </cfRule>
  </conditionalFormatting>
  <conditionalFormatting sqref="F46:F60">
    <cfRule type="expression" dxfId="2" priority="10">
      <formula>AND((ISTEXT($B46)=FALSE),(ISTEXT($C46)=FALSE),(ISTEXT($D46)=FALSE),(ISTEXT($G46)=FALSE))</formula>
    </cfRule>
  </conditionalFormatting>
  <conditionalFormatting sqref="F106:F113">
    <cfRule type="expression" dxfId="1" priority="5">
      <formula>AND((ISTEXT($B106)=FALSE),(ISTEXT($C106)=FALSE),(ISTEXT($D106)=FALSE),(ISTEXT($G106)=FALSE))</formula>
    </cfRule>
  </conditionalFormatting>
  <conditionalFormatting sqref="F125">
    <cfRule type="expression" dxfId="0" priority="1">
      <formula>AND((ISTEXT($B125)=FALSE),(ISTEXT($C125)=FALSE),(ISTEXT($D125)=FALSE),(ISTEXT($G125)=FALSE))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1" manualBreakCount="1">
    <brk id="85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rev.02</vt:lpstr>
      <vt:lpstr>'Rincian Biaya rev.02'!Print_Area</vt:lpstr>
      <vt:lpstr>'Rincian Biaya rev.02'!Print_Titles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2025-02-24T08:09:25Z</cp:lastPrinted>
  <dcterms:created xsi:type="dcterms:W3CDTF">2015-07-30T04:54:41Z</dcterms:created>
  <dcterms:modified xsi:type="dcterms:W3CDTF">2025-12-23T07:47:11Z</dcterms:modified>
</cp:coreProperties>
</file>