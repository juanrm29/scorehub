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:\Shared drives\HO-A.1 MANAGEMENT REPRESENTATIF\TUGAS\MARKETING JUAN\"/>
    </mc:Choice>
  </mc:AlternateContent>
  <xr:revisionPtr revIDLastSave="0" documentId="13_ncr:1_{63A84EF9-A14C-423A-B557-95DCAB5AFBE3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Rincian Biaya rev.02 (asuransi)" sheetId="44" r:id="rId1"/>
    <sheet name="Rincian Biaya rev.05" sheetId="47" r:id="rId2"/>
  </sheets>
  <definedNames>
    <definedName name="_xlnm.Print_Area" localSheetId="0">'Rincian Biaya rev.02 (asuransi)'!$B$2:$L$421</definedName>
    <definedName name="_xlnm.Print_Area" localSheetId="1">'Rincian Biaya rev.05'!$B$2:$L$488</definedName>
    <definedName name="_xlnm.Print_Titles" localSheetId="0">'Rincian Biaya rev.02 (asuransi)'!$2:$19</definedName>
    <definedName name="_xlnm.Print_Titles" localSheetId="1">'Rincian Biaya rev.05'!$2:$19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08" i="44" l="1"/>
  <c r="L408" i="44"/>
  <c r="N473" i="47"/>
  <c r="K475" i="47"/>
  <c r="M475" i="47"/>
  <c r="L475" i="47"/>
  <c r="O473" i="47"/>
  <c r="K22" i="47"/>
  <c r="K23" i="47"/>
  <c r="K24" i="47"/>
  <c r="K25" i="47"/>
  <c r="K26" i="47"/>
  <c r="K27" i="47"/>
  <c r="K28" i="47"/>
  <c r="K30" i="47"/>
  <c r="K31" i="47"/>
  <c r="K32" i="47"/>
  <c r="H33" i="47"/>
  <c r="K33" i="47"/>
  <c r="K34" i="47"/>
  <c r="K35" i="47"/>
  <c r="K36" i="47"/>
  <c r="H37" i="47"/>
  <c r="K37" i="47"/>
  <c r="H38" i="47"/>
  <c r="K38" i="47"/>
  <c r="K39" i="47"/>
  <c r="K40" i="47"/>
  <c r="H41" i="47"/>
  <c r="K41" i="47"/>
  <c r="K42" i="47"/>
  <c r="K43" i="47"/>
  <c r="K45" i="47"/>
  <c r="K46" i="47"/>
  <c r="K47" i="47"/>
  <c r="K49" i="47"/>
  <c r="K73" i="47"/>
  <c r="K140" i="47"/>
  <c r="K207" i="47"/>
  <c r="K274" i="47"/>
  <c r="K341" i="47"/>
  <c r="K408" i="47"/>
  <c r="K439" i="47"/>
  <c r="K449" i="47"/>
  <c r="K450" i="47"/>
  <c r="K451" i="47"/>
  <c r="K452" i="47"/>
  <c r="K453" i="47"/>
  <c r="K454" i="47"/>
  <c r="K455" i="47"/>
  <c r="K456" i="47"/>
  <c r="K472" i="47"/>
  <c r="K473" i="47"/>
  <c r="L55" i="47"/>
  <c r="L56" i="47"/>
  <c r="L58" i="47"/>
  <c r="L59" i="47"/>
  <c r="L61" i="47"/>
  <c r="L62" i="47"/>
  <c r="L64" i="47"/>
  <c r="L65" i="47"/>
  <c r="L67" i="47"/>
  <c r="L68" i="47"/>
  <c r="L70" i="47"/>
  <c r="L73" i="47"/>
  <c r="L89" i="47"/>
  <c r="L92" i="47"/>
  <c r="L94" i="47"/>
  <c r="L96" i="47"/>
  <c r="L98" i="47"/>
  <c r="L100" i="47"/>
  <c r="L102" i="47"/>
  <c r="L104" i="47"/>
  <c r="L105" i="47"/>
  <c r="L107" i="47"/>
  <c r="L108" i="47"/>
  <c r="L111" i="47"/>
  <c r="L113" i="47"/>
  <c r="L115" i="47"/>
  <c r="L117" i="47"/>
  <c r="L119" i="47"/>
  <c r="L120" i="47"/>
  <c r="L122" i="47"/>
  <c r="L123" i="47"/>
  <c r="L124" i="47"/>
  <c r="L126" i="47"/>
  <c r="L127" i="47"/>
  <c r="L128" i="47"/>
  <c r="L130" i="47"/>
  <c r="L132" i="47"/>
  <c r="L133" i="47"/>
  <c r="L134" i="47"/>
  <c r="L136" i="47"/>
  <c r="L137" i="47"/>
  <c r="L140" i="47"/>
  <c r="L156" i="47"/>
  <c r="L159" i="47"/>
  <c r="L160" i="47"/>
  <c r="L163" i="47"/>
  <c r="L165" i="47"/>
  <c r="L168" i="47"/>
  <c r="L169" i="47"/>
  <c r="L170" i="47"/>
  <c r="L171" i="47"/>
  <c r="L172" i="47"/>
  <c r="L173" i="47"/>
  <c r="L174" i="47"/>
  <c r="L177" i="47"/>
  <c r="L178" i="47"/>
  <c r="L179" i="47"/>
  <c r="L180" i="47"/>
  <c r="L181" i="47"/>
  <c r="L182" i="47"/>
  <c r="L183" i="47"/>
  <c r="L184" i="47"/>
  <c r="L185" i="47"/>
  <c r="L186" i="47"/>
  <c r="L187" i="47"/>
  <c r="L188" i="47"/>
  <c r="L189" i="47"/>
  <c r="L190" i="47"/>
  <c r="L191" i="47"/>
  <c r="L192" i="47"/>
  <c r="L193" i="47"/>
  <c r="L194" i="47"/>
  <c r="L195" i="47"/>
  <c r="L196" i="47"/>
  <c r="L197" i="47"/>
  <c r="L198" i="47"/>
  <c r="L199" i="47"/>
  <c r="L200" i="47"/>
  <c r="L201" i="47"/>
  <c r="L202" i="47"/>
  <c r="L203" i="47"/>
  <c r="L204" i="47"/>
  <c r="L207" i="47"/>
  <c r="L222" i="47"/>
  <c r="L223" i="47"/>
  <c r="L224" i="47"/>
  <c r="L225" i="47"/>
  <c r="L226" i="47"/>
  <c r="L227" i="47"/>
  <c r="L229" i="47"/>
  <c r="L230" i="47"/>
  <c r="L231" i="47"/>
  <c r="L232" i="47"/>
  <c r="L233" i="47"/>
  <c r="L234" i="47"/>
  <c r="L235" i="47"/>
  <c r="L236" i="47"/>
  <c r="L237" i="47"/>
  <c r="L238" i="47"/>
  <c r="L239" i="47"/>
  <c r="L240" i="47"/>
  <c r="L241" i="47"/>
  <c r="L242" i="47"/>
  <c r="L243" i="47"/>
  <c r="L244" i="47"/>
  <c r="L246" i="47"/>
  <c r="L248" i="47"/>
  <c r="L249" i="47"/>
  <c r="L250" i="47"/>
  <c r="L251" i="47"/>
  <c r="L252" i="47"/>
  <c r="L253" i="47"/>
  <c r="L254" i="47"/>
  <c r="L255" i="47"/>
  <c r="L256" i="47"/>
  <c r="L257" i="47"/>
  <c r="L258" i="47"/>
  <c r="L259" i="47"/>
  <c r="L260" i="47"/>
  <c r="L261" i="47"/>
  <c r="L262" i="47"/>
  <c r="L263" i="47"/>
  <c r="L264" i="47"/>
  <c r="L265" i="47"/>
  <c r="L266" i="47"/>
  <c r="L267" i="47"/>
  <c r="L268" i="47"/>
  <c r="L269" i="47"/>
  <c r="L270" i="47"/>
  <c r="L271" i="47"/>
  <c r="L274" i="47"/>
  <c r="L290" i="47"/>
  <c r="L291" i="47"/>
  <c r="L292" i="47"/>
  <c r="L293" i="47"/>
  <c r="L294" i="47"/>
  <c r="L295" i="47"/>
  <c r="L296" i="47"/>
  <c r="L297" i="47"/>
  <c r="L298" i="47"/>
  <c r="L299" i="47"/>
  <c r="L300" i="47"/>
  <c r="L301" i="47"/>
  <c r="L302" i="47"/>
  <c r="L303" i="47"/>
  <c r="L304" i="47"/>
  <c r="L305" i="47"/>
  <c r="L306" i="47"/>
  <c r="L307" i="47"/>
  <c r="L308" i="47"/>
  <c r="L309" i="47"/>
  <c r="L310" i="47"/>
  <c r="L311" i="47"/>
  <c r="L312" i="47"/>
  <c r="L313" i="47"/>
  <c r="L315" i="47"/>
  <c r="L316" i="47"/>
  <c r="L317" i="47"/>
  <c r="L318" i="47"/>
  <c r="L319" i="47"/>
  <c r="L320" i="47"/>
  <c r="L321" i="47"/>
  <c r="L322" i="47"/>
  <c r="L323" i="47"/>
  <c r="L324" i="47"/>
  <c r="L325" i="47"/>
  <c r="L326" i="47"/>
  <c r="L327" i="47"/>
  <c r="L328" i="47"/>
  <c r="L329" i="47"/>
  <c r="L330" i="47"/>
  <c r="L331" i="47"/>
  <c r="L332" i="47"/>
  <c r="L333" i="47"/>
  <c r="L334" i="47"/>
  <c r="L335" i="47"/>
  <c r="L336" i="47"/>
  <c r="L337" i="47"/>
  <c r="L338" i="47"/>
  <c r="L341" i="47"/>
  <c r="L357" i="47"/>
  <c r="L358" i="47"/>
  <c r="L359" i="47"/>
  <c r="L360" i="47"/>
  <c r="L362" i="47"/>
  <c r="L363" i="47"/>
  <c r="L364" i="47"/>
  <c r="L365" i="47"/>
  <c r="L367" i="47"/>
  <c r="L368" i="47"/>
  <c r="L371" i="47"/>
  <c r="L384" i="47"/>
  <c r="L385" i="47"/>
  <c r="L388" i="47"/>
  <c r="L389" i="47"/>
  <c r="L392" i="47"/>
  <c r="L395" i="47"/>
  <c r="L397" i="47"/>
  <c r="L399" i="47"/>
  <c r="L400" i="47"/>
  <c r="L401" i="47"/>
  <c r="L402" i="47"/>
  <c r="L408" i="47"/>
  <c r="L424" i="47"/>
  <c r="L429" i="47"/>
  <c r="L435" i="47"/>
  <c r="L438" i="47"/>
  <c r="L440" i="47"/>
  <c r="L441" i="47"/>
  <c r="L442" i="47"/>
  <c r="L443" i="47"/>
  <c r="L444" i="47"/>
  <c r="L472" i="47"/>
  <c r="L473" i="47"/>
  <c r="M473" i="47"/>
  <c r="M73" i="47"/>
  <c r="O27" i="47"/>
  <c r="O28" i="47"/>
  <c r="Q27" i="47"/>
  <c r="P27" i="47"/>
  <c r="Q26" i="47"/>
  <c r="O26" i="47"/>
  <c r="Q25" i="47"/>
  <c r="O25" i="47"/>
  <c r="P24" i="47"/>
  <c r="O24" i="47"/>
  <c r="Q22" i="47"/>
  <c r="R23" i="47"/>
  <c r="S23" i="47"/>
  <c r="T23" i="47"/>
  <c r="P22" i="47"/>
  <c r="H34" i="44"/>
  <c r="H33" i="44"/>
  <c r="K33" i="44"/>
  <c r="H32" i="44"/>
  <c r="K32" i="44"/>
  <c r="L339" i="44"/>
  <c r="L338" i="44"/>
  <c r="L336" i="44"/>
  <c r="L335" i="44"/>
  <c r="L272" i="44"/>
  <c r="L271" i="44"/>
  <c r="L270" i="44"/>
  <c r="L269" i="44"/>
  <c r="L204" i="44"/>
  <c r="L203" i="44"/>
  <c r="L202" i="44"/>
  <c r="L201" i="44"/>
  <c r="L136" i="44"/>
  <c r="L135" i="44"/>
  <c r="L70" i="44"/>
  <c r="L68" i="44"/>
  <c r="L334" i="44"/>
  <c r="L333" i="44"/>
  <c r="L268" i="44"/>
  <c r="L267" i="44"/>
  <c r="L200" i="44"/>
  <c r="L199" i="44"/>
  <c r="L132" i="44"/>
  <c r="L65" i="44"/>
  <c r="K370" i="44"/>
  <c r="K407" i="44"/>
  <c r="L359" i="44"/>
  <c r="L357" i="44"/>
  <c r="L356" i="44"/>
  <c r="K341" i="44"/>
  <c r="L331" i="44"/>
  <c r="L330" i="44"/>
  <c r="L329" i="44"/>
  <c r="L328" i="44"/>
  <c r="L327" i="44"/>
  <c r="L326" i="44"/>
  <c r="L325" i="44"/>
  <c r="L324" i="44"/>
  <c r="L323" i="44"/>
  <c r="L322" i="44"/>
  <c r="L321" i="44"/>
  <c r="L320" i="44"/>
  <c r="L319" i="44"/>
  <c r="L318" i="44"/>
  <c r="L317" i="44"/>
  <c r="L316" i="44"/>
  <c r="L315" i="44"/>
  <c r="L314" i="44"/>
  <c r="L313" i="44"/>
  <c r="L312" i="44"/>
  <c r="L311" i="44"/>
  <c r="L310" i="44"/>
  <c r="L309" i="44"/>
  <c r="L308" i="44"/>
  <c r="L306" i="44"/>
  <c r="L305" i="44"/>
  <c r="L304" i="44"/>
  <c r="L303" i="44"/>
  <c r="L302" i="44"/>
  <c r="L301" i="44"/>
  <c r="L300" i="44"/>
  <c r="L299" i="44"/>
  <c r="L298" i="44"/>
  <c r="L297" i="44"/>
  <c r="L296" i="44"/>
  <c r="L295" i="44"/>
  <c r="L294" i="44"/>
  <c r="L293" i="44"/>
  <c r="L292" i="44"/>
  <c r="L291" i="44"/>
  <c r="L290" i="44"/>
  <c r="L289" i="44"/>
  <c r="K274" i="44"/>
  <c r="L265" i="44"/>
  <c r="L264" i="44"/>
  <c r="L263" i="44"/>
  <c r="L262" i="44"/>
  <c r="L261" i="44"/>
  <c r="L260" i="44"/>
  <c r="L259" i="44"/>
  <c r="L258" i="44"/>
  <c r="L257" i="44"/>
  <c r="L256" i="44"/>
  <c r="L255" i="44"/>
  <c r="L254" i="44"/>
  <c r="L253" i="44"/>
  <c r="L252" i="44"/>
  <c r="L251" i="44"/>
  <c r="L250" i="44"/>
  <c r="L249" i="44"/>
  <c r="L248" i="44"/>
  <c r="L247" i="44"/>
  <c r="L246" i="44"/>
  <c r="L245" i="44"/>
  <c r="L244" i="44"/>
  <c r="L243" i="44"/>
  <c r="L242" i="44"/>
  <c r="L240" i="44"/>
  <c r="L238" i="44"/>
  <c r="L237" i="44"/>
  <c r="L236" i="44"/>
  <c r="L235" i="44"/>
  <c r="L234" i="44"/>
  <c r="L233" i="44"/>
  <c r="L232" i="44"/>
  <c r="L231" i="44"/>
  <c r="L230" i="44"/>
  <c r="L229" i="44"/>
  <c r="L228" i="44"/>
  <c r="L227" i="44"/>
  <c r="L226" i="44"/>
  <c r="L225" i="44"/>
  <c r="L224" i="44"/>
  <c r="L223" i="44"/>
  <c r="K207" i="44"/>
  <c r="L198" i="44"/>
  <c r="L197" i="44"/>
  <c r="L196" i="44"/>
  <c r="L195" i="44"/>
  <c r="L194" i="44"/>
  <c r="L193" i="44"/>
  <c r="L192" i="44"/>
  <c r="L191" i="44"/>
  <c r="L190" i="44"/>
  <c r="L189" i="44"/>
  <c r="L188" i="44"/>
  <c r="L187" i="44"/>
  <c r="L186" i="44"/>
  <c r="L185" i="44"/>
  <c r="L184" i="44"/>
  <c r="L183" i="44"/>
  <c r="L182" i="44"/>
  <c r="L181" i="44"/>
  <c r="L180" i="44"/>
  <c r="L179" i="44"/>
  <c r="L178" i="44"/>
  <c r="L177" i="44"/>
  <c r="L176" i="44"/>
  <c r="L175" i="44"/>
  <c r="L174" i="44"/>
  <c r="L173" i="44"/>
  <c r="L172" i="44"/>
  <c r="L171" i="44"/>
  <c r="L168" i="44"/>
  <c r="L167" i="44"/>
  <c r="L166" i="44"/>
  <c r="L165" i="44"/>
  <c r="L164" i="44"/>
  <c r="L163" i="44"/>
  <c r="L162" i="44"/>
  <c r="L159" i="44"/>
  <c r="L157" i="44"/>
  <c r="K140" i="44"/>
  <c r="L130" i="44"/>
  <c r="L129" i="44"/>
  <c r="L127" i="44"/>
  <c r="L126" i="44"/>
  <c r="L125" i="44"/>
  <c r="L123" i="44"/>
  <c r="L121" i="44"/>
  <c r="L120" i="44"/>
  <c r="L119" i="44"/>
  <c r="L117" i="44"/>
  <c r="L116" i="44"/>
  <c r="L115" i="44"/>
  <c r="L113" i="44"/>
  <c r="L112" i="44"/>
  <c r="L110" i="44"/>
  <c r="L108" i="44"/>
  <c r="L106" i="44"/>
  <c r="L104" i="44"/>
  <c r="L101" i="44"/>
  <c r="L100" i="44"/>
  <c r="L98" i="44"/>
  <c r="L97" i="44"/>
  <c r="L95" i="44"/>
  <c r="L93" i="44"/>
  <c r="L91" i="44"/>
  <c r="L89" i="44"/>
  <c r="L63" i="44"/>
  <c r="L61" i="44"/>
  <c r="L60" i="44"/>
  <c r="L58" i="44"/>
  <c r="L57" i="44"/>
  <c r="L55" i="44"/>
  <c r="L54" i="44"/>
  <c r="L52" i="44"/>
  <c r="L51" i="44"/>
  <c r="L49" i="44"/>
  <c r="L48" i="44"/>
  <c r="K42" i="44"/>
  <c r="K40" i="44"/>
  <c r="K39" i="44"/>
  <c r="K38" i="44"/>
  <c r="K36" i="44"/>
  <c r="K35" i="44"/>
  <c r="K34" i="44"/>
  <c r="K31" i="44"/>
  <c r="K30" i="44"/>
  <c r="K28" i="44"/>
  <c r="Q27" i="44"/>
  <c r="P27" i="44"/>
  <c r="O27" i="44"/>
  <c r="O28" i="44"/>
  <c r="K27" i="44"/>
  <c r="Q26" i="44"/>
  <c r="O26" i="44"/>
  <c r="K26" i="44"/>
  <c r="Q25" i="44"/>
  <c r="O25" i="44"/>
  <c r="K25" i="44"/>
  <c r="P24" i="44"/>
  <c r="O24" i="44"/>
  <c r="K24" i="44"/>
  <c r="K23" i="44"/>
  <c r="Q22" i="44"/>
  <c r="R23" i="44"/>
  <c r="P22" i="44"/>
  <c r="K22" i="44"/>
  <c r="L407" i="44"/>
  <c r="L274" i="44"/>
  <c r="L140" i="44"/>
  <c r="L73" i="44"/>
  <c r="L207" i="44"/>
  <c r="L341" i="44"/>
  <c r="K73" i="44"/>
  <c r="S23" i="44"/>
  <c r="T23" i="44"/>
  <c r="M408" i="44"/>
</calcChain>
</file>

<file path=xl/sharedStrings.xml><?xml version="1.0" encoding="utf-8"?>
<sst xmlns="http://schemas.openxmlformats.org/spreadsheetml/2006/main" count="1835" uniqueCount="379">
  <si>
    <t>No</t>
  </si>
  <si>
    <t>Item</t>
  </si>
  <si>
    <t>Volume</t>
  </si>
  <si>
    <t>Unit Price</t>
  </si>
  <si>
    <t>Client</t>
  </si>
  <si>
    <t>Contact</t>
  </si>
  <si>
    <t>Note :</t>
  </si>
  <si>
    <t>Cara pembayaran :</t>
  </si>
  <si>
    <t xml:space="preserve">Total   </t>
  </si>
  <si>
    <t>Say   :</t>
  </si>
  <si>
    <t>PELAYANAN UMUM</t>
  </si>
  <si>
    <t>L</t>
  </si>
  <si>
    <t>D</t>
  </si>
  <si>
    <t>Keliling</t>
  </si>
  <si>
    <t>Bottom</t>
  </si>
  <si>
    <t>Luasan Painting</t>
  </si>
  <si>
    <t>PERAWATAN LAMBUNG</t>
  </si>
  <si>
    <t>SISTIM PENGGERAK</t>
  </si>
  <si>
    <t>PERLENGKAPAN DECK</t>
  </si>
  <si>
    <t>Panjang Sideboard</t>
  </si>
  <si>
    <t>Lebar Sideboard</t>
  </si>
  <si>
    <t>B</t>
  </si>
  <si>
    <t>Service</t>
  </si>
  <si>
    <t>Material</t>
  </si>
  <si>
    <t>DETAIL OF DOCKING AND REPAIR COST</t>
  </si>
  <si>
    <t>Rincian Biaya Docking Dan Perbaikan</t>
  </si>
  <si>
    <t>: All</t>
  </si>
  <si>
    <t>AKOMODASI</t>
  </si>
  <si>
    <t>PT. Meranti Nusa Bahari</t>
  </si>
  <si>
    <t>Project Information</t>
  </si>
  <si>
    <t>Name</t>
  </si>
  <si>
    <t>Length</t>
  </si>
  <si>
    <t>Breadth</t>
  </si>
  <si>
    <t>Depth</t>
  </si>
  <si>
    <t>Klass</t>
  </si>
  <si>
    <t>Type</t>
  </si>
  <si>
    <t>Aditya Agung H.</t>
  </si>
  <si>
    <t>General Manager</t>
  </si>
  <si>
    <t>I</t>
  </si>
  <si>
    <t>a</t>
  </si>
  <si>
    <t>Docking / Undocking</t>
  </si>
  <si>
    <t>Ls</t>
  </si>
  <si>
    <t>b</t>
  </si>
  <si>
    <t>Asistensi naik/ turun dock, termasuk persiapan ganjal</t>
  </si>
  <si>
    <t>c</t>
  </si>
  <si>
    <t>Asistensi dengan mooring Boat</t>
  </si>
  <si>
    <t>d</t>
  </si>
  <si>
    <t>Hari</t>
  </si>
  <si>
    <t>e</t>
  </si>
  <si>
    <t>f</t>
  </si>
  <si>
    <t>Disediakan Tempat penyimpanan logistik selama perbaikan</t>
  </si>
  <si>
    <t>g</t>
  </si>
  <si>
    <t>Penggunaan alat angkat (&lt;1 Ton)</t>
  </si>
  <si>
    <t>II</t>
  </si>
  <si>
    <t>Sekrap Bagian Bawah Air</t>
  </si>
  <si>
    <t>m2</t>
  </si>
  <si>
    <t>Sandblasting Bottom Sampai Waterline (S.A 2.0)</t>
  </si>
  <si>
    <t>Sandblasting Top Side (S.A 2.0)</t>
  </si>
  <si>
    <t>Cuci Air Tawar</t>
  </si>
  <si>
    <t>Sandblasting External Deck (S.A 2.0)</t>
  </si>
  <si>
    <t>Sandblasting External Sideboard (S.A 2.0)</t>
  </si>
  <si>
    <t>h</t>
  </si>
  <si>
    <t>i</t>
  </si>
  <si>
    <t>Pengecatan Bagian Bawah Air (1x primer,1x sealer,1 xAF)</t>
  </si>
  <si>
    <t>j</t>
  </si>
  <si>
    <t>Pengecatan Top Side (1x primer,1x top coat)</t>
  </si>
  <si>
    <t>k</t>
  </si>
  <si>
    <t>Pengecetan eksternal deck (1x primer, 1x top coat)</t>
  </si>
  <si>
    <t>l</t>
  </si>
  <si>
    <t>Pengecetan eksternal sideboard (1x primer, 1x top coat)</t>
  </si>
  <si>
    <t>Pemasangan Zinc Anode</t>
  </si>
  <si>
    <t>bh</t>
  </si>
  <si>
    <t>Pengecatan Draft Mark, Nama Kapal</t>
  </si>
  <si>
    <t>III</t>
  </si>
  <si>
    <t>Kg</t>
  </si>
  <si>
    <t>IV</t>
  </si>
  <si>
    <t>TANGKI - TANGKI</t>
  </si>
  <si>
    <t>pcs</t>
  </si>
  <si>
    <t>Dilakukan Freegas Sebelum Pemeriksaan Kedalam Tangki</t>
  </si>
  <si>
    <t>Tank</t>
  </si>
  <si>
    <t>Air Test tangki</t>
  </si>
  <si>
    <t>LAPORAN DAN GAMBAR</t>
  </si>
  <si>
    <t>Dibuatkan laporan pengedockan dan gambar bukaan kulit sesuai posisi replating</t>
  </si>
  <si>
    <t>set</t>
  </si>
  <si>
    <t>JR Rev. 00 Initial Survey join with OS (28/02/25)</t>
  </si>
  <si>
    <t xml:space="preserve">REPLATTING </t>
  </si>
  <si>
    <t>I.1</t>
  </si>
  <si>
    <t>BOTTOM</t>
  </si>
  <si>
    <t>-</t>
  </si>
  <si>
    <t>I.2</t>
  </si>
  <si>
    <t>CHINE</t>
  </si>
  <si>
    <t>I.3</t>
  </si>
  <si>
    <t>SIDE SHELL</t>
  </si>
  <si>
    <t>I.4</t>
  </si>
  <si>
    <t>CORNER</t>
  </si>
  <si>
    <t xml:space="preserve">Corner AP </t>
  </si>
  <si>
    <t>I.5</t>
  </si>
  <si>
    <t>MAIN DECK</t>
  </si>
  <si>
    <t>I.6</t>
  </si>
  <si>
    <t>SIDEBOARD</t>
  </si>
  <si>
    <t>Sideboard stantion PS</t>
  </si>
  <si>
    <t>I.8</t>
  </si>
  <si>
    <t>INTERNAL TANK</t>
  </si>
  <si>
    <t>Tank 10 PS</t>
  </si>
  <si>
    <t>Tank 9 PS</t>
  </si>
  <si>
    <t>Tank 6 SB</t>
  </si>
  <si>
    <t>Tank 7 SB</t>
  </si>
  <si>
    <t>Collar | Plate (A) thickness 8 mm | 180 X 80 mm @ 16 sht</t>
  </si>
  <si>
    <t>Tank 8 SB</t>
  </si>
  <si>
    <t>Tank 9 SB</t>
  </si>
  <si>
    <t>Tank 10 SB</t>
  </si>
  <si>
    <t>Double bolder no 1 PS</t>
  </si>
  <si>
    <t>Set</t>
  </si>
  <si>
    <t>LAIN LAIN</t>
  </si>
  <si>
    <t>JR Rev. 01 Additional Work Req. by OS(06/03/25)</t>
  </si>
  <si>
    <t>Stiffener sideboard SB</t>
  </si>
  <si>
    <t>Sideboard plate SB</t>
  </si>
  <si>
    <t>Sideboard stantion SB</t>
  </si>
  <si>
    <t>TANGKI-TANGKI</t>
  </si>
  <si>
    <t>Manhole Tank 1 PS</t>
  </si>
  <si>
    <t>Handle | Halfed chain galvanized size. 5/8" @ 2 pcs</t>
  </si>
  <si>
    <t>Manhole Tank 1 CT-PS</t>
  </si>
  <si>
    <t>Double bolder no 5 PS</t>
  </si>
  <si>
    <t>Railing winch house ladder</t>
  </si>
  <si>
    <t>joint</t>
  </si>
  <si>
    <t>mm</t>
  </si>
  <si>
    <t xml:space="preserve">Pad eye </t>
  </si>
  <si>
    <t>Open and close sideboard door FP</t>
  </si>
  <si>
    <t>:    91.44 Meter</t>
  </si>
  <si>
    <t>:    24.38 Meter</t>
  </si>
  <si>
    <t>:      5.48 Meter</t>
  </si>
  <si>
    <t>:  RINA</t>
  </si>
  <si>
    <t>: 20/FIN/MKT-MNB/III/2025</t>
  </si>
  <si>
    <t>Sewa dock selama tongkang dalam perbaikan (27 Februari 2025 - 25 Februari 2025)</t>
  </si>
  <si>
    <t>Fasilitas sandar sesudah docking (sewa sandar) (26 Maret 2025 - 8 April 2025)</t>
  </si>
  <si>
    <t>PERAWATAN BADAN KAPAL (Supplai Material by Owner)</t>
  </si>
  <si>
    <t>Buka  Manhole</t>
  </si>
  <si>
    <t>Fr 5/6-6/7</t>
  </si>
  <si>
    <t>Lajur D/E SB | Plate (ABS) thickness 12 mm | 2050 X 1840 mm</t>
  </si>
  <si>
    <t>Lajur E SB | Plate (ABS) thickness 12 mm | 2050 X 920 mm</t>
  </si>
  <si>
    <t>Fr 6/7-9/10</t>
  </si>
  <si>
    <t>Lajur D/E SB | Plate (ABS) thickness 12 mm | 6120 X 1840 mm</t>
  </si>
  <si>
    <t>Lajur E SB | Plate (ABS) thickness 12 mm | 6120 X 920 mm</t>
  </si>
  <si>
    <t>Fr 9/10-12/13</t>
  </si>
  <si>
    <t>Lajur D/E SB | Plate (ABS) thickness 12 mm | 6100 X 1840 mm</t>
  </si>
  <si>
    <t>Lajur E SB | Plate (ABS) thickness 12 mm | 6100 X 920 mm</t>
  </si>
  <si>
    <t>Fr 12/13-15/16</t>
  </si>
  <si>
    <t>Fr 15/16-18/19</t>
  </si>
  <si>
    <t>Fr 18/19-20/21</t>
  </si>
  <si>
    <t>Lajur D SB | Plate (ABS) thickness 12 mm | 3550 X 730 mm</t>
  </si>
  <si>
    <t>Fr 36/27-39/40</t>
  </si>
  <si>
    <t>Lajur E SB | Plate (ABS) thickness 12 mm | 6720 X 650 mm</t>
  </si>
  <si>
    <t>Fr 5/6-6/7 SB</t>
  </si>
  <si>
    <t>Lajur F | Plate (ABS) thickness 12 mm | 2120 X 810 mm</t>
  </si>
  <si>
    <t>Fr 6/7-10/11 SB</t>
  </si>
  <si>
    <t>Lajur F | Plate (ABS) thickness 12 mm | 6130 X 810 mm</t>
  </si>
  <si>
    <t>Fr 10/11-13/14 SB</t>
  </si>
  <si>
    <t>Lajur F | Plate (ABS) thickness 12 mm | 6120 X 810 mm</t>
  </si>
  <si>
    <t>Fr 13/14-15/16 SB</t>
  </si>
  <si>
    <t>Lajur F | Plate (ABS) thickness 12 mm | 3360 X 810 mm</t>
  </si>
  <si>
    <t>Fr 15/16-18/19 SB</t>
  </si>
  <si>
    <t>Lajur F | Plate (ABS) thickness 12 mm | 6020 X 810 mm</t>
  </si>
  <si>
    <t>Fr 18/19-22/23 SB</t>
  </si>
  <si>
    <t>Fr 5/6-22/23</t>
  </si>
  <si>
    <t>Lower chine | Roundbar size. 2" | 29560 mm</t>
  </si>
  <si>
    <t>Upper chine | Roundbar size. 2" | 23900 mm</t>
  </si>
  <si>
    <t>Fr 36/37-39/40</t>
  </si>
  <si>
    <t>Lajur F | Plate (ABS) thickness 12 mm | 6110 X 500 mm</t>
  </si>
  <si>
    <t>Lower chine | Roundbar size. 2" | 6010 mm</t>
  </si>
  <si>
    <t>Fr 5/6-8/9 SB</t>
  </si>
  <si>
    <t>Lajur G | Plate (ABS) thickness 12 mm | 5380 X 930 mm</t>
  </si>
  <si>
    <t>Fr 8/9-12/13 SB</t>
  </si>
  <si>
    <t>Lajur G | Plate (ABS) thickness 12 mm | 6110 X 930 mm</t>
  </si>
  <si>
    <t>Fr 12/13-15/16 SB</t>
  </si>
  <si>
    <t>Lajur G | Plate (ABS) thickness 12 mm | 6120 X 930 mm</t>
  </si>
  <si>
    <t>Fr 0/1-1/2 PS</t>
  </si>
  <si>
    <t>Lajur H | Plate (ABS) thickness 12 mm | 1100 X 1760 mm</t>
  </si>
  <si>
    <t>Lajur H/I | Plate (ABS) thickness 12 mm | 1100 X 460 mm</t>
  </si>
  <si>
    <t>Fr 1/2-4/5 PS</t>
  </si>
  <si>
    <t>Lajur G | Plate (ABS) thickness 12 mm | 3480 X 740 mm</t>
  </si>
  <si>
    <t>Lajur G/H | Plate (ABS) thickness 12 mm | 6100 X 1540 mm</t>
  </si>
  <si>
    <t>Lajur H/I | Plate (ABS) thickness 12 mm | 6100 X 1760 mm</t>
  </si>
  <si>
    <t>Fr 4/5-7/8 PS</t>
  </si>
  <si>
    <t>Lajur G | Plate (ABS) thickness 12 mm | 6100 X 740 mm</t>
  </si>
  <si>
    <t>Fr 7/8-10/11 PS</t>
  </si>
  <si>
    <t>Lajur G/H | Plate (ABS) thickness 12 mm | 6020 X 1830 mm</t>
  </si>
  <si>
    <t>Fr 0-7/8 PS</t>
  </si>
  <si>
    <t>Sheer strake (sideshell) | Angle bar unequal size. 350 x 100 x 10 mm | 1860 mm</t>
  </si>
  <si>
    <t>Sheer strake (sideshell) | Angle bar unequal size. 350 x 100 x 10 mm | 4830 mm</t>
  </si>
  <si>
    <t>Sheer strake (sideshell) | Angle bar unequal size. 350 x 100 x 10 mm | 5360 mm</t>
  </si>
  <si>
    <t>Draft mark AP PS</t>
  </si>
  <si>
    <t>Letter 2,3,4,5,6,8 | Plate (A) thickness 8 mm | 100 X 80 mm @ 18 sht</t>
  </si>
  <si>
    <t>Letter M | Plate (A) thickness 8 mm | 100 X 80 mm @ 4 sht</t>
  </si>
  <si>
    <t>Draft mark AP SB</t>
  </si>
  <si>
    <t>Letter 2,4 | Plate (A) thickness 8 mm | 140 X 90 mm @ 2 sht</t>
  </si>
  <si>
    <t>Corner PS | Plate (ABS) thickness 12 mm | 2040 X 1800 mm</t>
  </si>
  <si>
    <t>Sheer strake | Angle bar unequal size. 350 x 100 x 10 mm | 4250 mm</t>
  </si>
  <si>
    <t>Fr 0-1/2 PS</t>
  </si>
  <si>
    <t>Lajur F | Plate (ABS) thickness 12 mm | 3580 X 940 mm</t>
  </si>
  <si>
    <t>Fr 1/2-3/4 PS</t>
  </si>
  <si>
    <t>Lajur F | Plate (ABS) thickness 12 mm | 4420 X 940 mm</t>
  </si>
  <si>
    <t>St 1 , web | Plate (A) thickness 10 mm | 600 X 350 mm</t>
  </si>
  <si>
    <t>St 1 , face | Plate (A) thickness 10 mm | 350 X 100 mm</t>
  </si>
  <si>
    <t>St 2 , web | Plate (A) thickness 10 mm | 600 X 350 mm</t>
  </si>
  <si>
    <t>St 2 , face | Plate (A) thickness 10 mm | 350 X 100 mm</t>
  </si>
  <si>
    <t>St 3 , web | Plate (A) thickness 10 mm | 600 X 350 mm</t>
  </si>
  <si>
    <t>St 3 , face | Plate (A) thickness 10 mm | 350 X 100 mm</t>
  </si>
  <si>
    <t>Baseplate | Plate (A) thickness 10 mm | 620 X 70 mm @ 3 sht</t>
  </si>
  <si>
    <t>TBHD plate | Plate (A) thickness 8 mm | 4150 X 1190 mm</t>
  </si>
  <si>
    <t>Ordinary chine | Angle bar unequal size. 350 x 100 x 10 mm | 750 mm</t>
  </si>
  <si>
    <t>Web chine, Web | Plate (A) thickness 10 mm | 500 X 330 mm</t>
  </si>
  <si>
    <t>Web chine, Web | Plate (A) thickness 10 mm | 500 X 300 mm</t>
  </si>
  <si>
    <t>Web chine, Face | Plate (A) thickness 10 mm | 190 X 130 mm</t>
  </si>
  <si>
    <t>Web chine, Face | Plate (A) thickness 10 mm | 120 X 120 mm</t>
  </si>
  <si>
    <t>Side shell longitudinal | Angle bar size. 120 x 120 x 10 mm | 2980 mm</t>
  </si>
  <si>
    <t>Side shell longitudinal | Angle bar size. 120 x 120 x 10 mm | 4820 mm</t>
  </si>
  <si>
    <t>Side shell longitudinal | Angle bar size. 120 x 120 x 10 mm | 6130 mm</t>
  </si>
  <si>
    <t>Side shell longitudinal | Angle bar size. 120 x 120 x 10 mm | 7350 mm</t>
  </si>
  <si>
    <t>Side shell longitudinal | Angle bar size. 120 x 120 x 10 mm | 8540 mm</t>
  </si>
  <si>
    <t>Side shell longitudinal | Angle bar size. 120 x 120 x 10 mm | 9840 mm</t>
  </si>
  <si>
    <t>Frame | Angle bar size. 120 x 120 x 10 mm | 430 mm</t>
  </si>
  <si>
    <t>Frame | Angle bar size. 120 x 120 x 10 mm | 460 mm</t>
  </si>
  <si>
    <t>Frame | Angle bar size. 120 x 120 x 10 mm | 1280 mm</t>
  </si>
  <si>
    <t>Frame | Angle bar size. 120 x 120 x 10 mm | 770 mm</t>
  </si>
  <si>
    <t>Frame | Angle bar size. 120 x 120 x 10 mm | 1180 mm</t>
  </si>
  <si>
    <t>Frame | Angle bar size. 120 x 120 x 10 mm | 670 mm</t>
  </si>
  <si>
    <t>Frame | Angle bar size. 120 x 120 x 10 mm | 1030 mm</t>
  </si>
  <si>
    <t>Frame | Angle bar size. 120 x 120 x 10 mm | 1130 mm</t>
  </si>
  <si>
    <t>Frame | Angle bar size. 120 x 120 x 10 mm | 880 mm</t>
  </si>
  <si>
    <t>Frame | Angle bar size. 120 x 120 x 10 mm | 950 mm</t>
  </si>
  <si>
    <t>Web frame | Angle bar unequal size. 500 x 100 x 10 mm | 3570 mm</t>
  </si>
  <si>
    <t>Web frame | Angle bar unequal size. 500 x 100 x 10 mm | 3480 mm</t>
  </si>
  <si>
    <t>Web frame | Angle bar unequal size. 500 x 100 x 10 mm | 2930 mm</t>
  </si>
  <si>
    <t>Web frame | Angle bar unequal size. 500 x 100 x 10 mm | 2170 mm</t>
  </si>
  <si>
    <t>Web frame | Angle bar unequal size. 500 x 100 x 10 mm | 1400 mm</t>
  </si>
  <si>
    <t>Deck longitudinal | Angle bar size. 120 x 120 x 10 mm | 7530 mm</t>
  </si>
  <si>
    <t>Deck beam | Angle bar unequal size. 500 x 100 x 10 mm | 1210 mm @ 5 pcs</t>
  </si>
  <si>
    <t>Bracket corner | Plate (A) thickness 10 mm | 920 X 400 mm</t>
  </si>
  <si>
    <t>Bracket side shell long. - TBHD | Angle bar unequal size. 350 x 100 x 10 mm | 420 mm @ 7 pcs</t>
  </si>
  <si>
    <t>Bracket side shell long. - web frame | Plate (A) thickness 10 mm | 400 X 250 mm @ 5 sht</t>
  </si>
  <si>
    <t>Collar | Plate (A) thickness 8 mm | 180 X 80 mm @ 14 sht</t>
  </si>
  <si>
    <t>TBHD plate 9/8 | Plate (A) thickness 8 mm | 1970 X 450 mm</t>
  </si>
  <si>
    <t>TBHD horizontal stringer | Angle bar unequal size. 500 x 100 x 10 mm | 3020 mm</t>
  </si>
  <si>
    <t>Side shell longitudinal | Angle bar size. 120 x 120 x 10 mm | 9040 mm @ 2 pcs</t>
  </si>
  <si>
    <t>Side shell longitudinal | Angle bar size. 120 x 120 x 10 mm | 3970 mm @ 1 pcs</t>
  </si>
  <si>
    <t>Side shell longitudinal | Angle bar size. 120 x 120 x 10 mm | 8540 mm @ 1 pcs</t>
  </si>
  <si>
    <t>Side shell longitudinal | Angle bar size. 120 x 120 x 10 mm | 3480 mm @ 2 pcs</t>
  </si>
  <si>
    <t>Web frame | Angle bar unequal size. 500 x 100 x 10 mm | 2020 mm</t>
  </si>
  <si>
    <t>Web frame | Angle bar unequal size. 500 x 100 x 10 mm | 2060 mm</t>
  </si>
  <si>
    <t>Web frame | Angle bar unequal size. 500 x 100 x 10 mm | 2480 mm</t>
  </si>
  <si>
    <t>Web frame | Angle bar unequal size. 500 x 100 x 10 mm | 3600 mm</t>
  </si>
  <si>
    <t>Bracket side shell long. - stf TBHD 9/10 | Angle bar unequal size. 350 x 100 x 10 mm | 620 mm @ 5 pcs</t>
  </si>
  <si>
    <t>Bracket side shell long. - web frame | Plate (A) thickness 10 mm | 400 X 250 mm @ 3 sht</t>
  </si>
  <si>
    <t>Bracket side shell long. - TBHD 9/8 | Angle bar unequal size. 350 x 100 x 10 mm | 400 mm @ 3 pcs</t>
  </si>
  <si>
    <t>Bracket side shell long. - side stringer | Angle bar unequal size. 500 x 100 x 10 mm | 620 mm</t>
  </si>
  <si>
    <t>Ladder holder bracket | Plate (A) thickness 10 mm | 200 X 90 mm @ 4 sht</t>
  </si>
  <si>
    <t>Collar | Plate (A) thickness 8 mm | 180 X 80 mm @ 3 sht</t>
  </si>
  <si>
    <t>Chine longitudinal | Angle bar size. 120 x 120 x 10 mm | 1000 mm</t>
  </si>
  <si>
    <t>TBHD plate 7/6 | Plate (A) thickness 8 mm | 840 X 300 mm</t>
  </si>
  <si>
    <t>Vertical stf TBHD 7/8 | Angle bar size. 120 x 120 x 10 mm | 780 mm</t>
  </si>
  <si>
    <t>Diagonal stf TBHD 7/8 | Angle bar size. 120 x 120 x 10 mm | 300 mm</t>
  </si>
  <si>
    <t>Bottom longitudinal | Angle bar size. 120 x 120 x 10 mm | 9040 mm</t>
  </si>
  <si>
    <t>Bottom longitudinal | Angle bar size. 120 x 120 x 10 mm | 7020 mm</t>
  </si>
  <si>
    <t>Bottom longitudinal | Angle bar size. 120 x 120 x 10 mm | 7140 mm</t>
  </si>
  <si>
    <t>Web bottom transverse | Angle bar unequal size. 500 x 100 x 10 mm | 2060 mm @ 3 pcs</t>
  </si>
  <si>
    <t>Side shell longitudinal | Angle bar size. 120 x 120 x 10 mm | 5790 mm</t>
  </si>
  <si>
    <t>Chine longitudinal | Angle bar size. 120 x 120 x 10 mm | 9040 mm</t>
  </si>
  <si>
    <t>Web chine, Web | Plate (A) thickness 10 mm | 1430 X 640 mm @ 3 sht</t>
  </si>
  <si>
    <t>Web chine, Face | Plate (A) thickness 10 mm | 750 X 100 mm @ 3 sht</t>
  </si>
  <si>
    <t>Web frame | Angle bar unequal size. 500 x 100 x 10 mm | 1150 mm @ 2 pcs</t>
  </si>
  <si>
    <t>Web frame | Angle bar unequal size. 500 x 100 x 10 mm | 1130 mm</t>
  </si>
  <si>
    <t>Bracket bottom long. - TBHD 7/8 | Angle bar unequal size. 350 x 100 x 10 mm | 500 mm @ 3 pcs</t>
  </si>
  <si>
    <t>Bracket bottom long. - vertical stf. TBHD 7/6 | Angle bar unequal size. 350 x 100 x 10 mm | 500 mm</t>
  </si>
  <si>
    <t>Bracket  bottom long - web bottom trans. | Plate (A) thickness 10 mm | 400 X 250 mm @ 4 sht</t>
  </si>
  <si>
    <t>Bracket  chine long - web chine | Plate (A) thickness 8 mm | 550 X 300 mm @ 3 sht</t>
  </si>
  <si>
    <t>Bracket chine long. - TBHD 7/6 | Angle bar unequal size. 350 x 100 x 10 mm | 400 mm</t>
  </si>
  <si>
    <t>Bracket chine long. - diagonal stf TBHD 7/8 | Angle bar unequal size. 350 x 100 x 10 mm | 400 mm</t>
  </si>
  <si>
    <t>Bracket side shell long. - TBHD 7/8 | Angle bar unequal size. 350 x 100 x 10 mm | 600 mm</t>
  </si>
  <si>
    <t>Stripping bracket chine | Plate (A) thickness 8 mm | 400 X 90 mm @ 3 sht</t>
  </si>
  <si>
    <t>Stripping bracket pillar | Plate (A) thickness 8 mm | 400 X 90 mm @ 3 sht</t>
  </si>
  <si>
    <t>Ladder holder bracket | Plate (A) thickness 8 mm | 180 X 80 mm @ 2 sht</t>
  </si>
  <si>
    <t>TBHD plate 8/7 | Plate (A) thickness 8 mm | 2030 X 760 mm</t>
  </si>
  <si>
    <t>TBHD plate 8/7 | Plate (A) thickness 8 mm | 550 X 440 mm</t>
  </si>
  <si>
    <t>Sway | H-beam size. 150 x 150 x 7 x 10 mm | 410 mm</t>
  </si>
  <si>
    <t>Vertical stf TBHD 8/9 | Angle bar size. 120 x 120 x 10 mm | 430 mm</t>
  </si>
  <si>
    <t>Vertical stf TBHD 8/9 | Angle bar size. 120 x 120 x 10 mm | 750 mm @ 2 pcs</t>
  </si>
  <si>
    <t>Diagonal stf TBHD 8/9 | Angle bar size. 120 x 120 x 10 mm | 600 mm</t>
  </si>
  <si>
    <t>Bottom longitudinal | Angle bar size. 120 x 120 x 10 mm | 9040 mm @ 3 pcs</t>
  </si>
  <si>
    <t>Web bottom transverse | Angle bar unequal size. 500 x 100 x 10 mm | 2050 mm @ 4 pcs</t>
  </si>
  <si>
    <t>Web chine, Web | Plate (A) thickness 10 mm | 1480 X 640 mm @ 4 sht</t>
  </si>
  <si>
    <t>Web chine, Face | Plate (A) thickness 8 mm | 750 X 100 mm @ 4 sht</t>
  </si>
  <si>
    <t>Side shell longitudinal | Angle bar size. 120 x 120 x 10 mm | 9040 mm</t>
  </si>
  <si>
    <t>Web frame | Angle bar unequal size. 500 x 100 x 10 mm | 1150 mm @ 4 pcs</t>
  </si>
  <si>
    <t>Bracket bottom long. - TBHD 8/7 | Angle bar unequal size. 350 x 100 x 10 mm | 400 mm @ 3 pcs</t>
  </si>
  <si>
    <t>Bracket bottom long. - vertical stf. TBHD 8/9 | Angle bar unequal size. 350 x 100 x 10 mm | 500 mm @ 3 pcs</t>
  </si>
  <si>
    <t>Bracket  chine long - web chine | Plate (A) thickness 8 mm | 550 X 300 mm @ 4 sht</t>
  </si>
  <si>
    <t>Bracket chine long. - TBHD 8/7 | Angle bar unequal size. 350 x 100 x 10 mm | 500 mm</t>
  </si>
  <si>
    <t>Bracket chine long. - diagonal stf TBHD 8/9 | Angle bar unequal size. 350 x 100 x 10 mm | 500 mm</t>
  </si>
  <si>
    <t>Bracket side shell long. - TBHD 8/7 | Angle bar unequal size. 350 x 100 x 10 mm | 400 mm</t>
  </si>
  <si>
    <t>Bracket side shell long. - TBHD 8/9 | Angle bar unequal size. 350 x 100 x 10 mm | 600 mm</t>
  </si>
  <si>
    <t>Stripping bracket chine | Plate (A) thickness 8 mm | 400 X 90 mm @ 4 sht</t>
  </si>
  <si>
    <t>Stripping bracket pillar | Plate (A) thickness 8 mm | 420 X 100 mm @ 4 sht</t>
  </si>
  <si>
    <t>TBHD plate 9/8 | Plate (A) thickness 8 mm | 2250 X 750 mm</t>
  </si>
  <si>
    <t>TBHD plate 9/8 | Plate (A) thickness 8 mm | 400 X 450 mm</t>
  </si>
  <si>
    <t>Vertical stf TBHD 9/10 | Angle bar size. 120 x 120 x 10 mm | 910 mm</t>
  </si>
  <si>
    <t>Vertical stf TBHD 9/10 | Angle bar size. 120 x 120 x 10 mm | 760 mm</t>
  </si>
  <si>
    <t>Diagonal stf TBHD 9/10 | Angle bar size. 120 x 120 x 10 mm | 300 mm</t>
  </si>
  <si>
    <t>Web chine, Web | Plate (A) thickness 8 mm | 1430 X 650 mm @ 3 sht</t>
  </si>
  <si>
    <t>Web chine, Web | Plate (A) thickness 10 mm | 1430 X 650 mm @ 1 sht</t>
  </si>
  <si>
    <t>Web frame | Angle bar unequal size. 500 x 100 x 10 mm | 1160 mm @ 4 pcs</t>
  </si>
  <si>
    <t>Bracket bottom long. - TBHD 9/10 | Angle bar unequal size. 350 x 100 x 10 mm | 500 mm @ 3 pcs</t>
  </si>
  <si>
    <t>Bracket bottom long. - vertical stf. TBHD 9/8 | Angle bar unequal size. 350 x 100 x 10 mm | 400 mm @ 3 pcs</t>
  </si>
  <si>
    <t>Bracket  bottom long - web bottom trans. | Plate (A) thickness 8 mm | 400 X 250 mm @ 4 sht</t>
  </si>
  <si>
    <t>Bracket chine long. - TBHD 9/8 | Angle bar unequal size. 350 x 100 x 10 mm | 400 mm</t>
  </si>
  <si>
    <t>Bracket chine long. - diagonal stf TBHD 9/10 | Angle bar unequal size. 350 x 100 x 10 mm | 400 mm</t>
  </si>
  <si>
    <t>Bracket side shell long. - TBHD 9/8 | Angle bar unequal size. 350 x 100 x 10 mm | 420 mm</t>
  </si>
  <si>
    <t>Bracket side shell long. - TBHD 9/10 | Angle bar unequal size. 350 x 100 x 10 mm | 630 mm</t>
  </si>
  <si>
    <t>Stripping bracket pillar | Plate (A) thickness 10 mm | 400 X 90 mm @ 4 sht</t>
  </si>
  <si>
    <t>TBHD plate 9/10 | Plate (A) thickness 8 mm | 1950 X 760 mm</t>
  </si>
  <si>
    <t>Bottom longitudinal | Angle bar size. 120 x 120 x 10 mm | 670 mm @ 3 pcs</t>
  </si>
  <si>
    <t>Bracket bottom long. - TBHD 9/10 | Angle bar unequal size. 350 x 100 x 10 mm | 1060 mm @ 3 pcs</t>
  </si>
  <si>
    <t>Bracket bottom long. bottom - chine | Angle bar unequal size. 350 x 100 x 10 mm | 640 mm @ 2 pcs</t>
  </si>
  <si>
    <t>Tank 8 PS</t>
  </si>
  <si>
    <t>Longitudinal sideshell | Angle bar size. 120 x 120 x 10 mm | 700 mm @ 2 pcs</t>
  </si>
  <si>
    <t>Stringer | Angle bar unequal size. 500 x 100 x 10 mm | 1140 mm</t>
  </si>
  <si>
    <t>Bracket longitudinal sideshell to vertikal stiffener | Angle bar unequal size. 350 x 100 x 10 mm | 620 mm @ 2 pcs</t>
  </si>
  <si>
    <t>Bracket longitudinal sideshell to stringer | Angle bar unequal size. 500 x 100 x 10 mm | 620 mm</t>
  </si>
  <si>
    <t>Tank 1 PS</t>
  </si>
  <si>
    <t>Vertikal web | Angle bar unequal size. 500 x 100 x 10 mm | 870 mm</t>
  </si>
  <si>
    <t>Vertikal, Web side | Plate (A) thickness 10 mm | 1260 X 180 mm</t>
  </si>
  <si>
    <t>Body (existing material) | Pipe seamless size. 10" Sch 80 | 600 mm @ 2 pcs</t>
  </si>
  <si>
    <t>Holder arm (existing material) | Roundbar size. 2" | 600 mm @ 2 pcs</t>
  </si>
  <si>
    <t>Top (existing material) | Plate (A) thickness 10 mm | 400 X 400 mm @ 2 sht</t>
  </si>
  <si>
    <t>Fondation | Plate (A) thickness 10 mm | 1110 X 120 mm @ 2 sht</t>
  </si>
  <si>
    <t>Fondation | Plate (A) thickness 10 mm | 480 X 120 mm @ 2 sht</t>
  </si>
  <si>
    <t>Fondation | Plate (A) thickness 10 mm | 1100 X 450 mm</t>
  </si>
  <si>
    <t>Corner FP PS</t>
  </si>
  <si>
    <t xml:space="preserve"> | Plate (ABS) thickness 12 mm | 3360 X 1200 mm</t>
  </si>
  <si>
    <t>Sheer strake | Angle bar unequal size. 350 x 100 x 10 mm | 3600 mm</t>
  </si>
  <si>
    <t>Chine</t>
  </si>
  <si>
    <t>Fr 49/50</t>
  </si>
  <si>
    <t>Lajur F | Plate (ABS) thickness 12 mm | 1310 X 780 mm</t>
  </si>
  <si>
    <t>Upper chine | Roundbar size. 2" | 1350 mm</t>
  </si>
  <si>
    <t>Main deck</t>
  </si>
  <si>
    <t>Lajur F | Plate (ABS) thickness 12 mm | 1300 X 500 mm</t>
  </si>
  <si>
    <t>1.4</t>
  </si>
  <si>
    <t>ST. 9-10, stf 4 | Angle bar size. 100 x 100 x 10 mm | 1600 mm</t>
  </si>
  <si>
    <t>ST 9-10, stf 3-5 | Plate (A) thickness 8 mm | 900 X 900 mm</t>
  </si>
  <si>
    <t>Portable door frame FP PS, Stantion | H-beam size. 200 x 200 x 8 x 12 mm | 3630 mm</t>
  </si>
  <si>
    <t>Portable door frame FP PS, Sway | H-beam size. 200 x 200 x 8 x 12 mm | 2410 mm</t>
  </si>
  <si>
    <t>Portable door frame FP SB, inner | Plate (A) thickness 12 mm | 2080 X 100 mm</t>
  </si>
  <si>
    <t>Portable door frame FP SB, outer | Plate (A) thickness 12 mm | 1260 X 100 mm</t>
  </si>
  <si>
    <t>Cover | Plate (A) thickness 10 mm | 730 X 530 mm</t>
  </si>
  <si>
    <t>Handle | Roundbar size. 3/4" | 400 mm @ 2 pcs</t>
  </si>
  <si>
    <t xml:space="preserve"> | B/N SS size. 3/4" X 2 1/2"</t>
  </si>
  <si>
    <t>Manhole Tank 6 CT-SB</t>
  </si>
  <si>
    <t>Holder arm | Roundbar size. 2" | 570 mm</t>
  </si>
  <si>
    <t xml:space="preserve"> | Pipe seamless size. 2" Sch 40</t>
  </si>
  <si>
    <t>Railing pillar | Pipe seamless size. 2" Sch 40</t>
  </si>
  <si>
    <t>Pad eye for hull tire fender | Plate (A) thickness 12 mm | 130 X 80 mm @ 21 sht</t>
  </si>
  <si>
    <t>Baseplate | Plate (A) thickness 12 mm | 130 X 50 mm @ 1 sht</t>
  </si>
  <si>
    <t>Pad eye for push pad tire fender | Plate (A) thickness 12 mm | 150 X 70 mm @ 16 sht</t>
  </si>
  <si>
    <t xml:space="preserve">Take down rampdoor extension at cargo room </t>
  </si>
  <si>
    <t xml:space="preserve">Take down portable sidedoor at cargo room </t>
  </si>
  <si>
    <t>Raise and take down portable sidedoor at outside deck FP</t>
  </si>
  <si>
    <t>Raise and take down extension rampdoor at outside deck FP</t>
  </si>
  <si>
    <t>Assist Raise and take down extension rampdoor at outside deck FP</t>
  </si>
  <si>
    <t>UT Flaw welding seam replating area</t>
  </si>
  <si>
    <t>Sandblasting winch House (S.A 2.0)</t>
  </si>
  <si>
    <t>Pengecetan Winch House (1x primer, 1x top coat)</t>
  </si>
  <si>
    <t>Disassemble &amp; reassemble double bolder (1 Set)</t>
  </si>
  <si>
    <t xml:space="preserve"> | B/N SS size. 3/4" X 2 1/2" @ 24 Pcs</t>
  </si>
  <si>
    <t>Install daprah pushtug, Daprah double (8 pcs)</t>
  </si>
  <si>
    <t xml:space="preserve">Grand Total   </t>
  </si>
  <si>
    <t>Balikpapan, 19 April 2025</t>
  </si>
  <si>
    <t>Sewa dock selama tongkang dalam perbaikan (27 Februari 2025 - 25 Maret  2025)</t>
  </si>
  <si>
    <t xml:space="preserve">Discount   </t>
  </si>
  <si>
    <t xml:space="preserve">Grand Total After Discount   </t>
  </si>
  <si>
    <t>Balikpapan, 11 Juni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</si>
</sst>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IDR&quot;* #,##0_-;\-&quot;IDR&quot;* #,##0_-;_-&quot;IDR&quot;* &quot;-&quot;_-;_-@_-"/>
    <numFmt numFmtId="165" formatCode="_([$IDR]\ * #,##0_);_([$IDR]\ * \(#,##0\);_([$IDR]\ * &quot;-&quot;??_);_(@_)"/>
    <numFmt numFmtId="166" formatCode="_(&quot;IDR&quot;* #,##0_);_(&quot;IDR&quot;* \(#,##0\);_(&quot;IDR&quot;* &quot;-&quot;_);_(@_)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222222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u/>
      <sz val="11"/>
      <color theme="1"/>
      <name val="Arial"/>
      <family val="2"/>
    </font>
    <font>
      <b/>
      <sz val="14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name val="Calibri"/>
      <family val="2"/>
      <scheme val="minor"/>
    </font>
    <font>
      <u/>
      <sz val="12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sz val="11"/>
      <color rgb="FFFF0000"/>
      <name val="Arial"/>
      <family val="2"/>
    </font>
    <font>
      <sz val="12"/>
      <color rgb="FFFF0000"/>
      <name val="Calibri"/>
      <family val="2"/>
      <scheme val="minor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2"/>
      <color rgb="FFFFFF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127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50">
    <xf numFmtId="0" fontId="0" fillId="0" borderId="0" xfId="0"/>
    <xf numFmtId="0" fontId="2" fillId="2" borderId="3" xfId="0" applyFont="1" applyFill="1" applyBorder="1"/>
    <xf numFmtId="0" fontId="2" fillId="2" borderId="8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  <xf numFmtId="0" fontId="3" fillId="2" borderId="0" xfId="0" applyFont="1" applyFill="1"/>
    <xf numFmtId="0" fontId="6" fillId="0" borderId="0" xfId="0" applyFont="1"/>
    <xf numFmtId="164" fontId="2" fillId="2" borderId="1" xfId="1" applyFont="1" applyFill="1" applyBorder="1"/>
    <xf numFmtId="0" fontId="8" fillId="2" borderId="13" xfId="0" quotePrefix="1" applyFont="1" applyFill="1" applyBorder="1" applyAlignment="1">
      <alignment horizontal="left" vertical="center"/>
    </xf>
    <xf numFmtId="0" fontId="8" fillId="2" borderId="14" xfId="0" quotePrefix="1" applyFont="1" applyFill="1" applyBorder="1" applyAlignment="1">
      <alignment horizontal="center" vertical="center"/>
    </xf>
    <xf numFmtId="0" fontId="8" fillId="2" borderId="15" xfId="0" quotePrefix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right"/>
    </xf>
    <xf numFmtId="0" fontId="2" fillId="2" borderId="15" xfId="0" applyFont="1" applyFill="1" applyBorder="1"/>
    <xf numFmtId="0" fontId="3" fillId="2" borderId="1" xfId="0" applyFont="1" applyFill="1" applyBorder="1" applyAlignment="1">
      <alignment horizontal="center"/>
    </xf>
    <xf numFmtId="164" fontId="0" fillId="0" borderId="0" xfId="0" applyNumberFormat="1"/>
    <xf numFmtId="0" fontId="0" fillId="2" borderId="5" xfId="0" applyFill="1" applyBorder="1"/>
    <xf numFmtId="0" fontId="0" fillId="2" borderId="6" xfId="0" applyFill="1" applyBorder="1"/>
    <xf numFmtId="0" fontId="10" fillId="2" borderId="0" xfId="0" applyFont="1" applyFill="1"/>
    <xf numFmtId="0" fontId="2" fillId="2" borderId="0" xfId="0" applyFont="1" applyFill="1"/>
    <xf numFmtId="0" fontId="2" fillId="2" borderId="4" xfId="0" applyFont="1" applyFill="1" applyBorder="1"/>
    <xf numFmtId="0" fontId="11" fillId="2" borderId="0" xfId="0" applyFont="1" applyFill="1"/>
    <xf numFmtId="0" fontId="2" fillId="2" borderId="9" xfId="0" applyFont="1" applyFill="1" applyBorder="1"/>
    <xf numFmtId="0" fontId="2" fillId="2" borderId="6" xfId="0" applyFont="1" applyFill="1" applyBorder="1"/>
    <xf numFmtId="0" fontId="0" fillId="0" borderId="1" xfId="0" applyBorder="1"/>
    <xf numFmtId="0" fontId="2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8" fillId="4" borderId="0" xfId="0" applyFont="1" applyFill="1"/>
    <xf numFmtId="0" fontId="8" fillId="4" borderId="0" xfId="0" applyFont="1" applyFill="1" applyAlignment="1">
      <alignment horizontal="center"/>
    </xf>
    <xf numFmtId="0" fontId="8" fillId="4" borderId="5" xfId="0" applyFont="1" applyFill="1" applyBorder="1" applyAlignment="1">
      <alignment horizontal="left"/>
    </xf>
    <xf numFmtId="165" fontId="8" fillId="4" borderId="11" xfId="0" applyNumberFormat="1" applyFont="1" applyFill="1" applyBorder="1" applyAlignment="1">
      <alignment vertical="center"/>
    </xf>
    <xf numFmtId="0" fontId="7" fillId="2" borderId="6" xfId="0" applyFont="1" applyFill="1" applyBorder="1"/>
    <xf numFmtId="0" fontId="1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0" fillId="2" borderId="0" xfId="0" applyFill="1"/>
    <xf numFmtId="0" fontId="3" fillId="2" borderId="15" xfId="0" applyFont="1" applyFill="1" applyBorder="1" applyAlignment="1">
      <alignment horizontal="center"/>
    </xf>
    <xf numFmtId="164" fontId="3" fillId="2" borderId="1" xfId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3" fillId="2" borderId="3" xfId="0" applyFont="1" applyFill="1" applyBorder="1"/>
    <xf numFmtId="20" fontId="8" fillId="4" borderId="5" xfId="0" applyNumberFormat="1" applyFont="1" applyFill="1" applyBorder="1" applyAlignment="1">
      <alignment horizontal="left"/>
    </xf>
    <xf numFmtId="0" fontId="9" fillId="2" borderId="0" xfId="0" applyFont="1" applyFill="1"/>
    <xf numFmtId="0" fontId="3" fillId="2" borderId="8" xfId="0" applyFont="1" applyFill="1" applyBorder="1"/>
    <xf numFmtId="0" fontId="2" fillId="2" borderId="0" xfId="0" applyFont="1" applyFill="1" applyAlignment="1">
      <alignment vertical="top"/>
    </xf>
    <xf numFmtId="0" fontId="7" fillId="2" borderId="10" xfId="0" applyFont="1" applyFill="1" applyBorder="1"/>
    <xf numFmtId="0" fontId="7" fillId="2" borderId="11" xfId="0" applyFont="1" applyFill="1" applyBorder="1"/>
    <xf numFmtId="0" fontId="2" fillId="2" borderId="5" xfId="0" applyFont="1" applyFill="1" applyBorder="1" applyAlignment="1">
      <alignment horizontal="left"/>
    </xf>
    <xf numFmtId="164" fontId="2" fillId="2" borderId="11" xfId="1" applyFont="1" applyFill="1" applyBorder="1"/>
    <xf numFmtId="0" fontId="8" fillId="2" borderId="5" xfId="0" quotePrefix="1" applyFont="1" applyFill="1" applyBorder="1" applyAlignment="1">
      <alignment horizontal="left" vertical="center"/>
    </xf>
    <xf numFmtId="0" fontId="8" fillId="2" borderId="0" xfId="0" quotePrefix="1" applyFont="1" applyFill="1" applyAlignment="1">
      <alignment horizontal="center" vertical="center"/>
    </xf>
    <xf numFmtId="0" fontId="8" fillId="2" borderId="6" xfId="0" quotePrefix="1" applyFont="1" applyFill="1" applyBorder="1" applyAlignment="1">
      <alignment horizontal="center" vertical="center"/>
    </xf>
    <xf numFmtId="165" fontId="8" fillId="3" borderId="11" xfId="0" applyNumberFormat="1" applyFont="1" applyFill="1" applyBorder="1" applyAlignment="1">
      <alignment vertical="center"/>
    </xf>
    <xf numFmtId="165" fontId="8" fillId="4" borderId="0" xfId="0" applyNumberFormat="1" applyFont="1" applyFill="1" applyAlignment="1">
      <alignment vertical="center"/>
    </xf>
    <xf numFmtId="164" fontId="2" fillId="2" borderId="6" xfId="1" applyFont="1" applyFill="1" applyBorder="1"/>
    <xf numFmtId="0" fontId="7" fillId="3" borderId="6" xfId="0" applyFont="1" applyFill="1" applyBorder="1" applyAlignment="1">
      <alignment vertical="center"/>
    </xf>
    <xf numFmtId="0" fontId="7" fillId="3" borderId="5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0" xfId="0" applyFont="1" applyFill="1"/>
    <xf numFmtId="0" fontId="7" fillId="3" borderId="6" xfId="0" applyFont="1" applyFill="1" applyBorder="1"/>
    <xf numFmtId="0" fontId="7" fillId="3" borderId="5" xfId="0" applyFont="1" applyFill="1" applyBorder="1"/>
    <xf numFmtId="0" fontId="7" fillId="3" borderId="5" xfId="0" applyFont="1" applyFill="1" applyBorder="1" applyAlignment="1">
      <alignment horizontal="left"/>
    </xf>
    <xf numFmtId="0" fontId="7" fillId="6" borderId="5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7" fillId="6" borderId="0" xfId="0" applyFont="1" applyFill="1"/>
    <xf numFmtId="0" fontId="7" fillId="6" borderId="6" xfId="0" applyFont="1" applyFill="1" applyBorder="1"/>
    <xf numFmtId="0" fontId="7" fillId="3" borderId="5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5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0" fontId="7" fillId="6" borderId="6" xfId="0" applyFont="1" applyFill="1" applyBorder="1" applyAlignment="1">
      <alignment vertical="center"/>
    </xf>
    <xf numFmtId="0" fontId="7" fillId="6" borderId="5" xfId="112" quotePrefix="1" applyFont="1" applyFill="1" applyBorder="1" applyAlignment="1">
      <alignment horizontal="left" vertical="center"/>
    </xf>
    <xf numFmtId="0" fontId="7" fillId="6" borderId="0" xfId="112" quotePrefix="1" applyFont="1" applyFill="1" applyAlignment="1">
      <alignment horizontal="center" vertical="center"/>
    </xf>
    <xf numFmtId="0" fontId="7" fillId="6" borderId="6" xfId="112" quotePrefix="1" applyFont="1" applyFill="1" applyBorder="1" applyAlignment="1">
      <alignment horizontal="right" vertical="center"/>
    </xf>
    <xf numFmtId="0" fontId="7" fillId="6" borderId="0" xfId="112" applyFont="1" applyFill="1"/>
    <xf numFmtId="0" fontId="7" fillId="6" borderId="6" xfId="112" applyFont="1" applyFill="1" applyBorder="1"/>
    <xf numFmtId="2" fontId="7" fillId="6" borderId="0" xfId="112" applyNumberFormat="1" applyFont="1" applyFill="1"/>
    <xf numFmtId="2" fontId="7" fillId="3" borderId="5" xfId="0" applyNumberFormat="1" applyFont="1" applyFill="1" applyBorder="1"/>
    <xf numFmtId="1" fontId="7" fillId="6" borderId="0" xfId="112" applyNumberFormat="1" applyFont="1" applyFill="1"/>
    <xf numFmtId="0" fontId="7" fillId="2" borderId="5" xfId="112" quotePrefix="1" applyFont="1" applyFill="1" applyBorder="1" applyAlignment="1">
      <alignment horizontal="left" vertical="center"/>
    </xf>
    <xf numFmtId="0" fontId="7" fillId="2" borderId="0" xfId="112" quotePrefix="1" applyFont="1" applyFill="1" applyAlignment="1">
      <alignment horizontal="center" vertical="center"/>
    </xf>
    <xf numFmtId="0" fontId="7" fillId="2" borderId="6" xfId="112" quotePrefix="1" applyFont="1" applyFill="1" applyBorder="1" applyAlignment="1">
      <alignment horizontal="right" vertical="center"/>
    </xf>
    <xf numFmtId="0" fontId="7" fillId="2" borderId="0" xfId="112" applyFont="1" applyFill="1"/>
    <xf numFmtId="0" fontId="7" fillId="2" borderId="6" xfId="112" applyFont="1" applyFill="1" applyBorder="1"/>
    <xf numFmtId="2" fontId="7" fillId="2" borderId="0" xfId="112" applyNumberFormat="1" applyFont="1" applyFill="1"/>
    <xf numFmtId="1" fontId="7" fillId="2" borderId="0" xfId="112" applyNumberFormat="1" applyFont="1" applyFill="1"/>
    <xf numFmtId="0" fontId="12" fillId="6" borderId="5" xfId="112" quotePrefix="1" applyFont="1" applyFill="1" applyBorder="1" applyAlignment="1">
      <alignment horizontal="left" vertical="center"/>
    </xf>
    <xf numFmtId="0" fontId="12" fillId="6" borderId="0" xfId="112" quotePrefix="1" applyFont="1" applyFill="1" applyAlignment="1">
      <alignment horizontal="center" vertical="center"/>
    </xf>
    <xf numFmtId="0" fontId="12" fillId="6" borderId="6" xfId="112" quotePrefix="1" applyFont="1" applyFill="1" applyBorder="1" applyAlignment="1">
      <alignment horizontal="right" vertical="center"/>
    </xf>
    <xf numFmtId="0" fontId="12" fillId="6" borderId="0" xfId="112" applyFont="1" applyFill="1"/>
    <xf numFmtId="0" fontId="12" fillId="6" borderId="6" xfId="112" applyFont="1" applyFill="1" applyBorder="1"/>
    <xf numFmtId="2" fontId="12" fillId="6" borderId="0" xfId="112" applyNumberFormat="1" applyFont="1" applyFill="1"/>
    <xf numFmtId="0" fontId="7" fillId="6" borderId="0" xfId="112" quotePrefix="1" applyFont="1" applyFill="1" applyAlignment="1">
      <alignment horizontal="right" vertical="center"/>
    </xf>
    <xf numFmtId="0" fontId="7" fillId="6" borderId="5" xfId="112" applyFont="1" applyFill="1" applyBorder="1"/>
    <xf numFmtId="0" fontId="12" fillId="6" borderId="5" xfId="0" quotePrefix="1" applyFont="1" applyFill="1" applyBorder="1" applyAlignment="1">
      <alignment horizontal="left" vertical="center"/>
    </xf>
    <xf numFmtId="0" fontId="12" fillId="6" borderId="0" xfId="0" quotePrefix="1" applyFont="1" applyFill="1" applyAlignment="1">
      <alignment horizontal="center" vertical="center"/>
    </xf>
    <xf numFmtId="0" fontId="12" fillId="6" borderId="6" xfId="0" quotePrefix="1" applyFont="1" applyFill="1" applyBorder="1" applyAlignment="1">
      <alignment horizontal="center" vertical="center"/>
    </xf>
    <xf numFmtId="0" fontId="12" fillId="6" borderId="0" xfId="0" applyFont="1" applyFill="1"/>
    <xf numFmtId="0" fontId="12" fillId="6" borderId="6" xfId="0" applyFont="1" applyFill="1" applyBorder="1"/>
    <xf numFmtId="0" fontId="7" fillId="6" borderId="5" xfId="0" applyFont="1" applyFill="1" applyBorder="1" applyAlignment="1">
      <alignment horizontal="left" vertical="center"/>
    </xf>
    <xf numFmtId="0" fontId="7" fillId="6" borderId="0" xfId="0" applyFont="1" applyFill="1" applyAlignment="1">
      <alignment horizontal="center" vertical="center"/>
    </xf>
    <xf numFmtId="0" fontId="12" fillId="6" borderId="5" xfId="0" applyFont="1" applyFill="1" applyBorder="1" applyAlignment="1">
      <alignment horizontal="left" vertical="center"/>
    </xf>
    <xf numFmtId="0" fontId="12" fillId="6" borderId="0" xfId="0" applyFont="1" applyFill="1" applyAlignment="1">
      <alignment horizontal="center" vertical="center"/>
    </xf>
    <xf numFmtId="0" fontId="12" fillId="6" borderId="5" xfId="0" applyFont="1" applyFill="1" applyBorder="1"/>
    <xf numFmtId="1" fontId="7" fillId="6" borderId="5" xfId="0" applyNumberFormat="1" applyFont="1" applyFill="1" applyBorder="1" applyAlignment="1">
      <alignment vertical="center"/>
    </xf>
    <xf numFmtId="1" fontId="7" fillId="6" borderId="0" xfId="0" applyNumberFormat="1" applyFont="1" applyFill="1"/>
    <xf numFmtId="0" fontId="7" fillId="6" borderId="5" xfId="0" applyFont="1" applyFill="1" applyBorder="1" applyAlignment="1">
      <alignment horizontal="left"/>
    </xf>
    <xf numFmtId="0" fontId="12" fillId="6" borderId="5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2" fillId="6" borderId="0" xfId="0" applyFont="1" applyFill="1" applyAlignment="1">
      <alignment horizontal="left"/>
    </xf>
    <xf numFmtId="0" fontId="12" fillId="3" borderId="6" xfId="0" applyFont="1" applyFill="1" applyBorder="1" applyAlignment="1">
      <alignment vertical="center"/>
    </xf>
    <xf numFmtId="0" fontId="7" fillId="3" borderId="0" xfId="0" quotePrefix="1" applyFont="1" applyFill="1"/>
    <xf numFmtId="1" fontId="7" fillId="3" borderId="5" xfId="0" applyNumberFormat="1" applyFont="1" applyFill="1" applyBorder="1"/>
    <xf numFmtId="0" fontId="12" fillId="3" borderId="6" xfId="0" applyFont="1" applyFill="1" applyBorder="1" applyAlignment="1">
      <alignment horizontal="center"/>
    </xf>
    <xf numFmtId="0" fontId="12" fillId="3" borderId="0" xfId="0" applyFont="1" applyFill="1"/>
    <xf numFmtId="0" fontId="12" fillId="3" borderId="0" xfId="0" quotePrefix="1" applyFont="1" applyFill="1"/>
    <xf numFmtId="0" fontId="12" fillId="3" borderId="6" xfId="0" applyFont="1" applyFill="1" applyBorder="1"/>
    <xf numFmtId="2" fontId="12" fillId="3" borderId="5" xfId="0" applyNumberFormat="1" applyFont="1" applyFill="1" applyBorder="1"/>
    <xf numFmtId="0" fontId="7" fillId="6" borderId="5" xfId="0" quotePrefix="1" applyFont="1" applyFill="1" applyBorder="1" applyAlignment="1">
      <alignment horizontal="left" vertical="center"/>
    </xf>
    <xf numFmtId="0" fontId="7" fillId="6" borderId="0" xfId="0" quotePrefix="1" applyFont="1" applyFill="1" applyAlignment="1">
      <alignment horizontal="center" vertical="center"/>
    </xf>
    <xf numFmtId="0" fontId="7" fillId="6" borderId="5" xfId="118" applyFont="1" applyFill="1" applyBorder="1" applyAlignment="1">
      <alignment horizontal="center" vertical="center"/>
    </xf>
    <xf numFmtId="0" fontId="7" fillId="6" borderId="0" xfId="118" applyFont="1" applyFill="1" applyAlignment="1">
      <alignment horizontal="center" vertical="center"/>
    </xf>
    <xf numFmtId="0" fontId="7" fillId="3" borderId="5" xfId="118" applyFont="1" applyFill="1" applyBorder="1" applyAlignment="1">
      <alignment horizontal="left" vertical="center"/>
    </xf>
    <xf numFmtId="0" fontId="7" fillId="3" borderId="0" xfId="118" applyFont="1" applyFill="1" applyAlignment="1">
      <alignment vertical="center"/>
    </xf>
    <xf numFmtId="0" fontId="7" fillId="3" borderId="6" xfId="118" applyFont="1" applyFill="1" applyBorder="1" applyAlignment="1">
      <alignment vertical="center"/>
    </xf>
    <xf numFmtId="0" fontId="12" fillId="5" borderId="5" xfId="113" applyFont="1" applyFill="1" applyBorder="1" applyAlignment="1">
      <alignment horizontal="left" vertical="center"/>
    </xf>
    <xf numFmtId="0" fontId="12" fillId="5" borderId="0" xfId="113" applyFont="1" applyFill="1" applyAlignment="1">
      <alignment vertical="center"/>
    </xf>
    <xf numFmtId="0" fontId="12" fillId="5" borderId="6" xfId="113" applyFont="1" applyFill="1" applyBorder="1" applyAlignment="1">
      <alignment vertical="center"/>
    </xf>
    <xf numFmtId="0" fontId="7" fillId="3" borderId="6" xfId="0" applyFont="1" applyFill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7" fillId="3" borderId="0" xfId="0" applyFont="1" applyFill="1" applyAlignment="1">
      <alignment horizontal="right" vertical="center"/>
    </xf>
    <xf numFmtId="2" fontId="13" fillId="6" borderId="0" xfId="114" applyNumberFormat="1" applyFont="1" applyFill="1"/>
    <xf numFmtId="0" fontId="7" fillId="6" borderId="6" xfId="0" quotePrefix="1" applyFont="1" applyFill="1" applyBorder="1" applyAlignment="1">
      <alignment horizontal="center" vertical="center"/>
    </xf>
    <xf numFmtId="3" fontId="7" fillId="6" borderId="6" xfId="0" applyNumberFormat="1" applyFont="1" applyFill="1" applyBorder="1" applyAlignment="1">
      <alignment horizontal="left" vertical="center" wrapText="1"/>
    </xf>
    <xf numFmtId="1" fontId="7" fillId="6" borderId="5" xfId="112" applyNumberFormat="1" applyFont="1" applyFill="1" applyBorder="1"/>
    <xf numFmtId="0" fontId="14" fillId="6" borderId="5" xfId="112" applyFont="1" applyFill="1" applyBorder="1" applyAlignment="1">
      <alignment horizontal="left"/>
    </xf>
    <xf numFmtId="0" fontId="13" fillId="6" borderId="0" xfId="112" applyFont="1" applyFill="1"/>
    <xf numFmtId="0" fontId="14" fillId="6" borderId="6" xfId="112" applyFont="1" applyFill="1" applyBorder="1"/>
    <xf numFmtId="0" fontId="13" fillId="6" borderId="0" xfId="112" applyFont="1" applyFill="1" applyAlignment="1">
      <alignment horizontal="center"/>
    </xf>
    <xf numFmtId="0" fontId="13" fillId="6" borderId="0" xfId="114" applyFont="1" applyFill="1"/>
    <xf numFmtId="0" fontId="13" fillId="6" borderId="6" xfId="114" applyFont="1" applyFill="1" applyBorder="1" applyAlignment="1">
      <alignment horizontal="left" vertical="center"/>
    </xf>
    <xf numFmtId="0" fontId="13" fillId="6" borderId="6" xfId="112" applyFont="1" applyFill="1" applyBorder="1"/>
    <xf numFmtId="0" fontId="13" fillId="6" borderId="0" xfId="112" applyFont="1" applyFill="1" applyAlignment="1">
      <alignment horizontal="left"/>
    </xf>
    <xf numFmtId="0" fontId="13" fillId="6" borderId="6" xfId="112" applyFont="1" applyFill="1" applyBorder="1" applyAlignment="1">
      <alignment horizontal="left" vertical="center"/>
    </xf>
    <xf numFmtId="0" fontId="15" fillId="6" borderId="0" xfId="112" applyFont="1" applyFill="1" applyAlignment="1">
      <alignment horizontal="center"/>
    </xf>
    <xf numFmtId="0" fontId="14" fillId="6" borderId="0" xfId="112" applyFont="1" applyFill="1"/>
    <xf numFmtId="0" fontId="7" fillId="6" borderId="6" xfId="112" applyFont="1" applyFill="1" applyBorder="1" applyAlignment="1">
      <alignment horizontal="left"/>
    </xf>
    <xf numFmtId="0" fontId="13" fillId="6" borderId="5" xfId="114" applyFont="1" applyFill="1" applyBorder="1"/>
    <xf numFmtId="0" fontId="13" fillId="6" borderId="0" xfId="114" applyFont="1" applyFill="1" applyAlignment="1">
      <alignment horizontal="center" vertical="center"/>
    </xf>
    <xf numFmtId="0" fontId="13" fillId="6" borderId="0" xfId="114" applyFont="1" applyFill="1" applyAlignment="1">
      <alignment horizontal="right"/>
    </xf>
    <xf numFmtId="0" fontId="13" fillId="6" borderId="5" xfId="114" applyFont="1" applyFill="1" applyBorder="1" applyAlignment="1">
      <alignment vertical="center"/>
    </xf>
    <xf numFmtId="0" fontId="7" fillId="6" borderId="6" xfId="114" applyFont="1" applyFill="1" applyBorder="1"/>
    <xf numFmtId="2" fontId="13" fillId="6" borderId="0" xfId="114" applyNumberFormat="1" applyFont="1" applyFill="1" applyAlignment="1">
      <alignment vertical="center"/>
    </xf>
    <xf numFmtId="0" fontId="13" fillId="6" borderId="6" xfId="114" applyFont="1" applyFill="1" applyBorder="1" applyAlignment="1">
      <alignment vertical="center"/>
    </xf>
    <xf numFmtId="1" fontId="13" fillId="6" borderId="0" xfId="114" applyNumberFormat="1" applyFont="1" applyFill="1" applyAlignment="1">
      <alignment vertical="center"/>
    </xf>
    <xf numFmtId="0" fontId="16" fillId="5" borderId="5" xfId="114" applyFont="1" applyFill="1" applyBorder="1" applyAlignment="1">
      <alignment vertical="center"/>
    </xf>
    <xf numFmtId="0" fontId="16" fillId="5" borderId="0" xfId="114" applyFont="1" applyFill="1"/>
    <xf numFmtId="0" fontId="12" fillId="5" borderId="6" xfId="114" applyFont="1" applyFill="1" applyBorder="1"/>
    <xf numFmtId="0" fontId="16" fillId="6" borderId="5" xfId="114" applyFont="1" applyFill="1" applyBorder="1"/>
    <xf numFmtId="0" fontId="16" fillId="6" borderId="0" xfId="114" applyFont="1" applyFill="1" applyAlignment="1">
      <alignment horizontal="center" vertical="center"/>
    </xf>
    <xf numFmtId="0" fontId="16" fillId="6" borderId="0" xfId="114" applyFont="1" applyFill="1" applyAlignment="1">
      <alignment horizontal="right"/>
    </xf>
    <xf numFmtId="0" fontId="16" fillId="6" borderId="5" xfId="114" applyFont="1" applyFill="1" applyBorder="1" applyAlignment="1">
      <alignment vertical="center"/>
    </xf>
    <xf numFmtId="0" fontId="16" fillId="6" borderId="0" xfId="114" applyFont="1" applyFill="1"/>
    <xf numFmtId="0" fontId="12" fillId="6" borderId="6" xfId="114" applyFont="1" applyFill="1" applyBorder="1"/>
    <xf numFmtId="2" fontId="16" fillId="6" borderId="0" xfId="114" applyNumberFormat="1" applyFont="1" applyFill="1" applyAlignment="1">
      <alignment vertical="center"/>
    </xf>
    <xf numFmtId="0" fontId="16" fillId="6" borderId="6" xfId="114" applyFont="1" applyFill="1" applyBorder="1" applyAlignment="1">
      <alignment vertical="center"/>
    </xf>
    <xf numFmtId="0" fontId="12" fillId="2" borderId="5" xfId="113" applyFont="1" applyFill="1" applyBorder="1" applyAlignment="1">
      <alignment horizontal="center" vertical="center"/>
    </xf>
    <xf numFmtId="0" fontId="12" fillId="2" borderId="0" xfId="113" applyFont="1" applyFill="1" applyAlignment="1">
      <alignment horizontal="center" vertical="center"/>
    </xf>
    <xf numFmtId="2" fontId="12" fillId="4" borderId="5" xfId="117" applyNumberFormat="1" applyFont="1" applyFill="1" applyBorder="1"/>
    <xf numFmtId="0" fontId="12" fillId="2" borderId="6" xfId="0" applyFont="1" applyFill="1" applyBorder="1" applyAlignment="1">
      <alignment vertical="center"/>
    </xf>
    <xf numFmtId="2" fontId="7" fillId="6" borderId="5" xfId="0" applyNumberFormat="1" applyFont="1" applyFill="1" applyBorder="1"/>
    <xf numFmtId="2" fontId="7" fillId="6" borderId="5" xfId="0" applyNumberFormat="1" applyFont="1" applyFill="1" applyBorder="1" applyAlignment="1">
      <alignment vertical="center"/>
    </xf>
    <xf numFmtId="4" fontId="7" fillId="6" borderId="5" xfId="0" applyNumberFormat="1" applyFont="1" applyFill="1" applyBorder="1" applyAlignment="1">
      <alignment horizontal="right" vertical="center" wrapText="1"/>
    </xf>
    <xf numFmtId="2" fontId="7" fillId="6" borderId="0" xfId="0" applyNumberFormat="1" applyFont="1" applyFill="1"/>
    <xf numFmtId="2" fontId="7" fillId="6" borderId="5" xfId="112" applyNumberFormat="1" applyFont="1" applyFill="1" applyBorder="1"/>
    <xf numFmtId="2" fontId="13" fillId="6" borderId="5" xfId="112" applyNumberFormat="1" applyFont="1" applyFill="1" applyBorder="1"/>
    <xf numFmtId="0" fontId="17" fillId="6" borderId="11" xfId="112" applyFont="1" applyFill="1" applyBorder="1"/>
    <xf numFmtId="164" fontId="8" fillId="3" borderId="11" xfId="1" applyFont="1" applyFill="1" applyBorder="1" applyAlignment="1">
      <alignment vertical="center"/>
    </xf>
    <xf numFmtId="166" fontId="8" fillId="3" borderId="6" xfId="0" applyNumberFormat="1" applyFont="1" applyFill="1" applyBorder="1"/>
    <xf numFmtId="164" fontId="8" fillId="3" borderId="6" xfId="1" applyFont="1" applyFill="1" applyBorder="1" applyAlignment="1">
      <alignment vertical="center"/>
    </xf>
    <xf numFmtId="0" fontId="0" fillId="7" borderId="0" xfId="0" applyFill="1"/>
    <xf numFmtId="2" fontId="16" fillId="2" borderId="0" xfId="114" applyNumberFormat="1" applyFont="1" applyFill="1" applyAlignment="1">
      <alignment vertical="center"/>
    </xf>
    <xf numFmtId="0" fontId="16" fillId="2" borderId="6" xfId="114" applyFont="1" applyFill="1" applyBorder="1" applyAlignment="1">
      <alignment vertical="center"/>
    </xf>
    <xf numFmtId="0" fontId="16" fillId="2" borderId="5" xfId="114" applyFont="1" applyFill="1" applyBorder="1"/>
    <xf numFmtId="0" fontId="16" fillId="2" borderId="0" xfId="114" applyFont="1" applyFill="1" applyAlignment="1">
      <alignment horizontal="center" vertical="center"/>
    </xf>
    <xf numFmtId="0" fontId="16" fillId="2" borderId="0" xfId="114" applyFont="1" applyFill="1" applyAlignment="1">
      <alignment horizontal="right"/>
    </xf>
    <xf numFmtId="166" fontId="8" fillId="3" borderId="11" xfId="0" applyNumberFormat="1" applyFont="1" applyFill="1" applyBorder="1"/>
    <xf numFmtId="0" fontId="2" fillId="2" borderId="11" xfId="0" applyFont="1" applyFill="1" applyBorder="1"/>
    <xf numFmtId="164" fontId="7" fillId="2" borderId="11" xfId="1" applyFont="1" applyFill="1" applyBorder="1"/>
    <xf numFmtId="164" fontId="2" fillId="2" borderId="15" xfId="1" applyFont="1" applyFill="1" applyBorder="1"/>
    <xf numFmtId="164" fontId="18" fillId="3" borderId="11" xfId="1" applyFont="1" applyFill="1" applyBorder="1" applyAlignment="1">
      <alignment vertical="center"/>
    </xf>
    <xf numFmtId="164" fontId="18" fillId="2" borderId="11" xfId="1" applyFont="1" applyFill="1" applyBorder="1"/>
    <xf numFmtId="0" fontId="19" fillId="0" borderId="0" xfId="0" applyFont="1"/>
    <xf numFmtId="0" fontId="18" fillId="6" borderId="5" xfId="112" quotePrefix="1" applyFont="1" applyFill="1" applyBorder="1" applyAlignment="1">
      <alignment horizontal="left" vertical="center"/>
    </xf>
    <xf numFmtId="0" fontId="18" fillId="6" borderId="0" xfId="112" quotePrefix="1" applyFont="1" applyFill="1" applyAlignment="1">
      <alignment horizontal="center" vertical="center"/>
    </xf>
    <xf numFmtId="0" fontId="18" fillId="6" borderId="6" xfId="112" quotePrefix="1" applyFont="1" applyFill="1" applyBorder="1" applyAlignment="1">
      <alignment horizontal="right" vertical="center"/>
    </xf>
    <xf numFmtId="0" fontId="18" fillId="6" borderId="0" xfId="112" applyFont="1" applyFill="1"/>
    <xf numFmtId="0" fontId="18" fillId="6" borderId="6" xfId="112" applyFont="1" applyFill="1" applyBorder="1"/>
    <xf numFmtId="2" fontId="18" fillId="6" borderId="0" xfId="112" applyNumberFormat="1" applyFont="1" applyFill="1"/>
    <xf numFmtId="165" fontId="18" fillId="3" borderId="11" xfId="0" applyNumberFormat="1" applyFont="1" applyFill="1" applyBorder="1" applyAlignment="1">
      <alignment vertical="center"/>
    </xf>
    <xf numFmtId="165" fontId="18" fillId="4" borderId="11" xfId="0" applyNumberFormat="1" applyFont="1" applyFill="1" applyBorder="1" applyAlignment="1">
      <alignment vertical="center"/>
    </xf>
    <xf numFmtId="164" fontId="18" fillId="2" borderId="6" xfId="1" applyFont="1" applyFill="1" applyBorder="1"/>
    <xf numFmtId="166" fontId="18" fillId="3" borderId="6" xfId="0" applyNumberFormat="1" applyFont="1" applyFill="1" applyBorder="1"/>
    <xf numFmtId="0" fontId="20" fillId="6" borderId="5" xfId="114" applyFont="1" applyFill="1" applyBorder="1"/>
    <xf numFmtId="0" fontId="20" fillId="6" borderId="0" xfId="114" applyFont="1" applyFill="1" applyAlignment="1">
      <alignment horizontal="center" vertical="center"/>
    </xf>
    <xf numFmtId="0" fontId="20" fillId="6" borderId="0" xfId="114" applyFont="1" applyFill="1" applyAlignment="1">
      <alignment horizontal="right"/>
    </xf>
    <xf numFmtId="0" fontId="20" fillId="6" borderId="5" xfId="114" applyFont="1" applyFill="1" applyBorder="1" applyAlignment="1">
      <alignment vertical="center"/>
    </xf>
    <xf numFmtId="0" fontId="20" fillId="6" borderId="0" xfId="114" applyFont="1" applyFill="1"/>
    <xf numFmtId="0" fontId="21" fillId="6" borderId="6" xfId="114" applyFont="1" applyFill="1" applyBorder="1"/>
    <xf numFmtId="2" fontId="20" fillId="6" borderId="0" xfId="114" applyNumberFormat="1" applyFont="1" applyFill="1" applyAlignment="1">
      <alignment vertical="center"/>
    </xf>
    <xf numFmtId="0" fontId="20" fillId="6" borderId="6" xfId="114" applyFont="1" applyFill="1" applyBorder="1" applyAlignment="1">
      <alignment vertical="center"/>
    </xf>
    <xf numFmtId="0" fontId="17" fillId="6" borderId="5" xfId="114" applyFont="1" applyFill="1" applyBorder="1"/>
    <xf numFmtId="0" fontId="17" fillId="6" borderId="0" xfId="114" applyFont="1" applyFill="1" applyAlignment="1">
      <alignment horizontal="center" vertical="center"/>
    </xf>
    <xf numFmtId="0" fontId="17" fillId="6" borderId="0" xfId="114" applyFont="1" applyFill="1" applyAlignment="1">
      <alignment horizontal="right"/>
    </xf>
    <xf numFmtId="0" fontId="17" fillId="6" borderId="5" xfId="114" applyFont="1" applyFill="1" applyBorder="1" applyAlignment="1">
      <alignment vertical="center"/>
    </xf>
    <xf numFmtId="0" fontId="17" fillId="6" borderId="0" xfId="114" applyFont="1" applyFill="1"/>
    <xf numFmtId="0" fontId="18" fillId="6" borderId="6" xfId="114" applyFont="1" applyFill="1" applyBorder="1"/>
    <xf numFmtId="2" fontId="17" fillId="6" borderId="0" xfId="114" applyNumberFormat="1" applyFont="1" applyFill="1" applyAlignment="1">
      <alignment vertical="center"/>
    </xf>
    <xf numFmtId="0" fontId="17" fillId="6" borderId="6" xfId="114" applyFont="1" applyFill="1" applyBorder="1" applyAlignment="1">
      <alignment vertical="center"/>
    </xf>
    <xf numFmtId="1" fontId="18" fillId="6" borderId="0" xfId="112" applyNumberFormat="1" applyFont="1" applyFill="1"/>
    <xf numFmtId="0" fontId="18" fillId="6" borderId="0" xfId="112" quotePrefix="1" applyFont="1" applyFill="1" applyAlignment="1">
      <alignment horizontal="right" vertical="center"/>
    </xf>
    <xf numFmtId="0" fontId="18" fillId="6" borderId="5" xfId="112" applyFont="1" applyFill="1" applyBorder="1"/>
    <xf numFmtId="166" fontId="18" fillId="3" borderId="11" xfId="0" applyNumberFormat="1" applyFont="1" applyFill="1" applyBorder="1"/>
    <xf numFmtId="164" fontId="18" fillId="3" borderId="6" xfId="1" applyFont="1" applyFill="1" applyBorder="1" applyAlignment="1">
      <alignment vertical="center"/>
    </xf>
    <xf numFmtId="164" fontId="7" fillId="3" borderId="11" xfId="1" applyFont="1" applyFill="1" applyBorder="1" applyAlignment="1">
      <alignment vertical="center"/>
    </xf>
    <xf numFmtId="0" fontId="14" fillId="0" borderId="0" xfId="0" applyFont="1"/>
    <xf numFmtId="0" fontId="14" fillId="0" borderId="1" xfId="0" applyFont="1" applyBorder="1"/>
    <xf numFmtId="0" fontId="7" fillId="2" borderId="0" xfId="0" applyFont="1" applyFill="1"/>
    <xf numFmtId="164" fontId="7" fillId="2" borderId="6" xfId="1" applyFont="1" applyFill="1" applyBorder="1"/>
    <xf numFmtId="0" fontId="13" fillId="6" borderId="11" xfId="112" applyFont="1" applyFill="1" applyBorder="1"/>
    <xf numFmtId="164" fontId="22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49" fontId="2" fillId="2" borderId="0" xfId="0" quotePrefix="1" applyNumberFormat="1" applyFont="1" applyFill="1" applyAlignment="1">
      <alignment horizontal="left"/>
    </xf>
  </cellXfs>
  <cellStyles count="127">
    <cellStyle name="Currency [0]" xfId="1" builtinId="7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Normal" xfId="0" builtinId="0"/>
    <cellStyle name="Normal 2" xfId="112" xr:uid="{00000000-0005-0000-0000-000070000000}"/>
    <cellStyle name="Normal 2 2" xfId="116" xr:uid="{00000000-0005-0000-0000-000071000000}"/>
    <cellStyle name="Normal 2 2 2" xfId="123" xr:uid="{00000000-0005-0000-0000-000072000000}"/>
    <cellStyle name="Normal 2 2 3" xfId="121" xr:uid="{00000000-0005-0000-0000-000073000000}"/>
    <cellStyle name="Normal 2 2 7" xfId="119" xr:uid="{00000000-0005-0000-0000-000074000000}"/>
    <cellStyle name="Normal 3" xfId="115" xr:uid="{00000000-0005-0000-0000-000075000000}"/>
    <cellStyle name="Normal 3 2" xfId="125" xr:uid="{00000000-0005-0000-0000-000076000000}"/>
    <cellStyle name="Normal 4 2 2 2" xfId="117" xr:uid="{00000000-0005-0000-0000-000077000000}"/>
    <cellStyle name="Normal 5 2 2" xfId="118" xr:uid="{00000000-0005-0000-0000-000078000000}"/>
    <cellStyle name="Normal 5 3" xfId="124" xr:uid="{00000000-0005-0000-0000-000079000000}"/>
    <cellStyle name="Normal 6" xfId="113" xr:uid="{00000000-0005-0000-0000-00007A000000}"/>
    <cellStyle name="Normal 6 2" xfId="126" xr:uid="{00000000-0005-0000-0000-00007B000000}"/>
    <cellStyle name="Normal 6 3" xfId="120" xr:uid="{00000000-0005-0000-0000-00007C000000}"/>
    <cellStyle name="Normal 7 2" xfId="114" xr:uid="{00000000-0005-0000-0000-00007D000000}"/>
    <cellStyle name="Normal 8" xfId="122" xr:uid="{00000000-0005-0000-0000-00007E000000}"/>
  </cellStyles>
  <dxfs count="10"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17779</xdr:colOff>
      <xdr:row>2</xdr:row>
      <xdr:rowOff>153264</xdr:rowOff>
    </xdr:from>
    <xdr:to>
      <xdr:col>11</xdr:col>
      <xdr:colOff>868383</xdr:colOff>
      <xdr:row>7</xdr:row>
      <xdr:rowOff>82224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6844CF-971B-4C16-A75C-054AB267E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10879" y="546964"/>
          <a:ext cx="3504904" cy="906860"/>
        </a:xfrm>
        <a:prstGeom prst="rect">
          <a:avLst/>
        </a:prstGeom>
      </xdr:spPr>
    </xdr:pic>
    <xdr:clientData/>
  </xdr:twoCellAnchor>
  <xdr:twoCellAnchor editAs="oneCell">
    <xdr:from>
      <xdr:col>2</xdr:col>
      <xdr:colOff>35858</xdr:colOff>
      <xdr:row>1</xdr:row>
      <xdr:rowOff>53787</xdr:rowOff>
    </xdr:from>
    <xdr:to>
      <xdr:col>6</xdr:col>
      <xdr:colOff>2516938</xdr:colOff>
      <xdr:row>6</xdr:row>
      <xdr:rowOff>158208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10C1A1-02C7-41C9-AE98-4ED16B5B4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3758" y="250637"/>
          <a:ext cx="3211330" cy="10886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17779</xdr:colOff>
      <xdr:row>2</xdr:row>
      <xdr:rowOff>153264</xdr:rowOff>
    </xdr:from>
    <xdr:to>
      <xdr:col>11</xdr:col>
      <xdr:colOff>868383</xdr:colOff>
      <xdr:row>7</xdr:row>
      <xdr:rowOff>82224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F8747C-CF2B-4F1D-BA60-695E2C761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10879" y="546964"/>
          <a:ext cx="3504904" cy="906860"/>
        </a:xfrm>
        <a:prstGeom prst="rect">
          <a:avLst/>
        </a:prstGeom>
      </xdr:spPr>
    </xdr:pic>
    <xdr:clientData/>
  </xdr:twoCellAnchor>
  <xdr:twoCellAnchor editAs="oneCell">
    <xdr:from>
      <xdr:col>2</xdr:col>
      <xdr:colOff>35858</xdr:colOff>
      <xdr:row>1</xdr:row>
      <xdr:rowOff>53787</xdr:rowOff>
    </xdr:from>
    <xdr:to>
      <xdr:col>6</xdr:col>
      <xdr:colOff>2516938</xdr:colOff>
      <xdr:row>6</xdr:row>
      <xdr:rowOff>158208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E0E8ADC-F4DB-4AF4-A11E-861AC3A55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3758" y="250637"/>
          <a:ext cx="3211330" cy="10886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7BD3-0E0B-4E35-88AE-73620D854980}">
  <sheetPr>
    <tabColor rgb="FFFF0000"/>
  </sheetPr>
  <dimension ref="B7:W421"/>
  <sheetViews>
    <sheetView showGridLines="0" view="pageBreakPreview" topLeftCell="A403" zoomScale="70" zoomScaleSheetLayoutView="70" workbookViewId="0">
      <selection activeCell="K11" sqref="K11"/>
    </sheetView>
  </sheetViews>
  <sheetFormatPr defaultColWidth="11" defaultRowHeight="15.5" x14ac:dyDescent="0.35"/>
  <cols>
    <col min="2" max="4" width="1.83203125" style="18" customWidth="1"/>
    <col min="5" max="5" width="3.08203125" style="18" customWidth="1"/>
    <col min="6" max="6" width="2.83203125" style="18" customWidth="1"/>
    <col min="7" max="7" width="70.58203125" style="18" customWidth="1"/>
    <col min="8" max="8" width="9.5" style="18" customWidth="1"/>
    <col min="9" max="9" width="6.33203125" style="18" customWidth="1"/>
    <col min="10" max="10" width="16" style="18" customWidth="1"/>
    <col min="11" max="11" width="18.83203125" style="18" customWidth="1"/>
    <col min="12" max="12" width="20.5" style="18" customWidth="1"/>
    <col min="13" max="13" width="18.33203125" customWidth="1"/>
    <col min="14" max="14" width="18.33203125" bestFit="1" customWidth="1"/>
  </cols>
  <sheetData>
    <row r="7" spans="2:13" ht="15" customHeight="1" x14ac:dyDescent="0.35"/>
    <row r="8" spans="2:13" ht="18" x14ac:dyDescent="0.4">
      <c r="B8" s="31" t="s">
        <v>24</v>
      </c>
      <c r="C8" s="17"/>
      <c r="D8" s="17"/>
    </row>
    <row r="9" spans="2:13" x14ac:dyDescent="0.35">
      <c r="B9" s="32" t="s">
        <v>25</v>
      </c>
      <c r="C9" s="5"/>
      <c r="D9" s="5"/>
      <c r="E9" s="5"/>
      <c r="F9" s="5"/>
      <c r="G9" s="5"/>
    </row>
    <row r="10" spans="2:13" x14ac:dyDescent="0.35">
      <c r="H10" s="20"/>
      <c r="I10" s="20"/>
      <c r="J10" s="20" t="s">
        <v>29</v>
      </c>
      <c r="L10" s="20"/>
      <c r="M10" s="18"/>
    </row>
    <row r="11" spans="2:13" x14ac:dyDescent="0.35">
      <c r="B11" s="18" t="s">
        <v>0</v>
      </c>
      <c r="F11" s="18" t="s">
        <v>132</v>
      </c>
      <c r="J11" s="18" t="s">
        <v>30</v>
      </c>
      <c r="M11" s="18"/>
    </row>
    <row r="12" spans="2:13" x14ac:dyDescent="0.35">
      <c r="B12" s="18" t="s">
        <v>35</v>
      </c>
      <c r="F12" s="18" t="s">
        <v>26</v>
      </c>
      <c r="J12" s="18" t="s">
        <v>31</v>
      </c>
      <c r="K12" s="18" t="s">
        <v>128</v>
      </c>
      <c r="M12" s="18"/>
    </row>
    <row r="13" spans="2:13" x14ac:dyDescent="0.35">
      <c r="B13" s="18" t="s">
        <v>4</v>
      </c>
      <c r="J13" s="18" t="s">
        <v>32</v>
      </c>
      <c r="K13" s="18" t="s">
        <v>129</v>
      </c>
      <c r="M13" s="18"/>
    </row>
    <row r="14" spans="2:13" x14ac:dyDescent="0.35">
      <c r="B14" s="18" t="s">
        <v>5</v>
      </c>
      <c r="J14" s="18" t="s">
        <v>33</v>
      </c>
      <c r="K14" s="18" t="s">
        <v>130</v>
      </c>
      <c r="M14" s="18"/>
    </row>
    <row r="15" spans="2:13" x14ac:dyDescent="0.35">
      <c r="F15" s="249"/>
      <c r="G15" s="249"/>
      <c r="J15" s="18" t="s">
        <v>34</v>
      </c>
      <c r="K15" s="18" t="s">
        <v>131</v>
      </c>
      <c r="M15" s="18"/>
    </row>
    <row r="16" spans="2:13" x14ac:dyDescent="0.35">
      <c r="F16" s="6"/>
    </row>
    <row r="18" spans="2:20" s="33" customFormat="1" ht="15" customHeight="1" x14ac:dyDescent="0.35">
      <c r="B18" s="240" t="s">
        <v>0</v>
      </c>
      <c r="C18" s="241"/>
      <c r="D18" s="242"/>
      <c r="E18" s="240" t="s">
        <v>1</v>
      </c>
      <c r="F18" s="241"/>
      <c r="G18" s="242"/>
      <c r="H18" s="240" t="s">
        <v>2</v>
      </c>
      <c r="I18" s="242"/>
      <c r="J18" s="247" t="s">
        <v>3</v>
      </c>
      <c r="K18" s="247" t="s">
        <v>22</v>
      </c>
      <c r="L18" s="247" t="s">
        <v>23</v>
      </c>
    </row>
    <row r="19" spans="2:20" s="33" customFormat="1" ht="15" customHeight="1" x14ac:dyDescent="0.35">
      <c r="B19" s="243"/>
      <c r="C19" s="244"/>
      <c r="D19" s="245"/>
      <c r="E19" s="243"/>
      <c r="F19" s="244"/>
      <c r="G19" s="245"/>
      <c r="H19" s="243"/>
      <c r="I19" s="245"/>
      <c r="J19" s="248"/>
      <c r="K19" s="248"/>
      <c r="L19" s="248"/>
    </row>
    <row r="20" spans="2:20" x14ac:dyDescent="0.35">
      <c r="B20" s="47"/>
      <c r="C20" s="48"/>
      <c r="D20" s="49"/>
      <c r="G20" s="22"/>
      <c r="H20" s="1"/>
      <c r="I20" s="1"/>
      <c r="J20" s="43"/>
      <c r="K20" s="30"/>
      <c r="L20" s="44"/>
    </row>
    <row r="21" spans="2:20" x14ac:dyDescent="0.35">
      <c r="B21" s="94" t="s">
        <v>38</v>
      </c>
      <c r="C21" s="95"/>
      <c r="D21" s="96"/>
      <c r="E21" s="97" t="s">
        <v>10</v>
      </c>
      <c r="F21" s="97"/>
      <c r="G21" s="98"/>
      <c r="H21" s="97"/>
      <c r="I21" s="97"/>
      <c r="J21" s="29"/>
      <c r="K21" s="51"/>
      <c r="L21" s="46"/>
      <c r="M21" s="18"/>
      <c r="N21" s="246" t="s">
        <v>15</v>
      </c>
      <c r="O21" s="246"/>
    </row>
    <row r="22" spans="2:20" s="226" customFormat="1" x14ac:dyDescent="0.35">
      <c r="B22" s="99"/>
      <c r="C22" s="100"/>
      <c r="D22" s="62" t="s">
        <v>39</v>
      </c>
      <c r="E22" s="61"/>
      <c r="F22" s="64" t="s">
        <v>40</v>
      </c>
      <c r="G22" s="65"/>
      <c r="H22" s="64">
        <v>1</v>
      </c>
      <c r="I22" s="65" t="s">
        <v>41</v>
      </c>
      <c r="J22" s="225">
        <v>25000000</v>
      </c>
      <c r="K22" s="225">
        <f>J22*H22</f>
        <v>25000000</v>
      </c>
      <c r="L22" s="189"/>
      <c r="N22" s="227" t="s">
        <v>11</v>
      </c>
      <c r="O22" s="227">
        <v>26.98</v>
      </c>
      <c r="P22" s="226">
        <f>O22*O23</f>
        <v>242.82</v>
      </c>
      <c r="Q22" s="226">
        <f>O22*O23</f>
        <v>242.82</v>
      </c>
    </row>
    <row r="23" spans="2:20" s="226" customFormat="1" x14ac:dyDescent="0.35">
      <c r="B23" s="99"/>
      <c r="C23" s="100"/>
      <c r="D23" s="62" t="s">
        <v>42</v>
      </c>
      <c r="E23" s="61"/>
      <c r="F23" s="64" t="s">
        <v>43</v>
      </c>
      <c r="G23" s="65"/>
      <c r="H23" s="64">
        <v>1</v>
      </c>
      <c r="I23" s="65" t="s">
        <v>41</v>
      </c>
      <c r="J23" s="225">
        <v>6500000</v>
      </c>
      <c r="K23" s="225">
        <f t="shared" ref="K23:K28" si="0">J23*H23</f>
        <v>6500000</v>
      </c>
      <c r="L23" s="189"/>
      <c r="N23" s="227" t="s">
        <v>21</v>
      </c>
      <c r="O23" s="227">
        <v>9</v>
      </c>
      <c r="R23" s="226" t="e">
        <f>Q22-#REF!</f>
        <v>#REF!</v>
      </c>
      <c r="S23" s="226" t="e">
        <f>R23*20%</f>
        <v>#REF!</v>
      </c>
      <c r="T23" s="226" t="e">
        <f>R23+S23</f>
        <v>#REF!</v>
      </c>
    </row>
    <row r="24" spans="2:20" s="226" customFormat="1" x14ac:dyDescent="0.35">
      <c r="B24" s="99"/>
      <c r="C24" s="100"/>
      <c r="D24" s="62" t="s">
        <v>44</v>
      </c>
      <c r="E24" s="61"/>
      <c r="F24" s="64" t="s">
        <v>45</v>
      </c>
      <c r="G24" s="65"/>
      <c r="H24" s="64">
        <v>1</v>
      </c>
      <c r="I24" s="65" t="s">
        <v>41</v>
      </c>
      <c r="J24" s="225">
        <v>5000000</v>
      </c>
      <c r="K24" s="225">
        <f t="shared" si="0"/>
        <v>5000000</v>
      </c>
      <c r="L24" s="189"/>
      <c r="N24" s="227" t="s">
        <v>12</v>
      </c>
      <c r="O24" s="227" t="e">
        <f>#REF!-#REF!</f>
        <v>#REF!</v>
      </c>
      <c r="P24" s="226">
        <f>140*50%</f>
        <v>70</v>
      </c>
    </row>
    <row r="25" spans="2:20" s="226" customFormat="1" x14ac:dyDescent="0.35">
      <c r="B25" s="99"/>
      <c r="C25" s="100"/>
      <c r="D25" s="62" t="s">
        <v>46</v>
      </c>
      <c r="E25" s="61"/>
      <c r="F25" s="64" t="s">
        <v>133</v>
      </c>
      <c r="G25" s="65"/>
      <c r="H25" s="64">
        <v>27</v>
      </c>
      <c r="I25" s="70" t="s">
        <v>47</v>
      </c>
      <c r="J25" s="225">
        <v>1500000</v>
      </c>
      <c r="K25" s="225">
        <f t="shared" si="0"/>
        <v>40500000</v>
      </c>
      <c r="L25" s="189"/>
      <c r="M25" s="228"/>
      <c r="N25" s="227" t="s">
        <v>13</v>
      </c>
      <c r="O25" s="227">
        <f>(O22+O23)*2</f>
        <v>71.960000000000008</v>
      </c>
      <c r="Q25" s="226">
        <f>O22-(1.83*4)</f>
        <v>19.66</v>
      </c>
      <c r="R25" s="226" t="s">
        <v>19</v>
      </c>
    </row>
    <row r="26" spans="2:20" s="226" customFormat="1" x14ac:dyDescent="0.35">
      <c r="B26" s="99"/>
      <c r="C26" s="100"/>
      <c r="D26" s="62" t="s">
        <v>48</v>
      </c>
      <c r="E26" s="61"/>
      <c r="F26" s="64" t="s">
        <v>134</v>
      </c>
      <c r="G26" s="65"/>
      <c r="H26" s="64">
        <v>5</v>
      </c>
      <c r="I26" s="65" t="s">
        <v>47</v>
      </c>
      <c r="J26" s="225">
        <v>300000</v>
      </c>
      <c r="K26" s="225">
        <f t="shared" si="0"/>
        <v>1500000</v>
      </c>
      <c r="L26" s="189"/>
      <c r="M26" s="228"/>
      <c r="N26" s="227" t="s">
        <v>14</v>
      </c>
      <c r="O26" s="227">
        <f>(O22-5)*O23</f>
        <v>197.82</v>
      </c>
      <c r="Q26" s="226">
        <f>O23-2</f>
        <v>7</v>
      </c>
      <c r="R26" s="226" t="s">
        <v>20</v>
      </c>
    </row>
    <row r="27" spans="2:20" s="226" customFormat="1" x14ac:dyDescent="0.35">
      <c r="B27" s="60"/>
      <c r="C27" s="55"/>
      <c r="D27" s="62" t="s">
        <v>49</v>
      </c>
      <c r="E27" s="61"/>
      <c r="F27" s="64" t="s">
        <v>50</v>
      </c>
      <c r="G27" s="65"/>
      <c r="H27" s="64">
        <v>1</v>
      </c>
      <c r="I27" s="65" t="s">
        <v>41</v>
      </c>
      <c r="J27" s="225">
        <v>2000000</v>
      </c>
      <c r="K27" s="225">
        <f t="shared" si="0"/>
        <v>2000000</v>
      </c>
      <c r="L27" s="189"/>
      <c r="M27" s="228"/>
      <c r="N27" s="227"/>
      <c r="O27" s="227" t="e">
        <f>#REF!*40%</f>
        <v>#REF!</v>
      </c>
      <c r="P27" s="226" t="e">
        <f>#REF!+#REF!</f>
        <v>#REF!</v>
      </c>
      <c r="Q27" s="226" t="e">
        <f>#REF!*25%</f>
        <v>#REF!</v>
      </c>
    </row>
    <row r="28" spans="2:20" s="226" customFormat="1" x14ac:dyDescent="0.35">
      <c r="B28" s="60"/>
      <c r="C28" s="55"/>
      <c r="D28" s="62" t="s">
        <v>51</v>
      </c>
      <c r="E28" s="61"/>
      <c r="F28" s="64" t="s">
        <v>52</v>
      </c>
      <c r="G28" s="65"/>
      <c r="H28" s="64">
        <v>1</v>
      </c>
      <c r="I28" s="65" t="s">
        <v>41</v>
      </c>
      <c r="J28" s="225">
        <v>9000000</v>
      </c>
      <c r="K28" s="225">
        <f t="shared" si="0"/>
        <v>9000000</v>
      </c>
      <c r="L28" s="189"/>
      <c r="M28" s="228"/>
      <c r="N28" s="227"/>
      <c r="O28" s="227" t="e">
        <f>#REF!+O27</f>
        <v>#REF!</v>
      </c>
    </row>
    <row r="29" spans="2:20" x14ac:dyDescent="0.35">
      <c r="B29" s="101" t="s">
        <v>53</v>
      </c>
      <c r="C29" s="102"/>
      <c r="D29" s="102"/>
      <c r="E29" s="103" t="s">
        <v>135</v>
      </c>
      <c r="F29" s="97"/>
      <c r="G29" s="98"/>
      <c r="H29" s="97"/>
      <c r="I29" s="98"/>
      <c r="J29" s="50"/>
      <c r="K29" s="29"/>
      <c r="L29" s="52"/>
      <c r="M29" s="18"/>
      <c r="N29" s="23"/>
      <c r="O29" s="23"/>
    </row>
    <row r="30" spans="2:20" x14ac:dyDescent="0.35">
      <c r="B30" s="99"/>
      <c r="C30" s="100"/>
      <c r="D30" s="62" t="s">
        <v>39</v>
      </c>
      <c r="E30" s="61"/>
      <c r="F30" s="64" t="s">
        <v>56</v>
      </c>
      <c r="G30" s="65"/>
      <c r="H30" s="105">
        <v>137</v>
      </c>
      <c r="I30" s="53" t="s">
        <v>55</v>
      </c>
      <c r="J30" s="178">
        <v>85000</v>
      </c>
      <c r="K30" s="178">
        <f t="shared" ref="K30:K36" si="1">J30*H30</f>
        <v>11645000</v>
      </c>
      <c r="L30" s="46"/>
      <c r="M30" s="18"/>
      <c r="N30" s="23"/>
      <c r="O30" s="23"/>
    </row>
    <row r="31" spans="2:20" x14ac:dyDescent="0.35">
      <c r="B31" s="99"/>
      <c r="C31" s="100"/>
      <c r="D31" s="62" t="s">
        <v>42</v>
      </c>
      <c r="E31" s="61"/>
      <c r="F31" s="64" t="s">
        <v>57</v>
      </c>
      <c r="G31" s="65"/>
      <c r="H31" s="64">
        <v>65</v>
      </c>
      <c r="I31" s="53" t="s">
        <v>55</v>
      </c>
      <c r="J31" s="178">
        <v>85000</v>
      </c>
      <c r="K31" s="178">
        <f t="shared" si="1"/>
        <v>5525000</v>
      </c>
      <c r="L31" s="46"/>
      <c r="M31" s="18"/>
      <c r="N31" s="23">
        <v>1</v>
      </c>
      <c r="O31" s="23" t="s">
        <v>10</v>
      </c>
    </row>
    <row r="32" spans="2:20" x14ac:dyDescent="0.35">
      <c r="B32" s="99"/>
      <c r="C32" s="100"/>
      <c r="D32" s="62" t="s">
        <v>44</v>
      </c>
      <c r="E32" s="61"/>
      <c r="F32" s="64" t="s">
        <v>58</v>
      </c>
      <c r="G32" s="65"/>
      <c r="H32" s="105">
        <f>H30+H31</f>
        <v>202</v>
      </c>
      <c r="I32" s="53" t="s">
        <v>55</v>
      </c>
      <c r="J32" s="178">
        <v>10000</v>
      </c>
      <c r="K32" s="178">
        <f t="shared" si="1"/>
        <v>2020000</v>
      </c>
      <c r="L32" s="46"/>
      <c r="M32" s="18"/>
      <c r="N32" s="23"/>
      <c r="O32" s="23"/>
    </row>
    <row r="33" spans="2:15" x14ac:dyDescent="0.35">
      <c r="B33" s="60"/>
      <c r="C33" s="55"/>
      <c r="D33" s="62" t="s">
        <v>49</v>
      </c>
      <c r="E33" s="61"/>
      <c r="F33" s="64" t="s">
        <v>63</v>
      </c>
      <c r="G33" s="65"/>
      <c r="H33" s="105">
        <f>H30</f>
        <v>137</v>
      </c>
      <c r="I33" s="53" t="s">
        <v>55</v>
      </c>
      <c r="J33" s="178">
        <v>45000</v>
      </c>
      <c r="K33" s="178">
        <f t="shared" si="1"/>
        <v>6165000</v>
      </c>
      <c r="L33" s="46"/>
      <c r="M33" s="18"/>
      <c r="N33" s="23">
        <v>2</v>
      </c>
      <c r="O33" s="23" t="s">
        <v>16</v>
      </c>
    </row>
    <row r="34" spans="2:15" x14ac:dyDescent="0.35">
      <c r="B34" s="60"/>
      <c r="C34" s="55"/>
      <c r="D34" s="62" t="s">
        <v>51</v>
      </c>
      <c r="E34" s="61"/>
      <c r="F34" s="64" t="s">
        <v>65</v>
      </c>
      <c r="G34" s="65"/>
      <c r="H34" s="64">
        <f>H31</f>
        <v>65</v>
      </c>
      <c r="I34" s="53" t="s">
        <v>55</v>
      </c>
      <c r="J34" s="178">
        <v>30000</v>
      </c>
      <c r="K34" s="178">
        <f t="shared" si="1"/>
        <v>1950000</v>
      </c>
      <c r="L34" s="46"/>
      <c r="M34" s="18"/>
      <c r="N34" s="23">
        <v>4</v>
      </c>
      <c r="O34" s="23" t="s">
        <v>17</v>
      </c>
    </row>
    <row r="35" spans="2:15" x14ac:dyDescent="0.35">
      <c r="B35" s="106"/>
      <c r="C35" s="62"/>
      <c r="D35" s="62" t="s">
        <v>64</v>
      </c>
      <c r="E35" s="61"/>
      <c r="F35" s="64" t="s">
        <v>70</v>
      </c>
      <c r="G35" s="65"/>
      <c r="H35" s="64">
        <v>8</v>
      </c>
      <c r="I35" s="53" t="s">
        <v>71</v>
      </c>
      <c r="J35" s="178">
        <v>125000</v>
      </c>
      <c r="K35" s="178">
        <f t="shared" si="1"/>
        <v>1000000</v>
      </c>
      <c r="L35" s="46"/>
      <c r="M35" s="18"/>
      <c r="N35" s="23">
        <v>14</v>
      </c>
      <c r="O35" s="23" t="s">
        <v>18</v>
      </c>
    </row>
    <row r="36" spans="2:15" x14ac:dyDescent="0.35">
      <c r="B36" s="106"/>
      <c r="C36" s="62"/>
      <c r="D36" s="62" t="s">
        <v>66</v>
      </c>
      <c r="E36" s="61"/>
      <c r="F36" s="64" t="s">
        <v>72</v>
      </c>
      <c r="G36" s="65"/>
      <c r="H36" s="64">
        <v>1</v>
      </c>
      <c r="I36" s="53" t="s">
        <v>41</v>
      </c>
      <c r="J36" s="178">
        <v>1300000</v>
      </c>
      <c r="K36" s="178">
        <f t="shared" si="1"/>
        <v>1300000</v>
      </c>
      <c r="L36" s="46"/>
      <c r="M36" s="18"/>
      <c r="N36" s="23">
        <v>15</v>
      </c>
      <c r="O36" s="23" t="s">
        <v>27</v>
      </c>
    </row>
    <row r="37" spans="2:15" x14ac:dyDescent="0.35">
      <c r="B37" s="107" t="s">
        <v>73</v>
      </c>
      <c r="C37" s="108"/>
      <c r="D37" s="109"/>
      <c r="E37" s="110" t="s">
        <v>76</v>
      </c>
      <c r="F37" s="97"/>
      <c r="G37" s="98"/>
      <c r="H37" s="97"/>
      <c r="I37" s="111"/>
      <c r="J37" s="50"/>
      <c r="K37" s="29"/>
      <c r="L37" s="52"/>
      <c r="M37" s="18"/>
      <c r="N37" s="23"/>
      <c r="O37" s="23"/>
    </row>
    <row r="38" spans="2:15" s="226" customFormat="1" x14ac:dyDescent="0.35">
      <c r="B38" s="61"/>
      <c r="C38" s="62"/>
      <c r="D38" s="63" t="s">
        <v>39</v>
      </c>
      <c r="E38" s="64"/>
      <c r="F38" s="64" t="s">
        <v>136</v>
      </c>
      <c r="G38" s="65"/>
      <c r="H38" s="64">
        <v>16</v>
      </c>
      <c r="I38" s="65" t="s">
        <v>77</v>
      </c>
      <c r="J38" s="229">
        <v>200000</v>
      </c>
      <c r="K38" s="225">
        <f t="shared" ref="K38:K40" si="2">J38*H38</f>
        <v>3200000</v>
      </c>
      <c r="L38" s="189"/>
      <c r="M38" s="230"/>
      <c r="N38" s="227"/>
      <c r="O38" s="227"/>
    </row>
    <row r="39" spans="2:15" s="226" customFormat="1" x14ac:dyDescent="0.35">
      <c r="B39" s="61"/>
      <c r="C39" s="62"/>
      <c r="D39" s="63" t="s">
        <v>42</v>
      </c>
      <c r="E39" s="62"/>
      <c r="F39" s="64" t="s">
        <v>78</v>
      </c>
      <c r="G39" s="65"/>
      <c r="H39" s="64">
        <v>9</v>
      </c>
      <c r="I39" s="53" t="s">
        <v>79</v>
      </c>
      <c r="J39" s="229">
        <v>250000</v>
      </c>
      <c r="K39" s="225">
        <f t="shared" si="2"/>
        <v>2250000</v>
      </c>
      <c r="L39" s="189"/>
      <c r="M39" s="228"/>
      <c r="N39" s="227"/>
      <c r="O39" s="227"/>
    </row>
    <row r="40" spans="2:15" s="226" customFormat="1" x14ac:dyDescent="0.35">
      <c r="B40" s="61"/>
      <c r="C40" s="62"/>
      <c r="D40" s="56" t="s">
        <v>44</v>
      </c>
      <c r="E40" s="57"/>
      <c r="F40" s="112" t="s">
        <v>80</v>
      </c>
      <c r="G40" s="58"/>
      <c r="H40" s="113">
        <v>11</v>
      </c>
      <c r="I40" s="53" t="s">
        <v>79</v>
      </c>
      <c r="J40" s="229">
        <v>1700000</v>
      </c>
      <c r="K40" s="225">
        <f t="shared" si="2"/>
        <v>18700000</v>
      </c>
      <c r="L40" s="189"/>
      <c r="M40" s="228"/>
      <c r="N40" s="227"/>
      <c r="O40" s="227"/>
    </row>
    <row r="41" spans="2:15" x14ac:dyDescent="0.35">
      <c r="B41" s="94" t="s">
        <v>75</v>
      </c>
      <c r="C41" s="95"/>
      <c r="D41" s="114"/>
      <c r="E41" s="115" t="s">
        <v>81</v>
      </c>
      <c r="F41" s="116"/>
      <c r="G41" s="117"/>
      <c r="H41" s="118"/>
      <c r="I41" s="117"/>
      <c r="J41" s="50"/>
      <c r="K41" s="29"/>
      <c r="L41" s="52"/>
      <c r="M41" s="18"/>
      <c r="N41" s="23"/>
      <c r="O41" s="23"/>
    </row>
    <row r="42" spans="2:15" x14ac:dyDescent="0.35">
      <c r="B42" s="119"/>
      <c r="C42" s="120"/>
      <c r="D42" s="56" t="s">
        <v>39</v>
      </c>
      <c r="E42" s="57"/>
      <c r="F42" s="112" t="s">
        <v>82</v>
      </c>
      <c r="G42" s="58"/>
      <c r="H42" s="57">
        <v>1</v>
      </c>
      <c r="I42" s="58" t="s">
        <v>83</v>
      </c>
      <c r="J42" s="52">
        <v>2000000</v>
      </c>
      <c r="K42" s="178">
        <f t="shared" ref="K42" si="3">J42*H42</f>
        <v>2000000</v>
      </c>
      <c r="L42" s="46"/>
      <c r="M42" s="18"/>
      <c r="N42" s="23"/>
      <c r="O42" s="23"/>
    </row>
    <row r="43" spans="2:15" x14ac:dyDescent="0.35">
      <c r="B43" s="121"/>
      <c r="C43" s="122"/>
      <c r="D43" s="122"/>
      <c r="E43" s="123"/>
      <c r="F43" s="124"/>
      <c r="G43" s="125"/>
      <c r="H43" s="124"/>
      <c r="I43" s="125"/>
      <c r="J43" s="50"/>
      <c r="K43" s="29"/>
      <c r="L43" s="52"/>
      <c r="M43" s="18"/>
      <c r="N43" s="23"/>
      <c r="O43" s="23"/>
    </row>
    <row r="44" spans="2:15" x14ac:dyDescent="0.35">
      <c r="B44" s="167"/>
      <c r="C44" s="168"/>
      <c r="D44" s="168"/>
      <c r="E44" s="126"/>
      <c r="F44" s="127" t="s">
        <v>84</v>
      </c>
      <c r="G44" s="128"/>
      <c r="H44" s="169"/>
      <c r="I44" s="170"/>
      <c r="J44" s="50"/>
      <c r="K44" s="29"/>
      <c r="L44" s="52"/>
      <c r="M44" s="18"/>
      <c r="N44" s="23"/>
      <c r="O44" s="23"/>
    </row>
    <row r="45" spans="2:15" x14ac:dyDescent="0.35">
      <c r="B45" s="94" t="s">
        <v>38</v>
      </c>
      <c r="C45" s="95"/>
      <c r="D45" s="114"/>
      <c r="E45" s="115" t="s">
        <v>85</v>
      </c>
      <c r="F45" s="116"/>
      <c r="G45" s="117"/>
      <c r="H45" s="118"/>
      <c r="I45" s="117"/>
      <c r="J45" s="50"/>
      <c r="K45" s="29"/>
      <c r="L45" s="52"/>
      <c r="M45" s="18"/>
      <c r="N45" s="23"/>
      <c r="O45" s="23"/>
    </row>
    <row r="46" spans="2:15" x14ac:dyDescent="0.35">
      <c r="B46" s="54"/>
      <c r="C46" s="55" t="s">
        <v>86</v>
      </c>
      <c r="D46" s="56"/>
      <c r="E46" s="57"/>
      <c r="F46" s="57" t="s">
        <v>87</v>
      </c>
      <c r="G46" s="58"/>
      <c r="H46" s="59"/>
      <c r="I46" s="58"/>
      <c r="J46" s="50"/>
      <c r="K46" s="29"/>
      <c r="L46" s="52"/>
      <c r="M46" s="18"/>
      <c r="N46" s="23"/>
      <c r="O46" s="23"/>
    </row>
    <row r="47" spans="2:15" x14ac:dyDescent="0.35">
      <c r="B47" s="54"/>
      <c r="C47" s="55"/>
      <c r="D47" s="129" t="s">
        <v>39</v>
      </c>
      <c r="E47" s="57"/>
      <c r="F47" s="57" t="s">
        <v>137</v>
      </c>
      <c r="G47" s="58"/>
      <c r="H47" s="59"/>
      <c r="I47" s="58"/>
      <c r="J47" s="50"/>
      <c r="K47" s="29"/>
      <c r="L47" s="52"/>
      <c r="M47" s="18"/>
      <c r="N47" s="23"/>
      <c r="O47" s="23"/>
    </row>
    <row r="48" spans="2:15" x14ac:dyDescent="0.35">
      <c r="B48" s="60"/>
      <c r="C48" s="55"/>
      <c r="D48" s="129"/>
      <c r="E48" s="57"/>
      <c r="F48" s="57" t="s">
        <v>88</v>
      </c>
      <c r="G48" s="58" t="s">
        <v>138</v>
      </c>
      <c r="H48" s="77">
        <v>355.32239999999996</v>
      </c>
      <c r="I48" s="58" t="s">
        <v>74</v>
      </c>
      <c r="J48" s="179">
        <v>48000</v>
      </c>
      <c r="K48" s="179"/>
      <c r="L48" s="46">
        <f t="shared" ref="L48:L49" si="4">J48*H48</f>
        <v>17055475.199999999</v>
      </c>
      <c r="M48" s="18"/>
      <c r="N48" s="23"/>
      <c r="O48" s="23"/>
    </row>
    <row r="49" spans="2:15" x14ac:dyDescent="0.35">
      <c r="B49" s="54"/>
      <c r="C49" s="55"/>
      <c r="D49" s="129"/>
      <c r="E49" s="57"/>
      <c r="F49" s="57" t="s">
        <v>88</v>
      </c>
      <c r="G49" s="58" t="s">
        <v>139</v>
      </c>
      <c r="H49" s="77">
        <v>177.66119999999998</v>
      </c>
      <c r="I49" s="58" t="s">
        <v>74</v>
      </c>
      <c r="J49" s="179">
        <v>48000</v>
      </c>
      <c r="K49" s="179"/>
      <c r="L49" s="46">
        <f t="shared" si="4"/>
        <v>8527737.5999999996</v>
      </c>
      <c r="M49" s="18"/>
      <c r="N49" s="23"/>
      <c r="O49" s="23"/>
    </row>
    <row r="50" spans="2:15" x14ac:dyDescent="0.35">
      <c r="B50" s="61"/>
      <c r="C50" s="62"/>
      <c r="D50" s="130" t="s">
        <v>42</v>
      </c>
      <c r="E50" s="64"/>
      <c r="F50" s="64" t="s">
        <v>140</v>
      </c>
      <c r="G50" s="65"/>
      <c r="H50" s="171"/>
      <c r="I50" s="65"/>
      <c r="J50" s="50"/>
      <c r="K50" s="29"/>
      <c r="L50" s="52"/>
      <c r="M50" s="18"/>
      <c r="N50" s="23"/>
      <c r="O50" s="23"/>
    </row>
    <row r="51" spans="2:15" x14ac:dyDescent="0.35">
      <c r="B51" s="61"/>
      <c r="C51" s="62"/>
      <c r="D51" s="130"/>
      <c r="E51" s="64"/>
      <c r="F51" s="64" t="s">
        <v>88</v>
      </c>
      <c r="G51" s="65" t="s">
        <v>141</v>
      </c>
      <c r="H51" s="171">
        <v>1060.7673599999998</v>
      </c>
      <c r="I51" s="65" t="s">
        <v>74</v>
      </c>
      <c r="J51" s="179">
        <v>48000</v>
      </c>
      <c r="K51" s="179"/>
      <c r="L51" s="46">
        <f t="shared" ref="L51:L52" si="5">J51*H51</f>
        <v>50916833.279999994</v>
      </c>
      <c r="M51" s="18"/>
      <c r="N51" s="23"/>
      <c r="O51" s="23"/>
    </row>
    <row r="52" spans="2:15" x14ac:dyDescent="0.35">
      <c r="B52" s="66"/>
      <c r="C52" s="67"/>
      <c r="D52" s="131"/>
      <c r="E52" s="68"/>
      <c r="F52" s="69" t="s">
        <v>88</v>
      </c>
      <c r="G52" s="70" t="s">
        <v>142</v>
      </c>
      <c r="H52" s="172">
        <v>530.38367999999991</v>
      </c>
      <c r="I52" s="70" t="s">
        <v>74</v>
      </c>
      <c r="J52" s="179">
        <v>48000</v>
      </c>
      <c r="K52" s="179"/>
      <c r="L52" s="46">
        <f t="shared" si="5"/>
        <v>25458416.639999997</v>
      </c>
      <c r="M52" s="18"/>
      <c r="N52" s="23"/>
      <c r="O52" s="23"/>
    </row>
    <row r="53" spans="2:15" x14ac:dyDescent="0.35">
      <c r="B53" s="71"/>
      <c r="C53" s="72"/>
      <c r="D53" s="73" t="s">
        <v>44</v>
      </c>
      <c r="E53" s="74"/>
      <c r="F53" s="74" t="s">
        <v>143</v>
      </c>
      <c r="G53" s="75"/>
      <c r="H53" s="76"/>
      <c r="I53" s="75"/>
      <c r="J53" s="50"/>
      <c r="K53" s="29"/>
      <c r="L53" s="52"/>
      <c r="M53" s="18"/>
      <c r="N53" s="23"/>
      <c r="O53" s="23"/>
    </row>
    <row r="54" spans="2:15" x14ac:dyDescent="0.35">
      <c r="B54" s="71"/>
      <c r="C54" s="72"/>
      <c r="D54" s="73"/>
      <c r="E54" s="74"/>
      <c r="F54" s="74" t="s">
        <v>88</v>
      </c>
      <c r="G54" s="75" t="s">
        <v>144</v>
      </c>
      <c r="H54" s="76">
        <v>1057.3007999999998</v>
      </c>
      <c r="I54" s="75" t="s">
        <v>74</v>
      </c>
      <c r="J54" s="179">
        <v>48000</v>
      </c>
      <c r="K54" s="179"/>
      <c r="L54" s="46">
        <f t="shared" ref="L54:L55" si="6">J54*H54</f>
        <v>50750438.399999991</v>
      </c>
      <c r="M54" s="18"/>
      <c r="N54" s="23"/>
      <c r="O54" s="23"/>
    </row>
    <row r="55" spans="2:15" x14ac:dyDescent="0.35">
      <c r="B55" s="71"/>
      <c r="C55" s="72"/>
      <c r="D55" s="73"/>
      <c r="E55" s="74"/>
      <c r="F55" s="74" t="s">
        <v>88</v>
      </c>
      <c r="G55" s="75" t="s">
        <v>145</v>
      </c>
      <c r="H55" s="76">
        <v>528.65039999999988</v>
      </c>
      <c r="I55" s="75" t="s">
        <v>74</v>
      </c>
      <c r="J55" s="179">
        <v>48000</v>
      </c>
      <c r="K55" s="179"/>
      <c r="L55" s="46">
        <f t="shared" si="6"/>
        <v>25375219.199999996</v>
      </c>
      <c r="M55" s="18"/>
      <c r="N55" s="23"/>
      <c r="O55" s="23"/>
    </row>
    <row r="56" spans="2:15" x14ac:dyDescent="0.35">
      <c r="B56" s="71"/>
      <c r="C56" s="72"/>
      <c r="D56" s="73" t="s">
        <v>46</v>
      </c>
      <c r="E56" s="74"/>
      <c r="F56" s="74" t="s">
        <v>146</v>
      </c>
      <c r="G56" s="75"/>
      <c r="H56" s="76"/>
      <c r="I56" s="75"/>
      <c r="J56" s="50"/>
      <c r="K56" s="29"/>
      <c r="L56" s="52"/>
      <c r="M56" s="18"/>
      <c r="N56" s="23"/>
      <c r="O56" s="23"/>
    </row>
    <row r="57" spans="2:15" x14ac:dyDescent="0.35">
      <c r="B57" s="71"/>
      <c r="C57" s="72"/>
      <c r="D57" s="73"/>
      <c r="E57" s="74"/>
      <c r="F57" s="74" t="s">
        <v>88</v>
      </c>
      <c r="G57" s="75" t="s">
        <v>141</v>
      </c>
      <c r="H57" s="77">
        <v>1060.7673599999998</v>
      </c>
      <c r="I57" s="58" t="s">
        <v>74</v>
      </c>
      <c r="J57" s="179">
        <v>48000</v>
      </c>
      <c r="K57" s="179"/>
      <c r="L57" s="46">
        <f t="shared" ref="L57:L58" si="7">J57*H57</f>
        <v>50916833.279999994</v>
      </c>
      <c r="M57" s="18"/>
      <c r="N57" s="23"/>
      <c r="O57" s="23"/>
    </row>
    <row r="58" spans="2:15" x14ac:dyDescent="0.35">
      <c r="B58" s="71"/>
      <c r="C58" s="72"/>
      <c r="D58" s="73"/>
      <c r="E58" s="74"/>
      <c r="F58" s="74" t="s">
        <v>88</v>
      </c>
      <c r="G58" s="75" t="s">
        <v>142</v>
      </c>
      <c r="H58" s="76">
        <v>530.38367999999991</v>
      </c>
      <c r="I58" s="75" t="s">
        <v>74</v>
      </c>
      <c r="J58" s="179">
        <v>48000</v>
      </c>
      <c r="K58" s="179"/>
      <c r="L58" s="46">
        <f t="shared" si="7"/>
        <v>25458416.639999997</v>
      </c>
      <c r="M58" s="18"/>
      <c r="N58" s="23"/>
      <c r="O58" s="23"/>
    </row>
    <row r="59" spans="2:15" x14ac:dyDescent="0.35">
      <c r="B59" s="71"/>
      <c r="C59" s="72"/>
      <c r="D59" s="73" t="s">
        <v>48</v>
      </c>
      <c r="E59" s="74"/>
      <c r="F59" s="74" t="s">
        <v>147</v>
      </c>
      <c r="G59" s="75"/>
      <c r="H59" s="76"/>
      <c r="I59" s="75"/>
      <c r="J59" s="50"/>
      <c r="K59" s="29"/>
      <c r="L59" s="52"/>
      <c r="M59" s="18"/>
      <c r="N59" s="23"/>
      <c r="O59" s="23"/>
    </row>
    <row r="60" spans="2:15" x14ac:dyDescent="0.35">
      <c r="B60" s="71"/>
      <c r="C60" s="72"/>
      <c r="D60" s="73"/>
      <c r="E60" s="74"/>
      <c r="F60" s="74" t="s">
        <v>88</v>
      </c>
      <c r="G60" s="75" t="s">
        <v>141</v>
      </c>
      <c r="H60" s="76">
        <v>1060.7673599999998</v>
      </c>
      <c r="I60" s="75" t="s">
        <v>74</v>
      </c>
      <c r="J60" s="179">
        <v>48000</v>
      </c>
      <c r="K60" s="179"/>
      <c r="L60" s="46">
        <f t="shared" ref="L60:L61" si="8">J60*H60</f>
        <v>50916833.279999994</v>
      </c>
      <c r="M60" s="18"/>
      <c r="N60" s="23"/>
      <c r="O60" s="23"/>
    </row>
    <row r="61" spans="2:15" x14ac:dyDescent="0.35">
      <c r="B61" s="71"/>
      <c r="C61" s="72"/>
      <c r="D61" s="73"/>
      <c r="E61" s="74"/>
      <c r="F61" s="74" t="s">
        <v>88</v>
      </c>
      <c r="G61" s="75" t="s">
        <v>142</v>
      </c>
      <c r="H61" s="77">
        <v>530.38367999999991</v>
      </c>
      <c r="I61" s="58" t="s">
        <v>74</v>
      </c>
      <c r="J61" s="179">
        <v>48000</v>
      </c>
      <c r="K61" s="179"/>
      <c r="L61" s="46">
        <f t="shared" si="8"/>
        <v>25458416.639999997</v>
      </c>
      <c r="M61" s="18"/>
      <c r="N61" s="23"/>
      <c r="O61" s="23"/>
    </row>
    <row r="62" spans="2:15" x14ac:dyDescent="0.35">
      <c r="B62" s="71"/>
      <c r="C62" s="72"/>
      <c r="D62" s="73" t="s">
        <v>49</v>
      </c>
      <c r="E62" s="74"/>
      <c r="F62" s="74" t="s">
        <v>148</v>
      </c>
      <c r="G62" s="75"/>
      <c r="H62" s="78"/>
      <c r="I62" s="75"/>
      <c r="J62" s="50"/>
      <c r="K62" s="29"/>
      <c r="L62" s="52"/>
      <c r="M62" s="18"/>
      <c r="N62" s="23"/>
      <c r="O62" s="23"/>
    </row>
    <row r="63" spans="2:15" x14ac:dyDescent="0.35">
      <c r="B63" s="71"/>
      <c r="C63" s="72"/>
      <c r="D63" s="73"/>
      <c r="E63" s="74"/>
      <c r="F63" s="74" t="s">
        <v>88</v>
      </c>
      <c r="G63" s="75" t="s">
        <v>149</v>
      </c>
      <c r="H63" s="76">
        <v>244.11929999999995</v>
      </c>
      <c r="I63" s="75" t="s">
        <v>74</v>
      </c>
      <c r="J63" s="179">
        <v>48000</v>
      </c>
      <c r="K63" s="179"/>
      <c r="L63" s="46">
        <f t="shared" ref="L63" si="9">J63*H63</f>
        <v>11717726.399999999</v>
      </c>
      <c r="M63" s="18"/>
      <c r="N63" s="23"/>
      <c r="O63" s="23"/>
    </row>
    <row r="64" spans="2:15" x14ac:dyDescent="0.35">
      <c r="B64" s="71"/>
      <c r="C64" s="72"/>
      <c r="D64" s="73" t="s">
        <v>51</v>
      </c>
      <c r="E64" s="74"/>
      <c r="F64" s="74" t="s">
        <v>166</v>
      </c>
      <c r="G64" s="75"/>
      <c r="H64" s="76"/>
      <c r="I64" s="75"/>
      <c r="J64" s="50"/>
      <c r="K64" s="29"/>
      <c r="L64" s="52"/>
      <c r="M64" s="18"/>
      <c r="N64" s="23"/>
      <c r="O64" s="23"/>
    </row>
    <row r="65" spans="2:23" x14ac:dyDescent="0.35">
      <c r="B65" s="71"/>
      <c r="C65" s="72"/>
      <c r="D65" s="73"/>
      <c r="E65" s="74"/>
      <c r="F65" s="74" t="s">
        <v>88</v>
      </c>
      <c r="G65" s="75" t="s">
        <v>151</v>
      </c>
      <c r="H65" s="76">
        <v>411.46559999999994</v>
      </c>
      <c r="I65" s="75" t="s">
        <v>74</v>
      </c>
      <c r="J65" s="179">
        <v>48000</v>
      </c>
      <c r="K65" s="179"/>
      <c r="L65" s="46">
        <f t="shared" ref="L65" si="10">J65*H65</f>
        <v>19750348.799999997</v>
      </c>
      <c r="M65" s="18"/>
      <c r="N65" s="23"/>
      <c r="O65" s="23"/>
    </row>
    <row r="66" spans="2:23" x14ac:dyDescent="0.35">
      <c r="B66" s="71"/>
      <c r="C66" s="72" t="s">
        <v>89</v>
      </c>
      <c r="D66" s="73"/>
      <c r="E66" s="74"/>
      <c r="F66" s="74" t="s">
        <v>90</v>
      </c>
      <c r="G66" s="75"/>
      <c r="H66" s="76"/>
      <c r="I66" s="75"/>
      <c r="J66" s="29"/>
      <c r="K66" s="51"/>
      <c r="L66" s="46"/>
    </row>
    <row r="67" spans="2:23" x14ac:dyDescent="0.35">
      <c r="B67" s="71"/>
      <c r="C67" s="72"/>
      <c r="D67" s="73" t="s">
        <v>39</v>
      </c>
      <c r="E67" s="74"/>
      <c r="F67" s="74" t="s">
        <v>152</v>
      </c>
      <c r="G67" s="75"/>
      <c r="H67" s="76"/>
      <c r="I67" s="75"/>
      <c r="J67" s="50"/>
      <c r="K67" s="51"/>
      <c r="L67" s="46"/>
    </row>
    <row r="68" spans="2:23" x14ac:dyDescent="0.35">
      <c r="B68" s="71"/>
      <c r="C68" s="72"/>
      <c r="D68" s="73"/>
      <c r="E68" s="74"/>
      <c r="F68" s="74" t="s">
        <v>88</v>
      </c>
      <c r="G68" s="75" t="s">
        <v>153</v>
      </c>
      <c r="H68" s="76">
        <v>161.76023999999998</v>
      </c>
      <c r="I68" s="75" t="s">
        <v>74</v>
      </c>
      <c r="J68" s="179">
        <v>48000</v>
      </c>
      <c r="K68" s="179"/>
      <c r="L68" s="46">
        <f t="shared" ref="L68" si="11">J68*H68</f>
        <v>7764491.5199999996</v>
      </c>
    </row>
    <row r="69" spans="2:23" x14ac:dyDescent="0.35">
      <c r="B69" s="71"/>
      <c r="C69" s="72"/>
      <c r="D69" s="73" t="s">
        <v>42</v>
      </c>
      <c r="E69" s="74"/>
      <c r="F69" s="74" t="s">
        <v>154</v>
      </c>
      <c r="G69" s="75"/>
      <c r="H69" s="76"/>
      <c r="I69" s="75"/>
      <c r="J69" s="50"/>
      <c r="K69" s="29"/>
      <c r="L69" s="52"/>
    </row>
    <row r="70" spans="2:23" x14ac:dyDescent="0.35">
      <c r="B70" s="71"/>
      <c r="C70" s="72"/>
      <c r="D70" s="73"/>
      <c r="E70" s="74"/>
      <c r="F70" s="74" t="s">
        <v>88</v>
      </c>
      <c r="G70" s="75" t="s">
        <v>155</v>
      </c>
      <c r="H70" s="76">
        <v>467.73125999999991</v>
      </c>
      <c r="I70" s="75" t="s">
        <v>74</v>
      </c>
      <c r="J70" s="179">
        <v>48000</v>
      </c>
      <c r="K70" s="179"/>
      <c r="L70" s="46">
        <f t="shared" ref="L70" si="12">J70*H70</f>
        <v>22451100.479999997</v>
      </c>
    </row>
    <row r="71" spans="2:23" x14ac:dyDescent="0.35">
      <c r="B71" s="71"/>
      <c r="C71" s="72"/>
      <c r="D71" s="73"/>
      <c r="E71" s="74"/>
      <c r="F71" s="74"/>
      <c r="G71" s="75"/>
      <c r="H71" s="76"/>
      <c r="I71" s="75"/>
      <c r="J71" s="50"/>
      <c r="K71" s="29"/>
      <c r="L71" s="52"/>
      <c r="M71" s="18"/>
      <c r="N71" s="23"/>
      <c r="O71" s="23"/>
    </row>
    <row r="72" spans="2:23" x14ac:dyDescent="0.35">
      <c r="B72" s="47"/>
      <c r="C72" s="48"/>
      <c r="D72" s="24"/>
      <c r="G72" s="22"/>
      <c r="I72" s="22"/>
      <c r="J72" s="50"/>
      <c r="K72" s="29"/>
      <c r="L72" s="52"/>
      <c r="M72" s="18"/>
      <c r="N72" s="23"/>
      <c r="O72" s="23"/>
    </row>
    <row r="73" spans="2:23" x14ac:dyDescent="0.35">
      <c r="B73" s="8"/>
      <c r="C73" s="9"/>
      <c r="D73" s="10"/>
      <c r="E73" s="4"/>
      <c r="F73" s="4"/>
      <c r="G73" s="4"/>
      <c r="H73" s="1"/>
      <c r="I73" s="1"/>
      <c r="J73" s="11" t="s">
        <v>8</v>
      </c>
      <c r="K73" s="7">
        <f>SUM(K20:K72)</f>
        <v>145255000</v>
      </c>
      <c r="L73" s="7">
        <f>SUM(L20:L72)</f>
        <v>392518287.3599999</v>
      </c>
      <c r="M73" s="14"/>
      <c r="N73" s="15"/>
      <c r="O73" s="34"/>
      <c r="P73" s="34"/>
      <c r="Q73" s="34"/>
      <c r="R73" s="34"/>
      <c r="S73">
        <v>102.15</v>
      </c>
      <c r="T73" s="34" t="s">
        <v>19</v>
      </c>
      <c r="U73" s="34"/>
      <c r="V73" s="34"/>
      <c r="W73" s="16"/>
    </row>
    <row r="74" spans="2:23" x14ac:dyDescent="0.35">
      <c r="B74" s="8"/>
      <c r="C74" s="9"/>
      <c r="D74" s="9"/>
      <c r="E74" s="4"/>
      <c r="F74" s="4"/>
      <c r="G74" s="4"/>
      <c r="H74" s="1"/>
      <c r="I74" s="1"/>
      <c r="J74" s="11"/>
      <c r="K74" s="35" t="s">
        <v>22</v>
      </c>
      <c r="L74" s="36" t="s">
        <v>23</v>
      </c>
      <c r="M74" s="14"/>
      <c r="N74" s="15"/>
      <c r="O74" s="34"/>
      <c r="P74" s="34"/>
      <c r="Q74" s="34"/>
      <c r="R74" s="34"/>
      <c r="T74" s="34"/>
      <c r="U74" s="34"/>
      <c r="V74" s="34"/>
      <c r="W74" s="16"/>
    </row>
    <row r="75" spans="2:23" x14ac:dyDescent="0.35">
      <c r="B75" s="3" t="s">
        <v>9</v>
      </c>
      <c r="C75" s="4"/>
      <c r="D75" s="4"/>
      <c r="E75" s="4"/>
      <c r="F75" s="4"/>
      <c r="G75" s="4"/>
      <c r="H75" s="1"/>
      <c r="I75" s="1"/>
      <c r="J75" s="12"/>
      <c r="K75" s="12"/>
      <c r="L75" s="13"/>
      <c r="N75" s="15"/>
      <c r="O75" s="34"/>
      <c r="P75" s="34"/>
      <c r="Q75" s="34"/>
      <c r="R75" s="34"/>
      <c r="S75">
        <v>26.04</v>
      </c>
      <c r="T75" s="34" t="s">
        <v>20</v>
      </c>
      <c r="U75" s="34"/>
      <c r="V75" s="34"/>
      <c r="W75" s="16"/>
    </row>
    <row r="76" spans="2:23" x14ac:dyDescent="0.35">
      <c r="B76" s="37"/>
      <c r="C76" s="1"/>
      <c r="D76" s="1"/>
      <c r="E76" s="38"/>
      <c r="F76" s="38"/>
      <c r="G76" s="38"/>
      <c r="H76" s="1"/>
      <c r="I76" s="1"/>
      <c r="J76" s="1"/>
      <c r="K76" s="1"/>
      <c r="L76" s="19"/>
    </row>
    <row r="77" spans="2:23" x14ac:dyDescent="0.35">
      <c r="B77" s="28" t="s">
        <v>6</v>
      </c>
      <c r="C77" s="27"/>
      <c r="D77" s="27"/>
      <c r="E77" s="26"/>
      <c r="F77" s="26"/>
      <c r="G77" s="5"/>
      <c r="K77" s="232" t="s">
        <v>374</v>
      </c>
      <c r="L77" s="233"/>
    </row>
    <row r="78" spans="2:23" x14ac:dyDescent="0.35">
      <c r="B78" s="28">
        <v>1</v>
      </c>
      <c r="C78" s="27"/>
      <c r="D78" s="27"/>
      <c r="E78" s="26" t="s">
        <v>7</v>
      </c>
      <c r="F78" s="26"/>
      <c r="G78" s="5"/>
      <c r="K78" s="232" t="s">
        <v>28</v>
      </c>
      <c r="L78" s="233"/>
    </row>
    <row r="79" spans="2:23" x14ac:dyDescent="0.35">
      <c r="B79" s="39"/>
      <c r="C79" s="27"/>
      <c r="D79" s="27"/>
      <c r="E79" s="26"/>
      <c r="F79" s="26"/>
      <c r="G79" s="5"/>
      <c r="J79" s="25"/>
      <c r="K79" s="25"/>
      <c r="L79" s="24"/>
    </row>
    <row r="80" spans="2:23" x14ac:dyDescent="0.35">
      <c r="B80" s="28"/>
      <c r="C80" s="27"/>
      <c r="D80" s="27"/>
      <c r="E80" s="26"/>
      <c r="F80" s="26"/>
      <c r="G80" s="5"/>
      <c r="L80" s="22"/>
    </row>
    <row r="81" spans="2:13" x14ac:dyDescent="0.35">
      <c r="B81" s="45"/>
      <c r="E81" s="5"/>
      <c r="F81" s="5"/>
      <c r="G81" s="5"/>
      <c r="L81" s="22"/>
    </row>
    <row r="82" spans="2:13" x14ac:dyDescent="0.35">
      <c r="B82" s="45"/>
      <c r="E82" s="5"/>
      <c r="F82" s="5"/>
      <c r="G82" s="5"/>
      <c r="L82" s="22"/>
    </row>
    <row r="83" spans="2:13" x14ac:dyDescent="0.35">
      <c r="B83" s="45"/>
      <c r="E83" s="5"/>
      <c r="F83" s="5"/>
      <c r="G83" s="5"/>
      <c r="L83" s="22"/>
    </row>
    <row r="84" spans="2:13" x14ac:dyDescent="0.35">
      <c r="B84" s="45"/>
      <c r="E84" s="5"/>
      <c r="F84" s="5"/>
      <c r="G84" s="5"/>
      <c r="J84" s="40"/>
      <c r="K84" s="234" t="s">
        <v>36</v>
      </c>
      <c r="L84" s="235"/>
      <c r="M84" s="40"/>
    </row>
    <row r="85" spans="2:13" x14ac:dyDescent="0.35">
      <c r="B85" s="45"/>
      <c r="K85" s="236" t="s">
        <v>37</v>
      </c>
      <c r="L85" s="237"/>
      <c r="M85" s="42"/>
    </row>
    <row r="86" spans="2:13" x14ac:dyDescent="0.35">
      <c r="B86" s="238"/>
      <c r="C86" s="239"/>
      <c r="D86" s="239"/>
      <c r="E86" s="41"/>
      <c r="F86" s="41"/>
      <c r="G86" s="41"/>
      <c r="H86" s="2"/>
      <c r="I86" s="2"/>
      <c r="J86" s="2"/>
      <c r="K86" s="2"/>
      <c r="L86" s="21"/>
    </row>
    <row r="87" spans="2:13" x14ac:dyDescent="0.35">
      <c r="B87" s="47"/>
      <c r="C87" s="48"/>
      <c r="D87" s="49"/>
      <c r="G87" s="22"/>
      <c r="H87" s="1"/>
      <c r="I87" s="1"/>
      <c r="J87" s="43"/>
      <c r="K87" s="30"/>
      <c r="L87" s="44"/>
    </row>
    <row r="88" spans="2:13" x14ac:dyDescent="0.35">
      <c r="B88" s="71"/>
      <c r="C88" s="72"/>
      <c r="D88" s="73" t="s">
        <v>44</v>
      </c>
      <c r="E88" s="74"/>
      <c r="F88" s="74" t="s">
        <v>156</v>
      </c>
      <c r="G88" s="75"/>
      <c r="H88" s="76"/>
      <c r="I88" s="75"/>
      <c r="J88" s="50"/>
      <c r="K88" s="29"/>
      <c r="L88" s="52"/>
    </row>
    <row r="89" spans="2:13" x14ac:dyDescent="0.35">
      <c r="B89" s="71"/>
      <c r="C89" s="72"/>
      <c r="D89" s="73"/>
      <c r="E89" s="74"/>
      <c r="F89" s="74" t="s">
        <v>88</v>
      </c>
      <c r="G89" s="75" t="s">
        <v>157</v>
      </c>
      <c r="H89" s="76">
        <v>466.96823999999992</v>
      </c>
      <c r="I89" s="75" t="s">
        <v>74</v>
      </c>
      <c r="J89" s="179">
        <v>48000</v>
      </c>
      <c r="K89" s="179"/>
      <c r="L89" s="46">
        <f t="shared" ref="L89" si="13">J89*H89</f>
        <v>22414475.519999996</v>
      </c>
    </row>
    <row r="90" spans="2:13" x14ac:dyDescent="0.35">
      <c r="B90" s="71"/>
      <c r="C90" s="72"/>
      <c r="D90" s="73" t="s">
        <v>46</v>
      </c>
      <c r="E90" s="74"/>
      <c r="F90" s="74" t="s">
        <v>158</v>
      </c>
      <c r="G90" s="75"/>
      <c r="H90" s="76"/>
      <c r="I90" s="75"/>
      <c r="J90" s="50"/>
      <c r="K90" s="29"/>
      <c r="L90" s="52"/>
    </row>
    <row r="91" spans="2:13" x14ac:dyDescent="0.35">
      <c r="B91" s="71"/>
      <c r="C91" s="72"/>
      <c r="D91" s="73"/>
      <c r="E91" s="74"/>
      <c r="F91" s="74" t="s">
        <v>88</v>
      </c>
      <c r="G91" s="75" t="s">
        <v>159</v>
      </c>
      <c r="H91" s="76">
        <v>256.37471999999997</v>
      </c>
      <c r="I91" s="75" t="s">
        <v>74</v>
      </c>
      <c r="J91" s="179">
        <v>48000</v>
      </c>
      <c r="K91" s="179"/>
      <c r="L91" s="46">
        <f t="shared" ref="L91" si="14">J91*H91</f>
        <v>12305986.559999999</v>
      </c>
    </row>
    <row r="92" spans="2:13" x14ac:dyDescent="0.35">
      <c r="B92" s="71"/>
      <c r="C92" s="72"/>
      <c r="D92" s="73" t="s">
        <v>48</v>
      </c>
      <c r="E92" s="74"/>
      <c r="F92" s="74" t="s">
        <v>160</v>
      </c>
      <c r="G92" s="75"/>
      <c r="H92" s="76"/>
      <c r="I92" s="75"/>
      <c r="J92" s="50"/>
      <c r="K92" s="29"/>
      <c r="L92" s="52"/>
    </row>
    <row r="93" spans="2:13" x14ac:dyDescent="0.35">
      <c r="B93" s="71"/>
      <c r="C93" s="72"/>
      <c r="D93" s="73"/>
      <c r="E93" s="74"/>
      <c r="F93" s="74" t="s">
        <v>88</v>
      </c>
      <c r="G93" s="75" t="s">
        <v>161</v>
      </c>
      <c r="H93" s="132">
        <v>459.33803999999992</v>
      </c>
      <c r="I93" s="75" t="s">
        <v>74</v>
      </c>
      <c r="J93" s="179">
        <v>48000</v>
      </c>
      <c r="K93" s="179"/>
      <c r="L93" s="46">
        <f t="shared" ref="L93" si="15">J93*H93</f>
        <v>22048225.919999998</v>
      </c>
    </row>
    <row r="94" spans="2:13" x14ac:dyDescent="0.35">
      <c r="B94" s="71"/>
      <c r="C94" s="72"/>
      <c r="D94" s="73" t="s">
        <v>49</v>
      </c>
      <c r="E94" s="74"/>
      <c r="F94" s="74" t="s">
        <v>162</v>
      </c>
      <c r="G94" s="75"/>
      <c r="H94" s="76"/>
      <c r="I94" s="75"/>
      <c r="J94" s="50"/>
      <c r="K94" s="29"/>
      <c r="L94" s="52"/>
    </row>
    <row r="95" spans="2:13" x14ac:dyDescent="0.35">
      <c r="B95" s="71"/>
      <c r="C95" s="72"/>
      <c r="D95" s="73"/>
      <c r="E95" s="74"/>
      <c r="F95" s="74" t="s">
        <v>88</v>
      </c>
      <c r="G95" s="75" t="s">
        <v>157</v>
      </c>
      <c r="H95" s="76">
        <v>466.96823999999992</v>
      </c>
      <c r="I95" s="75" t="s">
        <v>74</v>
      </c>
      <c r="J95" s="179">
        <v>48000</v>
      </c>
      <c r="K95" s="179"/>
      <c r="L95" s="46">
        <f t="shared" ref="L95" si="16">J95*H95</f>
        <v>22414475.519999996</v>
      </c>
    </row>
    <row r="96" spans="2:13" x14ac:dyDescent="0.35">
      <c r="B96" s="71"/>
      <c r="C96" s="72"/>
      <c r="D96" s="73" t="s">
        <v>51</v>
      </c>
      <c r="E96" s="74"/>
      <c r="F96" s="74" t="s">
        <v>163</v>
      </c>
      <c r="G96" s="75"/>
      <c r="H96" s="76"/>
      <c r="I96" s="75"/>
      <c r="J96" s="50"/>
      <c r="K96" s="29"/>
      <c r="L96" s="52"/>
    </row>
    <row r="97" spans="2:12" x14ac:dyDescent="0.35">
      <c r="B97" s="71"/>
      <c r="C97" s="72"/>
      <c r="D97" s="73"/>
      <c r="E97" s="74"/>
      <c r="F97" s="74" t="s">
        <v>88</v>
      </c>
      <c r="G97" s="75" t="s">
        <v>164</v>
      </c>
      <c r="H97" s="76">
        <v>564.34178399999996</v>
      </c>
      <c r="I97" s="75" t="s">
        <v>74</v>
      </c>
      <c r="J97" s="179">
        <v>48000</v>
      </c>
      <c r="K97" s="179"/>
      <c r="L97" s="46">
        <f t="shared" ref="L97:L98" si="17">J97*H97</f>
        <v>27088405.631999999</v>
      </c>
    </row>
    <row r="98" spans="2:12" x14ac:dyDescent="0.35">
      <c r="B98" s="71"/>
      <c r="C98" s="72"/>
      <c r="D98" s="73"/>
      <c r="E98" s="74"/>
      <c r="F98" s="74" t="s">
        <v>88</v>
      </c>
      <c r="G98" s="75" t="s">
        <v>165</v>
      </c>
      <c r="H98" s="76">
        <v>456.28445999999997</v>
      </c>
      <c r="I98" s="75" t="s">
        <v>74</v>
      </c>
      <c r="J98" s="179">
        <v>48000</v>
      </c>
      <c r="K98" s="179"/>
      <c r="L98" s="46">
        <f t="shared" si="17"/>
        <v>21901654.079999998</v>
      </c>
    </row>
    <row r="99" spans="2:12" x14ac:dyDescent="0.35">
      <c r="B99" s="71"/>
      <c r="C99" s="72"/>
      <c r="D99" s="73" t="s">
        <v>61</v>
      </c>
      <c r="E99" s="74"/>
      <c r="F99" s="74" t="s">
        <v>166</v>
      </c>
      <c r="G99" s="75"/>
      <c r="H99" s="76"/>
      <c r="I99" s="75"/>
      <c r="J99" s="50"/>
      <c r="K99" s="29"/>
      <c r="L99" s="52"/>
    </row>
    <row r="100" spans="2:12" x14ac:dyDescent="0.35">
      <c r="B100" s="71"/>
      <c r="C100" s="72"/>
      <c r="D100" s="73"/>
      <c r="E100" s="74"/>
      <c r="F100" s="74" t="s">
        <v>88</v>
      </c>
      <c r="G100" s="75" t="s">
        <v>167</v>
      </c>
      <c r="H100" s="76">
        <v>345.33719999999994</v>
      </c>
      <c r="I100" s="75" t="s">
        <v>74</v>
      </c>
      <c r="J100" s="179">
        <v>48000</v>
      </c>
      <c r="K100" s="179"/>
      <c r="L100" s="46">
        <f t="shared" ref="L100:L101" si="18">J100*H100</f>
        <v>16576185.599999998</v>
      </c>
    </row>
    <row r="101" spans="2:12" x14ac:dyDescent="0.35">
      <c r="B101" s="71"/>
      <c r="C101" s="72"/>
      <c r="D101" s="73"/>
      <c r="E101" s="74"/>
      <c r="F101" s="74" t="s">
        <v>88</v>
      </c>
      <c r="G101" s="75" t="s">
        <v>168</v>
      </c>
      <c r="H101" s="76">
        <v>114.73931399999999</v>
      </c>
      <c r="I101" s="75" t="s">
        <v>74</v>
      </c>
      <c r="J101" s="179">
        <v>48000</v>
      </c>
      <c r="K101" s="179"/>
      <c r="L101" s="46">
        <f t="shared" si="18"/>
        <v>5507487.0719999997</v>
      </c>
    </row>
    <row r="102" spans="2:12" x14ac:dyDescent="0.35">
      <c r="B102" s="71"/>
      <c r="C102" s="72" t="s">
        <v>91</v>
      </c>
      <c r="D102" s="73"/>
      <c r="E102" s="74"/>
      <c r="F102" s="74" t="s">
        <v>92</v>
      </c>
      <c r="G102" s="75"/>
      <c r="H102" s="76"/>
      <c r="I102" s="75"/>
      <c r="J102" s="50"/>
      <c r="K102" s="29"/>
      <c r="L102" s="52"/>
    </row>
    <row r="103" spans="2:12" x14ac:dyDescent="0.35">
      <c r="B103" s="71"/>
      <c r="C103" s="72"/>
      <c r="D103" s="73" t="s">
        <v>39</v>
      </c>
      <c r="E103" s="74"/>
      <c r="F103" s="74" t="s">
        <v>169</v>
      </c>
      <c r="G103" s="75"/>
      <c r="H103" s="76"/>
      <c r="I103" s="75"/>
      <c r="J103" s="50"/>
      <c r="K103" s="29"/>
      <c r="L103" s="52"/>
    </row>
    <row r="104" spans="2:12" x14ac:dyDescent="0.35">
      <c r="B104" s="71"/>
      <c r="C104" s="72"/>
      <c r="D104" s="73"/>
      <c r="E104" s="74"/>
      <c r="F104" s="74" t="s">
        <v>88</v>
      </c>
      <c r="G104" s="75" t="s">
        <v>170</v>
      </c>
      <c r="H104" s="76">
        <v>471.32027999999991</v>
      </c>
      <c r="I104" s="75" t="s">
        <v>74</v>
      </c>
      <c r="J104" s="179">
        <v>48000</v>
      </c>
      <c r="K104" s="179"/>
      <c r="L104" s="46">
        <f t="shared" ref="L104" si="19">J104*H104</f>
        <v>22623373.439999998</v>
      </c>
    </row>
    <row r="105" spans="2:12" x14ac:dyDescent="0.35">
      <c r="B105" s="71"/>
      <c r="C105" s="72"/>
      <c r="D105" s="73" t="s">
        <v>42</v>
      </c>
      <c r="E105" s="74"/>
      <c r="F105" s="74" t="s">
        <v>171</v>
      </c>
      <c r="G105" s="75"/>
      <c r="H105" s="76"/>
      <c r="I105" s="75"/>
      <c r="J105" s="50"/>
      <c r="K105" s="29"/>
      <c r="L105" s="52"/>
    </row>
    <row r="106" spans="2:12" x14ac:dyDescent="0.35">
      <c r="B106" s="71"/>
      <c r="C106" s="72"/>
      <c r="D106" s="73"/>
      <c r="E106" s="74"/>
      <c r="F106" s="74" t="s">
        <v>88</v>
      </c>
      <c r="G106" s="75" t="s">
        <v>172</v>
      </c>
      <c r="H106" s="76">
        <v>535.27265999999986</v>
      </c>
      <c r="I106" s="75" t="s">
        <v>74</v>
      </c>
      <c r="J106" s="179">
        <v>48000</v>
      </c>
      <c r="K106" s="179"/>
      <c r="L106" s="46">
        <f t="shared" ref="L106" si="20">J106*H106</f>
        <v>25693087.679999992</v>
      </c>
    </row>
    <row r="107" spans="2:12" x14ac:dyDescent="0.35">
      <c r="B107" s="71"/>
      <c r="C107" s="72"/>
      <c r="D107" s="73" t="s">
        <v>44</v>
      </c>
      <c r="E107" s="74"/>
      <c r="F107" s="74" t="s">
        <v>173</v>
      </c>
      <c r="G107" s="75"/>
      <c r="H107" s="76"/>
      <c r="I107" s="75"/>
      <c r="J107" s="50"/>
      <c r="K107" s="29"/>
      <c r="L107" s="52"/>
    </row>
    <row r="108" spans="2:12" x14ac:dyDescent="0.35">
      <c r="B108" s="71"/>
      <c r="C108" s="72"/>
      <c r="D108" s="73"/>
      <c r="E108" s="74"/>
      <c r="F108" s="74" t="s">
        <v>88</v>
      </c>
      <c r="G108" s="75" t="s">
        <v>174</v>
      </c>
      <c r="H108" s="76">
        <v>536.14871999999991</v>
      </c>
      <c r="I108" s="75" t="s">
        <v>74</v>
      </c>
      <c r="J108" s="179">
        <v>48000</v>
      </c>
      <c r="K108" s="179"/>
      <c r="L108" s="46">
        <f t="shared" ref="L108" si="21">J108*H108</f>
        <v>25735138.559999995</v>
      </c>
    </row>
    <row r="109" spans="2:12" x14ac:dyDescent="0.35">
      <c r="B109" s="71"/>
      <c r="C109" s="72"/>
      <c r="D109" s="73" t="s">
        <v>46</v>
      </c>
      <c r="E109" s="74"/>
      <c r="F109" s="74" t="s">
        <v>160</v>
      </c>
      <c r="G109" s="75"/>
      <c r="H109" s="76"/>
      <c r="I109" s="75"/>
      <c r="J109" s="50"/>
      <c r="K109" s="29"/>
      <c r="L109" s="52"/>
    </row>
    <row r="110" spans="2:12" x14ac:dyDescent="0.35">
      <c r="B110" s="71"/>
      <c r="C110" s="72"/>
      <c r="D110" s="73"/>
      <c r="E110" s="74"/>
      <c r="F110" s="74" t="s">
        <v>88</v>
      </c>
      <c r="G110" s="75" t="s">
        <v>174</v>
      </c>
      <c r="H110" s="76">
        <v>536.14871999999991</v>
      </c>
      <c r="I110" s="75" t="s">
        <v>74</v>
      </c>
      <c r="J110" s="179">
        <v>48000</v>
      </c>
      <c r="K110" s="179"/>
      <c r="L110" s="46">
        <f t="shared" ref="L110" si="22">J110*H110</f>
        <v>25735138.559999995</v>
      </c>
    </row>
    <row r="111" spans="2:12" x14ac:dyDescent="0.35">
      <c r="B111" s="71"/>
      <c r="C111" s="72"/>
      <c r="D111" s="73" t="s">
        <v>48</v>
      </c>
      <c r="E111" s="74"/>
      <c r="F111" s="74" t="s">
        <v>175</v>
      </c>
      <c r="G111" s="75"/>
      <c r="H111" s="76"/>
      <c r="I111" s="75"/>
      <c r="J111" s="50"/>
      <c r="K111" s="29"/>
      <c r="L111" s="52"/>
    </row>
    <row r="112" spans="2:12" x14ac:dyDescent="0.35">
      <c r="B112" s="71"/>
      <c r="C112" s="72"/>
      <c r="D112" s="73"/>
      <c r="E112" s="74"/>
      <c r="F112" s="74" t="s">
        <v>88</v>
      </c>
      <c r="G112" s="75" t="s">
        <v>176</v>
      </c>
      <c r="H112" s="76">
        <v>182.37119999999999</v>
      </c>
      <c r="I112" s="75" t="s">
        <v>74</v>
      </c>
      <c r="J112" s="179">
        <v>48000</v>
      </c>
      <c r="K112" s="179"/>
      <c r="L112" s="46">
        <f t="shared" ref="L112:L113" si="23">J112*H112</f>
        <v>8753817.5999999996</v>
      </c>
    </row>
    <row r="113" spans="2:12" x14ac:dyDescent="0.35">
      <c r="B113" s="71"/>
      <c r="C113" s="72"/>
      <c r="D113" s="73"/>
      <c r="E113" s="74"/>
      <c r="F113" s="74" t="s">
        <v>88</v>
      </c>
      <c r="G113" s="75" t="s">
        <v>177</v>
      </c>
      <c r="H113" s="76">
        <v>57.198239999999998</v>
      </c>
      <c r="I113" s="75" t="s">
        <v>74</v>
      </c>
      <c r="J113" s="179">
        <v>48000</v>
      </c>
      <c r="K113" s="179"/>
      <c r="L113" s="46">
        <f t="shared" si="23"/>
        <v>2745515.52</v>
      </c>
    </row>
    <row r="114" spans="2:12" x14ac:dyDescent="0.35">
      <c r="B114" s="71"/>
      <c r="C114" s="72"/>
      <c r="D114" s="73" t="s">
        <v>49</v>
      </c>
      <c r="E114" s="74"/>
      <c r="F114" s="74" t="s">
        <v>178</v>
      </c>
      <c r="G114" s="75"/>
      <c r="H114" s="76"/>
      <c r="I114" s="75"/>
      <c r="J114" s="50"/>
      <c r="K114" s="29"/>
      <c r="L114" s="52"/>
    </row>
    <row r="115" spans="2:12" x14ac:dyDescent="0.35">
      <c r="B115" s="71"/>
      <c r="C115" s="72"/>
      <c r="D115" s="73"/>
      <c r="E115" s="74"/>
      <c r="F115" s="74" t="s">
        <v>88</v>
      </c>
      <c r="G115" s="75" t="s">
        <v>179</v>
      </c>
      <c r="H115" s="76">
        <v>242.58383999999995</v>
      </c>
      <c r="I115" s="75" t="s">
        <v>74</v>
      </c>
      <c r="J115" s="179">
        <v>48000</v>
      </c>
      <c r="K115" s="179"/>
      <c r="L115" s="46">
        <f t="shared" ref="L115:L117" si="24">J115*H115</f>
        <v>11644024.319999998</v>
      </c>
    </row>
    <row r="116" spans="2:12" x14ac:dyDescent="0.35">
      <c r="B116" s="71"/>
      <c r="C116" s="72"/>
      <c r="D116" s="73"/>
      <c r="E116" s="74"/>
      <c r="F116" s="74" t="s">
        <v>88</v>
      </c>
      <c r="G116" s="75" t="s">
        <v>180</v>
      </c>
      <c r="H116" s="76">
        <v>884.9147999999999</v>
      </c>
      <c r="I116" s="75" t="s">
        <v>74</v>
      </c>
      <c r="J116" s="179">
        <v>48000</v>
      </c>
      <c r="K116" s="179"/>
      <c r="L116" s="46">
        <f t="shared" si="24"/>
        <v>42475910.399999999</v>
      </c>
    </row>
    <row r="117" spans="2:12" x14ac:dyDescent="0.35">
      <c r="B117" s="71"/>
      <c r="C117" s="72"/>
      <c r="D117" s="73"/>
      <c r="E117" s="74"/>
      <c r="F117" s="74" t="s">
        <v>88</v>
      </c>
      <c r="G117" s="75" t="s">
        <v>181</v>
      </c>
      <c r="H117" s="76">
        <v>1011.3311999999999</v>
      </c>
      <c r="I117" s="75" t="s">
        <v>74</v>
      </c>
      <c r="J117" s="179">
        <v>48000</v>
      </c>
      <c r="K117" s="179"/>
      <c r="L117" s="46">
        <f t="shared" si="24"/>
        <v>48543897.599999994</v>
      </c>
    </row>
    <row r="118" spans="2:12" x14ac:dyDescent="0.35">
      <c r="B118" s="71"/>
      <c r="C118" s="72"/>
      <c r="D118" s="73" t="s">
        <v>51</v>
      </c>
      <c r="E118" s="74"/>
      <c r="F118" s="74" t="s">
        <v>182</v>
      </c>
      <c r="G118" s="75"/>
      <c r="H118" s="76"/>
      <c r="I118" s="75"/>
      <c r="J118" s="50"/>
      <c r="K118" s="29"/>
      <c r="L118" s="52"/>
    </row>
    <row r="119" spans="2:12" x14ac:dyDescent="0.35">
      <c r="B119" s="71"/>
      <c r="C119" s="72"/>
      <c r="D119" s="73"/>
      <c r="E119" s="74"/>
      <c r="F119" s="74" t="s">
        <v>88</v>
      </c>
      <c r="G119" s="75" t="s">
        <v>183</v>
      </c>
      <c r="H119" s="76">
        <v>425.21879999999993</v>
      </c>
      <c r="I119" s="75" t="s">
        <v>74</v>
      </c>
      <c r="J119" s="179">
        <v>48000</v>
      </c>
      <c r="K119" s="179"/>
      <c r="L119" s="46">
        <f t="shared" ref="L119:L121" si="25">J119*H119</f>
        <v>20410502.399999999</v>
      </c>
    </row>
    <row r="120" spans="2:12" x14ac:dyDescent="0.35">
      <c r="B120" s="71"/>
      <c r="C120" s="72"/>
      <c r="D120" s="73"/>
      <c r="E120" s="74"/>
      <c r="F120" s="74" t="s">
        <v>88</v>
      </c>
      <c r="G120" s="75" t="s">
        <v>180</v>
      </c>
      <c r="H120" s="76">
        <v>884.9147999999999</v>
      </c>
      <c r="I120" s="75" t="s">
        <v>74</v>
      </c>
      <c r="J120" s="179">
        <v>48000</v>
      </c>
      <c r="K120" s="179"/>
      <c r="L120" s="46">
        <f t="shared" si="25"/>
        <v>42475910.399999999</v>
      </c>
    </row>
    <row r="121" spans="2:12" x14ac:dyDescent="0.35">
      <c r="B121" s="71"/>
      <c r="C121" s="72"/>
      <c r="D121" s="73"/>
      <c r="E121" s="74"/>
      <c r="F121" s="74" t="s">
        <v>88</v>
      </c>
      <c r="G121" s="75" t="s">
        <v>181</v>
      </c>
      <c r="H121" s="76">
        <v>1011.3311999999999</v>
      </c>
      <c r="I121" s="75" t="s">
        <v>74</v>
      </c>
      <c r="J121" s="179">
        <v>48000</v>
      </c>
      <c r="K121" s="179"/>
      <c r="L121" s="46">
        <f t="shared" si="25"/>
        <v>48543897.599999994</v>
      </c>
    </row>
    <row r="122" spans="2:12" x14ac:dyDescent="0.35">
      <c r="B122" s="71"/>
      <c r="C122" s="72"/>
      <c r="D122" s="73" t="s">
        <v>61</v>
      </c>
      <c r="E122" s="74"/>
      <c r="F122" s="74" t="s">
        <v>184</v>
      </c>
      <c r="G122" s="75"/>
      <c r="H122" s="76"/>
      <c r="I122" s="75"/>
      <c r="J122" s="50"/>
      <c r="K122" s="29"/>
      <c r="L122" s="52"/>
    </row>
    <row r="123" spans="2:12" x14ac:dyDescent="0.35">
      <c r="B123" s="71"/>
      <c r="C123" s="72"/>
      <c r="D123" s="73"/>
      <c r="E123" s="74"/>
      <c r="F123" s="74" t="s">
        <v>88</v>
      </c>
      <c r="G123" s="75" t="s">
        <v>185</v>
      </c>
      <c r="H123" s="76">
        <v>1037.7637199999999</v>
      </c>
      <c r="I123" s="75" t="s">
        <v>74</v>
      </c>
      <c r="J123" s="179">
        <v>48000</v>
      </c>
      <c r="K123" s="179"/>
      <c r="L123" s="46">
        <f t="shared" ref="L123" si="26">J123*H123</f>
        <v>49812658.559999995</v>
      </c>
    </row>
    <row r="124" spans="2:12" x14ac:dyDescent="0.35">
      <c r="B124" s="71"/>
      <c r="C124" s="72"/>
      <c r="D124" s="73" t="s">
        <v>62</v>
      </c>
      <c r="E124" s="74"/>
      <c r="F124" s="74" t="s">
        <v>186</v>
      </c>
      <c r="G124" s="75"/>
      <c r="H124" s="76"/>
      <c r="I124" s="75"/>
      <c r="J124" s="50"/>
      <c r="K124" s="29"/>
      <c r="L124" s="52"/>
    </row>
    <row r="125" spans="2:12" x14ac:dyDescent="0.35">
      <c r="B125" s="71"/>
      <c r="C125" s="72"/>
      <c r="D125" s="73"/>
      <c r="E125" s="74"/>
      <c r="F125" s="74" t="s">
        <v>88</v>
      </c>
      <c r="G125" s="75" t="s">
        <v>187</v>
      </c>
      <c r="H125" s="76">
        <v>87.605999999999995</v>
      </c>
      <c r="I125" s="75" t="s">
        <v>74</v>
      </c>
      <c r="J125" s="179">
        <v>48000</v>
      </c>
      <c r="K125" s="179"/>
      <c r="L125" s="46">
        <f t="shared" ref="L125:L130" si="27">J125*H125</f>
        <v>4205088</v>
      </c>
    </row>
    <row r="126" spans="2:12" x14ac:dyDescent="0.35">
      <c r="B126" s="71"/>
      <c r="C126" s="72"/>
      <c r="D126" s="73"/>
      <c r="E126" s="74"/>
      <c r="F126" s="74" t="s">
        <v>88</v>
      </c>
      <c r="G126" s="75" t="s">
        <v>188</v>
      </c>
      <c r="H126" s="76">
        <v>227.49299999999999</v>
      </c>
      <c r="I126" s="75" t="s">
        <v>74</v>
      </c>
      <c r="J126" s="179">
        <v>48000</v>
      </c>
      <c r="K126" s="179"/>
      <c r="L126" s="46">
        <f t="shared" si="27"/>
        <v>10919664</v>
      </c>
    </row>
    <row r="127" spans="2:12" x14ac:dyDescent="0.35">
      <c r="B127" s="71"/>
      <c r="C127" s="72"/>
      <c r="D127" s="73"/>
      <c r="E127" s="74"/>
      <c r="F127" s="74" t="s">
        <v>88</v>
      </c>
      <c r="G127" s="75" t="s">
        <v>189</v>
      </c>
      <c r="H127" s="76">
        <v>252.45599999999999</v>
      </c>
      <c r="I127" s="75" t="s">
        <v>74</v>
      </c>
      <c r="J127" s="179">
        <v>48000</v>
      </c>
      <c r="K127" s="179"/>
      <c r="L127" s="46">
        <f t="shared" si="27"/>
        <v>12117888</v>
      </c>
    </row>
    <row r="128" spans="2:12" x14ac:dyDescent="0.35">
      <c r="B128" s="71"/>
      <c r="C128" s="72"/>
      <c r="D128" s="73" t="s">
        <v>64</v>
      </c>
      <c r="E128" s="74"/>
      <c r="F128" s="74" t="s">
        <v>190</v>
      </c>
      <c r="G128" s="75"/>
      <c r="H128" s="76"/>
      <c r="I128" s="75"/>
      <c r="J128" s="50"/>
      <c r="K128" s="29"/>
      <c r="L128" s="52"/>
    </row>
    <row r="129" spans="2:12" x14ac:dyDescent="0.35">
      <c r="B129" s="71"/>
      <c r="C129" s="72"/>
      <c r="D129" s="73"/>
      <c r="E129" s="74"/>
      <c r="F129" s="74" t="s">
        <v>88</v>
      </c>
      <c r="G129" s="75" t="s">
        <v>191</v>
      </c>
      <c r="H129" s="78">
        <v>18</v>
      </c>
      <c r="I129" s="75" t="s">
        <v>112</v>
      </c>
      <c r="J129" s="50">
        <v>100000</v>
      </c>
      <c r="K129" s="29"/>
      <c r="L129" s="46">
        <f t="shared" si="27"/>
        <v>1800000</v>
      </c>
    </row>
    <row r="130" spans="2:12" x14ac:dyDescent="0.35">
      <c r="B130" s="71"/>
      <c r="C130" s="72"/>
      <c r="D130" s="73"/>
      <c r="E130" s="74"/>
      <c r="F130" s="74" t="s">
        <v>88</v>
      </c>
      <c r="G130" s="75" t="s">
        <v>192</v>
      </c>
      <c r="H130" s="78">
        <v>4</v>
      </c>
      <c r="I130" s="75" t="s">
        <v>112</v>
      </c>
      <c r="J130" s="50">
        <v>100000</v>
      </c>
      <c r="K130" s="29"/>
      <c r="L130" s="46">
        <f t="shared" si="27"/>
        <v>400000</v>
      </c>
    </row>
    <row r="131" spans="2:12" x14ac:dyDescent="0.35">
      <c r="B131" s="71"/>
      <c r="C131" s="72"/>
      <c r="D131" s="73" t="s">
        <v>66</v>
      </c>
      <c r="E131" s="74"/>
      <c r="F131" s="74" t="s">
        <v>193</v>
      </c>
      <c r="G131" s="75"/>
      <c r="H131" s="76"/>
      <c r="I131" s="75"/>
      <c r="J131" s="50"/>
      <c r="K131" s="29"/>
      <c r="L131" s="52"/>
    </row>
    <row r="132" spans="2:12" x14ac:dyDescent="0.35">
      <c r="B132" s="71"/>
      <c r="C132" s="72"/>
      <c r="D132" s="73"/>
      <c r="E132" s="74"/>
      <c r="F132" s="74" t="s">
        <v>88</v>
      </c>
      <c r="G132" s="75" t="s">
        <v>194</v>
      </c>
      <c r="H132" s="78">
        <v>2</v>
      </c>
      <c r="I132" s="75" t="s">
        <v>112</v>
      </c>
      <c r="J132" s="50">
        <v>100000</v>
      </c>
      <c r="K132" s="29"/>
      <c r="L132" s="46">
        <f t="shared" ref="L132" si="28">J132*H132</f>
        <v>200000</v>
      </c>
    </row>
    <row r="133" spans="2:12" x14ac:dyDescent="0.35">
      <c r="B133" s="71"/>
      <c r="C133" s="72" t="s">
        <v>93</v>
      </c>
      <c r="D133" s="73"/>
      <c r="E133" s="74"/>
      <c r="F133" s="74" t="s">
        <v>94</v>
      </c>
      <c r="G133" s="75"/>
      <c r="H133" s="76"/>
      <c r="I133" s="75"/>
      <c r="J133" s="29"/>
      <c r="K133" s="51"/>
      <c r="L133" s="46"/>
    </row>
    <row r="134" spans="2:12" x14ac:dyDescent="0.35">
      <c r="B134" s="71"/>
      <c r="C134" s="72"/>
      <c r="D134" s="73" t="s">
        <v>39</v>
      </c>
      <c r="E134" s="74"/>
      <c r="F134" s="74" t="s">
        <v>95</v>
      </c>
      <c r="G134" s="75"/>
      <c r="H134" s="76"/>
      <c r="I134" s="75"/>
      <c r="J134" s="50"/>
      <c r="K134" s="51"/>
      <c r="L134" s="46"/>
    </row>
    <row r="135" spans="2:12" x14ac:dyDescent="0.35">
      <c r="B135" s="71"/>
      <c r="C135" s="72"/>
      <c r="D135" s="73"/>
      <c r="E135" s="74"/>
      <c r="F135" s="74" t="s">
        <v>88</v>
      </c>
      <c r="G135" s="75" t="s">
        <v>195</v>
      </c>
      <c r="H135" s="76">
        <v>345.90239999999994</v>
      </c>
      <c r="I135" s="75" t="s">
        <v>74</v>
      </c>
      <c r="J135" s="179">
        <v>48000</v>
      </c>
      <c r="K135" s="179"/>
      <c r="L135" s="46">
        <f t="shared" ref="L135:L136" si="29">J135*H135</f>
        <v>16603315.199999997</v>
      </c>
    </row>
    <row r="136" spans="2:12" x14ac:dyDescent="0.35">
      <c r="B136" s="71"/>
      <c r="C136" s="72"/>
      <c r="D136" s="73"/>
      <c r="E136" s="74"/>
      <c r="F136" s="74" t="s">
        <v>88</v>
      </c>
      <c r="G136" s="75" t="s">
        <v>196</v>
      </c>
      <c r="H136" s="76">
        <v>200.17499999999998</v>
      </c>
      <c r="I136" s="75" t="s">
        <v>74</v>
      </c>
      <c r="J136" s="179">
        <v>48000</v>
      </c>
      <c r="K136" s="179"/>
      <c r="L136" s="46">
        <f t="shared" si="29"/>
        <v>9608400</v>
      </c>
    </row>
    <row r="137" spans="2:12" x14ac:dyDescent="0.35">
      <c r="B137" s="47"/>
      <c r="C137" s="48"/>
      <c r="D137" s="24"/>
      <c r="G137" s="22"/>
      <c r="I137" s="22"/>
      <c r="J137" s="50"/>
      <c r="K137" s="29"/>
      <c r="L137" s="52"/>
    </row>
    <row r="138" spans="2:12" x14ac:dyDescent="0.35">
      <c r="B138" s="47"/>
      <c r="C138" s="48"/>
      <c r="D138" s="24"/>
      <c r="G138" s="22"/>
      <c r="I138" s="22"/>
      <c r="J138" s="50"/>
      <c r="K138" s="29"/>
      <c r="L138" s="52"/>
    </row>
    <row r="139" spans="2:12" x14ac:dyDescent="0.35">
      <c r="B139" s="47"/>
      <c r="C139" s="48"/>
      <c r="D139" s="24"/>
      <c r="G139" s="22"/>
      <c r="I139" s="22"/>
      <c r="J139" s="50"/>
      <c r="K139" s="29"/>
      <c r="L139" s="52"/>
    </row>
    <row r="140" spans="2:12" x14ac:dyDescent="0.35">
      <c r="B140" s="8"/>
      <c r="C140" s="9"/>
      <c r="D140" s="10"/>
      <c r="E140" s="4"/>
      <c r="F140" s="4"/>
      <c r="G140" s="4"/>
      <c r="H140" s="1"/>
      <c r="I140" s="1"/>
      <c r="J140" s="11" t="s">
        <v>8</v>
      </c>
      <c r="K140" s="7">
        <f>SUM(K87:K139)</f>
        <v>0</v>
      </c>
      <c r="L140" s="7">
        <f>SUM(L87:L139)</f>
        <v>581304123.74399996</v>
      </c>
    </row>
    <row r="141" spans="2:12" x14ac:dyDescent="0.35">
      <c r="B141" s="8"/>
      <c r="C141" s="9"/>
      <c r="D141" s="9"/>
      <c r="E141" s="4"/>
      <c r="F141" s="4"/>
      <c r="G141" s="4"/>
      <c r="H141" s="1"/>
      <c r="I141" s="1"/>
      <c r="J141" s="11"/>
      <c r="K141" s="35" t="s">
        <v>22</v>
      </c>
      <c r="L141" s="36" t="s">
        <v>23</v>
      </c>
    </row>
    <row r="142" spans="2:12" x14ac:dyDescent="0.35">
      <c r="B142" s="3" t="s">
        <v>9</v>
      </c>
      <c r="C142" s="4"/>
      <c r="D142" s="4"/>
      <c r="E142" s="4"/>
      <c r="F142" s="4"/>
      <c r="G142" s="4"/>
      <c r="H142" s="1"/>
      <c r="I142" s="1"/>
      <c r="J142" s="12"/>
      <c r="K142" s="12"/>
      <c r="L142" s="13"/>
    </row>
    <row r="143" spans="2:12" x14ac:dyDescent="0.35">
      <c r="B143" s="37"/>
      <c r="C143" s="1"/>
      <c r="D143" s="1"/>
      <c r="E143" s="38"/>
      <c r="F143" s="38"/>
      <c r="G143" s="38"/>
      <c r="H143" s="1"/>
      <c r="I143" s="1"/>
      <c r="J143" s="1"/>
      <c r="K143" s="1"/>
      <c r="L143" s="19"/>
    </row>
    <row r="144" spans="2:12" x14ac:dyDescent="0.35">
      <c r="B144" s="28" t="s">
        <v>6</v>
      </c>
      <c r="C144" s="27"/>
      <c r="D144" s="27"/>
      <c r="E144" s="26"/>
      <c r="F144" s="26"/>
      <c r="G144" s="5"/>
      <c r="K144" s="232" t="s">
        <v>374</v>
      </c>
      <c r="L144" s="233"/>
    </row>
    <row r="145" spans="2:12" x14ac:dyDescent="0.35">
      <c r="B145" s="28">
        <v>1</v>
      </c>
      <c r="C145" s="27"/>
      <c r="D145" s="27"/>
      <c r="E145" s="26" t="s">
        <v>7</v>
      </c>
      <c r="F145" s="26"/>
      <c r="G145" s="5"/>
      <c r="K145" s="232" t="s">
        <v>28</v>
      </c>
      <c r="L145" s="233"/>
    </row>
    <row r="146" spans="2:12" x14ac:dyDescent="0.35">
      <c r="B146" s="39"/>
      <c r="C146" s="27"/>
      <c r="D146" s="27"/>
      <c r="E146" s="26"/>
      <c r="F146" s="26"/>
      <c r="G146" s="5"/>
      <c r="J146" s="25"/>
      <c r="K146" s="25"/>
      <c r="L146" s="24"/>
    </row>
    <row r="147" spans="2:12" x14ac:dyDescent="0.35">
      <c r="B147" s="28"/>
      <c r="C147" s="27"/>
      <c r="D147" s="27"/>
      <c r="E147" s="26"/>
      <c r="F147" s="26"/>
      <c r="G147" s="5"/>
      <c r="L147" s="22"/>
    </row>
    <row r="148" spans="2:12" x14ac:dyDescent="0.35">
      <c r="B148" s="45"/>
      <c r="E148" s="5"/>
      <c r="F148" s="5"/>
      <c r="G148" s="5"/>
      <c r="L148" s="22"/>
    </row>
    <row r="149" spans="2:12" x14ac:dyDescent="0.35">
      <c r="B149" s="45"/>
      <c r="E149" s="5"/>
      <c r="F149" s="5"/>
      <c r="G149" s="5"/>
      <c r="L149" s="22"/>
    </row>
    <row r="150" spans="2:12" x14ac:dyDescent="0.35">
      <c r="B150" s="45"/>
      <c r="E150" s="5"/>
      <c r="F150" s="5"/>
      <c r="G150" s="5"/>
      <c r="L150" s="22"/>
    </row>
    <row r="151" spans="2:12" x14ac:dyDescent="0.35">
      <c r="B151" s="45"/>
      <c r="E151" s="5"/>
      <c r="F151" s="5"/>
      <c r="G151" s="5"/>
      <c r="J151" s="40"/>
      <c r="K151" s="234" t="s">
        <v>36</v>
      </c>
      <c r="L151" s="235"/>
    </row>
    <row r="152" spans="2:12" x14ac:dyDescent="0.35">
      <c r="B152" s="45"/>
      <c r="K152" s="236" t="s">
        <v>37</v>
      </c>
      <c r="L152" s="237"/>
    </row>
    <row r="153" spans="2:12" x14ac:dyDescent="0.35">
      <c r="B153" s="238"/>
      <c r="C153" s="239"/>
      <c r="D153" s="239"/>
      <c r="E153" s="41"/>
      <c r="F153" s="41"/>
      <c r="G153" s="41"/>
      <c r="H153" s="2"/>
      <c r="I153" s="2"/>
      <c r="J153" s="2"/>
      <c r="K153" s="2"/>
      <c r="L153" s="21"/>
    </row>
    <row r="154" spans="2:12" x14ac:dyDescent="0.35">
      <c r="B154" s="47"/>
      <c r="C154" s="48"/>
      <c r="D154" s="49"/>
      <c r="G154" s="22"/>
      <c r="H154" s="1"/>
      <c r="I154" s="1"/>
      <c r="J154" s="43"/>
      <c r="K154" s="30"/>
      <c r="L154" s="44"/>
    </row>
    <row r="155" spans="2:12" x14ac:dyDescent="0.35">
      <c r="B155" s="71"/>
      <c r="C155" s="72" t="s">
        <v>96</v>
      </c>
      <c r="D155" s="73"/>
      <c r="E155" s="74"/>
      <c r="F155" s="74" t="s">
        <v>97</v>
      </c>
      <c r="G155" s="75"/>
      <c r="H155" s="76"/>
      <c r="I155" s="75"/>
      <c r="J155" s="50"/>
      <c r="K155" s="29"/>
      <c r="L155" s="52"/>
    </row>
    <row r="156" spans="2:12" x14ac:dyDescent="0.35">
      <c r="B156" s="71"/>
      <c r="C156" s="72"/>
      <c r="D156" s="73" t="s">
        <v>39</v>
      </c>
      <c r="E156" s="74"/>
      <c r="F156" s="74" t="s">
        <v>197</v>
      </c>
      <c r="G156" s="75"/>
      <c r="H156" s="76"/>
      <c r="I156" s="75"/>
      <c r="J156" s="50"/>
      <c r="K156" s="29"/>
      <c r="L156" s="52"/>
    </row>
    <row r="157" spans="2:12" x14ac:dyDescent="0.35">
      <c r="B157" s="71"/>
      <c r="C157" s="72"/>
      <c r="D157" s="73"/>
      <c r="E157" s="74"/>
      <c r="F157" s="74" t="s">
        <v>88</v>
      </c>
      <c r="G157" s="75" t="s">
        <v>198</v>
      </c>
      <c r="H157" s="76">
        <v>317.0018399999999</v>
      </c>
      <c r="I157" s="75" t="s">
        <v>74</v>
      </c>
      <c r="J157" s="179">
        <v>48000</v>
      </c>
      <c r="K157" s="179"/>
      <c r="L157" s="46">
        <f t="shared" ref="L157" si="30">J157*H157</f>
        <v>15216088.319999995</v>
      </c>
    </row>
    <row r="158" spans="2:12" x14ac:dyDescent="0.35">
      <c r="B158" s="71"/>
      <c r="C158" s="72"/>
      <c r="D158" s="73" t="s">
        <v>42</v>
      </c>
      <c r="E158" s="74"/>
      <c r="F158" s="74" t="s">
        <v>199</v>
      </c>
      <c r="G158" s="75"/>
      <c r="H158" s="76"/>
      <c r="I158" s="75"/>
      <c r="J158" s="50"/>
      <c r="K158" s="29"/>
      <c r="L158" s="52"/>
    </row>
    <row r="159" spans="2:12" x14ac:dyDescent="0.35">
      <c r="B159" s="71"/>
      <c r="C159" s="72"/>
      <c r="D159" s="73"/>
      <c r="E159" s="74"/>
      <c r="F159" s="74" t="s">
        <v>88</v>
      </c>
      <c r="G159" s="75" t="s">
        <v>200</v>
      </c>
      <c r="H159" s="76">
        <v>391.38215999999994</v>
      </c>
      <c r="I159" s="75" t="s">
        <v>74</v>
      </c>
      <c r="J159" s="179">
        <v>48000</v>
      </c>
      <c r="K159" s="179"/>
      <c r="L159" s="46">
        <f t="shared" ref="L159" si="31">J159*H159</f>
        <v>18786343.679999996</v>
      </c>
    </row>
    <row r="160" spans="2:12" x14ac:dyDescent="0.35">
      <c r="B160" s="71"/>
      <c r="C160" s="72" t="s">
        <v>98</v>
      </c>
      <c r="D160" s="73"/>
      <c r="E160" s="74"/>
      <c r="F160" s="74" t="s">
        <v>99</v>
      </c>
      <c r="G160" s="75"/>
      <c r="H160" s="76"/>
      <c r="I160" s="75"/>
      <c r="J160" s="50"/>
      <c r="K160" s="29"/>
      <c r="L160" s="52"/>
    </row>
    <row r="161" spans="2:12" x14ac:dyDescent="0.35">
      <c r="B161" s="71"/>
      <c r="C161" s="72"/>
      <c r="D161" s="73" t="s">
        <v>39</v>
      </c>
      <c r="E161" s="74"/>
      <c r="F161" s="74" t="s">
        <v>100</v>
      </c>
      <c r="G161" s="75"/>
      <c r="H161" s="76"/>
      <c r="I161" s="75"/>
      <c r="J161" s="50"/>
      <c r="K161" s="29"/>
      <c r="L161" s="52"/>
    </row>
    <row r="162" spans="2:12" x14ac:dyDescent="0.35">
      <c r="B162" s="71"/>
      <c r="C162" s="72"/>
      <c r="D162" s="73"/>
      <c r="E162" s="74"/>
      <c r="F162" s="74" t="s">
        <v>88</v>
      </c>
      <c r="G162" s="75" t="s">
        <v>201</v>
      </c>
      <c r="H162" s="76">
        <v>19.782</v>
      </c>
      <c r="I162" s="75" t="s">
        <v>74</v>
      </c>
      <c r="J162" s="179">
        <v>48000</v>
      </c>
      <c r="K162" s="180"/>
      <c r="L162" s="46">
        <f t="shared" ref="L162:L168" si="32">J162*H162</f>
        <v>949536</v>
      </c>
    </row>
    <row r="163" spans="2:12" x14ac:dyDescent="0.35">
      <c r="B163" s="71"/>
      <c r="C163" s="72"/>
      <c r="D163" s="73"/>
      <c r="E163" s="74"/>
      <c r="F163" s="74" t="s">
        <v>88</v>
      </c>
      <c r="G163" s="75" t="s">
        <v>202</v>
      </c>
      <c r="H163" s="76">
        <v>3.2970000000000002</v>
      </c>
      <c r="I163" s="75" t="s">
        <v>74</v>
      </c>
      <c r="J163" s="179">
        <v>48000</v>
      </c>
      <c r="K163" s="180"/>
      <c r="L163" s="46">
        <f t="shared" si="32"/>
        <v>158256</v>
      </c>
    </row>
    <row r="164" spans="2:12" x14ac:dyDescent="0.35">
      <c r="B164" s="71"/>
      <c r="C164" s="72"/>
      <c r="D164" s="73"/>
      <c r="E164" s="74"/>
      <c r="F164" s="74" t="s">
        <v>88</v>
      </c>
      <c r="G164" s="75" t="s">
        <v>203</v>
      </c>
      <c r="H164" s="76">
        <v>19.782</v>
      </c>
      <c r="I164" s="75" t="s">
        <v>74</v>
      </c>
      <c r="J164" s="179">
        <v>48000</v>
      </c>
      <c r="K164" s="180"/>
      <c r="L164" s="46">
        <f t="shared" si="32"/>
        <v>949536</v>
      </c>
    </row>
    <row r="165" spans="2:12" x14ac:dyDescent="0.35">
      <c r="B165" s="71"/>
      <c r="C165" s="72"/>
      <c r="D165" s="73"/>
      <c r="E165" s="74"/>
      <c r="F165" s="74" t="s">
        <v>88</v>
      </c>
      <c r="G165" s="75" t="s">
        <v>204</v>
      </c>
      <c r="H165" s="76">
        <v>3.2970000000000002</v>
      </c>
      <c r="I165" s="75" t="s">
        <v>74</v>
      </c>
      <c r="J165" s="179">
        <v>48000</v>
      </c>
      <c r="K165" s="180"/>
      <c r="L165" s="46">
        <f t="shared" si="32"/>
        <v>158256</v>
      </c>
    </row>
    <row r="166" spans="2:12" x14ac:dyDescent="0.35">
      <c r="B166" s="71"/>
      <c r="C166" s="72"/>
      <c r="D166" s="73"/>
      <c r="E166" s="74"/>
      <c r="F166" s="74" t="s">
        <v>88</v>
      </c>
      <c r="G166" s="75" t="s">
        <v>205</v>
      </c>
      <c r="H166" s="76">
        <v>19.782</v>
      </c>
      <c r="I166" s="75" t="s">
        <v>74</v>
      </c>
      <c r="J166" s="179">
        <v>48000</v>
      </c>
      <c r="K166" s="180"/>
      <c r="L166" s="46">
        <f t="shared" si="32"/>
        <v>949536</v>
      </c>
    </row>
    <row r="167" spans="2:12" x14ac:dyDescent="0.35">
      <c r="B167" s="71"/>
      <c r="C167" s="72"/>
      <c r="D167" s="73"/>
      <c r="E167" s="74"/>
      <c r="F167" s="74" t="s">
        <v>88</v>
      </c>
      <c r="G167" s="75" t="s">
        <v>206</v>
      </c>
      <c r="H167" s="76">
        <v>3.2970000000000002</v>
      </c>
      <c r="I167" s="75" t="s">
        <v>74</v>
      </c>
      <c r="J167" s="179">
        <v>48000</v>
      </c>
      <c r="K167" s="180"/>
      <c r="L167" s="46">
        <f t="shared" si="32"/>
        <v>158256</v>
      </c>
    </row>
    <row r="168" spans="2:12" x14ac:dyDescent="0.35">
      <c r="B168" s="71"/>
      <c r="C168" s="72"/>
      <c r="D168" s="73"/>
      <c r="E168" s="74"/>
      <c r="F168" s="74" t="s">
        <v>88</v>
      </c>
      <c r="G168" s="75" t="s">
        <v>207</v>
      </c>
      <c r="H168" s="76">
        <v>12.264839999999998</v>
      </c>
      <c r="I168" s="75" t="s">
        <v>74</v>
      </c>
      <c r="J168" s="179">
        <v>48000</v>
      </c>
      <c r="K168" s="180"/>
      <c r="L168" s="46">
        <f t="shared" si="32"/>
        <v>588712.31999999995</v>
      </c>
    </row>
    <row r="169" spans="2:12" x14ac:dyDescent="0.35">
      <c r="B169" s="71"/>
      <c r="C169" s="72" t="s">
        <v>101</v>
      </c>
      <c r="D169" s="73"/>
      <c r="E169" s="74"/>
      <c r="F169" s="74" t="s">
        <v>102</v>
      </c>
      <c r="G169" s="75"/>
      <c r="H169" s="76"/>
      <c r="I169" s="75"/>
      <c r="J169" s="50"/>
      <c r="K169" s="29"/>
      <c r="L169" s="52"/>
    </row>
    <row r="170" spans="2:12" x14ac:dyDescent="0.35">
      <c r="B170" s="71"/>
      <c r="C170" s="72"/>
      <c r="D170" s="73" t="s">
        <v>39</v>
      </c>
      <c r="E170" s="74"/>
      <c r="F170" s="74" t="s">
        <v>103</v>
      </c>
      <c r="G170" s="75"/>
      <c r="H170" s="78"/>
      <c r="I170" s="75"/>
      <c r="J170" s="50"/>
      <c r="K170" s="29"/>
      <c r="L170" s="52"/>
    </row>
    <row r="171" spans="2:12" x14ac:dyDescent="0.35">
      <c r="B171" s="71"/>
      <c r="C171" s="72"/>
      <c r="D171" s="73"/>
      <c r="E171" s="74"/>
      <c r="F171" s="74" t="s">
        <v>88</v>
      </c>
      <c r="G171" s="75" t="s">
        <v>208</v>
      </c>
      <c r="H171" s="76">
        <v>310.13779999999997</v>
      </c>
      <c r="I171" s="75" t="s">
        <v>74</v>
      </c>
      <c r="J171" s="179">
        <v>48000</v>
      </c>
      <c r="K171" s="179"/>
      <c r="L171" s="46">
        <f t="shared" ref="L171:L204" si="33">J171*H171</f>
        <v>14886614.399999999</v>
      </c>
    </row>
    <row r="172" spans="2:12" x14ac:dyDescent="0.35">
      <c r="B172" s="71"/>
      <c r="C172" s="72"/>
      <c r="D172" s="73"/>
      <c r="E172" s="74"/>
      <c r="F172" s="74" t="s">
        <v>88</v>
      </c>
      <c r="G172" s="75" t="s">
        <v>209</v>
      </c>
      <c r="H172" s="76">
        <v>35.324999999999996</v>
      </c>
      <c r="I172" s="75" t="s">
        <v>74</v>
      </c>
      <c r="J172" s="179">
        <v>48000</v>
      </c>
      <c r="K172" s="179"/>
      <c r="L172" s="46">
        <f t="shared" si="33"/>
        <v>1695599.9999999998</v>
      </c>
    </row>
    <row r="173" spans="2:12" x14ac:dyDescent="0.35">
      <c r="B173" s="71"/>
      <c r="C173" s="72"/>
      <c r="D173" s="73"/>
      <c r="E173" s="74"/>
      <c r="F173" s="74" t="s">
        <v>88</v>
      </c>
      <c r="G173" s="75" t="s">
        <v>210</v>
      </c>
      <c r="H173" s="76">
        <v>15.542999999999999</v>
      </c>
      <c r="I173" s="75" t="s">
        <v>74</v>
      </c>
      <c r="J173" s="179">
        <v>48000</v>
      </c>
      <c r="K173" s="179"/>
      <c r="L173" s="46">
        <f t="shared" si="33"/>
        <v>746064</v>
      </c>
    </row>
    <row r="174" spans="2:12" x14ac:dyDescent="0.35">
      <c r="B174" s="71"/>
      <c r="C174" s="72"/>
      <c r="D174" s="73"/>
      <c r="E174" s="74"/>
      <c r="F174" s="74" t="s">
        <v>88</v>
      </c>
      <c r="G174" s="75" t="s">
        <v>211</v>
      </c>
      <c r="H174" s="76">
        <v>14.13</v>
      </c>
      <c r="I174" s="75" t="s">
        <v>74</v>
      </c>
      <c r="J174" s="179">
        <v>48000</v>
      </c>
      <c r="K174" s="179"/>
      <c r="L174" s="46">
        <f t="shared" si="33"/>
        <v>678240</v>
      </c>
    </row>
    <row r="175" spans="2:12" x14ac:dyDescent="0.35">
      <c r="B175" s="71"/>
      <c r="C175" s="72"/>
      <c r="D175" s="73"/>
      <c r="E175" s="74"/>
      <c r="F175" s="74" t="s">
        <v>88</v>
      </c>
      <c r="G175" s="75" t="s">
        <v>212</v>
      </c>
      <c r="H175" s="76">
        <v>2.32674</v>
      </c>
      <c r="I175" s="75" t="s">
        <v>74</v>
      </c>
      <c r="J175" s="179">
        <v>48000</v>
      </c>
      <c r="K175" s="179"/>
      <c r="L175" s="46">
        <f t="shared" si="33"/>
        <v>111683.52</v>
      </c>
    </row>
    <row r="176" spans="2:12" x14ac:dyDescent="0.35">
      <c r="B176" s="71"/>
      <c r="C176" s="72"/>
      <c r="D176" s="73"/>
      <c r="E176" s="74"/>
      <c r="F176" s="74" t="s">
        <v>88</v>
      </c>
      <c r="G176" s="75" t="s">
        <v>213</v>
      </c>
      <c r="H176" s="76">
        <v>1.3564799999999997</v>
      </c>
      <c r="I176" s="75" t="s">
        <v>74</v>
      </c>
      <c r="J176" s="179">
        <v>48000</v>
      </c>
      <c r="K176" s="179"/>
      <c r="L176" s="46">
        <f t="shared" si="33"/>
        <v>65111.039999999986</v>
      </c>
    </row>
    <row r="177" spans="2:12" x14ac:dyDescent="0.35">
      <c r="B177" s="71"/>
      <c r="C177" s="72"/>
      <c r="D177" s="73"/>
      <c r="E177" s="74"/>
      <c r="F177" s="74" t="s">
        <v>88</v>
      </c>
      <c r="G177" s="75" t="s">
        <v>214</v>
      </c>
      <c r="H177" s="76">
        <v>67.371840000000006</v>
      </c>
      <c r="I177" s="75" t="s">
        <v>74</v>
      </c>
      <c r="J177" s="179">
        <v>48000</v>
      </c>
      <c r="K177" s="179"/>
      <c r="L177" s="46">
        <f t="shared" si="33"/>
        <v>3233848.3200000003</v>
      </c>
    </row>
    <row r="178" spans="2:12" x14ac:dyDescent="0.35">
      <c r="B178" s="71"/>
      <c r="C178" s="72"/>
      <c r="D178" s="73"/>
      <c r="E178" s="74"/>
      <c r="F178" s="74" t="s">
        <v>88</v>
      </c>
      <c r="G178" s="75" t="s">
        <v>215</v>
      </c>
      <c r="H178" s="76">
        <v>108.97055999999999</v>
      </c>
      <c r="I178" s="75" t="s">
        <v>74</v>
      </c>
      <c r="J178" s="179">
        <v>48000</v>
      </c>
      <c r="K178" s="179"/>
      <c r="L178" s="46">
        <f t="shared" si="33"/>
        <v>5230586.88</v>
      </c>
    </row>
    <row r="179" spans="2:12" x14ac:dyDescent="0.35">
      <c r="B179" s="71"/>
      <c r="C179" s="72"/>
      <c r="D179" s="73"/>
      <c r="E179" s="74"/>
      <c r="F179" s="74" t="s">
        <v>88</v>
      </c>
      <c r="G179" s="75" t="s">
        <v>216</v>
      </c>
      <c r="H179" s="76">
        <v>138.58704</v>
      </c>
      <c r="I179" s="75" t="s">
        <v>74</v>
      </c>
      <c r="J179" s="179">
        <v>48000</v>
      </c>
      <c r="K179" s="179"/>
      <c r="L179" s="46">
        <f t="shared" si="33"/>
        <v>6652177.9199999999</v>
      </c>
    </row>
    <row r="180" spans="2:12" x14ac:dyDescent="0.35">
      <c r="B180" s="71"/>
      <c r="C180" s="72"/>
      <c r="D180" s="73"/>
      <c r="E180" s="74"/>
      <c r="F180" s="74" t="s">
        <v>88</v>
      </c>
      <c r="G180" s="75" t="s">
        <v>217</v>
      </c>
      <c r="H180" s="76">
        <v>166.1688</v>
      </c>
      <c r="I180" s="75" t="s">
        <v>74</v>
      </c>
      <c r="J180" s="179">
        <v>48000</v>
      </c>
      <c r="K180" s="179"/>
      <c r="L180" s="46">
        <f t="shared" si="33"/>
        <v>7976102.4000000004</v>
      </c>
    </row>
    <row r="181" spans="2:12" x14ac:dyDescent="0.35">
      <c r="B181" s="71"/>
      <c r="C181" s="72"/>
      <c r="D181" s="73"/>
      <c r="E181" s="74"/>
      <c r="F181" s="74" t="s">
        <v>88</v>
      </c>
      <c r="G181" s="75" t="s">
        <v>218</v>
      </c>
      <c r="H181" s="76">
        <v>193.07231999999999</v>
      </c>
      <c r="I181" s="75" t="s">
        <v>74</v>
      </c>
      <c r="J181" s="179">
        <v>48000</v>
      </c>
      <c r="K181" s="179"/>
      <c r="L181" s="46">
        <f t="shared" si="33"/>
        <v>9267471.3599999994</v>
      </c>
    </row>
    <row r="182" spans="2:12" x14ac:dyDescent="0.35">
      <c r="B182" s="71"/>
      <c r="C182" s="72"/>
      <c r="D182" s="73"/>
      <c r="E182" s="74"/>
      <c r="F182" s="74" t="s">
        <v>88</v>
      </c>
      <c r="G182" s="75" t="s">
        <v>219</v>
      </c>
      <c r="H182" s="76">
        <v>222.46271999999999</v>
      </c>
      <c r="I182" s="75" t="s">
        <v>74</v>
      </c>
      <c r="J182" s="179">
        <v>48000</v>
      </c>
      <c r="K182" s="179"/>
      <c r="L182" s="46">
        <f t="shared" si="33"/>
        <v>10678210.559999999</v>
      </c>
    </row>
    <row r="183" spans="2:12" x14ac:dyDescent="0.35">
      <c r="B183" s="71"/>
      <c r="C183" s="72"/>
      <c r="D183" s="73"/>
      <c r="E183" s="74"/>
      <c r="F183" s="74" t="s">
        <v>88</v>
      </c>
      <c r="G183" s="75" t="s">
        <v>220</v>
      </c>
      <c r="H183" s="76">
        <v>9.7214399999999994</v>
      </c>
      <c r="I183" s="75" t="s">
        <v>74</v>
      </c>
      <c r="J183" s="179">
        <v>48000</v>
      </c>
      <c r="K183" s="179"/>
      <c r="L183" s="46">
        <f t="shared" si="33"/>
        <v>466629.12</v>
      </c>
    </row>
    <row r="184" spans="2:12" x14ac:dyDescent="0.35">
      <c r="B184" s="71"/>
      <c r="C184" s="72"/>
      <c r="D184" s="73"/>
      <c r="E184" s="74"/>
      <c r="F184" s="74" t="s">
        <v>88</v>
      </c>
      <c r="G184" s="75" t="s">
        <v>221</v>
      </c>
      <c r="H184" s="76">
        <v>10.39968</v>
      </c>
      <c r="I184" s="75" t="s">
        <v>74</v>
      </c>
      <c r="J184" s="179">
        <v>48000</v>
      </c>
      <c r="K184" s="179"/>
      <c r="L184" s="46">
        <f t="shared" si="33"/>
        <v>499184.64000000001</v>
      </c>
    </row>
    <row r="185" spans="2:12" x14ac:dyDescent="0.35">
      <c r="B185" s="71"/>
      <c r="C185" s="72"/>
      <c r="D185" s="73"/>
      <c r="E185" s="74"/>
      <c r="F185" s="74" t="s">
        <v>88</v>
      </c>
      <c r="G185" s="75" t="s">
        <v>222</v>
      </c>
      <c r="H185" s="76">
        <v>28.93824</v>
      </c>
      <c r="I185" s="75" t="s">
        <v>74</v>
      </c>
      <c r="J185" s="179">
        <v>48000</v>
      </c>
      <c r="K185" s="179"/>
      <c r="L185" s="46">
        <f t="shared" si="33"/>
        <v>1389035.52</v>
      </c>
    </row>
    <row r="186" spans="2:12" x14ac:dyDescent="0.35">
      <c r="B186" s="71"/>
      <c r="C186" s="72"/>
      <c r="D186" s="73"/>
      <c r="E186" s="74"/>
      <c r="F186" s="74" t="s">
        <v>88</v>
      </c>
      <c r="G186" s="75" t="s">
        <v>223</v>
      </c>
      <c r="H186" s="76">
        <v>17.408159999999999</v>
      </c>
      <c r="I186" s="75" t="s">
        <v>74</v>
      </c>
      <c r="J186" s="179">
        <v>48000</v>
      </c>
      <c r="K186" s="179"/>
      <c r="L186" s="46">
        <f t="shared" si="33"/>
        <v>835591.67999999993</v>
      </c>
    </row>
    <row r="187" spans="2:12" x14ac:dyDescent="0.35">
      <c r="B187" s="71"/>
      <c r="C187" s="72"/>
      <c r="D187" s="73"/>
      <c r="E187" s="74"/>
      <c r="F187" s="74" t="s">
        <v>88</v>
      </c>
      <c r="G187" s="75" t="s">
        <v>224</v>
      </c>
      <c r="H187" s="76">
        <v>26.677440000000001</v>
      </c>
      <c r="I187" s="75" t="s">
        <v>74</v>
      </c>
      <c r="J187" s="179">
        <v>48000</v>
      </c>
      <c r="K187" s="179"/>
      <c r="L187" s="46">
        <f t="shared" si="33"/>
        <v>1280517.1200000001</v>
      </c>
    </row>
    <row r="188" spans="2:12" x14ac:dyDescent="0.35">
      <c r="B188" s="71"/>
      <c r="C188" s="72"/>
      <c r="D188" s="73"/>
      <c r="E188" s="74"/>
      <c r="F188" s="74" t="s">
        <v>88</v>
      </c>
      <c r="G188" s="75" t="s">
        <v>225</v>
      </c>
      <c r="H188" s="76">
        <v>15.147359999999999</v>
      </c>
      <c r="I188" s="75" t="s">
        <v>74</v>
      </c>
      <c r="J188" s="179">
        <v>48000</v>
      </c>
      <c r="K188" s="179"/>
      <c r="L188" s="46">
        <f t="shared" si="33"/>
        <v>727073.27999999991</v>
      </c>
    </row>
    <row r="189" spans="2:12" x14ac:dyDescent="0.35">
      <c r="B189" s="71"/>
      <c r="C189" s="72"/>
      <c r="D189" s="73"/>
      <c r="E189" s="74"/>
      <c r="F189" s="74" t="s">
        <v>88</v>
      </c>
      <c r="G189" s="75" t="s">
        <v>226</v>
      </c>
      <c r="H189" s="76">
        <v>23.286239999999999</v>
      </c>
      <c r="I189" s="75" t="s">
        <v>74</v>
      </c>
      <c r="J189" s="179">
        <v>48000</v>
      </c>
      <c r="K189" s="179"/>
      <c r="L189" s="46">
        <f t="shared" si="33"/>
        <v>1117739.52</v>
      </c>
    </row>
    <row r="190" spans="2:12" x14ac:dyDescent="0.35">
      <c r="B190" s="71"/>
      <c r="C190" s="72"/>
      <c r="D190" s="73"/>
      <c r="E190" s="74"/>
      <c r="F190" s="74" t="s">
        <v>88</v>
      </c>
      <c r="G190" s="75" t="s">
        <v>227</v>
      </c>
      <c r="H190" s="76">
        <v>25.547039999999999</v>
      </c>
      <c r="I190" s="75" t="s">
        <v>74</v>
      </c>
      <c r="J190" s="179">
        <v>48000</v>
      </c>
      <c r="K190" s="179"/>
      <c r="L190" s="46">
        <f t="shared" si="33"/>
        <v>1226257.9199999999</v>
      </c>
    </row>
    <row r="191" spans="2:12" x14ac:dyDescent="0.35">
      <c r="B191" s="71"/>
      <c r="C191" s="72"/>
      <c r="D191" s="73"/>
      <c r="E191" s="74"/>
      <c r="F191" s="74" t="s">
        <v>88</v>
      </c>
      <c r="G191" s="75" t="s">
        <v>228</v>
      </c>
      <c r="H191" s="76">
        <v>19.895039999999998</v>
      </c>
      <c r="I191" s="75" t="s">
        <v>74</v>
      </c>
      <c r="J191" s="179">
        <v>48000</v>
      </c>
      <c r="K191" s="179"/>
      <c r="L191" s="46">
        <f t="shared" si="33"/>
        <v>954961.91999999993</v>
      </c>
    </row>
    <row r="192" spans="2:12" x14ac:dyDescent="0.35">
      <c r="B192" s="71"/>
      <c r="C192" s="72"/>
      <c r="D192" s="73"/>
      <c r="E192" s="74"/>
      <c r="F192" s="74" t="s">
        <v>88</v>
      </c>
      <c r="G192" s="75" t="s">
        <v>229</v>
      </c>
      <c r="H192" s="76">
        <v>21.477599999999999</v>
      </c>
      <c r="I192" s="75" t="s">
        <v>74</v>
      </c>
      <c r="J192" s="179">
        <v>48000</v>
      </c>
      <c r="K192" s="179"/>
      <c r="L192" s="46">
        <f t="shared" si="33"/>
        <v>1030924.7999999999</v>
      </c>
    </row>
    <row r="193" spans="2:12" x14ac:dyDescent="0.35">
      <c r="B193" s="71"/>
      <c r="C193" s="72"/>
      <c r="D193" s="73"/>
      <c r="E193" s="74"/>
      <c r="F193" s="74" t="s">
        <v>88</v>
      </c>
      <c r="G193" s="75" t="s">
        <v>223</v>
      </c>
      <c r="H193" s="76">
        <v>17.408159999999999</v>
      </c>
      <c r="I193" s="75" t="s">
        <v>74</v>
      </c>
      <c r="J193" s="179">
        <v>48000</v>
      </c>
      <c r="K193" s="179"/>
      <c r="L193" s="46">
        <f t="shared" si="33"/>
        <v>835591.67999999993</v>
      </c>
    </row>
    <row r="194" spans="2:12" x14ac:dyDescent="0.35">
      <c r="B194" s="71"/>
      <c r="C194" s="72"/>
      <c r="D194" s="73"/>
      <c r="E194" s="74"/>
      <c r="F194" s="74" t="s">
        <v>88</v>
      </c>
      <c r="G194" s="75" t="s">
        <v>230</v>
      </c>
      <c r="H194" s="76">
        <v>201.77639999999997</v>
      </c>
      <c r="I194" s="75" t="s">
        <v>74</v>
      </c>
      <c r="J194" s="179">
        <v>48000</v>
      </c>
      <c r="K194" s="179"/>
      <c r="L194" s="46">
        <f t="shared" si="33"/>
        <v>9685267.1999999993</v>
      </c>
    </row>
    <row r="195" spans="2:12" x14ac:dyDescent="0.35">
      <c r="B195" s="71"/>
      <c r="C195" s="72"/>
      <c r="D195" s="73"/>
      <c r="E195" s="74"/>
      <c r="F195" s="74" t="s">
        <v>88</v>
      </c>
      <c r="G195" s="75" t="s">
        <v>231</v>
      </c>
      <c r="H195" s="76">
        <v>196.68959999999998</v>
      </c>
      <c r="I195" s="75" t="s">
        <v>74</v>
      </c>
      <c r="J195" s="179">
        <v>48000</v>
      </c>
      <c r="K195" s="179"/>
      <c r="L195" s="46">
        <f t="shared" si="33"/>
        <v>9441100.7999999989</v>
      </c>
    </row>
    <row r="196" spans="2:12" x14ac:dyDescent="0.35">
      <c r="B196" s="71"/>
      <c r="C196" s="72"/>
      <c r="D196" s="73"/>
      <c r="E196" s="74"/>
      <c r="F196" s="74" t="s">
        <v>88</v>
      </c>
      <c r="G196" s="75" t="s">
        <v>232</v>
      </c>
      <c r="H196" s="76">
        <v>165.60359999999997</v>
      </c>
      <c r="I196" s="75" t="s">
        <v>74</v>
      </c>
      <c r="J196" s="179">
        <v>48000</v>
      </c>
      <c r="K196" s="179"/>
      <c r="L196" s="46">
        <f t="shared" si="33"/>
        <v>7948972.7999999989</v>
      </c>
    </row>
    <row r="197" spans="2:12" x14ac:dyDescent="0.35">
      <c r="B197" s="71"/>
      <c r="C197" s="72"/>
      <c r="D197" s="73"/>
      <c r="E197" s="74"/>
      <c r="F197" s="74" t="s">
        <v>88</v>
      </c>
      <c r="G197" s="75" t="s">
        <v>233</v>
      </c>
      <c r="H197" s="76">
        <v>122.64839999999998</v>
      </c>
      <c r="I197" s="75" t="s">
        <v>74</v>
      </c>
      <c r="J197" s="179">
        <v>48000</v>
      </c>
      <c r="K197" s="179"/>
      <c r="L197" s="46">
        <f t="shared" si="33"/>
        <v>5887123.1999999993</v>
      </c>
    </row>
    <row r="198" spans="2:12" x14ac:dyDescent="0.35">
      <c r="B198" s="71"/>
      <c r="C198" s="72"/>
      <c r="D198" s="73"/>
      <c r="E198" s="74"/>
      <c r="F198" s="74" t="s">
        <v>88</v>
      </c>
      <c r="G198" s="75" t="s">
        <v>234</v>
      </c>
      <c r="H198" s="76">
        <v>79.127999999999986</v>
      </c>
      <c r="I198" s="75" t="s">
        <v>74</v>
      </c>
      <c r="J198" s="179">
        <v>48000</v>
      </c>
      <c r="K198" s="179"/>
      <c r="L198" s="46">
        <f t="shared" si="33"/>
        <v>3798143.9999999995</v>
      </c>
    </row>
    <row r="199" spans="2:12" x14ac:dyDescent="0.35">
      <c r="B199" s="71"/>
      <c r="C199" s="72"/>
      <c r="D199" s="73"/>
      <c r="E199" s="74"/>
      <c r="F199" s="74" t="s">
        <v>88</v>
      </c>
      <c r="G199" s="75" t="s">
        <v>235</v>
      </c>
      <c r="H199" s="76">
        <v>170.23823999999999</v>
      </c>
      <c r="I199" s="75" t="s">
        <v>74</v>
      </c>
      <c r="J199" s="179">
        <v>48000</v>
      </c>
      <c r="K199" s="179"/>
      <c r="L199" s="46">
        <f t="shared" si="33"/>
        <v>8171435.5199999996</v>
      </c>
    </row>
    <row r="200" spans="2:12" x14ac:dyDescent="0.35">
      <c r="B200" s="71"/>
      <c r="C200" s="72"/>
      <c r="D200" s="73"/>
      <c r="E200" s="74"/>
      <c r="F200" s="74" t="s">
        <v>88</v>
      </c>
      <c r="G200" s="75" t="s">
        <v>236</v>
      </c>
      <c r="H200" s="76">
        <v>341.94599999999991</v>
      </c>
      <c r="I200" s="75" t="s">
        <v>74</v>
      </c>
      <c r="J200" s="179">
        <v>48000</v>
      </c>
      <c r="K200" s="179"/>
      <c r="L200" s="46">
        <f t="shared" si="33"/>
        <v>16413407.999999996</v>
      </c>
    </row>
    <row r="201" spans="2:12" x14ac:dyDescent="0.35">
      <c r="B201" s="71"/>
      <c r="C201" s="72"/>
      <c r="D201" s="73"/>
      <c r="E201" s="74"/>
      <c r="F201" s="74" t="s">
        <v>88</v>
      </c>
      <c r="G201" s="75" t="s">
        <v>237</v>
      </c>
      <c r="H201" s="76">
        <v>34.665599999999998</v>
      </c>
      <c r="I201" s="75" t="s">
        <v>74</v>
      </c>
      <c r="J201" s="179">
        <v>48000</v>
      </c>
      <c r="K201" s="179"/>
      <c r="L201" s="46">
        <f t="shared" si="33"/>
        <v>1663948.7999999998</v>
      </c>
    </row>
    <row r="202" spans="2:12" x14ac:dyDescent="0.35">
      <c r="B202" s="71"/>
      <c r="C202" s="72"/>
      <c r="D202" s="73"/>
      <c r="E202" s="74"/>
      <c r="F202" s="74" t="s">
        <v>88</v>
      </c>
      <c r="G202" s="75" t="s">
        <v>238</v>
      </c>
      <c r="H202" s="76">
        <v>138.47399999999999</v>
      </c>
      <c r="I202" s="75" t="s">
        <v>74</v>
      </c>
      <c r="J202" s="179">
        <v>48000</v>
      </c>
      <c r="K202" s="179"/>
      <c r="L202" s="46">
        <f t="shared" si="33"/>
        <v>6646751.9999999991</v>
      </c>
    </row>
    <row r="203" spans="2:12" x14ac:dyDescent="0.35">
      <c r="B203" s="71"/>
      <c r="C203" s="72"/>
      <c r="D203" s="73"/>
      <c r="E203" s="74"/>
      <c r="F203" s="74" t="s">
        <v>88</v>
      </c>
      <c r="G203" s="75" t="s">
        <v>239</v>
      </c>
      <c r="H203" s="76">
        <v>47.1</v>
      </c>
      <c r="I203" s="75" t="s">
        <v>74</v>
      </c>
      <c r="J203" s="179">
        <v>48000</v>
      </c>
      <c r="K203" s="179"/>
      <c r="L203" s="46">
        <f t="shared" si="33"/>
        <v>2260800</v>
      </c>
    </row>
    <row r="204" spans="2:12" x14ac:dyDescent="0.35">
      <c r="B204" s="71"/>
      <c r="C204" s="72"/>
      <c r="D204" s="73"/>
      <c r="E204" s="74"/>
      <c r="F204" s="74" t="s">
        <v>88</v>
      </c>
      <c r="G204" s="75" t="s">
        <v>240</v>
      </c>
      <c r="H204" s="76">
        <v>15.192575999999999</v>
      </c>
      <c r="I204" s="75" t="s">
        <v>74</v>
      </c>
      <c r="J204" s="179">
        <v>48000</v>
      </c>
      <c r="K204" s="179"/>
      <c r="L204" s="46">
        <f t="shared" si="33"/>
        <v>729243.64799999993</v>
      </c>
    </row>
    <row r="205" spans="2:12" x14ac:dyDescent="0.35">
      <c r="B205" s="79"/>
      <c r="C205" s="80"/>
      <c r="D205" s="81"/>
      <c r="E205" s="82"/>
      <c r="F205" s="82"/>
      <c r="G205" s="83"/>
      <c r="H205" s="84"/>
      <c r="I205" s="83"/>
      <c r="J205" s="50"/>
      <c r="K205" s="29"/>
      <c r="L205" s="52"/>
    </row>
    <row r="206" spans="2:12" x14ac:dyDescent="0.35">
      <c r="B206" s="47"/>
      <c r="C206" s="48"/>
      <c r="D206" s="24"/>
      <c r="G206" s="22"/>
      <c r="I206" s="22"/>
      <c r="J206" s="50"/>
      <c r="K206" s="29"/>
      <c r="L206" s="52"/>
    </row>
    <row r="207" spans="2:12" x14ac:dyDescent="0.35">
      <c r="B207" s="8"/>
      <c r="C207" s="9"/>
      <c r="D207" s="10"/>
      <c r="E207" s="4"/>
      <c r="F207" s="4"/>
      <c r="G207" s="4"/>
      <c r="H207" s="1"/>
      <c r="I207" s="1"/>
      <c r="J207" s="11" t="s">
        <v>8</v>
      </c>
      <c r="K207" s="7">
        <f>SUM(K154:K206)</f>
        <v>0</v>
      </c>
      <c r="L207" s="7">
        <f>SUM(L154:L206)</f>
        <v>182145933.88800004</v>
      </c>
    </row>
    <row r="208" spans="2:12" x14ac:dyDescent="0.35">
      <c r="B208" s="8"/>
      <c r="C208" s="9"/>
      <c r="D208" s="9"/>
      <c r="E208" s="4"/>
      <c r="F208" s="4"/>
      <c r="G208" s="4"/>
      <c r="H208" s="1"/>
      <c r="I208" s="1"/>
      <c r="J208" s="11"/>
      <c r="K208" s="35" t="s">
        <v>22</v>
      </c>
      <c r="L208" s="36" t="s">
        <v>23</v>
      </c>
    </row>
    <row r="209" spans="2:12" x14ac:dyDescent="0.35">
      <c r="B209" s="3" t="s">
        <v>9</v>
      </c>
      <c r="C209" s="4"/>
      <c r="D209" s="4"/>
      <c r="E209" s="4"/>
      <c r="F209" s="4"/>
      <c r="G209" s="4"/>
      <c r="H209" s="1"/>
      <c r="I209" s="1"/>
      <c r="J209" s="12"/>
      <c r="K209" s="12"/>
      <c r="L209" s="13"/>
    </row>
    <row r="210" spans="2:12" x14ac:dyDescent="0.35">
      <c r="B210" s="37"/>
      <c r="C210" s="1"/>
      <c r="D210" s="1"/>
      <c r="E210" s="38"/>
      <c r="F210" s="38"/>
      <c r="G210" s="38"/>
      <c r="H210" s="1"/>
      <c r="I210" s="1"/>
      <c r="J210" s="1"/>
      <c r="K210" s="1"/>
      <c r="L210" s="19"/>
    </row>
    <row r="211" spans="2:12" x14ac:dyDescent="0.35">
      <c r="B211" s="28" t="s">
        <v>6</v>
      </c>
      <c r="C211" s="27"/>
      <c r="D211" s="27"/>
      <c r="E211" s="26"/>
      <c r="F211" s="26"/>
      <c r="G211" s="5"/>
      <c r="K211" s="232" t="s">
        <v>374</v>
      </c>
      <c r="L211" s="233"/>
    </row>
    <row r="212" spans="2:12" x14ac:dyDescent="0.35">
      <c r="B212" s="28">
        <v>1</v>
      </c>
      <c r="C212" s="27"/>
      <c r="D212" s="27"/>
      <c r="E212" s="26" t="s">
        <v>7</v>
      </c>
      <c r="F212" s="26"/>
      <c r="G212" s="5"/>
      <c r="K212" s="232" t="s">
        <v>28</v>
      </c>
      <c r="L212" s="233"/>
    </row>
    <row r="213" spans="2:12" x14ac:dyDescent="0.35">
      <c r="B213" s="39"/>
      <c r="C213" s="27"/>
      <c r="D213" s="27"/>
      <c r="E213" s="26"/>
      <c r="F213" s="26"/>
      <c r="G213" s="5"/>
      <c r="J213" s="25"/>
      <c r="K213" s="25"/>
      <c r="L213" s="24"/>
    </row>
    <row r="214" spans="2:12" x14ac:dyDescent="0.35">
      <c r="B214" s="28"/>
      <c r="C214" s="27"/>
      <c r="D214" s="27"/>
      <c r="E214" s="26"/>
      <c r="F214" s="26"/>
      <c r="G214" s="5"/>
      <c r="L214" s="22"/>
    </row>
    <row r="215" spans="2:12" x14ac:dyDescent="0.35">
      <c r="B215" s="45"/>
      <c r="E215" s="5"/>
      <c r="F215" s="5"/>
      <c r="G215" s="5"/>
      <c r="L215" s="22"/>
    </row>
    <row r="216" spans="2:12" x14ac:dyDescent="0.35">
      <c r="B216" s="45"/>
      <c r="E216" s="5"/>
      <c r="F216" s="5"/>
      <c r="G216" s="5"/>
      <c r="L216" s="22"/>
    </row>
    <row r="217" spans="2:12" x14ac:dyDescent="0.35">
      <c r="B217" s="45"/>
      <c r="E217" s="5"/>
      <c r="F217" s="5"/>
      <c r="G217" s="5"/>
      <c r="L217" s="22"/>
    </row>
    <row r="218" spans="2:12" x14ac:dyDescent="0.35">
      <c r="B218" s="45"/>
      <c r="E218" s="5"/>
      <c r="F218" s="5"/>
      <c r="G218" s="5"/>
      <c r="J218" s="40"/>
      <c r="K218" s="234" t="s">
        <v>36</v>
      </c>
      <c r="L218" s="235"/>
    </row>
    <row r="219" spans="2:12" x14ac:dyDescent="0.35">
      <c r="B219" s="45"/>
      <c r="K219" s="236" t="s">
        <v>37</v>
      </c>
      <c r="L219" s="237"/>
    </row>
    <row r="220" spans="2:12" x14ac:dyDescent="0.35">
      <c r="B220" s="238"/>
      <c r="C220" s="239"/>
      <c r="D220" s="239"/>
      <c r="E220" s="41"/>
      <c r="F220" s="41"/>
      <c r="G220" s="41"/>
      <c r="H220" s="2"/>
      <c r="I220" s="2"/>
      <c r="J220" s="2"/>
      <c r="K220" s="2"/>
      <c r="L220" s="21"/>
    </row>
    <row r="221" spans="2:12" x14ac:dyDescent="0.35">
      <c r="B221" s="47"/>
      <c r="C221" s="48"/>
      <c r="D221" s="49"/>
      <c r="G221" s="22"/>
      <c r="H221" s="1"/>
      <c r="I221" s="1"/>
      <c r="J221" s="43"/>
      <c r="K221" s="30"/>
      <c r="L221" s="44"/>
    </row>
    <row r="222" spans="2:12" x14ac:dyDescent="0.35">
      <c r="B222" s="71"/>
      <c r="C222" s="72"/>
      <c r="D222" s="73" t="s">
        <v>42</v>
      </c>
      <c r="E222" s="74"/>
      <c r="F222" s="74" t="s">
        <v>104</v>
      </c>
      <c r="G222" s="75"/>
      <c r="H222" s="76"/>
      <c r="I222" s="75"/>
      <c r="J222" s="50"/>
      <c r="K222" s="29"/>
      <c r="L222" s="52"/>
    </row>
    <row r="223" spans="2:12" x14ac:dyDescent="0.35">
      <c r="B223" s="71"/>
      <c r="C223" s="72"/>
      <c r="D223" s="73"/>
      <c r="E223" s="74"/>
      <c r="F223" s="74" t="s">
        <v>88</v>
      </c>
      <c r="G223" s="75" t="s">
        <v>241</v>
      </c>
      <c r="H223" s="76">
        <v>66.806639999999987</v>
      </c>
      <c r="I223" s="75" t="s">
        <v>74</v>
      </c>
      <c r="J223" s="179">
        <v>48000</v>
      </c>
      <c r="K223" s="179"/>
      <c r="L223" s="46">
        <f t="shared" ref="L223:L238" si="34">J223*H223</f>
        <v>3206718.7199999993</v>
      </c>
    </row>
    <row r="224" spans="2:12" x14ac:dyDescent="0.35">
      <c r="B224" s="71"/>
      <c r="C224" s="72"/>
      <c r="D224" s="73"/>
      <c r="E224" s="74"/>
      <c r="F224" s="74" t="s">
        <v>88</v>
      </c>
      <c r="G224" s="75" t="s">
        <v>242</v>
      </c>
      <c r="H224" s="76">
        <v>170.69039999999998</v>
      </c>
      <c r="I224" s="75" t="s">
        <v>74</v>
      </c>
      <c r="J224" s="179">
        <v>48000</v>
      </c>
      <c r="K224" s="179"/>
      <c r="L224" s="46">
        <f t="shared" si="34"/>
        <v>8193139.1999999993</v>
      </c>
    </row>
    <row r="225" spans="2:12" x14ac:dyDescent="0.35">
      <c r="B225" s="71"/>
      <c r="C225" s="72"/>
      <c r="D225" s="73"/>
      <c r="E225" s="74"/>
      <c r="F225" s="74" t="s">
        <v>88</v>
      </c>
      <c r="G225" s="75" t="s">
        <v>243</v>
      </c>
      <c r="H225" s="76">
        <v>408.75263999999999</v>
      </c>
      <c r="I225" s="75" t="s">
        <v>74</v>
      </c>
      <c r="J225" s="179">
        <v>48000</v>
      </c>
      <c r="K225" s="179"/>
      <c r="L225" s="46">
        <f t="shared" si="34"/>
        <v>19620126.719999999</v>
      </c>
    </row>
    <row r="226" spans="2:12" x14ac:dyDescent="0.35">
      <c r="B226" s="71"/>
      <c r="C226" s="72"/>
      <c r="D226" s="73"/>
      <c r="E226" s="74"/>
      <c r="F226" s="74" t="s">
        <v>88</v>
      </c>
      <c r="G226" s="75" t="s">
        <v>244</v>
      </c>
      <c r="H226" s="76">
        <v>89.75376</v>
      </c>
      <c r="I226" s="75" t="s">
        <v>74</v>
      </c>
      <c r="J226" s="179">
        <v>48000</v>
      </c>
      <c r="K226" s="179"/>
      <c r="L226" s="46">
        <f t="shared" si="34"/>
        <v>4308180.4800000004</v>
      </c>
    </row>
    <row r="227" spans="2:12" x14ac:dyDescent="0.35">
      <c r="B227" s="71"/>
      <c r="C227" s="72"/>
      <c r="D227" s="73"/>
      <c r="E227" s="74"/>
      <c r="F227" s="74" t="s">
        <v>88</v>
      </c>
      <c r="G227" s="75" t="s">
        <v>245</v>
      </c>
      <c r="H227" s="76">
        <v>193.07231999999999</v>
      </c>
      <c r="I227" s="75" t="s">
        <v>74</v>
      </c>
      <c r="J227" s="179">
        <v>48000</v>
      </c>
      <c r="K227" s="179"/>
      <c r="L227" s="46">
        <f t="shared" si="34"/>
        <v>9267471.3599999994</v>
      </c>
    </row>
    <row r="228" spans="2:12" x14ac:dyDescent="0.35">
      <c r="B228" s="71"/>
      <c r="C228" s="72"/>
      <c r="D228" s="73"/>
      <c r="E228" s="74"/>
      <c r="F228" s="74" t="s">
        <v>88</v>
      </c>
      <c r="G228" s="75" t="s">
        <v>246</v>
      </c>
      <c r="H228" s="76">
        <v>157.35167999999999</v>
      </c>
      <c r="I228" s="75" t="s">
        <v>74</v>
      </c>
      <c r="J228" s="179">
        <v>48000</v>
      </c>
      <c r="K228" s="179"/>
      <c r="L228" s="46">
        <f t="shared" si="34"/>
        <v>7552880.6399999997</v>
      </c>
    </row>
    <row r="229" spans="2:12" x14ac:dyDescent="0.35">
      <c r="B229" s="71"/>
      <c r="C229" s="72"/>
      <c r="D229" s="73"/>
      <c r="E229" s="74"/>
      <c r="F229" s="74" t="s">
        <v>88</v>
      </c>
      <c r="G229" s="75" t="s">
        <v>247</v>
      </c>
      <c r="H229" s="76">
        <v>114.17039999999999</v>
      </c>
      <c r="I229" s="75" t="s">
        <v>74</v>
      </c>
      <c r="J229" s="179">
        <v>48000</v>
      </c>
      <c r="K229" s="179"/>
      <c r="L229" s="46">
        <f t="shared" si="34"/>
        <v>5480179.1999999993</v>
      </c>
    </row>
    <row r="230" spans="2:12" x14ac:dyDescent="0.35">
      <c r="B230" s="71"/>
      <c r="C230" s="72"/>
      <c r="D230" s="73"/>
      <c r="E230" s="74"/>
      <c r="F230" s="74" t="s">
        <v>88</v>
      </c>
      <c r="G230" s="75" t="s">
        <v>248</v>
      </c>
      <c r="H230" s="76">
        <v>116.43119999999999</v>
      </c>
      <c r="I230" s="75" t="s">
        <v>74</v>
      </c>
      <c r="J230" s="179">
        <v>48000</v>
      </c>
      <c r="K230" s="179"/>
      <c r="L230" s="46">
        <f t="shared" si="34"/>
        <v>5588697.5999999996</v>
      </c>
    </row>
    <row r="231" spans="2:12" x14ac:dyDescent="0.35">
      <c r="B231" s="71"/>
      <c r="C231" s="72"/>
      <c r="D231" s="73"/>
      <c r="E231" s="74"/>
      <c r="F231" s="74" t="s">
        <v>88</v>
      </c>
      <c r="G231" s="75" t="s">
        <v>249</v>
      </c>
      <c r="H231" s="76">
        <v>140.16959999999997</v>
      </c>
      <c r="I231" s="75" t="s">
        <v>74</v>
      </c>
      <c r="J231" s="179">
        <v>48000</v>
      </c>
      <c r="K231" s="179"/>
      <c r="L231" s="46">
        <f t="shared" si="34"/>
        <v>6728140.7999999989</v>
      </c>
    </row>
    <row r="232" spans="2:12" x14ac:dyDescent="0.35">
      <c r="B232" s="71"/>
      <c r="C232" s="72"/>
      <c r="D232" s="73"/>
      <c r="E232" s="74"/>
      <c r="F232" s="74" t="s">
        <v>88</v>
      </c>
      <c r="G232" s="75" t="s">
        <v>250</v>
      </c>
      <c r="H232" s="76">
        <v>203.47199999999998</v>
      </c>
      <c r="I232" s="75" t="s">
        <v>74</v>
      </c>
      <c r="J232" s="179">
        <v>48000</v>
      </c>
      <c r="K232" s="179"/>
      <c r="L232" s="46">
        <f t="shared" si="34"/>
        <v>9766655.9999999981</v>
      </c>
    </row>
    <row r="233" spans="2:12" x14ac:dyDescent="0.35">
      <c r="B233" s="71"/>
      <c r="C233" s="72"/>
      <c r="D233" s="73"/>
      <c r="E233" s="74"/>
      <c r="F233" s="74" t="s">
        <v>88</v>
      </c>
      <c r="G233" s="75" t="s">
        <v>251</v>
      </c>
      <c r="H233" s="76">
        <v>146.01</v>
      </c>
      <c r="I233" s="75" t="s">
        <v>74</v>
      </c>
      <c r="J233" s="179">
        <v>48000</v>
      </c>
      <c r="K233" s="179"/>
      <c r="L233" s="46">
        <f t="shared" si="34"/>
        <v>7008480</v>
      </c>
    </row>
    <row r="234" spans="2:12" x14ac:dyDescent="0.35">
      <c r="B234" s="71"/>
      <c r="C234" s="72"/>
      <c r="D234" s="73"/>
      <c r="E234" s="74"/>
      <c r="F234" s="74" t="s">
        <v>88</v>
      </c>
      <c r="G234" s="75" t="s">
        <v>252</v>
      </c>
      <c r="H234" s="76">
        <v>28.259999999999998</v>
      </c>
      <c r="I234" s="75" t="s">
        <v>74</v>
      </c>
      <c r="J234" s="179">
        <v>48000</v>
      </c>
      <c r="K234" s="179"/>
      <c r="L234" s="46">
        <f t="shared" si="34"/>
        <v>1356480</v>
      </c>
    </row>
    <row r="235" spans="2:12" x14ac:dyDescent="0.35">
      <c r="B235" s="71"/>
      <c r="C235" s="72"/>
      <c r="D235" s="73"/>
      <c r="E235" s="74"/>
      <c r="F235" s="74" t="s">
        <v>88</v>
      </c>
      <c r="G235" s="75" t="s">
        <v>253</v>
      </c>
      <c r="H235" s="76">
        <v>56.519999999999996</v>
      </c>
      <c r="I235" s="75" t="s">
        <v>74</v>
      </c>
      <c r="J235" s="179">
        <v>48000</v>
      </c>
      <c r="K235" s="179"/>
      <c r="L235" s="46">
        <f t="shared" si="34"/>
        <v>2712960</v>
      </c>
    </row>
    <row r="236" spans="2:12" x14ac:dyDescent="0.35">
      <c r="B236" s="71"/>
      <c r="C236" s="72"/>
      <c r="D236" s="73"/>
      <c r="E236" s="74"/>
      <c r="F236" s="74" t="s">
        <v>88</v>
      </c>
      <c r="G236" s="75" t="s">
        <v>254</v>
      </c>
      <c r="H236" s="76">
        <v>35.042399999999994</v>
      </c>
      <c r="I236" s="75" t="s">
        <v>74</v>
      </c>
      <c r="J236" s="179">
        <v>48000</v>
      </c>
      <c r="K236" s="179"/>
      <c r="L236" s="46">
        <f t="shared" si="34"/>
        <v>1682035.1999999997</v>
      </c>
    </row>
    <row r="237" spans="2:12" x14ac:dyDescent="0.35">
      <c r="B237" s="71"/>
      <c r="C237" s="72"/>
      <c r="D237" s="73"/>
      <c r="E237" s="74"/>
      <c r="F237" s="74" t="s">
        <v>88</v>
      </c>
      <c r="G237" s="75" t="s">
        <v>255</v>
      </c>
      <c r="H237" s="76">
        <v>6.7823999999999991</v>
      </c>
      <c r="I237" s="75" t="s">
        <v>74</v>
      </c>
      <c r="J237" s="179">
        <v>48000</v>
      </c>
      <c r="K237" s="179"/>
      <c r="L237" s="46">
        <f t="shared" si="34"/>
        <v>325555.19999999995</v>
      </c>
    </row>
    <row r="238" spans="2:12" x14ac:dyDescent="0.35">
      <c r="B238" s="71"/>
      <c r="C238" s="72"/>
      <c r="D238" s="73"/>
      <c r="E238" s="74"/>
      <c r="F238" s="74" t="s">
        <v>88</v>
      </c>
      <c r="G238" s="75" t="s">
        <v>256</v>
      </c>
      <c r="H238" s="76">
        <v>3.2555519999999998</v>
      </c>
      <c r="I238" s="75" t="s">
        <v>74</v>
      </c>
      <c r="J238" s="179">
        <v>48000</v>
      </c>
      <c r="K238" s="179"/>
      <c r="L238" s="46">
        <f t="shared" si="34"/>
        <v>156266.49599999998</v>
      </c>
    </row>
    <row r="239" spans="2:12" x14ac:dyDescent="0.35">
      <c r="B239" s="71"/>
      <c r="C239" s="72"/>
      <c r="D239" s="73" t="s">
        <v>44</v>
      </c>
      <c r="E239" s="74"/>
      <c r="F239" s="74" t="s">
        <v>105</v>
      </c>
      <c r="G239" s="75"/>
      <c r="H239" s="76"/>
      <c r="I239" s="75"/>
      <c r="J239" s="50"/>
      <c r="K239" s="29"/>
      <c r="L239" s="52"/>
    </row>
    <row r="240" spans="2:12" x14ac:dyDescent="0.35">
      <c r="B240" s="119"/>
      <c r="C240" s="120"/>
      <c r="D240" s="133"/>
      <c r="E240" s="64"/>
      <c r="F240" s="74" t="s">
        <v>88</v>
      </c>
      <c r="G240" s="75" t="s">
        <v>257</v>
      </c>
      <c r="H240" s="173">
        <v>22.608000000000001</v>
      </c>
      <c r="I240" s="134" t="s">
        <v>74</v>
      </c>
      <c r="J240" s="179">
        <v>48000</v>
      </c>
      <c r="K240" s="179"/>
      <c r="L240" s="46">
        <f t="shared" ref="L240" si="35">J240*H240</f>
        <v>1085184</v>
      </c>
    </row>
    <row r="241" spans="2:12" x14ac:dyDescent="0.35">
      <c r="B241" s="71"/>
      <c r="C241" s="72"/>
      <c r="D241" s="73" t="s">
        <v>46</v>
      </c>
      <c r="E241" s="74"/>
      <c r="F241" s="74" t="s">
        <v>106</v>
      </c>
      <c r="G241" s="75"/>
      <c r="H241" s="78"/>
      <c r="I241" s="75"/>
      <c r="J241" s="50"/>
      <c r="K241" s="29"/>
      <c r="L241" s="52"/>
    </row>
    <row r="242" spans="2:12" x14ac:dyDescent="0.35">
      <c r="B242" s="71"/>
      <c r="C242" s="72"/>
      <c r="D242" s="73"/>
      <c r="E242" s="74"/>
      <c r="F242" s="74" t="s">
        <v>88</v>
      </c>
      <c r="G242" s="75" t="s">
        <v>258</v>
      </c>
      <c r="H242" s="76">
        <v>18.990719999999996</v>
      </c>
      <c r="I242" s="75" t="s">
        <v>74</v>
      </c>
      <c r="J242" s="179">
        <v>48000</v>
      </c>
      <c r="K242" s="179"/>
      <c r="L242" s="46">
        <f t="shared" ref="L242:L265" si="36">J242*H242</f>
        <v>911554.55999999982</v>
      </c>
    </row>
    <row r="243" spans="2:12" x14ac:dyDescent="0.35">
      <c r="B243" s="71"/>
      <c r="C243" s="72"/>
      <c r="D243" s="73"/>
      <c r="E243" s="74"/>
      <c r="F243" s="74" t="s">
        <v>88</v>
      </c>
      <c r="G243" s="75" t="s">
        <v>259</v>
      </c>
      <c r="H243" s="76">
        <v>17.634239999999998</v>
      </c>
      <c r="I243" s="75" t="s">
        <v>74</v>
      </c>
      <c r="J243" s="179">
        <v>48000</v>
      </c>
      <c r="K243" s="179"/>
      <c r="L243" s="46">
        <f t="shared" si="36"/>
        <v>846443.5199999999</v>
      </c>
    </row>
    <row r="244" spans="2:12" x14ac:dyDescent="0.35">
      <c r="B244" s="119"/>
      <c r="C244" s="120"/>
      <c r="D244" s="56"/>
      <c r="E244" s="57"/>
      <c r="F244" s="112" t="s">
        <v>88</v>
      </c>
      <c r="G244" s="58" t="s">
        <v>260</v>
      </c>
      <c r="H244" s="77">
        <v>6.7824</v>
      </c>
      <c r="I244" s="58" t="s">
        <v>74</v>
      </c>
      <c r="J244" s="179">
        <v>48000</v>
      </c>
      <c r="K244" s="179"/>
      <c r="L244" s="46">
        <f t="shared" si="36"/>
        <v>325555.20000000001</v>
      </c>
    </row>
    <row r="245" spans="2:12" x14ac:dyDescent="0.35">
      <c r="B245" s="71"/>
      <c r="C245" s="72"/>
      <c r="D245" s="73"/>
      <c r="E245" s="74"/>
      <c r="F245" s="74" t="s">
        <v>88</v>
      </c>
      <c r="G245" s="75" t="s">
        <v>261</v>
      </c>
      <c r="H245" s="76">
        <v>204.37631999999999</v>
      </c>
      <c r="I245" s="75" t="s">
        <v>74</v>
      </c>
      <c r="J245" s="179">
        <v>48000</v>
      </c>
      <c r="K245" s="179"/>
      <c r="L245" s="46">
        <f t="shared" si="36"/>
        <v>9810063.3599999994</v>
      </c>
    </row>
    <row r="246" spans="2:12" x14ac:dyDescent="0.35">
      <c r="B246" s="99"/>
      <c r="C246" s="100"/>
      <c r="D246" s="62"/>
      <c r="E246" s="61"/>
      <c r="F246" s="64" t="s">
        <v>88</v>
      </c>
      <c r="G246" s="65" t="s">
        <v>262</v>
      </c>
      <c r="H246" s="174">
        <v>158.70815999999999</v>
      </c>
      <c r="I246" s="53" t="s">
        <v>74</v>
      </c>
      <c r="J246" s="179">
        <v>48000</v>
      </c>
      <c r="K246" s="179"/>
      <c r="L246" s="46">
        <f t="shared" si="36"/>
        <v>7617991.6799999997</v>
      </c>
    </row>
    <row r="247" spans="2:12" x14ac:dyDescent="0.35">
      <c r="B247" s="71"/>
      <c r="C247" s="72"/>
      <c r="D247" s="73"/>
      <c r="E247" s="74"/>
      <c r="F247" s="74" t="s">
        <v>88</v>
      </c>
      <c r="G247" s="75" t="s">
        <v>263</v>
      </c>
      <c r="H247" s="76">
        <v>161.42112</v>
      </c>
      <c r="I247" s="75" t="s">
        <v>74</v>
      </c>
      <c r="J247" s="179">
        <v>48000</v>
      </c>
      <c r="K247" s="179"/>
      <c r="L247" s="46">
        <f t="shared" si="36"/>
        <v>7748213.7599999998</v>
      </c>
    </row>
    <row r="248" spans="2:12" x14ac:dyDescent="0.35">
      <c r="B248" s="71"/>
      <c r="C248" s="72"/>
      <c r="D248" s="73"/>
      <c r="E248" s="74"/>
      <c r="F248" s="74" t="s">
        <v>88</v>
      </c>
      <c r="G248" s="75" t="s">
        <v>264</v>
      </c>
      <c r="H248" s="76">
        <v>349.29359999999997</v>
      </c>
      <c r="I248" s="75" t="s">
        <v>74</v>
      </c>
      <c r="J248" s="179">
        <v>48000</v>
      </c>
      <c r="K248" s="179"/>
      <c r="L248" s="46">
        <f t="shared" si="36"/>
        <v>16766092.799999999</v>
      </c>
    </row>
    <row r="249" spans="2:12" x14ac:dyDescent="0.35">
      <c r="B249" s="71"/>
      <c r="C249" s="72"/>
      <c r="D249" s="73"/>
      <c r="E249" s="74"/>
      <c r="F249" s="74" t="s">
        <v>88</v>
      </c>
      <c r="G249" s="75" t="s">
        <v>265</v>
      </c>
      <c r="H249" s="76">
        <v>130.90031999999999</v>
      </c>
      <c r="I249" s="75" t="s">
        <v>74</v>
      </c>
      <c r="J249" s="179">
        <v>48000</v>
      </c>
      <c r="K249" s="179"/>
      <c r="L249" s="46">
        <f t="shared" si="36"/>
        <v>6283215.3599999994</v>
      </c>
    </row>
    <row r="250" spans="2:12" x14ac:dyDescent="0.35">
      <c r="B250" s="71"/>
      <c r="C250" s="72"/>
      <c r="D250" s="73"/>
      <c r="E250" s="74"/>
      <c r="F250" s="74" t="s">
        <v>88</v>
      </c>
      <c r="G250" s="75" t="s">
        <v>266</v>
      </c>
      <c r="H250" s="76">
        <v>204.37631999999999</v>
      </c>
      <c r="I250" s="75" t="s">
        <v>74</v>
      </c>
      <c r="J250" s="179">
        <v>48000</v>
      </c>
      <c r="K250" s="179"/>
      <c r="L250" s="46">
        <f t="shared" si="36"/>
        <v>9810063.3599999994</v>
      </c>
    </row>
    <row r="251" spans="2:12" x14ac:dyDescent="0.35">
      <c r="B251" s="71"/>
      <c r="C251" s="72"/>
      <c r="D251" s="73"/>
      <c r="E251" s="74"/>
      <c r="F251" s="74" t="s">
        <v>88</v>
      </c>
      <c r="G251" s="75" t="s">
        <v>267</v>
      </c>
      <c r="H251" s="76">
        <v>215.52959999999999</v>
      </c>
      <c r="I251" s="75" t="s">
        <v>74</v>
      </c>
      <c r="J251" s="179">
        <v>48000</v>
      </c>
      <c r="K251" s="179"/>
      <c r="L251" s="46">
        <f t="shared" si="36"/>
        <v>10345420.799999999</v>
      </c>
    </row>
    <row r="252" spans="2:12" x14ac:dyDescent="0.35">
      <c r="B252" s="71"/>
      <c r="C252" s="72"/>
      <c r="D252" s="73"/>
      <c r="E252" s="74"/>
      <c r="F252" s="74" t="s">
        <v>88</v>
      </c>
      <c r="G252" s="75" t="s">
        <v>268</v>
      </c>
      <c r="H252" s="76">
        <v>21.194999999999997</v>
      </c>
      <c r="I252" s="75" t="s">
        <v>74</v>
      </c>
      <c r="J252" s="179">
        <v>48000</v>
      </c>
      <c r="K252" s="179"/>
      <c r="L252" s="46">
        <f t="shared" si="36"/>
        <v>1017359.9999999999</v>
      </c>
    </row>
    <row r="253" spans="2:12" x14ac:dyDescent="0.35">
      <c r="B253" s="71"/>
      <c r="C253" s="72"/>
      <c r="D253" s="73"/>
      <c r="E253" s="74"/>
      <c r="F253" s="74" t="s">
        <v>88</v>
      </c>
      <c r="G253" s="75" t="s">
        <v>269</v>
      </c>
      <c r="H253" s="76">
        <v>129.99599999999998</v>
      </c>
      <c r="I253" s="75" t="s">
        <v>74</v>
      </c>
      <c r="J253" s="179">
        <v>48000</v>
      </c>
      <c r="K253" s="179"/>
      <c r="L253" s="46">
        <f t="shared" si="36"/>
        <v>6239807.9999999991</v>
      </c>
    </row>
    <row r="254" spans="2:12" x14ac:dyDescent="0.35">
      <c r="B254" s="71"/>
      <c r="C254" s="72"/>
      <c r="D254" s="73"/>
      <c r="E254" s="74"/>
      <c r="F254" s="74" t="s">
        <v>88</v>
      </c>
      <c r="G254" s="75" t="s">
        <v>270</v>
      </c>
      <c r="H254" s="76">
        <v>63.867599999999996</v>
      </c>
      <c r="I254" s="75" t="s">
        <v>74</v>
      </c>
      <c r="J254" s="179">
        <v>48000</v>
      </c>
      <c r="K254" s="179"/>
      <c r="L254" s="46">
        <f t="shared" si="36"/>
        <v>3065644.8</v>
      </c>
    </row>
    <row r="255" spans="2:12" x14ac:dyDescent="0.35">
      <c r="B255" s="71"/>
      <c r="C255" s="72"/>
      <c r="D255" s="73"/>
      <c r="E255" s="74"/>
      <c r="F255" s="74" t="s">
        <v>88</v>
      </c>
      <c r="G255" s="75" t="s">
        <v>271</v>
      </c>
      <c r="H255" s="76">
        <v>70.649999999999991</v>
      </c>
      <c r="I255" s="75" t="s">
        <v>74</v>
      </c>
      <c r="J255" s="179">
        <v>48000</v>
      </c>
      <c r="K255" s="179"/>
      <c r="L255" s="46">
        <f t="shared" si="36"/>
        <v>3391199.9999999995</v>
      </c>
    </row>
    <row r="256" spans="2:12" x14ac:dyDescent="0.35">
      <c r="B256" s="71"/>
      <c r="C256" s="72"/>
      <c r="D256" s="73"/>
      <c r="E256" s="74"/>
      <c r="F256" s="74" t="s">
        <v>88</v>
      </c>
      <c r="G256" s="75" t="s">
        <v>272</v>
      </c>
      <c r="H256" s="76">
        <v>23.549999999999997</v>
      </c>
      <c r="I256" s="75" t="s">
        <v>74</v>
      </c>
      <c r="J256" s="179">
        <v>48000</v>
      </c>
      <c r="K256" s="179"/>
      <c r="L256" s="46">
        <f t="shared" si="36"/>
        <v>1130399.9999999998</v>
      </c>
    </row>
    <row r="257" spans="2:12" x14ac:dyDescent="0.35">
      <c r="B257" s="71"/>
      <c r="C257" s="72"/>
      <c r="D257" s="73"/>
      <c r="E257" s="74"/>
      <c r="F257" s="74" t="s">
        <v>88</v>
      </c>
      <c r="G257" s="75" t="s">
        <v>273</v>
      </c>
      <c r="H257" s="76">
        <v>37.68</v>
      </c>
      <c r="I257" s="75" t="s">
        <v>74</v>
      </c>
      <c r="J257" s="179">
        <v>48000</v>
      </c>
      <c r="K257" s="179"/>
      <c r="L257" s="46">
        <f t="shared" si="36"/>
        <v>1808640</v>
      </c>
    </row>
    <row r="258" spans="2:12" x14ac:dyDescent="0.35">
      <c r="B258" s="71"/>
      <c r="C258" s="72"/>
      <c r="D258" s="73"/>
      <c r="E258" s="74"/>
      <c r="F258" s="74" t="s">
        <v>88</v>
      </c>
      <c r="G258" s="75" t="s">
        <v>274</v>
      </c>
      <c r="H258" s="76">
        <v>37.303199999999997</v>
      </c>
      <c r="I258" s="75" t="s">
        <v>74</v>
      </c>
      <c r="J258" s="179">
        <v>48000</v>
      </c>
      <c r="K258" s="179"/>
      <c r="L258" s="46">
        <f t="shared" si="36"/>
        <v>1790553.5999999999</v>
      </c>
    </row>
    <row r="259" spans="2:12" x14ac:dyDescent="0.35">
      <c r="B259" s="71"/>
      <c r="C259" s="72"/>
      <c r="D259" s="73"/>
      <c r="E259" s="74"/>
      <c r="F259" s="74" t="s">
        <v>88</v>
      </c>
      <c r="G259" s="75" t="s">
        <v>275</v>
      </c>
      <c r="H259" s="76">
        <v>18.84</v>
      </c>
      <c r="I259" s="75" t="s">
        <v>74</v>
      </c>
      <c r="J259" s="179">
        <v>48000</v>
      </c>
      <c r="K259" s="179"/>
      <c r="L259" s="46">
        <f t="shared" si="36"/>
        <v>904320</v>
      </c>
    </row>
    <row r="260" spans="2:12" x14ac:dyDescent="0.35">
      <c r="B260" s="71"/>
      <c r="C260" s="72"/>
      <c r="D260" s="73"/>
      <c r="E260" s="74"/>
      <c r="F260" s="74" t="s">
        <v>88</v>
      </c>
      <c r="G260" s="75" t="s">
        <v>276</v>
      </c>
      <c r="H260" s="76">
        <v>18.84</v>
      </c>
      <c r="I260" s="75" t="s">
        <v>74</v>
      </c>
      <c r="J260" s="179">
        <v>48000</v>
      </c>
      <c r="K260" s="179"/>
      <c r="L260" s="46">
        <f t="shared" si="36"/>
        <v>904320</v>
      </c>
    </row>
    <row r="261" spans="2:12" x14ac:dyDescent="0.35">
      <c r="B261" s="71"/>
      <c r="C261" s="72"/>
      <c r="D261" s="73"/>
      <c r="E261" s="74"/>
      <c r="F261" s="74" t="s">
        <v>88</v>
      </c>
      <c r="G261" s="75" t="s">
        <v>277</v>
      </c>
      <c r="H261" s="76">
        <v>28.259999999999998</v>
      </c>
      <c r="I261" s="75" t="s">
        <v>74</v>
      </c>
      <c r="J261" s="179">
        <v>48000</v>
      </c>
      <c r="K261" s="179"/>
      <c r="L261" s="46">
        <f t="shared" si="36"/>
        <v>1356480</v>
      </c>
    </row>
    <row r="262" spans="2:12" x14ac:dyDescent="0.35">
      <c r="B262" s="71"/>
      <c r="C262" s="72"/>
      <c r="D262" s="73"/>
      <c r="E262" s="74"/>
      <c r="F262" s="74" t="s">
        <v>88</v>
      </c>
      <c r="G262" s="75" t="s">
        <v>278</v>
      </c>
      <c r="H262" s="76">
        <v>8.1388799999999986</v>
      </c>
      <c r="I262" s="75" t="s">
        <v>74</v>
      </c>
      <c r="J262" s="179">
        <v>48000</v>
      </c>
      <c r="K262" s="179"/>
      <c r="L262" s="46">
        <f t="shared" si="36"/>
        <v>390666.23999999993</v>
      </c>
    </row>
    <row r="263" spans="2:12" x14ac:dyDescent="0.35">
      <c r="B263" s="71"/>
      <c r="C263" s="72"/>
      <c r="D263" s="73"/>
      <c r="E263" s="74"/>
      <c r="F263" s="74" t="s">
        <v>88</v>
      </c>
      <c r="G263" s="75" t="s">
        <v>279</v>
      </c>
      <c r="H263" s="76">
        <v>8.1388799999999986</v>
      </c>
      <c r="I263" s="75" t="s">
        <v>74</v>
      </c>
      <c r="J263" s="179">
        <v>48000</v>
      </c>
      <c r="K263" s="179"/>
      <c r="L263" s="46">
        <f t="shared" si="36"/>
        <v>390666.23999999993</v>
      </c>
    </row>
    <row r="264" spans="2:12" x14ac:dyDescent="0.35">
      <c r="B264" s="71"/>
      <c r="C264" s="72"/>
      <c r="D264" s="73"/>
      <c r="E264" s="74"/>
      <c r="F264" s="74" t="s">
        <v>88</v>
      </c>
      <c r="G264" s="75" t="s">
        <v>240</v>
      </c>
      <c r="H264" s="76">
        <v>15.192575999999999</v>
      </c>
      <c r="I264" s="75" t="s">
        <v>74</v>
      </c>
      <c r="J264" s="179">
        <v>48000</v>
      </c>
      <c r="K264" s="179"/>
      <c r="L264" s="46">
        <f t="shared" si="36"/>
        <v>729243.64799999993</v>
      </c>
    </row>
    <row r="265" spans="2:12" x14ac:dyDescent="0.35">
      <c r="B265" s="71"/>
      <c r="C265" s="72"/>
      <c r="D265" s="73"/>
      <c r="E265" s="74"/>
      <c r="F265" s="74" t="s">
        <v>88</v>
      </c>
      <c r="G265" s="75" t="s">
        <v>280</v>
      </c>
      <c r="H265" s="76">
        <v>2.1703679999999999</v>
      </c>
      <c r="I265" s="75" t="s">
        <v>74</v>
      </c>
      <c r="J265" s="179">
        <v>48000</v>
      </c>
      <c r="K265" s="179"/>
      <c r="L265" s="46">
        <f t="shared" si="36"/>
        <v>104177.66399999999</v>
      </c>
    </row>
    <row r="266" spans="2:12" x14ac:dyDescent="0.35">
      <c r="B266" s="71"/>
      <c r="C266" s="72"/>
      <c r="D266" s="73" t="s">
        <v>48</v>
      </c>
      <c r="E266" s="74"/>
      <c r="F266" s="74" t="s">
        <v>108</v>
      </c>
      <c r="G266" s="75"/>
      <c r="H266" s="78"/>
      <c r="I266" s="75"/>
      <c r="J266" s="29"/>
      <c r="K266" s="51"/>
      <c r="L266" s="46"/>
    </row>
    <row r="267" spans="2:12" x14ac:dyDescent="0.35">
      <c r="B267" s="71"/>
      <c r="C267" s="72"/>
      <c r="D267" s="73"/>
      <c r="E267" s="74"/>
      <c r="F267" s="74" t="s">
        <v>88</v>
      </c>
      <c r="G267" s="75" t="s">
        <v>281</v>
      </c>
      <c r="H267" s="76">
        <v>96.887839999999983</v>
      </c>
      <c r="I267" s="75" t="s">
        <v>74</v>
      </c>
      <c r="J267" s="179">
        <v>48000</v>
      </c>
      <c r="K267" s="179"/>
      <c r="L267" s="46">
        <f t="shared" ref="L267:L272" si="37">J267*H267</f>
        <v>4650616.3199999994</v>
      </c>
    </row>
    <row r="268" spans="2:12" x14ac:dyDescent="0.35">
      <c r="B268" s="71"/>
      <c r="C268" s="72"/>
      <c r="D268" s="73"/>
      <c r="E268" s="74"/>
      <c r="F268" s="74" t="s">
        <v>88</v>
      </c>
      <c r="G268" s="75" t="s">
        <v>282</v>
      </c>
      <c r="H268" s="76">
        <v>18.237119999999997</v>
      </c>
      <c r="I268" s="75" t="s">
        <v>74</v>
      </c>
      <c r="J268" s="179">
        <v>48000</v>
      </c>
      <c r="K268" s="179"/>
      <c r="L268" s="46">
        <f t="shared" si="37"/>
        <v>875381.75999999989</v>
      </c>
    </row>
    <row r="269" spans="2:12" x14ac:dyDescent="0.35">
      <c r="B269" s="71"/>
      <c r="C269" s="72"/>
      <c r="D269" s="73"/>
      <c r="E269" s="74"/>
      <c r="F269" s="74" t="s">
        <v>88</v>
      </c>
      <c r="G269" s="75" t="s">
        <v>283</v>
      </c>
      <c r="H269" s="76">
        <v>15.497999999999999</v>
      </c>
      <c r="I269" s="75" t="s">
        <v>74</v>
      </c>
      <c r="J269" s="179">
        <v>48000</v>
      </c>
      <c r="K269" s="179"/>
      <c r="L269" s="46">
        <f t="shared" si="37"/>
        <v>743904</v>
      </c>
    </row>
    <row r="270" spans="2:12" x14ac:dyDescent="0.35">
      <c r="B270" s="71"/>
      <c r="C270" s="72"/>
      <c r="D270" s="73"/>
      <c r="E270" s="74"/>
      <c r="F270" s="74" t="s">
        <v>88</v>
      </c>
      <c r="G270" s="75" t="s">
        <v>284</v>
      </c>
      <c r="H270" s="76">
        <v>9.7214399999999994</v>
      </c>
      <c r="I270" s="75" t="s">
        <v>74</v>
      </c>
      <c r="J270" s="179">
        <v>48000</v>
      </c>
      <c r="K270" s="179"/>
      <c r="L270" s="46">
        <f t="shared" si="37"/>
        <v>466629.12</v>
      </c>
    </row>
    <row r="271" spans="2:12" x14ac:dyDescent="0.35">
      <c r="B271" s="71"/>
      <c r="C271" s="72"/>
      <c r="D271" s="73"/>
      <c r="E271" s="74"/>
      <c r="F271" s="74" t="s">
        <v>88</v>
      </c>
      <c r="G271" s="75" t="s">
        <v>285</v>
      </c>
      <c r="H271" s="76">
        <v>33.911999999999999</v>
      </c>
      <c r="I271" s="75" t="s">
        <v>74</v>
      </c>
      <c r="J271" s="179">
        <v>48000</v>
      </c>
      <c r="K271" s="179"/>
      <c r="L271" s="46">
        <f t="shared" si="37"/>
        <v>1627776</v>
      </c>
    </row>
    <row r="272" spans="2:12" x14ac:dyDescent="0.35">
      <c r="B272" s="71"/>
      <c r="C272" s="72"/>
      <c r="D272" s="73"/>
      <c r="E272" s="74"/>
      <c r="F272" s="74" t="s">
        <v>88</v>
      </c>
      <c r="G272" s="75" t="s">
        <v>286</v>
      </c>
      <c r="H272" s="76">
        <v>13.5648</v>
      </c>
      <c r="I272" s="75" t="s">
        <v>74</v>
      </c>
      <c r="J272" s="179">
        <v>48000</v>
      </c>
      <c r="K272" s="179"/>
      <c r="L272" s="46">
        <f t="shared" si="37"/>
        <v>651110.40000000002</v>
      </c>
    </row>
    <row r="273" spans="2:12" x14ac:dyDescent="0.35">
      <c r="B273" s="47"/>
      <c r="C273" s="48"/>
      <c r="D273" s="24"/>
      <c r="G273" s="22"/>
      <c r="I273" s="22"/>
      <c r="J273" s="50"/>
      <c r="K273" s="29"/>
      <c r="L273" s="52"/>
    </row>
    <row r="274" spans="2:12" x14ac:dyDescent="0.35">
      <c r="B274" s="8"/>
      <c r="C274" s="9"/>
      <c r="D274" s="10"/>
      <c r="E274" s="4"/>
      <c r="F274" s="4"/>
      <c r="G274" s="4"/>
      <c r="H274" s="1"/>
      <c r="I274" s="1"/>
      <c r="J274" s="11" t="s">
        <v>8</v>
      </c>
      <c r="K274" s="7">
        <f>SUM(K221:K273)</f>
        <v>0</v>
      </c>
      <c r="L274" s="7">
        <f>SUM(L221:L273)</f>
        <v>196742663.80800006</v>
      </c>
    </row>
    <row r="275" spans="2:12" x14ac:dyDescent="0.35">
      <c r="B275" s="8"/>
      <c r="C275" s="9"/>
      <c r="D275" s="9"/>
      <c r="E275" s="4"/>
      <c r="F275" s="4"/>
      <c r="G275" s="4"/>
      <c r="H275" s="1"/>
      <c r="I275" s="1"/>
      <c r="J275" s="11"/>
      <c r="K275" s="35" t="s">
        <v>22</v>
      </c>
      <c r="L275" s="36" t="s">
        <v>23</v>
      </c>
    </row>
    <row r="276" spans="2:12" x14ac:dyDescent="0.35">
      <c r="B276" s="3" t="s">
        <v>9</v>
      </c>
      <c r="C276" s="4"/>
      <c r="D276" s="4"/>
      <c r="E276" s="4"/>
      <c r="F276" s="4"/>
      <c r="G276" s="4"/>
      <c r="H276" s="1"/>
      <c r="I276" s="1"/>
      <c r="J276" s="12"/>
      <c r="K276" s="12"/>
      <c r="L276" s="13"/>
    </row>
    <row r="277" spans="2:12" x14ac:dyDescent="0.35">
      <c r="B277" s="37"/>
      <c r="C277" s="1"/>
      <c r="D277" s="1"/>
      <c r="E277" s="38"/>
      <c r="F277" s="38"/>
      <c r="G277" s="38"/>
      <c r="H277" s="1"/>
      <c r="I277" s="1"/>
      <c r="J277" s="1"/>
      <c r="K277" s="1"/>
      <c r="L277" s="19"/>
    </row>
    <row r="278" spans="2:12" x14ac:dyDescent="0.35">
      <c r="B278" s="28" t="s">
        <v>6</v>
      </c>
      <c r="C278" s="27"/>
      <c r="D278" s="27"/>
      <c r="E278" s="26"/>
      <c r="F278" s="26"/>
      <c r="G278" s="5"/>
      <c r="K278" s="232" t="s">
        <v>374</v>
      </c>
      <c r="L278" s="233"/>
    </row>
    <row r="279" spans="2:12" x14ac:dyDescent="0.35">
      <c r="B279" s="28">
        <v>1</v>
      </c>
      <c r="C279" s="27"/>
      <c r="D279" s="27"/>
      <c r="E279" s="26" t="s">
        <v>7</v>
      </c>
      <c r="F279" s="26"/>
      <c r="G279" s="5"/>
      <c r="K279" s="232" t="s">
        <v>28</v>
      </c>
      <c r="L279" s="233"/>
    </row>
    <row r="280" spans="2:12" x14ac:dyDescent="0.35">
      <c r="B280" s="39"/>
      <c r="C280" s="27"/>
      <c r="D280" s="27"/>
      <c r="E280" s="26"/>
      <c r="F280" s="26"/>
      <c r="G280" s="5"/>
      <c r="J280" s="25"/>
      <c r="K280" s="25"/>
      <c r="L280" s="24"/>
    </row>
    <row r="281" spans="2:12" x14ac:dyDescent="0.35">
      <c r="B281" s="28"/>
      <c r="C281" s="27"/>
      <c r="D281" s="27"/>
      <c r="E281" s="26"/>
      <c r="F281" s="26"/>
      <c r="G281" s="5"/>
      <c r="L281" s="22"/>
    </row>
    <row r="282" spans="2:12" x14ac:dyDescent="0.35">
      <c r="B282" s="45"/>
      <c r="E282" s="5"/>
      <c r="F282" s="5"/>
      <c r="G282" s="5"/>
      <c r="L282" s="22"/>
    </row>
    <row r="283" spans="2:12" x14ac:dyDescent="0.35">
      <c r="B283" s="45"/>
      <c r="E283" s="5"/>
      <c r="F283" s="5"/>
      <c r="G283" s="5"/>
      <c r="L283" s="22"/>
    </row>
    <row r="284" spans="2:12" x14ac:dyDescent="0.35">
      <c r="B284" s="45"/>
      <c r="E284" s="5"/>
      <c r="F284" s="5"/>
      <c r="G284" s="5"/>
      <c r="L284" s="22"/>
    </row>
    <row r="285" spans="2:12" x14ac:dyDescent="0.35">
      <c r="B285" s="45"/>
      <c r="E285" s="5"/>
      <c r="F285" s="5"/>
      <c r="G285" s="5"/>
      <c r="J285" s="40"/>
      <c r="K285" s="234" t="s">
        <v>36</v>
      </c>
      <c r="L285" s="235"/>
    </row>
    <row r="286" spans="2:12" x14ac:dyDescent="0.35">
      <c r="B286" s="45"/>
      <c r="K286" s="236" t="s">
        <v>37</v>
      </c>
      <c r="L286" s="237"/>
    </row>
    <row r="287" spans="2:12" x14ac:dyDescent="0.35">
      <c r="B287" s="238"/>
      <c r="C287" s="239"/>
      <c r="D287" s="239"/>
      <c r="E287" s="41"/>
      <c r="F287" s="41"/>
      <c r="G287" s="41"/>
      <c r="H287" s="2"/>
      <c r="I287" s="2"/>
      <c r="J287" s="2"/>
      <c r="K287" s="2"/>
      <c r="L287" s="21"/>
    </row>
    <row r="288" spans="2:12" x14ac:dyDescent="0.35">
      <c r="B288" s="47"/>
      <c r="C288" s="48"/>
      <c r="D288" s="49"/>
      <c r="G288" s="22"/>
      <c r="H288" s="1"/>
      <c r="I288" s="1"/>
      <c r="J288" s="43"/>
      <c r="K288" s="30"/>
      <c r="L288" s="44"/>
    </row>
    <row r="289" spans="2:12" x14ac:dyDescent="0.35">
      <c r="B289" s="71"/>
      <c r="C289" s="72"/>
      <c r="D289" s="73"/>
      <c r="E289" s="74"/>
      <c r="F289" s="74" t="s">
        <v>88</v>
      </c>
      <c r="G289" s="75" t="s">
        <v>287</v>
      </c>
      <c r="H289" s="76">
        <v>613.12896000000001</v>
      </c>
      <c r="I289" s="75" t="s">
        <v>74</v>
      </c>
      <c r="J289" s="179">
        <v>48000</v>
      </c>
      <c r="K289" s="179"/>
      <c r="L289" s="46">
        <f t="shared" ref="L289:L306" si="38">J289*H289</f>
        <v>29430190.080000002</v>
      </c>
    </row>
    <row r="290" spans="2:12" x14ac:dyDescent="0.35">
      <c r="B290" s="71"/>
      <c r="C290" s="72"/>
      <c r="D290" s="73"/>
      <c r="E290" s="74"/>
      <c r="F290" s="74" t="s">
        <v>88</v>
      </c>
      <c r="G290" s="75" t="s">
        <v>288</v>
      </c>
      <c r="H290" s="76">
        <v>463.46399999999994</v>
      </c>
      <c r="I290" s="75" t="s">
        <v>74</v>
      </c>
      <c r="J290" s="179">
        <v>48000</v>
      </c>
      <c r="K290" s="179"/>
      <c r="L290" s="46">
        <f t="shared" si="38"/>
        <v>22246271.999999996</v>
      </c>
    </row>
    <row r="291" spans="2:12" x14ac:dyDescent="0.35">
      <c r="B291" s="71"/>
      <c r="C291" s="72"/>
      <c r="D291" s="73"/>
      <c r="E291" s="74"/>
      <c r="F291" s="74" t="s">
        <v>88</v>
      </c>
      <c r="G291" s="75" t="s">
        <v>266</v>
      </c>
      <c r="H291" s="76">
        <v>204.37631999999999</v>
      </c>
      <c r="I291" s="75" t="s">
        <v>74</v>
      </c>
      <c r="J291" s="179">
        <v>48000</v>
      </c>
      <c r="K291" s="179"/>
      <c r="L291" s="46">
        <f t="shared" si="38"/>
        <v>9810063.3599999994</v>
      </c>
    </row>
    <row r="292" spans="2:12" x14ac:dyDescent="0.35">
      <c r="B292" s="71"/>
      <c r="C292" s="72"/>
      <c r="D292" s="73"/>
      <c r="E292" s="74"/>
      <c r="F292" s="74" t="s">
        <v>88</v>
      </c>
      <c r="G292" s="75" t="s">
        <v>289</v>
      </c>
      <c r="H292" s="76">
        <v>297.42079999999999</v>
      </c>
      <c r="I292" s="75" t="s">
        <v>74</v>
      </c>
      <c r="J292" s="179">
        <v>48000</v>
      </c>
      <c r="K292" s="179"/>
      <c r="L292" s="46">
        <f t="shared" si="38"/>
        <v>14276198.399999999</v>
      </c>
    </row>
    <row r="293" spans="2:12" x14ac:dyDescent="0.35">
      <c r="B293" s="71"/>
      <c r="C293" s="72"/>
      <c r="D293" s="73"/>
      <c r="E293" s="74"/>
      <c r="F293" s="74" t="s">
        <v>88</v>
      </c>
      <c r="G293" s="75" t="s">
        <v>290</v>
      </c>
      <c r="H293" s="76">
        <v>22.608000000000001</v>
      </c>
      <c r="I293" s="75" t="s">
        <v>74</v>
      </c>
      <c r="J293" s="179">
        <v>48000</v>
      </c>
      <c r="K293" s="179"/>
      <c r="L293" s="46">
        <f t="shared" si="38"/>
        <v>1085184</v>
      </c>
    </row>
    <row r="294" spans="2:12" x14ac:dyDescent="0.35">
      <c r="B294" s="71"/>
      <c r="C294" s="72"/>
      <c r="D294" s="73"/>
      <c r="E294" s="74"/>
      <c r="F294" s="74" t="s">
        <v>88</v>
      </c>
      <c r="G294" s="75" t="s">
        <v>291</v>
      </c>
      <c r="H294" s="76">
        <v>204.37631999999999</v>
      </c>
      <c r="I294" s="75" t="s">
        <v>74</v>
      </c>
      <c r="J294" s="179">
        <v>48000</v>
      </c>
      <c r="K294" s="179"/>
      <c r="L294" s="46">
        <f t="shared" si="38"/>
        <v>9810063.3599999994</v>
      </c>
    </row>
    <row r="295" spans="2:12" x14ac:dyDescent="0.35">
      <c r="B295" s="71"/>
      <c r="C295" s="72"/>
      <c r="D295" s="73"/>
      <c r="E295" s="74"/>
      <c r="F295" s="74" t="s">
        <v>88</v>
      </c>
      <c r="G295" s="75" t="s">
        <v>292</v>
      </c>
      <c r="H295" s="76">
        <v>259.99199999999996</v>
      </c>
      <c r="I295" s="75" t="s">
        <v>74</v>
      </c>
      <c r="J295" s="179">
        <v>48000</v>
      </c>
      <c r="K295" s="179"/>
      <c r="L295" s="46">
        <f t="shared" si="38"/>
        <v>12479615.999999998</v>
      </c>
    </row>
    <row r="296" spans="2:12" x14ac:dyDescent="0.35">
      <c r="B296" s="71"/>
      <c r="C296" s="72"/>
      <c r="D296" s="73"/>
      <c r="E296" s="74"/>
      <c r="F296" s="74" t="s">
        <v>88</v>
      </c>
      <c r="G296" s="75" t="s">
        <v>293</v>
      </c>
      <c r="H296" s="76">
        <v>56.519999999999996</v>
      </c>
      <c r="I296" s="75" t="s">
        <v>74</v>
      </c>
      <c r="J296" s="179">
        <v>48000</v>
      </c>
      <c r="K296" s="179"/>
      <c r="L296" s="46">
        <f t="shared" si="38"/>
        <v>2712960</v>
      </c>
    </row>
    <row r="297" spans="2:12" x14ac:dyDescent="0.35">
      <c r="B297" s="71"/>
      <c r="C297" s="72"/>
      <c r="D297" s="73"/>
      <c r="E297" s="74"/>
      <c r="F297" s="74" t="s">
        <v>88</v>
      </c>
      <c r="G297" s="75" t="s">
        <v>294</v>
      </c>
      <c r="H297" s="76">
        <v>70.649999999999991</v>
      </c>
      <c r="I297" s="75" t="s">
        <v>74</v>
      </c>
      <c r="J297" s="179">
        <v>48000</v>
      </c>
      <c r="K297" s="179"/>
      <c r="L297" s="46">
        <f t="shared" si="38"/>
        <v>3391199.9999999995</v>
      </c>
    </row>
    <row r="298" spans="2:12" x14ac:dyDescent="0.35">
      <c r="B298" s="71"/>
      <c r="C298" s="72"/>
      <c r="D298" s="73"/>
      <c r="E298" s="74"/>
      <c r="F298" s="74" t="s">
        <v>88</v>
      </c>
      <c r="G298" s="75" t="s">
        <v>273</v>
      </c>
      <c r="H298" s="76">
        <v>37.68</v>
      </c>
      <c r="I298" s="75" t="s">
        <v>74</v>
      </c>
      <c r="J298" s="179">
        <v>48000</v>
      </c>
      <c r="K298" s="179"/>
      <c r="L298" s="46">
        <f t="shared" si="38"/>
        <v>1808640</v>
      </c>
    </row>
    <row r="299" spans="2:12" x14ac:dyDescent="0.35">
      <c r="B299" s="71"/>
      <c r="C299" s="72"/>
      <c r="D299" s="73"/>
      <c r="E299" s="74"/>
      <c r="F299" s="74" t="s">
        <v>88</v>
      </c>
      <c r="G299" s="75" t="s">
        <v>295</v>
      </c>
      <c r="H299" s="76">
        <v>49.737599999999993</v>
      </c>
      <c r="I299" s="75" t="s">
        <v>74</v>
      </c>
      <c r="J299" s="179">
        <v>48000</v>
      </c>
      <c r="K299" s="179"/>
      <c r="L299" s="46">
        <f t="shared" si="38"/>
        <v>2387404.7999999998</v>
      </c>
    </row>
    <row r="300" spans="2:12" x14ac:dyDescent="0.35">
      <c r="B300" s="71"/>
      <c r="C300" s="72"/>
      <c r="D300" s="73"/>
      <c r="E300" s="74"/>
      <c r="F300" s="74" t="s">
        <v>88</v>
      </c>
      <c r="G300" s="75" t="s">
        <v>296</v>
      </c>
      <c r="H300" s="76">
        <v>23.549999999999997</v>
      </c>
      <c r="I300" s="75" t="s">
        <v>74</v>
      </c>
      <c r="J300" s="179">
        <v>48000</v>
      </c>
      <c r="K300" s="179"/>
      <c r="L300" s="46">
        <f t="shared" si="38"/>
        <v>1130399.9999999998</v>
      </c>
    </row>
    <row r="301" spans="2:12" x14ac:dyDescent="0.35">
      <c r="B301" s="71"/>
      <c r="C301" s="72"/>
      <c r="D301" s="73"/>
      <c r="E301" s="74"/>
      <c r="F301" s="74" t="s">
        <v>88</v>
      </c>
      <c r="G301" s="75" t="s">
        <v>297</v>
      </c>
      <c r="H301" s="76">
        <v>23.549999999999997</v>
      </c>
      <c r="I301" s="75" t="s">
        <v>74</v>
      </c>
      <c r="J301" s="179">
        <v>48000</v>
      </c>
      <c r="K301" s="179"/>
      <c r="L301" s="46">
        <f t="shared" si="38"/>
        <v>1130399.9999999998</v>
      </c>
    </row>
    <row r="302" spans="2:12" x14ac:dyDescent="0.35">
      <c r="B302" s="71"/>
      <c r="C302" s="72"/>
      <c r="D302" s="73"/>
      <c r="E302" s="74"/>
      <c r="F302" s="74" t="s">
        <v>88</v>
      </c>
      <c r="G302" s="75" t="s">
        <v>298</v>
      </c>
      <c r="H302" s="76">
        <v>18.84</v>
      </c>
      <c r="I302" s="75" t="s">
        <v>74</v>
      </c>
      <c r="J302" s="179">
        <v>48000</v>
      </c>
      <c r="K302" s="179"/>
      <c r="L302" s="46">
        <f t="shared" si="38"/>
        <v>904320</v>
      </c>
    </row>
    <row r="303" spans="2:12" x14ac:dyDescent="0.35">
      <c r="B303" s="71"/>
      <c r="C303" s="72"/>
      <c r="D303" s="73"/>
      <c r="E303" s="74"/>
      <c r="F303" s="74" t="s">
        <v>88</v>
      </c>
      <c r="G303" s="75" t="s">
        <v>299</v>
      </c>
      <c r="H303" s="175">
        <v>28.259999999999998</v>
      </c>
      <c r="I303" s="75" t="s">
        <v>74</v>
      </c>
      <c r="J303" s="179">
        <v>48000</v>
      </c>
      <c r="K303" s="179"/>
      <c r="L303" s="46">
        <f t="shared" si="38"/>
        <v>1356480</v>
      </c>
    </row>
    <row r="304" spans="2:12" x14ac:dyDescent="0.35">
      <c r="B304" s="71"/>
      <c r="C304" s="72"/>
      <c r="D304" s="73"/>
      <c r="E304" s="74"/>
      <c r="F304" s="74" t="s">
        <v>88</v>
      </c>
      <c r="G304" s="75" t="s">
        <v>300</v>
      </c>
      <c r="H304" s="175">
        <v>10.851839999999997</v>
      </c>
      <c r="I304" s="75" t="s">
        <v>74</v>
      </c>
      <c r="J304" s="179">
        <v>48000</v>
      </c>
      <c r="K304" s="179"/>
      <c r="L304" s="46">
        <f t="shared" si="38"/>
        <v>520888.31999999989</v>
      </c>
    </row>
    <row r="305" spans="2:12" x14ac:dyDescent="0.35">
      <c r="B305" s="71"/>
      <c r="C305" s="72"/>
      <c r="D305" s="73"/>
      <c r="E305" s="74"/>
      <c r="F305" s="74" t="s">
        <v>88</v>
      </c>
      <c r="G305" s="75" t="s">
        <v>301</v>
      </c>
      <c r="H305" s="175">
        <v>12.660479999999998</v>
      </c>
      <c r="I305" s="75" t="s">
        <v>74</v>
      </c>
      <c r="J305" s="179">
        <v>48000</v>
      </c>
      <c r="K305" s="179"/>
      <c r="L305" s="46">
        <f t="shared" si="38"/>
        <v>607703.03999999992</v>
      </c>
    </row>
    <row r="306" spans="2:12" x14ac:dyDescent="0.35">
      <c r="B306" s="71"/>
      <c r="C306" s="72"/>
      <c r="D306" s="73"/>
      <c r="E306" s="74"/>
      <c r="F306" s="74" t="s">
        <v>88</v>
      </c>
      <c r="G306" s="75" t="s">
        <v>107</v>
      </c>
      <c r="H306" s="76">
        <v>17.362943999999999</v>
      </c>
      <c r="I306" s="75" t="s">
        <v>74</v>
      </c>
      <c r="J306" s="179">
        <v>48000</v>
      </c>
      <c r="K306" s="179"/>
      <c r="L306" s="46">
        <f t="shared" si="38"/>
        <v>833421.31199999992</v>
      </c>
    </row>
    <row r="307" spans="2:12" x14ac:dyDescent="0.35">
      <c r="B307" s="71"/>
      <c r="C307" s="72"/>
      <c r="D307" s="73" t="s">
        <v>49</v>
      </c>
      <c r="E307" s="74"/>
      <c r="F307" s="74" t="s">
        <v>109</v>
      </c>
      <c r="G307" s="74"/>
      <c r="H307" s="135"/>
      <c r="I307" s="75"/>
      <c r="J307" s="50"/>
      <c r="K307" s="29"/>
      <c r="L307" s="52"/>
    </row>
    <row r="308" spans="2:12" x14ac:dyDescent="0.35">
      <c r="B308" s="71"/>
      <c r="C308" s="72"/>
      <c r="D308" s="73"/>
      <c r="E308" s="74"/>
      <c r="F308" s="74" t="s">
        <v>88</v>
      </c>
      <c r="G308" s="74" t="s">
        <v>302</v>
      </c>
      <c r="H308" s="175">
        <v>105.97499999999998</v>
      </c>
      <c r="I308" s="75" t="s">
        <v>74</v>
      </c>
      <c r="J308" s="179">
        <v>48000</v>
      </c>
      <c r="K308" s="179"/>
      <c r="L308" s="46">
        <f t="shared" ref="L308:L331" si="39">J308*H308</f>
        <v>5086799.9999999991</v>
      </c>
    </row>
    <row r="309" spans="2:12" x14ac:dyDescent="0.35">
      <c r="B309" s="71"/>
      <c r="C309" s="72"/>
      <c r="D309" s="73"/>
      <c r="E309" s="74"/>
      <c r="F309" s="74" t="s">
        <v>88</v>
      </c>
      <c r="G309" s="74" t="s">
        <v>303</v>
      </c>
      <c r="H309" s="175">
        <v>13.564799999999998</v>
      </c>
      <c r="I309" s="75" t="s">
        <v>74</v>
      </c>
      <c r="J309" s="179">
        <v>48000</v>
      </c>
      <c r="K309" s="179"/>
      <c r="L309" s="46">
        <f t="shared" si="39"/>
        <v>651110.39999999991</v>
      </c>
    </row>
    <row r="310" spans="2:12" x14ac:dyDescent="0.35">
      <c r="B310" s="136"/>
      <c r="C310" s="137"/>
      <c r="D310" s="138"/>
      <c r="E310" s="137"/>
      <c r="F310" s="139" t="s">
        <v>88</v>
      </c>
      <c r="G310" s="140" t="s">
        <v>304</v>
      </c>
      <c r="H310" s="176">
        <v>20.57328</v>
      </c>
      <c r="I310" s="141" t="s">
        <v>74</v>
      </c>
      <c r="J310" s="179">
        <v>48000</v>
      </c>
      <c r="K310" s="179"/>
      <c r="L310" s="46">
        <f t="shared" si="39"/>
        <v>987517.44000000006</v>
      </c>
    </row>
    <row r="311" spans="2:12" x14ac:dyDescent="0.35">
      <c r="B311" s="136"/>
      <c r="C311" s="137"/>
      <c r="D311" s="142"/>
      <c r="E311" s="137"/>
      <c r="F311" s="137" t="s">
        <v>88</v>
      </c>
      <c r="G311" s="143" t="s">
        <v>305</v>
      </c>
      <c r="H311" s="176">
        <v>17.182079999999999</v>
      </c>
      <c r="I311" s="144" t="s">
        <v>74</v>
      </c>
      <c r="J311" s="179">
        <v>48000</v>
      </c>
      <c r="K311" s="179"/>
      <c r="L311" s="46">
        <f t="shared" si="39"/>
        <v>824739.83999999997</v>
      </c>
    </row>
    <row r="312" spans="2:12" x14ac:dyDescent="0.35">
      <c r="B312" s="136"/>
      <c r="C312" s="137"/>
      <c r="D312" s="142"/>
      <c r="E312" s="137"/>
      <c r="F312" s="137" t="s">
        <v>88</v>
      </c>
      <c r="G312" s="143" t="s">
        <v>306</v>
      </c>
      <c r="H312" s="176">
        <v>6.7824</v>
      </c>
      <c r="I312" s="144" t="s">
        <v>74</v>
      </c>
      <c r="J312" s="179">
        <v>48000</v>
      </c>
      <c r="K312" s="179"/>
      <c r="L312" s="46">
        <f t="shared" si="39"/>
        <v>325555.20000000001</v>
      </c>
    </row>
    <row r="313" spans="2:12" x14ac:dyDescent="0.35">
      <c r="B313" s="136"/>
      <c r="C313" s="137"/>
      <c r="D313" s="142"/>
      <c r="E313" s="137"/>
      <c r="F313" s="137" t="s">
        <v>88</v>
      </c>
      <c r="G313" s="143" t="s">
        <v>287</v>
      </c>
      <c r="H313" s="176">
        <v>613.12896000000001</v>
      </c>
      <c r="I313" s="144" t="s">
        <v>74</v>
      </c>
      <c r="J313" s="179">
        <v>48000</v>
      </c>
      <c r="K313" s="179"/>
      <c r="L313" s="46">
        <f t="shared" si="39"/>
        <v>29430190.080000002</v>
      </c>
    </row>
    <row r="314" spans="2:12" x14ac:dyDescent="0.35">
      <c r="B314" s="136"/>
      <c r="C314" s="137"/>
      <c r="D314" s="142"/>
      <c r="E314" s="137"/>
      <c r="F314" s="137" t="s">
        <v>88</v>
      </c>
      <c r="G314" s="143" t="s">
        <v>288</v>
      </c>
      <c r="H314" s="176">
        <v>463.46399999999994</v>
      </c>
      <c r="I314" s="144" t="s">
        <v>74</v>
      </c>
      <c r="J314" s="179">
        <v>48000</v>
      </c>
      <c r="K314" s="179"/>
      <c r="L314" s="46">
        <f t="shared" si="39"/>
        <v>22246271.999999996</v>
      </c>
    </row>
    <row r="315" spans="2:12" x14ac:dyDescent="0.35">
      <c r="B315" s="136"/>
      <c r="C315" s="137"/>
      <c r="D315" s="138"/>
      <c r="E315" s="137"/>
      <c r="F315" s="139" t="s">
        <v>88</v>
      </c>
      <c r="G315" s="146" t="s">
        <v>266</v>
      </c>
      <c r="H315" s="176">
        <v>204.37631999999999</v>
      </c>
      <c r="I315" s="141" t="s">
        <v>74</v>
      </c>
      <c r="J315" s="179">
        <v>48000</v>
      </c>
      <c r="K315" s="179"/>
      <c r="L315" s="46">
        <f t="shared" si="39"/>
        <v>9810063.3599999994</v>
      </c>
    </row>
    <row r="316" spans="2:12" x14ac:dyDescent="0.35">
      <c r="B316" s="71"/>
      <c r="C316" s="72"/>
      <c r="D316" s="73"/>
      <c r="E316" s="74"/>
      <c r="F316" s="74" t="s">
        <v>88</v>
      </c>
      <c r="G316" s="74" t="s">
        <v>307</v>
      </c>
      <c r="H316" s="175">
        <v>175.11779999999999</v>
      </c>
      <c r="I316" s="147" t="s">
        <v>74</v>
      </c>
      <c r="J316" s="179">
        <v>48000</v>
      </c>
      <c r="K316" s="179"/>
      <c r="L316" s="46">
        <f t="shared" si="39"/>
        <v>8405654.3999999985</v>
      </c>
    </row>
    <row r="317" spans="2:12" x14ac:dyDescent="0.35">
      <c r="B317" s="71"/>
      <c r="C317" s="72"/>
      <c r="D317" s="73"/>
      <c r="E317" s="74"/>
      <c r="F317" s="74" t="s">
        <v>88</v>
      </c>
      <c r="G317" s="74" t="s">
        <v>308</v>
      </c>
      <c r="H317" s="175">
        <v>72.96575</v>
      </c>
      <c r="I317" s="147" t="s">
        <v>74</v>
      </c>
      <c r="J317" s="179">
        <v>48000</v>
      </c>
      <c r="K317" s="179"/>
      <c r="L317" s="46">
        <f t="shared" si="39"/>
        <v>3502356</v>
      </c>
    </row>
    <row r="318" spans="2:12" x14ac:dyDescent="0.35">
      <c r="B318" s="71"/>
      <c r="C318" s="72"/>
      <c r="D318" s="73"/>
      <c r="E318" s="74"/>
      <c r="F318" s="74" t="s">
        <v>88</v>
      </c>
      <c r="G318" s="74" t="s">
        <v>290</v>
      </c>
      <c r="H318" s="175">
        <v>22.608000000000001</v>
      </c>
      <c r="I318" s="75" t="s">
        <v>74</v>
      </c>
      <c r="J318" s="179">
        <v>48000</v>
      </c>
      <c r="K318" s="179"/>
      <c r="L318" s="46">
        <f t="shared" si="39"/>
        <v>1085184</v>
      </c>
    </row>
    <row r="319" spans="2:12" x14ac:dyDescent="0.35">
      <c r="B319" s="71"/>
      <c r="C319" s="72"/>
      <c r="D319" s="73"/>
      <c r="E319" s="74"/>
      <c r="F319" s="74" t="s">
        <v>88</v>
      </c>
      <c r="G319" s="74" t="s">
        <v>291</v>
      </c>
      <c r="H319" s="175">
        <v>204.37631999999999</v>
      </c>
      <c r="I319" s="75" t="s">
        <v>74</v>
      </c>
      <c r="J319" s="179">
        <v>48000</v>
      </c>
      <c r="K319" s="179"/>
      <c r="L319" s="46">
        <f t="shared" si="39"/>
        <v>9810063.3599999994</v>
      </c>
    </row>
    <row r="320" spans="2:12" x14ac:dyDescent="0.35">
      <c r="B320" s="93"/>
      <c r="C320" s="74"/>
      <c r="D320" s="75"/>
      <c r="E320" s="74"/>
      <c r="F320" s="74" t="s">
        <v>88</v>
      </c>
      <c r="G320" s="74" t="s">
        <v>309</v>
      </c>
      <c r="H320" s="175">
        <v>262.25279999999998</v>
      </c>
      <c r="I320" s="75" t="s">
        <v>74</v>
      </c>
      <c r="J320" s="179">
        <v>48000</v>
      </c>
      <c r="K320" s="179"/>
      <c r="L320" s="46">
        <f t="shared" si="39"/>
        <v>12588134.399999999</v>
      </c>
    </row>
    <row r="321" spans="2:12" x14ac:dyDescent="0.35">
      <c r="B321" s="71"/>
      <c r="C321" s="72"/>
      <c r="D321" s="73"/>
      <c r="E321" s="74"/>
      <c r="F321" s="74" t="s">
        <v>88</v>
      </c>
      <c r="G321" s="74" t="s">
        <v>310</v>
      </c>
      <c r="H321" s="175">
        <v>70.649999999999991</v>
      </c>
      <c r="I321" s="75" t="s">
        <v>74</v>
      </c>
      <c r="J321" s="179">
        <v>48000</v>
      </c>
      <c r="K321" s="179"/>
      <c r="L321" s="46">
        <f t="shared" si="39"/>
        <v>3391199.9999999995</v>
      </c>
    </row>
    <row r="322" spans="2:12" x14ac:dyDescent="0.35">
      <c r="B322" s="71"/>
      <c r="C322" s="72"/>
      <c r="D322" s="73"/>
      <c r="E322" s="74"/>
      <c r="F322" s="74" t="s">
        <v>88</v>
      </c>
      <c r="G322" s="74" t="s">
        <v>311</v>
      </c>
      <c r="H322" s="175">
        <v>56.519999999999996</v>
      </c>
      <c r="I322" s="75" t="s">
        <v>74</v>
      </c>
      <c r="J322" s="179">
        <v>48000</v>
      </c>
      <c r="K322" s="179"/>
      <c r="L322" s="46">
        <f t="shared" si="39"/>
        <v>2712960</v>
      </c>
    </row>
    <row r="323" spans="2:12" x14ac:dyDescent="0.35">
      <c r="B323" s="71"/>
      <c r="C323" s="72"/>
      <c r="D323" s="73"/>
      <c r="E323" s="74"/>
      <c r="F323" s="74" t="s">
        <v>88</v>
      </c>
      <c r="G323" s="74" t="s">
        <v>312</v>
      </c>
      <c r="H323" s="175">
        <v>30.143999999999995</v>
      </c>
      <c r="I323" s="75" t="s">
        <v>74</v>
      </c>
      <c r="J323" s="179">
        <v>48000</v>
      </c>
      <c r="K323" s="179"/>
      <c r="L323" s="46">
        <f t="shared" si="39"/>
        <v>1446911.9999999998</v>
      </c>
    </row>
    <row r="324" spans="2:12" x14ac:dyDescent="0.35">
      <c r="B324" s="71"/>
      <c r="C324" s="72"/>
      <c r="D324" s="73"/>
      <c r="E324" s="74"/>
      <c r="F324" s="74" t="s">
        <v>88</v>
      </c>
      <c r="G324" s="74" t="s">
        <v>295</v>
      </c>
      <c r="H324" s="175">
        <v>49.737599999999993</v>
      </c>
      <c r="I324" s="75" t="s">
        <v>74</v>
      </c>
      <c r="J324" s="179">
        <v>48000</v>
      </c>
      <c r="K324" s="179"/>
      <c r="L324" s="46">
        <f t="shared" si="39"/>
        <v>2387404.7999999998</v>
      </c>
    </row>
    <row r="325" spans="2:12" x14ac:dyDescent="0.35">
      <c r="B325" s="71"/>
      <c r="C325" s="72"/>
      <c r="D325" s="73"/>
      <c r="E325" s="74"/>
      <c r="F325" s="74" t="s">
        <v>88</v>
      </c>
      <c r="G325" s="74" t="s">
        <v>313</v>
      </c>
      <c r="H325" s="175">
        <v>18.84</v>
      </c>
      <c r="I325" s="75" t="s">
        <v>74</v>
      </c>
      <c r="J325" s="179">
        <v>48000</v>
      </c>
      <c r="K325" s="179"/>
      <c r="L325" s="46">
        <f t="shared" si="39"/>
        <v>904320</v>
      </c>
    </row>
    <row r="326" spans="2:12" x14ac:dyDescent="0.35">
      <c r="B326" s="71"/>
      <c r="C326" s="72"/>
      <c r="D326" s="73"/>
      <c r="E326" s="74"/>
      <c r="F326" s="74" t="s">
        <v>88</v>
      </c>
      <c r="G326" s="75" t="s">
        <v>314</v>
      </c>
      <c r="H326" s="76">
        <v>18.84</v>
      </c>
      <c r="I326" s="75" t="s">
        <v>74</v>
      </c>
      <c r="J326" s="179">
        <v>48000</v>
      </c>
      <c r="K326" s="179"/>
      <c r="L326" s="46">
        <f t="shared" si="39"/>
        <v>904320</v>
      </c>
    </row>
    <row r="327" spans="2:12" x14ac:dyDescent="0.35">
      <c r="B327" s="71"/>
      <c r="C327" s="72"/>
      <c r="D327" s="73"/>
      <c r="E327" s="74"/>
      <c r="F327" s="74" t="s">
        <v>88</v>
      </c>
      <c r="G327" s="75" t="s">
        <v>315</v>
      </c>
      <c r="H327" s="76">
        <v>19.782</v>
      </c>
      <c r="I327" s="75" t="s">
        <v>74</v>
      </c>
      <c r="J327" s="179">
        <v>48000</v>
      </c>
      <c r="K327" s="179"/>
      <c r="L327" s="46">
        <f t="shared" si="39"/>
        <v>949536</v>
      </c>
    </row>
    <row r="328" spans="2:12" x14ac:dyDescent="0.35">
      <c r="B328" s="71"/>
      <c r="C328" s="72"/>
      <c r="D328" s="73"/>
      <c r="E328" s="74"/>
      <c r="F328" s="74" t="s">
        <v>88</v>
      </c>
      <c r="G328" s="75" t="s">
        <v>316</v>
      </c>
      <c r="H328" s="76">
        <v>29.672999999999998</v>
      </c>
      <c r="I328" s="75" t="s">
        <v>74</v>
      </c>
      <c r="J328" s="179">
        <v>48000</v>
      </c>
      <c r="K328" s="179"/>
      <c r="L328" s="46">
        <f t="shared" si="39"/>
        <v>1424304</v>
      </c>
    </row>
    <row r="329" spans="2:12" x14ac:dyDescent="0.35">
      <c r="B329" s="54"/>
      <c r="C329" s="55"/>
      <c r="D329" s="56"/>
      <c r="E329" s="57"/>
      <c r="F329" s="57" t="s">
        <v>88</v>
      </c>
      <c r="G329" s="58" t="s">
        <v>300</v>
      </c>
      <c r="H329" s="77">
        <v>10.851839999999997</v>
      </c>
      <c r="I329" s="58" t="s">
        <v>74</v>
      </c>
      <c r="J329" s="179">
        <v>48000</v>
      </c>
      <c r="K329" s="179"/>
      <c r="L329" s="46">
        <f t="shared" si="39"/>
        <v>520888.31999999989</v>
      </c>
    </row>
    <row r="330" spans="2:12" x14ac:dyDescent="0.35">
      <c r="B330" s="71"/>
      <c r="C330" s="72"/>
      <c r="D330" s="73"/>
      <c r="E330" s="74"/>
      <c r="F330" s="74" t="s">
        <v>88</v>
      </c>
      <c r="G330" s="75" t="s">
        <v>317</v>
      </c>
      <c r="H330" s="76">
        <v>13.564799999999998</v>
      </c>
      <c r="I330" s="75" t="s">
        <v>74</v>
      </c>
      <c r="J330" s="179">
        <v>48000</v>
      </c>
      <c r="K330" s="179"/>
      <c r="L330" s="46">
        <f t="shared" si="39"/>
        <v>651110.39999999991</v>
      </c>
    </row>
    <row r="331" spans="2:12" x14ac:dyDescent="0.35">
      <c r="B331" s="71"/>
      <c r="C331" s="72"/>
      <c r="D331" s="73"/>
      <c r="E331" s="74"/>
      <c r="F331" s="74" t="s">
        <v>88</v>
      </c>
      <c r="G331" s="75" t="s">
        <v>107</v>
      </c>
      <c r="H331" s="76">
        <v>17.362943999999999</v>
      </c>
      <c r="I331" s="75" t="s">
        <v>74</v>
      </c>
      <c r="J331" s="179">
        <v>48000</v>
      </c>
      <c r="K331" s="179"/>
      <c r="L331" s="46">
        <f t="shared" si="39"/>
        <v>833421.31199999992</v>
      </c>
    </row>
    <row r="332" spans="2:12" x14ac:dyDescent="0.35">
      <c r="B332" s="71"/>
      <c r="C332" s="72"/>
      <c r="D332" s="73" t="s">
        <v>51</v>
      </c>
      <c r="E332" s="74"/>
      <c r="F332" s="74" t="s">
        <v>110</v>
      </c>
      <c r="G332" s="75"/>
      <c r="H332" s="78"/>
      <c r="I332" s="75"/>
      <c r="J332" s="50"/>
      <c r="K332" s="29"/>
      <c r="L332" s="52"/>
    </row>
    <row r="333" spans="2:12" x14ac:dyDescent="0.35">
      <c r="B333" s="71"/>
      <c r="C333" s="72"/>
      <c r="D333" s="73"/>
      <c r="E333" s="74"/>
      <c r="F333" s="74" t="s">
        <v>88</v>
      </c>
      <c r="G333" s="75" t="s">
        <v>318</v>
      </c>
      <c r="H333" s="76">
        <v>93.069599999999994</v>
      </c>
      <c r="I333" s="75" t="s">
        <v>74</v>
      </c>
      <c r="J333" s="179">
        <v>48000</v>
      </c>
      <c r="K333" s="179"/>
      <c r="L333" s="46">
        <f t="shared" ref="L333:L336" si="40">J333*H333</f>
        <v>4467340.8</v>
      </c>
    </row>
    <row r="334" spans="2:12" x14ac:dyDescent="0.35">
      <c r="B334" s="71"/>
      <c r="C334" s="72"/>
      <c r="D334" s="73"/>
      <c r="E334" s="74"/>
      <c r="F334" s="74" t="s">
        <v>88</v>
      </c>
      <c r="G334" s="75" t="s">
        <v>319</v>
      </c>
      <c r="H334" s="76">
        <v>45.442079999999997</v>
      </c>
      <c r="I334" s="75" t="s">
        <v>74</v>
      </c>
      <c r="J334" s="179">
        <v>48000</v>
      </c>
      <c r="K334" s="179"/>
      <c r="L334" s="46">
        <f t="shared" si="40"/>
        <v>2181219.84</v>
      </c>
    </row>
    <row r="335" spans="2:12" x14ac:dyDescent="0.35">
      <c r="B335" s="71"/>
      <c r="C335" s="72"/>
      <c r="D335" s="73"/>
      <c r="E335" s="74"/>
      <c r="F335" s="74" t="s">
        <v>88</v>
      </c>
      <c r="G335" s="75" t="s">
        <v>320</v>
      </c>
      <c r="H335" s="76">
        <v>149.77799999999999</v>
      </c>
      <c r="I335" s="75" t="s">
        <v>74</v>
      </c>
      <c r="J335" s="179">
        <v>48000</v>
      </c>
      <c r="K335" s="179"/>
      <c r="L335" s="46">
        <f t="shared" si="40"/>
        <v>7189344</v>
      </c>
    </row>
    <row r="336" spans="2:12" x14ac:dyDescent="0.35">
      <c r="B336" s="71"/>
      <c r="C336" s="72"/>
      <c r="D336" s="73"/>
      <c r="E336" s="74"/>
      <c r="F336" s="74" t="s">
        <v>88</v>
      </c>
      <c r="G336" s="75" t="s">
        <v>321</v>
      </c>
      <c r="H336" s="76">
        <v>60.287999999999997</v>
      </c>
      <c r="I336" s="75" t="s">
        <v>74</v>
      </c>
      <c r="J336" s="179">
        <v>48000</v>
      </c>
      <c r="K336" s="179"/>
      <c r="L336" s="46">
        <f t="shared" si="40"/>
        <v>2893824</v>
      </c>
    </row>
    <row r="337" spans="2:12" x14ac:dyDescent="0.35">
      <c r="B337" s="71"/>
      <c r="C337" s="72"/>
      <c r="D337" s="73" t="s">
        <v>61</v>
      </c>
      <c r="E337" s="74"/>
      <c r="F337" s="74" t="s">
        <v>322</v>
      </c>
      <c r="G337" s="75"/>
      <c r="H337" s="76"/>
      <c r="I337" s="75"/>
      <c r="J337" s="50"/>
      <c r="K337" s="29"/>
      <c r="L337" s="52"/>
    </row>
    <row r="338" spans="2:12" x14ac:dyDescent="0.35">
      <c r="B338" s="71"/>
      <c r="C338" s="72"/>
      <c r="D338" s="73"/>
      <c r="E338" s="74"/>
      <c r="F338" s="74" t="s">
        <v>88</v>
      </c>
      <c r="G338" s="75" t="s">
        <v>323</v>
      </c>
      <c r="H338" s="76">
        <v>31.651199999999999</v>
      </c>
      <c r="I338" s="75" t="s">
        <v>74</v>
      </c>
      <c r="J338" s="179">
        <v>48000</v>
      </c>
      <c r="K338" s="179"/>
      <c r="L338" s="46">
        <f t="shared" ref="L338:L339" si="41">J338*H338</f>
        <v>1519257.5999999999</v>
      </c>
    </row>
    <row r="339" spans="2:12" x14ac:dyDescent="0.35">
      <c r="B339" s="71"/>
      <c r="C339" s="72"/>
      <c r="D339" s="73"/>
      <c r="E339" s="74"/>
      <c r="F339" s="74" t="s">
        <v>88</v>
      </c>
      <c r="G339" s="75" t="s">
        <v>324</v>
      </c>
      <c r="H339" s="76">
        <v>64.432799999999986</v>
      </c>
      <c r="I339" s="75" t="s">
        <v>74</v>
      </c>
      <c r="J339" s="179">
        <v>48000</v>
      </c>
      <c r="K339" s="179"/>
      <c r="L339" s="46">
        <f t="shared" si="41"/>
        <v>3092774.3999999994</v>
      </c>
    </row>
    <row r="340" spans="2:12" x14ac:dyDescent="0.35">
      <c r="B340" s="47"/>
      <c r="C340" s="48"/>
      <c r="D340" s="24"/>
      <c r="G340" s="22"/>
      <c r="I340" s="22"/>
      <c r="J340" s="50"/>
      <c r="K340" s="29"/>
      <c r="L340" s="52"/>
    </row>
    <row r="341" spans="2:12" x14ac:dyDescent="0.35">
      <c r="B341" s="8"/>
      <c r="C341" s="9"/>
      <c r="D341" s="10"/>
      <c r="E341" s="4"/>
      <c r="F341" s="4"/>
      <c r="G341" s="4"/>
      <c r="H341" s="1"/>
      <c r="I341" s="1"/>
      <c r="J341" s="11" t="s">
        <v>8</v>
      </c>
      <c r="K341" s="7">
        <f>SUM(K288:K340)</f>
        <v>0</v>
      </c>
      <c r="L341" s="7">
        <f>SUM(L288:L340)</f>
        <v>258145182.62400007</v>
      </c>
    </row>
    <row r="342" spans="2:12" x14ac:dyDescent="0.35">
      <c r="B342" s="8"/>
      <c r="C342" s="9"/>
      <c r="D342" s="9"/>
      <c r="E342" s="4"/>
      <c r="F342" s="4"/>
      <c r="G342" s="4"/>
      <c r="H342" s="1"/>
      <c r="I342" s="1"/>
      <c r="J342" s="11"/>
      <c r="K342" s="35" t="s">
        <v>22</v>
      </c>
      <c r="L342" s="36" t="s">
        <v>23</v>
      </c>
    </row>
    <row r="343" spans="2:12" x14ac:dyDescent="0.35">
      <c r="B343" s="3" t="s">
        <v>9</v>
      </c>
      <c r="C343" s="4"/>
      <c r="D343" s="4"/>
      <c r="E343" s="4"/>
      <c r="F343" s="4"/>
      <c r="G343" s="4"/>
      <c r="H343" s="1"/>
      <c r="I343" s="1"/>
      <c r="J343" s="12"/>
      <c r="K343" s="12"/>
      <c r="L343" s="13"/>
    </row>
    <row r="344" spans="2:12" x14ac:dyDescent="0.35">
      <c r="B344" s="37"/>
      <c r="C344" s="1"/>
      <c r="D344" s="1"/>
      <c r="E344" s="38"/>
      <c r="F344" s="38"/>
      <c r="G344" s="38"/>
      <c r="H344" s="1"/>
      <c r="I344" s="1"/>
      <c r="J344" s="1"/>
      <c r="K344" s="1"/>
      <c r="L344" s="19"/>
    </row>
    <row r="345" spans="2:12" x14ac:dyDescent="0.35">
      <c r="B345" s="28" t="s">
        <v>6</v>
      </c>
      <c r="C345" s="27"/>
      <c r="D345" s="27"/>
      <c r="E345" s="26"/>
      <c r="F345" s="26"/>
      <c r="G345" s="5"/>
      <c r="K345" s="232" t="s">
        <v>374</v>
      </c>
      <c r="L345" s="233"/>
    </row>
    <row r="346" spans="2:12" x14ac:dyDescent="0.35">
      <c r="B346" s="28">
        <v>1</v>
      </c>
      <c r="C346" s="27"/>
      <c r="D346" s="27"/>
      <c r="E346" s="26" t="s">
        <v>7</v>
      </c>
      <c r="F346" s="26"/>
      <c r="G346" s="5"/>
      <c r="K346" s="232" t="s">
        <v>28</v>
      </c>
      <c r="L346" s="233"/>
    </row>
    <row r="347" spans="2:12" x14ac:dyDescent="0.35">
      <c r="B347" s="39"/>
      <c r="C347" s="27"/>
      <c r="D347" s="27"/>
      <c r="E347" s="26"/>
      <c r="F347" s="26"/>
      <c r="G347" s="5"/>
      <c r="J347" s="25"/>
      <c r="K347" s="25"/>
      <c r="L347" s="24"/>
    </row>
    <row r="348" spans="2:12" x14ac:dyDescent="0.35">
      <c r="B348" s="28"/>
      <c r="C348" s="27"/>
      <c r="D348" s="27"/>
      <c r="E348" s="26"/>
      <c r="F348" s="26"/>
      <c r="G348" s="5"/>
      <c r="L348" s="22"/>
    </row>
    <row r="349" spans="2:12" x14ac:dyDescent="0.35">
      <c r="B349" s="45"/>
      <c r="E349" s="5"/>
      <c r="F349" s="5"/>
      <c r="G349" s="5"/>
      <c r="L349" s="22"/>
    </row>
    <row r="350" spans="2:12" x14ac:dyDescent="0.35">
      <c r="B350" s="45"/>
      <c r="E350" s="5"/>
      <c r="F350" s="5"/>
      <c r="G350" s="5"/>
      <c r="L350" s="22"/>
    </row>
    <row r="351" spans="2:12" x14ac:dyDescent="0.35">
      <c r="B351" s="45"/>
      <c r="E351" s="5"/>
      <c r="F351" s="5"/>
      <c r="G351" s="5"/>
      <c r="L351" s="22"/>
    </row>
    <row r="352" spans="2:12" x14ac:dyDescent="0.35">
      <c r="B352" s="45"/>
      <c r="E352" s="5"/>
      <c r="F352" s="5"/>
      <c r="G352" s="5"/>
      <c r="J352" s="40"/>
      <c r="K352" s="234" t="s">
        <v>36</v>
      </c>
      <c r="L352" s="235"/>
    </row>
    <row r="353" spans="2:12" x14ac:dyDescent="0.35">
      <c r="B353" s="45"/>
      <c r="K353" s="236" t="s">
        <v>37</v>
      </c>
      <c r="L353" s="237"/>
    </row>
    <row r="354" spans="2:12" x14ac:dyDescent="0.35">
      <c r="B354" s="238"/>
      <c r="C354" s="239"/>
      <c r="D354" s="239"/>
      <c r="E354" s="41"/>
      <c r="F354" s="41"/>
      <c r="G354" s="41"/>
      <c r="H354" s="2"/>
      <c r="I354" s="2"/>
      <c r="J354" s="2"/>
      <c r="K354" s="2"/>
      <c r="L354" s="21"/>
    </row>
    <row r="355" spans="2:12" x14ac:dyDescent="0.35">
      <c r="B355" s="47"/>
      <c r="C355" s="48"/>
      <c r="D355" s="49"/>
      <c r="G355" s="22"/>
      <c r="H355" s="1"/>
      <c r="I355" s="1"/>
      <c r="J355" s="43"/>
      <c r="K355" s="30"/>
      <c r="L355" s="44"/>
    </row>
    <row r="356" spans="2:12" x14ac:dyDescent="0.35">
      <c r="B356" s="71"/>
      <c r="C356" s="72"/>
      <c r="D356" s="73"/>
      <c r="E356" s="74"/>
      <c r="F356" s="74" t="s">
        <v>88</v>
      </c>
      <c r="G356" s="75" t="s">
        <v>325</v>
      </c>
      <c r="H356" s="76">
        <v>58.403999999999996</v>
      </c>
      <c r="I356" s="75" t="s">
        <v>74</v>
      </c>
      <c r="J356" s="179">
        <v>48000</v>
      </c>
      <c r="K356" s="179"/>
      <c r="L356" s="46">
        <f t="shared" ref="L356:L357" si="42">J356*H356</f>
        <v>2803392</v>
      </c>
    </row>
    <row r="357" spans="2:12" x14ac:dyDescent="0.35">
      <c r="B357" s="71"/>
      <c r="C357" s="72"/>
      <c r="D357" s="73"/>
      <c r="E357" s="74"/>
      <c r="F357" s="74" t="s">
        <v>88</v>
      </c>
      <c r="G357" s="75" t="s">
        <v>326</v>
      </c>
      <c r="H357" s="76">
        <v>35.042399999999994</v>
      </c>
      <c r="I357" s="75" t="s">
        <v>74</v>
      </c>
      <c r="J357" s="179">
        <v>48000</v>
      </c>
      <c r="K357" s="179"/>
      <c r="L357" s="46">
        <f t="shared" si="42"/>
        <v>1682035.1999999997</v>
      </c>
    </row>
    <row r="358" spans="2:12" x14ac:dyDescent="0.35">
      <c r="B358" s="86" t="s">
        <v>53</v>
      </c>
      <c r="C358" s="87"/>
      <c r="D358" s="88"/>
      <c r="E358" s="89" t="s">
        <v>18</v>
      </c>
      <c r="F358" s="89"/>
      <c r="G358" s="90"/>
      <c r="H358" s="91"/>
      <c r="I358" s="90"/>
      <c r="J358" s="50"/>
      <c r="K358" s="29"/>
      <c r="L358" s="52"/>
    </row>
    <row r="359" spans="2:12" x14ac:dyDescent="0.35">
      <c r="B359" s="71"/>
      <c r="C359" s="72"/>
      <c r="D359" s="73" t="s">
        <v>39</v>
      </c>
      <c r="E359" s="74"/>
      <c r="F359" s="74" t="s">
        <v>111</v>
      </c>
      <c r="G359" s="75"/>
      <c r="H359" s="78">
        <v>1</v>
      </c>
      <c r="I359" s="75" t="s">
        <v>112</v>
      </c>
      <c r="J359" s="52">
        <v>16250000</v>
      </c>
      <c r="K359" s="178"/>
      <c r="L359" s="46">
        <f>J359*H359</f>
        <v>16250000</v>
      </c>
    </row>
    <row r="360" spans="2:12" x14ac:dyDescent="0.35">
      <c r="B360" s="71"/>
      <c r="C360" s="72"/>
      <c r="D360" s="73"/>
      <c r="E360" s="74"/>
      <c r="F360" s="74" t="s">
        <v>88</v>
      </c>
      <c r="G360" s="75" t="s">
        <v>330</v>
      </c>
      <c r="H360" s="76"/>
      <c r="I360" s="75"/>
      <c r="J360" s="50"/>
      <c r="K360" s="29"/>
      <c r="L360" s="52"/>
    </row>
    <row r="361" spans="2:12" x14ac:dyDescent="0.35">
      <c r="B361" s="71"/>
      <c r="C361" s="72"/>
      <c r="D361" s="73"/>
      <c r="E361" s="74"/>
      <c r="F361" s="74" t="s">
        <v>88</v>
      </c>
      <c r="G361" s="75" t="s">
        <v>331</v>
      </c>
      <c r="H361" s="76"/>
      <c r="I361" s="75"/>
      <c r="J361" s="50"/>
      <c r="K361" s="29"/>
      <c r="L361" s="52"/>
    </row>
    <row r="362" spans="2:12" x14ac:dyDescent="0.35">
      <c r="B362" s="71"/>
      <c r="C362" s="72"/>
      <c r="D362" s="73"/>
      <c r="E362" s="74"/>
      <c r="F362" s="74" t="s">
        <v>88</v>
      </c>
      <c r="G362" s="75" t="s">
        <v>332</v>
      </c>
      <c r="H362" s="76"/>
      <c r="I362" s="75"/>
      <c r="J362" s="50"/>
      <c r="K362" s="29"/>
      <c r="L362" s="52"/>
    </row>
    <row r="363" spans="2:12" x14ac:dyDescent="0.35">
      <c r="B363" s="71"/>
      <c r="C363" s="72"/>
      <c r="D363" s="73"/>
      <c r="E363" s="74"/>
      <c r="F363" s="74" t="s">
        <v>88</v>
      </c>
      <c r="G363" s="75" t="s">
        <v>333</v>
      </c>
      <c r="H363" s="76"/>
      <c r="I363" s="75"/>
      <c r="J363" s="50"/>
      <c r="K363" s="29"/>
      <c r="L363" s="52"/>
    </row>
    <row r="364" spans="2:12" x14ac:dyDescent="0.35">
      <c r="B364" s="71"/>
      <c r="C364" s="72"/>
      <c r="D364" s="73"/>
      <c r="E364" s="74"/>
      <c r="F364" s="74" t="s">
        <v>88</v>
      </c>
      <c r="G364" s="75" t="s">
        <v>334</v>
      </c>
      <c r="H364" s="76"/>
      <c r="I364" s="75"/>
      <c r="J364" s="50"/>
      <c r="K364" s="29"/>
      <c r="L364" s="52"/>
    </row>
    <row r="365" spans="2:12" x14ac:dyDescent="0.35">
      <c r="B365" s="71"/>
      <c r="C365" s="72"/>
      <c r="D365" s="73"/>
      <c r="E365" s="74"/>
      <c r="F365" s="74" t="s">
        <v>88</v>
      </c>
      <c r="G365" s="75" t="s">
        <v>335</v>
      </c>
      <c r="H365" s="76"/>
      <c r="I365" s="75"/>
      <c r="J365" s="50"/>
      <c r="K365" s="29"/>
      <c r="L365" s="52"/>
    </row>
    <row r="366" spans="2:12" x14ac:dyDescent="0.35">
      <c r="B366" s="71"/>
      <c r="C366" s="72"/>
      <c r="D366" s="73"/>
      <c r="E366" s="74"/>
      <c r="F366" s="74" t="s">
        <v>88</v>
      </c>
      <c r="G366" s="75" t="s">
        <v>370</v>
      </c>
      <c r="H366" s="78"/>
      <c r="I366" s="75"/>
      <c r="J366" s="50"/>
      <c r="K366" s="29"/>
      <c r="L366" s="52"/>
    </row>
    <row r="367" spans="2:12" x14ac:dyDescent="0.35">
      <c r="B367" s="148"/>
      <c r="C367" s="149"/>
      <c r="D367" s="150"/>
      <c r="E367" s="151"/>
      <c r="F367" s="140"/>
      <c r="G367" s="152"/>
      <c r="H367" s="155"/>
      <c r="I367" s="154"/>
      <c r="J367" s="50"/>
      <c r="K367" s="29"/>
      <c r="L367" s="52"/>
    </row>
    <row r="368" spans="2:12" x14ac:dyDescent="0.35">
      <c r="B368" s="184"/>
      <c r="C368" s="185"/>
      <c r="D368" s="186"/>
      <c r="E368" s="156"/>
      <c r="F368" s="157" t="s">
        <v>114</v>
      </c>
      <c r="G368" s="158"/>
      <c r="H368" s="182"/>
      <c r="I368" s="183"/>
      <c r="J368" s="50"/>
      <c r="K368" s="29"/>
      <c r="L368" s="52"/>
    </row>
    <row r="369" spans="2:12" x14ac:dyDescent="0.35">
      <c r="B369" s="86" t="s">
        <v>38</v>
      </c>
      <c r="C369" s="87"/>
      <c r="D369" s="88"/>
      <c r="E369" s="89" t="s">
        <v>113</v>
      </c>
      <c r="F369" s="89"/>
      <c r="G369" s="90"/>
      <c r="H369" s="91"/>
      <c r="I369" s="89"/>
      <c r="J369" s="50"/>
      <c r="K369" s="29"/>
      <c r="L369" s="52"/>
    </row>
    <row r="370" spans="2:12" s="181" customFormat="1" x14ac:dyDescent="0.35">
      <c r="B370" s="79"/>
      <c r="C370" s="80"/>
      <c r="D370" s="81" t="s">
        <v>39</v>
      </c>
      <c r="E370" s="82"/>
      <c r="F370" s="82" t="s">
        <v>367</v>
      </c>
      <c r="G370" s="83"/>
      <c r="H370" s="85">
        <v>1</v>
      </c>
      <c r="I370" s="82" t="s">
        <v>41</v>
      </c>
      <c r="J370" s="29">
        <v>10000000</v>
      </c>
      <c r="K370" s="178">
        <f t="shared" ref="K370" si="43">J370*H370</f>
        <v>10000000</v>
      </c>
      <c r="L370" s="52"/>
    </row>
    <row r="371" spans="2:12" s="193" customFormat="1" x14ac:dyDescent="0.35">
      <c r="B371" s="204"/>
      <c r="C371" s="205"/>
      <c r="D371" s="206"/>
      <c r="E371" s="207"/>
      <c r="F371" s="208"/>
      <c r="G371" s="209"/>
      <c r="H371" s="210"/>
      <c r="I371" s="211"/>
      <c r="J371" s="200"/>
      <c r="K371" s="201"/>
      <c r="L371" s="202"/>
    </row>
    <row r="372" spans="2:12" s="193" customFormat="1" x14ac:dyDescent="0.35">
      <c r="B372" s="194"/>
      <c r="C372" s="195"/>
      <c r="D372" s="196"/>
      <c r="E372" s="197"/>
      <c r="F372" s="197"/>
      <c r="G372" s="198"/>
      <c r="H372" s="199"/>
      <c r="I372" s="198"/>
      <c r="J372" s="200"/>
      <c r="K372" s="201"/>
      <c r="L372" s="202"/>
    </row>
    <row r="373" spans="2:12" s="193" customFormat="1" x14ac:dyDescent="0.35">
      <c r="B373" s="194"/>
      <c r="C373" s="195"/>
      <c r="D373" s="196"/>
      <c r="E373" s="197"/>
      <c r="F373" s="197"/>
      <c r="G373" s="198"/>
      <c r="H373" s="199"/>
      <c r="I373" s="198"/>
      <c r="J373" s="203"/>
      <c r="K373" s="203"/>
      <c r="L373" s="192"/>
    </row>
    <row r="374" spans="2:12" s="193" customFormat="1" x14ac:dyDescent="0.35">
      <c r="B374" s="194"/>
      <c r="C374" s="195"/>
      <c r="D374" s="196"/>
      <c r="E374" s="197"/>
      <c r="F374" s="197"/>
      <c r="G374" s="198"/>
      <c r="H374" s="199"/>
      <c r="I374" s="198"/>
      <c r="J374" s="203"/>
      <c r="K374" s="203"/>
      <c r="L374" s="192"/>
    </row>
    <row r="375" spans="2:12" x14ac:dyDescent="0.35">
      <c r="B375" s="71"/>
      <c r="C375" s="72"/>
      <c r="D375" s="73"/>
      <c r="E375" s="74"/>
      <c r="F375" s="74"/>
      <c r="G375" s="75"/>
      <c r="H375" s="78"/>
      <c r="I375" s="75"/>
      <c r="J375" s="50"/>
      <c r="K375" s="51"/>
      <c r="L375" s="46"/>
    </row>
    <row r="376" spans="2:12" s="193" customFormat="1" x14ac:dyDescent="0.35">
      <c r="B376" s="212"/>
      <c r="C376" s="213"/>
      <c r="D376" s="214"/>
      <c r="E376" s="215"/>
      <c r="F376" s="216"/>
      <c r="G376" s="217"/>
      <c r="H376" s="218"/>
      <c r="I376" s="219"/>
      <c r="J376" s="200"/>
      <c r="K376" s="201"/>
      <c r="L376" s="202"/>
    </row>
    <row r="377" spans="2:12" s="193" customFormat="1" x14ac:dyDescent="0.35">
      <c r="B377" s="212"/>
      <c r="C377" s="213"/>
      <c r="D377" s="214"/>
      <c r="E377" s="215"/>
      <c r="F377" s="216"/>
      <c r="G377" s="217"/>
      <c r="H377" s="218"/>
      <c r="I377" s="219"/>
      <c r="J377" s="200"/>
      <c r="K377" s="201"/>
      <c r="L377" s="202"/>
    </row>
    <row r="378" spans="2:12" s="193" customFormat="1" x14ac:dyDescent="0.35">
      <c r="B378" s="212"/>
      <c r="C378" s="213"/>
      <c r="D378" s="214"/>
      <c r="E378" s="215"/>
      <c r="F378" s="216"/>
      <c r="G378" s="217"/>
      <c r="H378" s="218"/>
      <c r="I378" s="219"/>
      <c r="J378" s="203"/>
      <c r="K378" s="203"/>
      <c r="L378" s="192"/>
    </row>
    <row r="379" spans="2:12" s="193" customFormat="1" x14ac:dyDescent="0.35">
      <c r="B379" s="212"/>
      <c r="C379" s="213"/>
      <c r="D379" s="214"/>
      <c r="E379" s="215"/>
      <c r="F379" s="216"/>
      <c r="G379" s="217"/>
      <c r="H379" s="218"/>
      <c r="I379" s="219"/>
      <c r="J379" s="203"/>
      <c r="K379" s="203"/>
      <c r="L379" s="192"/>
    </row>
    <row r="380" spans="2:12" s="193" customFormat="1" x14ac:dyDescent="0.35">
      <c r="B380" s="194"/>
      <c r="C380" s="195"/>
      <c r="D380" s="196"/>
      <c r="E380" s="197"/>
      <c r="F380" s="197"/>
      <c r="G380" s="198"/>
      <c r="H380" s="220"/>
      <c r="I380" s="198"/>
      <c r="J380" s="200"/>
      <c r="K380" s="201"/>
      <c r="L380" s="202"/>
    </row>
    <row r="381" spans="2:12" s="193" customFormat="1" x14ac:dyDescent="0.35">
      <c r="B381" s="194"/>
      <c r="C381" s="195"/>
      <c r="D381" s="196"/>
      <c r="E381" s="197"/>
      <c r="F381" s="197"/>
      <c r="G381" s="198"/>
      <c r="H381" s="220"/>
      <c r="I381" s="198"/>
      <c r="J381" s="200"/>
      <c r="K381" s="201"/>
      <c r="L381" s="202"/>
    </row>
    <row r="382" spans="2:12" s="193" customFormat="1" x14ac:dyDescent="0.35">
      <c r="B382" s="194"/>
      <c r="C382" s="195"/>
      <c r="D382" s="196"/>
      <c r="E382" s="197"/>
      <c r="F382" s="197"/>
      <c r="G382" s="198"/>
      <c r="H382" s="199"/>
      <c r="I382" s="198"/>
      <c r="J382" s="203"/>
      <c r="K382" s="203"/>
      <c r="L382" s="192"/>
    </row>
    <row r="383" spans="2:12" s="193" customFormat="1" x14ac:dyDescent="0.35">
      <c r="B383" s="194"/>
      <c r="C383" s="195"/>
      <c r="D383" s="196"/>
      <c r="E383" s="197"/>
      <c r="F383" s="197"/>
      <c r="G383" s="198"/>
      <c r="H383" s="199"/>
      <c r="I383" s="198"/>
      <c r="J383" s="203"/>
      <c r="K383" s="203"/>
      <c r="L383" s="192"/>
    </row>
    <row r="384" spans="2:12" s="193" customFormat="1" x14ac:dyDescent="0.35">
      <c r="B384" s="194"/>
      <c r="C384" s="195"/>
      <c r="D384" s="196"/>
      <c r="E384" s="197"/>
      <c r="F384" s="197"/>
      <c r="G384" s="198"/>
      <c r="H384" s="220"/>
      <c r="I384" s="198"/>
      <c r="J384" s="200"/>
      <c r="K384" s="201"/>
      <c r="L384" s="202"/>
    </row>
    <row r="385" spans="2:12" s="193" customFormat="1" x14ac:dyDescent="0.35">
      <c r="B385" s="194"/>
      <c r="C385" s="195"/>
      <c r="D385" s="196"/>
      <c r="E385" s="197"/>
      <c r="F385" s="197"/>
      <c r="G385" s="198"/>
      <c r="H385" s="220"/>
      <c r="I385" s="198"/>
      <c r="J385" s="200"/>
      <c r="K385" s="201"/>
      <c r="L385" s="202"/>
    </row>
    <row r="386" spans="2:12" s="193" customFormat="1" x14ac:dyDescent="0.35">
      <c r="B386" s="194"/>
      <c r="C386" s="195"/>
      <c r="D386" s="196"/>
      <c r="E386" s="197"/>
      <c r="F386" s="197"/>
      <c r="G386" s="198"/>
      <c r="H386" s="199"/>
      <c r="I386" s="198"/>
      <c r="J386" s="203"/>
      <c r="K386" s="203"/>
      <c r="L386" s="192"/>
    </row>
    <row r="387" spans="2:12" s="193" customFormat="1" x14ac:dyDescent="0.35">
      <c r="B387" s="194"/>
      <c r="C387" s="195"/>
      <c r="D387" s="196"/>
      <c r="E387" s="197"/>
      <c r="F387" s="197"/>
      <c r="G387" s="198"/>
      <c r="H387" s="220"/>
      <c r="I387" s="198"/>
      <c r="J387" s="200"/>
      <c r="K387" s="201"/>
      <c r="L387" s="202"/>
    </row>
    <row r="388" spans="2:12" s="193" customFormat="1" x14ac:dyDescent="0.35">
      <c r="B388" s="194"/>
      <c r="C388" s="195"/>
      <c r="D388" s="221"/>
      <c r="E388" s="222"/>
      <c r="F388" s="197"/>
      <c r="G388" s="198"/>
      <c r="H388" s="220"/>
      <c r="I388" s="197"/>
      <c r="J388" s="200"/>
      <c r="K388" s="201"/>
      <c r="L388" s="202"/>
    </row>
    <row r="389" spans="2:12" s="193" customFormat="1" x14ac:dyDescent="0.35">
      <c r="B389" s="194"/>
      <c r="C389" s="195"/>
      <c r="D389" s="196"/>
      <c r="E389" s="197"/>
      <c r="F389" s="197"/>
      <c r="G389" s="198"/>
      <c r="H389" s="199"/>
      <c r="I389" s="197"/>
      <c r="J389" s="223"/>
      <c r="K389" s="203"/>
      <c r="L389" s="192"/>
    </row>
    <row r="390" spans="2:12" s="193" customFormat="1" x14ac:dyDescent="0.35">
      <c r="B390" s="194"/>
      <c r="C390" s="195"/>
      <c r="D390" s="196"/>
      <c r="E390" s="197"/>
      <c r="F390" s="197"/>
      <c r="G390" s="198"/>
      <c r="H390" s="199"/>
      <c r="I390" s="197"/>
      <c r="J390" s="200"/>
      <c r="K390" s="201"/>
      <c r="L390" s="202"/>
    </row>
    <row r="391" spans="2:12" s="193" customFormat="1" x14ac:dyDescent="0.35">
      <c r="B391" s="194"/>
      <c r="C391" s="195"/>
      <c r="D391" s="196"/>
      <c r="E391" s="197"/>
      <c r="F391" s="197"/>
      <c r="G391" s="198"/>
      <c r="H391" s="199"/>
      <c r="I391" s="197"/>
      <c r="J391" s="223"/>
      <c r="K391" s="203"/>
      <c r="L391" s="192"/>
    </row>
    <row r="392" spans="2:12" s="193" customFormat="1" x14ac:dyDescent="0.35">
      <c r="B392" s="194"/>
      <c r="C392" s="195"/>
      <c r="D392" s="196"/>
      <c r="E392" s="197"/>
      <c r="F392" s="197"/>
      <c r="G392" s="198"/>
      <c r="H392" s="199"/>
      <c r="I392" s="197"/>
      <c r="J392" s="200"/>
      <c r="K392" s="201"/>
      <c r="L392" s="202"/>
    </row>
    <row r="393" spans="2:12" s="193" customFormat="1" x14ac:dyDescent="0.35">
      <c r="B393" s="194"/>
      <c r="C393" s="195"/>
      <c r="D393" s="196"/>
      <c r="E393" s="197"/>
      <c r="F393" s="197"/>
      <c r="G393" s="198"/>
      <c r="H393" s="199"/>
      <c r="I393" s="197"/>
      <c r="J393" s="191"/>
      <c r="K393" s="224"/>
      <c r="L393" s="192"/>
    </row>
    <row r="394" spans="2:12" s="193" customFormat="1" x14ac:dyDescent="0.35">
      <c r="B394" s="194"/>
      <c r="C394" s="195"/>
      <c r="D394" s="196"/>
      <c r="E394" s="197"/>
      <c r="F394" s="197"/>
      <c r="G394" s="198"/>
      <c r="H394" s="199"/>
      <c r="I394" s="197"/>
      <c r="J394" s="191"/>
      <c r="K394" s="224"/>
      <c r="L394" s="192"/>
    </row>
    <row r="395" spans="2:12" s="193" customFormat="1" x14ac:dyDescent="0.35">
      <c r="B395" s="194"/>
      <c r="C395" s="195"/>
      <c r="D395" s="196"/>
      <c r="E395" s="197"/>
      <c r="F395" s="197"/>
      <c r="G395" s="198"/>
      <c r="H395" s="199"/>
      <c r="I395" s="197"/>
      <c r="J395" s="191"/>
      <c r="K395" s="224"/>
      <c r="L395" s="192"/>
    </row>
    <row r="396" spans="2:12" s="193" customFormat="1" x14ac:dyDescent="0.35">
      <c r="B396" s="194"/>
      <c r="C396" s="195"/>
      <c r="D396" s="196"/>
      <c r="E396" s="197"/>
      <c r="F396" s="197"/>
      <c r="G396" s="198"/>
      <c r="H396" s="199"/>
      <c r="I396" s="197"/>
      <c r="J396" s="191"/>
      <c r="K396" s="224"/>
      <c r="L396" s="192"/>
    </row>
    <row r="397" spans="2:12" s="193" customFormat="1" x14ac:dyDescent="0.35">
      <c r="B397" s="194"/>
      <c r="C397" s="195"/>
      <c r="D397" s="196"/>
      <c r="E397" s="197"/>
      <c r="F397" s="197"/>
      <c r="G397" s="198"/>
      <c r="H397" s="199"/>
      <c r="I397" s="197"/>
      <c r="J397" s="191"/>
      <c r="K397" s="224"/>
      <c r="L397" s="192"/>
    </row>
    <row r="398" spans="2:12" s="193" customFormat="1" x14ac:dyDescent="0.35">
      <c r="B398" s="194"/>
      <c r="C398" s="195"/>
      <c r="D398" s="196"/>
      <c r="E398" s="197"/>
      <c r="F398" s="197"/>
      <c r="G398" s="198"/>
      <c r="H398" s="199"/>
      <c r="I398" s="197"/>
      <c r="J398" s="191"/>
      <c r="K398" s="224"/>
      <c r="L398" s="192"/>
    </row>
    <row r="399" spans="2:12" s="193" customFormat="1" x14ac:dyDescent="0.35">
      <c r="B399" s="194"/>
      <c r="C399" s="195"/>
      <c r="D399" s="196"/>
      <c r="E399" s="197"/>
      <c r="F399" s="197"/>
      <c r="G399" s="198"/>
      <c r="H399" s="199"/>
      <c r="I399" s="197"/>
      <c r="J399" s="191"/>
      <c r="K399" s="224"/>
      <c r="L399" s="192"/>
    </row>
    <row r="400" spans="2:12" s="193" customFormat="1" x14ac:dyDescent="0.35">
      <c r="B400" s="194"/>
      <c r="C400" s="195"/>
      <c r="D400" s="196"/>
      <c r="E400" s="197"/>
      <c r="F400" s="197"/>
      <c r="G400" s="198"/>
      <c r="H400" s="199"/>
      <c r="I400" s="197"/>
      <c r="J400" s="191"/>
      <c r="K400" s="224"/>
      <c r="L400" s="192"/>
    </row>
    <row r="401" spans="2:13" s="193" customFormat="1" x14ac:dyDescent="0.35">
      <c r="B401" s="194"/>
      <c r="C401" s="195"/>
      <c r="D401" s="196"/>
      <c r="E401" s="197"/>
      <c r="F401" s="197"/>
      <c r="G401" s="198"/>
      <c r="H401" s="199"/>
      <c r="I401" s="197"/>
      <c r="J401" s="191"/>
      <c r="K401" s="224"/>
      <c r="L401" s="192"/>
    </row>
    <row r="402" spans="2:13" s="193" customFormat="1" x14ac:dyDescent="0.35">
      <c r="B402" s="194"/>
      <c r="C402" s="195"/>
      <c r="D402" s="196"/>
      <c r="E402" s="197"/>
      <c r="F402" s="197"/>
      <c r="G402" s="198"/>
      <c r="H402" s="199"/>
      <c r="I402" s="197"/>
      <c r="J402" s="191"/>
      <c r="K402" s="224"/>
      <c r="L402" s="192"/>
    </row>
    <row r="403" spans="2:13" s="193" customFormat="1" x14ac:dyDescent="0.35">
      <c r="B403" s="194"/>
      <c r="C403" s="195"/>
      <c r="D403" s="196"/>
      <c r="E403" s="197"/>
      <c r="F403" s="197"/>
      <c r="G403" s="198"/>
      <c r="H403" s="199"/>
      <c r="I403" s="197"/>
      <c r="J403" s="191"/>
      <c r="K403" s="224"/>
      <c r="L403" s="192"/>
    </row>
    <row r="404" spans="2:13" s="193" customFormat="1" x14ac:dyDescent="0.35">
      <c r="B404" s="194"/>
      <c r="C404" s="195"/>
      <c r="D404" s="196"/>
      <c r="E404" s="197"/>
      <c r="F404" s="197"/>
      <c r="G404" s="198"/>
      <c r="H404" s="199"/>
      <c r="I404" s="197"/>
      <c r="J404" s="191"/>
      <c r="K404" s="224"/>
      <c r="L404" s="192"/>
    </row>
    <row r="405" spans="2:13" x14ac:dyDescent="0.35">
      <c r="B405" s="47"/>
      <c r="C405" s="48"/>
      <c r="D405" s="24"/>
      <c r="G405" s="22"/>
      <c r="I405" s="22"/>
      <c r="J405" s="50"/>
      <c r="K405" s="29"/>
      <c r="L405" s="52"/>
    </row>
    <row r="406" spans="2:13" x14ac:dyDescent="0.35">
      <c r="B406" s="47"/>
      <c r="C406" s="48"/>
      <c r="D406" s="24"/>
      <c r="G406" s="22"/>
      <c r="I406" s="22"/>
      <c r="J406" s="50"/>
      <c r="K406" s="29"/>
      <c r="L406" s="52"/>
    </row>
    <row r="407" spans="2:13" x14ac:dyDescent="0.35">
      <c r="B407" s="8"/>
      <c r="C407" s="9"/>
      <c r="D407" s="10"/>
      <c r="E407" s="4"/>
      <c r="F407" s="4"/>
      <c r="G407" s="4"/>
      <c r="H407" s="1"/>
      <c r="I407" s="1"/>
      <c r="J407" s="11" t="s">
        <v>8</v>
      </c>
      <c r="K407" s="7">
        <f>SUM(K355:K406)</f>
        <v>10000000</v>
      </c>
      <c r="L407" s="7">
        <f>SUM(L355:L406)</f>
        <v>20735427.199999999</v>
      </c>
    </row>
    <row r="408" spans="2:13" x14ac:dyDescent="0.35">
      <c r="B408" s="8"/>
      <c r="C408" s="9"/>
      <c r="D408" s="9"/>
      <c r="E408" s="4"/>
      <c r="F408" s="4"/>
      <c r="G408" s="4"/>
      <c r="H408" s="1"/>
      <c r="I408" s="1"/>
      <c r="J408" s="11" t="s">
        <v>373</v>
      </c>
      <c r="K408" s="190">
        <f>SUM(K407,K341,K274,K207,K140,K73)</f>
        <v>155255000</v>
      </c>
      <c r="L408" s="190">
        <f>SUM(L407,L341,L274,L207,L140,L73)</f>
        <v>1631591618.6239998</v>
      </c>
      <c r="M408" s="14">
        <f>K408+L408</f>
        <v>1786846618.6239998</v>
      </c>
    </row>
    <row r="409" spans="2:13" x14ac:dyDescent="0.35">
      <c r="B409" s="8"/>
      <c r="C409" s="9"/>
      <c r="D409" s="9"/>
      <c r="E409" s="4"/>
      <c r="F409" s="4"/>
      <c r="G409" s="4"/>
      <c r="H409" s="1"/>
      <c r="I409" s="1"/>
      <c r="J409" s="11"/>
      <c r="K409" s="35" t="s">
        <v>22</v>
      </c>
      <c r="L409" s="36" t="s">
        <v>23</v>
      </c>
    </row>
    <row r="410" spans="2:13" x14ac:dyDescent="0.35">
      <c r="B410" s="3" t="s">
        <v>9</v>
      </c>
      <c r="C410" s="4"/>
      <c r="D410" s="4"/>
      <c r="E410" s="4"/>
      <c r="F410" s="4"/>
      <c r="G410" s="4"/>
      <c r="H410" s="1"/>
      <c r="I410" s="1"/>
      <c r="J410" s="12"/>
      <c r="K410" s="12"/>
      <c r="L410" s="13"/>
    </row>
    <row r="411" spans="2:13" x14ac:dyDescent="0.35">
      <c r="B411" s="37"/>
      <c r="C411" s="1"/>
      <c r="D411" s="1"/>
      <c r="E411" s="38"/>
      <c r="F411" s="38"/>
      <c r="G411" s="38"/>
      <c r="H411" s="1"/>
      <c r="I411" s="1"/>
      <c r="J411" s="1"/>
      <c r="K411" s="1"/>
      <c r="L411" s="19"/>
    </row>
    <row r="412" spans="2:13" x14ac:dyDescent="0.35">
      <c r="B412" s="28" t="s">
        <v>6</v>
      </c>
      <c r="C412" s="27"/>
      <c r="D412" s="27"/>
      <c r="E412" s="26"/>
      <c r="F412" s="26"/>
      <c r="G412" s="5"/>
      <c r="K412" s="232" t="s">
        <v>374</v>
      </c>
      <c r="L412" s="233"/>
    </row>
    <row r="413" spans="2:13" x14ac:dyDescent="0.35">
      <c r="B413" s="28">
        <v>1</v>
      </c>
      <c r="C413" s="27"/>
      <c r="D413" s="27"/>
      <c r="E413" s="26" t="s">
        <v>7</v>
      </c>
      <c r="F413" s="26"/>
      <c r="G413" s="5"/>
      <c r="K413" s="232" t="s">
        <v>28</v>
      </c>
      <c r="L413" s="233"/>
    </row>
    <row r="414" spans="2:13" x14ac:dyDescent="0.35">
      <c r="B414" s="39"/>
      <c r="C414" s="27"/>
      <c r="D414" s="27"/>
      <c r="E414" s="26"/>
      <c r="F414" s="26"/>
      <c r="G414" s="5"/>
      <c r="J414" s="25"/>
      <c r="K414" s="25"/>
      <c r="L414" s="24"/>
    </row>
    <row r="415" spans="2:13" x14ac:dyDescent="0.35">
      <c r="B415" s="28"/>
      <c r="C415" s="27"/>
      <c r="D415" s="27"/>
      <c r="E415" s="26"/>
      <c r="F415" s="26"/>
      <c r="G415" s="5"/>
      <c r="L415" s="22"/>
    </row>
    <row r="416" spans="2:13" x14ac:dyDescent="0.35">
      <c r="B416" s="45"/>
      <c r="E416" s="5"/>
      <c r="F416" s="5"/>
      <c r="G416" s="5"/>
      <c r="L416" s="22"/>
    </row>
    <row r="417" spans="2:12" x14ac:dyDescent="0.35">
      <c r="B417" s="45"/>
      <c r="E417" s="5"/>
      <c r="F417" s="5"/>
      <c r="G417" s="5"/>
      <c r="L417" s="22"/>
    </row>
    <row r="418" spans="2:12" x14ac:dyDescent="0.35">
      <c r="B418" s="45"/>
      <c r="E418" s="5"/>
      <c r="F418" s="5"/>
      <c r="G418" s="5"/>
      <c r="L418" s="22"/>
    </row>
    <row r="419" spans="2:12" x14ac:dyDescent="0.35">
      <c r="B419" s="45"/>
      <c r="E419" s="5"/>
      <c r="F419" s="5"/>
      <c r="G419" s="5"/>
      <c r="J419" s="40"/>
      <c r="K419" s="234" t="s">
        <v>36</v>
      </c>
      <c r="L419" s="235"/>
    </row>
    <row r="420" spans="2:12" x14ac:dyDescent="0.35">
      <c r="B420" s="45"/>
      <c r="K420" s="236" t="s">
        <v>37</v>
      </c>
      <c r="L420" s="237"/>
    </row>
    <row r="421" spans="2:12" x14ac:dyDescent="0.35">
      <c r="B421" s="238"/>
      <c r="C421" s="239"/>
      <c r="D421" s="239"/>
      <c r="E421" s="41"/>
      <c r="F421" s="41"/>
      <c r="G421" s="41"/>
      <c r="H421" s="2"/>
      <c r="I421" s="2"/>
      <c r="J421" s="2"/>
      <c r="K421" s="2"/>
      <c r="L421" s="21"/>
    </row>
  </sheetData>
  <mergeCells count="38">
    <mergeCell ref="B287:D287"/>
    <mergeCell ref="K345:L345"/>
    <mergeCell ref="K420:L420"/>
    <mergeCell ref="B421:D421"/>
    <mergeCell ref="K352:L352"/>
    <mergeCell ref="K353:L353"/>
    <mergeCell ref="B354:D354"/>
    <mergeCell ref="K412:L412"/>
    <mergeCell ref="K413:L413"/>
    <mergeCell ref="K419:L419"/>
    <mergeCell ref="K346:L346"/>
    <mergeCell ref="K285:L285"/>
    <mergeCell ref="K286:L286"/>
    <mergeCell ref="K278:L278"/>
    <mergeCell ref="B86:D86"/>
    <mergeCell ref="K144:L144"/>
    <mergeCell ref="K145:L145"/>
    <mergeCell ref="K151:L151"/>
    <mergeCell ref="K152:L152"/>
    <mergeCell ref="B153:D153"/>
    <mergeCell ref="K211:L211"/>
    <mergeCell ref="K212:L212"/>
    <mergeCell ref="K218:L218"/>
    <mergeCell ref="K219:L219"/>
    <mergeCell ref="K279:L279"/>
    <mergeCell ref="N21:O21"/>
    <mergeCell ref="K77:L77"/>
    <mergeCell ref="K78:L78"/>
    <mergeCell ref="K84:L84"/>
    <mergeCell ref="B220:D220"/>
    <mergeCell ref="K85:L85"/>
    <mergeCell ref="K18:K19"/>
    <mergeCell ref="L18:L19"/>
    <mergeCell ref="F15:G15"/>
    <mergeCell ref="B18:D19"/>
    <mergeCell ref="E18:G19"/>
    <mergeCell ref="H18:I19"/>
    <mergeCell ref="J18:J19"/>
  </mergeCells>
  <conditionalFormatting sqref="E30">
    <cfRule type="expression" dxfId="9" priority="5">
      <formula>AND((ISBLANK($B30)=FALSE),(ISBLANK($E30)=FALSE))</formula>
    </cfRule>
  </conditionalFormatting>
  <conditionalFormatting sqref="E46">
    <cfRule type="expression" dxfId="8" priority="4">
      <formula>AND((ISBLANK($B46)=FALSE),(ISBLANK($E46)=FALSE))</formula>
    </cfRule>
  </conditionalFormatting>
  <conditionalFormatting sqref="E48:E49">
    <cfRule type="expression" dxfId="7" priority="3">
      <formula>AND((ISBLANK($B48)=FALSE),(ISBLANK($E48)=FALSE))</formula>
    </cfRule>
  </conditionalFormatting>
  <conditionalFormatting sqref="E52">
    <cfRule type="expression" dxfId="6" priority="2">
      <formula>AND((ISBLANK($B52)=FALSE),(ISBLANK($E52)=FALSE))</formula>
    </cfRule>
  </conditionalFormatting>
  <conditionalFormatting sqref="E329">
    <cfRule type="expression" dxfId="5" priority="1">
      <formula>AND((ISBLANK($B329)=FALSE),(ISBLANK($E329)=FALSE))</formula>
    </cfRule>
  </conditionalFormatting>
  <printOptions horizontalCentered="1"/>
  <pageMargins left="0.80870078740157503" right="0.39370078740157499" top="0.39370078740157499" bottom="0.39370078740157499" header="0.31496062992126" footer="0.31496062992126"/>
  <pageSetup scale="55" fitToHeight="0" orientation="portrait" r:id="rId1"/>
  <headerFooter>
    <oddFooter>&amp;LMKT-FM-002/Rev.01/18 Des 15/&amp;K00B050Green&amp;RPage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CB10B-F4F5-450C-9298-6133FBE5D295}">
  <sheetPr>
    <tabColor theme="3" tint="0.39997558519241921"/>
  </sheetPr>
  <dimension ref="B7:W488"/>
  <sheetViews>
    <sheetView showGridLines="0" tabSelected="1" view="pageBreakPreview" topLeftCell="B472" zoomScale="70" zoomScaleSheetLayoutView="70" workbookViewId="0">
      <selection activeCell="K486" sqref="K486:L486"/>
    </sheetView>
  </sheetViews>
  <sheetFormatPr defaultColWidth="11" defaultRowHeight="15.5" x14ac:dyDescent="0.35"/>
  <cols>
    <col min="2" max="4" width="1.83203125" style="18" customWidth="1"/>
    <col min="5" max="5" width="3.08203125" style="18" customWidth="1"/>
    <col min="6" max="6" width="2.83203125" style="18" customWidth="1"/>
    <col min="7" max="7" width="70.58203125" style="18" customWidth="1"/>
    <col min="8" max="8" width="9.5" style="18" customWidth="1"/>
    <col min="9" max="9" width="6.33203125" style="18" customWidth="1"/>
    <col min="10" max="10" width="16" style="18" customWidth="1"/>
    <col min="11" max="11" width="18.83203125" style="18" customWidth="1"/>
    <col min="12" max="12" width="20.5" style="18" customWidth="1"/>
    <col min="13" max="13" width="18.33203125" customWidth="1"/>
    <col min="14" max="14" width="18.33203125" bestFit="1" customWidth="1"/>
    <col min="15" max="15" width="21.25" bestFit="1" customWidth="1"/>
  </cols>
  <sheetData>
    <row r="7" spans="2:13" ht="15" customHeight="1" x14ac:dyDescent="0.35"/>
    <row r="8" spans="2:13" ht="18" x14ac:dyDescent="0.4">
      <c r="B8" s="31" t="s">
        <v>24</v>
      </c>
      <c r="C8" s="17"/>
      <c r="D8" s="17"/>
    </row>
    <row r="9" spans="2:13" x14ac:dyDescent="0.35">
      <c r="B9" s="32" t="s">
        <v>25</v>
      </c>
      <c r="C9" s="5"/>
      <c r="D9" s="5"/>
      <c r="E9" s="5"/>
      <c r="F9" s="5"/>
      <c r="G9" s="5"/>
    </row>
    <row r="10" spans="2:13" x14ac:dyDescent="0.35">
      <c r="H10" s="20"/>
      <c r="I10" s="20"/>
      <c r="J10" s="20" t="s">
        <v>29</v>
      </c>
      <c r="L10" s="20"/>
      <c r="M10" s="18"/>
    </row>
    <row r="11" spans="2:13" x14ac:dyDescent="0.35">
      <c r="B11" s="18" t="s">
        <v>0</v>
      </c>
      <c r="F11" s="18" t="s">
        <v>132</v>
      </c>
      <c r="J11" s="18" t="s">
        <v>30</v>
      </c>
      <c r="M11" s="18"/>
    </row>
    <row r="12" spans="2:13" x14ac:dyDescent="0.35">
      <c r="B12" s="18" t="s">
        <v>35</v>
      </c>
      <c r="F12" s="18" t="s">
        <v>26</v>
      </c>
      <c r="J12" s="18" t="s">
        <v>31</v>
      </c>
      <c r="K12" s="18" t="s">
        <v>128</v>
      </c>
      <c r="M12" s="18"/>
    </row>
    <row r="13" spans="2:13" x14ac:dyDescent="0.35">
      <c r="B13" s="18" t="s">
        <v>4</v>
      </c>
      <c r="J13" s="18" t="s">
        <v>32</v>
      </c>
      <c r="K13" s="18" t="s">
        <v>129</v>
      </c>
      <c r="M13" s="18"/>
    </row>
    <row r="14" spans="2:13" x14ac:dyDescent="0.35">
      <c r="B14" s="18" t="s">
        <v>5</v>
      </c>
      <c r="J14" s="18" t="s">
        <v>33</v>
      </c>
      <c r="K14" s="18" t="s">
        <v>130</v>
      </c>
      <c r="M14" s="18"/>
    </row>
    <row r="15" spans="2:13" x14ac:dyDescent="0.35">
      <c r="F15" s="249"/>
      <c r="G15" s="249"/>
      <c r="J15" s="18" t="s">
        <v>34</v>
      </c>
      <c r="K15" s="18" t="s">
        <v>131</v>
      </c>
      <c r="M15" s="18"/>
    </row>
    <row r="16" spans="2:13" x14ac:dyDescent="0.35">
      <c r="F16" s="6"/>
    </row>
    <row r="18" spans="2:20" s="33" customFormat="1" ht="15" customHeight="1" x14ac:dyDescent="0.35">
      <c r="B18" s="240" t="s">
        <v>0</v>
      </c>
      <c r="C18" s="241"/>
      <c r="D18" s="242"/>
      <c r="E18" s="240" t="s">
        <v>1</v>
      </c>
      <c r="F18" s="241"/>
      <c r="G18" s="242"/>
      <c r="H18" s="240" t="s">
        <v>2</v>
      </c>
      <c r="I18" s="242"/>
      <c r="J18" s="247" t="s">
        <v>3</v>
      </c>
      <c r="K18" s="247" t="s">
        <v>22</v>
      </c>
      <c r="L18" s="247" t="s">
        <v>23</v>
      </c>
    </row>
    <row r="19" spans="2:20" s="33" customFormat="1" ht="15" customHeight="1" x14ac:dyDescent="0.35">
      <c r="B19" s="243"/>
      <c r="C19" s="244"/>
      <c r="D19" s="245"/>
      <c r="E19" s="243"/>
      <c r="F19" s="244"/>
      <c r="G19" s="245"/>
      <c r="H19" s="243"/>
      <c r="I19" s="245"/>
      <c r="J19" s="248"/>
      <c r="K19" s="248"/>
      <c r="L19" s="248"/>
    </row>
    <row r="20" spans="2:20" x14ac:dyDescent="0.35">
      <c r="B20" s="47"/>
      <c r="C20" s="48"/>
      <c r="D20" s="49"/>
      <c r="G20" s="22"/>
      <c r="H20" s="1"/>
      <c r="I20" s="1"/>
      <c r="J20" s="43"/>
      <c r="K20" s="30"/>
      <c r="L20" s="44"/>
    </row>
    <row r="21" spans="2:20" x14ac:dyDescent="0.35">
      <c r="B21" s="94" t="s">
        <v>38</v>
      </c>
      <c r="C21" s="95"/>
      <c r="D21" s="96"/>
      <c r="E21" s="97" t="s">
        <v>10</v>
      </c>
      <c r="F21" s="97"/>
      <c r="G21" s="98"/>
      <c r="H21" s="97"/>
      <c r="I21" s="97"/>
      <c r="J21" s="29"/>
      <c r="K21" s="51"/>
      <c r="L21" s="46"/>
      <c r="M21" s="18"/>
      <c r="N21" s="246" t="s">
        <v>15</v>
      </c>
      <c r="O21" s="246"/>
    </row>
    <row r="22" spans="2:20" x14ac:dyDescent="0.35">
      <c r="B22" s="99"/>
      <c r="C22" s="100"/>
      <c r="D22" s="62" t="s">
        <v>39</v>
      </c>
      <c r="E22" s="61"/>
      <c r="F22" s="64" t="s">
        <v>40</v>
      </c>
      <c r="G22" s="65"/>
      <c r="H22" s="64">
        <v>1</v>
      </c>
      <c r="I22" s="65" t="s">
        <v>41</v>
      </c>
      <c r="J22" s="178">
        <v>23500000</v>
      </c>
      <c r="K22" s="178">
        <f>J22*H22</f>
        <v>23500000</v>
      </c>
      <c r="L22" s="46"/>
      <c r="N22" s="23" t="s">
        <v>11</v>
      </c>
      <c r="O22" s="23">
        <v>26.98</v>
      </c>
      <c r="P22">
        <f>O22*O23</f>
        <v>242.82</v>
      </c>
      <c r="Q22">
        <f>O22*O23</f>
        <v>242.82</v>
      </c>
    </row>
    <row r="23" spans="2:20" x14ac:dyDescent="0.35">
      <c r="B23" s="99"/>
      <c r="C23" s="100"/>
      <c r="D23" s="62" t="s">
        <v>42</v>
      </c>
      <c r="E23" s="61"/>
      <c r="F23" s="64" t="s">
        <v>43</v>
      </c>
      <c r="G23" s="65"/>
      <c r="H23" s="64">
        <v>1</v>
      </c>
      <c r="I23" s="65" t="s">
        <v>41</v>
      </c>
      <c r="J23" s="178">
        <v>7000000</v>
      </c>
      <c r="K23" s="178">
        <f t="shared" ref="K23:K28" si="0">J23*H23</f>
        <v>7000000</v>
      </c>
      <c r="L23" s="46"/>
      <c r="N23" s="23" t="s">
        <v>21</v>
      </c>
      <c r="O23" s="23">
        <v>9</v>
      </c>
      <c r="R23" t="e">
        <f>Q22-#REF!</f>
        <v>#REF!</v>
      </c>
      <c r="S23" t="e">
        <f>R23*20%</f>
        <v>#REF!</v>
      </c>
      <c r="T23" t="e">
        <f>R23+S23</f>
        <v>#REF!</v>
      </c>
    </row>
    <row r="24" spans="2:20" x14ac:dyDescent="0.35">
      <c r="B24" s="99"/>
      <c r="C24" s="100"/>
      <c r="D24" s="62" t="s">
        <v>44</v>
      </c>
      <c r="E24" s="61"/>
      <c r="F24" s="64" t="s">
        <v>45</v>
      </c>
      <c r="G24" s="65"/>
      <c r="H24" s="64">
        <v>1</v>
      </c>
      <c r="I24" s="65" t="s">
        <v>41</v>
      </c>
      <c r="J24" s="178">
        <v>5500000</v>
      </c>
      <c r="K24" s="178">
        <f t="shared" si="0"/>
        <v>5500000</v>
      </c>
      <c r="L24" s="46"/>
      <c r="N24" s="23" t="s">
        <v>12</v>
      </c>
      <c r="O24" s="23" t="e">
        <f>#REF!-#REF!</f>
        <v>#REF!</v>
      </c>
      <c r="P24">
        <f>140*50%</f>
        <v>70</v>
      </c>
    </row>
    <row r="25" spans="2:20" x14ac:dyDescent="0.35">
      <c r="B25" s="99"/>
      <c r="C25" s="100"/>
      <c r="D25" s="62" t="s">
        <v>46</v>
      </c>
      <c r="E25" s="61"/>
      <c r="F25" s="64" t="s">
        <v>375</v>
      </c>
      <c r="G25" s="65"/>
      <c r="H25" s="64">
        <v>27</v>
      </c>
      <c r="I25" s="70" t="s">
        <v>47</v>
      </c>
      <c r="J25" s="178">
        <v>1600000</v>
      </c>
      <c r="K25" s="178">
        <f t="shared" si="0"/>
        <v>43200000</v>
      </c>
      <c r="L25" s="46"/>
      <c r="M25" s="18"/>
      <c r="N25" s="23" t="s">
        <v>13</v>
      </c>
      <c r="O25" s="23">
        <f>(O22+O23)*2</f>
        <v>71.960000000000008</v>
      </c>
      <c r="Q25">
        <f>O22-(1.83*4)</f>
        <v>19.66</v>
      </c>
      <c r="R25" t="s">
        <v>19</v>
      </c>
    </row>
    <row r="26" spans="2:20" x14ac:dyDescent="0.35">
      <c r="B26" s="99"/>
      <c r="C26" s="100"/>
      <c r="D26" s="62" t="s">
        <v>48</v>
      </c>
      <c r="E26" s="61"/>
      <c r="F26" s="64" t="s">
        <v>134</v>
      </c>
      <c r="G26" s="65"/>
      <c r="H26" s="64">
        <v>5</v>
      </c>
      <c r="I26" s="65" t="s">
        <v>47</v>
      </c>
      <c r="J26" s="178">
        <v>400000</v>
      </c>
      <c r="K26" s="178">
        <f t="shared" si="0"/>
        <v>2000000</v>
      </c>
      <c r="L26" s="46"/>
      <c r="M26" s="18"/>
      <c r="N26" s="23" t="s">
        <v>14</v>
      </c>
      <c r="O26" s="23">
        <f>(O22-5)*O23</f>
        <v>197.82</v>
      </c>
      <c r="Q26">
        <f>O23-2</f>
        <v>7</v>
      </c>
      <c r="R26" t="s">
        <v>20</v>
      </c>
    </row>
    <row r="27" spans="2:20" x14ac:dyDescent="0.35">
      <c r="B27" s="60"/>
      <c r="C27" s="55"/>
      <c r="D27" s="62" t="s">
        <v>49</v>
      </c>
      <c r="E27" s="61"/>
      <c r="F27" s="64" t="s">
        <v>50</v>
      </c>
      <c r="G27" s="65"/>
      <c r="H27" s="64">
        <v>1</v>
      </c>
      <c r="I27" s="65" t="s">
        <v>41</v>
      </c>
      <c r="J27" s="178">
        <v>2000000</v>
      </c>
      <c r="K27" s="178">
        <f t="shared" si="0"/>
        <v>2000000</v>
      </c>
      <c r="L27" s="46"/>
      <c r="M27" s="18"/>
      <c r="N27" s="23"/>
      <c r="O27" s="23" t="e">
        <f>#REF!*40%</f>
        <v>#REF!</v>
      </c>
      <c r="P27" t="e">
        <f>#REF!+#REF!</f>
        <v>#REF!</v>
      </c>
      <c r="Q27" t="e">
        <f>#REF!*25%</f>
        <v>#REF!</v>
      </c>
    </row>
    <row r="28" spans="2:20" x14ac:dyDescent="0.35">
      <c r="B28" s="60"/>
      <c r="C28" s="55"/>
      <c r="D28" s="62" t="s">
        <v>51</v>
      </c>
      <c r="E28" s="61"/>
      <c r="F28" s="64" t="s">
        <v>52</v>
      </c>
      <c r="G28" s="65"/>
      <c r="H28" s="64">
        <v>1</v>
      </c>
      <c r="I28" s="65" t="s">
        <v>41</v>
      </c>
      <c r="J28" s="178">
        <v>10000000</v>
      </c>
      <c r="K28" s="178">
        <f t="shared" si="0"/>
        <v>10000000</v>
      </c>
      <c r="L28" s="46"/>
      <c r="M28" s="18"/>
      <c r="N28" s="23"/>
      <c r="O28" s="23" t="e">
        <f>#REF!+O27</f>
        <v>#REF!</v>
      </c>
    </row>
    <row r="29" spans="2:20" x14ac:dyDescent="0.35">
      <c r="B29" s="101" t="s">
        <v>53</v>
      </c>
      <c r="C29" s="102"/>
      <c r="D29" s="102"/>
      <c r="E29" s="103" t="s">
        <v>135</v>
      </c>
      <c r="F29" s="97"/>
      <c r="G29" s="98"/>
      <c r="H29" s="97"/>
      <c r="I29" s="98"/>
      <c r="J29" s="50"/>
      <c r="K29" s="29"/>
      <c r="L29" s="52"/>
      <c r="M29" s="18"/>
      <c r="N29" s="23"/>
      <c r="O29" s="23"/>
    </row>
    <row r="30" spans="2:20" x14ac:dyDescent="0.35">
      <c r="B30" s="99"/>
      <c r="C30" s="100"/>
      <c r="D30" s="62" t="s">
        <v>39</v>
      </c>
      <c r="E30" s="61"/>
      <c r="F30" s="64" t="s">
        <v>54</v>
      </c>
      <c r="G30" s="65"/>
      <c r="H30" s="104">
        <v>2074</v>
      </c>
      <c r="I30" s="53" t="s">
        <v>55</v>
      </c>
      <c r="J30" s="178">
        <v>7000</v>
      </c>
      <c r="K30" s="178">
        <f t="shared" ref="K30:K43" si="1">J30*H30</f>
        <v>14518000</v>
      </c>
      <c r="L30" s="46"/>
      <c r="M30" s="18"/>
      <c r="N30" s="23"/>
      <c r="O30" s="23"/>
    </row>
    <row r="31" spans="2:20" x14ac:dyDescent="0.35">
      <c r="B31" s="99"/>
      <c r="C31" s="100"/>
      <c r="D31" s="62" t="s">
        <v>42</v>
      </c>
      <c r="E31" s="61"/>
      <c r="F31" s="64" t="s">
        <v>56</v>
      </c>
      <c r="G31" s="65"/>
      <c r="H31" s="105">
        <v>2074</v>
      </c>
      <c r="I31" s="53" t="s">
        <v>55</v>
      </c>
      <c r="J31" s="178">
        <v>70000</v>
      </c>
      <c r="K31" s="178">
        <f t="shared" si="1"/>
        <v>145180000</v>
      </c>
      <c r="L31" s="46"/>
      <c r="M31" s="18"/>
      <c r="N31" s="23"/>
      <c r="O31" s="23"/>
    </row>
    <row r="32" spans="2:20" x14ac:dyDescent="0.35">
      <c r="B32" s="99"/>
      <c r="C32" s="100"/>
      <c r="D32" s="62" t="s">
        <v>44</v>
      </c>
      <c r="E32" s="61"/>
      <c r="F32" s="64" t="s">
        <v>57</v>
      </c>
      <c r="G32" s="65"/>
      <c r="H32" s="64">
        <v>1263</v>
      </c>
      <c r="I32" s="53" t="s">
        <v>55</v>
      </c>
      <c r="J32" s="178">
        <v>70000</v>
      </c>
      <c r="K32" s="178">
        <f t="shared" si="1"/>
        <v>88410000</v>
      </c>
      <c r="L32" s="46"/>
      <c r="M32" s="18"/>
      <c r="N32" s="23">
        <v>1</v>
      </c>
      <c r="O32" s="23" t="s">
        <v>10</v>
      </c>
    </row>
    <row r="33" spans="2:15" x14ac:dyDescent="0.35">
      <c r="B33" s="99"/>
      <c r="C33" s="100"/>
      <c r="D33" s="62" t="s">
        <v>46</v>
      </c>
      <c r="E33" s="61"/>
      <c r="F33" s="64" t="s">
        <v>58</v>
      </c>
      <c r="G33" s="65"/>
      <c r="H33" s="105">
        <f>H32</f>
        <v>1263</v>
      </c>
      <c r="I33" s="53" t="s">
        <v>55</v>
      </c>
      <c r="J33" s="178">
        <v>6500</v>
      </c>
      <c r="K33" s="178">
        <f t="shared" si="1"/>
        <v>8209500</v>
      </c>
      <c r="L33" s="46"/>
      <c r="M33" s="18"/>
      <c r="N33" s="23"/>
      <c r="O33" s="23"/>
    </row>
    <row r="34" spans="2:15" x14ac:dyDescent="0.35">
      <c r="B34" s="99"/>
      <c r="C34" s="100"/>
      <c r="D34" s="62" t="s">
        <v>48</v>
      </c>
      <c r="E34" s="61"/>
      <c r="F34" s="64" t="s">
        <v>59</v>
      </c>
      <c r="G34" s="65"/>
      <c r="H34" s="64">
        <v>682</v>
      </c>
      <c r="I34" s="53" t="s">
        <v>55</v>
      </c>
      <c r="J34" s="178">
        <v>70000</v>
      </c>
      <c r="K34" s="178">
        <f t="shared" si="1"/>
        <v>47740000</v>
      </c>
      <c r="L34" s="46"/>
      <c r="M34" s="18"/>
      <c r="N34" s="23"/>
      <c r="O34" s="23"/>
    </row>
    <row r="35" spans="2:15" x14ac:dyDescent="0.35">
      <c r="B35" s="99"/>
      <c r="C35" s="100"/>
      <c r="D35" s="62" t="s">
        <v>49</v>
      </c>
      <c r="E35" s="61"/>
      <c r="F35" s="64" t="s">
        <v>60</v>
      </c>
      <c r="G35" s="65"/>
      <c r="H35" s="64">
        <v>1151</v>
      </c>
      <c r="I35" s="53" t="s">
        <v>55</v>
      </c>
      <c r="J35" s="178">
        <v>70000</v>
      </c>
      <c r="K35" s="178">
        <f t="shared" si="1"/>
        <v>80570000</v>
      </c>
      <c r="L35" s="46"/>
      <c r="M35" s="18"/>
      <c r="N35" s="23"/>
      <c r="O35" s="23"/>
    </row>
    <row r="36" spans="2:15" x14ac:dyDescent="0.35">
      <c r="B36" s="99"/>
      <c r="C36" s="100"/>
      <c r="D36" s="62" t="s">
        <v>49</v>
      </c>
      <c r="E36" s="61"/>
      <c r="F36" s="64" t="s">
        <v>368</v>
      </c>
      <c r="G36" s="65"/>
      <c r="H36" s="64">
        <v>65</v>
      </c>
      <c r="I36" s="53" t="s">
        <v>55</v>
      </c>
      <c r="J36" s="178">
        <v>70000</v>
      </c>
      <c r="K36" s="178">
        <f t="shared" si="1"/>
        <v>4550000</v>
      </c>
      <c r="L36" s="46"/>
      <c r="M36" s="18"/>
      <c r="N36" s="23"/>
      <c r="O36" s="23"/>
    </row>
    <row r="37" spans="2:15" x14ac:dyDescent="0.35">
      <c r="B37" s="60"/>
      <c r="C37" s="55"/>
      <c r="D37" s="62" t="s">
        <v>51</v>
      </c>
      <c r="E37" s="61"/>
      <c r="F37" s="64" t="s">
        <v>63</v>
      </c>
      <c r="G37" s="65"/>
      <c r="H37" s="105">
        <f>H30</f>
        <v>2074</v>
      </c>
      <c r="I37" s="53" t="s">
        <v>55</v>
      </c>
      <c r="J37" s="178">
        <v>20500</v>
      </c>
      <c r="K37" s="178">
        <f t="shared" si="1"/>
        <v>42517000</v>
      </c>
      <c r="L37" s="46"/>
      <c r="M37" s="18"/>
      <c r="N37" s="23">
        <v>2</v>
      </c>
      <c r="O37" s="23" t="s">
        <v>16</v>
      </c>
    </row>
    <row r="38" spans="2:15" x14ac:dyDescent="0.35">
      <c r="B38" s="60"/>
      <c r="C38" s="55"/>
      <c r="D38" s="62" t="s">
        <v>61</v>
      </c>
      <c r="E38" s="61"/>
      <c r="F38" s="64" t="s">
        <v>65</v>
      </c>
      <c r="G38" s="65"/>
      <c r="H38" s="64">
        <f>H32</f>
        <v>1263</v>
      </c>
      <c r="I38" s="53" t="s">
        <v>55</v>
      </c>
      <c r="J38" s="178">
        <v>14000</v>
      </c>
      <c r="K38" s="178">
        <f t="shared" si="1"/>
        <v>17682000</v>
      </c>
      <c r="L38" s="46"/>
      <c r="M38" s="18"/>
      <c r="N38" s="23">
        <v>4</v>
      </c>
      <c r="O38" s="23" t="s">
        <v>17</v>
      </c>
    </row>
    <row r="39" spans="2:15" x14ac:dyDescent="0.35">
      <c r="B39" s="106"/>
      <c r="C39" s="62"/>
      <c r="D39" s="62" t="s">
        <v>62</v>
      </c>
      <c r="E39" s="61"/>
      <c r="F39" s="64" t="s">
        <v>67</v>
      </c>
      <c r="G39" s="65"/>
      <c r="H39" s="64">
        <v>682</v>
      </c>
      <c r="I39" s="53" t="s">
        <v>55</v>
      </c>
      <c r="J39" s="178">
        <v>14000</v>
      </c>
      <c r="K39" s="178">
        <f t="shared" si="1"/>
        <v>9548000</v>
      </c>
      <c r="L39" s="46"/>
      <c r="M39" s="18"/>
      <c r="N39" s="23"/>
      <c r="O39" s="23"/>
    </row>
    <row r="40" spans="2:15" x14ac:dyDescent="0.35">
      <c r="B40" s="106"/>
      <c r="C40" s="62"/>
      <c r="D40" s="62" t="s">
        <v>64</v>
      </c>
      <c r="E40" s="61"/>
      <c r="F40" s="64" t="s">
        <v>69</v>
      </c>
      <c r="G40" s="65"/>
      <c r="H40" s="64">
        <v>1151</v>
      </c>
      <c r="I40" s="53" t="s">
        <v>55</v>
      </c>
      <c r="J40" s="178">
        <v>14000</v>
      </c>
      <c r="K40" s="178">
        <f t="shared" si="1"/>
        <v>16114000</v>
      </c>
      <c r="L40" s="46"/>
      <c r="M40" s="18"/>
      <c r="N40" s="23"/>
      <c r="O40" s="23"/>
    </row>
    <row r="41" spans="2:15" x14ac:dyDescent="0.35">
      <c r="B41" s="106"/>
      <c r="C41" s="62"/>
      <c r="D41" s="62" t="s">
        <v>64</v>
      </c>
      <c r="E41" s="61"/>
      <c r="F41" s="64" t="s">
        <v>369</v>
      </c>
      <c r="G41" s="65"/>
      <c r="H41" s="64">
        <f>H36</f>
        <v>65</v>
      </c>
      <c r="I41" s="53" t="s">
        <v>55</v>
      </c>
      <c r="J41" s="178">
        <v>14000</v>
      </c>
      <c r="K41" s="178">
        <f t="shared" si="1"/>
        <v>910000</v>
      </c>
      <c r="L41" s="46"/>
      <c r="M41" s="18"/>
      <c r="N41" s="23"/>
      <c r="O41" s="23"/>
    </row>
    <row r="42" spans="2:15" x14ac:dyDescent="0.35">
      <c r="B42" s="106"/>
      <c r="C42" s="62"/>
      <c r="D42" s="62" t="s">
        <v>66</v>
      </c>
      <c r="E42" s="61"/>
      <c r="F42" s="64" t="s">
        <v>70</v>
      </c>
      <c r="G42" s="65"/>
      <c r="H42" s="64">
        <v>62</v>
      </c>
      <c r="I42" s="53" t="s">
        <v>71</v>
      </c>
      <c r="J42" s="178">
        <v>125000</v>
      </c>
      <c r="K42" s="178">
        <f t="shared" si="1"/>
        <v>7750000</v>
      </c>
      <c r="L42" s="46"/>
      <c r="M42" s="18"/>
      <c r="N42" s="23">
        <v>14</v>
      </c>
      <c r="O42" s="23" t="s">
        <v>18</v>
      </c>
    </row>
    <row r="43" spans="2:15" x14ac:dyDescent="0.35">
      <c r="B43" s="106"/>
      <c r="C43" s="62"/>
      <c r="D43" s="62" t="s">
        <v>68</v>
      </c>
      <c r="E43" s="61"/>
      <c r="F43" s="64" t="s">
        <v>72</v>
      </c>
      <c r="G43" s="65"/>
      <c r="H43" s="64">
        <v>1</v>
      </c>
      <c r="I43" s="53" t="s">
        <v>41</v>
      </c>
      <c r="J43" s="178">
        <v>1275000</v>
      </c>
      <c r="K43" s="178">
        <f t="shared" si="1"/>
        <v>1275000</v>
      </c>
      <c r="L43" s="46"/>
      <c r="M43" s="18"/>
      <c r="N43" s="23">
        <v>15</v>
      </c>
      <c r="O43" s="23" t="s">
        <v>27</v>
      </c>
    </row>
    <row r="44" spans="2:15" x14ac:dyDescent="0.35">
      <c r="B44" s="107" t="s">
        <v>73</v>
      </c>
      <c r="C44" s="108"/>
      <c r="D44" s="109"/>
      <c r="E44" s="110" t="s">
        <v>76</v>
      </c>
      <c r="F44" s="97"/>
      <c r="G44" s="98"/>
      <c r="H44" s="97"/>
      <c r="I44" s="111"/>
      <c r="J44" s="50"/>
      <c r="K44" s="29"/>
      <c r="L44" s="52"/>
      <c r="M44" s="18"/>
      <c r="N44" s="23"/>
      <c r="O44" s="23"/>
    </row>
    <row r="45" spans="2:15" x14ac:dyDescent="0.35">
      <c r="B45" s="61"/>
      <c r="C45" s="62"/>
      <c r="D45" s="63" t="s">
        <v>39</v>
      </c>
      <c r="E45" s="64"/>
      <c r="F45" s="64" t="s">
        <v>136</v>
      </c>
      <c r="G45" s="65"/>
      <c r="H45" s="64">
        <v>16</v>
      </c>
      <c r="I45" s="65" t="s">
        <v>77</v>
      </c>
      <c r="J45" s="52">
        <v>230000</v>
      </c>
      <c r="K45" s="178">
        <f t="shared" ref="K45:K47" si="2">J45*H45</f>
        <v>3680000</v>
      </c>
      <c r="L45" s="46"/>
      <c r="M45" s="177"/>
      <c r="N45" s="23"/>
      <c r="O45" s="23"/>
    </row>
    <row r="46" spans="2:15" x14ac:dyDescent="0.35">
      <c r="B46" s="61"/>
      <c r="C46" s="62"/>
      <c r="D46" s="63" t="s">
        <v>42</v>
      </c>
      <c r="E46" s="62"/>
      <c r="F46" s="64" t="s">
        <v>78</v>
      </c>
      <c r="G46" s="65"/>
      <c r="H46" s="64">
        <v>9</v>
      </c>
      <c r="I46" s="53" t="s">
        <v>79</v>
      </c>
      <c r="J46" s="52">
        <v>260000</v>
      </c>
      <c r="K46" s="178">
        <f t="shared" si="2"/>
        <v>2340000</v>
      </c>
      <c r="L46" s="46"/>
      <c r="M46" s="18"/>
      <c r="N46" s="23"/>
      <c r="O46" s="23"/>
    </row>
    <row r="47" spans="2:15" x14ac:dyDescent="0.35">
      <c r="B47" s="61"/>
      <c r="C47" s="62"/>
      <c r="D47" s="56" t="s">
        <v>44</v>
      </c>
      <c r="E47" s="57"/>
      <c r="F47" s="112" t="s">
        <v>80</v>
      </c>
      <c r="G47" s="58"/>
      <c r="H47" s="113">
        <v>11</v>
      </c>
      <c r="I47" s="53" t="s">
        <v>79</v>
      </c>
      <c r="J47" s="52">
        <v>1900000</v>
      </c>
      <c r="K47" s="178">
        <f t="shared" si="2"/>
        <v>20900000</v>
      </c>
      <c r="L47" s="46"/>
      <c r="M47" s="18"/>
      <c r="N47" s="23"/>
      <c r="O47" s="23"/>
    </row>
    <row r="48" spans="2:15" x14ac:dyDescent="0.35">
      <c r="B48" s="94" t="s">
        <v>75</v>
      </c>
      <c r="C48" s="95"/>
      <c r="D48" s="114"/>
      <c r="E48" s="115" t="s">
        <v>81</v>
      </c>
      <c r="F48" s="116"/>
      <c r="G48" s="117"/>
      <c r="H48" s="118"/>
      <c r="I48" s="117"/>
      <c r="J48" s="50"/>
      <c r="K48" s="29"/>
      <c r="L48" s="52"/>
      <c r="M48" s="18"/>
      <c r="N48" s="23"/>
      <c r="O48" s="23"/>
    </row>
    <row r="49" spans="2:15" x14ac:dyDescent="0.35">
      <c r="B49" s="119"/>
      <c r="C49" s="120"/>
      <c r="D49" s="56" t="s">
        <v>39</v>
      </c>
      <c r="E49" s="57"/>
      <c r="F49" s="112" t="s">
        <v>82</v>
      </c>
      <c r="G49" s="58"/>
      <c r="H49" s="57">
        <v>1</v>
      </c>
      <c r="I49" s="58" t="s">
        <v>83</v>
      </c>
      <c r="J49" s="52">
        <v>2000000</v>
      </c>
      <c r="K49" s="178">
        <f t="shared" ref="K49" si="3">J49*H49</f>
        <v>2000000</v>
      </c>
      <c r="L49" s="46"/>
      <c r="M49" s="18"/>
      <c r="N49" s="23"/>
      <c r="O49" s="23"/>
    </row>
    <row r="50" spans="2:15" x14ac:dyDescent="0.35">
      <c r="B50" s="121"/>
      <c r="C50" s="122"/>
      <c r="D50" s="122"/>
      <c r="E50" s="123"/>
      <c r="F50" s="124"/>
      <c r="G50" s="125"/>
      <c r="H50" s="124"/>
      <c r="I50" s="125"/>
      <c r="J50" s="50"/>
      <c r="K50" s="29"/>
      <c r="L50" s="52"/>
      <c r="M50" s="18"/>
      <c r="N50" s="23"/>
      <c r="O50" s="23"/>
    </row>
    <row r="51" spans="2:15" x14ac:dyDescent="0.35">
      <c r="B51" s="167"/>
      <c r="C51" s="168"/>
      <c r="D51" s="168"/>
      <c r="E51" s="126"/>
      <c r="F51" s="127" t="s">
        <v>84</v>
      </c>
      <c r="G51" s="128"/>
      <c r="H51" s="169"/>
      <c r="I51" s="170"/>
      <c r="J51" s="50"/>
      <c r="K51" s="29"/>
      <c r="L51" s="52"/>
      <c r="M51" s="18"/>
      <c r="N51" s="23"/>
      <c r="O51" s="23"/>
    </row>
    <row r="52" spans="2:15" x14ac:dyDescent="0.35">
      <c r="B52" s="94" t="s">
        <v>38</v>
      </c>
      <c r="C52" s="95"/>
      <c r="D52" s="114"/>
      <c r="E52" s="115" t="s">
        <v>85</v>
      </c>
      <c r="F52" s="116"/>
      <c r="G52" s="117"/>
      <c r="H52" s="118"/>
      <c r="I52" s="117"/>
      <c r="J52" s="50"/>
      <c r="K52" s="29"/>
      <c r="L52" s="52"/>
      <c r="M52" s="18"/>
      <c r="N52" s="23"/>
      <c r="O52" s="23"/>
    </row>
    <row r="53" spans="2:15" x14ac:dyDescent="0.35">
      <c r="B53" s="54"/>
      <c r="C53" s="55" t="s">
        <v>86</v>
      </c>
      <c r="D53" s="56"/>
      <c r="E53" s="57"/>
      <c r="F53" s="57" t="s">
        <v>87</v>
      </c>
      <c r="G53" s="58"/>
      <c r="H53" s="59"/>
      <c r="I53" s="58"/>
      <c r="J53" s="50"/>
      <c r="K53" s="29"/>
      <c r="L53" s="52"/>
      <c r="M53" s="18"/>
      <c r="N53" s="23"/>
      <c r="O53" s="23"/>
    </row>
    <row r="54" spans="2:15" x14ac:dyDescent="0.35">
      <c r="B54" s="54"/>
      <c r="C54" s="55"/>
      <c r="D54" s="129" t="s">
        <v>39</v>
      </c>
      <c r="E54" s="57"/>
      <c r="F54" s="57" t="s">
        <v>137</v>
      </c>
      <c r="G54" s="58"/>
      <c r="H54" s="59"/>
      <c r="I54" s="58"/>
      <c r="J54" s="50"/>
      <c r="K54" s="29"/>
      <c r="L54" s="52"/>
      <c r="M54" s="18"/>
      <c r="N54" s="23"/>
      <c r="O54" s="23"/>
    </row>
    <row r="55" spans="2:15" x14ac:dyDescent="0.35">
      <c r="B55" s="60"/>
      <c r="C55" s="55"/>
      <c r="D55" s="129"/>
      <c r="E55" s="57"/>
      <c r="F55" s="57" t="s">
        <v>88</v>
      </c>
      <c r="G55" s="58" t="s">
        <v>138</v>
      </c>
      <c r="H55" s="77">
        <v>355.32239999999996</v>
      </c>
      <c r="I55" s="58" t="s">
        <v>74</v>
      </c>
      <c r="J55" s="179">
        <v>33000</v>
      </c>
      <c r="K55" s="179"/>
      <c r="L55" s="46">
        <f t="shared" ref="L55:L56" si="4">J55*H55</f>
        <v>11725639.199999999</v>
      </c>
      <c r="M55" s="18"/>
      <c r="N55" s="23"/>
      <c r="O55" s="23"/>
    </row>
    <row r="56" spans="2:15" x14ac:dyDescent="0.35">
      <c r="B56" s="54"/>
      <c r="C56" s="55"/>
      <c r="D56" s="129"/>
      <c r="E56" s="57"/>
      <c r="F56" s="57" t="s">
        <v>88</v>
      </c>
      <c r="G56" s="58" t="s">
        <v>139</v>
      </c>
      <c r="H56" s="77">
        <v>177.66119999999998</v>
      </c>
      <c r="I56" s="58" t="s">
        <v>74</v>
      </c>
      <c r="J56" s="179">
        <v>33000</v>
      </c>
      <c r="K56" s="179"/>
      <c r="L56" s="46">
        <f t="shared" si="4"/>
        <v>5862819.5999999996</v>
      </c>
      <c r="M56" s="18"/>
      <c r="N56" s="23"/>
      <c r="O56" s="23"/>
    </row>
    <row r="57" spans="2:15" x14ac:dyDescent="0.35">
      <c r="B57" s="61"/>
      <c r="C57" s="62"/>
      <c r="D57" s="130" t="s">
        <v>42</v>
      </c>
      <c r="E57" s="64"/>
      <c r="F57" s="64" t="s">
        <v>140</v>
      </c>
      <c r="G57" s="65"/>
      <c r="H57" s="171"/>
      <c r="I57" s="65"/>
      <c r="J57" s="50"/>
      <c r="K57" s="29"/>
      <c r="L57" s="52"/>
      <c r="M57" s="18"/>
      <c r="N57" s="23"/>
      <c r="O57" s="23"/>
    </row>
    <row r="58" spans="2:15" x14ac:dyDescent="0.35">
      <c r="B58" s="61"/>
      <c r="C58" s="62"/>
      <c r="D58" s="130"/>
      <c r="E58" s="64"/>
      <c r="F58" s="64" t="s">
        <v>88</v>
      </c>
      <c r="G58" s="65" t="s">
        <v>141</v>
      </c>
      <c r="H58" s="171">
        <v>1060.7673599999998</v>
      </c>
      <c r="I58" s="65" t="s">
        <v>74</v>
      </c>
      <c r="J58" s="179">
        <v>33000</v>
      </c>
      <c r="K58" s="179"/>
      <c r="L58" s="46">
        <f t="shared" ref="L58:L59" si="5">J58*H58</f>
        <v>35005322.879999995</v>
      </c>
      <c r="M58" s="18"/>
      <c r="N58" s="23"/>
      <c r="O58" s="23"/>
    </row>
    <row r="59" spans="2:15" x14ac:dyDescent="0.35">
      <c r="B59" s="66"/>
      <c r="C59" s="67"/>
      <c r="D59" s="131"/>
      <c r="E59" s="68"/>
      <c r="F59" s="69" t="s">
        <v>88</v>
      </c>
      <c r="G59" s="70" t="s">
        <v>142</v>
      </c>
      <c r="H59" s="172">
        <v>530.38367999999991</v>
      </c>
      <c r="I59" s="70" t="s">
        <v>74</v>
      </c>
      <c r="J59" s="179">
        <v>33000</v>
      </c>
      <c r="K59" s="179"/>
      <c r="L59" s="46">
        <f t="shared" si="5"/>
        <v>17502661.439999998</v>
      </c>
      <c r="M59" s="18"/>
      <c r="N59" s="23"/>
      <c r="O59" s="23"/>
    </row>
    <row r="60" spans="2:15" x14ac:dyDescent="0.35">
      <c r="B60" s="71"/>
      <c r="C60" s="72"/>
      <c r="D60" s="73" t="s">
        <v>44</v>
      </c>
      <c r="E60" s="74"/>
      <c r="F60" s="74" t="s">
        <v>143</v>
      </c>
      <c r="G60" s="75"/>
      <c r="H60" s="76"/>
      <c r="I60" s="75"/>
      <c r="J60" s="50"/>
      <c r="K60" s="29"/>
      <c r="L60" s="52"/>
      <c r="M60" s="18"/>
      <c r="N60" s="23"/>
      <c r="O60" s="23"/>
    </row>
    <row r="61" spans="2:15" x14ac:dyDescent="0.35">
      <c r="B61" s="71"/>
      <c r="C61" s="72"/>
      <c r="D61" s="73"/>
      <c r="E61" s="74"/>
      <c r="F61" s="74" t="s">
        <v>88</v>
      </c>
      <c r="G61" s="75" t="s">
        <v>144</v>
      </c>
      <c r="H61" s="76">
        <v>1057.3007999999998</v>
      </c>
      <c r="I61" s="75" t="s">
        <v>74</v>
      </c>
      <c r="J61" s="179">
        <v>33000</v>
      </c>
      <c r="K61" s="179"/>
      <c r="L61" s="46">
        <f t="shared" ref="L61:L62" si="6">J61*H61</f>
        <v>34890926.399999991</v>
      </c>
      <c r="M61" s="18"/>
      <c r="N61" s="23"/>
      <c r="O61" s="23"/>
    </row>
    <row r="62" spans="2:15" x14ac:dyDescent="0.35">
      <c r="B62" s="71"/>
      <c r="C62" s="72"/>
      <c r="D62" s="73"/>
      <c r="E62" s="74"/>
      <c r="F62" s="74" t="s">
        <v>88</v>
      </c>
      <c r="G62" s="75" t="s">
        <v>145</v>
      </c>
      <c r="H62" s="76">
        <v>528.65039999999988</v>
      </c>
      <c r="I62" s="75" t="s">
        <v>74</v>
      </c>
      <c r="J62" s="179">
        <v>33000</v>
      </c>
      <c r="K62" s="179"/>
      <c r="L62" s="46">
        <f t="shared" si="6"/>
        <v>17445463.199999996</v>
      </c>
      <c r="M62" s="18"/>
      <c r="N62" s="23"/>
      <c r="O62" s="23"/>
    </row>
    <row r="63" spans="2:15" x14ac:dyDescent="0.35">
      <c r="B63" s="71"/>
      <c r="C63" s="72"/>
      <c r="D63" s="73" t="s">
        <v>46</v>
      </c>
      <c r="E63" s="74"/>
      <c r="F63" s="74" t="s">
        <v>146</v>
      </c>
      <c r="G63" s="75"/>
      <c r="H63" s="76"/>
      <c r="I63" s="75"/>
      <c r="J63" s="50"/>
      <c r="K63" s="29"/>
      <c r="L63" s="52"/>
      <c r="M63" s="18"/>
      <c r="N63" s="23"/>
      <c r="O63" s="23"/>
    </row>
    <row r="64" spans="2:15" x14ac:dyDescent="0.35">
      <c r="B64" s="71"/>
      <c r="C64" s="72"/>
      <c r="D64" s="73"/>
      <c r="E64" s="74"/>
      <c r="F64" s="74" t="s">
        <v>88</v>
      </c>
      <c r="G64" s="75" t="s">
        <v>141</v>
      </c>
      <c r="H64" s="77">
        <v>1060.7673599999998</v>
      </c>
      <c r="I64" s="58" t="s">
        <v>74</v>
      </c>
      <c r="J64" s="179">
        <v>33000</v>
      </c>
      <c r="K64" s="179"/>
      <c r="L64" s="46">
        <f t="shared" ref="L64:L65" si="7">J64*H64</f>
        <v>35005322.879999995</v>
      </c>
      <c r="M64" s="18"/>
      <c r="N64" s="23"/>
      <c r="O64" s="23"/>
    </row>
    <row r="65" spans="2:23" x14ac:dyDescent="0.35">
      <c r="B65" s="71"/>
      <c r="C65" s="72"/>
      <c r="D65" s="73"/>
      <c r="E65" s="74"/>
      <c r="F65" s="74" t="s">
        <v>88</v>
      </c>
      <c r="G65" s="75" t="s">
        <v>142</v>
      </c>
      <c r="H65" s="76">
        <v>530.38367999999991</v>
      </c>
      <c r="I65" s="75" t="s">
        <v>74</v>
      </c>
      <c r="J65" s="179">
        <v>33000</v>
      </c>
      <c r="K65" s="179"/>
      <c r="L65" s="46">
        <f t="shared" si="7"/>
        <v>17502661.439999998</v>
      </c>
      <c r="M65" s="18"/>
      <c r="N65" s="23"/>
      <c r="O65" s="23"/>
    </row>
    <row r="66" spans="2:23" x14ac:dyDescent="0.35">
      <c r="B66" s="71"/>
      <c r="C66" s="72"/>
      <c r="D66" s="73" t="s">
        <v>48</v>
      </c>
      <c r="E66" s="74"/>
      <c r="F66" s="74" t="s">
        <v>147</v>
      </c>
      <c r="G66" s="75"/>
      <c r="H66" s="76"/>
      <c r="I66" s="75"/>
      <c r="J66" s="50"/>
      <c r="K66" s="29"/>
      <c r="L66" s="52"/>
      <c r="M66" s="18"/>
      <c r="N66" s="23"/>
      <c r="O66" s="23"/>
    </row>
    <row r="67" spans="2:23" x14ac:dyDescent="0.35">
      <c r="B67" s="71"/>
      <c r="C67" s="72"/>
      <c r="D67" s="73"/>
      <c r="E67" s="74"/>
      <c r="F67" s="74" t="s">
        <v>88</v>
      </c>
      <c r="G67" s="75" t="s">
        <v>141</v>
      </c>
      <c r="H67" s="76">
        <v>1060.7673599999998</v>
      </c>
      <c r="I67" s="75" t="s">
        <v>74</v>
      </c>
      <c r="J67" s="179">
        <v>33000</v>
      </c>
      <c r="K67" s="179"/>
      <c r="L67" s="46">
        <f t="shared" ref="L67:L68" si="8">J67*H67</f>
        <v>35005322.879999995</v>
      </c>
      <c r="M67" s="18"/>
      <c r="N67" s="23"/>
      <c r="O67" s="23"/>
    </row>
    <row r="68" spans="2:23" x14ac:dyDescent="0.35">
      <c r="B68" s="71"/>
      <c r="C68" s="72"/>
      <c r="D68" s="73"/>
      <c r="E68" s="74"/>
      <c r="F68" s="74" t="s">
        <v>88</v>
      </c>
      <c r="G68" s="75" t="s">
        <v>142</v>
      </c>
      <c r="H68" s="77">
        <v>530.38367999999991</v>
      </c>
      <c r="I68" s="58" t="s">
        <v>74</v>
      </c>
      <c r="J68" s="179">
        <v>33000</v>
      </c>
      <c r="K68" s="179"/>
      <c r="L68" s="46">
        <f t="shared" si="8"/>
        <v>17502661.439999998</v>
      </c>
      <c r="M68" s="18"/>
      <c r="N68" s="23"/>
      <c r="O68" s="23"/>
    </row>
    <row r="69" spans="2:23" x14ac:dyDescent="0.35">
      <c r="B69" s="71"/>
      <c r="C69" s="72"/>
      <c r="D69" s="73" t="s">
        <v>49</v>
      </c>
      <c r="E69" s="74"/>
      <c r="F69" s="74" t="s">
        <v>148</v>
      </c>
      <c r="G69" s="75"/>
      <c r="H69" s="78"/>
      <c r="I69" s="75"/>
      <c r="J69" s="50"/>
      <c r="K69" s="29"/>
      <c r="L69" s="52"/>
      <c r="M69" s="18"/>
      <c r="N69" s="23"/>
      <c r="O69" s="23"/>
    </row>
    <row r="70" spans="2:23" x14ac:dyDescent="0.35">
      <c r="B70" s="71"/>
      <c r="C70" s="72"/>
      <c r="D70" s="73"/>
      <c r="E70" s="74"/>
      <c r="F70" s="74" t="s">
        <v>88</v>
      </c>
      <c r="G70" s="75" t="s">
        <v>149</v>
      </c>
      <c r="H70" s="76">
        <v>244.11929999999995</v>
      </c>
      <c r="I70" s="75" t="s">
        <v>74</v>
      </c>
      <c r="J70" s="179">
        <v>33000</v>
      </c>
      <c r="K70" s="179"/>
      <c r="L70" s="46">
        <f t="shared" ref="L70" si="9">J70*H70</f>
        <v>8055936.8999999985</v>
      </c>
      <c r="M70" s="18"/>
      <c r="N70" s="23"/>
      <c r="O70" s="23"/>
    </row>
    <row r="71" spans="2:23" x14ac:dyDescent="0.35">
      <c r="B71" s="71"/>
      <c r="C71" s="72"/>
      <c r="D71" s="73"/>
      <c r="E71" s="74"/>
      <c r="F71" s="74"/>
      <c r="G71" s="75"/>
      <c r="H71" s="76"/>
      <c r="I71" s="75"/>
      <c r="J71" s="50"/>
      <c r="K71" s="29"/>
      <c r="L71" s="52"/>
      <c r="M71" s="18"/>
      <c r="N71" s="23"/>
      <c r="O71" s="23"/>
    </row>
    <row r="72" spans="2:23" x14ac:dyDescent="0.35">
      <c r="B72" s="47"/>
      <c r="C72" s="48"/>
      <c r="D72" s="24"/>
      <c r="G72" s="22"/>
      <c r="I72" s="22"/>
      <c r="J72" s="50"/>
      <c r="K72" s="29"/>
      <c r="L72" s="52"/>
      <c r="M72" s="18"/>
      <c r="N72" s="23"/>
      <c r="O72" s="23"/>
    </row>
    <row r="73" spans="2:23" x14ac:dyDescent="0.35">
      <c r="B73" s="8"/>
      <c r="C73" s="9"/>
      <c r="D73" s="10"/>
      <c r="E73" s="4"/>
      <c r="F73" s="4"/>
      <c r="G73" s="4"/>
      <c r="H73" s="1"/>
      <c r="I73" s="1"/>
      <c r="J73" s="11" t="s">
        <v>8</v>
      </c>
      <c r="K73" s="7">
        <f>SUM(K20:K72)</f>
        <v>607093500</v>
      </c>
      <c r="L73" s="7">
        <f>SUM(L20:L72)</f>
        <v>235504738.25999996</v>
      </c>
      <c r="M73" s="14">
        <f>K73+L73</f>
        <v>842598238.25999999</v>
      </c>
      <c r="N73" s="15"/>
      <c r="O73" s="34"/>
      <c r="P73" s="34"/>
      <c r="Q73" s="34"/>
      <c r="R73" s="34"/>
      <c r="S73">
        <v>102.15</v>
      </c>
      <c r="T73" s="34" t="s">
        <v>19</v>
      </c>
      <c r="U73" s="34"/>
      <c r="V73" s="34"/>
      <c r="W73" s="16"/>
    </row>
    <row r="74" spans="2:23" x14ac:dyDescent="0.35">
      <c r="B74" s="8"/>
      <c r="C74" s="9"/>
      <c r="D74" s="9"/>
      <c r="E74" s="4"/>
      <c r="F74" s="4"/>
      <c r="G74" s="4"/>
      <c r="H74" s="1"/>
      <c r="I74" s="1"/>
      <c r="J74" s="11"/>
      <c r="K74" s="35" t="s">
        <v>22</v>
      </c>
      <c r="L74" s="36" t="s">
        <v>23</v>
      </c>
      <c r="M74" s="14"/>
      <c r="N74" s="15"/>
      <c r="O74" s="34"/>
      <c r="P74" s="34"/>
      <c r="Q74" s="34"/>
      <c r="R74" s="34"/>
      <c r="T74" s="34"/>
      <c r="U74" s="34"/>
      <c r="V74" s="34"/>
      <c r="W74" s="16"/>
    </row>
    <row r="75" spans="2:23" x14ac:dyDescent="0.35">
      <c r="B75" s="3" t="s">
        <v>9</v>
      </c>
      <c r="C75" s="4"/>
      <c r="D75" s="4"/>
      <c r="E75" s="4"/>
      <c r="F75" s="4"/>
      <c r="G75" s="4"/>
      <c r="H75" s="1"/>
      <c r="I75" s="1"/>
      <c r="J75" s="12"/>
      <c r="K75" s="12"/>
      <c r="L75" s="13"/>
      <c r="N75" s="15"/>
      <c r="O75" s="34"/>
      <c r="P75" s="34"/>
      <c r="Q75" s="34"/>
      <c r="R75" s="34"/>
      <c r="S75">
        <v>26.04</v>
      </c>
      <c r="T75" s="34" t="s">
        <v>20</v>
      </c>
      <c r="U75" s="34"/>
      <c r="V75" s="34"/>
      <c r="W75" s="16"/>
    </row>
    <row r="76" spans="2:23" x14ac:dyDescent="0.35">
      <c r="B76" s="37"/>
      <c r="C76" s="1"/>
      <c r="D76" s="1"/>
      <c r="E76" s="38"/>
      <c r="F76" s="38"/>
      <c r="G76" s="38"/>
      <c r="H76" s="1"/>
      <c r="I76" s="1"/>
      <c r="J76" s="1"/>
      <c r="K76" s="1"/>
      <c r="L76" s="19"/>
    </row>
    <row r="77" spans="2:23" x14ac:dyDescent="0.35">
      <c r="B77" s="28" t="s">
        <v>6</v>
      </c>
      <c r="C77" s="27"/>
      <c r="D77" s="27"/>
      <c r="E77" s="26"/>
      <c r="F77" s="26"/>
      <c r="G77" s="5"/>
      <c r="K77" s="232" t="s">
        <v>378</v>
      </c>
      <c r="L77" s="233"/>
    </row>
    <row r="78" spans="2:23" x14ac:dyDescent="0.35">
      <c r="B78" s="28">
        <v>1</v>
      </c>
      <c r="C78" s="27"/>
      <c r="D78" s="27"/>
      <c r="E78" s="26" t="s">
        <v>7</v>
      </c>
      <c r="F78" s="26"/>
      <c r="G78" s="5"/>
      <c r="K78" s="232" t="s">
        <v>28</v>
      </c>
      <c r="L78" s="233"/>
    </row>
    <row r="79" spans="2:23" x14ac:dyDescent="0.35">
      <c r="B79" s="39"/>
      <c r="C79" s="27"/>
      <c r="D79" s="27"/>
      <c r="E79" s="26"/>
      <c r="F79" s="26"/>
      <c r="G79" s="5"/>
      <c r="J79" s="25"/>
      <c r="K79" s="25"/>
      <c r="L79" s="24"/>
    </row>
    <row r="80" spans="2:23" x14ac:dyDescent="0.35">
      <c r="B80" s="28"/>
      <c r="C80" s="27"/>
      <c r="D80" s="27"/>
      <c r="E80" s="26"/>
      <c r="F80" s="26"/>
      <c r="G80" s="5"/>
      <c r="L80" s="22"/>
    </row>
    <row r="81" spans="2:15" x14ac:dyDescent="0.35">
      <c r="B81" s="45"/>
      <c r="E81" s="5"/>
      <c r="F81" s="5"/>
      <c r="G81" s="5"/>
      <c r="L81" s="22"/>
    </row>
    <row r="82" spans="2:15" x14ac:dyDescent="0.35">
      <c r="B82" s="45"/>
      <c r="E82" s="5"/>
      <c r="F82" s="5"/>
      <c r="G82" s="5"/>
      <c r="L82" s="22"/>
    </row>
    <row r="83" spans="2:15" x14ac:dyDescent="0.35">
      <c r="B83" s="45"/>
      <c r="E83" s="5"/>
      <c r="F83" s="5"/>
      <c r="G83" s="5"/>
      <c r="L83" s="22"/>
    </row>
    <row r="84" spans="2:15" x14ac:dyDescent="0.35">
      <c r="B84" s="45"/>
      <c r="E84" s="5"/>
      <c r="F84" s="5"/>
      <c r="G84" s="5"/>
      <c r="J84" s="40"/>
      <c r="K84" s="234" t="s">
        <v>36</v>
      </c>
      <c r="L84" s="235"/>
      <c r="M84" s="40"/>
    </row>
    <row r="85" spans="2:15" x14ac:dyDescent="0.35">
      <c r="B85" s="45"/>
      <c r="K85" s="236" t="s">
        <v>37</v>
      </c>
      <c r="L85" s="237"/>
      <c r="M85" s="42"/>
    </row>
    <row r="86" spans="2:15" x14ac:dyDescent="0.35">
      <c r="B86" s="238"/>
      <c r="C86" s="239"/>
      <c r="D86" s="239"/>
      <c r="E86" s="41"/>
      <c r="F86" s="41"/>
      <c r="G86" s="41"/>
      <c r="H86" s="2"/>
      <c r="I86" s="2"/>
      <c r="J86" s="2"/>
      <c r="K86" s="2"/>
      <c r="L86" s="21"/>
    </row>
    <row r="87" spans="2:15" x14ac:dyDescent="0.35">
      <c r="B87" s="47"/>
      <c r="C87" s="48"/>
      <c r="D87" s="49"/>
      <c r="G87" s="22"/>
      <c r="H87" s="1"/>
      <c r="I87" s="1"/>
      <c r="J87" s="43"/>
      <c r="K87" s="30"/>
      <c r="L87" s="44"/>
    </row>
    <row r="88" spans="2:15" x14ac:dyDescent="0.35">
      <c r="B88" s="71"/>
      <c r="C88" s="72"/>
      <c r="D88" s="73" t="s">
        <v>51</v>
      </c>
      <c r="E88" s="74"/>
      <c r="F88" s="74" t="s">
        <v>150</v>
      </c>
      <c r="G88" s="75"/>
      <c r="H88" s="76"/>
      <c r="I88" s="75"/>
      <c r="J88" s="50"/>
      <c r="K88" s="29"/>
      <c r="L88" s="52"/>
      <c r="M88" s="18"/>
      <c r="N88" s="23"/>
      <c r="O88" s="23"/>
    </row>
    <row r="89" spans="2:15" x14ac:dyDescent="0.35">
      <c r="B89" s="71"/>
      <c r="C89" s="72"/>
      <c r="D89" s="73"/>
      <c r="E89" s="74"/>
      <c r="F89" s="74" t="s">
        <v>88</v>
      </c>
      <c r="G89" s="75" t="s">
        <v>151</v>
      </c>
      <c r="H89" s="76">
        <v>411.46559999999994</v>
      </c>
      <c r="I89" s="75" t="s">
        <v>74</v>
      </c>
      <c r="J89" s="179">
        <v>33000</v>
      </c>
      <c r="K89" s="179"/>
      <c r="L89" s="46">
        <f t="shared" ref="L89" si="10">J89*H89</f>
        <v>13578364.799999999</v>
      </c>
      <c r="M89" s="18"/>
      <c r="N89" s="23"/>
      <c r="O89" s="23"/>
    </row>
    <row r="90" spans="2:15" x14ac:dyDescent="0.35">
      <c r="B90" s="71"/>
      <c r="C90" s="72" t="s">
        <v>89</v>
      </c>
      <c r="D90" s="73"/>
      <c r="E90" s="74"/>
      <c r="F90" s="74" t="s">
        <v>90</v>
      </c>
      <c r="G90" s="75"/>
      <c r="H90" s="76"/>
      <c r="I90" s="75"/>
      <c r="J90" s="29"/>
      <c r="K90" s="51"/>
      <c r="L90" s="46"/>
    </row>
    <row r="91" spans="2:15" x14ac:dyDescent="0.35">
      <c r="B91" s="71"/>
      <c r="C91" s="72"/>
      <c r="D91" s="73" t="s">
        <v>39</v>
      </c>
      <c r="E91" s="74"/>
      <c r="F91" s="74" t="s">
        <v>152</v>
      </c>
      <c r="G91" s="75"/>
      <c r="H91" s="76"/>
      <c r="I91" s="75"/>
      <c r="J91" s="50"/>
      <c r="K91" s="51"/>
      <c r="L91" s="46"/>
    </row>
    <row r="92" spans="2:15" x14ac:dyDescent="0.35">
      <c r="B92" s="71"/>
      <c r="C92" s="72"/>
      <c r="D92" s="73"/>
      <c r="E92" s="74"/>
      <c r="F92" s="74" t="s">
        <v>88</v>
      </c>
      <c r="G92" s="75" t="s">
        <v>153</v>
      </c>
      <c r="H92" s="76">
        <v>161.76023999999998</v>
      </c>
      <c r="I92" s="75" t="s">
        <v>74</v>
      </c>
      <c r="J92" s="179">
        <v>33000</v>
      </c>
      <c r="K92" s="179"/>
      <c r="L92" s="46">
        <f t="shared" ref="L92" si="11">J92*H92</f>
        <v>5338087.919999999</v>
      </c>
    </row>
    <row r="93" spans="2:15" x14ac:dyDescent="0.35">
      <c r="B93" s="71"/>
      <c r="C93" s="72"/>
      <c r="D93" s="73" t="s">
        <v>42</v>
      </c>
      <c r="E93" s="74"/>
      <c r="F93" s="74" t="s">
        <v>154</v>
      </c>
      <c r="G93" s="75"/>
      <c r="H93" s="76"/>
      <c r="I93" s="75"/>
      <c r="J93" s="50"/>
      <c r="K93" s="29"/>
      <c r="L93" s="52"/>
    </row>
    <row r="94" spans="2:15" x14ac:dyDescent="0.35">
      <c r="B94" s="71"/>
      <c r="C94" s="72"/>
      <c r="D94" s="73"/>
      <c r="E94" s="74"/>
      <c r="F94" s="74" t="s">
        <v>88</v>
      </c>
      <c r="G94" s="75" t="s">
        <v>155</v>
      </c>
      <c r="H94" s="76">
        <v>467.73125999999991</v>
      </c>
      <c r="I94" s="75" t="s">
        <v>74</v>
      </c>
      <c r="J94" s="179">
        <v>33000</v>
      </c>
      <c r="K94" s="179"/>
      <c r="L94" s="46">
        <f t="shared" ref="L94" si="12">J94*H94</f>
        <v>15435131.579999996</v>
      </c>
    </row>
    <row r="95" spans="2:15" x14ac:dyDescent="0.35">
      <c r="B95" s="71"/>
      <c r="C95" s="72"/>
      <c r="D95" s="73" t="s">
        <v>44</v>
      </c>
      <c r="E95" s="74"/>
      <c r="F95" s="74" t="s">
        <v>156</v>
      </c>
      <c r="G95" s="75"/>
      <c r="H95" s="76"/>
      <c r="I95" s="75"/>
      <c r="J95" s="50"/>
      <c r="K95" s="29"/>
      <c r="L95" s="52"/>
    </row>
    <row r="96" spans="2:15" x14ac:dyDescent="0.35">
      <c r="B96" s="71"/>
      <c r="C96" s="72"/>
      <c r="D96" s="73"/>
      <c r="E96" s="74"/>
      <c r="F96" s="74" t="s">
        <v>88</v>
      </c>
      <c r="G96" s="75" t="s">
        <v>157</v>
      </c>
      <c r="H96" s="76">
        <v>466.96823999999992</v>
      </c>
      <c r="I96" s="75" t="s">
        <v>74</v>
      </c>
      <c r="J96" s="179">
        <v>33000</v>
      </c>
      <c r="K96" s="179"/>
      <c r="L96" s="46">
        <f t="shared" ref="L96" si="13">J96*H96</f>
        <v>15409951.919999998</v>
      </c>
    </row>
    <row r="97" spans="2:12" x14ac:dyDescent="0.35">
      <c r="B97" s="71"/>
      <c r="C97" s="72"/>
      <c r="D97" s="73" t="s">
        <v>46</v>
      </c>
      <c r="E97" s="74"/>
      <c r="F97" s="74" t="s">
        <v>158</v>
      </c>
      <c r="G97" s="75"/>
      <c r="H97" s="76"/>
      <c r="I97" s="75"/>
      <c r="J97" s="50"/>
      <c r="K97" s="29"/>
      <c r="L97" s="52"/>
    </row>
    <row r="98" spans="2:12" x14ac:dyDescent="0.35">
      <c r="B98" s="71"/>
      <c r="C98" s="72"/>
      <c r="D98" s="73"/>
      <c r="E98" s="74"/>
      <c r="F98" s="74" t="s">
        <v>88</v>
      </c>
      <c r="G98" s="75" t="s">
        <v>159</v>
      </c>
      <c r="H98" s="76">
        <v>256.37471999999997</v>
      </c>
      <c r="I98" s="75" t="s">
        <v>74</v>
      </c>
      <c r="J98" s="179">
        <v>33000</v>
      </c>
      <c r="K98" s="179"/>
      <c r="L98" s="46">
        <f t="shared" ref="L98" si="14">J98*H98</f>
        <v>8460365.7599999998</v>
      </c>
    </row>
    <row r="99" spans="2:12" x14ac:dyDescent="0.35">
      <c r="B99" s="71"/>
      <c r="C99" s="72"/>
      <c r="D99" s="73" t="s">
        <v>48</v>
      </c>
      <c r="E99" s="74"/>
      <c r="F99" s="74" t="s">
        <v>160</v>
      </c>
      <c r="G99" s="75"/>
      <c r="H99" s="76"/>
      <c r="I99" s="75"/>
      <c r="J99" s="50"/>
      <c r="K99" s="29"/>
      <c r="L99" s="52"/>
    </row>
    <row r="100" spans="2:12" x14ac:dyDescent="0.35">
      <c r="B100" s="71"/>
      <c r="C100" s="72"/>
      <c r="D100" s="73"/>
      <c r="E100" s="74"/>
      <c r="F100" s="74" t="s">
        <v>88</v>
      </c>
      <c r="G100" s="75" t="s">
        <v>161</v>
      </c>
      <c r="H100" s="132">
        <v>459.33803999999992</v>
      </c>
      <c r="I100" s="75" t="s">
        <v>74</v>
      </c>
      <c r="J100" s="179">
        <v>33000</v>
      </c>
      <c r="K100" s="179"/>
      <c r="L100" s="46">
        <f t="shared" ref="L100" si="15">J100*H100</f>
        <v>15158155.319999997</v>
      </c>
    </row>
    <row r="101" spans="2:12" x14ac:dyDescent="0.35">
      <c r="B101" s="71"/>
      <c r="C101" s="72"/>
      <c r="D101" s="73" t="s">
        <v>49</v>
      </c>
      <c r="E101" s="74"/>
      <c r="F101" s="74" t="s">
        <v>162</v>
      </c>
      <c r="G101" s="75"/>
      <c r="H101" s="76"/>
      <c r="I101" s="75"/>
      <c r="J101" s="50"/>
      <c r="K101" s="29"/>
      <c r="L101" s="52"/>
    </row>
    <row r="102" spans="2:12" x14ac:dyDescent="0.35">
      <c r="B102" s="71"/>
      <c r="C102" s="72"/>
      <c r="D102" s="73"/>
      <c r="E102" s="74"/>
      <c r="F102" s="74" t="s">
        <v>88</v>
      </c>
      <c r="G102" s="75" t="s">
        <v>157</v>
      </c>
      <c r="H102" s="76">
        <v>466.96823999999992</v>
      </c>
      <c r="I102" s="75" t="s">
        <v>74</v>
      </c>
      <c r="J102" s="179">
        <v>33000</v>
      </c>
      <c r="K102" s="179"/>
      <c r="L102" s="46">
        <f t="shared" ref="L102" si="16">J102*H102</f>
        <v>15409951.919999998</v>
      </c>
    </row>
    <row r="103" spans="2:12" x14ac:dyDescent="0.35">
      <c r="B103" s="71"/>
      <c r="C103" s="72"/>
      <c r="D103" s="73" t="s">
        <v>51</v>
      </c>
      <c r="E103" s="74"/>
      <c r="F103" s="74" t="s">
        <v>163</v>
      </c>
      <c r="G103" s="75"/>
      <c r="H103" s="76"/>
      <c r="I103" s="75"/>
      <c r="J103" s="50"/>
      <c r="K103" s="29"/>
      <c r="L103" s="52"/>
    </row>
    <row r="104" spans="2:12" x14ac:dyDescent="0.35">
      <c r="B104" s="71"/>
      <c r="C104" s="72"/>
      <c r="D104" s="73"/>
      <c r="E104" s="74"/>
      <c r="F104" s="74" t="s">
        <v>88</v>
      </c>
      <c r="G104" s="75" t="s">
        <v>164</v>
      </c>
      <c r="H104" s="76">
        <v>564.34178399999996</v>
      </c>
      <c r="I104" s="75" t="s">
        <v>74</v>
      </c>
      <c r="J104" s="179">
        <v>33000</v>
      </c>
      <c r="K104" s="179"/>
      <c r="L104" s="46">
        <f t="shared" ref="L104:L105" si="17">J104*H104</f>
        <v>18623278.871999998</v>
      </c>
    </row>
    <row r="105" spans="2:12" x14ac:dyDescent="0.35">
      <c r="B105" s="71"/>
      <c r="C105" s="72"/>
      <c r="D105" s="73"/>
      <c r="E105" s="74"/>
      <c r="F105" s="74" t="s">
        <v>88</v>
      </c>
      <c r="G105" s="75" t="s">
        <v>165</v>
      </c>
      <c r="H105" s="76">
        <v>456.28445999999997</v>
      </c>
      <c r="I105" s="75" t="s">
        <v>74</v>
      </c>
      <c r="J105" s="179">
        <v>33000</v>
      </c>
      <c r="K105" s="179"/>
      <c r="L105" s="46">
        <f t="shared" si="17"/>
        <v>15057387.18</v>
      </c>
    </row>
    <row r="106" spans="2:12" x14ac:dyDescent="0.35">
      <c r="B106" s="71"/>
      <c r="C106" s="72"/>
      <c r="D106" s="73" t="s">
        <v>61</v>
      </c>
      <c r="E106" s="74"/>
      <c r="F106" s="74" t="s">
        <v>166</v>
      </c>
      <c r="G106" s="75"/>
      <c r="H106" s="76"/>
      <c r="I106" s="75"/>
      <c r="J106" s="50"/>
      <c r="K106" s="29"/>
      <c r="L106" s="52"/>
    </row>
    <row r="107" spans="2:12" x14ac:dyDescent="0.35">
      <c r="B107" s="71"/>
      <c r="C107" s="72"/>
      <c r="D107" s="73"/>
      <c r="E107" s="74"/>
      <c r="F107" s="74" t="s">
        <v>88</v>
      </c>
      <c r="G107" s="75" t="s">
        <v>167</v>
      </c>
      <c r="H107" s="76">
        <v>345.33719999999994</v>
      </c>
      <c r="I107" s="75" t="s">
        <v>74</v>
      </c>
      <c r="J107" s="179">
        <v>33000</v>
      </c>
      <c r="K107" s="179"/>
      <c r="L107" s="46">
        <f t="shared" ref="L107:L108" si="18">J107*H107</f>
        <v>11396127.599999998</v>
      </c>
    </row>
    <row r="108" spans="2:12" x14ac:dyDescent="0.35">
      <c r="B108" s="71"/>
      <c r="C108" s="72"/>
      <c r="D108" s="73"/>
      <c r="E108" s="74"/>
      <c r="F108" s="74" t="s">
        <v>88</v>
      </c>
      <c r="G108" s="75" t="s">
        <v>168</v>
      </c>
      <c r="H108" s="76">
        <v>114.73931399999999</v>
      </c>
      <c r="I108" s="75" t="s">
        <v>74</v>
      </c>
      <c r="J108" s="179">
        <v>33000</v>
      </c>
      <c r="K108" s="179"/>
      <c r="L108" s="46">
        <f t="shared" si="18"/>
        <v>3786397.3619999997</v>
      </c>
    </row>
    <row r="109" spans="2:12" x14ac:dyDescent="0.35">
      <c r="B109" s="71"/>
      <c r="C109" s="72" t="s">
        <v>91</v>
      </c>
      <c r="D109" s="73"/>
      <c r="E109" s="74"/>
      <c r="F109" s="74" t="s">
        <v>92</v>
      </c>
      <c r="G109" s="75"/>
      <c r="H109" s="76"/>
      <c r="I109" s="75"/>
      <c r="J109" s="50"/>
      <c r="K109" s="29"/>
      <c r="L109" s="52"/>
    </row>
    <row r="110" spans="2:12" x14ac:dyDescent="0.35">
      <c r="B110" s="71"/>
      <c r="C110" s="72"/>
      <c r="D110" s="73" t="s">
        <v>39</v>
      </c>
      <c r="E110" s="74"/>
      <c r="F110" s="74" t="s">
        <v>169</v>
      </c>
      <c r="G110" s="75"/>
      <c r="H110" s="76"/>
      <c r="I110" s="75"/>
      <c r="J110" s="50"/>
      <c r="K110" s="29"/>
      <c r="L110" s="52"/>
    </row>
    <row r="111" spans="2:12" x14ac:dyDescent="0.35">
      <c r="B111" s="71"/>
      <c r="C111" s="72"/>
      <c r="D111" s="73"/>
      <c r="E111" s="74"/>
      <c r="F111" s="74" t="s">
        <v>88</v>
      </c>
      <c r="G111" s="75" t="s">
        <v>170</v>
      </c>
      <c r="H111" s="76">
        <v>471.32027999999991</v>
      </c>
      <c r="I111" s="75" t="s">
        <v>74</v>
      </c>
      <c r="J111" s="179">
        <v>33000</v>
      </c>
      <c r="K111" s="179"/>
      <c r="L111" s="46">
        <f t="shared" ref="L111" si="19">J111*H111</f>
        <v>15553569.239999996</v>
      </c>
    </row>
    <row r="112" spans="2:12" x14ac:dyDescent="0.35">
      <c r="B112" s="71"/>
      <c r="C112" s="72"/>
      <c r="D112" s="73" t="s">
        <v>42</v>
      </c>
      <c r="E112" s="74"/>
      <c r="F112" s="74" t="s">
        <v>171</v>
      </c>
      <c r="G112" s="75"/>
      <c r="H112" s="76"/>
      <c r="I112" s="75"/>
      <c r="J112" s="50"/>
      <c r="K112" s="29"/>
      <c r="L112" s="52"/>
    </row>
    <row r="113" spans="2:12" x14ac:dyDescent="0.35">
      <c r="B113" s="71"/>
      <c r="C113" s="72"/>
      <c r="D113" s="73"/>
      <c r="E113" s="74"/>
      <c r="F113" s="74" t="s">
        <v>88</v>
      </c>
      <c r="G113" s="75" t="s">
        <v>172</v>
      </c>
      <c r="H113" s="76">
        <v>535.27265999999986</v>
      </c>
      <c r="I113" s="75" t="s">
        <v>74</v>
      </c>
      <c r="J113" s="179">
        <v>33000</v>
      </c>
      <c r="K113" s="179"/>
      <c r="L113" s="46">
        <f t="shared" ref="L113" si="20">J113*H113</f>
        <v>17663997.779999994</v>
      </c>
    </row>
    <row r="114" spans="2:12" x14ac:dyDescent="0.35">
      <c r="B114" s="71"/>
      <c r="C114" s="72"/>
      <c r="D114" s="73" t="s">
        <v>44</v>
      </c>
      <c r="E114" s="74"/>
      <c r="F114" s="74" t="s">
        <v>173</v>
      </c>
      <c r="G114" s="75"/>
      <c r="H114" s="76"/>
      <c r="I114" s="75"/>
      <c r="J114" s="50"/>
      <c r="K114" s="29"/>
      <c r="L114" s="52"/>
    </row>
    <row r="115" spans="2:12" x14ac:dyDescent="0.35">
      <c r="B115" s="71"/>
      <c r="C115" s="72"/>
      <c r="D115" s="73"/>
      <c r="E115" s="74"/>
      <c r="F115" s="74" t="s">
        <v>88</v>
      </c>
      <c r="G115" s="75" t="s">
        <v>174</v>
      </c>
      <c r="H115" s="76">
        <v>536.14871999999991</v>
      </c>
      <c r="I115" s="75" t="s">
        <v>74</v>
      </c>
      <c r="J115" s="179">
        <v>33000</v>
      </c>
      <c r="K115" s="179"/>
      <c r="L115" s="46">
        <f t="shared" ref="L115" si="21">J115*H115</f>
        <v>17692907.759999998</v>
      </c>
    </row>
    <row r="116" spans="2:12" x14ac:dyDescent="0.35">
      <c r="B116" s="71"/>
      <c r="C116" s="72"/>
      <c r="D116" s="73" t="s">
        <v>46</v>
      </c>
      <c r="E116" s="74"/>
      <c r="F116" s="74" t="s">
        <v>160</v>
      </c>
      <c r="G116" s="75"/>
      <c r="H116" s="76"/>
      <c r="I116" s="75"/>
      <c r="J116" s="50"/>
      <c r="K116" s="29"/>
      <c r="L116" s="52"/>
    </row>
    <row r="117" spans="2:12" x14ac:dyDescent="0.35">
      <c r="B117" s="71"/>
      <c r="C117" s="72"/>
      <c r="D117" s="73"/>
      <c r="E117" s="74"/>
      <c r="F117" s="74" t="s">
        <v>88</v>
      </c>
      <c r="G117" s="75" t="s">
        <v>174</v>
      </c>
      <c r="H117" s="76">
        <v>536.14871999999991</v>
      </c>
      <c r="I117" s="75" t="s">
        <v>74</v>
      </c>
      <c r="J117" s="179">
        <v>33000</v>
      </c>
      <c r="K117" s="179"/>
      <c r="L117" s="46">
        <f t="shared" ref="L117" si="22">J117*H117</f>
        <v>17692907.759999998</v>
      </c>
    </row>
    <row r="118" spans="2:12" x14ac:dyDescent="0.35">
      <c r="B118" s="71"/>
      <c r="C118" s="72"/>
      <c r="D118" s="73" t="s">
        <v>48</v>
      </c>
      <c r="E118" s="74"/>
      <c r="F118" s="74" t="s">
        <v>175</v>
      </c>
      <c r="G118" s="75"/>
      <c r="H118" s="76"/>
      <c r="I118" s="75"/>
      <c r="J118" s="50"/>
      <c r="K118" s="29"/>
      <c r="L118" s="52"/>
    </row>
    <row r="119" spans="2:12" x14ac:dyDescent="0.35">
      <c r="B119" s="71"/>
      <c r="C119" s="72"/>
      <c r="D119" s="73"/>
      <c r="E119" s="74"/>
      <c r="F119" s="74" t="s">
        <v>88</v>
      </c>
      <c r="G119" s="75" t="s">
        <v>176</v>
      </c>
      <c r="H119" s="76">
        <v>182.37119999999999</v>
      </c>
      <c r="I119" s="75" t="s">
        <v>74</v>
      </c>
      <c r="J119" s="179">
        <v>33000</v>
      </c>
      <c r="K119" s="179"/>
      <c r="L119" s="46">
        <f t="shared" ref="L119:L120" si="23">J119*H119</f>
        <v>6018249.5999999996</v>
      </c>
    </row>
    <row r="120" spans="2:12" x14ac:dyDescent="0.35">
      <c r="B120" s="71"/>
      <c r="C120" s="72"/>
      <c r="D120" s="73"/>
      <c r="E120" s="74"/>
      <c r="F120" s="74" t="s">
        <v>88</v>
      </c>
      <c r="G120" s="75" t="s">
        <v>177</v>
      </c>
      <c r="H120" s="76">
        <v>57.198239999999998</v>
      </c>
      <c r="I120" s="75" t="s">
        <v>74</v>
      </c>
      <c r="J120" s="179">
        <v>33000</v>
      </c>
      <c r="K120" s="179"/>
      <c r="L120" s="46">
        <f t="shared" si="23"/>
        <v>1887541.92</v>
      </c>
    </row>
    <row r="121" spans="2:12" x14ac:dyDescent="0.35">
      <c r="B121" s="71"/>
      <c r="C121" s="72"/>
      <c r="D121" s="73" t="s">
        <v>49</v>
      </c>
      <c r="E121" s="74"/>
      <c r="F121" s="74" t="s">
        <v>178</v>
      </c>
      <c r="G121" s="75"/>
      <c r="H121" s="76"/>
      <c r="I121" s="75"/>
      <c r="J121" s="50"/>
      <c r="K121" s="29"/>
      <c r="L121" s="52"/>
    </row>
    <row r="122" spans="2:12" x14ac:dyDescent="0.35">
      <c r="B122" s="71"/>
      <c r="C122" s="72"/>
      <c r="D122" s="73"/>
      <c r="E122" s="74"/>
      <c r="F122" s="74" t="s">
        <v>88</v>
      </c>
      <c r="G122" s="75" t="s">
        <v>179</v>
      </c>
      <c r="H122" s="76">
        <v>242.58383999999995</v>
      </c>
      <c r="I122" s="75" t="s">
        <v>74</v>
      </c>
      <c r="J122" s="179">
        <v>33000</v>
      </c>
      <c r="K122" s="179"/>
      <c r="L122" s="46">
        <f t="shared" ref="L122:L124" si="24">J122*H122</f>
        <v>8005266.7199999988</v>
      </c>
    </row>
    <row r="123" spans="2:12" x14ac:dyDescent="0.35">
      <c r="B123" s="71"/>
      <c r="C123" s="72"/>
      <c r="D123" s="73"/>
      <c r="E123" s="74"/>
      <c r="F123" s="74" t="s">
        <v>88</v>
      </c>
      <c r="G123" s="75" t="s">
        <v>180</v>
      </c>
      <c r="H123" s="76">
        <v>884.9147999999999</v>
      </c>
      <c r="I123" s="75" t="s">
        <v>74</v>
      </c>
      <c r="J123" s="179">
        <v>33000</v>
      </c>
      <c r="K123" s="179"/>
      <c r="L123" s="46">
        <f t="shared" si="24"/>
        <v>29202188.399999999</v>
      </c>
    </row>
    <row r="124" spans="2:12" x14ac:dyDescent="0.35">
      <c r="B124" s="71"/>
      <c r="C124" s="72"/>
      <c r="D124" s="73"/>
      <c r="E124" s="74"/>
      <c r="F124" s="74" t="s">
        <v>88</v>
      </c>
      <c r="G124" s="75" t="s">
        <v>181</v>
      </c>
      <c r="H124" s="76">
        <v>1011.3311999999999</v>
      </c>
      <c r="I124" s="75" t="s">
        <v>74</v>
      </c>
      <c r="J124" s="179">
        <v>33000</v>
      </c>
      <c r="K124" s="179"/>
      <c r="L124" s="46">
        <f t="shared" si="24"/>
        <v>33373929.599999994</v>
      </c>
    </row>
    <row r="125" spans="2:12" x14ac:dyDescent="0.35">
      <c r="B125" s="71"/>
      <c r="C125" s="72"/>
      <c r="D125" s="73" t="s">
        <v>51</v>
      </c>
      <c r="E125" s="74"/>
      <c r="F125" s="74" t="s">
        <v>182</v>
      </c>
      <c r="G125" s="75"/>
      <c r="H125" s="76"/>
      <c r="I125" s="75"/>
      <c r="J125" s="50"/>
      <c r="K125" s="29"/>
      <c r="L125" s="52"/>
    </row>
    <row r="126" spans="2:12" x14ac:dyDescent="0.35">
      <c r="B126" s="71"/>
      <c r="C126" s="72"/>
      <c r="D126" s="73"/>
      <c r="E126" s="74"/>
      <c r="F126" s="74" t="s">
        <v>88</v>
      </c>
      <c r="G126" s="75" t="s">
        <v>183</v>
      </c>
      <c r="H126" s="76">
        <v>425.21879999999993</v>
      </c>
      <c r="I126" s="75" t="s">
        <v>74</v>
      </c>
      <c r="J126" s="179">
        <v>33000</v>
      </c>
      <c r="K126" s="179"/>
      <c r="L126" s="46">
        <f t="shared" ref="L126:L128" si="25">J126*H126</f>
        <v>14032220.399999999</v>
      </c>
    </row>
    <row r="127" spans="2:12" x14ac:dyDescent="0.35">
      <c r="B127" s="71"/>
      <c r="C127" s="72"/>
      <c r="D127" s="73"/>
      <c r="E127" s="74"/>
      <c r="F127" s="74" t="s">
        <v>88</v>
      </c>
      <c r="G127" s="75" t="s">
        <v>180</v>
      </c>
      <c r="H127" s="76">
        <v>884.9147999999999</v>
      </c>
      <c r="I127" s="75" t="s">
        <v>74</v>
      </c>
      <c r="J127" s="179">
        <v>33000</v>
      </c>
      <c r="K127" s="179"/>
      <c r="L127" s="46">
        <f t="shared" si="25"/>
        <v>29202188.399999999</v>
      </c>
    </row>
    <row r="128" spans="2:12" x14ac:dyDescent="0.35">
      <c r="B128" s="71"/>
      <c r="C128" s="72"/>
      <c r="D128" s="73"/>
      <c r="E128" s="74"/>
      <c r="F128" s="74" t="s">
        <v>88</v>
      </c>
      <c r="G128" s="75" t="s">
        <v>181</v>
      </c>
      <c r="H128" s="76">
        <v>1011.3311999999999</v>
      </c>
      <c r="I128" s="75" t="s">
        <v>74</v>
      </c>
      <c r="J128" s="179">
        <v>33000</v>
      </c>
      <c r="K128" s="179"/>
      <c r="L128" s="46">
        <f t="shared" si="25"/>
        <v>33373929.599999994</v>
      </c>
    </row>
    <row r="129" spans="2:12" x14ac:dyDescent="0.35">
      <c r="B129" s="71"/>
      <c r="C129" s="72"/>
      <c r="D129" s="73" t="s">
        <v>61</v>
      </c>
      <c r="E129" s="74"/>
      <c r="F129" s="74" t="s">
        <v>184</v>
      </c>
      <c r="G129" s="75"/>
      <c r="H129" s="76"/>
      <c r="I129" s="75"/>
      <c r="J129" s="50"/>
      <c r="K129" s="29"/>
      <c r="L129" s="52"/>
    </row>
    <row r="130" spans="2:12" x14ac:dyDescent="0.35">
      <c r="B130" s="71"/>
      <c r="C130" s="72"/>
      <c r="D130" s="73"/>
      <c r="E130" s="74"/>
      <c r="F130" s="74" t="s">
        <v>88</v>
      </c>
      <c r="G130" s="75" t="s">
        <v>185</v>
      </c>
      <c r="H130" s="76">
        <v>1037.7637199999999</v>
      </c>
      <c r="I130" s="75" t="s">
        <v>74</v>
      </c>
      <c r="J130" s="179">
        <v>33000</v>
      </c>
      <c r="K130" s="179"/>
      <c r="L130" s="46">
        <f t="shared" ref="L130" si="26">J130*H130</f>
        <v>34246202.759999998</v>
      </c>
    </row>
    <row r="131" spans="2:12" x14ac:dyDescent="0.35">
      <c r="B131" s="71"/>
      <c r="C131" s="72"/>
      <c r="D131" s="73" t="s">
        <v>62</v>
      </c>
      <c r="E131" s="74"/>
      <c r="F131" s="74" t="s">
        <v>186</v>
      </c>
      <c r="G131" s="75"/>
      <c r="H131" s="76"/>
      <c r="I131" s="75"/>
      <c r="J131" s="50"/>
      <c r="K131" s="29"/>
      <c r="L131" s="52"/>
    </row>
    <row r="132" spans="2:12" x14ac:dyDescent="0.35">
      <c r="B132" s="71"/>
      <c r="C132" s="72"/>
      <c r="D132" s="73"/>
      <c r="E132" s="74"/>
      <c r="F132" s="74" t="s">
        <v>88</v>
      </c>
      <c r="G132" s="75" t="s">
        <v>187</v>
      </c>
      <c r="H132" s="76">
        <v>87.605999999999995</v>
      </c>
      <c r="I132" s="75" t="s">
        <v>74</v>
      </c>
      <c r="J132" s="179">
        <v>33000</v>
      </c>
      <c r="K132" s="179"/>
      <c r="L132" s="46">
        <f t="shared" ref="L132:L137" si="27">J132*H132</f>
        <v>2890998</v>
      </c>
    </row>
    <row r="133" spans="2:12" x14ac:dyDescent="0.35">
      <c r="B133" s="71"/>
      <c r="C133" s="72"/>
      <c r="D133" s="73"/>
      <c r="E133" s="74"/>
      <c r="F133" s="74" t="s">
        <v>88</v>
      </c>
      <c r="G133" s="75" t="s">
        <v>188</v>
      </c>
      <c r="H133" s="76">
        <v>227.49299999999999</v>
      </c>
      <c r="I133" s="75" t="s">
        <v>74</v>
      </c>
      <c r="J133" s="179">
        <v>33000</v>
      </c>
      <c r="K133" s="179"/>
      <c r="L133" s="46">
        <f t="shared" si="27"/>
        <v>7507269</v>
      </c>
    </row>
    <row r="134" spans="2:12" x14ac:dyDescent="0.35">
      <c r="B134" s="71"/>
      <c r="C134" s="72"/>
      <c r="D134" s="73"/>
      <c r="E134" s="74"/>
      <c r="F134" s="74" t="s">
        <v>88</v>
      </c>
      <c r="G134" s="75" t="s">
        <v>189</v>
      </c>
      <c r="H134" s="76">
        <v>252.45599999999999</v>
      </c>
      <c r="I134" s="75" t="s">
        <v>74</v>
      </c>
      <c r="J134" s="179">
        <v>33000</v>
      </c>
      <c r="K134" s="179"/>
      <c r="L134" s="46">
        <f t="shared" si="27"/>
        <v>8331048</v>
      </c>
    </row>
    <row r="135" spans="2:12" x14ac:dyDescent="0.35">
      <c r="B135" s="71"/>
      <c r="C135" s="72"/>
      <c r="D135" s="73" t="s">
        <v>64</v>
      </c>
      <c r="E135" s="74"/>
      <c r="F135" s="74" t="s">
        <v>190</v>
      </c>
      <c r="G135" s="75"/>
      <c r="H135" s="76"/>
      <c r="I135" s="75"/>
      <c r="J135" s="50"/>
      <c r="K135" s="29"/>
      <c r="L135" s="52"/>
    </row>
    <row r="136" spans="2:12" x14ac:dyDescent="0.35">
      <c r="B136" s="71"/>
      <c r="C136" s="72"/>
      <c r="D136" s="73"/>
      <c r="E136" s="74"/>
      <c r="F136" s="74" t="s">
        <v>88</v>
      </c>
      <c r="G136" s="75" t="s">
        <v>191</v>
      </c>
      <c r="H136" s="78">
        <v>18</v>
      </c>
      <c r="I136" s="75" t="s">
        <v>112</v>
      </c>
      <c r="J136" s="50">
        <v>100000</v>
      </c>
      <c r="K136" s="29"/>
      <c r="L136" s="46">
        <f t="shared" si="27"/>
        <v>1800000</v>
      </c>
    </row>
    <row r="137" spans="2:12" x14ac:dyDescent="0.35">
      <c r="B137" s="71"/>
      <c r="C137" s="72"/>
      <c r="D137" s="73"/>
      <c r="E137" s="74"/>
      <c r="F137" s="74" t="s">
        <v>88</v>
      </c>
      <c r="G137" s="75" t="s">
        <v>192</v>
      </c>
      <c r="H137" s="78">
        <v>4</v>
      </c>
      <c r="I137" s="75" t="s">
        <v>112</v>
      </c>
      <c r="J137" s="50">
        <v>100000</v>
      </c>
      <c r="K137" s="29"/>
      <c r="L137" s="46">
        <f t="shared" si="27"/>
        <v>400000</v>
      </c>
    </row>
    <row r="138" spans="2:12" x14ac:dyDescent="0.35">
      <c r="B138" s="47"/>
      <c r="C138" s="48"/>
      <c r="D138" s="24"/>
      <c r="G138" s="22"/>
      <c r="I138" s="22"/>
      <c r="J138" s="50"/>
      <c r="K138" s="29"/>
      <c r="L138" s="52"/>
    </row>
    <row r="139" spans="2:12" x14ac:dyDescent="0.35">
      <c r="B139" s="47"/>
      <c r="C139" s="48"/>
      <c r="D139" s="24"/>
      <c r="G139" s="22"/>
      <c r="I139" s="22"/>
      <c r="J139" s="50"/>
      <c r="K139" s="29"/>
      <c r="L139" s="52"/>
    </row>
    <row r="140" spans="2:12" x14ac:dyDescent="0.35">
      <c r="B140" s="8"/>
      <c r="C140" s="9"/>
      <c r="D140" s="10"/>
      <c r="E140" s="4"/>
      <c r="F140" s="4"/>
      <c r="G140" s="4"/>
      <c r="H140" s="1"/>
      <c r="I140" s="1"/>
      <c r="J140" s="11" t="s">
        <v>8</v>
      </c>
      <c r="K140" s="7">
        <f>SUM(K87:K139)</f>
        <v>0</v>
      </c>
      <c r="L140" s="7">
        <f>SUM(L87:L139)</f>
        <v>416527615.17399991</v>
      </c>
    </row>
    <row r="141" spans="2:12" x14ac:dyDescent="0.35">
      <c r="B141" s="8"/>
      <c r="C141" s="9"/>
      <c r="D141" s="9"/>
      <c r="E141" s="4"/>
      <c r="F141" s="4"/>
      <c r="G141" s="4"/>
      <c r="H141" s="1"/>
      <c r="I141" s="1"/>
      <c r="J141" s="11"/>
      <c r="K141" s="35" t="s">
        <v>22</v>
      </c>
      <c r="L141" s="36" t="s">
        <v>23</v>
      </c>
    </row>
    <row r="142" spans="2:12" x14ac:dyDescent="0.35">
      <c r="B142" s="3" t="s">
        <v>9</v>
      </c>
      <c r="C142" s="4"/>
      <c r="D142" s="4"/>
      <c r="E142" s="4"/>
      <c r="F142" s="4"/>
      <c r="G142" s="4"/>
      <c r="H142" s="1"/>
      <c r="I142" s="1"/>
      <c r="J142" s="12"/>
      <c r="K142" s="12"/>
      <c r="L142" s="13"/>
    </row>
    <row r="143" spans="2:12" x14ac:dyDescent="0.35">
      <c r="B143" s="37"/>
      <c r="C143" s="1"/>
      <c r="D143" s="1"/>
      <c r="E143" s="38"/>
      <c r="F143" s="38"/>
      <c r="G143" s="38"/>
      <c r="H143" s="1"/>
      <c r="I143" s="1"/>
      <c r="J143" s="1"/>
      <c r="K143" s="1"/>
      <c r="L143" s="19"/>
    </row>
    <row r="144" spans="2:12" x14ac:dyDescent="0.35">
      <c r="B144" s="28" t="s">
        <v>6</v>
      </c>
      <c r="C144" s="27"/>
      <c r="D144" s="27"/>
      <c r="E144" s="26"/>
      <c r="F144" s="26"/>
      <c r="G144" s="5"/>
      <c r="K144" s="232" t="s">
        <v>378</v>
      </c>
      <c r="L144" s="233"/>
    </row>
    <row r="145" spans="2:12" x14ac:dyDescent="0.35">
      <c r="B145" s="28">
        <v>1</v>
      </c>
      <c r="C145" s="27"/>
      <c r="D145" s="27"/>
      <c r="E145" s="26" t="s">
        <v>7</v>
      </c>
      <c r="F145" s="26"/>
      <c r="G145" s="5"/>
      <c r="K145" s="232" t="s">
        <v>28</v>
      </c>
      <c r="L145" s="233"/>
    </row>
    <row r="146" spans="2:12" x14ac:dyDescent="0.35">
      <c r="B146" s="39"/>
      <c r="C146" s="27"/>
      <c r="D146" s="27"/>
      <c r="E146" s="26"/>
      <c r="F146" s="26"/>
      <c r="G146" s="5"/>
      <c r="J146" s="25"/>
      <c r="K146" s="25"/>
      <c r="L146" s="24"/>
    </row>
    <row r="147" spans="2:12" x14ac:dyDescent="0.35">
      <c r="B147" s="28"/>
      <c r="C147" s="27"/>
      <c r="D147" s="27"/>
      <c r="E147" s="26"/>
      <c r="F147" s="26"/>
      <c r="G147" s="5"/>
      <c r="L147" s="22"/>
    </row>
    <row r="148" spans="2:12" x14ac:dyDescent="0.35">
      <c r="B148" s="45"/>
      <c r="E148" s="5"/>
      <c r="F148" s="5"/>
      <c r="G148" s="5"/>
      <c r="L148" s="22"/>
    </row>
    <row r="149" spans="2:12" x14ac:dyDescent="0.35">
      <c r="B149" s="45"/>
      <c r="E149" s="5"/>
      <c r="F149" s="5"/>
      <c r="G149" s="5"/>
      <c r="L149" s="22"/>
    </row>
    <row r="150" spans="2:12" x14ac:dyDescent="0.35">
      <c r="B150" s="45"/>
      <c r="E150" s="5"/>
      <c r="F150" s="5"/>
      <c r="G150" s="5"/>
      <c r="L150" s="22"/>
    </row>
    <row r="151" spans="2:12" x14ac:dyDescent="0.35">
      <c r="B151" s="45"/>
      <c r="E151" s="5"/>
      <c r="F151" s="5"/>
      <c r="G151" s="5"/>
      <c r="J151" s="40"/>
      <c r="K151" s="234" t="s">
        <v>36</v>
      </c>
      <c r="L151" s="235"/>
    </row>
    <row r="152" spans="2:12" x14ac:dyDescent="0.35">
      <c r="B152" s="45"/>
      <c r="K152" s="236" t="s">
        <v>37</v>
      </c>
      <c r="L152" s="237"/>
    </row>
    <row r="153" spans="2:12" x14ac:dyDescent="0.35">
      <c r="B153" s="238"/>
      <c r="C153" s="239"/>
      <c r="D153" s="239"/>
      <c r="E153" s="41"/>
      <c r="F153" s="41"/>
      <c r="G153" s="41"/>
      <c r="H153" s="2"/>
      <c r="I153" s="2"/>
      <c r="J153" s="2"/>
      <c r="K153" s="2"/>
      <c r="L153" s="21"/>
    </row>
    <row r="154" spans="2:12" x14ac:dyDescent="0.35">
      <c r="B154" s="47"/>
      <c r="C154" s="48"/>
      <c r="D154" s="49"/>
      <c r="G154" s="22"/>
      <c r="H154" s="1"/>
      <c r="I154" s="1"/>
      <c r="J154" s="43"/>
      <c r="K154" s="30"/>
      <c r="L154" s="44"/>
    </row>
    <row r="155" spans="2:12" x14ac:dyDescent="0.35">
      <c r="B155" s="71"/>
      <c r="C155" s="72"/>
      <c r="D155" s="73" t="s">
        <v>66</v>
      </c>
      <c r="E155" s="74"/>
      <c r="F155" s="74" t="s">
        <v>193</v>
      </c>
      <c r="G155" s="75"/>
      <c r="H155" s="76"/>
      <c r="I155" s="75"/>
      <c r="J155" s="50"/>
      <c r="K155" s="29"/>
      <c r="L155" s="52"/>
    </row>
    <row r="156" spans="2:12" x14ac:dyDescent="0.35">
      <c r="B156" s="71"/>
      <c r="C156" s="72"/>
      <c r="D156" s="73"/>
      <c r="E156" s="74"/>
      <c r="F156" s="74" t="s">
        <v>88</v>
      </c>
      <c r="G156" s="75" t="s">
        <v>194</v>
      </c>
      <c r="H156" s="78">
        <v>2</v>
      </c>
      <c r="I156" s="75" t="s">
        <v>112</v>
      </c>
      <c r="J156" s="50">
        <v>100000</v>
      </c>
      <c r="K156" s="29"/>
      <c r="L156" s="46">
        <f t="shared" ref="L156" si="28">J156*H156</f>
        <v>200000</v>
      </c>
    </row>
    <row r="157" spans="2:12" x14ac:dyDescent="0.35">
      <c r="B157" s="71"/>
      <c r="C157" s="72" t="s">
        <v>93</v>
      </c>
      <c r="D157" s="73"/>
      <c r="E157" s="74"/>
      <c r="F157" s="74" t="s">
        <v>94</v>
      </c>
      <c r="G157" s="75"/>
      <c r="H157" s="76"/>
      <c r="I157" s="75"/>
      <c r="J157" s="29"/>
      <c r="K157" s="51"/>
      <c r="L157" s="46"/>
    </row>
    <row r="158" spans="2:12" x14ac:dyDescent="0.35">
      <c r="B158" s="71"/>
      <c r="C158" s="72"/>
      <c r="D158" s="73" t="s">
        <v>39</v>
      </c>
      <c r="E158" s="74"/>
      <c r="F158" s="74" t="s">
        <v>95</v>
      </c>
      <c r="G158" s="75"/>
      <c r="H158" s="76"/>
      <c r="I158" s="75"/>
      <c r="J158" s="50"/>
      <c r="K158" s="51"/>
      <c r="L158" s="46"/>
    </row>
    <row r="159" spans="2:12" x14ac:dyDescent="0.35">
      <c r="B159" s="71"/>
      <c r="C159" s="72"/>
      <c r="D159" s="73"/>
      <c r="E159" s="74"/>
      <c r="F159" s="74" t="s">
        <v>88</v>
      </c>
      <c r="G159" s="75" t="s">
        <v>195</v>
      </c>
      <c r="H159" s="76">
        <v>345.90239999999994</v>
      </c>
      <c r="I159" s="75" t="s">
        <v>74</v>
      </c>
      <c r="J159" s="179">
        <v>33000</v>
      </c>
      <c r="K159" s="179"/>
      <c r="L159" s="46">
        <f t="shared" ref="L159:L160" si="29">J159*H159</f>
        <v>11414779.199999997</v>
      </c>
    </row>
    <row r="160" spans="2:12" x14ac:dyDescent="0.35">
      <c r="B160" s="71"/>
      <c r="C160" s="72"/>
      <c r="D160" s="73"/>
      <c r="E160" s="74"/>
      <c r="F160" s="74" t="s">
        <v>88</v>
      </c>
      <c r="G160" s="75" t="s">
        <v>196</v>
      </c>
      <c r="H160" s="76">
        <v>200.17499999999998</v>
      </c>
      <c r="I160" s="75" t="s">
        <v>74</v>
      </c>
      <c r="J160" s="179">
        <v>33000</v>
      </c>
      <c r="K160" s="179"/>
      <c r="L160" s="46">
        <f t="shared" si="29"/>
        <v>6605774.9999999991</v>
      </c>
    </row>
    <row r="161" spans="2:12" x14ac:dyDescent="0.35">
      <c r="B161" s="71"/>
      <c r="C161" s="72" t="s">
        <v>96</v>
      </c>
      <c r="D161" s="73"/>
      <c r="E161" s="74"/>
      <c r="F161" s="74" t="s">
        <v>97</v>
      </c>
      <c r="G161" s="75"/>
      <c r="H161" s="76"/>
      <c r="I161" s="75"/>
      <c r="J161" s="50"/>
      <c r="K161" s="29"/>
      <c r="L161" s="52"/>
    </row>
    <row r="162" spans="2:12" x14ac:dyDescent="0.35">
      <c r="B162" s="71"/>
      <c r="C162" s="72"/>
      <c r="D162" s="73" t="s">
        <v>39</v>
      </c>
      <c r="E162" s="74"/>
      <c r="F162" s="74" t="s">
        <v>197</v>
      </c>
      <c r="G162" s="75"/>
      <c r="H162" s="76"/>
      <c r="I162" s="75"/>
      <c r="J162" s="50"/>
      <c r="K162" s="29"/>
      <c r="L162" s="52"/>
    </row>
    <row r="163" spans="2:12" x14ac:dyDescent="0.35">
      <c r="B163" s="71"/>
      <c r="C163" s="72"/>
      <c r="D163" s="73"/>
      <c r="E163" s="74"/>
      <c r="F163" s="74" t="s">
        <v>88</v>
      </c>
      <c r="G163" s="75" t="s">
        <v>198</v>
      </c>
      <c r="H163" s="76">
        <v>317.0018399999999</v>
      </c>
      <c r="I163" s="75" t="s">
        <v>74</v>
      </c>
      <c r="J163" s="179">
        <v>33000</v>
      </c>
      <c r="K163" s="179"/>
      <c r="L163" s="46">
        <f t="shared" ref="L163" si="30">J163*H163</f>
        <v>10461060.719999997</v>
      </c>
    </row>
    <row r="164" spans="2:12" x14ac:dyDescent="0.35">
      <c r="B164" s="71"/>
      <c r="C164" s="72"/>
      <c r="D164" s="73" t="s">
        <v>42</v>
      </c>
      <c r="E164" s="74"/>
      <c r="F164" s="74" t="s">
        <v>199</v>
      </c>
      <c r="G164" s="75"/>
      <c r="H164" s="76"/>
      <c r="I164" s="75"/>
      <c r="J164" s="50"/>
      <c r="K164" s="29"/>
      <c r="L164" s="52"/>
    </row>
    <row r="165" spans="2:12" x14ac:dyDescent="0.35">
      <c r="B165" s="71"/>
      <c r="C165" s="72"/>
      <c r="D165" s="73"/>
      <c r="E165" s="74"/>
      <c r="F165" s="74" t="s">
        <v>88</v>
      </c>
      <c r="G165" s="75" t="s">
        <v>200</v>
      </c>
      <c r="H165" s="76">
        <v>391.38215999999994</v>
      </c>
      <c r="I165" s="75" t="s">
        <v>74</v>
      </c>
      <c r="J165" s="179">
        <v>33000</v>
      </c>
      <c r="K165" s="179"/>
      <c r="L165" s="46">
        <f t="shared" ref="L165" si="31">J165*H165</f>
        <v>12915611.279999997</v>
      </c>
    </row>
    <row r="166" spans="2:12" x14ac:dyDescent="0.35">
      <c r="B166" s="71"/>
      <c r="C166" s="72" t="s">
        <v>98</v>
      </c>
      <c r="D166" s="73"/>
      <c r="E166" s="74"/>
      <c r="F166" s="74" t="s">
        <v>99</v>
      </c>
      <c r="G166" s="75"/>
      <c r="H166" s="76"/>
      <c r="I166" s="75"/>
      <c r="J166" s="50"/>
      <c r="K166" s="29"/>
      <c r="L166" s="52"/>
    </row>
    <row r="167" spans="2:12" x14ac:dyDescent="0.35">
      <c r="B167" s="71"/>
      <c r="C167" s="72"/>
      <c r="D167" s="73" t="s">
        <v>39</v>
      </c>
      <c r="E167" s="74"/>
      <c r="F167" s="74" t="s">
        <v>100</v>
      </c>
      <c r="G167" s="75"/>
      <c r="H167" s="76"/>
      <c r="I167" s="75"/>
      <c r="J167" s="50"/>
      <c r="K167" s="29"/>
      <c r="L167" s="52"/>
    </row>
    <row r="168" spans="2:12" x14ac:dyDescent="0.35">
      <c r="B168" s="71"/>
      <c r="C168" s="72"/>
      <c r="D168" s="73"/>
      <c r="E168" s="74"/>
      <c r="F168" s="74" t="s">
        <v>88</v>
      </c>
      <c r="G168" s="75" t="s">
        <v>201</v>
      </c>
      <c r="H168" s="76">
        <v>19.782</v>
      </c>
      <c r="I168" s="75" t="s">
        <v>74</v>
      </c>
      <c r="J168" s="178">
        <v>30500</v>
      </c>
      <c r="K168" s="180"/>
      <c r="L168" s="46">
        <f t="shared" ref="L168:L174" si="32">J168*H168</f>
        <v>603351</v>
      </c>
    </row>
    <row r="169" spans="2:12" x14ac:dyDescent="0.35">
      <c r="B169" s="71"/>
      <c r="C169" s="72"/>
      <c r="D169" s="73"/>
      <c r="E169" s="74"/>
      <c r="F169" s="74" t="s">
        <v>88</v>
      </c>
      <c r="G169" s="75" t="s">
        <v>202</v>
      </c>
      <c r="H169" s="76">
        <v>3.2970000000000002</v>
      </c>
      <c r="I169" s="75" t="s">
        <v>74</v>
      </c>
      <c r="J169" s="178">
        <v>30500</v>
      </c>
      <c r="K169" s="180"/>
      <c r="L169" s="46">
        <f t="shared" si="32"/>
        <v>100558.5</v>
      </c>
    </row>
    <row r="170" spans="2:12" x14ac:dyDescent="0.35">
      <c r="B170" s="71"/>
      <c r="C170" s="72"/>
      <c r="D170" s="73"/>
      <c r="E170" s="74"/>
      <c r="F170" s="74" t="s">
        <v>88</v>
      </c>
      <c r="G170" s="75" t="s">
        <v>203</v>
      </c>
      <c r="H170" s="76">
        <v>19.782</v>
      </c>
      <c r="I170" s="75" t="s">
        <v>74</v>
      </c>
      <c r="J170" s="178">
        <v>30500</v>
      </c>
      <c r="K170" s="180"/>
      <c r="L170" s="46">
        <f t="shared" si="32"/>
        <v>603351</v>
      </c>
    </row>
    <row r="171" spans="2:12" x14ac:dyDescent="0.35">
      <c r="B171" s="71"/>
      <c r="C171" s="72"/>
      <c r="D171" s="73"/>
      <c r="E171" s="74"/>
      <c r="F171" s="74" t="s">
        <v>88</v>
      </c>
      <c r="G171" s="75" t="s">
        <v>204</v>
      </c>
      <c r="H171" s="76">
        <v>3.2970000000000002</v>
      </c>
      <c r="I171" s="75" t="s">
        <v>74</v>
      </c>
      <c r="J171" s="178">
        <v>30500</v>
      </c>
      <c r="K171" s="180"/>
      <c r="L171" s="46">
        <f t="shared" si="32"/>
        <v>100558.5</v>
      </c>
    </row>
    <row r="172" spans="2:12" x14ac:dyDescent="0.35">
      <c r="B172" s="71"/>
      <c r="C172" s="72"/>
      <c r="D172" s="73"/>
      <c r="E172" s="74"/>
      <c r="F172" s="74" t="s">
        <v>88</v>
      </c>
      <c r="G172" s="75" t="s">
        <v>205</v>
      </c>
      <c r="H172" s="76">
        <v>19.782</v>
      </c>
      <c r="I172" s="75" t="s">
        <v>74</v>
      </c>
      <c r="J172" s="178">
        <v>30500</v>
      </c>
      <c r="K172" s="180"/>
      <c r="L172" s="46">
        <f t="shared" si="32"/>
        <v>603351</v>
      </c>
    </row>
    <row r="173" spans="2:12" x14ac:dyDescent="0.35">
      <c r="B173" s="71"/>
      <c r="C173" s="72"/>
      <c r="D173" s="73"/>
      <c r="E173" s="74"/>
      <c r="F173" s="74" t="s">
        <v>88</v>
      </c>
      <c r="G173" s="75" t="s">
        <v>206</v>
      </c>
      <c r="H173" s="76">
        <v>3.2970000000000002</v>
      </c>
      <c r="I173" s="75" t="s">
        <v>74</v>
      </c>
      <c r="J173" s="178">
        <v>30500</v>
      </c>
      <c r="K173" s="180"/>
      <c r="L173" s="46">
        <f t="shared" si="32"/>
        <v>100558.5</v>
      </c>
    </row>
    <row r="174" spans="2:12" x14ac:dyDescent="0.35">
      <c r="B174" s="71"/>
      <c r="C174" s="72"/>
      <c r="D174" s="73"/>
      <c r="E174" s="74"/>
      <c r="F174" s="74" t="s">
        <v>88</v>
      </c>
      <c r="G174" s="75" t="s">
        <v>207</v>
      </c>
      <c r="H174" s="76">
        <v>12.264839999999998</v>
      </c>
      <c r="I174" s="75" t="s">
        <v>74</v>
      </c>
      <c r="J174" s="178">
        <v>30500</v>
      </c>
      <c r="K174" s="180"/>
      <c r="L174" s="46">
        <f t="shared" si="32"/>
        <v>374077.61999999994</v>
      </c>
    </row>
    <row r="175" spans="2:12" x14ac:dyDescent="0.35">
      <c r="B175" s="71"/>
      <c r="C175" s="72" t="s">
        <v>101</v>
      </c>
      <c r="D175" s="73"/>
      <c r="E175" s="74"/>
      <c r="F175" s="74" t="s">
        <v>102</v>
      </c>
      <c r="G175" s="75"/>
      <c r="H175" s="76"/>
      <c r="I175" s="75"/>
      <c r="J175" s="50"/>
      <c r="K175" s="29"/>
      <c r="L175" s="52"/>
    </row>
    <row r="176" spans="2:12" x14ac:dyDescent="0.35">
      <c r="B176" s="71"/>
      <c r="C176" s="72"/>
      <c r="D176" s="73" t="s">
        <v>39</v>
      </c>
      <c r="E176" s="74"/>
      <c r="F176" s="74" t="s">
        <v>103</v>
      </c>
      <c r="G176" s="75"/>
      <c r="H176" s="78"/>
      <c r="I176" s="75"/>
      <c r="J176" s="50"/>
      <c r="K176" s="29"/>
      <c r="L176" s="52"/>
    </row>
    <row r="177" spans="2:12" x14ac:dyDescent="0.35">
      <c r="B177" s="71"/>
      <c r="C177" s="72"/>
      <c r="D177" s="73"/>
      <c r="E177" s="74"/>
      <c r="F177" s="74" t="s">
        <v>88</v>
      </c>
      <c r="G177" s="75" t="s">
        <v>208</v>
      </c>
      <c r="H177" s="76">
        <v>310.13779999999997</v>
      </c>
      <c r="I177" s="75" t="s">
        <v>74</v>
      </c>
      <c r="J177" s="179">
        <v>33000</v>
      </c>
      <c r="K177" s="179"/>
      <c r="L177" s="46">
        <f t="shared" ref="L177:L204" si="33">J177*H177</f>
        <v>10234547.399999999</v>
      </c>
    </row>
    <row r="178" spans="2:12" x14ac:dyDescent="0.35">
      <c r="B178" s="71"/>
      <c r="C178" s="72"/>
      <c r="D178" s="73"/>
      <c r="E178" s="74"/>
      <c r="F178" s="74" t="s">
        <v>88</v>
      </c>
      <c r="G178" s="75" t="s">
        <v>209</v>
      </c>
      <c r="H178" s="76">
        <v>35.324999999999996</v>
      </c>
      <c r="I178" s="75" t="s">
        <v>74</v>
      </c>
      <c r="J178" s="179">
        <v>33000</v>
      </c>
      <c r="K178" s="179"/>
      <c r="L178" s="46">
        <f t="shared" si="33"/>
        <v>1165724.9999999998</v>
      </c>
    </row>
    <row r="179" spans="2:12" x14ac:dyDescent="0.35">
      <c r="B179" s="71"/>
      <c r="C179" s="72"/>
      <c r="D179" s="73"/>
      <c r="E179" s="74"/>
      <c r="F179" s="74" t="s">
        <v>88</v>
      </c>
      <c r="G179" s="75" t="s">
        <v>210</v>
      </c>
      <c r="H179" s="76">
        <v>15.542999999999999</v>
      </c>
      <c r="I179" s="75" t="s">
        <v>74</v>
      </c>
      <c r="J179" s="179">
        <v>33000</v>
      </c>
      <c r="K179" s="179"/>
      <c r="L179" s="46">
        <f t="shared" si="33"/>
        <v>512919</v>
      </c>
    </row>
    <row r="180" spans="2:12" x14ac:dyDescent="0.35">
      <c r="B180" s="71"/>
      <c r="C180" s="72"/>
      <c r="D180" s="73"/>
      <c r="E180" s="74"/>
      <c r="F180" s="74" t="s">
        <v>88</v>
      </c>
      <c r="G180" s="75" t="s">
        <v>211</v>
      </c>
      <c r="H180" s="76">
        <v>14.13</v>
      </c>
      <c r="I180" s="75" t="s">
        <v>74</v>
      </c>
      <c r="J180" s="179">
        <v>33000</v>
      </c>
      <c r="K180" s="179"/>
      <c r="L180" s="46">
        <f t="shared" si="33"/>
        <v>466290</v>
      </c>
    </row>
    <row r="181" spans="2:12" x14ac:dyDescent="0.35">
      <c r="B181" s="71"/>
      <c r="C181" s="72"/>
      <c r="D181" s="73"/>
      <c r="E181" s="74"/>
      <c r="F181" s="74" t="s">
        <v>88</v>
      </c>
      <c r="G181" s="75" t="s">
        <v>212</v>
      </c>
      <c r="H181" s="76">
        <v>2.32674</v>
      </c>
      <c r="I181" s="75" t="s">
        <v>74</v>
      </c>
      <c r="J181" s="179">
        <v>33000</v>
      </c>
      <c r="K181" s="179"/>
      <c r="L181" s="46">
        <f t="shared" si="33"/>
        <v>76782.42</v>
      </c>
    </row>
    <row r="182" spans="2:12" x14ac:dyDescent="0.35">
      <c r="B182" s="71"/>
      <c r="C182" s="72"/>
      <c r="D182" s="73"/>
      <c r="E182" s="74"/>
      <c r="F182" s="74" t="s">
        <v>88</v>
      </c>
      <c r="G182" s="75" t="s">
        <v>213</v>
      </c>
      <c r="H182" s="76">
        <v>1.3564799999999997</v>
      </c>
      <c r="I182" s="75" t="s">
        <v>74</v>
      </c>
      <c r="J182" s="179">
        <v>33000</v>
      </c>
      <c r="K182" s="179"/>
      <c r="L182" s="46">
        <f t="shared" si="33"/>
        <v>44763.839999999989</v>
      </c>
    </row>
    <row r="183" spans="2:12" x14ac:dyDescent="0.35">
      <c r="B183" s="71"/>
      <c r="C183" s="72"/>
      <c r="D183" s="73"/>
      <c r="E183" s="74"/>
      <c r="F183" s="74" t="s">
        <v>88</v>
      </c>
      <c r="G183" s="75" t="s">
        <v>214</v>
      </c>
      <c r="H183" s="76">
        <v>67.371840000000006</v>
      </c>
      <c r="I183" s="75" t="s">
        <v>74</v>
      </c>
      <c r="J183" s="179">
        <v>33000</v>
      </c>
      <c r="K183" s="179"/>
      <c r="L183" s="46">
        <f t="shared" si="33"/>
        <v>2223270.7200000002</v>
      </c>
    </row>
    <row r="184" spans="2:12" x14ac:dyDescent="0.35">
      <c r="B184" s="71"/>
      <c r="C184" s="72"/>
      <c r="D184" s="73"/>
      <c r="E184" s="74"/>
      <c r="F184" s="74" t="s">
        <v>88</v>
      </c>
      <c r="G184" s="75" t="s">
        <v>215</v>
      </c>
      <c r="H184" s="76">
        <v>108.97055999999999</v>
      </c>
      <c r="I184" s="75" t="s">
        <v>74</v>
      </c>
      <c r="J184" s="179">
        <v>33000</v>
      </c>
      <c r="K184" s="179"/>
      <c r="L184" s="46">
        <f t="shared" si="33"/>
        <v>3596028.4799999995</v>
      </c>
    </row>
    <row r="185" spans="2:12" x14ac:dyDescent="0.35">
      <c r="B185" s="71"/>
      <c r="C185" s="72"/>
      <c r="D185" s="73"/>
      <c r="E185" s="74"/>
      <c r="F185" s="74" t="s">
        <v>88</v>
      </c>
      <c r="G185" s="75" t="s">
        <v>216</v>
      </c>
      <c r="H185" s="76">
        <v>138.58704</v>
      </c>
      <c r="I185" s="75" t="s">
        <v>74</v>
      </c>
      <c r="J185" s="179">
        <v>33000</v>
      </c>
      <c r="K185" s="179"/>
      <c r="L185" s="46">
        <f t="shared" si="33"/>
        <v>4573372.32</v>
      </c>
    </row>
    <row r="186" spans="2:12" x14ac:dyDescent="0.35">
      <c r="B186" s="71"/>
      <c r="C186" s="72"/>
      <c r="D186" s="73"/>
      <c r="E186" s="74"/>
      <c r="F186" s="74" t="s">
        <v>88</v>
      </c>
      <c r="G186" s="75" t="s">
        <v>217</v>
      </c>
      <c r="H186" s="76">
        <v>166.1688</v>
      </c>
      <c r="I186" s="75" t="s">
        <v>74</v>
      </c>
      <c r="J186" s="179">
        <v>33000</v>
      </c>
      <c r="K186" s="179"/>
      <c r="L186" s="46">
        <f t="shared" si="33"/>
        <v>5483570.4000000004</v>
      </c>
    </row>
    <row r="187" spans="2:12" x14ac:dyDescent="0.35">
      <c r="B187" s="71"/>
      <c r="C187" s="72"/>
      <c r="D187" s="73"/>
      <c r="E187" s="74"/>
      <c r="F187" s="74" t="s">
        <v>88</v>
      </c>
      <c r="G187" s="75" t="s">
        <v>218</v>
      </c>
      <c r="H187" s="76">
        <v>193.07231999999999</v>
      </c>
      <c r="I187" s="75" t="s">
        <v>74</v>
      </c>
      <c r="J187" s="179">
        <v>33000</v>
      </c>
      <c r="K187" s="179"/>
      <c r="L187" s="46">
        <f t="shared" si="33"/>
        <v>6371386.5599999996</v>
      </c>
    </row>
    <row r="188" spans="2:12" x14ac:dyDescent="0.35">
      <c r="B188" s="71"/>
      <c r="C188" s="72"/>
      <c r="D188" s="73"/>
      <c r="E188" s="74"/>
      <c r="F188" s="74" t="s">
        <v>88</v>
      </c>
      <c r="G188" s="75" t="s">
        <v>219</v>
      </c>
      <c r="H188" s="76">
        <v>222.46271999999999</v>
      </c>
      <c r="I188" s="75" t="s">
        <v>74</v>
      </c>
      <c r="J188" s="179">
        <v>33000</v>
      </c>
      <c r="K188" s="179"/>
      <c r="L188" s="46">
        <f t="shared" si="33"/>
        <v>7341269.7599999998</v>
      </c>
    </row>
    <row r="189" spans="2:12" x14ac:dyDescent="0.35">
      <c r="B189" s="71"/>
      <c r="C189" s="72"/>
      <c r="D189" s="73"/>
      <c r="E189" s="74"/>
      <c r="F189" s="74" t="s">
        <v>88</v>
      </c>
      <c r="G189" s="75" t="s">
        <v>220</v>
      </c>
      <c r="H189" s="76">
        <v>9.7214399999999994</v>
      </c>
      <c r="I189" s="75" t="s">
        <v>74</v>
      </c>
      <c r="J189" s="179">
        <v>33000</v>
      </c>
      <c r="K189" s="179"/>
      <c r="L189" s="46">
        <f t="shared" si="33"/>
        <v>320807.51999999996</v>
      </c>
    </row>
    <row r="190" spans="2:12" x14ac:dyDescent="0.35">
      <c r="B190" s="71"/>
      <c r="C190" s="72"/>
      <c r="D190" s="73"/>
      <c r="E190" s="74"/>
      <c r="F190" s="74" t="s">
        <v>88</v>
      </c>
      <c r="G190" s="75" t="s">
        <v>221</v>
      </c>
      <c r="H190" s="76">
        <v>10.39968</v>
      </c>
      <c r="I190" s="75" t="s">
        <v>74</v>
      </c>
      <c r="J190" s="179">
        <v>33000</v>
      </c>
      <c r="K190" s="179"/>
      <c r="L190" s="46">
        <f t="shared" si="33"/>
        <v>343189.44</v>
      </c>
    </row>
    <row r="191" spans="2:12" x14ac:dyDescent="0.35">
      <c r="B191" s="71"/>
      <c r="C191" s="72"/>
      <c r="D191" s="73"/>
      <c r="E191" s="74"/>
      <c r="F191" s="74" t="s">
        <v>88</v>
      </c>
      <c r="G191" s="75" t="s">
        <v>222</v>
      </c>
      <c r="H191" s="76">
        <v>28.93824</v>
      </c>
      <c r="I191" s="75" t="s">
        <v>74</v>
      </c>
      <c r="J191" s="179">
        <v>33000</v>
      </c>
      <c r="K191" s="179"/>
      <c r="L191" s="46">
        <f t="shared" si="33"/>
        <v>954961.92000000004</v>
      </c>
    </row>
    <row r="192" spans="2:12" x14ac:dyDescent="0.35">
      <c r="B192" s="71"/>
      <c r="C192" s="72"/>
      <c r="D192" s="73"/>
      <c r="E192" s="74"/>
      <c r="F192" s="74" t="s">
        <v>88</v>
      </c>
      <c r="G192" s="75" t="s">
        <v>223</v>
      </c>
      <c r="H192" s="76">
        <v>17.408159999999999</v>
      </c>
      <c r="I192" s="75" t="s">
        <v>74</v>
      </c>
      <c r="J192" s="179">
        <v>33000</v>
      </c>
      <c r="K192" s="179"/>
      <c r="L192" s="46">
        <f t="shared" si="33"/>
        <v>574469.27999999991</v>
      </c>
    </row>
    <row r="193" spans="2:12" x14ac:dyDescent="0.35">
      <c r="B193" s="71"/>
      <c r="C193" s="72"/>
      <c r="D193" s="73"/>
      <c r="E193" s="74"/>
      <c r="F193" s="74" t="s">
        <v>88</v>
      </c>
      <c r="G193" s="75" t="s">
        <v>224</v>
      </c>
      <c r="H193" s="76">
        <v>26.677440000000001</v>
      </c>
      <c r="I193" s="75" t="s">
        <v>74</v>
      </c>
      <c r="J193" s="179">
        <v>33000</v>
      </c>
      <c r="K193" s="179"/>
      <c r="L193" s="46">
        <f t="shared" si="33"/>
        <v>880355.52</v>
      </c>
    </row>
    <row r="194" spans="2:12" x14ac:dyDescent="0.35">
      <c r="B194" s="71"/>
      <c r="C194" s="72"/>
      <c r="D194" s="73"/>
      <c r="E194" s="74"/>
      <c r="F194" s="74" t="s">
        <v>88</v>
      </c>
      <c r="G194" s="75" t="s">
        <v>225</v>
      </c>
      <c r="H194" s="76">
        <v>15.147359999999999</v>
      </c>
      <c r="I194" s="75" t="s">
        <v>74</v>
      </c>
      <c r="J194" s="179">
        <v>33000</v>
      </c>
      <c r="K194" s="179"/>
      <c r="L194" s="46">
        <f t="shared" si="33"/>
        <v>499862.87999999995</v>
      </c>
    </row>
    <row r="195" spans="2:12" x14ac:dyDescent="0.35">
      <c r="B195" s="71"/>
      <c r="C195" s="72"/>
      <c r="D195" s="73"/>
      <c r="E195" s="74"/>
      <c r="F195" s="74" t="s">
        <v>88</v>
      </c>
      <c r="G195" s="75" t="s">
        <v>226</v>
      </c>
      <c r="H195" s="76">
        <v>23.286239999999999</v>
      </c>
      <c r="I195" s="75" t="s">
        <v>74</v>
      </c>
      <c r="J195" s="179">
        <v>33000</v>
      </c>
      <c r="K195" s="179"/>
      <c r="L195" s="46">
        <f t="shared" si="33"/>
        <v>768445.91999999993</v>
      </c>
    </row>
    <row r="196" spans="2:12" x14ac:dyDescent="0.35">
      <c r="B196" s="71"/>
      <c r="C196" s="72"/>
      <c r="D196" s="73"/>
      <c r="E196" s="74"/>
      <c r="F196" s="74" t="s">
        <v>88</v>
      </c>
      <c r="G196" s="75" t="s">
        <v>227</v>
      </c>
      <c r="H196" s="76">
        <v>25.547039999999999</v>
      </c>
      <c r="I196" s="75" t="s">
        <v>74</v>
      </c>
      <c r="J196" s="179">
        <v>33000</v>
      </c>
      <c r="K196" s="179"/>
      <c r="L196" s="46">
        <f t="shared" si="33"/>
        <v>843052.32</v>
      </c>
    </row>
    <row r="197" spans="2:12" x14ac:dyDescent="0.35">
      <c r="B197" s="71"/>
      <c r="C197" s="72"/>
      <c r="D197" s="73"/>
      <c r="E197" s="74"/>
      <c r="F197" s="74" t="s">
        <v>88</v>
      </c>
      <c r="G197" s="75" t="s">
        <v>228</v>
      </c>
      <c r="H197" s="76">
        <v>19.895039999999998</v>
      </c>
      <c r="I197" s="75" t="s">
        <v>74</v>
      </c>
      <c r="J197" s="179">
        <v>33000</v>
      </c>
      <c r="K197" s="179"/>
      <c r="L197" s="46">
        <f t="shared" si="33"/>
        <v>656536.31999999995</v>
      </c>
    </row>
    <row r="198" spans="2:12" x14ac:dyDescent="0.35">
      <c r="B198" s="71"/>
      <c r="C198" s="72"/>
      <c r="D198" s="73"/>
      <c r="E198" s="74"/>
      <c r="F198" s="74" t="s">
        <v>88</v>
      </c>
      <c r="G198" s="75" t="s">
        <v>229</v>
      </c>
      <c r="H198" s="76">
        <v>21.477599999999999</v>
      </c>
      <c r="I198" s="75" t="s">
        <v>74</v>
      </c>
      <c r="J198" s="179">
        <v>33000</v>
      </c>
      <c r="K198" s="179"/>
      <c r="L198" s="46">
        <f t="shared" si="33"/>
        <v>708760.79999999993</v>
      </c>
    </row>
    <row r="199" spans="2:12" x14ac:dyDescent="0.35">
      <c r="B199" s="71"/>
      <c r="C199" s="72"/>
      <c r="D199" s="73"/>
      <c r="E199" s="74"/>
      <c r="F199" s="74" t="s">
        <v>88</v>
      </c>
      <c r="G199" s="75" t="s">
        <v>223</v>
      </c>
      <c r="H199" s="76">
        <v>17.408159999999999</v>
      </c>
      <c r="I199" s="75" t="s">
        <v>74</v>
      </c>
      <c r="J199" s="179">
        <v>33000</v>
      </c>
      <c r="K199" s="179"/>
      <c r="L199" s="46">
        <f t="shared" si="33"/>
        <v>574469.27999999991</v>
      </c>
    </row>
    <row r="200" spans="2:12" x14ac:dyDescent="0.35">
      <c r="B200" s="71"/>
      <c r="C200" s="72"/>
      <c r="D200" s="73"/>
      <c r="E200" s="74"/>
      <c r="F200" s="74" t="s">
        <v>88</v>
      </c>
      <c r="G200" s="75" t="s">
        <v>230</v>
      </c>
      <c r="H200" s="76">
        <v>201.77639999999997</v>
      </c>
      <c r="I200" s="75" t="s">
        <v>74</v>
      </c>
      <c r="J200" s="179">
        <v>33000</v>
      </c>
      <c r="K200" s="179"/>
      <c r="L200" s="46">
        <f t="shared" si="33"/>
        <v>6658621.1999999993</v>
      </c>
    </row>
    <row r="201" spans="2:12" x14ac:dyDescent="0.35">
      <c r="B201" s="71"/>
      <c r="C201" s="72"/>
      <c r="D201" s="73"/>
      <c r="E201" s="74"/>
      <c r="F201" s="74" t="s">
        <v>88</v>
      </c>
      <c r="G201" s="75" t="s">
        <v>231</v>
      </c>
      <c r="H201" s="76">
        <v>196.68959999999998</v>
      </c>
      <c r="I201" s="75" t="s">
        <v>74</v>
      </c>
      <c r="J201" s="179">
        <v>33000</v>
      </c>
      <c r="K201" s="179"/>
      <c r="L201" s="46">
        <f t="shared" si="33"/>
        <v>6490756.7999999998</v>
      </c>
    </row>
    <row r="202" spans="2:12" x14ac:dyDescent="0.35">
      <c r="B202" s="71"/>
      <c r="C202" s="72"/>
      <c r="D202" s="73"/>
      <c r="E202" s="74"/>
      <c r="F202" s="74" t="s">
        <v>88</v>
      </c>
      <c r="G202" s="75" t="s">
        <v>232</v>
      </c>
      <c r="H202" s="76">
        <v>165.60359999999997</v>
      </c>
      <c r="I202" s="75" t="s">
        <v>74</v>
      </c>
      <c r="J202" s="179">
        <v>33000</v>
      </c>
      <c r="K202" s="179"/>
      <c r="L202" s="46">
        <f t="shared" si="33"/>
        <v>5464918.7999999989</v>
      </c>
    </row>
    <row r="203" spans="2:12" x14ac:dyDescent="0.35">
      <c r="B203" s="71"/>
      <c r="C203" s="72"/>
      <c r="D203" s="73"/>
      <c r="E203" s="74"/>
      <c r="F203" s="74" t="s">
        <v>88</v>
      </c>
      <c r="G203" s="75" t="s">
        <v>233</v>
      </c>
      <c r="H203" s="76">
        <v>122.64839999999998</v>
      </c>
      <c r="I203" s="75" t="s">
        <v>74</v>
      </c>
      <c r="J203" s="179">
        <v>33000</v>
      </c>
      <c r="K203" s="179"/>
      <c r="L203" s="46">
        <f t="shared" si="33"/>
        <v>4047397.1999999993</v>
      </c>
    </row>
    <row r="204" spans="2:12" x14ac:dyDescent="0.35">
      <c r="B204" s="71"/>
      <c r="C204" s="72"/>
      <c r="D204" s="73"/>
      <c r="E204" s="74"/>
      <c r="F204" s="74" t="s">
        <v>88</v>
      </c>
      <c r="G204" s="75" t="s">
        <v>234</v>
      </c>
      <c r="H204" s="76">
        <v>79.127999999999986</v>
      </c>
      <c r="I204" s="75" t="s">
        <v>74</v>
      </c>
      <c r="J204" s="179">
        <v>33000</v>
      </c>
      <c r="K204" s="179"/>
      <c r="L204" s="46">
        <f t="shared" si="33"/>
        <v>2611223.9999999995</v>
      </c>
    </row>
    <row r="205" spans="2:12" x14ac:dyDescent="0.35">
      <c r="B205" s="79"/>
      <c r="C205" s="80"/>
      <c r="D205" s="81"/>
      <c r="E205" s="82"/>
      <c r="F205" s="82"/>
      <c r="G205" s="83"/>
      <c r="H205" s="84"/>
      <c r="I205" s="83"/>
      <c r="J205" s="50"/>
      <c r="K205" s="29"/>
      <c r="L205" s="52"/>
    </row>
    <row r="206" spans="2:12" x14ac:dyDescent="0.35">
      <c r="B206" s="47"/>
      <c r="C206" s="48"/>
      <c r="D206" s="24"/>
      <c r="G206" s="22"/>
      <c r="I206" s="22"/>
      <c r="J206" s="50"/>
      <c r="K206" s="29"/>
      <c r="L206" s="52"/>
    </row>
    <row r="207" spans="2:12" x14ac:dyDescent="0.35">
      <c r="B207" s="8"/>
      <c r="C207" s="9"/>
      <c r="D207" s="10"/>
      <c r="E207" s="4"/>
      <c r="F207" s="4"/>
      <c r="G207" s="4"/>
      <c r="H207" s="1"/>
      <c r="I207" s="1"/>
      <c r="J207" s="11" t="s">
        <v>8</v>
      </c>
      <c r="K207" s="7">
        <f>SUM(K154:K206)</f>
        <v>0</v>
      </c>
      <c r="L207" s="7">
        <f>SUM(L154:L206)</f>
        <v>118570787.41999997</v>
      </c>
    </row>
    <row r="208" spans="2:12" x14ac:dyDescent="0.35">
      <c r="B208" s="8"/>
      <c r="C208" s="9"/>
      <c r="D208" s="9"/>
      <c r="E208" s="4"/>
      <c r="F208" s="4"/>
      <c r="G208" s="4"/>
      <c r="H208" s="1"/>
      <c r="I208" s="1"/>
      <c r="J208" s="11"/>
      <c r="K208" s="35" t="s">
        <v>22</v>
      </c>
      <c r="L208" s="36" t="s">
        <v>23</v>
      </c>
    </row>
    <row r="209" spans="2:12" x14ac:dyDescent="0.35">
      <c r="B209" s="3" t="s">
        <v>9</v>
      </c>
      <c r="C209" s="4"/>
      <c r="D209" s="4"/>
      <c r="E209" s="4"/>
      <c r="F209" s="4"/>
      <c r="G209" s="4"/>
      <c r="H209" s="1"/>
      <c r="I209" s="1"/>
      <c r="J209" s="12"/>
      <c r="K209" s="12"/>
      <c r="L209" s="13"/>
    </row>
    <row r="210" spans="2:12" x14ac:dyDescent="0.35">
      <c r="B210" s="37"/>
      <c r="C210" s="1"/>
      <c r="D210" s="1"/>
      <c r="E210" s="38"/>
      <c r="F210" s="38"/>
      <c r="G210" s="38"/>
      <c r="H210" s="1"/>
      <c r="I210" s="1"/>
      <c r="J210" s="1"/>
      <c r="K210" s="1"/>
      <c r="L210" s="19"/>
    </row>
    <row r="211" spans="2:12" x14ac:dyDescent="0.35">
      <c r="B211" s="28" t="s">
        <v>6</v>
      </c>
      <c r="C211" s="27"/>
      <c r="D211" s="27"/>
      <c r="E211" s="26"/>
      <c r="F211" s="26"/>
      <c r="G211" s="5"/>
      <c r="K211" s="232" t="s">
        <v>378</v>
      </c>
      <c r="L211" s="233"/>
    </row>
    <row r="212" spans="2:12" x14ac:dyDescent="0.35">
      <c r="B212" s="28">
        <v>1</v>
      </c>
      <c r="C212" s="27"/>
      <c r="D212" s="27"/>
      <c r="E212" s="26" t="s">
        <v>7</v>
      </c>
      <c r="F212" s="26"/>
      <c r="G212" s="5"/>
      <c r="K212" s="232" t="s">
        <v>28</v>
      </c>
      <c r="L212" s="233"/>
    </row>
    <row r="213" spans="2:12" x14ac:dyDescent="0.35">
      <c r="B213" s="39"/>
      <c r="C213" s="27"/>
      <c r="D213" s="27"/>
      <c r="E213" s="26"/>
      <c r="F213" s="26"/>
      <c r="G213" s="5"/>
      <c r="J213" s="25"/>
      <c r="K213" s="25"/>
      <c r="L213" s="24"/>
    </row>
    <row r="214" spans="2:12" x14ac:dyDescent="0.35">
      <c r="B214" s="28"/>
      <c r="C214" s="27"/>
      <c r="D214" s="27"/>
      <c r="E214" s="26"/>
      <c r="F214" s="26"/>
      <c r="G214" s="5"/>
      <c r="L214" s="22"/>
    </row>
    <row r="215" spans="2:12" x14ac:dyDescent="0.35">
      <c r="B215" s="45"/>
      <c r="E215" s="5"/>
      <c r="F215" s="5"/>
      <c r="G215" s="5"/>
      <c r="L215" s="22"/>
    </row>
    <row r="216" spans="2:12" x14ac:dyDescent="0.35">
      <c r="B216" s="45"/>
      <c r="E216" s="5"/>
      <c r="F216" s="5"/>
      <c r="G216" s="5"/>
      <c r="L216" s="22"/>
    </row>
    <row r="217" spans="2:12" x14ac:dyDescent="0.35">
      <c r="B217" s="45"/>
      <c r="E217" s="5"/>
      <c r="F217" s="5"/>
      <c r="G217" s="5"/>
      <c r="L217" s="22"/>
    </row>
    <row r="218" spans="2:12" x14ac:dyDescent="0.35">
      <c r="B218" s="45"/>
      <c r="E218" s="5"/>
      <c r="F218" s="5"/>
      <c r="G218" s="5"/>
      <c r="J218" s="40"/>
      <c r="K218" s="234" t="s">
        <v>36</v>
      </c>
      <c r="L218" s="235"/>
    </row>
    <row r="219" spans="2:12" x14ac:dyDescent="0.35">
      <c r="B219" s="45"/>
      <c r="K219" s="236" t="s">
        <v>37</v>
      </c>
      <c r="L219" s="237"/>
    </row>
    <row r="220" spans="2:12" x14ac:dyDescent="0.35">
      <c r="B220" s="238"/>
      <c r="C220" s="239"/>
      <c r="D220" s="239"/>
      <c r="E220" s="41"/>
      <c r="F220" s="41"/>
      <c r="G220" s="41"/>
      <c r="H220" s="2"/>
      <c r="I220" s="2"/>
      <c r="J220" s="2"/>
      <c r="K220" s="2"/>
      <c r="L220" s="21"/>
    </row>
    <row r="221" spans="2:12" x14ac:dyDescent="0.35">
      <c r="B221" s="47"/>
      <c r="C221" s="48"/>
      <c r="D221" s="49"/>
      <c r="G221" s="22"/>
      <c r="H221" s="1"/>
      <c r="I221" s="1"/>
      <c r="J221" s="43"/>
      <c r="K221" s="30"/>
      <c r="L221" s="44"/>
    </row>
    <row r="222" spans="2:12" x14ac:dyDescent="0.35">
      <c r="B222" s="71"/>
      <c r="C222" s="72"/>
      <c r="D222" s="73"/>
      <c r="E222" s="74"/>
      <c r="F222" s="74" t="s">
        <v>88</v>
      </c>
      <c r="G222" s="75" t="s">
        <v>235</v>
      </c>
      <c r="H222" s="76">
        <v>170.23823999999999</v>
      </c>
      <c r="I222" s="75" t="s">
        <v>74</v>
      </c>
      <c r="J222" s="179">
        <v>33000</v>
      </c>
      <c r="K222" s="179"/>
      <c r="L222" s="46">
        <f t="shared" ref="L222:L227" si="34">J222*H222</f>
        <v>5617861.9199999999</v>
      </c>
    </row>
    <row r="223" spans="2:12" x14ac:dyDescent="0.35">
      <c r="B223" s="71"/>
      <c r="C223" s="72"/>
      <c r="D223" s="73"/>
      <c r="E223" s="74"/>
      <c r="F223" s="74" t="s">
        <v>88</v>
      </c>
      <c r="G223" s="75" t="s">
        <v>236</v>
      </c>
      <c r="H223" s="76">
        <v>341.94599999999991</v>
      </c>
      <c r="I223" s="75" t="s">
        <v>74</v>
      </c>
      <c r="J223" s="179">
        <v>33000</v>
      </c>
      <c r="K223" s="179"/>
      <c r="L223" s="46">
        <f t="shared" si="34"/>
        <v>11284217.999999996</v>
      </c>
    </row>
    <row r="224" spans="2:12" x14ac:dyDescent="0.35">
      <c r="B224" s="71"/>
      <c r="C224" s="72"/>
      <c r="D224" s="73"/>
      <c r="E224" s="74"/>
      <c r="F224" s="74" t="s">
        <v>88</v>
      </c>
      <c r="G224" s="75" t="s">
        <v>237</v>
      </c>
      <c r="H224" s="76">
        <v>34.665599999999998</v>
      </c>
      <c r="I224" s="75" t="s">
        <v>74</v>
      </c>
      <c r="J224" s="179">
        <v>33000</v>
      </c>
      <c r="K224" s="179"/>
      <c r="L224" s="46">
        <f t="shared" si="34"/>
        <v>1143964.7999999998</v>
      </c>
    </row>
    <row r="225" spans="2:12" x14ac:dyDescent="0.35">
      <c r="B225" s="71"/>
      <c r="C225" s="72"/>
      <c r="D225" s="73"/>
      <c r="E225" s="74"/>
      <c r="F225" s="74" t="s">
        <v>88</v>
      </c>
      <c r="G225" s="75" t="s">
        <v>238</v>
      </c>
      <c r="H225" s="76">
        <v>138.47399999999999</v>
      </c>
      <c r="I225" s="75" t="s">
        <v>74</v>
      </c>
      <c r="J225" s="179">
        <v>33000</v>
      </c>
      <c r="K225" s="179"/>
      <c r="L225" s="46">
        <f t="shared" si="34"/>
        <v>4569642</v>
      </c>
    </row>
    <row r="226" spans="2:12" x14ac:dyDescent="0.35">
      <c r="B226" s="71"/>
      <c r="C226" s="72"/>
      <c r="D226" s="73"/>
      <c r="E226" s="74"/>
      <c r="F226" s="74" t="s">
        <v>88</v>
      </c>
      <c r="G226" s="75" t="s">
        <v>239</v>
      </c>
      <c r="H226" s="76">
        <v>47.1</v>
      </c>
      <c r="I226" s="75" t="s">
        <v>74</v>
      </c>
      <c r="J226" s="179">
        <v>33000</v>
      </c>
      <c r="K226" s="179"/>
      <c r="L226" s="46">
        <f t="shared" si="34"/>
        <v>1554300</v>
      </c>
    </row>
    <row r="227" spans="2:12" x14ac:dyDescent="0.35">
      <c r="B227" s="71"/>
      <c r="C227" s="72"/>
      <c r="D227" s="73"/>
      <c r="E227" s="74"/>
      <c r="F227" s="74" t="s">
        <v>88</v>
      </c>
      <c r="G227" s="75" t="s">
        <v>240</v>
      </c>
      <c r="H227" s="76">
        <v>15.192575999999999</v>
      </c>
      <c r="I227" s="75" t="s">
        <v>74</v>
      </c>
      <c r="J227" s="179">
        <v>33000</v>
      </c>
      <c r="K227" s="179"/>
      <c r="L227" s="46">
        <f t="shared" si="34"/>
        <v>501355.00799999997</v>
      </c>
    </row>
    <row r="228" spans="2:12" x14ac:dyDescent="0.35">
      <c r="B228" s="71"/>
      <c r="C228" s="72"/>
      <c r="D228" s="73" t="s">
        <v>42</v>
      </c>
      <c r="E228" s="74"/>
      <c r="F228" s="74" t="s">
        <v>104</v>
      </c>
      <c r="G228" s="75"/>
      <c r="H228" s="76"/>
      <c r="I228" s="75"/>
      <c r="J228" s="50"/>
      <c r="K228" s="29"/>
      <c r="L228" s="52"/>
    </row>
    <row r="229" spans="2:12" x14ac:dyDescent="0.35">
      <c r="B229" s="71"/>
      <c r="C229" s="72"/>
      <c r="D229" s="73"/>
      <c r="E229" s="74"/>
      <c r="F229" s="74" t="s">
        <v>88</v>
      </c>
      <c r="G229" s="75" t="s">
        <v>241</v>
      </c>
      <c r="H229" s="76">
        <v>66.806639999999987</v>
      </c>
      <c r="I229" s="75" t="s">
        <v>74</v>
      </c>
      <c r="J229" s="179">
        <v>33000</v>
      </c>
      <c r="K229" s="179"/>
      <c r="L229" s="46">
        <f t="shared" ref="L229:L244" si="35">J229*H229</f>
        <v>2204619.1199999996</v>
      </c>
    </row>
    <row r="230" spans="2:12" x14ac:dyDescent="0.35">
      <c r="B230" s="71"/>
      <c r="C230" s="72"/>
      <c r="D230" s="73"/>
      <c r="E230" s="74"/>
      <c r="F230" s="74" t="s">
        <v>88</v>
      </c>
      <c r="G230" s="75" t="s">
        <v>242</v>
      </c>
      <c r="H230" s="76">
        <v>170.69039999999998</v>
      </c>
      <c r="I230" s="75" t="s">
        <v>74</v>
      </c>
      <c r="J230" s="179">
        <v>33000</v>
      </c>
      <c r="K230" s="179"/>
      <c r="L230" s="46">
        <f t="shared" si="35"/>
        <v>5632783.1999999993</v>
      </c>
    </row>
    <row r="231" spans="2:12" x14ac:dyDescent="0.35">
      <c r="B231" s="71"/>
      <c r="C231" s="72"/>
      <c r="D231" s="73"/>
      <c r="E231" s="74"/>
      <c r="F231" s="74" t="s">
        <v>88</v>
      </c>
      <c r="G231" s="75" t="s">
        <v>243</v>
      </c>
      <c r="H231" s="76">
        <v>408.75263999999999</v>
      </c>
      <c r="I231" s="75" t="s">
        <v>74</v>
      </c>
      <c r="J231" s="179">
        <v>33000</v>
      </c>
      <c r="K231" s="179"/>
      <c r="L231" s="46">
        <f t="shared" si="35"/>
        <v>13488837.119999999</v>
      </c>
    </row>
    <row r="232" spans="2:12" x14ac:dyDescent="0.35">
      <c r="B232" s="71"/>
      <c r="C232" s="72"/>
      <c r="D232" s="73"/>
      <c r="E232" s="74"/>
      <c r="F232" s="74" t="s">
        <v>88</v>
      </c>
      <c r="G232" s="75" t="s">
        <v>244</v>
      </c>
      <c r="H232" s="76">
        <v>89.75376</v>
      </c>
      <c r="I232" s="75" t="s">
        <v>74</v>
      </c>
      <c r="J232" s="179">
        <v>33000</v>
      </c>
      <c r="K232" s="179"/>
      <c r="L232" s="46">
        <f t="shared" si="35"/>
        <v>2961874.08</v>
      </c>
    </row>
    <row r="233" spans="2:12" x14ac:dyDescent="0.35">
      <c r="B233" s="71"/>
      <c r="C233" s="72"/>
      <c r="D233" s="73"/>
      <c r="E233" s="74"/>
      <c r="F233" s="74" t="s">
        <v>88</v>
      </c>
      <c r="G233" s="75" t="s">
        <v>245</v>
      </c>
      <c r="H233" s="76">
        <v>193.07231999999999</v>
      </c>
      <c r="I233" s="75" t="s">
        <v>74</v>
      </c>
      <c r="J233" s="179">
        <v>33000</v>
      </c>
      <c r="K233" s="179"/>
      <c r="L233" s="46">
        <f t="shared" si="35"/>
        <v>6371386.5599999996</v>
      </c>
    </row>
    <row r="234" spans="2:12" x14ac:dyDescent="0.35">
      <c r="B234" s="71"/>
      <c r="C234" s="72"/>
      <c r="D234" s="73"/>
      <c r="E234" s="74"/>
      <c r="F234" s="74" t="s">
        <v>88</v>
      </c>
      <c r="G234" s="75" t="s">
        <v>246</v>
      </c>
      <c r="H234" s="76">
        <v>157.35167999999999</v>
      </c>
      <c r="I234" s="75" t="s">
        <v>74</v>
      </c>
      <c r="J234" s="179">
        <v>33000</v>
      </c>
      <c r="K234" s="179"/>
      <c r="L234" s="46">
        <f t="shared" si="35"/>
        <v>5192605.4399999995</v>
      </c>
    </row>
    <row r="235" spans="2:12" x14ac:dyDescent="0.35">
      <c r="B235" s="71"/>
      <c r="C235" s="72"/>
      <c r="D235" s="73"/>
      <c r="E235" s="74"/>
      <c r="F235" s="74" t="s">
        <v>88</v>
      </c>
      <c r="G235" s="75" t="s">
        <v>247</v>
      </c>
      <c r="H235" s="76">
        <v>114.17039999999999</v>
      </c>
      <c r="I235" s="75" t="s">
        <v>74</v>
      </c>
      <c r="J235" s="179">
        <v>33000</v>
      </c>
      <c r="K235" s="179"/>
      <c r="L235" s="46">
        <f t="shared" si="35"/>
        <v>3767623.1999999997</v>
      </c>
    </row>
    <row r="236" spans="2:12" x14ac:dyDescent="0.35">
      <c r="B236" s="71"/>
      <c r="C236" s="72"/>
      <c r="D236" s="73"/>
      <c r="E236" s="74"/>
      <c r="F236" s="74" t="s">
        <v>88</v>
      </c>
      <c r="G236" s="75" t="s">
        <v>248</v>
      </c>
      <c r="H236" s="76">
        <v>116.43119999999999</v>
      </c>
      <c r="I236" s="75" t="s">
        <v>74</v>
      </c>
      <c r="J236" s="179">
        <v>33000</v>
      </c>
      <c r="K236" s="179"/>
      <c r="L236" s="46">
        <f t="shared" si="35"/>
        <v>3842229.5999999996</v>
      </c>
    </row>
    <row r="237" spans="2:12" x14ac:dyDescent="0.35">
      <c r="B237" s="71"/>
      <c r="C237" s="72"/>
      <c r="D237" s="73"/>
      <c r="E237" s="74"/>
      <c r="F237" s="74" t="s">
        <v>88</v>
      </c>
      <c r="G237" s="75" t="s">
        <v>249</v>
      </c>
      <c r="H237" s="76">
        <v>140.16959999999997</v>
      </c>
      <c r="I237" s="75" t="s">
        <v>74</v>
      </c>
      <c r="J237" s="179">
        <v>33000</v>
      </c>
      <c r="K237" s="179"/>
      <c r="L237" s="46">
        <f t="shared" si="35"/>
        <v>4625596.7999999989</v>
      </c>
    </row>
    <row r="238" spans="2:12" x14ac:dyDescent="0.35">
      <c r="B238" s="71"/>
      <c r="C238" s="72"/>
      <c r="D238" s="73"/>
      <c r="E238" s="74"/>
      <c r="F238" s="74" t="s">
        <v>88</v>
      </c>
      <c r="G238" s="75" t="s">
        <v>250</v>
      </c>
      <c r="H238" s="76">
        <v>203.47199999999998</v>
      </c>
      <c r="I238" s="75" t="s">
        <v>74</v>
      </c>
      <c r="J238" s="179">
        <v>33000</v>
      </c>
      <c r="K238" s="179"/>
      <c r="L238" s="46">
        <f t="shared" si="35"/>
        <v>6714575.9999999991</v>
      </c>
    </row>
    <row r="239" spans="2:12" x14ac:dyDescent="0.35">
      <c r="B239" s="71"/>
      <c r="C239" s="72"/>
      <c r="D239" s="73"/>
      <c r="E239" s="74"/>
      <c r="F239" s="74" t="s">
        <v>88</v>
      </c>
      <c r="G239" s="75" t="s">
        <v>251</v>
      </c>
      <c r="H239" s="76">
        <v>146.01</v>
      </c>
      <c r="I239" s="75" t="s">
        <v>74</v>
      </c>
      <c r="J239" s="179">
        <v>33000</v>
      </c>
      <c r="K239" s="179"/>
      <c r="L239" s="46">
        <f t="shared" si="35"/>
        <v>4818330</v>
      </c>
    </row>
    <row r="240" spans="2:12" x14ac:dyDescent="0.35">
      <c r="B240" s="71"/>
      <c r="C240" s="72"/>
      <c r="D240" s="73"/>
      <c r="E240" s="74"/>
      <c r="F240" s="74" t="s">
        <v>88</v>
      </c>
      <c r="G240" s="75" t="s">
        <v>252</v>
      </c>
      <c r="H240" s="76">
        <v>28.259999999999998</v>
      </c>
      <c r="I240" s="75" t="s">
        <v>74</v>
      </c>
      <c r="J240" s="179">
        <v>33000</v>
      </c>
      <c r="K240" s="179"/>
      <c r="L240" s="46">
        <f t="shared" si="35"/>
        <v>932579.99999999988</v>
      </c>
    </row>
    <row r="241" spans="2:12" x14ac:dyDescent="0.35">
      <c r="B241" s="71"/>
      <c r="C241" s="72"/>
      <c r="D241" s="73"/>
      <c r="E241" s="74"/>
      <c r="F241" s="74" t="s">
        <v>88</v>
      </c>
      <c r="G241" s="75" t="s">
        <v>253</v>
      </c>
      <c r="H241" s="76">
        <v>56.519999999999996</v>
      </c>
      <c r="I241" s="75" t="s">
        <v>74</v>
      </c>
      <c r="J241" s="179">
        <v>33000</v>
      </c>
      <c r="K241" s="179"/>
      <c r="L241" s="46">
        <f t="shared" si="35"/>
        <v>1865159.9999999998</v>
      </c>
    </row>
    <row r="242" spans="2:12" x14ac:dyDescent="0.35">
      <c r="B242" s="71"/>
      <c r="C242" s="72"/>
      <c r="D242" s="73"/>
      <c r="E242" s="74"/>
      <c r="F242" s="74" t="s">
        <v>88</v>
      </c>
      <c r="G242" s="75" t="s">
        <v>254</v>
      </c>
      <c r="H242" s="76">
        <v>35.042399999999994</v>
      </c>
      <c r="I242" s="75" t="s">
        <v>74</v>
      </c>
      <c r="J242" s="179">
        <v>33000</v>
      </c>
      <c r="K242" s="179"/>
      <c r="L242" s="46">
        <f t="shared" si="35"/>
        <v>1156399.1999999997</v>
      </c>
    </row>
    <row r="243" spans="2:12" x14ac:dyDescent="0.35">
      <c r="B243" s="71"/>
      <c r="C243" s="72"/>
      <c r="D243" s="73"/>
      <c r="E243" s="74"/>
      <c r="F243" s="74" t="s">
        <v>88</v>
      </c>
      <c r="G243" s="75" t="s">
        <v>255</v>
      </c>
      <c r="H243" s="76">
        <v>6.7823999999999991</v>
      </c>
      <c r="I243" s="75" t="s">
        <v>74</v>
      </c>
      <c r="J243" s="179">
        <v>33000</v>
      </c>
      <c r="K243" s="179"/>
      <c r="L243" s="46">
        <f t="shared" si="35"/>
        <v>223819.19999999998</v>
      </c>
    </row>
    <row r="244" spans="2:12" x14ac:dyDescent="0.35">
      <c r="B244" s="71"/>
      <c r="C244" s="72"/>
      <c r="D244" s="73"/>
      <c r="E244" s="74"/>
      <c r="F244" s="74" t="s">
        <v>88</v>
      </c>
      <c r="G244" s="75" t="s">
        <v>256</v>
      </c>
      <c r="H244" s="76">
        <v>3.2555519999999998</v>
      </c>
      <c r="I244" s="75" t="s">
        <v>74</v>
      </c>
      <c r="J244" s="179">
        <v>33000</v>
      </c>
      <c r="K244" s="179"/>
      <c r="L244" s="46">
        <f t="shared" si="35"/>
        <v>107433.21599999999</v>
      </c>
    </row>
    <row r="245" spans="2:12" x14ac:dyDescent="0.35">
      <c r="B245" s="71"/>
      <c r="C245" s="72"/>
      <c r="D245" s="73" t="s">
        <v>44</v>
      </c>
      <c r="E245" s="74"/>
      <c r="F245" s="74" t="s">
        <v>105</v>
      </c>
      <c r="G245" s="75"/>
      <c r="H245" s="76"/>
      <c r="I245" s="75"/>
      <c r="J245" s="50"/>
      <c r="K245" s="29"/>
      <c r="L245" s="52"/>
    </row>
    <row r="246" spans="2:12" x14ac:dyDescent="0.35">
      <c r="B246" s="119"/>
      <c r="C246" s="120"/>
      <c r="D246" s="133"/>
      <c r="E246" s="64"/>
      <c r="F246" s="74" t="s">
        <v>88</v>
      </c>
      <c r="G246" s="75" t="s">
        <v>257</v>
      </c>
      <c r="H246" s="173">
        <v>22.608000000000001</v>
      </c>
      <c r="I246" s="134" t="s">
        <v>74</v>
      </c>
      <c r="J246" s="179">
        <v>33000</v>
      </c>
      <c r="K246" s="179"/>
      <c r="L246" s="46">
        <f t="shared" ref="L246" si="36">J246*H246</f>
        <v>746064</v>
      </c>
    </row>
    <row r="247" spans="2:12" x14ac:dyDescent="0.35">
      <c r="B247" s="71"/>
      <c r="C247" s="72"/>
      <c r="D247" s="73" t="s">
        <v>46</v>
      </c>
      <c r="E247" s="74"/>
      <c r="F247" s="74" t="s">
        <v>106</v>
      </c>
      <c r="G247" s="75"/>
      <c r="H247" s="78"/>
      <c r="I247" s="75"/>
      <c r="J247" s="50"/>
      <c r="K247" s="29"/>
      <c r="L247" s="52"/>
    </row>
    <row r="248" spans="2:12" x14ac:dyDescent="0.35">
      <c r="B248" s="71"/>
      <c r="C248" s="72"/>
      <c r="D248" s="73"/>
      <c r="E248" s="74"/>
      <c r="F248" s="74" t="s">
        <v>88</v>
      </c>
      <c r="G248" s="75" t="s">
        <v>258</v>
      </c>
      <c r="H248" s="76">
        <v>18.990719999999996</v>
      </c>
      <c r="I248" s="75" t="s">
        <v>74</v>
      </c>
      <c r="J248" s="179">
        <v>33000</v>
      </c>
      <c r="K248" s="179"/>
      <c r="L248" s="46">
        <f t="shared" ref="L248:L271" si="37">J248*H248</f>
        <v>626693.75999999989</v>
      </c>
    </row>
    <row r="249" spans="2:12" x14ac:dyDescent="0.35">
      <c r="B249" s="71"/>
      <c r="C249" s="72"/>
      <c r="D249" s="73"/>
      <c r="E249" s="74"/>
      <c r="F249" s="74" t="s">
        <v>88</v>
      </c>
      <c r="G249" s="75" t="s">
        <v>259</v>
      </c>
      <c r="H249" s="76">
        <v>17.634239999999998</v>
      </c>
      <c r="I249" s="75" t="s">
        <v>74</v>
      </c>
      <c r="J249" s="179">
        <v>33000</v>
      </c>
      <c r="K249" s="179"/>
      <c r="L249" s="46">
        <f t="shared" si="37"/>
        <v>581929.91999999993</v>
      </c>
    </row>
    <row r="250" spans="2:12" x14ac:dyDescent="0.35">
      <c r="B250" s="119"/>
      <c r="C250" s="120"/>
      <c r="D250" s="56"/>
      <c r="E250" s="57"/>
      <c r="F250" s="112" t="s">
        <v>88</v>
      </c>
      <c r="G250" s="58" t="s">
        <v>260</v>
      </c>
      <c r="H250" s="77">
        <v>6.7824</v>
      </c>
      <c r="I250" s="58" t="s">
        <v>74</v>
      </c>
      <c r="J250" s="179">
        <v>33000</v>
      </c>
      <c r="K250" s="179"/>
      <c r="L250" s="46">
        <f t="shared" si="37"/>
        <v>223819.2</v>
      </c>
    </row>
    <row r="251" spans="2:12" x14ac:dyDescent="0.35">
      <c r="B251" s="71"/>
      <c r="C251" s="72"/>
      <c r="D251" s="73"/>
      <c r="E251" s="74"/>
      <c r="F251" s="74" t="s">
        <v>88</v>
      </c>
      <c r="G251" s="75" t="s">
        <v>261</v>
      </c>
      <c r="H251" s="76">
        <v>204.37631999999999</v>
      </c>
      <c r="I251" s="75" t="s">
        <v>74</v>
      </c>
      <c r="J251" s="179">
        <v>33000</v>
      </c>
      <c r="K251" s="179"/>
      <c r="L251" s="46">
        <f t="shared" si="37"/>
        <v>6744418.5599999996</v>
      </c>
    </row>
    <row r="252" spans="2:12" x14ac:dyDescent="0.35">
      <c r="B252" s="99"/>
      <c r="C252" s="100"/>
      <c r="D252" s="62"/>
      <c r="E252" s="61"/>
      <c r="F252" s="64" t="s">
        <v>88</v>
      </c>
      <c r="G252" s="65" t="s">
        <v>262</v>
      </c>
      <c r="H252" s="174">
        <v>158.70815999999999</v>
      </c>
      <c r="I252" s="53" t="s">
        <v>74</v>
      </c>
      <c r="J252" s="179">
        <v>33000</v>
      </c>
      <c r="K252" s="179"/>
      <c r="L252" s="46">
        <f t="shared" si="37"/>
        <v>5237369.2799999993</v>
      </c>
    </row>
    <row r="253" spans="2:12" x14ac:dyDescent="0.35">
      <c r="B253" s="71"/>
      <c r="C253" s="72"/>
      <c r="D253" s="73"/>
      <c r="E253" s="74"/>
      <c r="F253" s="74" t="s">
        <v>88</v>
      </c>
      <c r="G253" s="75" t="s">
        <v>263</v>
      </c>
      <c r="H253" s="76">
        <v>161.42112</v>
      </c>
      <c r="I253" s="75" t="s">
        <v>74</v>
      </c>
      <c r="J253" s="179">
        <v>33000</v>
      </c>
      <c r="K253" s="179"/>
      <c r="L253" s="46">
        <f t="shared" si="37"/>
        <v>5326896.96</v>
      </c>
    </row>
    <row r="254" spans="2:12" x14ac:dyDescent="0.35">
      <c r="B254" s="71"/>
      <c r="C254" s="72"/>
      <c r="D254" s="73"/>
      <c r="E254" s="74"/>
      <c r="F254" s="74" t="s">
        <v>88</v>
      </c>
      <c r="G254" s="75" t="s">
        <v>264</v>
      </c>
      <c r="H254" s="76">
        <v>349.29359999999997</v>
      </c>
      <c r="I254" s="75" t="s">
        <v>74</v>
      </c>
      <c r="J254" s="179">
        <v>33000</v>
      </c>
      <c r="K254" s="179"/>
      <c r="L254" s="46">
        <f t="shared" si="37"/>
        <v>11526688.799999999</v>
      </c>
    </row>
    <row r="255" spans="2:12" x14ac:dyDescent="0.35">
      <c r="B255" s="71"/>
      <c r="C255" s="72"/>
      <c r="D255" s="73"/>
      <c r="E255" s="74"/>
      <c r="F255" s="74" t="s">
        <v>88</v>
      </c>
      <c r="G255" s="75" t="s">
        <v>265</v>
      </c>
      <c r="H255" s="76">
        <v>130.90031999999999</v>
      </c>
      <c r="I255" s="75" t="s">
        <v>74</v>
      </c>
      <c r="J255" s="179">
        <v>33000</v>
      </c>
      <c r="K255" s="179"/>
      <c r="L255" s="46">
        <f t="shared" si="37"/>
        <v>4319710.5599999996</v>
      </c>
    </row>
    <row r="256" spans="2:12" x14ac:dyDescent="0.35">
      <c r="B256" s="71"/>
      <c r="C256" s="72"/>
      <c r="D256" s="73"/>
      <c r="E256" s="74"/>
      <c r="F256" s="74" t="s">
        <v>88</v>
      </c>
      <c r="G256" s="75" t="s">
        <v>266</v>
      </c>
      <c r="H256" s="76">
        <v>204.37631999999999</v>
      </c>
      <c r="I256" s="75" t="s">
        <v>74</v>
      </c>
      <c r="J256" s="179">
        <v>33000</v>
      </c>
      <c r="K256" s="179"/>
      <c r="L256" s="46">
        <f t="shared" si="37"/>
        <v>6744418.5599999996</v>
      </c>
    </row>
    <row r="257" spans="2:12" x14ac:dyDescent="0.35">
      <c r="B257" s="71"/>
      <c r="C257" s="72"/>
      <c r="D257" s="73"/>
      <c r="E257" s="74"/>
      <c r="F257" s="74" t="s">
        <v>88</v>
      </c>
      <c r="G257" s="75" t="s">
        <v>267</v>
      </c>
      <c r="H257" s="76">
        <v>215.52959999999999</v>
      </c>
      <c r="I257" s="75" t="s">
        <v>74</v>
      </c>
      <c r="J257" s="179">
        <v>33000</v>
      </c>
      <c r="K257" s="179"/>
      <c r="L257" s="46">
        <f t="shared" si="37"/>
        <v>7112476.7999999998</v>
      </c>
    </row>
    <row r="258" spans="2:12" x14ac:dyDescent="0.35">
      <c r="B258" s="71"/>
      <c r="C258" s="72"/>
      <c r="D258" s="73"/>
      <c r="E258" s="74"/>
      <c r="F258" s="74" t="s">
        <v>88</v>
      </c>
      <c r="G258" s="75" t="s">
        <v>268</v>
      </c>
      <c r="H258" s="76">
        <v>21.194999999999997</v>
      </c>
      <c r="I258" s="75" t="s">
        <v>74</v>
      </c>
      <c r="J258" s="179">
        <v>33000</v>
      </c>
      <c r="K258" s="179"/>
      <c r="L258" s="46">
        <f t="shared" si="37"/>
        <v>699434.99999999988</v>
      </c>
    </row>
    <row r="259" spans="2:12" x14ac:dyDescent="0.35">
      <c r="B259" s="71"/>
      <c r="C259" s="72"/>
      <c r="D259" s="73"/>
      <c r="E259" s="74"/>
      <c r="F259" s="74" t="s">
        <v>88</v>
      </c>
      <c r="G259" s="75" t="s">
        <v>269</v>
      </c>
      <c r="H259" s="76">
        <v>129.99599999999998</v>
      </c>
      <c r="I259" s="75" t="s">
        <v>74</v>
      </c>
      <c r="J259" s="179">
        <v>33000</v>
      </c>
      <c r="K259" s="179"/>
      <c r="L259" s="46">
        <f t="shared" si="37"/>
        <v>4289867.9999999991</v>
      </c>
    </row>
    <row r="260" spans="2:12" x14ac:dyDescent="0.35">
      <c r="B260" s="71"/>
      <c r="C260" s="72"/>
      <c r="D260" s="73"/>
      <c r="E260" s="74"/>
      <c r="F260" s="74" t="s">
        <v>88</v>
      </c>
      <c r="G260" s="75" t="s">
        <v>270</v>
      </c>
      <c r="H260" s="76">
        <v>63.867599999999996</v>
      </c>
      <c r="I260" s="75" t="s">
        <v>74</v>
      </c>
      <c r="J260" s="179">
        <v>33000</v>
      </c>
      <c r="K260" s="179"/>
      <c r="L260" s="46">
        <f t="shared" si="37"/>
        <v>2107630.7999999998</v>
      </c>
    </row>
    <row r="261" spans="2:12" x14ac:dyDescent="0.35">
      <c r="B261" s="71"/>
      <c r="C261" s="72"/>
      <c r="D261" s="73"/>
      <c r="E261" s="74"/>
      <c r="F261" s="74" t="s">
        <v>88</v>
      </c>
      <c r="G261" s="75" t="s">
        <v>271</v>
      </c>
      <c r="H261" s="76">
        <v>70.649999999999991</v>
      </c>
      <c r="I261" s="75" t="s">
        <v>74</v>
      </c>
      <c r="J261" s="179">
        <v>33000</v>
      </c>
      <c r="K261" s="179"/>
      <c r="L261" s="46">
        <f t="shared" si="37"/>
        <v>2331449.9999999995</v>
      </c>
    </row>
    <row r="262" spans="2:12" x14ac:dyDescent="0.35">
      <c r="B262" s="71"/>
      <c r="C262" s="72"/>
      <c r="D262" s="73"/>
      <c r="E262" s="74"/>
      <c r="F262" s="74" t="s">
        <v>88</v>
      </c>
      <c r="G262" s="75" t="s">
        <v>272</v>
      </c>
      <c r="H262" s="76">
        <v>23.549999999999997</v>
      </c>
      <c r="I262" s="75" t="s">
        <v>74</v>
      </c>
      <c r="J262" s="179">
        <v>33000</v>
      </c>
      <c r="K262" s="179"/>
      <c r="L262" s="46">
        <f t="shared" si="37"/>
        <v>777149.99999999988</v>
      </c>
    </row>
    <row r="263" spans="2:12" x14ac:dyDescent="0.35">
      <c r="B263" s="71"/>
      <c r="C263" s="72"/>
      <c r="D263" s="73"/>
      <c r="E263" s="74"/>
      <c r="F263" s="74" t="s">
        <v>88</v>
      </c>
      <c r="G263" s="75" t="s">
        <v>273</v>
      </c>
      <c r="H263" s="76">
        <v>37.68</v>
      </c>
      <c r="I263" s="75" t="s">
        <v>74</v>
      </c>
      <c r="J263" s="179">
        <v>33000</v>
      </c>
      <c r="K263" s="179"/>
      <c r="L263" s="46">
        <f t="shared" si="37"/>
        <v>1243440</v>
      </c>
    </row>
    <row r="264" spans="2:12" x14ac:dyDescent="0.35">
      <c r="B264" s="71"/>
      <c r="C264" s="72"/>
      <c r="D264" s="73"/>
      <c r="E264" s="74"/>
      <c r="F264" s="74" t="s">
        <v>88</v>
      </c>
      <c r="G264" s="75" t="s">
        <v>274</v>
      </c>
      <c r="H264" s="76">
        <v>37.303199999999997</v>
      </c>
      <c r="I264" s="75" t="s">
        <v>74</v>
      </c>
      <c r="J264" s="179">
        <v>33000</v>
      </c>
      <c r="K264" s="179"/>
      <c r="L264" s="46">
        <f t="shared" si="37"/>
        <v>1231005.5999999999</v>
      </c>
    </row>
    <row r="265" spans="2:12" x14ac:dyDescent="0.35">
      <c r="B265" s="71"/>
      <c r="C265" s="72"/>
      <c r="D265" s="73"/>
      <c r="E265" s="74"/>
      <c r="F265" s="74" t="s">
        <v>88</v>
      </c>
      <c r="G265" s="75" t="s">
        <v>275</v>
      </c>
      <c r="H265" s="76">
        <v>18.84</v>
      </c>
      <c r="I265" s="75" t="s">
        <v>74</v>
      </c>
      <c r="J265" s="179">
        <v>33000</v>
      </c>
      <c r="K265" s="179"/>
      <c r="L265" s="46">
        <f t="shared" si="37"/>
        <v>621720</v>
      </c>
    </row>
    <row r="266" spans="2:12" x14ac:dyDescent="0.35">
      <c r="B266" s="71"/>
      <c r="C266" s="72"/>
      <c r="D266" s="73"/>
      <c r="E266" s="74"/>
      <c r="F266" s="74" t="s">
        <v>88</v>
      </c>
      <c r="G266" s="75" t="s">
        <v>276</v>
      </c>
      <c r="H266" s="76">
        <v>18.84</v>
      </c>
      <c r="I266" s="75" t="s">
        <v>74</v>
      </c>
      <c r="J266" s="179">
        <v>33000</v>
      </c>
      <c r="K266" s="179"/>
      <c r="L266" s="46">
        <f t="shared" si="37"/>
        <v>621720</v>
      </c>
    </row>
    <row r="267" spans="2:12" x14ac:dyDescent="0.35">
      <c r="B267" s="71"/>
      <c r="C267" s="72"/>
      <c r="D267" s="73"/>
      <c r="E267" s="74"/>
      <c r="F267" s="74" t="s">
        <v>88</v>
      </c>
      <c r="G267" s="75" t="s">
        <v>277</v>
      </c>
      <c r="H267" s="76">
        <v>28.259999999999998</v>
      </c>
      <c r="I267" s="75" t="s">
        <v>74</v>
      </c>
      <c r="J267" s="179">
        <v>33000</v>
      </c>
      <c r="K267" s="179"/>
      <c r="L267" s="46">
        <f t="shared" si="37"/>
        <v>932579.99999999988</v>
      </c>
    </row>
    <row r="268" spans="2:12" x14ac:dyDescent="0.35">
      <c r="B268" s="71"/>
      <c r="C268" s="72"/>
      <c r="D268" s="73"/>
      <c r="E268" s="74"/>
      <c r="F268" s="74" t="s">
        <v>88</v>
      </c>
      <c r="G268" s="75" t="s">
        <v>278</v>
      </c>
      <c r="H268" s="76">
        <v>8.1388799999999986</v>
      </c>
      <c r="I268" s="75" t="s">
        <v>74</v>
      </c>
      <c r="J268" s="179">
        <v>33000</v>
      </c>
      <c r="K268" s="179"/>
      <c r="L268" s="46">
        <f t="shared" si="37"/>
        <v>268583.03999999998</v>
      </c>
    </row>
    <row r="269" spans="2:12" x14ac:dyDescent="0.35">
      <c r="B269" s="71"/>
      <c r="C269" s="72"/>
      <c r="D269" s="73"/>
      <c r="E269" s="74"/>
      <c r="F269" s="74" t="s">
        <v>88</v>
      </c>
      <c r="G269" s="75" t="s">
        <v>279</v>
      </c>
      <c r="H269" s="76">
        <v>8.1388799999999986</v>
      </c>
      <c r="I269" s="75" t="s">
        <v>74</v>
      </c>
      <c r="J269" s="179">
        <v>33000</v>
      </c>
      <c r="K269" s="179"/>
      <c r="L269" s="46">
        <f t="shared" si="37"/>
        <v>268583.03999999998</v>
      </c>
    </row>
    <row r="270" spans="2:12" x14ac:dyDescent="0.35">
      <c r="B270" s="71"/>
      <c r="C270" s="72"/>
      <c r="D270" s="73"/>
      <c r="E270" s="74"/>
      <c r="F270" s="74" t="s">
        <v>88</v>
      </c>
      <c r="G270" s="75" t="s">
        <v>240</v>
      </c>
      <c r="H270" s="76">
        <v>15.192575999999999</v>
      </c>
      <c r="I270" s="75" t="s">
        <v>74</v>
      </c>
      <c r="J270" s="179">
        <v>33000</v>
      </c>
      <c r="K270" s="179"/>
      <c r="L270" s="46">
        <f t="shared" si="37"/>
        <v>501355.00799999997</v>
      </c>
    </row>
    <row r="271" spans="2:12" x14ac:dyDescent="0.35">
      <c r="B271" s="71"/>
      <c r="C271" s="72"/>
      <c r="D271" s="73"/>
      <c r="E271" s="74"/>
      <c r="F271" s="74" t="s">
        <v>88</v>
      </c>
      <c r="G271" s="75" t="s">
        <v>280</v>
      </c>
      <c r="H271" s="76">
        <v>2.1703679999999999</v>
      </c>
      <c r="I271" s="75" t="s">
        <v>74</v>
      </c>
      <c r="J271" s="179">
        <v>33000</v>
      </c>
      <c r="K271" s="179"/>
      <c r="L271" s="46">
        <f t="shared" si="37"/>
        <v>71622.144</v>
      </c>
    </row>
    <row r="272" spans="2:12" x14ac:dyDescent="0.35">
      <c r="B272" s="79"/>
      <c r="C272" s="80"/>
      <c r="D272" s="81"/>
      <c r="E272" s="82"/>
      <c r="F272" s="82"/>
      <c r="G272" s="83"/>
      <c r="H272" s="84"/>
      <c r="I272" s="83"/>
      <c r="J272" s="50"/>
      <c r="K272" s="29"/>
      <c r="L272" s="52"/>
    </row>
    <row r="273" spans="2:12" x14ac:dyDescent="0.35">
      <c r="B273" s="47"/>
      <c r="C273" s="48"/>
      <c r="D273" s="24"/>
      <c r="G273" s="22"/>
      <c r="I273" s="22"/>
      <c r="J273" s="50"/>
      <c r="K273" s="29"/>
      <c r="L273" s="52"/>
    </row>
    <row r="274" spans="2:12" x14ac:dyDescent="0.35">
      <c r="B274" s="8"/>
      <c r="C274" s="9"/>
      <c r="D274" s="10"/>
      <c r="E274" s="4"/>
      <c r="F274" s="4"/>
      <c r="G274" s="4"/>
      <c r="H274" s="1"/>
      <c r="I274" s="1"/>
      <c r="J274" s="11" t="s">
        <v>8</v>
      </c>
      <c r="K274" s="7">
        <f>SUM(K221:K273)</f>
        <v>0</v>
      </c>
      <c r="L274" s="7">
        <f>SUM(L221:L273)</f>
        <v>153733823.49599999</v>
      </c>
    </row>
    <row r="275" spans="2:12" x14ac:dyDescent="0.35">
      <c r="B275" s="8"/>
      <c r="C275" s="9"/>
      <c r="D275" s="9"/>
      <c r="E275" s="4"/>
      <c r="F275" s="4"/>
      <c r="G275" s="4"/>
      <c r="H275" s="1"/>
      <c r="I275" s="1"/>
      <c r="J275" s="11"/>
      <c r="K275" s="35" t="s">
        <v>22</v>
      </c>
      <c r="L275" s="36" t="s">
        <v>23</v>
      </c>
    </row>
    <row r="276" spans="2:12" x14ac:dyDescent="0.35">
      <c r="B276" s="3" t="s">
        <v>9</v>
      </c>
      <c r="C276" s="4"/>
      <c r="D276" s="4"/>
      <c r="E276" s="4"/>
      <c r="F276" s="4"/>
      <c r="G276" s="4"/>
      <c r="H276" s="1"/>
      <c r="I276" s="1"/>
      <c r="J276" s="12"/>
      <c r="K276" s="12"/>
      <c r="L276" s="13"/>
    </row>
    <row r="277" spans="2:12" x14ac:dyDescent="0.35">
      <c r="B277" s="37"/>
      <c r="C277" s="1"/>
      <c r="D277" s="1"/>
      <c r="E277" s="38"/>
      <c r="F277" s="38"/>
      <c r="G277" s="38"/>
      <c r="H277" s="1"/>
      <c r="I277" s="1"/>
      <c r="J277" s="1"/>
      <c r="K277" s="1"/>
      <c r="L277" s="19"/>
    </row>
    <row r="278" spans="2:12" x14ac:dyDescent="0.35">
      <c r="B278" s="28" t="s">
        <v>6</v>
      </c>
      <c r="C278" s="27"/>
      <c r="D278" s="27"/>
      <c r="E278" s="26"/>
      <c r="F278" s="26"/>
      <c r="G278" s="5"/>
      <c r="K278" s="232" t="s">
        <v>378</v>
      </c>
      <c r="L278" s="233"/>
    </row>
    <row r="279" spans="2:12" x14ac:dyDescent="0.35">
      <c r="B279" s="28">
        <v>1</v>
      </c>
      <c r="C279" s="27"/>
      <c r="D279" s="27"/>
      <c r="E279" s="26" t="s">
        <v>7</v>
      </c>
      <c r="F279" s="26"/>
      <c r="G279" s="5"/>
      <c r="K279" s="232" t="s">
        <v>28</v>
      </c>
      <c r="L279" s="233"/>
    </row>
    <row r="280" spans="2:12" x14ac:dyDescent="0.35">
      <c r="B280" s="39"/>
      <c r="C280" s="27"/>
      <c r="D280" s="27"/>
      <c r="E280" s="26"/>
      <c r="F280" s="26"/>
      <c r="G280" s="5"/>
      <c r="J280" s="25"/>
      <c r="K280" s="25"/>
      <c r="L280" s="24"/>
    </row>
    <row r="281" spans="2:12" x14ac:dyDescent="0.35">
      <c r="B281" s="28"/>
      <c r="C281" s="27"/>
      <c r="D281" s="27"/>
      <c r="E281" s="26"/>
      <c r="F281" s="26"/>
      <c r="G281" s="5"/>
      <c r="L281" s="22"/>
    </row>
    <row r="282" spans="2:12" x14ac:dyDescent="0.35">
      <c r="B282" s="45"/>
      <c r="E282" s="5"/>
      <c r="F282" s="5"/>
      <c r="G282" s="5"/>
      <c r="L282" s="22"/>
    </row>
    <row r="283" spans="2:12" x14ac:dyDescent="0.35">
      <c r="B283" s="45"/>
      <c r="E283" s="5"/>
      <c r="F283" s="5"/>
      <c r="G283" s="5"/>
      <c r="L283" s="22"/>
    </row>
    <row r="284" spans="2:12" x14ac:dyDescent="0.35">
      <c r="B284" s="45"/>
      <c r="E284" s="5"/>
      <c r="F284" s="5"/>
      <c r="G284" s="5"/>
      <c r="L284" s="22"/>
    </row>
    <row r="285" spans="2:12" x14ac:dyDescent="0.35">
      <c r="B285" s="45"/>
      <c r="E285" s="5"/>
      <c r="F285" s="5"/>
      <c r="G285" s="5"/>
      <c r="J285" s="40"/>
      <c r="K285" s="234" t="s">
        <v>36</v>
      </c>
      <c r="L285" s="235"/>
    </row>
    <row r="286" spans="2:12" x14ac:dyDescent="0.35">
      <c r="B286" s="45"/>
      <c r="K286" s="236" t="s">
        <v>37</v>
      </c>
      <c r="L286" s="237"/>
    </row>
    <row r="287" spans="2:12" x14ac:dyDescent="0.35">
      <c r="B287" s="238"/>
      <c r="C287" s="239"/>
      <c r="D287" s="239"/>
      <c r="E287" s="41"/>
      <c r="F287" s="41"/>
      <c r="G287" s="41"/>
      <c r="H287" s="2"/>
      <c r="I287" s="2"/>
      <c r="J287" s="2"/>
      <c r="K287" s="2"/>
      <c r="L287" s="21"/>
    </row>
    <row r="288" spans="2:12" x14ac:dyDescent="0.35">
      <c r="B288" s="47"/>
      <c r="C288" s="48"/>
      <c r="D288" s="49"/>
      <c r="G288" s="22"/>
      <c r="H288" s="1"/>
      <c r="I288" s="1"/>
      <c r="J288" s="43"/>
      <c r="K288" s="30"/>
      <c r="L288" s="44"/>
    </row>
    <row r="289" spans="2:12" x14ac:dyDescent="0.35">
      <c r="B289" s="71"/>
      <c r="C289" s="72"/>
      <c r="D289" s="73" t="s">
        <v>48</v>
      </c>
      <c r="E289" s="74"/>
      <c r="F289" s="74" t="s">
        <v>108</v>
      </c>
      <c r="G289" s="75"/>
      <c r="H289" s="78"/>
      <c r="I289" s="75"/>
      <c r="J289" s="29"/>
      <c r="K289" s="51"/>
      <c r="L289" s="46"/>
    </row>
    <row r="290" spans="2:12" x14ac:dyDescent="0.35">
      <c r="B290" s="71"/>
      <c r="C290" s="72"/>
      <c r="D290" s="73"/>
      <c r="E290" s="74"/>
      <c r="F290" s="74" t="s">
        <v>88</v>
      </c>
      <c r="G290" s="75" t="s">
        <v>281</v>
      </c>
      <c r="H290" s="76">
        <v>96.887839999999983</v>
      </c>
      <c r="I290" s="75" t="s">
        <v>74</v>
      </c>
      <c r="J290" s="179">
        <v>33000</v>
      </c>
      <c r="K290" s="179"/>
      <c r="L290" s="46">
        <f t="shared" ref="L290:L313" si="38">J290*H290</f>
        <v>3197298.7199999993</v>
      </c>
    </row>
    <row r="291" spans="2:12" x14ac:dyDescent="0.35">
      <c r="B291" s="71"/>
      <c r="C291" s="72"/>
      <c r="D291" s="73"/>
      <c r="E291" s="74"/>
      <c r="F291" s="74" t="s">
        <v>88</v>
      </c>
      <c r="G291" s="75" t="s">
        <v>282</v>
      </c>
      <c r="H291" s="76">
        <v>18.237119999999997</v>
      </c>
      <c r="I291" s="75" t="s">
        <v>74</v>
      </c>
      <c r="J291" s="179">
        <v>33000</v>
      </c>
      <c r="K291" s="179"/>
      <c r="L291" s="46">
        <f t="shared" si="38"/>
        <v>601824.96</v>
      </c>
    </row>
    <row r="292" spans="2:12" x14ac:dyDescent="0.35">
      <c r="B292" s="71"/>
      <c r="C292" s="72"/>
      <c r="D292" s="73"/>
      <c r="E292" s="74"/>
      <c r="F292" s="74" t="s">
        <v>88</v>
      </c>
      <c r="G292" s="75" t="s">
        <v>283</v>
      </c>
      <c r="H292" s="76">
        <v>15.497999999999999</v>
      </c>
      <c r="I292" s="75" t="s">
        <v>74</v>
      </c>
      <c r="J292" s="179">
        <v>33000</v>
      </c>
      <c r="K292" s="179"/>
      <c r="L292" s="46">
        <f t="shared" si="38"/>
        <v>511434</v>
      </c>
    </row>
    <row r="293" spans="2:12" x14ac:dyDescent="0.35">
      <c r="B293" s="71"/>
      <c r="C293" s="72"/>
      <c r="D293" s="73"/>
      <c r="E293" s="74"/>
      <c r="F293" s="74" t="s">
        <v>88</v>
      </c>
      <c r="G293" s="75" t="s">
        <v>284</v>
      </c>
      <c r="H293" s="76">
        <v>9.7214399999999994</v>
      </c>
      <c r="I293" s="75" t="s">
        <v>74</v>
      </c>
      <c r="J293" s="179">
        <v>33000</v>
      </c>
      <c r="K293" s="179"/>
      <c r="L293" s="46">
        <f t="shared" si="38"/>
        <v>320807.51999999996</v>
      </c>
    </row>
    <row r="294" spans="2:12" x14ac:dyDescent="0.35">
      <c r="B294" s="71"/>
      <c r="C294" s="72"/>
      <c r="D294" s="73"/>
      <c r="E294" s="74"/>
      <c r="F294" s="74" t="s">
        <v>88</v>
      </c>
      <c r="G294" s="75" t="s">
        <v>285</v>
      </c>
      <c r="H294" s="76">
        <v>33.911999999999999</v>
      </c>
      <c r="I294" s="75" t="s">
        <v>74</v>
      </c>
      <c r="J294" s="179">
        <v>33000</v>
      </c>
      <c r="K294" s="179"/>
      <c r="L294" s="46">
        <f t="shared" si="38"/>
        <v>1119096</v>
      </c>
    </row>
    <row r="295" spans="2:12" x14ac:dyDescent="0.35">
      <c r="B295" s="71"/>
      <c r="C295" s="72"/>
      <c r="D295" s="73"/>
      <c r="E295" s="74"/>
      <c r="F295" s="74" t="s">
        <v>88</v>
      </c>
      <c r="G295" s="75" t="s">
        <v>286</v>
      </c>
      <c r="H295" s="76">
        <v>13.5648</v>
      </c>
      <c r="I295" s="75" t="s">
        <v>74</v>
      </c>
      <c r="J295" s="179">
        <v>33000</v>
      </c>
      <c r="K295" s="179"/>
      <c r="L295" s="46">
        <f t="shared" si="38"/>
        <v>447638.4</v>
      </c>
    </row>
    <row r="296" spans="2:12" x14ac:dyDescent="0.35">
      <c r="B296" s="71"/>
      <c r="C296" s="72"/>
      <c r="D296" s="73"/>
      <c r="E296" s="74"/>
      <c r="F296" s="74" t="s">
        <v>88</v>
      </c>
      <c r="G296" s="75" t="s">
        <v>287</v>
      </c>
      <c r="H296" s="76">
        <v>613.12896000000001</v>
      </c>
      <c r="I296" s="75" t="s">
        <v>74</v>
      </c>
      <c r="J296" s="179">
        <v>33000</v>
      </c>
      <c r="K296" s="179"/>
      <c r="L296" s="46">
        <f t="shared" si="38"/>
        <v>20233255.68</v>
      </c>
    </row>
    <row r="297" spans="2:12" x14ac:dyDescent="0.35">
      <c r="B297" s="71"/>
      <c r="C297" s="72"/>
      <c r="D297" s="73"/>
      <c r="E297" s="74"/>
      <c r="F297" s="74" t="s">
        <v>88</v>
      </c>
      <c r="G297" s="75" t="s">
        <v>288</v>
      </c>
      <c r="H297" s="76">
        <v>463.46399999999994</v>
      </c>
      <c r="I297" s="75" t="s">
        <v>74</v>
      </c>
      <c r="J297" s="179">
        <v>33000</v>
      </c>
      <c r="K297" s="179"/>
      <c r="L297" s="46">
        <f t="shared" si="38"/>
        <v>15294311.999999998</v>
      </c>
    </row>
    <row r="298" spans="2:12" x14ac:dyDescent="0.35">
      <c r="B298" s="71"/>
      <c r="C298" s="72"/>
      <c r="D298" s="73"/>
      <c r="E298" s="74"/>
      <c r="F298" s="74" t="s">
        <v>88</v>
      </c>
      <c r="G298" s="75" t="s">
        <v>266</v>
      </c>
      <c r="H298" s="76">
        <v>204.37631999999999</v>
      </c>
      <c r="I298" s="75" t="s">
        <v>74</v>
      </c>
      <c r="J298" s="179">
        <v>33000</v>
      </c>
      <c r="K298" s="179"/>
      <c r="L298" s="46">
        <f t="shared" si="38"/>
        <v>6744418.5599999996</v>
      </c>
    </row>
    <row r="299" spans="2:12" x14ac:dyDescent="0.35">
      <c r="B299" s="71"/>
      <c r="C299" s="72"/>
      <c r="D299" s="73"/>
      <c r="E299" s="74"/>
      <c r="F299" s="74" t="s">
        <v>88</v>
      </c>
      <c r="G299" s="75" t="s">
        <v>289</v>
      </c>
      <c r="H299" s="76">
        <v>297.42079999999999</v>
      </c>
      <c r="I299" s="75" t="s">
        <v>74</v>
      </c>
      <c r="J299" s="179">
        <v>33000</v>
      </c>
      <c r="K299" s="179"/>
      <c r="L299" s="46">
        <f t="shared" si="38"/>
        <v>9814886.4000000004</v>
      </c>
    </row>
    <row r="300" spans="2:12" x14ac:dyDescent="0.35">
      <c r="B300" s="71"/>
      <c r="C300" s="72"/>
      <c r="D300" s="73"/>
      <c r="E300" s="74"/>
      <c r="F300" s="74" t="s">
        <v>88</v>
      </c>
      <c r="G300" s="75" t="s">
        <v>290</v>
      </c>
      <c r="H300" s="76">
        <v>22.608000000000001</v>
      </c>
      <c r="I300" s="75" t="s">
        <v>74</v>
      </c>
      <c r="J300" s="179">
        <v>33000</v>
      </c>
      <c r="K300" s="179"/>
      <c r="L300" s="46">
        <f t="shared" si="38"/>
        <v>746064</v>
      </c>
    </row>
    <row r="301" spans="2:12" x14ac:dyDescent="0.35">
      <c r="B301" s="71"/>
      <c r="C301" s="72"/>
      <c r="D301" s="73"/>
      <c r="E301" s="74"/>
      <c r="F301" s="74" t="s">
        <v>88</v>
      </c>
      <c r="G301" s="75" t="s">
        <v>291</v>
      </c>
      <c r="H301" s="76">
        <v>204.37631999999999</v>
      </c>
      <c r="I301" s="75" t="s">
        <v>74</v>
      </c>
      <c r="J301" s="179">
        <v>33000</v>
      </c>
      <c r="K301" s="179"/>
      <c r="L301" s="46">
        <f t="shared" si="38"/>
        <v>6744418.5599999996</v>
      </c>
    </row>
    <row r="302" spans="2:12" x14ac:dyDescent="0.35">
      <c r="B302" s="71"/>
      <c r="C302" s="72"/>
      <c r="D302" s="73"/>
      <c r="E302" s="74"/>
      <c r="F302" s="74" t="s">
        <v>88</v>
      </c>
      <c r="G302" s="75" t="s">
        <v>292</v>
      </c>
      <c r="H302" s="76">
        <v>259.99199999999996</v>
      </c>
      <c r="I302" s="75" t="s">
        <v>74</v>
      </c>
      <c r="J302" s="179">
        <v>33000</v>
      </c>
      <c r="K302" s="179"/>
      <c r="L302" s="46">
        <f t="shared" si="38"/>
        <v>8579735.9999999981</v>
      </c>
    </row>
    <row r="303" spans="2:12" x14ac:dyDescent="0.35">
      <c r="B303" s="71"/>
      <c r="C303" s="72"/>
      <c r="D303" s="73"/>
      <c r="E303" s="74"/>
      <c r="F303" s="74" t="s">
        <v>88</v>
      </c>
      <c r="G303" s="75" t="s">
        <v>293</v>
      </c>
      <c r="H303" s="76">
        <v>56.519999999999996</v>
      </c>
      <c r="I303" s="75" t="s">
        <v>74</v>
      </c>
      <c r="J303" s="179">
        <v>33000</v>
      </c>
      <c r="K303" s="179"/>
      <c r="L303" s="46">
        <f t="shared" si="38"/>
        <v>1865159.9999999998</v>
      </c>
    </row>
    <row r="304" spans="2:12" x14ac:dyDescent="0.35">
      <c r="B304" s="71"/>
      <c r="C304" s="72"/>
      <c r="D304" s="73"/>
      <c r="E304" s="74"/>
      <c r="F304" s="74" t="s">
        <v>88</v>
      </c>
      <c r="G304" s="75" t="s">
        <v>294</v>
      </c>
      <c r="H304" s="76">
        <v>70.649999999999991</v>
      </c>
      <c r="I304" s="75" t="s">
        <v>74</v>
      </c>
      <c r="J304" s="179">
        <v>33000</v>
      </c>
      <c r="K304" s="179"/>
      <c r="L304" s="46">
        <f t="shared" si="38"/>
        <v>2331449.9999999995</v>
      </c>
    </row>
    <row r="305" spans="2:12" x14ac:dyDescent="0.35">
      <c r="B305" s="71"/>
      <c r="C305" s="72"/>
      <c r="D305" s="73"/>
      <c r="E305" s="74"/>
      <c r="F305" s="74" t="s">
        <v>88</v>
      </c>
      <c r="G305" s="75" t="s">
        <v>273</v>
      </c>
      <c r="H305" s="76">
        <v>37.68</v>
      </c>
      <c r="I305" s="75" t="s">
        <v>74</v>
      </c>
      <c r="J305" s="179">
        <v>33000</v>
      </c>
      <c r="K305" s="179"/>
      <c r="L305" s="46">
        <f t="shared" si="38"/>
        <v>1243440</v>
      </c>
    </row>
    <row r="306" spans="2:12" x14ac:dyDescent="0.35">
      <c r="B306" s="71"/>
      <c r="C306" s="72"/>
      <c r="D306" s="73"/>
      <c r="E306" s="74"/>
      <c r="F306" s="74" t="s">
        <v>88</v>
      </c>
      <c r="G306" s="75" t="s">
        <v>295</v>
      </c>
      <c r="H306" s="76">
        <v>49.737599999999993</v>
      </c>
      <c r="I306" s="75" t="s">
        <v>74</v>
      </c>
      <c r="J306" s="179">
        <v>33000</v>
      </c>
      <c r="K306" s="179"/>
      <c r="L306" s="46">
        <f t="shared" si="38"/>
        <v>1641340.7999999998</v>
      </c>
    </row>
    <row r="307" spans="2:12" x14ac:dyDescent="0.35">
      <c r="B307" s="71"/>
      <c r="C307" s="72"/>
      <c r="D307" s="73"/>
      <c r="E307" s="74"/>
      <c r="F307" s="74" t="s">
        <v>88</v>
      </c>
      <c r="G307" s="75" t="s">
        <v>296</v>
      </c>
      <c r="H307" s="76">
        <v>23.549999999999997</v>
      </c>
      <c r="I307" s="75" t="s">
        <v>74</v>
      </c>
      <c r="J307" s="179">
        <v>33000</v>
      </c>
      <c r="K307" s="179"/>
      <c r="L307" s="46">
        <f t="shared" si="38"/>
        <v>777149.99999999988</v>
      </c>
    </row>
    <row r="308" spans="2:12" x14ac:dyDescent="0.35">
      <c r="B308" s="71"/>
      <c r="C308" s="72"/>
      <c r="D308" s="73"/>
      <c r="E308" s="74"/>
      <c r="F308" s="74" t="s">
        <v>88</v>
      </c>
      <c r="G308" s="75" t="s">
        <v>297</v>
      </c>
      <c r="H308" s="76">
        <v>23.549999999999997</v>
      </c>
      <c r="I308" s="75" t="s">
        <v>74</v>
      </c>
      <c r="J308" s="179">
        <v>33000</v>
      </c>
      <c r="K308" s="179"/>
      <c r="L308" s="46">
        <f t="shared" si="38"/>
        <v>777149.99999999988</v>
      </c>
    </row>
    <row r="309" spans="2:12" x14ac:dyDescent="0.35">
      <c r="B309" s="71"/>
      <c r="C309" s="72"/>
      <c r="D309" s="73"/>
      <c r="E309" s="74"/>
      <c r="F309" s="74" t="s">
        <v>88</v>
      </c>
      <c r="G309" s="75" t="s">
        <v>298</v>
      </c>
      <c r="H309" s="76">
        <v>18.84</v>
      </c>
      <c r="I309" s="75" t="s">
        <v>74</v>
      </c>
      <c r="J309" s="179">
        <v>33000</v>
      </c>
      <c r="K309" s="179"/>
      <c r="L309" s="46">
        <f t="shared" si="38"/>
        <v>621720</v>
      </c>
    </row>
    <row r="310" spans="2:12" x14ac:dyDescent="0.35">
      <c r="B310" s="71"/>
      <c r="C310" s="72"/>
      <c r="D310" s="73"/>
      <c r="E310" s="74"/>
      <c r="F310" s="74" t="s">
        <v>88</v>
      </c>
      <c r="G310" s="75" t="s">
        <v>299</v>
      </c>
      <c r="H310" s="175">
        <v>28.259999999999998</v>
      </c>
      <c r="I310" s="75" t="s">
        <v>74</v>
      </c>
      <c r="J310" s="179">
        <v>33000</v>
      </c>
      <c r="K310" s="179"/>
      <c r="L310" s="46">
        <f t="shared" si="38"/>
        <v>932579.99999999988</v>
      </c>
    </row>
    <row r="311" spans="2:12" x14ac:dyDescent="0.35">
      <c r="B311" s="71"/>
      <c r="C311" s="72"/>
      <c r="D311" s="73"/>
      <c r="E311" s="74"/>
      <c r="F311" s="74" t="s">
        <v>88</v>
      </c>
      <c r="G311" s="75" t="s">
        <v>300</v>
      </c>
      <c r="H311" s="175">
        <v>10.851839999999997</v>
      </c>
      <c r="I311" s="75" t="s">
        <v>74</v>
      </c>
      <c r="J311" s="179">
        <v>33000</v>
      </c>
      <c r="K311" s="179"/>
      <c r="L311" s="46">
        <f t="shared" si="38"/>
        <v>358110.71999999991</v>
      </c>
    </row>
    <row r="312" spans="2:12" x14ac:dyDescent="0.35">
      <c r="B312" s="71"/>
      <c r="C312" s="72"/>
      <c r="D312" s="73"/>
      <c r="E312" s="74"/>
      <c r="F312" s="74" t="s">
        <v>88</v>
      </c>
      <c r="G312" s="75" t="s">
        <v>301</v>
      </c>
      <c r="H312" s="175">
        <v>12.660479999999998</v>
      </c>
      <c r="I312" s="75" t="s">
        <v>74</v>
      </c>
      <c r="J312" s="179">
        <v>33000</v>
      </c>
      <c r="K312" s="179"/>
      <c r="L312" s="46">
        <f t="shared" si="38"/>
        <v>417795.83999999991</v>
      </c>
    </row>
    <row r="313" spans="2:12" x14ac:dyDescent="0.35">
      <c r="B313" s="71"/>
      <c r="C313" s="72"/>
      <c r="D313" s="73"/>
      <c r="E313" s="74"/>
      <c r="F313" s="74" t="s">
        <v>88</v>
      </c>
      <c r="G313" s="75" t="s">
        <v>107</v>
      </c>
      <c r="H313" s="76">
        <v>17.362943999999999</v>
      </c>
      <c r="I313" s="75" t="s">
        <v>74</v>
      </c>
      <c r="J313" s="179">
        <v>33000</v>
      </c>
      <c r="K313" s="179"/>
      <c r="L313" s="46">
        <f t="shared" si="38"/>
        <v>572977.152</v>
      </c>
    </row>
    <row r="314" spans="2:12" x14ac:dyDescent="0.35">
      <c r="B314" s="71"/>
      <c r="C314" s="72"/>
      <c r="D314" s="73" t="s">
        <v>49</v>
      </c>
      <c r="E314" s="74"/>
      <c r="F314" s="74" t="s">
        <v>109</v>
      </c>
      <c r="G314" s="74"/>
      <c r="H314" s="135"/>
      <c r="I314" s="75"/>
      <c r="J314" s="50"/>
      <c r="K314" s="29"/>
      <c r="L314" s="52"/>
    </row>
    <row r="315" spans="2:12" x14ac:dyDescent="0.35">
      <c r="B315" s="71"/>
      <c r="C315" s="72"/>
      <c r="D315" s="73"/>
      <c r="E315" s="74"/>
      <c r="F315" s="74" t="s">
        <v>88</v>
      </c>
      <c r="G315" s="74" t="s">
        <v>302</v>
      </c>
      <c r="H315" s="175">
        <v>105.97499999999998</v>
      </c>
      <c r="I315" s="75" t="s">
        <v>74</v>
      </c>
      <c r="J315" s="179">
        <v>33000</v>
      </c>
      <c r="K315" s="179"/>
      <c r="L315" s="46">
        <f t="shared" ref="L315:L338" si="39">J315*H315</f>
        <v>3497174.9999999995</v>
      </c>
    </row>
    <row r="316" spans="2:12" x14ac:dyDescent="0.35">
      <c r="B316" s="71"/>
      <c r="C316" s="72"/>
      <c r="D316" s="73"/>
      <c r="E316" s="74"/>
      <c r="F316" s="74" t="s">
        <v>88</v>
      </c>
      <c r="G316" s="74" t="s">
        <v>303</v>
      </c>
      <c r="H316" s="175">
        <v>13.564799999999998</v>
      </c>
      <c r="I316" s="75" t="s">
        <v>74</v>
      </c>
      <c r="J316" s="179">
        <v>33000</v>
      </c>
      <c r="K316" s="179"/>
      <c r="L316" s="46">
        <f t="shared" si="39"/>
        <v>447638.39999999997</v>
      </c>
    </row>
    <row r="317" spans="2:12" x14ac:dyDescent="0.35">
      <c r="B317" s="136"/>
      <c r="C317" s="137"/>
      <c r="D317" s="138"/>
      <c r="E317" s="137"/>
      <c r="F317" s="139" t="s">
        <v>88</v>
      </c>
      <c r="G317" s="140" t="s">
        <v>304</v>
      </c>
      <c r="H317" s="176">
        <v>20.57328</v>
      </c>
      <c r="I317" s="141" t="s">
        <v>74</v>
      </c>
      <c r="J317" s="179">
        <v>33000</v>
      </c>
      <c r="K317" s="179"/>
      <c r="L317" s="46">
        <f t="shared" si="39"/>
        <v>678918.24</v>
      </c>
    </row>
    <row r="318" spans="2:12" x14ac:dyDescent="0.35">
      <c r="B318" s="136"/>
      <c r="C318" s="137"/>
      <c r="D318" s="142"/>
      <c r="E318" s="137"/>
      <c r="F318" s="137" t="s">
        <v>88</v>
      </c>
      <c r="G318" s="143" t="s">
        <v>305</v>
      </c>
      <c r="H318" s="176">
        <v>17.182079999999999</v>
      </c>
      <c r="I318" s="144" t="s">
        <v>74</v>
      </c>
      <c r="J318" s="179">
        <v>33000</v>
      </c>
      <c r="K318" s="179"/>
      <c r="L318" s="46">
        <f t="shared" si="39"/>
        <v>567008.64</v>
      </c>
    </row>
    <row r="319" spans="2:12" x14ac:dyDescent="0.35">
      <c r="B319" s="136"/>
      <c r="C319" s="137"/>
      <c r="D319" s="142"/>
      <c r="E319" s="137"/>
      <c r="F319" s="137" t="s">
        <v>88</v>
      </c>
      <c r="G319" s="143" t="s">
        <v>306</v>
      </c>
      <c r="H319" s="176">
        <v>6.7824</v>
      </c>
      <c r="I319" s="144" t="s">
        <v>74</v>
      </c>
      <c r="J319" s="179">
        <v>33000</v>
      </c>
      <c r="K319" s="179"/>
      <c r="L319" s="46">
        <f t="shared" si="39"/>
        <v>223819.2</v>
      </c>
    </row>
    <row r="320" spans="2:12" x14ac:dyDescent="0.35">
      <c r="B320" s="136"/>
      <c r="C320" s="137"/>
      <c r="D320" s="142"/>
      <c r="E320" s="137"/>
      <c r="F320" s="137" t="s">
        <v>88</v>
      </c>
      <c r="G320" s="143" t="s">
        <v>287</v>
      </c>
      <c r="H320" s="176">
        <v>613.12896000000001</v>
      </c>
      <c r="I320" s="144" t="s">
        <v>74</v>
      </c>
      <c r="J320" s="179">
        <v>33000</v>
      </c>
      <c r="K320" s="179"/>
      <c r="L320" s="46">
        <f t="shared" si="39"/>
        <v>20233255.68</v>
      </c>
    </row>
    <row r="321" spans="2:12" x14ac:dyDescent="0.35">
      <c r="B321" s="136"/>
      <c r="C321" s="137"/>
      <c r="D321" s="138"/>
      <c r="E321" s="137"/>
      <c r="F321" s="145" t="s">
        <v>88</v>
      </c>
      <c r="G321" s="146" t="s">
        <v>288</v>
      </c>
      <c r="H321" s="176">
        <v>463.46399999999994</v>
      </c>
      <c r="I321" s="141" t="s">
        <v>74</v>
      </c>
      <c r="J321" s="179">
        <v>33000</v>
      </c>
      <c r="K321" s="179"/>
      <c r="L321" s="46">
        <f t="shared" si="39"/>
        <v>15294311.999999998</v>
      </c>
    </row>
    <row r="322" spans="2:12" x14ac:dyDescent="0.35">
      <c r="B322" s="136"/>
      <c r="C322" s="137"/>
      <c r="D322" s="138"/>
      <c r="E322" s="137"/>
      <c r="F322" s="139" t="s">
        <v>88</v>
      </c>
      <c r="G322" s="146" t="s">
        <v>266</v>
      </c>
      <c r="H322" s="176">
        <v>204.37631999999999</v>
      </c>
      <c r="I322" s="141" t="s">
        <v>74</v>
      </c>
      <c r="J322" s="179">
        <v>33000</v>
      </c>
      <c r="K322" s="179"/>
      <c r="L322" s="46">
        <f t="shared" si="39"/>
        <v>6744418.5599999996</v>
      </c>
    </row>
    <row r="323" spans="2:12" x14ac:dyDescent="0.35">
      <c r="B323" s="71"/>
      <c r="C323" s="72"/>
      <c r="D323" s="73"/>
      <c r="E323" s="74"/>
      <c r="F323" s="74" t="s">
        <v>88</v>
      </c>
      <c r="G323" s="74" t="s">
        <v>307</v>
      </c>
      <c r="H323" s="175">
        <v>175.11779999999999</v>
      </c>
      <c r="I323" s="147" t="s">
        <v>74</v>
      </c>
      <c r="J323" s="179">
        <v>33000</v>
      </c>
      <c r="K323" s="179"/>
      <c r="L323" s="46">
        <f t="shared" si="39"/>
        <v>5778887.3999999994</v>
      </c>
    </row>
    <row r="324" spans="2:12" x14ac:dyDescent="0.35">
      <c r="B324" s="71"/>
      <c r="C324" s="72"/>
      <c r="D324" s="73"/>
      <c r="E324" s="74"/>
      <c r="F324" s="74" t="s">
        <v>88</v>
      </c>
      <c r="G324" s="74" t="s">
        <v>308</v>
      </c>
      <c r="H324" s="175">
        <v>72.96575</v>
      </c>
      <c r="I324" s="147" t="s">
        <v>74</v>
      </c>
      <c r="J324" s="179">
        <v>33000</v>
      </c>
      <c r="K324" s="179"/>
      <c r="L324" s="46">
        <f t="shared" si="39"/>
        <v>2407869.75</v>
      </c>
    </row>
    <row r="325" spans="2:12" x14ac:dyDescent="0.35">
      <c r="B325" s="71"/>
      <c r="C325" s="72"/>
      <c r="D325" s="73"/>
      <c r="E325" s="74"/>
      <c r="F325" s="74" t="s">
        <v>88</v>
      </c>
      <c r="G325" s="74" t="s">
        <v>290</v>
      </c>
      <c r="H325" s="175">
        <v>22.608000000000001</v>
      </c>
      <c r="I325" s="75" t="s">
        <v>74</v>
      </c>
      <c r="J325" s="179">
        <v>33000</v>
      </c>
      <c r="K325" s="179"/>
      <c r="L325" s="46">
        <f t="shared" si="39"/>
        <v>746064</v>
      </c>
    </row>
    <row r="326" spans="2:12" x14ac:dyDescent="0.35">
      <c r="B326" s="71"/>
      <c r="C326" s="72"/>
      <c r="D326" s="73"/>
      <c r="E326" s="74"/>
      <c r="F326" s="74" t="s">
        <v>88</v>
      </c>
      <c r="G326" s="74" t="s">
        <v>291</v>
      </c>
      <c r="H326" s="175">
        <v>204.37631999999999</v>
      </c>
      <c r="I326" s="75" t="s">
        <v>74</v>
      </c>
      <c r="J326" s="179">
        <v>33000</v>
      </c>
      <c r="K326" s="179"/>
      <c r="L326" s="46">
        <f t="shared" si="39"/>
        <v>6744418.5599999996</v>
      </c>
    </row>
    <row r="327" spans="2:12" x14ac:dyDescent="0.35">
      <c r="B327" s="93"/>
      <c r="C327" s="74"/>
      <c r="D327" s="75"/>
      <c r="E327" s="74"/>
      <c r="F327" s="74" t="s">
        <v>88</v>
      </c>
      <c r="G327" s="74" t="s">
        <v>309</v>
      </c>
      <c r="H327" s="175">
        <v>262.25279999999998</v>
      </c>
      <c r="I327" s="75" t="s">
        <v>74</v>
      </c>
      <c r="J327" s="179">
        <v>33000</v>
      </c>
      <c r="K327" s="179"/>
      <c r="L327" s="46">
        <f t="shared" si="39"/>
        <v>8654342.3999999985</v>
      </c>
    </row>
    <row r="328" spans="2:12" x14ac:dyDescent="0.35">
      <c r="B328" s="71"/>
      <c r="C328" s="72"/>
      <c r="D328" s="73"/>
      <c r="E328" s="74"/>
      <c r="F328" s="74" t="s">
        <v>88</v>
      </c>
      <c r="G328" s="74" t="s">
        <v>310</v>
      </c>
      <c r="H328" s="175">
        <v>70.649999999999991</v>
      </c>
      <c r="I328" s="75" t="s">
        <v>74</v>
      </c>
      <c r="J328" s="179">
        <v>33000</v>
      </c>
      <c r="K328" s="179"/>
      <c r="L328" s="46">
        <f t="shared" si="39"/>
        <v>2331449.9999999995</v>
      </c>
    </row>
    <row r="329" spans="2:12" x14ac:dyDescent="0.35">
      <c r="B329" s="71"/>
      <c r="C329" s="72"/>
      <c r="D329" s="73"/>
      <c r="E329" s="74"/>
      <c r="F329" s="74" t="s">
        <v>88</v>
      </c>
      <c r="G329" s="74" t="s">
        <v>311</v>
      </c>
      <c r="H329" s="175">
        <v>56.519999999999996</v>
      </c>
      <c r="I329" s="75" t="s">
        <v>74</v>
      </c>
      <c r="J329" s="179">
        <v>33000</v>
      </c>
      <c r="K329" s="179"/>
      <c r="L329" s="46">
        <f t="shared" si="39"/>
        <v>1865159.9999999998</v>
      </c>
    </row>
    <row r="330" spans="2:12" x14ac:dyDescent="0.35">
      <c r="B330" s="71"/>
      <c r="C330" s="72"/>
      <c r="D330" s="73"/>
      <c r="E330" s="74"/>
      <c r="F330" s="74" t="s">
        <v>88</v>
      </c>
      <c r="G330" s="74" t="s">
        <v>312</v>
      </c>
      <c r="H330" s="175">
        <v>30.143999999999995</v>
      </c>
      <c r="I330" s="75" t="s">
        <v>74</v>
      </c>
      <c r="J330" s="179">
        <v>33000</v>
      </c>
      <c r="K330" s="179"/>
      <c r="L330" s="46">
        <f t="shared" si="39"/>
        <v>994751.99999999988</v>
      </c>
    </row>
    <row r="331" spans="2:12" x14ac:dyDescent="0.35">
      <c r="B331" s="71"/>
      <c r="C331" s="72"/>
      <c r="D331" s="73"/>
      <c r="E331" s="74"/>
      <c r="F331" s="74" t="s">
        <v>88</v>
      </c>
      <c r="G331" s="74" t="s">
        <v>295</v>
      </c>
      <c r="H331" s="175">
        <v>49.737599999999993</v>
      </c>
      <c r="I331" s="75" t="s">
        <v>74</v>
      </c>
      <c r="J331" s="179">
        <v>33000</v>
      </c>
      <c r="K331" s="179"/>
      <c r="L331" s="46">
        <f t="shared" si="39"/>
        <v>1641340.7999999998</v>
      </c>
    </row>
    <row r="332" spans="2:12" x14ac:dyDescent="0.35">
      <c r="B332" s="71"/>
      <c r="C332" s="72"/>
      <c r="D332" s="73"/>
      <c r="E332" s="74"/>
      <c r="F332" s="74" t="s">
        <v>88</v>
      </c>
      <c r="G332" s="74" t="s">
        <v>313</v>
      </c>
      <c r="H332" s="175">
        <v>18.84</v>
      </c>
      <c r="I332" s="75" t="s">
        <v>74</v>
      </c>
      <c r="J332" s="179">
        <v>33000</v>
      </c>
      <c r="K332" s="179"/>
      <c r="L332" s="46">
        <f t="shared" si="39"/>
        <v>621720</v>
      </c>
    </row>
    <row r="333" spans="2:12" x14ac:dyDescent="0.35">
      <c r="B333" s="71"/>
      <c r="C333" s="72"/>
      <c r="D333" s="73"/>
      <c r="E333" s="74"/>
      <c r="F333" s="74" t="s">
        <v>88</v>
      </c>
      <c r="G333" s="75" t="s">
        <v>314</v>
      </c>
      <c r="H333" s="76">
        <v>18.84</v>
      </c>
      <c r="I333" s="75" t="s">
        <v>74</v>
      </c>
      <c r="J333" s="179">
        <v>33000</v>
      </c>
      <c r="K333" s="179"/>
      <c r="L333" s="46">
        <f t="shared" si="39"/>
        <v>621720</v>
      </c>
    </row>
    <row r="334" spans="2:12" x14ac:dyDescent="0.35">
      <c r="B334" s="71"/>
      <c r="C334" s="72"/>
      <c r="D334" s="73"/>
      <c r="E334" s="74"/>
      <c r="F334" s="74" t="s">
        <v>88</v>
      </c>
      <c r="G334" s="75" t="s">
        <v>315</v>
      </c>
      <c r="H334" s="76">
        <v>19.782</v>
      </c>
      <c r="I334" s="75" t="s">
        <v>74</v>
      </c>
      <c r="J334" s="179">
        <v>33000</v>
      </c>
      <c r="K334" s="179"/>
      <c r="L334" s="46">
        <f t="shared" si="39"/>
        <v>652806</v>
      </c>
    </row>
    <row r="335" spans="2:12" x14ac:dyDescent="0.35">
      <c r="B335" s="71"/>
      <c r="C335" s="72"/>
      <c r="D335" s="73"/>
      <c r="E335" s="74"/>
      <c r="F335" s="74" t="s">
        <v>88</v>
      </c>
      <c r="G335" s="75" t="s">
        <v>316</v>
      </c>
      <c r="H335" s="76">
        <v>29.672999999999998</v>
      </c>
      <c r="I335" s="75" t="s">
        <v>74</v>
      </c>
      <c r="J335" s="179">
        <v>33000</v>
      </c>
      <c r="K335" s="179"/>
      <c r="L335" s="46">
        <f t="shared" si="39"/>
        <v>979209</v>
      </c>
    </row>
    <row r="336" spans="2:12" x14ac:dyDescent="0.35">
      <c r="B336" s="54"/>
      <c r="C336" s="55"/>
      <c r="D336" s="56"/>
      <c r="E336" s="57"/>
      <c r="F336" s="57" t="s">
        <v>88</v>
      </c>
      <c r="G336" s="58" t="s">
        <v>300</v>
      </c>
      <c r="H336" s="77">
        <v>10.851839999999997</v>
      </c>
      <c r="I336" s="58" t="s">
        <v>74</v>
      </c>
      <c r="J336" s="179">
        <v>33000</v>
      </c>
      <c r="K336" s="179"/>
      <c r="L336" s="46">
        <f t="shared" si="39"/>
        <v>358110.71999999991</v>
      </c>
    </row>
    <row r="337" spans="2:12" x14ac:dyDescent="0.35">
      <c r="B337" s="71"/>
      <c r="C337" s="72"/>
      <c r="D337" s="73"/>
      <c r="E337" s="74"/>
      <c r="F337" s="74" t="s">
        <v>88</v>
      </c>
      <c r="G337" s="75" t="s">
        <v>317</v>
      </c>
      <c r="H337" s="76">
        <v>13.564799999999998</v>
      </c>
      <c r="I337" s="75" t="s">
        <v>74</v>
      </c>
      <c r="J337" s="179">
        <v>33000</v>
      </c>
      <c r="K337" s="179"/>
      <c r="L337" s="46">
        <f t="shared" si="39"/>
        <v>447638.39999999997</v>
      </c>
    </row>
    <row r="338" spans="2:12" x14ac:dyDescent="0.35">
      <c r="B338" s="71"/>
      <c r="C338" s="72"/>
      <c r="D338" s="73"/>
      <c r="E338" s="74"/>
      <c r="F338" s="74" t="s">
        <v>88</v>
      </c>
      <c r="G338" s="75" t="s">
        <v>107</v>
      </c>
      <c r="H338" s="76">
        <v>17.362943999999999</v>
      </c>
      <c r="I338" s="75" t="s">
        <v>74</v>
      </c>
      <c r="J338" s="179">
        <v>33000</v>
      </c>
      <c r="K338" s="179"/>
      <c r="L338" s="46">
        <f t="shared" si="39"/>
        <v>572977.152</v>
      </c>
    </row>
    <row r="339" spans="2:12" x14ac:dyDescent="0.35">
      <c r="B339" s="47"/>
      <c r="C339" s="48"/>
      <c r="D339" s="24"/>
      <c r="G339" s="22"/>
      <c r="I339" s="22"/>
      <c r="J339" s="50"/>
      <c r="K339" s="29"/>
      <c r="L339" s="52"/>
    </row>
    <row r="340" spans="2:12" x14ac:dyDescent="0.35">
      <c r="B340" s="47"/>
      <c r="C340" s="48"/>
      <c r="D340" s="24"/>
      <c r="G340" s="22"/>
      <c r="I340" s="22"/>
      <c r="J340" s="50"/>
      <c r="K340" s="29"/>
      <c r="L340" s="52"/>
    </row>
    <row r="341" spans="2:12" x14ac:dyDescent="0.35">
      <c r="B341" s="8"/>
      <c r="C341" s="9"/>
      <c r="D341" s="10"/>
      <c r="E341" s="4"/>
      <c r="F341" s="4"/>
      <c r="G341" s="4"/>
      <c r="H341" s="1"/>
      <c r="I341" s="1"/>
      <c r="J341" s="11" t="s">
        <v>8</v>
      </c>
      <c r="K341" s="7">
        <f>SUM(K288:K340)</f>
        <v>0</v>
      </c>
      <c r="L341" s="7">
        <f>SUM(L288:L340)</f>
        <v>168999077.21400005</v>
      </c>
    </row>
    <row r="342" spans="2:12" x14ac:dyDescent="0.35">
      <c r="B342" s="8"/>
      <c r="C342" s="9"/>
      <c r="D342" s="9"/>
      <c r="E342" s="4"/>
      <c r="F342" s="4"/>
      <c r="G342" s="4"/>
      <c r="H342" s="1"/>
      <c r="I342" s="1"/>
      <c r="J342" s="11"/>
      <c r="K342" s="35" t="s">
        <v>22</v>
      </c>
      <c r="L342" s="36" t="s">
        <v>23</v>
      </c>
    </row>
    <row r="343" spans="2:12" x14ac:dyDescent="0.35">
      <c r="B343" s="3" t="s">
        <v>9</v>
      </c>
      <c r="C343" s="4"/>
      <c r="D343" s="4"/>
      <c r="E343" s="4"/>
      <c r="F343" s="4"/>
      <c r="G343" s="4"/>
      <c r="H343" s="1"/>
      <c r="I343" s="1"/>
      <c r="J343" s="12"/>
      <c r="K343" s="12"/>
      <c r="L343" s="13"/>
    </row>
    <row r="344" spans="2:12" x14ac:dyDescent="0.35">
      <c r="B344" s="37"/>
      <c r="C344" s="1"/>
      <c r="D344" s="1"/>
      <c r="E344" s="38"/>
      <c r="F344" s="38"/>
      <c r="G344" s="38"/>
      <c r="H344" s="1"/>
      <c r="I344" s="1"/>
      <c r="J344" s="1"/>
      <c r="K344" s="1"/>
      <c r="L344" s="19"/>
    </row>
    <row r="345" spans="2:12" x14ac:dyDescent="0.35">
      <c r="B345" s="28" t="s">
        <v>6</v>
      </c>
      <c r="C345" s="27"/>
      <c r="D345" s="27"/>
      <c r="E345" s="26"/>
      <c r="F345" s="26"/>
      <c r="G345" s="5"/>
      <c r="K345" s="232" t="s">
        <v>378</v>
      </c>
      <c r="L345" s="233"/>
    </row>
    <row r="346" spans="2:12" x14ac:dyDescent="0.35">
      <c r="B346" s="28">
        <v>1</v>
      </c>
      <c r="C346" s="27"/>
      <c r="D346" s="27"/>
      <c r="E346" s="26" t="s">
        <v>7</v>
      </c>
      <c r="F346" s="26"/>
      <c r="G346" s="5"/>
      <c r="K346" s="232" t="s">
        <v>28</v>
      </c>
      <c r="L346" s="233"/>
    </row>
    <row r="347" spans="2:12" x14ac:dyDescent="0.35">
      <c r="B347" s="39"/>
      <c r="C347" s="27"/>
      <c r="D347" s="27"/>
      <c r="E347" s="26"/>
      <c r="F347" s="26"/>
      <c r="G347" s="5"/>
      <c r="J347" s="25"/>
      <c r="K347" s="25"/>
      <c r="L347" s="24"/>
    </row>
    <row r="348" spans="2:12" x14ac:dyDescent="0.35">
      <c r="B348" s="28"/>
      <c r="C348" s="27"/>
      <c r="D348" s="27"/>
      <c r="E348" s="26"/>
      <c r="F348" s="26"/>
      <c r="G348" s="5"/>
      <c r="L348" s="22"/>
    </row>
    <row r="349" spans="2:12" x14ac:dyDescent="0.35">
      <c r="B349" s="45"/>
      <c r="E349" s="5"/>
      <c r="F349" s="5"/>
      <c r="G349" s="5"/>
      <c r="L349" s="22"/>
    </row>
    <row r="350" spans="2:12" x14ac:dyDescent="0.35">
      <c r="B350" s="45"/>
      <c r="E350" s="5"/>
      <c r="F350" s="5"/>
      <c r="G350" s="5"/>
      <c r="L350" s="22"/>
    </row>
    <row r="351" spans="2:12" x14ac:dyDescent="0.35">
      <c r="B351" s="45"/>
      <c r="E351" s="5"/>
      <c r="F351" s="5"/>
      <c r="G351" s="5"/>
      <c r="L351" s="22"/>
    </row>
    <row r="352" spans="2:12" x14ac:dyDescent="0.35">
      <c r="B352" s="45"/>
      <c r="E352" s="5"/>
      <c r="F352" s="5"/>
      <c r="G352" s="5"/>
      <c r="J352" s="40"/>
      <c r="K352" s="234" t="s">
        <v>36</v>
      </c>
      <c r="L352" s="235"/>
    </row>
    <row r="353" spans="2:12" x14ac:dyDescent="0.35">
      <c r="B353" s="45"/>
      <c r="K353" s="236" t="s">
        <v>37</v>
      </c>
      <c r="L353" s="237"/>
    </row>
    <row r="354" spans="2:12" x14ac:dyDescent="0.35">
      <c r="B354" s="238"/>
      <c r="C354" s="239"/>
      <c r="D354" s="239"/>
      <c r="E354" s="41"/>
      <c r="F354" s="41"/>
      <c r="G354" s="41"/>
      <c r="H354" s="2"/>
      <c r="I354" s="2"/>
      <c r="J354" s="2"/>
      <c r="K354" s="2"/>
      <c r="L354" s="21"/>
    </row>
    <row r="355" spans="2:12" x14ac:dyDescent="0.35">
      <c r="B355" s="47"/>
      <c r="C355" s="48"/>
      <c r="D355" s="49"/>
      <c r="G355" s="22"/>
      <c r="H355" s="1"/>
      <c r="I355" s="1"/>
      <c r="J355" s="43"/>
      <c r="K355" s="30"/>
      <c r="L355" s="44"/>
    </row>
    <row r="356" spans="2:12" x14ac:dyDescent="0.35">
      <c r="B356" s="71"/>
      <c r="C356" s="72"/>
      <c r="D356" s="73" t="s">
        <v>51</v>
      </c>
      <c r="E356" s="74"/>
      <c r="F356" s="74" t="s">
        <v>110</v>
      </c>
      <c r="G356" s="75"/>
      <c r="H356" s="78"/>
      <c r="I356" s="75"/>
      <c r="J356" s="50"/>
      <c r="K356" s="29"/>
      <c r="L356" s="52"/>
    </row>
    <row r="357" spans="2:12" x14ac:dyDescent="0.35">
      <c r="B357" s="71"/>
      <c r="C357" s="72"/>
      <c r="D357" s="73"/>
      <c r="E357" s="74"/>
      <c r="F357" s="74" t="s">
        <v>88</v>
      </c>
      <c r="G357" s="75" t="s">
        <v>318</v>
      </c>
      <c r="H357" s="76">
        <v>93.069599999999994</v>
      </c>
      <c r="I357" s="75" t="s">
        <v>74</v>
      </c>
      <c r="J357" s="179">
        <v>33000</v>
      </c>
      <c r="K357" s="179"/>
      <c r="L357" s="46">
        <f t="shared" ref="L357:L360" si="40">J357*H357</f>
        <v>3071296.8</v>
      </c>
    </row>
    <row r="358" spans="2:12" x14ac:dyDescent="0.35">
      <c r="B358" s="71"/>
      <c r="C358" s="72"/>
      <c r="D358" s="73"/>
      <c r="E358" s="74"/>
      <c r="F358" s="74" t="s">
        <v>88</v>
      </c>
      <c r="G358" s="75" t="s">
        <v>319</v>
      </c>
      <c r="H358" s="76">
        <v>45.442079999999997</v>
      </c>
      <c r="I358" s="75" t="s">
        <v>74</v>
      </c>
      <c r="J358" s="179">
        <v>33000</v>
      </c>
      <c r="K358" s="179"/>
      <c r="L358" s="46">
        <f t="shared" si="40"/>
        <v>1499588.64</v>
      </c>
    </row>
    <row r="359" spans="2:12" x14ac:dyDescent="0.35">
      <c r="B359" s="71"/>
      <c r="C359" s="72"/>
      <c r="D359" s="73"/>
      <c r="E359" s="74"/>
      <c r="F359" s="74" t="s">
        <v>88</v>
      </c>
      <c r="G359" s="75" t="s">
        <v>320</v>
      </c>
      <c r="H359" s="76">
        <v>149.77799999999999</v>
      </c>
      <c r="I359" s="75" t="s">
        <v>74</v>
      </c>
      <c r="J359" s="179">
        <v>33000</v>
      </c>
      <c r="K359" s="179"/>
      <c r="L359" s="46">
        <f t="shared" si="40"/>
        <v>4942674</v>
      </c>
    </row>
    <row r="360" spans="2:12" x14ac:dyDescent="0.35">
      <c r="B360" s="71"/>
      <c r="C360" s="72"/>
      <c r="D360" s="73"/>
      <c r="E360" s="74"/>
      <c r="F360" s="74" t="s">
        <v>88</v>
      </c>
      <c r="G360" s="75" t="s">
        <v>321</v>
      </c>
      <c r="H360" s="76">
        <v>60.287999999999997</v>
      </c>
      <c r="I360" s="75" t="s">
        <v>74</v>
      </c>
      <c r="J360" s="179">
        <v>33000</v>
      </c>
      <c r="K360" s="179"/>
      <c r="L360" s="46">
        <f t="shared" si="40"/>
        <v>1989504</v>
      </c>
    </row>
    <row r="361" spans="2:12" x14ac:dyDescent="0.35">
      <c r="B361" s="71"/>
      <c r="C361" s="72"/>
      <c r="D361" s="73" t="s">
        <v>61</v>
      </c>
      <c r="E361" s="74"/>
      <c r="F361" s="74" t="s">
        <v>322</v>
      </c>
      <c r="G361" s="75"/>
      <c r="H361" s="76"/>
      <c r="I361" s="75"/>
      <c r="J361" s="50"/>
      <c r="K361" s="29"/>
      <c r="L361" s="52"/>
    </row>
    <row r="362" spans="2:12" x14ac:dyDescent="0.35">
      <c r="B362" s="71"/>
      <c r="C362" s="72"/>
      <c r="D362" s="73"/>
      <c r="E362" s="74"/>
      <c r="F362" s="74" t="s">
        <v>88</v>
      </c>
      <c r="G362" s="75" t="s">
        <v>323</v>
      </c>
      <c r="H362" s="76">
        <v>31.651199999999999</v>
      </c>
      <c r="I362" s="75" t="s">
        <v>74</v>
      </c>
      <c r="J362" s="179">
        <v>33000</v>
      </c>
      <c r="K362" s="179"/>
      <c r="L362" s="46">
        <f t="shared" ref="L362:L365" si="41">J362*H362</f>
        <v>1044489.6</v>
      </c>
    </row>
    <row r="363" spans="2:12" x14ac:dyDescent="0.35">
      <c r="B363" s="71"/>
      <c r="C363" s="72"/>
      <c r="D363" s="73"/>
      <c r="E363" s="74"/>
      <c r="F363" s="74" t="s">
        <v>88</v>
      </c>
      <c r="G363" s="75" t="s">
        <v>324</v>
      </c>
      <c r="H363" s="76">
        <v>64.432799999999986</v>
      </c>
      <c r="I363" s="75" t="s">
        <v>74</v>
      </c>
      <c r="J363" s="179">
        <v>33000</v>
      </c>
      <c r="K363" s="179"/>
      <c r="L363" s="46">
        <f t="shared" si="41"/>
        <v>2126282.3999999994</v>
      </c>
    </row>
    <row r="364" spans="2:12" x14ac:dyDescent="0.35">
      <c r="B364" s="71"/>
      <c r="C364" s="72"/>
      <c r="D364" s="73"/>
      <c r="E364" s="74"/>
      <c r="F364" s="74" t="s">
        <v>88</v>
      </c>
      <c r="G364" s="75" t="s">
        <v>325</v>
      </c>
      <c r="H364" s="76">
        <v>58.403999999999996</v>
      </c>
      <c r="I364" s="75" t="s">
        <v>74</v>
      </c>
      <c r="J364" s="179">
        <v>33000</v>
      </c>
      <c r="K364" s="179"/>
      <c r="L364" s="46">
        <f t="shared" si="41"/>
        <v>1927331.9999999998</v>
      </c>
    </row>
    <row r="365" spans="2:12" x14ac:dyDescent="0.35">
      <c r="B365" s="71"/>
      <c r="C365" s="72"/>
      <c r="D365" s="73"/>
      <c r="E365" s="74"/>
      <c r="F365" s="74" t="s">
        <v>88</v>
      </c>
      <c r="G365" s="75" t="s">
        <v>326</v>
      </c>
      <c r="H365" s="76">
        <v>35.042399999999994</v>
      </c>
      <c r="I365" s="75" t="s">
        <v>74</v>
      </c>
      <c r="J365" s="179">
        <v>33000</v>
      </c>
      <c r="K365" s="179"/>
      <c r="L365" s="46">
        <f t="shared" si="41"/>
        <v>1156399.1999999997</v>
      </c>
    </row>
    <row r="366" spans="2:12" x14ac:dyDescent="0.35">
      <c r="B366" s="71"/>
      <c r="C366" s="72"/>
      <c r="D366" s="73" t="s">
        <v>62</v>
      </c>
      <c r="E366" s="74"/>
      <c r="F366" s="74" t="s">
        <v>327</v>
      </c>
      <c r="G366" s="75"/>
      <c r="H366" s="76"/>
      <c r="I366" s="75"/>
      <c r="J366" s="50"/>
      <c r="K366" s="29"/>
      <c r="L366" s="52"/>
    </row>
    <row r="367" spans="2:12" x14ac:dyDescent="0.35">
      <c r="B367" s="71"/>
      <c r="C367" s="72"/>
      <c r="D367" s="73"/>
      <c r="E367" s="74"/>
      <c r="F367" s="74" t="s">
        <v>88</v>
      </c>
      <c r="G367" s="75" t="s">
        <v>328</v>
      </c>
      <c r="H367" s="76">
        <v>49.172399999999996</v>
      </c>
      <c r="I367" s="75" t="s">
        <v>74</v>
      </c>
      <c r="J367" s="179">
        <v>33000</v>
      </c>
      <c r="K367" s="179"/>
      <c r="L367" s="46">
        <f t="shared" ref="L367:L368" si="42">J367*H367</f>
        <v>1622689.2</v>
      </c>
    </row>
    <row r="368" spans="2:12" x14ac:dyDescent="0.35">
      <c r="B368" s="71"/>
      <c r="C368" s="72"/>
      <c r="D368" s="73"/>
      <c r="E368" s="74"/>
      <c r="F368" s="74" t="s">
        <v>88</v>
      </c>
      <c r="G368" s="75" t="s">
        <v>329</v>
      </c>
      <c r="H368" s="76">
        <v>21.364559999999997</v>
      </c>
      <c r="I368" s="75" t="s">
        <v>74</v>
      </c>
      <c r="J368" s="179">
        <v>33000</v>
      </c>
      <c r="K368" s="179"/>
      <c r="L368" s="46">
        <f t="shared" si="42"/>
        <v>705030.47999999986</v>
      </c>
    </row>
    <row r="369" spans="2:12" x14ac:dyDescent="0.35">
      <c r="B369" s="71"/>
      <c r="C369" s="72"/>
      <c r="D369" s="73"/>
      <c r="E369" s="74"/>
      <c r="F369" s="74"/>
      <c r="G369" s="75"/>
      <c r="H369" s="78"/>
      <c r="I369" s="75"/>
      <c r="J369" s="50"/>
      <c r="K369" s="51"/>
      <c r="L369" s="46"/>
    </row>
    <row r="370" spans="2:12" x14ac:dyDescent="0.35">
      <c r="B370" s="86" t="s">
        <v>53</v>
      </c>
      <c r="C370" s="87"/>
      <c r="D370" s="88"/>
      <c r="E370" s="89" t="s">
        <v>18</v>
      </c>
      <c r="F370" s="89"/>
      <c r="G370" s="90"/>
      <c r="H370" s="91"/>
      <c r="I370" s="90"/>
      <c r="J370" s="50"/>
      <c r="K370" s="29"/>
      <c r="L370" s="52"/>
    </row>
    <row r="371" spans="2:12" x14ac:dyDescent="0.35">
      <c r="B371" s="71"/>
      <c r="C371" s="72"/>
      <c r="D371" s="73" t="s">
        <v>39</v>
      </c>
      <c r="E371" s="74"/>
      <c r="F371" s="74" t="s">
        <v>111</v>
      </c>
      <c r="G371" s="75"/>
      <c r="H371" s="78">
        <v>1</v>
      </c>
      <c r="I371" s="75" t="s">
        <v>112</v>
      </c>
      <c r="J371" s="52">
        <v>16250000</v>
      </c>
      <c r="K371" s="178"/>
      <c r="L371" s="46">
        <f>J371*H371</f>
        <v>16250000</v>
      </c>
    </row>
    <row r="372" spans="2:12" x14ac:dyDescent="0.35">
      <c r="B372" s="71"/>
      <c r="C372" s="72"/>
      <c r="D372" s="73"/>
      <c r="E372" s="74"/>
      <c r="F372" s="74" t="s">
        <v>88</v>
      </c>
      <c r="G372" s="75" t="s">
        <v>330</v>
      </c>
      <c r="H372" s="76"/>
      <c r="I372" s="75"/>
      <c r="J372" s="50"/>
      <c r="K372" s="29"/>
      <c r="L372" s="52"/>
    </row>
    <row r="373" spans="2:12" x14ac:dyDescent="0.35">
      <c r="B373" s="71"/>
      <c r="C373" s="72"/>
      <c r="D373" s="73"/>
      <c r="E373" s="74"/>
      <c r="F373" s="74" t="s">
        <v>88</v>
      </c>
      <c r="G373" s="75" t="s">
        <v>331</v>
      </c>
      <c r="H373" s="76"/>
      <c r="I373" s="75"/>
      <c r="J373" s="50"/>
      <c r="K373" s="29"/>
      <c r="L373" s="52"/>
    </row>
    <row r="374" spans="2:12" x14ac:dyDescent="0.35">
      <c r="B374" s="71"/>
      <c r="C374" s="72"/>
      <c r="D374" s="73"/>
      <c r="E374" s="74"/>
      <c r="F374" s="74" t="s">
        <v>88</v>
      </c>
      <c r="G374" s="75" t="s">
        <v>332</v>
      </c>
      <c r="H374" s="76"/>
      <c r="I374" s="75"/>
      <c r="J374" s="50"/>
      <c r="K374" s="29"/>
      <c r="L374" s="52"/>
    </row>
    <row r="375" spans="2:12" x14ac:dyDescent="0.35">
      <c r="B375" s="71"/>
      <c r="C375" s="72"/>
      <c r="D375" s="73"/>
      <c r="E375" s="74"/>
      <c r="F375" s="74" t="s">
        <v>88</v>
      </c>
      <c r="G375" s="75" t="s">
        <v>333</v>
      </c>
      <c r="H375" s="76"/>
      <c r="I375" s="75"/>
      <c r="J375" s="50"/>
      <c r="K375" s="29"/>
      <c r="L375" s="52"/>
    </row>
    <row r="376" spans="2:12" x14ac:dyDescent="0.35">
      <c r="B376" s="71"/>
      <c r="C376" s="72"/>
      <c r="D376" s="73"/>
      <c r="E376" s="74"/>
      <c r="F376" s="74" t="s">
        <v>88</v>
      </c>
      <c r="G376" s="75" t="s">
        <v>334</v>
      </c>
      <c r="H376" s="76"/>
      <c r="I376" s="75"/>
      <c r="J376" s="50"/>
      <c r="K376" s="29"/>
      <c r="L376" s="52"/>
    </row>
    <row r="377" spans="2:12" x14ac:dyDescent="0.35">
      <c r="B377" s="71"/>
      <c r="C377" s="72"/>
      <c r="D377" s="73"/>
      <c r="E377" s="74"/>
      <c r="F377" s="74" t="s">
        <v>88</v>
      </c>
      <c r="G377" s="75" t="s">
        <v>335</v>
      </c>
      <c r="H377" s="76"/>
      <c r="I377" s="75"/>
      <c r="J377" s="50"/>
      <c r="K377" s="29"/>
      <c r="L377" s="52"/>
    </row>
    <row r="378" spans="2:12" x14ac:dyDescent="0.35">
      <c r="B378" s="71"/>
      <c r="C378" s="72"/>
      <c r="D378" s="73"/>
      <c r="E378" s="74"/>
      <c r="F378" s="74" t="s">
        <v>88</v>
      </c>
      <c r="G378" s="75" t="s">
        <v>370</v>
      </c>
      <c r="H378" s="78"/>
      <c r="I378" s="75"/>
      <c r="J378" s="50"/>
      <c r="K378" s="29"/>
      <c r="L378" s="52"/>
    </row>
    <row r="379" spans="2:12" x14ac:dyDescent="0.35">
      <c r="B379" s="148"/>
      <c r="C379" s="149"/>
      <c r="D379" s="150"/>
      <c r="E379" s="151"/>
      <c r="F379" s="140"/>
      <c r="G379" s="152"/>
      <c r="H379" s="155"/>
      <c r="I379" s="154"/>
      <c r="J379" s="50"/>
      <c r="K379" s="29"/>
      <c r="L379" s="52"/>
    </row>
    <row r="380" spans="2:12" x14ac:dyDescent="0.35">
      <c r="B380" s="184"/>
      <c r="C380" s="185"/>
      <c r="D380" s="186"/>
      <c r="E380" s="156"/>
      <c r="F380" s="157" t="s">
        <v>114</v>
      </c>
      <c r="G380" s="158"/>
      <c r="H380" s="182"/>
      <c r="I380" s="183"/>
      <c r="J380" s="50"/>
      <c r="K380" s="29"/>
      <c r="L380" s="52"/>
    </row>
    <row r="381" spans="2:12" x14ac:dyDescent="0.35">
      <c r="B381" s="159" t="s">
        <v>38</v>
      </c>
      <c r="C381" s="160"/>
      <c r="D381" s="161"/>
      <c r="E381" s="162" t="s">
        <v>85</v>
      </c>
      <c r="F381" s="163"/>
      <c r="G381" s="164"/>
      <c r="H381" s="165"/>
      <c r="I381" s="166"/>
      <c r="J381" s="50"/>
      <c r="K381" s="29"/>
      <c r="L381" s="52"/>
    </row>
    <row r="382" spans="2:12" x14ac:dyDescent="0.35">
      <c r="B382" s="148"/>
      <c r="C382" s="149" t="s">
        <v>86</v>
      </c>
      <c r="D382" s="150"/>
      <c r="E382" s="151"/>
      <c r="F382" s="140" t="s">
        <v>94</v>
      </c>
      <c r="G382" s="152"/>
      <c r="H382" s="153"/>
      <c r="I382" s="154"/>
      <c r="J382" s="50"/>
      <c r="K382" s="29"/>
      <c r="L382" s="52"/>
    </row>
    <row r="383" spans="2:12" x14ac:dyDescent="0.35">
      <c r="B383" s="148"/>
      <c r="C383" s="149"/>
      <c r="D383" s="150" t="s">
        <v>39</v>
      </c>
      <c r="E383" s="151"/>
      <c r="F383" s="140" t="s">
        <v>336</v>
      </c>
      <c r="G383" s="152"/>
      <c r="H383" s="153"/>
      <c r="I383" s="154"/>
      <c r="J383" s="50"/>
      <c r="K383" s="29"/>
      <c r="L383" s="52"/>
    </row>
    <row r="384" spans="2:12" x14ac:dyDescent="0.35">
      <c r="B384" s="148"/>
      <c r="C384" s="149"/>
      <c r="D384" s="150"/>
      <c r="E384" s="151"/>
      <c r="F384" s="140" t="s">
        <v>88</v>
      </c>
      <c r="G384" s="152" t="s">
        <v>337</v>
      </c>
      <c r="H384" s="153">
        <v>379.81439999999998</v>
      </c>
      <c r="I384" s="154" t="s">
        <v>74</v>
      </c>
      <c r="J384" s="179">
        <v>33000</v>
      </c>
      <c r="K384" s="179"/>
      <c r="L384" s="46">
        <f t="shared" ref="L384:L385" si="43">J384*H384</f>
        <v>12533875.199999999</v>
      </c>
    </row>
    <row r="385" spans="2:12" x14ac:dyDescent="0.35">
      <c r="B385" s="148"/>
      <c r="C385" s="149"/>
      <c r="D385" s="150"/>
      <c r="E385" s="151"/>
      <c r="F385" s="140" t="s">
        <v>88</v>
      </c>
      <c r="G385" s="152" t="s">
        <v>338</v>
      </c>
      <c r="H385" s="153">
        <v>169.55999999999997</v>
      </c>
      <c r="I385" s="154" t="s">
        <v>74</v>
      </c>
      <c r="J385" s="179">
        <v>33000</v>
      </c>
      <c r="K385" s="179"/>
      <c r="L385" s="46">
        <f t="shared" si="43"/>
        <v>5595479.9999999991</v>
      </c>
    </row>
    <row r="386" spans="2:12" x14ac:dyDescent="0.35">
      <c r="B386" s="71"/>
      <c r="C386" s="72" t="s">
        <v>89</v>
      </c>
      <c r="D386" s="73"/>
      <c r="E386" s="74"/>
      <c r="F386" s="74" t="s">
        <v>339</v>
      </c>
      <c r="G386" s="75"/>
      <c r="H386" s="78"/>
      <c r="I386" s="75"/>
      <c r="J386" s="50"/>
      <c r="K386" s="29"/>
      <c r="L386" s="52"/>
    </row>
    <row r="387" spans="2:12" x14ac:dyDescent="0.35">
      <c r="B387" s="71"/>
      <c r="C387" s="72"/>
      <c r="D387" s="73" t="s">
        <v>39</v>
      </c>
      <c r="E387" s="74"/>
      <c r="F387" s="74" t="s">
        <v>340</v>
      </c>
      <c r="G387" s="75"/>
      <c r="H387" s="78"/>
      <c r="I387" s="75"/>
      <c r="J387" s="50"/>
      <c r="K387" s="29"/>
      <c r="L387" s="52"/>
    </row>
    <row r="388" spans="2:12" x14ac:dyDescent="0.35">
      <c r="B388" s="71"/>
      <c r="C388" s="72"/>
      <c r="D388" s="73"/>
      <c r="E388" s="74"/>
      <c r="F388" s="74" t="s">
        <v>88</v>
      </c>
      <c r="G388" s="75" t="s">
        <v>341</v>
      </c>
      <c r="H388" s="76">
        <v>96.253560000000007</v>
      </c>
      <c r="I388" s="75" t="s">
        <v>74</v>
      </c>
      <c r="J388" s="179">
        <v>33000</v>
      </c>
      <c r="K388" s="179"/>
      <c r="L388" s="46">
        <f t="shared" ref="L388:L389" si="44">J388*H388</f>
        <v>3176367.4800000004</v>
      </c>
    </row>
    <row r="389" spans="2:12" x14ac:dyDescent="0.35">
      <c r="B389" s="71"/>
      <c r="C389" s="72"/>
      <c r="D389" s="73"/>
      <c r="E389" s="74"/>
      <c r="F389" s="74" t="s">
        <v>88</v>
      </c>
      <c r="G389" s="75" t="s">
        <v>342</v>
      </c>
      <c r="H389" s="76">
        <v>25.77</v>
      </c>
      <c r="I389" s="75" t="s">
        <v>74</v>
      </c>
      <c r="J389" s="179">
        <v>33000</v>
      </c>
      <c r="K389" s="179"/>
      <c r="L389" s="46">
        <f t="shared" si="44"/>
        <v>850410</v>
      </c>
    </row>
    <row r="390" spans="2:12" x14ac:dyDescent="0.35">
      <c r="B390" s="71"/>
      <c r="C390" s="72" t="s">
        <v>91</v>
      </c>
      <c r="D390" s="73"/>
      <c r="E390" s="74"/>
      <c r="F390" s="74" t="s">
        <v>343</v>
      </c>
      <c r="G390" s="75"/>
      <c r="H390" s="78"/>
      <c r="I390" s="75"/>
      <c r="J390" s="50"/>
      <c r="K390" s="29"/>
      <c r="L390" s="52"/>
    </row>
    <row r="391" spans="2:12" x14ac:dyDescent="0.35">
      <c r="B391" s="71"/>
      <c r="C391" s="72"/>
      <c r="D391" s="73" t="s">
        <v>39</v>
      </c>
      <c r="E391" s="74"/>
      <c r="F391" s="74" t="s">
        <v>340</v>
      </c>
      <c r="G391" s="75"/>
      <c r="H391" s="78"/>
      <c r="I391" s="75"/>
      <c r="J391" s="50"/>
      <c r="K391" s="29"/>
      <c r="L391" s="52"/>
    </row>
    <row r="392" spans="2:12" x14ac:dyDescent="0.35">
      <c r="B392" s="71"/>
      <c r="C392" s="72"/>
      <c r="D392" s="73"/>
      <c r="E392" s="74"/>
      <c r="F392" s="74" t="s">
        <v>88</v>
      </c>
      <c r="G392" s="75" t="s">
        <v>344</v>
      </c>
      <c r="H392" s="76">
        <v>73.475999999999985</v>
      </c>
      <c r="I392" s="75" t="s">
        <v>74</v>
      </c>
      <c r="J392" s="179">
        <v>33000</v>
      </c>
      <c r="K392" s="179"/>
      <c r="L392" s="46">
        <f t="shared" ref="L392" si="45">J392*H392</f>
        <v>2424707.9999999995</v>
      </c>
    </row>
    <row r="393" spans="2:12" x14ac:dyDescent="0.35">
      <c r="B393" s="71"/>
      <c r="C393" s="72" t="s">
        <v>345</v>
      </c>
      <c r="D393" s="73"/>
      <c r="E393" s="74"/>
      <c r="F393" s="74" t="s">
        <v>99</v>
      </c>
      <c r="G393" s="75"/>
      <c r="H393" s="78"/>
      <c r="I393" s="75"/>
      <c r="J393" s="50"/>
      <c r="K393" s="29"/>
      <c r="L393" s="52"/>
    </row>
    <row r="394" spans="2:12" x14ac:dyDescent="0.35">
      <c r="B394" s="71"/>
      <c r="C394" s="72"/>
      <c r="D394" s="92" t="s">
        <v>39</v>
      </c>
      <c r="E394" s="93"/>
      <c r="F394" s="74" t="s">
        <v>115</v>
      </c>
      <c r="G394" s="75"/>
      <c r="H394" s="78"/>
      <c r="I394" s="74"/>
      <c r="J394" s="50"/>
      <c r="K394" s="29"/>
      <c r="L394" s="52"/>
    </row>
    <row r="395" spans="2:12" x14ac:dyDescent="0.35">
      <c r="B395" s="71"/>
      <c r="C395" s="72"/>
      <c r="D395" s="73"/>
      <c r="E395" s="74"/>
      <c r="F395" s="74" t="s">
        <v>88</v>
      </c>
      <c r="G395" s="75" t="s">
        <v>346</v>
      </c>
      <c r="H395" s="76">
        <v>30.144000000000005</v>
      </c>
      <c r="I395" s="74" t="s">
        <v>74</v>
      </c>
      <c r="J395" s="187">
        <v>30500</v>
      </c>
      <c r="K395" s="179"/>
      <c r="L395" s="46">
        <f t="shared" ref="L395" si="46">J395*H395</f>
        <v>919392.00000000012</v>
      </c>
    </row>
    <row r="396" spans="2:12" x14ac:dyDescent="0.35">
      <c r="B396" s="71"/>
      <c r="C396" s="72"/>
      <c r="D396" s="73" t="s">
        <v>42</v>
      </c>
      <c r="E396" s="74"/>
      <c r="F396" s="74" t="s">
        <v>116</v>
      </c>
      <c r="G396" s="75"/>
      <c r="H396" s="76"/>
      <c r="I396" s="74"/>
      <c r="J396" s="50"/>
      <c r="K396" s="29"/>
      <c r="L396" s="52"/>
    </row>
    <row r="397" spans="2:12" x14ac:dyDescent="0.35">
      <c r="B397" s="71"/>
      <c r="C397" s="72"/>
      <c r="D397" s="73"/>
      <c r="E397" s="74"/>
      <c r="F397" s="74" t="s">
        <v>88</v>
      </c>
      <c r="G397" s="75" t="s">
        <v>347</v>
      </c>
      <c r="H397" s="76">
        <v>50.867999999999995</v>
      </c>
      <c r="I397" s="74" t="s">
        <v>74</v>
      </c>
      <c r="J397" s="187">
        <v>30500</v>
      </c>
      <c r="K397" s="179"/>
      <c r="L397" s="46">
        <f t="shared" ref="L397" si="47">J397*H397</f>
        <v>1551473.9999999998</v>
      </c>
    </row>
    <row r="398" spans="2:12" x14ac:dyDescent="0.35">
      <c r="B398" s="71"/>
      <c r="C398" s="72"/>
      <c r="D398" s="73" t="s">
        <v>44</v>
      </c>
      <c r="E398" s="74"/>
      <c r="F398" s="74" t="s">
        <v>117</v>
      </c>
      <c r="G398" s="75"/>
      <c r="H398" s="76"/>
      <c r="I398" s="74"/>
      <c r="J398" s="50"/>
      <c r="K398" s="29"/>
      <c r="L398" s="52"/>
    </row>
    <row r="399" spans="2:12" x14ac:dyDescent="0.35">
      <c r="B399" s="71"/>
      <c r="C399" s="72"/>
      <c r="D399" s="73"/>
      <c r="E399" s="74"/>
      <c r="F399" s="74" t="s">
        <v>88</v>
      </c>
      <c r="G399" s="75" t="s">
        <v>348</v>
      </c>
      <c r="H399" s="76">
        <v>217.36439999999999</v>
      </c>
      <c r="I399" s="74" t="s">
        <v>74</v>
      </c>
      <c r="J399" s="178">
        <v>30500</v>
      </c>
      <c r="K399" s="180"/>
      <c r="L399" s="46">
        <f t="shared" ref="L399:L402" si="48">J399*H399</f>
        <v>6629614.1999999993</v>
      </c>
    </row>
    <row r="400" spans="2:12" x14ac:dyDescent="0.35">
      <c r="B400" s="71"/>
      <c r="C400" s="72"/>
      <c r="D400" s="73"/>
      <c r="E400" s="74"/>
      <c r="F400" s="74" t="s">
        <v>88</v>
      </c>
      <c r="G400" s="75" t="s">
        <v>349</v>
      </c>
      <c r="H400" s="76">
        <v>144.3108</v>
      </c>
      <c r="I400" s="74" t="s">
        <v>74</v>
      </c>
      <c r="J400" s="178">
        <v>30500</v>
      </c>
      <c r="K400" s="180"/>
      <c r="L400" s="46">
        <f t="shared" si="48"/>
        <v>4401479.4000000004</v>
      </c>
    </row>
    <row r="401" spans="2:12" x14ac:dyDescent="0.35">
      <c r="B401" s="71"/>
      <c r="C401" s="72"/>
      <c r="D401" s="73"/>
      <c r="E401" s="74"/>
      <c r="F401" s="74" t="s">
        <v>88</v>
      </c>
      <c r="G401" s="75" t="s">
        <v>350</v>
      </c>
      <c r="H401" s="76">
        <v>23.512319999999999</v>
      </c>
      <c r="I401" s="74" t="s">
        <v>74</v>
      </c>
      <c r="J401" s="178">
        <v>30500</v>
      </c>
      <c r="K401" s="180"/>
      <c r="L401" s="46">
        <f t="shared" si="48"/>
        <v>717125.76</v>
      </c>
    </row>
    <row r="402" spans="2:12" x14ac:dyDescent="0.35">
      <c r="B402" s="71"/>
      <c r="C402" s="72"/>
      <c r="D402" s="73"/>
      <c r="E402" s="74"/>
      <c r="F402" s="74" t="s">
        <v>88</v>
      </c>
      <c r="G402" s="75" t="s">
        <v>351</v>
      </c>
      <c r="H402" s="76">
        <v>14.243039999999997</v>
      </c>
      <c r="I402" s="74" t="s">
        <v>74</v>
      </c>
      <c r="J402" s="178">
        <v>30500</v>
      </c>
      <c r="K402" s="180"/>
      <c r="L402" s="46">
        <f t="shared" si="48"/>
        <v>434412.71999999991</v>
      </c>
    </row>
    <row r="403" spans="2:12" x14ac:dyDescent="0.35">
      <c r="B403" s="47"/>
      <c r="C403" s="48"/>
      <c r="D403" s="24"/>
      <c r="G403" s="22"/>
      <c r="I403" s="22"/>
      <c r="J403" s="50"/>
      <c r="K403" s="29"/>
      <c r="L403" s="52"/>
    </row>
    <row r="404" spans="2:12" x14ac:dyDescent="0.35">
      <c r="B404" s="47"/>
      <c r="C404" s="48"/>
      <c r="D404" s="24"/>
      <c r="G404" s="22"/>
      <c r="I404" s="22"/>
      <c r="J404" s="50"/>
      <c r="K404" s="29"/>
      <c r="L404" s="52"/>
    </row>
    <row r="405" spans="2:12" x14ac:dyDescent="0.35">
      <c r="B405" s="47"/>
      <c r="C405" s="48"/>
      <c r="D405" s="24"/>
      <c r="G405" s="22"/>
      <c r="I405" s="22"/>
      <c r="J405" s="50"/>
      <c r="K405" s="29"/>
      <c r="L405" s="52"/>
    </row>
    <row r="406" spans="2:12" x14ac:dyDescent="0.35">
      <c r="B406" s="47"/>
      <c r="C406" s="48"/>
      <c r="D406" s="24"/>
      <c r="G406" s="22"/>
      <c r="I406" s="22"/>
      <c r="J406" s="50"/>
      <c r="K406" s="29"/>
      <c r="L406" s="52"/>
    </row>
    <row r="407" spans="2:12" x14ac:dyDescent="0.35">
      <c r="B407" s="47"/>
      <c r="C407" s="48"/>
      <c r="D407" s="24"/>
      <c r="G407" s="22"/>
      <c r="I407" s="22"/>
      <c r="J407" s="50"/>
      <c r="K407" s="29"/>
      <c r="L407" s="52"/>
    </row>
    <row r="408" spans="2:12" x14ac:dyDescent="0.35">
      <c r="B408" s="8"/>
      <c r="C408" s="9"/>
      <c r="D408" s="10"/>
      <c r="E408" s="4"/>
      <c r="F408" s="4"/>
      <c r="G408" s="4"/>
      <c r="H408" s="1"/>
      <c r="I408" s="1"/>
      <c r="J408" s="11" t="s">
        <v>8</v>
      </c>
      <c r="K408" s="7">
        <f>SUM(K355:K407)</f>
        <v>0</v>
      </c>
      <c r="L408" s="7">
        <f>SUM(L355:L407)</f>
        <v>75569625.080000013</v>
      </c>
    </row>
    <row r="409" spans="2:12" x14ac:dyDescent="0.35">
      <c r="B409" s="8"/>
      <c r="C409" s="9"/>
      <c r="D409" s="9"/>
      <c r="E409" s="4"/>
      <c r="F409" s="4"/>
      <c r="G409" s="4"/>
      <c r="H409" s="1"/>
      <c r="I409" s="1"/>
      <c r="J409" s="11"/>
      <c r="K409" s="35" t="s">
        <v>22</v>
      </c>
      <c r="L409" s="36" t="s">
        <v>23</v>
      </c>
    </row>
    <row r="410" spans="2:12" x14ac:dyDescent="0.35">
      <c r="B410" s="3" t="s">
        <v>9</v>
      </c>
      <c r="C410" s="4"/>
      <c r="D410" s="4"/>
      <c r="E410" s="4"/>
      <c r="F410" s="4"/>
      <c r="G410" s="4"/>
      <c r="H410" s="1"/>
      <c r="I410" s="1"/>
      <c r="J410" s="12"/>
      <c r="K410" s="12"/>
      <c r="L410" s="13"/>
    </row>
    <row r="411" spans="2:12" x14ac:dyDescent="0.35">
      <c r="B411" s="37"/>
      <c r="C411" s="1"/>
      <c r="D411" s="1"/>
      <c r="E411" s="38"/>
      <c r="F411" s="38"/>
      <c r="G411" s="38"/>
      <c r="H411" s="1"/>
      <c r="I411" s="1"/>
      <c r="J411" s="1"/>
      <c r="K411" s="1"/>
      <c r="L411" s="19"/>
    </row>
    <row r="412" spans="2:12" x14ac:dyDescent="0.35">
      <c r="B412" s="28" t="s">
        <v>6</v>
      </c>
      <c r="C412" s="27"/>
      <c r="D412" s="27"/>
      <c r="E412" s="26"/>
      <c r="F412" s="26"/>
      <c r="G412" s="5"/>
      <c r="K412" s="232" t="s">
        <v>378</v>
      </c>
      <c r="L412" s="233"/>
    </row>
    <row r="413" spans="2:12" x14ac:dyDescent="0.35">
      <c r="B413" s="28">
        <v>1</v>
      </c>
      <c r="C413" s="27"/>
      <c r="D413" s="27"/>
      <c r="E413" s="26" t="s">
        <v>7</v>
      </c>
      <c r="F413" s="26"/>
      <c r="G413" s="5"/>
      <c r="K413" s="232" t="s">
        <v>28</v>
      </c>
      <c r="L413" s="233"/>
    </row>
    <row r="414" spans="2:12" x14ac:dyDescent="0.35">
      <c r="B414" s="39"/>
      <c r="C414" s="27"/>
      <c r="D414" s="27"/>
      <c r="E414" s="26"/>
      <c r="F414" s="26"/>
      <c r="G414" s="5"/>
      <c r="J414" s="25"/>
      <c r="K414" s="25"/>
      <c r="L414" s="24"/>
    </row>
    <row r="415" spans="2:12" x14ac:dyDescent="0.35">
      <c r="B415" s="28"/>
      <c r="C415" s="27"/>
      <c r="D415" s="27"/>
      <c r="E415" s="26"/>
      <c r="F415" s="26"/>
      <c r="G415" s="5"/>
      <c r="L415" s="22"/>
    </row>
    <row r="416" spans="2:12" x14ac:dyDescent="0.35">
      <c r="B416" s="45"/>
      <c r="E416" s="5"/>
      <c r="F416" s="5"/>
      <c r="G416" s="5"/>
      <c r="L416" s="22"/>
    </row>
    <row r="417" spans="2:12" x14ac:dyDescent="0.35">
      <c r="B417" s="45"/>
      <c r="E417" s="5"/>
      <c r="F417" s="5"/>
      <c r="G417" s="5"/>
      <c r="L417" s="22"/>
    </row>
    <row r="418" spans="2:12" x14ac:dyDescent="0.35">
      <c r="B418" s="45"/>
      <c r="E418" s="5"/>
      <c r="F418" s="5"/>
      <c r="G418" s="5"/>
      <c r="L418" s="22"/>
    </row>
    <row r="419" spans="2:12" x14ac:dyDescent="0.35">
      <c r="B419" s="45"/>
      <c r="E419" s="5"/>
      <c r="F419" s="5"/>
      <c r="G419" s="5"/>
      <c r="J419" s="40"/>
      <c r="K419" s="234" t="s">
        <v>36</v>
      </c>
      <c r="L419" s="235"/>
    </row>
    <row r="420" spans="2:12" x14ac:dyDescent="0.35">
      <c r="B420" s="45"/>
      <c r="K420" s="236" t="s">
        <v>37</v>
      </c>
      <c r="L420" s="237"/>
    </row>
    <row r="421" spans="2:12" x14ac:dyDescent="0.35">
      <c r="B421" s="238"/>
      <c r="C421" s="239"/>
      <c r="D421" s="239"/>
      <c r="E421" s="41"/>
      <c r="F421" s="41"/>
      <c r="G421" s="41"/>
      <c r="H421" s="2"/>
      <c r="I421" s="2"/>
      <c r="J421" s="2"/>
      <c r="K421" s="2"/>
      <c r="L421" s="21"/>
    </row>
    <row r="422" spans="2:12" x14ac:dyDescent="0.35">
      <c r="B422" s="47"/>
      <c r="C422" s="48"/>
      <c r="D422" s="49"/>
      <c r="G422" s="22"/>
      <c r="H422" s="1"/>
      <c r="I422" s="1"/>
      <c r="J422" s="43"/>
      <c r="K422" s="30"/>
      <c r="L422" s="44"/>
    </row>
    <row r="423" spans="2:12" x14ac:dyDescent="0.35">
      <c r="B423" s="86" t="s">
        <v>53</v>
      </c>
      <c r="C423" s="87"/>
      <c r="D423" s="88"/>
      <c r="E423" s="89" t="s">
        <v>118</v>
      </c>
      <c r="F423" s="89"/>
      <c r="G423" s="90"/>
      <c r="H423" s="91"/>
      <c r="I423" s="89"/>
      <c r="J423" s="50"/>
      <c r="K423" s="29"/>
      <c r="L423" s="52"/>
    </row>
    <row r="424" spans="2:12" x14ac:dyDescent="0.35">
      <c r="B424" s="71"/>
      <c r="C424" s="72"/>
      <c r="D424" s="73" t="s">
        <v>39</v>
      </c>
      <c r="E424" s="74"/>
      <c r="F424" s="74" t="s">
        <v>119</v>
      </c>
      <c r="G424" s="75"/>
      <c r="H424" s="78">
        <v>1</v>
      </c>
      <c r="I424" s="74" t="s">
        <v>112</v>
      </c>
      <c r="J424" s="187">
        <v>4500000</v>
      </c>
      <c r="K424" s="179"/>
      <c r="L424" s="46">
        <f>J424*H424</f>
        <v>4500000</v>
      </c>
    </row>
    <row r="425" spans="2:12" x14ac:dyDescent="0.35">
      <c r="B425" s="71"/>
      <c r="C425" s="72"/>
      <c r="D425" s="73"/>
      <c r="E425" s="74"/>
      <c r="F425" s="74" t="s">
        <v>88</v>
      </c>
      <c r="G425" s="75" t="s">
        <v>352</v>
      </c>
      <c r="H425" s="76"/>
      <c r="I425" s="74"/>
      <c r="J425" s="50"/>
      <c r="K425" s="29"/>
      <c r="L425" s="52"/>
    </row>
    <row r="426" spans="2:12" x14ac:dyDescent="0.35">
      <c r="B426" s="71"/>
      <c r="C426" s="72"/>
      <c r="D426" s="73"/>
      <c r="E426" s="74"/>
      <c r="F426" s="74" t="s">
        <v>88</v>
      </c>
      <c r="G426" s="75" t="s">
        <v>353</v>
      </c>
      <c r="H426" s="76"/>
      <c r="I426" s="74"/>
      <c r="J426" s="50"/>
      <c r="K426" s="29"/>
      <c r="L426" s="52"/>
    </row>
    <row r="427" spans="2:12" x14ac:dyDescent="0.35">
      <c r="B427" s="71"/>
      <c r="C427" s="72"/>
      <c r="D427" s="73"/>
      <c r="E427" s="74"/>
      <c r="F427" s="74" t="s">
        <v>88</v>
      </c>
      <c r="G427" s="75" t="s">
        <v>120</v>
      </c>
      <c r="H427" s="76"/>
      <c r="I427" s="74"/>
      <c r="J427" s="50"/>
      <c r="K427" s="29"/>
      <c r="L427" s="52"/>
    </row>
    <row r="428" spans="2:12" x14ac:dyDescent="0.35">
      <c r="B428" s="71"/>
      <c r="C428" s="72"/>
      <c r="D428" s="73"/>
      <c r="E428" s="74"/>
      <c r="F428" s="74" t="s">
        <v>88</v>
      </c>
      <c r="G428" s="75" t="s">
        <v>371</v>
      </c>
      <c r="H428" s="76"/>
      <c r="I428" s="74"/>
      <c r="J428" s="50"/>
      <c r="K428" s="29"/>
      <c r="L428" s="52"/>
    </row>
    <row r="429" spans="2:12" x14ac:dyDescent="0.35">
      <c r="B429" s="71"/>
      <c r="C429" s="72"/>
      <c r="D429" s="73" t="s">
        <v>42</v>
      </c>
      <c r="E429" s="74"/>
      <c r="F429" s="74" t="s">
        <v>121</v>
      </c>
      <c r="G429" s="75"/>
      <c r="H429" s="78">
        <v>1</v>
      </c>
      <c r="I429" s="74" t="s">
        <v>112</v>
      </c>
      <c r="J429" s="187">
        <v>4500000</v>
      </c>
      <c r="K429" s="179"/>
      <c r="L429" s="46">
        <f>J429*H429</f>
        <v>4500000</v>
      </c>
    </row>
    <row r="430" spans="2:12" x14ac:dyDescent="0.35">
      <c r="B430" s="71"/>
      <c r="C430" s="72"/>
      <c r="D430" s="73"/>
      <c r="E430" s="74"/>
      <c r="F430" s="74" t="s">
        <v>88</v>
      </c>
      <c r="G430" s="75" t="s">
        <v>352</v>
      </c>
      <c r="H430" s="76"/>
      <c r="I430" s="74"/>
      <c r="J430" s="50"/>
      <c r="K430" s="29"/>
      <c r="L430" s="52"/>
    </row>
    <row r="431" spans="2:12" x14ac:dyDescent="0.35">
      <c r="B431" s="71"/>
      <c r="C431" s="72"/>
      <c r="D431" s="73"/>
      <c r="E431" s="74"/>
      <c r="F431" s="74" t="s">
        <v>88</v>
      </c>
      <c r="G431" s="75" t="s">
        <v>353</v>
      </c>
      <c r="H431" s="76"/>
      <c r="I431" s="74"/>
      <c r="J431" s="50"/>
      <c r="K431" s="29"/>
      <c r="L431" s="52"/>
    </row>
    <row r="432" spans="2:12" x14ac:dyDescent="0.35">
      <c r="B432" s="71"/>
      <c r="C432" s="72"/>
      <c r="D432" s="73"/>
      <c r="E432" s="74"/>
      <c r="F432" s="74" t="s">
        <v>88</v>
      </c>
      <c r="G432" s="75" t="s">
        <v>120</v>
      </c>
      <c r="H432" s="76"/>
      <c r="I432" s="74"/>
      <c r="J432" s="50"/>
      <c r="K432" s="29"/>
      <c r="L432" s="52"/>
    </row>
    <row r="433" spans="2:12" x14ac:dyDescent="0.35">
      <c r="B433" s="71"/>
      <c r="C433" s="72"/>
      <c r="D433" s="73"/>
      <c r="E433" s="74"/>
      <c r="F433" s="74" t="s">
        <v>88</v>
      </c>
      <c r="G433" s="75" t="s">
        <v>371</v>
      </c>
      <c r="H433" s="76"/>
      <c r="I433" s="74"/>
      <c r="J433" s="50"/>
      <c r="K433" s="29"/>
      <c r="L433" s="52"/>
    </row>
    <row r="434" spans="2:12" x14ac:dyDescent="0.35">
      <c r="B434" s="71"/>
      <c r="C434" s="72"/>
      <c r="D434" s="73" t="s">
        <v>44</v>
      </c>
      <c r="E434" s="74"/>
      <c r="F434" s="74" t="s">
        <v>355</v>
      </c>
      <c r="G434" s="75"/>
      <c r="H434" s="76"/>
      <c r="I434" s="74"/>
      <c r="J434" s="29"/>
      <c r="K434" s="51"/>
      <c r="L434" s="46"/>
    </row>
    <row r="435" spans="2:12" x14ac:dyDescent="0.35">
      <c r="B435" s="71"/>
      <c r="C435" s="72"/>
      <c r="D435" s="73"/>
      <c r="E435" s="74"/>
      <c r="F435" s="74" t="s">
        <v>88</v>
      </c>
      <c r="G435" s="75" t="s">
        <v>354</v>
      </c>
      <c r="H435" s="78">
        <v>24</v>
      </c>
      <c r="I435" s="74" t="s">
        <v>77</v>
      </c>
      <c r="J435" s="187">
        <v>75000</v>
      </c>
      <c r="K435" s="179"/>
      <c r="L435" s="46">
        <f>J435*H435</f>
        <v>1800000</v>
      </c>
    </row>
    <row r="436" spans="2:12" x14ac:dyDescent="0.35">
      <c r="B436" s="86" t="s">
        <v>73</v>
      </c>
      <c r="C436" s="87"/>
      <c r="D436" s="88"/>
      <c r="E436" s="89" t="s">
        <v>18</v>
      </c>
      <c r="F436" s="89"/>
      <c r="G436" s="90"/>
      <c r="H436" s="91"/>
      <c r="I436" s="89"/>
      <c r="J436" s="50"/>
      <c r="K436" s="51"/>
      <c r="L436" s="46"/>
    </row>
    <row r="437" spans="2:12" x14ac:dyDescent="0.35">
      <c r="B437" s="71"/>
      <c r="C437" s="72"/>
      <c r="D437" s="73" t="s">
        <v>39</v>
      </c>
      <c r="E437" s="74"/>
      <c r="F437" s="74" t="s">
        <v>122</v>
      </c>
      <c r="G437" s="75"/>
      <c r="H437" s="76"/>
      <c r="I437" s="74"/>
      <c r="J437" s="50"/>
      <c r="K437" s="29"/>
      <c r="L437" s="52"/>
    </row>
    <row r="438" spans="2:12" x14ac:dyDescent="0.35">
      <c r="B438" s="71"/>
      <c r="C438" s="72"/>
      <c r="D438" s="73"/>
      <c r="E438" s="74"/>
      <c r="F438" s="74" t="s">
        <v>88</v>
      </c>
      <c r="G438" s="75" t="s">
        <v>356</v>
      </c>
      <c r="H438" s="76">
        <v>10.882097999999999</v>
      </c>
      <c r="I438" s="74" t="s">
        <v>74</v>
      </c>
      <c r="J438" s="178">
        <v>30500</v>
      </c>
      <c r="K438" s="180"/>
      <c r="L438" s="46">
        <f t="shared" ref="L438" si="49">J438*H438</f>
        <v>331903.989</v>
      </c>
    </row>
    <row r="439" spans="2:12" x14ac:dyDescent="0.35">
      <c r="B439" s="71"/>
      <c r="C439" s="72"/>
      <c r="D439" s="73" t="s">
        <v>42</v>
      </c>
      <c r="E439" s="74"/>
      <c r="F439" s="74" t="s">
        <v>123</v>
      </c>
      <c r="G439" s="75"/>
      <c r="H439" s="78">
        <v>7</v>
      </c>
      <c r="I439" s="74" t="s">
        <v>124</v>
      </c>
      <c r="J439" s="46">
        <v>200000</v>
      </c>
      <c r="K439" s="46">
        <f>J439*H439</f>
        <v>1400000</v>
      </c>
      <c r="L439" s="188"/>
    </row>
    <row r="440" spans="2:12" x14ac:dyDescent="0.35">
      <c r="B440" s="71"/>
      <c r="C440" s="72"/>
      <c r="D440" s="73"/>
      <c r="E440" s="74"/>
      <c r="F440" s="74" t="s">
        <v>88</v>
      </c>
      <c r="G440" s="75" t="s">
        <v>357</v>
      </c>
      <c r="H440" s="78">
        <v>1470</v>
      </c>
      <c r="I440" s="74" t="s">
        <v>125</v>
      </c>
      <c r="J440" s="178">
        <v>393</v>
      </c>
      <c r="K440" s="178"/>
      <c r="L440" s="46">
        <f>J440*H440</f>
        <v>577710</v>
      </c>
    </row>
    <row r="441" spans="2:12" x14ac:dyDescent="0.35">
      <c r="B441" s="71"/>
      <c r="C441" s="72"/>
      <c r="D441" s="73"/>
      <c r="E441" s="74"/>
      <c r="F441" s="74" t="s">
        <v>88</v>
      </c>
      <c r="G441" s="75" t="s">
        <v>357</v>
      </c>
      <c r="H441" s="78">
        <v>1350</v>
      </c>
      <c r="I441" s="74" t="s">
        <v>125</v>
      </c>
      <c r="J441" s="178">
        <v>393</v>
      </c>
      <c r="K441" s="178"/>
      <c r="L441" s="46">
        <f>J441*H441</f>
        <v>530550</v>
      </c>
    </row>
    <row r="442" spans="2:12" x14ac:dyDescent="0.35">
      <c r="B442" s="71"/>
      <c r="C442" s="72"/>
      <c r="D442" s="73"/>
      <c r="E442" s="74"/>
      <c r="F442" s="74" t="s">
        <v>88</v>
      </c>
      <c r="G442" s="75" t="s">
        <v>357</v>
      </c>
      <c r="H442" s="78">
        <v>1500</v>
      </c>
      <c r="I442" s="74" t="s">
        <v>125</v>
      </c>
      <c r="J442" s="178">
        <v>393</v>
      </c>
      <c r="K442" s="178"/>
      <c r="L442" s="46">
        <f>J442*H442</f>
        <v>589500</v>
      </c>
    </row>
    <row r="443" spans="2:12" x14ac:dyDescent="0.35">
      <c r="B443" s="71"/>
      <c r="C443" s="72"/>
      <c r="D443" s="73"/>
      <c r="E443" s="74"/>
      <c r="F443" s="74" t="s">
        <v>88</v>
      </c>
      <c r="G443" s="75" t="s">
        <v>358</v>
      </c>
      <c r="H443" s="78">
        <v>1010</v>
      </c>
      <c r="I443" s="74" t="s">
        <v>125</v>
      </c>
      <c r="J443" s="178">
        <v>393</v>
      </c>
      <c r="K443" s="178"/>
      <c r="L443" s="46">
        <f>J443*H443</f>
        <v>396930</v>
      </c>
    </row>
    <row r="444" spans="2:12" x14ac:dyDescent="0.35">
      <c r="B444" s="71"/>
      <c r="C444" s="72"/>
      <c r="D444" s="73" t="s">
        <v>44</v>
      </c>
      <c r="E444" s="74"/>
      <c r="F444" s="74" t="s">
        <v>126</v>
      </c>
      <c r="G444" s="75"/>
      <c r="H444" s="78">
        <v>40</v>
      </c>
      <c r="I444" s="74" t="s">
        <v>83</v>
      </c>
      <c r="J444" s="178">
        <v>300000</v>
      </c>
      <c r="K444" s="178"/>
      <c r="L444" s="46">
        <f>J444*H444</f>
        <v>12000000</v>
      </c>
    </row>
    <row r="445" spans="2:12" x14ac:dyDescent="0.35">
      <c r="B445" s="71"/>
      <c r="C445" s="72"/>
      <c r="D445" s="73"/>
      <c r="E445" s="74"/>
      <c r="F445" s="74" t="s">
        <v>88</v>
      </c>
      <c r="G445" s="75" t="s">
        <v>359</v>
      </c>
      <c r="H445" s="76"/>
      <c r="I445" s="74"/>
      <c r="J445" s="50"/>
      <c r="K445" s="29"/>
      <c r="L445" s="52"/>
    </row>
    <row r="446" spans="2:12" x14ac:dyDescent="0.35">
      <c r="B446" s="71"/>
      <c r="C446" s="72"/>
      <c r="D446" s="73"/>
      <c r="E446" s="74"/>
      <c r="F446" s="74" t="s">
        <v>88</v>
      </c>
      <c r="G446" s="75" t="s">
        <v>360</v>
      </c>
      <c r="H446" s="76"/>
      <c r="I446" s="74"/>
      <c r="J446" s="50"/>
      <c r="K446" s="29"/>
      <c r="L446" s="52"/>
    </row>
    <row r="447" spans="2:12" x14ac:dyDescent="0.35">
      <c r="B447" s="71"/>
      <c r="C447" s="72"/>
      <c r="D447" s="73"/>
      <c r="E447" s="74"/>
      <c r="F447" s="74" t="s">
        <v>88</v>
      </c>
      <c r="G447" s="75" t="s">
        <v>361</v>
      </c>
      <c r="H447" s="76"/>
      <c r="I447" s="74"/>
      <c r="J447" s="50"/>
      <c r="K447" s="29"/>
      <c r="L447" s="52"/>
    </row>
    <row r="448" spans="2:12" x14ac:dyDescent="0.35">
      <c r="B448" s="86" t="s">
        <v>75</v>
      </c>
      <c r="C448" s="87"/>
      <c r="D448" s="88"/>
      <c r="E448" s="89" t="s">
        <v>113</v>
      </c>
      <c r="F448" s="89"/>
      <c r="G448" s="90"/>
      <c r="H448" s="91"/>
      <c r="I448" s="89"/>
      <c r="J448" s="50"/>
      <c r="K448" s="29"/>
      <c r="L448" s="52"/>
    </row>
    <row r="449" spans="2:12" x14ac:dyDescent="0.35">
      <c r="B449" s="71"/>
      <c r="C449" s="72"/>
      <c r="D449" s="73" t="s">
        <v>39</v>
      </c>
      <c r="E449" s="74"/>
      <c r="F449" s="74" t="s">
        <v>127</v>
      </c>
      <c r="G449" s="75"/>
      <c r="H449" s="78">
        <v>1</v>
      </c>
      <c r="I449" s="74" t="s">
        <v>41</v>
      </c>
      <c r="J449" s="178">
        <v>2000000</v>
      </c>
      <c r="K449" s="178">
        <f t="shared" ref="K449:K456" si="50">J449*H449</f>
        <v>2000000</v>
      </c>
      <c r="L449" s="189"/>
    </row>
    <row r="450" spans="2:12" x14ac:dyDescent="0.35">
      <c r="B450" s="71"/>
      <c r="C450" s="72"/>
      <c r="D450" s="73" t="s">
        <v>42</v>
      </c>
      <c r="E450" s="74"/>
      <c r="F450" s="74" t="s">
        <v>372</v>
      </c>
      <c r="G450" s="75"/>
      <c r="H450" s="78">
        <v>1</v>
      </c>
      <c r="I450" s="74" t="s">
        <v>41</v>
      </c>
      <c r="J450" s="50">
        <v>4000000</v>
      </c>
      <c r="K450" s="178">
        <f t="shared" si="50"/>
        <v>4000000</v>
      </c>
      <c r="L450" s="52"/>
    </row>
    <row r="451" spans="2:12" x14ac:dyDescent="0.35">
      <c r="B451" s="71"/>
      <c r="C451" s="72"/>
      <c r="D451" s="73" t="s">
        <v>44</v>
      </c>
      <c r="E451" s="74"/>
      <c r="F451" s="74" t="s">
        <v>362</v>
      </c>
      <c r="G451" s="75"/>
      <c r="H451" s="78">
        <v>2</v>
      </c>
      <c r="I451" s="74" t="s">
        <v>77</v>
      </c>
      <c r="J451" s="50">
        <v>5000000</v>
      </c>
      <c r="K451" s="178">
        <f t="shared" si="50"/>
        <v>10000000</v>
      </c>
      <c r="L451" s="52"/>
    </row>
    <row r="452" spans="2:12" x14ac:dyDescent="0.35">
      <c r="B452" s="71"/>
      <c r="C452" s="72"/>
      <c r="D452" s="73" t="s">
        <v>46</v>
      </c>
      <c r="E452" s="74"/>
      <c r="F452" s="74" t="s">
        <v>363</v>
      </c>
      <c r="G452" s="75"/>
      <c r="H452" s="78">
        <v>2</v>
      </c>
      <c r="I452" s="74" t="s">
        <v>77</v>
      </c>
      <c r="J452" s="50">
        <v>1500000</v>
      </c>
      <c r="K452" s="178">
        <f t="shared" si="50"/>
        <v>3000000</v>
      </c>
      <c r="L452" s="52"/>
    </row>
    <row r="453" spans="2:12" x14ac:dyDescent="0.35">
      <c r="B453" s="71"/>
      <c r="C453" s="72"/>
      <c r="D453" s="73" t="s">
        <v>48</v>
      </c>
      <c r="E453" s="74"/>
      <c r="F453" s="74" t="s">
        <v>364</v>
      </c>
      <c r="G453" s="75"/>
      <c r="H453" s="78">
        <v>2</v>
      </c>
      <c r="I453" s="74" t="s">
        <v>77</v>
      </c>
      <c r="J453" s="50">
        <v>1500000</v>
      </c>
      <c r="K453" s="178">
        <f t="shared" si="50"/>
        <v>3000000</v>
      </c>
      <c r="L453" s="52"/>
    </row>
    <row r="454" spans="2:12" x14ac:dyDescent="0.35">
      <c r="B454" s="71"/>
      <c r="C454" s="72"/>
      <c r="D454" s="73" t="s">
        <v>49</v>
      </c>
      <c r="E454" s="74"/>
      <c r="F454" s="74" t="s">
        <v>365</v>
      </c>
      <c r="G454" s="75"/>
      <c r="H454" s="78">
        <v>2</v>
      </c>
      <c r="I454" s="74" t="s">
        <v>77</v>
      </c>
      <c r="J454" s="50">
        <v>5000000</v>
      </c>
      <c r="K454" s="178">
        <f t="shared" si="50"/>
        <v>10000000</v>
      </c>
      <c r="L454" s="52"/>
    </row>
    <row r="455" spans="2:12" x14ac:dyDescent="0.35">
      <c r="B455" s="71"/>
      <c r="C455" s="72"/>
      <c r="D455" s="73" t="s">
        <v>51</v>
      </c>
      <c r="E455" s="74"/>
      <c r="F455" s="74" t="s">
        <v>366</v>
      </c>
      <c r="G455" s="75"/>
      <c r="H455" s="78">
        <v>1</v>
      </c>
      <c r="I455" s="74" t="s">
        <v>41</v>
      </c>
      <c r="J455" s="50">
        <v>5000000</v>
      </c>
      <c r="K455" s="178">
        <f t="shared" si="50"/>
        <v>5000000</v>
      </c>
      <c r="L455" s="52"/>
    </row>
    <row r="456" spans="2:12" s="181" customFormat="1" x14ac:dyDescent="0.35">
      <c r="B456" s="79"/>
      <c r="C456" s="80"/>
      <c r="D456" s="81" t="s">
        <v>61</v>
      </c>
      <c r="E456" s="82"/>
      <c r="F456" s="82" t="s">
        <v>367</v>
      </c>
      <c r="G456" s="83"/>
      <c r="H456" s="85">
        <v>1</v>
      </c>
      <c r="I456" s="82" t="s">
        <v>41</v>
      </c>
      <c r="J456" s="29">
        <v>12500000</v>
      </c>
      <c r="K456" s="178">
        <f t="shared" si="50"/>
        <v>12500000</v>
      </c>
      <c r="L456" s="52"/>
    </row>
    <row r="457" spans="2:12" s="181" customFormat="1" x14ac:dyDescent="0.35">
      <c r="B457" s="79"/>
      <c r="C457" s="80"/>
      <c r="D457" s="81"/>
      <c r="E457" s="82"/>
      <c r="F457" s="82"/>
      <c r="G457" s="83"/>
      <c r="H457" s="85"/>
      <c r="I457" s="82"/>
      <c r="J457" s="29"/>
      <c r="K457" s="29"/>
      <c r="L457" s="52"/>
    </row>
    <row r="458" spans="2:12" s="181" customFormat="1" x14ac:dyDescent="0.35">
      <c r="B458" s="79"/>
      <c r="C458" s="80"/>
      <c r="D458" s="81"/>
      <c r="E458" s="82"/>
      <c r="F458" s="82"/>
      <c r="G458" s="83"/>
      <c r="H458" s="85"/>
      <c r="I458" s="82"/>
      <c r="J458" s="29"/>
      <c r="K458" s="29"/>
      <c r="L458" s="52"/>
    </row>
    <row r="459" spans="2:12" s="181" customFormat="1" x14ac:dyDescent="0.35">
      <c r="B459" s="79"/>
      <c r="C459" s="80"/>
      <c r="D459" s="81"/>
      <c r="E459" s="82"/>
      <c r="F459" s="82"/>
      <c r="G459" s="83"/>
      <c r="H459" s="85"/>
      <c r="I459" s="82"/>
      <c r="J459" s="29"/>
      <c r="K459" s="29"/>
      <c r="L459" s="52"/>
    </row>
    <row r="460" spans="2:12" s="181" customFormat="1" x14ac:dyDescent="0.35">
      <c r="B460" s="79"/>
      <c r="C460" s="80"/>
      <c r="D460" s="81"/>
      <c r="E460" s="82"/>
      <c r="F460" s="82"/>
      <c r="G460" s="83"/>
      <c r="H460" s="85"/>
      <c r="I460" s="82"/>
      <c r="J460" s="29"/>
      <c r="K460" s="29"/>
      <c r="L460" s="52"/>
    </row>
    <row r="461" spans="2:12" x14ac:dyDescent="0.35">
      <c r="B461" s="71"/>
      <c r="C461" s="72"/>
      <c r="D461" s="73"/>
      <c r="E461" s="74"/>
      <c r="F461" s="74"/>
      <c r="G461" s="75"/>
      <c r="H461" s="78"/>
      <c r="I461" s="75"/>
      <c r="J461" s="50"/>
      <c r="K461" s="29"/>
      <c r="L461" s="52"/>
    </row>
    <row r="462" spans="2:12" x14ac:dyDescent="0.35">
      <c r="B462" s="71"/>
      <c r="C462" s="72"/>
      <c r="D462" s="73"/>
      <c r="E462" s="74"/>
      <c r="F462" s="74"/>
      <c r="G462" s="75"/>
      <c r="H462" s="78"/>
      <c r="I462" s="75"/>
      <c r="J462" s="50"/>
      <c r="K462" s="29"/>
      <c r="L462" s="52"/>
    </row>
    <row r="463" spans="2:12" x14ac:dyDescent="0.35">
      <c r="B463" s="71"/>
      <c r="C463" s="72"/>
      <c r="D463" s="92"/>
      <c r="E463" s="93"/>
      <c r="F463" s="74"/>
      <c r="G463" s="75"/>
      <c r="H463" s="78"/>
      <c r="I463" s="75"/>
      <c r="J463" s="50"/>
      <c r="K463" s="29"/>
      <c r="L463" s="52"/>
    </row>
    <row r="464" spans="2:12" x14ac:dyDescent="0.35">
      <c r="B464" s="71"/>
      <c r="C464" s="72"/>
      <c r="D464" s="73"/>
      <c r="E464" s="74"/>
      <c r="F464" s="74"/>
      <c r="G464" s="75"/>
      <c r="H464" s="76"/>
      <c r="I464" s="74"/>
      <c r="J464" s="50"/>
      <c r="K464" s="29"/>
      <c r="L464" s="52"/>
    </row>
    <row r="465" spans="2:15" x14ac:dyDescent="0.35">
      <c r="B465" s="71"/>
      <c r="C465" s="72"/>
      <c r="D465" s="73"/>
      <c r="E465" s="74"/>
      <c r="F465" s="74"/>
      <c r="G465" s="75"/>
      <c r="H465" s="76"/>
      <c r="I465" s="74"/>
      <c r="J465" s="50"/>
      <c r="K465" s="29"/>
      <c r="L465" s="52"/>
    </row>
    <row r="466" spans="2:15" x14ac:dyDescent="0.35">
      <c r="B466" s="71"/>
      <c r="C466" s="72"/>
      <c r="D466" s="73"/>
      <c r="E466" s="74"/>
      <c r="F466" s="74"/>
      <c r="G466" s="75"/>
      <c r="H466" s="76"/>
      <c r="I466" s="74"/>
      <c r="J466" s="50"/>
      <c r="K466" s="29"/>
      <c r="L466" s="52"/>
    </row>
    <row r="467" spans="2:15" x14ac:dyDescent="0.35">
      <c r="B467" s="71"/>
      <c r="C467" s="72"/>
      <c r="D467" s="73"/>
      <c r="E467" s="74"/>
      <c r="F467" s="74"/>
      <c r="G467" s="75"/>
      <c r="H467" s="76"/>
      <c r="I467" s="74"/>
      <c r="J467" s="50"/>
      <c r="K467" s="29"/>
      <c r="L467" s="52"/>
    </row>
    <row r="468" spans="2:15" x14ac:dyDescent="0.35">
      <c r="B468" s="71"/>
      <c r="C468" s="72"/>
      <c r="D468" s="73"/>
      <c r="E468" s="74"/>
      <c r="F468" s="74"/>
      <c r="G468" s="75"/>
      <c r="H468" s="76"/>
      <c r="I468" s="74"/>
      <c r="J468" s="50"/>
      <c r="K468" s="29"/>
      <c r="L468" s="52"/>
    </row>
    <row r="469" spans="2:15" x14ac:dyDescent="0.35">
      <c r="B469" s="47"/>
      <c r="C469" s="48"/>
      <c r="D469" s="24"/>
      <c r="G469" s="22"/>
      <c r="I469" s="22"/>
      <c r="J469" s="50"/>
      <c r="K469" s="29"/>
      <c r="L469" s="52"/>
    </row>
    <row r="470" spans="2:15" x14ac:dyDescent="0.35">
      <c r="B470" s="47"/>
      <c r="C470" s="48"/>
      <c r="D470" s="24"/>
      <c r="G470" s="22"/>
      <c r="I470" s="22"/>
      <c r="J470" s="50"/>
      <c r="K470" s="29"/>
      <c r="L470" s="52"/>
    </row>
    <row r="471" spans="2:15" x14ac:dyDescent="0.35">
      <c r="B471" s="47"/>
      <c r="C471" s="48"/>
      <c r="D471" s="24"/>
      <c r="G471" s="22"/>
      <c r="I471" s="22"/>
      <c r="J471" s="50"/>
      <c r="K471" s="29"/>
      <c r="L471" s="52"/>
    </row>
    <row r="472" spans="2:15" x14ac:dyDescent="0.35">
      <c r="B472" s="8"/>
      <c r="C472" s="9"/>
      <c r="D472" s="10"/>
      <c r="E472" s="4"/>
      <c r="F472" s="4"/>
      <c r="G472" s="4"/>
      <c r="H472" s="1"/>
      <c r="I472" s="1"/>
      <c r="J472" s="11" t="s">
        <v>8</v>
      </c>
      <c r="K472" s="7">
        <f>SUM(K422:K471)</f>
        <v>50900000</v>
      </c>
      <c r="L472" s="7">
        <f>SUM(L422:L471)</f>
        <v>25226593.989</v>
      </c>
    </row>
    <row r="473" spans="2:15" x14ac:dyDescent="0.35">
      <c r="B473" s="8"/>
      <c r="C473" s="9"/>
      <c r="D473" s="9"/>
      <c r="E473" s="4"/>
      <c r="F473" s="4"/>
      <c r="G473" s="4"/>
      <c r="H473" s="1"/>
      <c r="I473" s="1"/>
      <c r="J473" s="11" t="s">
        <v>373</v>
      </c>
      <c r="K473" s="190">
        <f>SUM(K73,K140,K207,K274,K341,K408,K472)</f>
        <v>657993500</v>
      </c>
      <c r="L473" s="190">
        <f>SUM(L73,L140,L207,L274,L341,L408,L472)</f>
        <v>1194132260.6329999</v>
      </c>
      <c r="M473" s="14">
        <f>K473+L473</f>
        <v>1852125760.6329999</v>
      </c>
      <c r="N473" s="14">
        <f>M473*10%</f>
        <v>185212576.06330001</v>
      </c>
      <c r="O473" s="231">
        <f>M473-N473</f>
        <v>1666913184.5696998</v>
      </c>
    </row>
    <row r="474" spans="2:15" x14ac:dyDescent="0.35">
      <c r="B474" s="8"/>
      <c r="C474" s="9"/>
      <c r="D474" s="9"/>
      <c r="E474" s="4"/>
      <c r="F474" s="4"/>
      <c r="G474" s="4"/>
      <c r="H474" s="1"/>
      <c r="I474" s="1"/>
      <c r="J474" s="11" t="s">
        <v>376</v>
      </c>
      <c r="K474" s="190">
        <v>185212576.06330001</v>
      </c>
      <c r="L474" s="190">
        <v>0</v>
      </c>
      <c r="M474" s="14"/>
    </row>
    <row r="475" spans="2:15" x14ac:dyDescent="0.35">
      <c r="B475" s="8"/>
      <c r="C475" s="9"/>
      <c r="D475" s="9"/>
      <c r="E475" s="4"/>
      <c r="F475" s="4"/>
      <c r="G475" s="4"/>
      <c r="H475" s="1"/>
      <c r="I475" s="1"/>
      <c r="J475" s="11" t="s">
        <v>377</v>
      </c>
      <c r="K475" s="190">
        <f>K473-K474</f>
        <v>472780923.93669999</v>
      </c>
      <c r="L475" s="190">
        <f>L473-L474</f>
        <v>1194132260.6329999</v>
      </c>
      <c r="M475" s="231">
        <f>K475+L475</f>
        <v>1666913184.5696998</v>
      </c>
      <c r="N475" s="14"/>
    </row>
    <row r="476" spans="2:15" x14ac:dyDescent="0.35">
      <c r="B476" s="8"/>
      <c r="C476" s="9"/>
      <c r="D476" s="9"/>
      <c r="E476" s="4"/>
      <c r="F476" s="4"/>
      <c r="G476" s="4"/>
      <c r="H476" s="1"/>
      <c r="I476" s="1"/>
      <c r="J476" s="11"/>
      <c r="K476" s="35" t="s">
        <v>22</v>
      </c>
      <c r="L476" s="36" t="s">
        <v>23</v>
      </c>
      <c r="M476" s="14"/>
    </row>
    <row r="477" spans="2:15" x14ac:dyDescent="0.35">
      <c r="B477" s="3" t="s">
        <v>9</v>
      </c>
      <c r="C477" s="4"/>
      <c r="D477" s="4"/>
      <c r="E477" s="4"/>
      <c r="F477" s="4"/>
      <c r="G477" s="4"/>
      <c r="H477" s="1"/>
      <c r="I477" s="1"/>
      <c r="J477" s="12"/>
      <c r="K477" s="12"/>
      <c r="L477" s="13"/>
      <c r="M477" s="14"/>
    </row>
    <row r="478" spans="2:15" x14ac:dyDescent="0.35">
      <c r="B478" s="37"/>
      <c r="C478" s="1"/>
      <c r="D478" s="1"/>
      <c r="E478" s="38"/>
      <c r="F478" s="38"/>
      <c r="G478" s="38"/>
      <c r="H478" s="1"/>
      <c r="I478" s="1"/>
      <c r="J478" s="1"/>
      <c r="K478" s="1"/>
      <c r="L478" s="19"/>
      <c r="M478" s="14"/>
    </row>
    <row r="479" spans="2:15" x14ac:dyDescent="0.35">
      <c r="B479" s="28" t="s">
        <v>6</v>
      </c>
      <c r="C479" s="27"/>
      <c r="D479" s="27"/>
      <c r="E479" s="26"/>
      <c r="F479" s="26"/>
      <c r="G479" s="5"/>
      <c r="K479" s="232" t="s">
        <v>378</v>
      </c>
      <c r="L479" s="233"/>
    </row>
    <row r="480" spans="2:15" x14ac:dyDescent="0.35">
      <c r="B480" s="28">
        <v>1</v>
      </c>
      <c r="C480" s="27"/>
      <c r="D480" s="27"/>
      <c r="E480" s="26" t="s">
        <v>7</v>
      </c>
      <c r="F480" s="26"/>
      <c r="G480" s="5"/>
      <c r="K480" s="232" t="s">
        <v>28</v>
      </c>
      <c r="L480" s="233"/>
    </row>
    <row r="481" spans="2:12" x14ac:dyDescent="0.35">
      <c r="B481" s="39"/>
      <c r="C481" s="27"/>
      <c r="D481" s="27"/>
      <c r="E481" s="26"/>
      <c r="F481" s="26"/>
      <c r="G481" s="5"/>
      <c r="J481" s="25"/>
      <c r="K481" s="25"/>
      <c r="L481" s="24"/>
    </row>
    <row r="482" spans="2:12" x14ac:dyDescent="0.35">
      <c r="B482" s="28"/>
      <c r="C482" s="27"/>
      <c r="D482" s="27"/>
      <c r="E482" s="26"/>
      <c r="F482" s="26"/>
      <c r="G482" s="5"/>
      <c r="L482" s="22"/>
    </row>
    <row r="483" spans="2:12" x14ac:dyDescent="0.35">
      <c r="B483" s="45"/>
      <c r="E483" s="5"/>
      <c r="F483" s="5"/>
      <c r="G483" s="5"/>
      <c r="L483" s="22"/>
    </row>
    <row r="484" spans="2:12" x14ac:dyDescent="0.35">
      <c r="B484" s="45"/>
      <c r="E484" s="5"/>
      <c r="F484" s="5"/>
      <c r="G484" s="5"/>
      <c r="L484" s="22"/>
    </row>
    <row r="485" spans="2:12" x14ac:dyDescent="0.35">
      <c r="B485" s="45"/>
      <c r="E485" s="5"/>
      <c r="F485" s="5"/>
      <c r="G485" s="5"/>
      <c r="L485" s="22"/>
    </row>
    <row r="486" spans="2:12" x14ac:dyDescent="0.35">
      <c r="B486" s="45"/>
      <c r="E486" s="5"/>
      <c r="F486" s="5"/>
      <c r="G486" s="5"/>
      <c r="J486" s="40"/>
      <c r="K486" s="234" t="s">
        <v>36</v>
      </c>
      <c r="L486" s="235"/>
    </row>
    <row r="487" spans="2:12" x14ac:dyDescent="0.35">
      <c r="B487" s="45"/>
      <c r="K487" s="236" t="s">
        <v>37</v>
      </c>
      <c r="L487" s="237"/>
    </row>
    <row r="488" spans="2:12" x14ac:dyDescent="0.35">
      <c r="B488" s="238"/>
      <c r="C488" s="239"/>
      <c r="D488" s="239"/>
      <c r="E488" s="41"/>
      <c r="F488" s="41"/>
      <c r="G488" s="41"/>
      <c r="H488" s="2"/>
      <c r="I488" s="2"/>
      <c r="J488" s="2"/>
      <c r="K488" s="2"/>
      <c r="L488" s="21"/>
    </row>
  </sheetData>
  <mergeCells count="43">
    <mergeCell ref="K18:K19"/>
    <mergeCell ref="L18:L19"/>
    <mergeCell ref="F15:G15"/>
    <mergeCell ref="B18:D19"/>
    <mergeCell ref="E18:G19"/>
    <mergeCell ref="H18:I19"/>
    <mergeCell ref="J18:J19"/>
    <mergeCell ref="N21:O21"/>
    <mergeCell ref="K77:L77"/>
    <mergeCell ref="K78:L78"/>
    <mergeCell ref="K84:L84"/>
    <mergeCell ref="K278:L278"/>
    <mergeCell ref="K85:L85"/>
    <mergeCell ref="B86:D86"/>
    <mergeCell ref="K144:L144"/>
    <mergeCell ref="K145:L145"/>
    <mergeCell ref="K151:L151"/>
    <mergeCell ref="K152:L152"/>
    <mergeCell ref="B153:D153"/>
    <mergeCell ref="K211:L211"/>
    <mergeCell ref="K212:L212"/>
    <mergeCell ref="K218:L218"/>
    <mergeCell ref="K219:L219"/>
    <mergeCell ref="B220:D220"/>
    <mergeCell ref="K419:L419"/>
    <mergeCell ref="K279:L279"/>
    <mergeCell ref="K285:L285"/>
    <mergeCell ref="K286:L286"/>
    <mergeCell ref="B287:D287"/>
    <mergeCell ref="K345:L345"/>
    <mergeCell ref="K346:L346"/>
    <mergeCell ref="K352:L352"/>
    <mergeCell ref="K353:L353"/>
    <mergeCell ref="B354:D354"/>
    <mergeCell ref="K412:L412"/>
    <mergeCell ref="K413:L413"/>
    <mergeCell ref="B488:D488"/>
    <mergeCell ref="K420:L420"/>
    <mergeCell ref="B421:D421"/>
    <mergeCell ref="K479:L479"/>
    <mergeCell ref="K480:L480"/>
    <mergeCell ref="K486:L486"/>
    <mergeCell ref="K487:L487"/>
  </mergeCells>
  <conditionalFormatting sqref="E31">
    <cfRule type="expression" dxfId="4" priority="5">
      <formula>AND((ISBLANK($B31)=FALSE),(ISBLANK($E31)=FALSE))</formula>
    </cfRule>
  </conditionalFormatting>
  <conditionalFormatting sqref="E53">
    <cfRule type="expression" dxfId="3" priority="4">
      <formula>AND((ISBLANK($B53)=FALSE),(ISBLANK($E53)=FALSE))</formula>
    </cfRule>
  </conditionalFormatting>
  <conditionalFormatting sqref="E55:E56">
    <cfRule type="expression" dxfId="2" priority="3">
      <formula>AND((ISBLANK($B55)=FALSE),(ISBLANK($E55)=FALSE))</formula>
    </cfRule>
  </conditionalFormatting>
  <conditionalFormatting sqref="E59">
    <cfRule type="expression" dxfId="1" priority="2">
      <formula>AND((ISBLANK($B59)=FALSE),(ISBLANK($E59)=FALSE))</formula>
    </cfRule>
  </conditionalFormatting>
  <conditionalFormatting sqref="E336">
    <cfRule type="expression" dxfId="0" priority="1">
      <formula>AND((ISBLANK($B336)=FALSE),(ISBLANK($E336)=FALSE))</formula>
    </cfRule>
  </conditionalFormatting>
  <printOptions horizontalCentered="1"/>
  <pageMargins left="0.80870078740157503" right="0.39370078740157499" top="0.39370078740157499" bottom="0.39370078740157499" header="0.31496062992126" footer="0.31496062992126"/>
  <pageSetup scale="55" fitToHeight="0" orientation="portrait" r:id="rId1"/>
  <headerFooter>
    <oddFooter>&amp;LMKT-FM-002/Rev.01/18 Des 15/&amp;K00B050Green&amp;RPage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Rincian Biaya rev.02 (asuransi)</vt:lpstr>
      <vt:lpstr>Rincian Biaya rev.05</vt:lpstr>
      <vt:lpstr>'Rincian Biaya rev.02 (asuransi)'!Print_Area</vt:lpstr>
      <vt:lpstr>'Rincian Biaya rev.05'!Print_Area</vt:lpstr>
      <vt:lpstr>'Rincian Biaya rev.02 (asuransi)'!Print_Titles</vt:lpstr>
      <vt:lpstr>'Rincian Biaya rev.05'!Print_Titles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wimba prambada</dc:creator>
  <cp:lastModifiedBy>sigit hartono</cp:lastModifiedBy>
  <cp:lastPrinted>2025-07-30T05:52:48Z</cp:lastPrinted>
  <dcterms:created xsi:type="dcterms:W3CDTF">2015-07-30T04:54:41Z</dcterms:created>
  <dcterms:modified xsi:type="dcterms:W3CDTF">2025-12-23T08:04:02Z</dcterms:modified>
</cp:coreProperties>
</file>