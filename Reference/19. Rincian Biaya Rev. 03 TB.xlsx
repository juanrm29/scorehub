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H:\Shared drives\HO-A.1 MANAGEMENT REPRESENTATIF\TUGAS\MARKETING JUAN\"/>
    </mc:Choice>
  </mc:AlternateContent>
  <xr:revisionPtr revIDLastSave="0" documentId="13_ncr:1_{17EFFED3-681D-40EF-A0B3-C65145579509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Rincian Biaya rev.03" sheetId="45" r:id="rId1"/>
  </sheets>
  <definedNames>
    <definedName name="_xlnm.Print_Area" localSheetId="0">'Rincian Biaya rev.03'!$B$2:$L$287</definedName>
    <definedName name="_xlnm.Print_Titles" localSheetId="0">'Rincian Biaya rev.03'!$2:$19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4" i="45" l="1"/>
  <c r="M274" i="45"/>
  <c r="L274" i="45"/>
  <c r="O272" i="45"/>
  <c r="N272" i="45"/>
  <c r="K22" i="45"/>
  <c r="K23" i="45"/>
  <c r="K24" i="45"/>
  <c r="K25" i="45"/>
  <c r="K26" i="45"/>
  <c r="K27" i="45"/>
  <c r="K28" i="45"/>
  <c r="K29" i="45"/>
  <c r="K30" i="45"/>
  <c r="K31" i="45"/>
  <c r="K32" i="45"/>
  <c r="K33" i="45"/>
  <c r="K34" i="45"/>
  <c r="K35" i="45"/>
  <c r="K36" i="45"/>
  <c r="K38" i="45"/>
  <c r="H39" i="45"/>
  <c r="K39" i="45"/>
  <c r="K40" i="45"/>
  <c r="K41" i="45"/>
  <c r="H42" i="45"/>
  <c r="K42" i="45"/>
  <c r="H43" i="45"/>
  <c r="K43" i="45"/>
  <c r="H44" i="45"/>
  <c r="K44" i="45"/>
  <c r="K45" i="45"/>
  <c r="K46" i="45"/>
  <c r="K48" i="45"/>
  <c r="K49" i="45"/>
  <c r="K51" i="45"/>
  <c r="K54" i="45"/>
  <c r="K55" i="45"/>
  <c r="K58" i="45"/>
  <c r="K59" i="45"/>
  <c r="K61" i="45"/>
  <c r="K63" i="45"/>
  <c r="K64" i="45"/>
  <c r="K69" i="45"/>
  <c r="K70" i="45"/>
  <c r="K73" i="45"/>
  <c r="K88" i="45"/>
  <c r="K89" i="45"/>
  <c r="K90" i="45"/>
  <c r="K91" i="45"/>
  <c r="K95" i="45"/>
  <c r="K99" i="45"/>
  <c r="K102" i="45"/>
  <c r="K105" i="45"/>
  <c r="K110" i="45"/>
  <c r="K115" i="45"/>
  <c r="K120" i="45"/>
  <c r="K127" i="45"/>
  <c r="K133" i="45"/>
  <c r="K140" i="45"/>
  <c r="K159" i="45"/>
  <c r="K165" i="45"/>
  <c r="K174" i="45"/>
  <c r="K181" i="45"/>
  <c r="K198" i="45"/>
  <c r="K207" i="45"/>
  <c r="K225" i="45"/>
  <c r="K237" i="45"/>
  <c r="K238" i="45"/>
  <c r="K271" i="45"/>
  <c r="K272" i="45"/>
  <c r="L21" i="45"/>
  <c r="L56" i="45"/>
  <c r="L60" i="45"/>
  <c r="L65" i="45"/>
  <c r="L73" i="45"/>
  <c r="L92" i="45"/>
  <c r="L128" i="45"/>
  <c r="L129" i="45"/>
  <c r="L130" i="45"/>
  <c r="L131" i="45"/>
  <c r="L132" i="45"/>
  <c r="L134" i="45"/>
  <c r="L135" i="45"/>
  <c r="L136" i="45"/>
  <c r="L137" i="45"/>
  <c r="L140" i="45"/>
  <c r="L155" i="45"/>
  <c r="L156" i="45"/>
  <c r="L157" i="45"/>
  <c r="L160" i="45"/>
  <c r="L161" i="45"/>
  <c r="L162" i="45"/>
  <c r="L163" i="45"/>
  <c r="L164" i="45"/>
  <c r="L166" i="45"/>
  <c r="L167" i="45"/>
  <c r="L168" i="45"/>
  <c r="L169" i="45"/>
  <c r="L170" i="45"/>
  <c r="L171" i="45"/>
  <c r="L172" i="45"/>
  <c r="L175" i="45"/>
  <c r="L176" i="45"/>
  <c r="L177" i="45"/>
  <c r="L178" i="45"/>
  <c r="L179" i="45"/>
  <c r="L182" i="45"/>
  <c r="L183" i="45"/>
  <c r="L186" i="45"/>
  <c r="L187" i="45"/>
  <c r="L188" i="45"/>
  <c r="L189" i="45"/>
  <c r="L190" i="45"/>
  <c r="L193" i="45"/>
  <c r="L196" i="45"/>
  <c r="L199" i="45"/>
  <c r="L200" i="45"/>
  <c r="L201" i="45"/>
  <c r="L207" i="45"/>
  <c r="L222" i="45"/>
  <c r="L226" i="45"/>
  <c r="L271" i="45"/>
  <c r="L272" i="45"/>
  <c r="M272" i="45"/>
  <c r="N235" i="45"/>
  <c r="N204" i="45"/>
  <c r="N202" i="45"/>
  <c r="O27" i="45"/>
  <c r="O28" i="45"/>
  <c r="Q27" i="45"/>
  <c r="P27" i="45"/>
  <c r="Q26" i="45"/>
  <c r="O26" i="45"/>
  <c r="Q25" i="45"/>
  <c r="O25" i="45"/>
  <c r="P24" i="45"/>
  <c r="O24" i="45"/>
  <c r="Q22" i="45"/>
  <c r="R23" i="45"/>
  <c r="S23" i="45"/>
  <c r="T23" i="45"/>
  <c r="P22" i="45"/>
</calcChain>
</file>

<file path=xl/sharedStrings.xml><?xml version="1.0" encoding="utf-8"?>
<sst xmlns="http://schemas.openxmlformats.org/spreadsheetml/2006/main" count="518" uniqueCount="226">
  <si>
    <t>No</t>
  </si>
  <si>
    <t>Item</t>
  </si>
  <si>
    <t>Volume</t>
  </si>
  <si>
    <t>Unit Price</t>
  </si>
  <si>
    <t>Client</t>
  </si>
  <si>
    <t>Contact</t>
  </si>
  <si>
    <t>Note :</t>
  </si>
  <si>
    <t>Cara pembayaran :</t>
  </si>
  <si>
    <t xml:space="preserve">Total   </t>
  </si>
  <si>
    <t>Say   :</t>
  </si>
  <si>
    <t>PELAYANAN UMUM</t>
  </si>
  <si>
    <t>L</t>
  </si>
  <si>
    <t>D</t>
  </si>
  <si>
    <t>Keliling</t>
  </si>
  <si>
    <t>Bottom</t>
  </si>
  <si>
    <t>Luasan Painting</t>
  </si>
  <si>
    <t>PERAWATAN LAMBUNG</t>
  </si>
  <si>
    <t>SISTIM PENGGERAK</t>
  </si>
  <si>
    <t>PERLENGKAPAN DECK</t>
  </si>
  <si>
    <t>Panjang Sideboard</t>
  </si>
  <si>
    <t>Lebar Sideboard</t>
  </si>
  <si>
    <t>B</t>
  </si>
  <si>
    <t>Service</t>
  </si>
  <si>
    <t>Material</t>
  </si>
  <si>
    <t>DETAIL OF DOCKING AND REPAIR COST</t>
  </si>
  <si>
    <t>Rincian Biaya Docking Dan Perbaikan</t>
  </si>
  <si>
    <t>: All</t>
  </si>
  <si>
    <t>AKOMODASI</t>
  </si>
  <si>
    <t>PT. Meranti Nusa Bahari</t>
  </si>
  <si>
    <t>Project Information</t>
  </si>
  <si>
    <t>Name</t>
  </si>
  <si>
    <t>Length</t>
  </si>
  <si>
    <t>Breadth</t>
  </si>
  <si>
    <t>Depth</t>
  </si>
  <si>
    <t>Klass</t>
  </si>
  <si>
    <t>Type</t>
  </si>
  <si>
    <t>Aditya Agung H.</t>
  </si>
  <si>
    <t>General Manager</t>
  </si>
  <si>
    <t>: 19/FIN/MKT-MNB/III/2025</t>
  </si>
  <si>
    <t>:  26.00 Meter</t>
  </si>
  <si>
    <t>:    8.00 Meter</t>
  </si>
  <si>
    <t>:    3.65 Meter</t>
  </si>
  <si>
    <t>:  RINA</t>
  </si>
  <si>
    <t>I</t>
  </si>
  <si>
    <t>a</t>
  </si>
  <si>
    <t>Docking-Undocking</t>
  </si>
  <si>
    <t>Ls</t>
  </si>
  <si>
    <t>b</t>
  </si>
  <si>
    <t>Asistensi Tali Temali Dari Darat dan Persiapan Ganjal</t>
  </si>
  <si>
    <t>c</t>
  </si>
  <si>
    <t>Asistensi Dengan Mooring Boat</t>
  </si>
  <si>
    <t>d</t>
  </si>
  <si>
    <t>Hari</t>
  </si>
  <si>
    <t>e</t>
  </si>
  <si>
    <t>f</t>
  </si>
  <si>
    <t>Penyambungan Listrik Darat Ke Kapal</t>
  </si>
  <si>
    <t>g</t>
  </si>
  <si>
    <t>Suplai Listrik  16A 380V selama diatas dock dan sandar</t>
  </si>
  <si>
    <t>h</t>
  </si>
  <si>
    <t xml:space="preserve">Disediakan Fasilitas MCK untuk ABK </t>
  </si>
  <si>
    <t>i</t>
  </si>
  <si>
    <t>Disediakan Tempat Penampungan Sampah</t>
  </si>
  <si>
    <t>j</t>
  </si>
  <si>
    <t>Disediakan Tempat Penyimpanan Material Untuk Kapal</t>
  </si>
  <si>
    <t>k</t>
  </si>
  <si>
    <t>Penggunaan Alat Angkat ( &lt; 1.5 Ton )</t>
  </si>
  <si>
    <t>l</t>
  </si>
  <si>
    <t>Suplai Air Tawar</t>
  </si>
  <si>
    <t>Ton</t>
  </si>
  <si>
    <t>m</t>
  </si>
  <si>
    <t>n</t>
  </si>
  <si>
    <t>Security guard ( 2 Shift)</t>
  </si>
  <si>
    <t>hari</t>
  </si>
  <si>
    <t>o</t>
  </si>
  <si>
    <t>Safety watchman during drydock</t>
  </si>
  <si>
    <t>Penyediaan APAR selama diatas dock</t>
  </si>
  <si>
    <t>II</t>
  </si>
  <si>
    <t>PERAWATAN LAMBUNG (Material Suplai Owner)</t>
  </si>
  <si>
    <t>Sekrap Bagian Bawah Air</t>
  </si>
  <si>
    <t>m2</t>
  </si>
  <si>
    <t>Sandblasting Bottom Sampai Waterline (S.A 2.0)</t>
  </si>
  <si>
    <t>Sandblasting Top Side (S.A 2.0)</t>
  </si>
  <si>
    <t>Sandblasting Bulwark luar (S.A 2.0)</t>
  </si>
  <si>
    <t>Pengecetan Bottom sampai waterline (1x Primer, 1x Sealer dan 1x Anti Fouling)</t>
  </si>
  <si>
    <t>Pengecetan Top Side (1x Primer dan 1x Top Coat)</t>
  </si>
  <si>
    <t>Pengecetan Bulwark Luar dan dalam (1x Primer dan 1x Top Coat)</t>
  </si>
  <si>
    <t>Pengecatan Draft Mark, Nama Kapal</t>
  </si>
  <si>
    <t>Pemasangan Zinc Anode</t>
  </si>
  <si>
    <t>pcs</t>
  </si>
  <si>
    <t>III</t>
  </si>
  <si>
    <t>SEACHEST AND VALVE</t>
  </si>
  <si>
    <t>Buka dan Tutup Kembali Saringan Luar Dan Pembersihan Kotak Seachest</t>
  </si>
  <si>
    <t>bh</t>
  </si>
  <si>
    <t>Perawatan Saringan Air Dalam</t>
  </si>
  <si>
    <t>IV</t>
  </si>
  <si>
    <t>SISTEM PENGGERAK KAPAL</t>
  </si>
  <si>
    <t>Pengukuran Clearance Shaft</t>
  </si>
  <si>
    <t>Titik</t>
  </si>
  <si>
    <t>Buka dan pasang kembali penahan rymers packing</t>
  </si>
  <si>
    <t>set</t>
  </si>
  <si>
    <t>V</t>
  </si>
  <si>
    <t>SISTEM KEMUDI</t>
  </si>
  <si>
    <t>Pengukuran Clearance</t>
  </si>
  <si>
    <t>Bongkar dan Penyemenan Kembali Flens Kemudi</t>
  </si>
  <si>
    <t>VI</t>
  </si>
  <si>
    <t>Kg</t>
  </si>
  <si>
    <t>`</t>
  </si>
  <si>
    <t>VIII</t>
  </si>
  <si>
    <t xml:space="preserve">PERLENGKAPAN LAMBUNG </t>
  </si>
  <si>
    <t>Bongkar dan pasang kembali ban pusher (acsess untuk blasting)</t>
  </si>
  <si>
    <t>JANGKAR DAN PERLENGKAPANNYA (cat rantai dan jangkar disupplai owner)</t>
  </si>
  <si>
    <t>Jangkar dan rantainya  diturunkan dan Dan dinaikkan Kembali (diatur ulang)</t>
  </si>
  <si>
    <t>segel</t>
  </si>
  <si>
    <t>Sandblasting Rantai Jangkar (PS &amp; SB)</t>
  </si>
  <si>
    <t>Segel</t>
  </si>
  <si>
    <t>Sandblasting Jangkar (PS &amp; SB)</t>
  </si>
  <si>
    <t>Pengecatan Rantai Jangkar (PS &amp; SB)</t>
  </si>
  <si>
    <t>Pengecetan jangkar (PS &amp; SB)</t>
  </si>
  <si>
    <t>Pengukuran rantai jangkar</t>
  </si>
  <si>
    <t>LAPORAN PENGEDOKAN</t>
  </si>
  <si>
    <t>Dibuatkan laporan pengedokan dan gambar bukaan kulit sesuai posisi replating</t>
  </si>
  <si>
    <t>JR Rev. 00 Initial Survey Join with OS (06/03/25)</t>
  </si>
  <si>
    <t>Service valve output F/W (Gate valve 1 1/4" 5K)</t>
  </si>
  <si>
    <t>-</t>
  </si>
  <si>
    <t>Service valve F/O (Gate valve 1 1/2" 5K)</t>
  </si>
  <si>
    <t>Service valve cooler ME SB (Gate valve 3" 5K)</t>
  </si>
  <si>
    <t>Service valve bypass cooler ME (Gate valve 2" 5K)</t>
  </si>
  <si>
    <t>Service valve cooler AE SB (Gate valve 1 1/2" 5K)</t>
  </si>
  <si>
    <t>Service valve bypass cooler AE (Gate valve 1 1/2" 5K)</t>
  </si>
  <si>
    <t>KAMAR MESIN</t>
  </si>
  <si>
    <t>II.1</t>
  </si>
  <si>
    <t>AE PS</t>
  </si>
  <si>
    <t>Pipe S/C to strainer</t>
  </si>
  <si>
    <t>joint</t>
  </si>
  <si>
    <t>mm</t>
  </si>
  <si>
    <t>Pipe to strainer to pump</t>
  </si>
  <si>
    <t>II.2</t>
  </si>
  <si>
    <t>AE SB</t>
  </si>
  <si>
    <t>II.4</t>
  </si>
  <si>
    <t>SHAFT</t>
  </si>
  <si>
    <t>Pipe cooler shaft SB</t>
  </si>
  <si>
    <t>II.5</t>
  </si>
  <si>
    <t>HYDRAULIC</t>
  </si>
  <si>
    <t>Pipe power pack to S/G</t>
  </si>
  <si>
    <t>REPLATTING</t>
  </si>
  <si>
    <t>Bow</t>
  </si>
  <si>
    <t>IV.1</t>
  </si>
  <si>
    <t>ACCESS</t>
  </si>
  <si>
    <t>Poop deck ladder</t>
  </si>
  <si>
    <t>Set</t>
  </si>
  <si>
    <t>S/G door SB</t>
  </si>
  <si>
    <t>|Toggle chrome size. 3/4" @ 1 pcs</t>
  </si>
  <si>
    <t>Forcastle ladder railing SB</t>
  </si>
  <si>
    <t>Pcs</t>
  </si>
  <si>
    <t>Step ladder E/R</t>
  </si>
  <si>
    <t>Small hatch E/R</t>
  </si>
  <si>
    <t>Service toggle E/R door</t>
  </si>
  <si>
    <t>Fabrication trellis E/R door</t>
  </si>
  <si>
    <t>IV.2</t>
  </si>
  <si>
    <t>CARPENTER</t>
  </si>
  <si>
    <t xml:space="preserve"> | Rubber packing size. 5mm | 600 X 600 mm @ 1 pcs</t>
  </si>
  <si>
    <t>Perawatan Seachest Valve 6" PS&amp;SB</t>
  </si>
  <si>
    <t xml:space="preserve"> | Reinforced rubber packing size. 3.2 mm | 250 X 300 mm @ 1 pcs</t>
  </si>
  <si>
    <t>Baling - baling dibersihkan dan dipolish kembali</t>
  </si>
  <si>
    <t>Bongkar dan Pasang kembali ban dapra (acsess untuk blasting bulwark luar) @ 88 pcs</t>
  </si>
  <si>
    <t>Ganti kupingan dapra yang rusak</t>
  </si>
  <si>
    <t>Pad eye | Plate (A) thickness 12 mm | 120 X 80 mm @ 55 sht</t>
  </si>
  <si>
    <t>Doubling | Plate (A) thickness 12 mm | 150 X 80 mm @ 2 sht</t>
  </si>
  <si>
    <t>VII</t>
  </si>
  <si>
    <t>Stripper bar</t>
  </si>
  <si>
    <t xml:space="preserve"> | Plate (A) thickness 16 mm | 430 X 70 mm</t>
  </si>
  <si>
    <r>
      <t xml:space="preserve">Ganti rymes packing </t>
    </r>
    <r>
      <rPr>
        <b/>
        <i/>
        <sz val="11"/>
        <color theme="1"/>
        <rFont val="Arial"/>
        <family val="2"/>
      </rPr>
      <t>(Material by Owner)</t>
    </r>
  </si>
  <si>
    <r>
      <t xml:space="preserve">Ganti Rymers packing </t>
    </r>
    <r>
      <rPr>
        <b/>
        <i/>
        <sz val="11"/>
        <color theme="1"/>
        <rFont val="Arial"/>
        <family val="2"/>
      </rPr>
      <t>(Material by Owner)</t>
    </r>
  </si>
  <si>
    <t>SEACHAST DAN VALVE</t>
  </si>
  <si>
    <r>
      <t xml:space="preserve"> | Rubber packing size. 5mm </t>
    </r>
    <r>
      <rPr>
        <b/>
        <i/>
        <sz val="11"/>
        <rFont val="Arial"/>
        <family val="2"/>
      </rPr>
      <t>(Material by Owner)</t>
    </r>
  </si>
  <si>
    <r>
      <t xml:space="preserve"> | B/N galvanized size. 10mm X 50mm @ 8 pcs </t>
    </r>
    <r>
      <rPr>
        <b/>
        <i/>
        <sz val="11"/>
        <rFont val="Arial"/>
        <family val="2"/>
      </rPr>
      <t>(Material by Owner)</t>
    </r>
  </si>
  <si>
    <r>
      <t xml:space="preserve"> | B/N galvanized size. 12mm X 50mm @ 8 pcs </t>
    </r>
    <r>
      <rPr>
        <b/>
        <i/>
        <sz val="11"/>
        <rFont val="Arial"/>
        <family val="2"/>
      </rPr>
      <t>(Material by Owner)</t>
    </r>
  </si>
  <si>
    <r>
      <t xml:space="preserve"> | Rames packing white size. 3/16" </t>
    </r>
    <r>
      <rPr>
        <b/>
        <i/>
        <sz val="11"/>
        <rFont val="Arial"/>
        <family val="2"/>
      </rPr>
      <t>(Material by Owner)</t>
    </r>
  </si>
  <si>
    <r>
      <t xml:space="preserve"> | Reinforced rubber packing size. 3.2 mm </t>
    </r>
    <r>
      <rPr>
        <b/>
        <i/>
        <sz val="11"/>
        <rFont val="Arial"/>
        <family val="2"/>
      </rPr>
      <t>(Material by Owner)</t>
    </r>
  </si>
  <si>
    <r>
      <t xml:space="preserve"> | B/N galvanized size. 14mm X 50mm @ 8 Pcs </t>
    </r>
    <r>
      <rPr>
        <b/>
        <i/>
        <sz val="11"/>
        <rFont val="Arial"/>
        <family val="2"/>
      </rPr>
      <t>(Material by Owner)</t>
    </r>
  </si>
  <si>
    <t xml:space="preserve"> | Pipe galvanized size. 1 1/2" Sch 80</t>
  </si>
  <si>
    <t xml:space="preserve"> | Elbow galvanized size. 1 1/2" Sch. 80</t>
  </si>
  <si>
    <t xml:space="preserve"> | Flange plate size. 1 1/2" 5K</t>
  </si>
  <si>
    <t>Pipe S/C to pump</t>
  </si>
  <si>
    <t>Pipe to pump to intercooler</t>
  </si>
  <si>
    <t xml:space="preserve"> | Clamp HD size. 2 1/4" (Material by Owner)</t>
  </si>
  <si>
    <r>
      <t xml:space="preserve"> | B/N galvanized size. 12mm X 50mm </t>
    </r>
    <r>
      <rPr>
        <b/>
        <i/>
        <sz val="11"/>
        <rFont val="Arial"/>
        <family val="2"/>
      </rPr>
      <t>(Material by Owner)</t>
    </r>
  </si>
  <si>
    <r>
      <t xml:space="preserve"> | Rubber packing size. 5mm | 130 X 130 mm </t>
    </r>
    <r>
      <rPr>
        <b/>
        <i/>
        <sz val="11"/>
        <rFont val="Arial"/>
        <family val="2"/>
      </rPr>
      <t>(Material by Owner)</t>
    </r>
  </si>
  <si>
    <r>
      <t xml:space="preserve"> | Rubber hose HP size. 2" </t>
    </r>
    <r>
      <rPr>
        <b/>
        <i/>
        <sz val="11"/>
        <rFont val="Arial"/>
        <family val="2"/>
      </rPr>
      <t>(Material by Owner)</t>
    </r>
  </si>
  <si>
    <r>
      <t xml:space="preserve"> | Clamp HD size. 2 1/4" </t>
    </r>
    <r>
      <rPr>
        <b/>
        <i/>
        <sz val="11"/>
        <rFont val="Arial"/>
        <family val="2"/>
      </rPr>
      <t>(Material by Owner)</t>
    </r>
  </si>
  <si>
    <t xml:space="preserve"> | Male double nipple galvanized size. 3/4"</t>
  </si>
  <si>
    <t xml:space="preserve"> | Long nipple galvanized size. 3/4" Sch 80</t>
  </si>
  <si>
    <t xml:space="preserve"> | Common ball valve bronze size. 3/4"</t>
  </si>
  <si>
    <t xml:space="preserve"> | Pipe seamless size. 3/4" Sch 80</t>
  </si>
  <si>
    <t xml:space="preserve"> | Square flange size 3/4" 210K (3 Set)</t>
  </si>
  <si>
    <t>Bow | Plate (KI) thickness 10 mm | 620 X 460 mm</t>
  </si>
  <si>
    <t>Bow | Plate (KI) thickness 10 mm | 1700 X 300 mm</t>
  </si>
  <si>
    <t>Bow | Plate (KI) thickness 10 mm | 1700 X 740 mm</t>
  </si>
  <si>
    <t>End plate | Plate (KI) thickness 10 mm | 200 X 170 mm</t>
  </si>
  <si>
    <t>Anchor lis | Roundbar size. 2" | 250 mm</t>
  </si>
  <si>
    <t>Bracket | Plate (A) thickness 10 mm | 560 X 30 mm @ 6 sht</t>
  </si>
  <si>
    <t>Step | Plat grating size. 1" x 3/16"x 3ft x 20ft | 620 X 220 mm @ 3 pcs</t>
  </si>
  <si>
    <t xml:space="preserve"> | Pipe seamless size. 1 1/2" Sch 40</t>
  </si>
  <si>
    <t xml:space="preserve"> | Elbow black size. 1 1/2" Sch. 40</t>
  </si>
  <si>
    <t>Step | Plat grating size. 1" x 3/16"x 3ft x 20ft | 250 X 480 mm</t>
  </si>
  <si>
    <t>Bracket | Plate (A) thickness 10 mm | 550 X 230 mm</t>
  </si>
  <si>
    <t>Bracket | Plate (A) thickness 10 mm | 500 X 220 mm</t>
  </si>
  <si>
    <t>Lock plate | Plate (A) thickness 10 mm | 80 X 120 mm @ 2 sht</t>
  </si>
  <si>
    <t>Lock plate | Plate (A) thickness 10 mm | 60 X 50 mm @ 2 sht</t>
  </si>
  <si>
    <t>Trellis | Roundbar size. 3/4" | 1550 mm @ 5 pcs</t>
  </si>
  <si>
    <t>Trellis | Roundbar size. 3/4" | 750 mm @ 6 pcs</t>
  </si>
  <si>
    <t>Lock bar | Roundbar size. 3/4" | 160 mm</t>
  </si>
  <si>
    <t>Lock plate | Plate (A) thickness 10 mm | 100 X 50 mm</t>
  </si>
  <si>
    <t>Lock plate | Plate (A) thickness 10 mm | 200 X 150 mm</t>
  </si>
  <si>
    <t>Lock plate | Plate (A) thickness 10 mm | 80 X 60 mm</t>
  </si>
  <si>
    <t>Lock plate | Plate (A) thickness 10 mm | 150 X 50 mm</t>
  </si>
  <si>
    <t>Hinge connector plate | Plate (A) thickness 10 mm | 60 X 40 mm @ 4 sht</t>
  </si>
  <si>
    <t>Hinge | Cylinder hinge size. 5/8" @ 2 pcs</t>
  </si>
  <si>
    <t>Washroom door replacement</t>
  </si>
  <si>
    <t>Pantry table repair</t>
  </si>
  <si>
    <t xml:space="preserve">Grand Total   </t>
  </si>
  <si>
    <t>Sewa Dok Selama Perbaikan (2 Maret 2025 - 18 Maret 2025)</t>
  </si>
  <si>
    <t>Sewa Tempat Sandar (after repair) (19 maret 2025 - 16 April 2025)</t>
  </si>
  <si>
    <t xml:space="preserve">Discount   </t>
  </si>
  <si>
    <t xml:space="preserve">Grand Total After Discount   </t>
  </si>
  <si>
    <t>Balikpapan, 11 Juni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</si>
</sst>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-&quot;IDR&quot;* #,##0_-;\-&quot;IDR&quot;* #,##0_-;_-&quot;IDR&quot;* &quot;-&quot;_-;_-@_-"/>
    <numFmt numFmtId="165" formatCode="_([$IDR]\ * #,##0_);_([$IDR]\ * \(#,##0\);_([$IDR]\ * &quot;-&quot;??_);_(@_)"/>
    <numFmt numFmtId="166" formatCode="_(&quot;IDR&quot;* #,##0_);_(&quot;IDR&quot;* \(#,##0\);_(&quot;IDR&quot;* &quot;-&quot;_);_(@_)"/>
    <numFmt numFmtId="167" formatCode="_-[$IDR]\ * #,##0.00_-;\-[$IDR]\ * #,##0.00_-;_-[$IDR]\ * &quot;-&quot;??_-;_-@_-"/>
    <numFmt numFmtId="168" formatCode="0.000"/>
  </numFmts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i/>
      <sz val="11"/>
      <color theme="1"/>
      <name val="Arial"/>
      <family val="2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rgb="FF222222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u/>
      <sz val="11"/>
      <color theme="1"/>
      <name val="Arial"/>
      <family val="2"/>
    </font>
    <font>
      <b/>
      <sz val="11"/>
      <color theme="1"/>
      <name val="Arial"/>
      <family val="2"/>
    </font>
    <font>
      <b/>
      <sz val="14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color rgb="FF000000"/>
      <name val="Arial"/>
      <family val="2"/>
    </font>
    <font>
      <b/>
      <sz val="11"/>
      <name val="Arial"/>
      <family val="2"/>
    </font>
    <font>
      <b/>
      <i/>
      <sz val="11"/>
      <color theme="1"/>
      <name val="Arial"/>
      <family val="2"/>
    </font>
    <font>
      <b/>
      <i/>
      <sz val="11"/>
      <name val="Arial"/>
      <family val="2"/>
    </font>
    <font>
      <sz val="11"/>
      <name val="Calibri"/>
      <family val="2"/>
      <scheme val="minor"/>
    </font>
    <font>
      <b/>
      <sz val="12"/>
      <color rgb="FFFFFF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theme="0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27">
    <xf numFmtId="0" fontId="0" fillId="0" borderId="0"/>
    <xf numFmtId="164" fontId="1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194">
    <xf numFmtId="0" fontId="0" fillId="0" borderId="0" xfId="0"/>
    <xf numFmtId="0" fontId="2" fillId="2" borderId="3" xfId="0" applyFont="1" applyFill="1" applyBorder="1"/>
    <xf numFmtId="0" fontId="2" fillId="2" borderId="8" xfId="0" applyFont="1" applyFill="1" applyBorder="1"/>
    <xf numFmtId="0" fontId="2" fillId="2" borderId="13" xfId="0" applyFont="1" applyFill="1" applyBorder="1"/>
    <xf numFmtId="0" fontId="2" fillId="2" borderId="14" xfId="0" applyFont="1" applyFill="1" applyBorder="1"/>
    <xf numFmtId="0" fontId="3" fillId="2" borderId="0" xfId="0" applyFont="1" applyFill="1"/>
    <xf numFmtId="0" fontId="6" fillId="0" borderId="0" xfId="0" applyFont="1"/>
    <xf numFmtId="164" fontId="2" fillId="2" borderId="1" xfId="1" applyFont="1" applyFill="1" applyBorder="1"/>
    <xf numFmtId="0" fontId="8" fillId="2" borderId="13" xfId="0" quotePrefix="1" applyFont="1" applyFill="1" applyBorder="1" applyAlignment="1">
      <alignment horizontal="left" vertical="center"/>
    </xf>
    <xf numFmtId="0" fontId="8" fillId="2" borderId="14" xfId="0" quotePrefix="1" applyFont="1" applyFill="1" applyBorder="1" applyAlignment="1">
      <alignment horizontal="center" vertical="center"/>
    </xf>
    <xf numFmtId="0" fontId="8" fillId="2" borderId="15" xfId="0" quotePrefix="1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right"/>
    </xf>
    <xf numFmtId="0" fontId="2" fillId="2" borderId="15" xfId="0" applyFont="1" applyFill="1" applyBorder="1"/>
    <xf numFmtId="0" fontId="3" fillId="2" borderId="1" xfId="0" applyFont="1" applyFill="1" applyBorder="1" applyAlignment="1">
      <alignment horizontal="center"/>
    </xf>
    <xf numFmtId="164" fontId="0" fillId="0" borderId="0" xfId="0" applyNumberFormat="1"/>
    <xf numFmtId="0" fontId="0" fillId="2" borderId="5" xfId="0" applyFill="1" applyBorder="1"/>
    <xf numFmtId="0" fontId="0" fillId="2" borderId="6" xfId="0" applyFill="1" applyBorder="1"/>
    <xf numFmtId="0" fontId="11" fillId="2" borderId="0" xfId="0" applyFont="1" applyFill="1"/>
    <xf numFmtId="0" fontId="2" fillId="2" borderId="0" xfId="0" applyFont="1" applyFill="1"/>
    <xf numFmtId="0" fontId="2" fillId="2" borderId="4" xfId="0" applyFont="1" applyFill="1" applyBorder="1"/>
    <xf numFmtId="0" fontId="12" fillId="2" borderId="0" xfId="0" applyFont="1" applyFill="1"/>
    <xf numFmtId="0" fontId="2" fillId="2" borderId="9" xfId="0" applyFont="1" applyFill="1" applyBorder="1"/>
    <xf numFmtId="0" fontId="2" fillId="2" borderId="6" xfId="0" applyFont="1" applyFill="1" applyBorder="1"/>
    <xf numFmtId="0" fontId="0" fillId="0" borderId="1" xfId="0" applyBorder="1"/>
    <xf numFmtId="0" fontId="2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8" fillId="4" borderId="0" xfId="0" applyFont="1" applyFill="1"/>
    <xf numFmtId="0" fontId="8" fillId="4" borderId="0" xfId="0" applyFont="1" applyFill="1" applyAlignment="1">
      <alignment horizontal="center"/>
    </xf>
    <xf numFmtId="0" fontId="8" fillId="4" borderId="5" xfId="0" applyFont="1" applyFill="1" applyBorder="1" applyAlignment="1">
      <alignment horizontal="left"/>
    </xf>
    <xf numFmtId="165" fontId="8" fillId="4" borderId="11" xfId="0" applyNumberFormat="1" applyFont="1" applyFill="1" applyBorder="1" applyAlignment="1">
      <alignment vertical="center"/>
    </xf>
    <xf numFmtId="0" fontId="7" fillId="2" borderId="6" xfId="0" applyFont="1" applyFill="1" applyBorder="1"/>
    <xf numFmtId="0" fontId="11" fillId="2" borderId="0" xfId="0" applyFont="1" applyFill="1" applyAlignment="1">
      <alignment horizontal="left"/>
    </xf>
    <xf numFmtId="0" fontId="3" fillId="2" borderId="0" xfId="0" applyFont="1" applyFill="1" applyAlignment="1">
      <alignment horizontal="left"/>
    </xf>
    <xf numFmtId="0" fontId="0" fillId="0" borderId="0" xfId="0" applyAlignment="1">
      <alignment vertical="center"/>
    </xf>
    <xf numFmtId="0" fontId="0" fillId="2" borderId="0" xfId="0" applyFill="1"/>
    <xf numFmtId="0" fontId="3" fillId="2" borderId="15" xfId="0" applyFont="1" applyFill="1" applyBorder="1" applyAlignment="1">
      <alignment horizontal="center"/>
    </xf>
    <xf numFmtId="164" fontId="3" fillId="2" borderId="1" xfId="1" applyFont="1" applyFill="1" applyBorder="1" applyAlignment="1">
      <alignment horizontal="center"/>
    </xf>
    <xf numFmtId="0" fontId="2" fillId="2" borderId="2" xfId="0" applyFont="1" applyFill="1" applyBorder="1" applyAlignment="1">
      <alignment horizontal="left"/>
    </xf>
    <xf numFmtId="0" fontId="3" fillId="2" borderId="3" xfId="0" applyFont="1" applyFill="1" applyBorder="1"/>
    <xf numFmtId="20" fontId="8" fillId="4" borderId="5" xfId="0" applyNumberFormat="1" applyFont="1" applyFill="1" applyBorder="1" applyAlignment="1">
      <alignment horizontal="left"/>
    </xf>
    <xf numFmtId="0" fontId="9" fillId="2" borderId="0" xfId="0" applyFont="1" applyFill="1"/>
    <xf numFmtId="0" fontId="3" fillId="2" borderId="8" xfId="0" applyFont="1" applyFill="1" applyBorder="1"/>
    <xf numFmtId="0" fontId="2" fillId="2" borderId="0" xfId="0" applyFont="1" applyFill="1" applyAlignment="1">
      <alignment vertical="top"/>
    </xf>
    <xf numFmtId="0" fontId="7" fillId="2" borderId="10" xfId="0" applyFont="1" applyFill="1" applyBorder="1"/>
    <xf numFmtId="0" fontId="7" fillId="2" borderId="11" xfId="0" applyFont="1" applyFill="1" applyBorder="1"/>
    <xf numFmtId="0" fontId="2" fillId="2" borderId="5" xfId="0" applyFont="1" applyFill="1" applyBorder="1" applyAlignment="1">
      <alignment horizontal="left"/>
    </xf>
    <xf numFmtId="164" fontId="2" fillId="2" borderId="11" xfId="1" applyFont="1" applyFill="1" applyBorder="1"/>
    <xf numFmtId="0" fontId="8" fillId="2" borderId="5" xfId="0" quotePrefix="1" applyFont="1" applyFill="1" applyBorder="1" applyAlignment="1">
      <alignment horizontal="left" vertical="center"/>
    </xf>
    <xf numFmtId="0" fontId="8" fillId="2" borderId="0" xfId="0" quotePrefix="1" applyFont="1" applyFill="1" applyAlignment="1">
      <alignment horizontal="center" vertical="center"/>
    </xf>
    <xf numFmtId="0" fontId="8" fillId="2" borderId="6" xfId="0" quotePrefix="1" applyFont="1" applyFill="1" applyBorder="1" applyAlignment="1">
      <alignment horizontal="center" vertical="center"/>
    </xf>
    <xf numFmtId="165" fontId="8" fillId="3" borderId="11" xfId="0" applyNumberFormat="1" applyFont="1" applyFill="1" applyBorder="1" applyAlignment="1">
      <alignment vertical="center"/>
    </xf>
    <xf numFmtId="165" fontId="8" fillId="4" borderId="0" xfId="0" applyNumberFormat="1" applyFont="1" applyFill="1" applyAlignment="1">
      <alignment vertical="center"/>
    </xf>
    <xf numFmtId="164" fontId="2" fillId="2" borderId="6" xfId="1" applyFont="1" applyFill="1" applyBorder="1"/>
    <xf numFmtId="0" fontId="10" fillId="2" borderId="0" xfId="0" applyFont="1" applyFill="1"/>
    <xf numFmtId="0" fontId="8" fillId="3" borderId="0" xfId="0" applyFont="1" applyFill="1"/>
    <xf numFmtId="0" fontId="13" fillId="2" borderId="5" xfId="0" quotePrefix="1" applyFont="1" applyFill="1" applyBorder="1" applyAlignment="1">
      <alignment horizontal="left" vertical="center"/>
    </xf>
    <xf numFmtId="0" fontId="13" fillId="2" borderId="0" xfId="0" quotePrefix="1" applyFont="1" applyFill="1" applyAlignment="1">
      <alignment horizontal="center" vertical="center"/>
    </xf>
    <xf numFmtId="0" fontId="13" fillId="2" borderId="6" xfId="0" quotePrefix="1" applyFont="1" applyFill="1" applyBorder="1" applyAlignment="1">
      <alignment horizontal="center" vertical="center"/>
    </xf>
    <xf numFmtId="0" fontId="10" fillId="2" borderId="6" xfId="0" applyFont="1" applyFill="1" applyBorder="1"/>
    <xf numFmtId="165" fontId="8" fillId="3" borderId="0" xfId="0" applyNumberFormat="1" applyFont="1" applyFill="1" applyAlignment="1">
      <alignment vertical="center"/>
    </xf>
    <xf numFmtId="0" fontId="2" fillId="2" borderId="6" xfId="0" applyFont="1" applyFill="1" applyBorder="1" applyAlignment="1">
      <alignment horizontal="left"/>
    </xf>
    <xf numFmtId="0" fontId="8" fillId="3" borderId="6" xfId="0" applyFont="1" applyFill="1" applyBorder="1" applyAlignment="1">
      <alignment vertical="center"/>
    </xf>
    <xf numFmtId="0" fontId="2" fillId="2" borderId="5" xfId="0" applyFont="1" applyFill="1" applyBorder="1" applyAlignment="1">
      <alignment horizontal="center"/>
    </xf>
    <xf numFmtId="0" fontId="10" fillId="2" borderId="5" xfId="0" applyFont="1" applyFill="1" applyBorder="1" applyAlignment="1">
      <alignment horizontal="center"/>
    </xf>
    <xf numFmtId="0" fontId="10" fillId="2" borderId="0" xfId="0" applyFont="1" applyFill="1" applyAlignment="1">
      <alignment horizontal="center"/>
    </xf>
    <xf numFmtId="0" fontId="10" fillId="2" borderId="6" xfId="0" applyFont="1" applyFill="1" applyBorder="1" applyAlignment="1">
      <alignment horizontal="center"/>
    </xf>
    <xf numFmtId="166" fontId="8" fillId="3" borderId="11" xfId="0" applyNumberFormat="1" applyFont="1" applyFill="1" applyBorder="1"/>
    <xf numFmtId="166" fontId="8" fillId="4" borderId="11" xfId="0" applyNumberFormat="1" applyFont="1" applyFill="1" applyBorder="1"/>
    <xf numFmtId="0" fontId="7" fillId="3" borderId="0" xfId="0" applyFont="1" applyFill="1" applyAlignment="1">
      <alignment horizontal="right"/>
    </xf>
    <xf numFmtId="0" fontId="7" fillId="3" borderId="6" xfId="0" applyFont="1" applyFill="1" applyBorder="1" applyAlignment="1">
      <alignment vertical="center"/>
    </xf>
    <xf numFmtId="0" fontId="2" fillId="2" borderId="5" xfId="0" applyFont="1" applyFill="1" applyBorder="1"/>
    <xf numFmtId="0" fontId="8" fillId="3" borderId="5" xfId="0" applyFont="1" applyFill="1" applyBorder="1"/>
    <xf numFmtId="164" fontId="8" fillId="3" borderId="11" xfId="1" applyFont="1" applyFill="1" applyBorder="1" applyAlignment="1">
      <alignment vertical="center"/>
    </xf>
    <xf numFmtId="166" fontId="8" fillId="3" borderId="6" xfId="0" applyNumberFormat="1" applyFont="1" applyFill="1" applyBorder="1"/>
    <xf numFmtId="0" fontId="2" fillId="2" borderId="6" xfId="0" applyFont="1" applyFill="1" applyBorder="1" applyAlignment="1">
      <alignment horizontal="right"/>
    </xf>
    <xf numFmtId="0" fontId="7" fillId="3" borderId="5" xfId="0" applyFont="1" applyFill="1" applyBorder="1" applyAlignment="1">
      <alignment horizontal="right"/>
    </xf>
    <xf numFmtId="0" fontId="7" fillId="3" borderId="5" xfId="0" applyFont="1" applyFill="1" applyBorder="1"/>
    <xf numFmtId="164" fontId="8" fillId="3" borderId="6" xfId="1" applyFont="1" applyFill="1" applyBorder="1"/>
    <xf numFmtId="0" fontId="14" fillId="3" borderId="5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6" xfId="0" applyFont="1" applyFill="1" applyBorder="1" applyAlignment="1">
      <alignment horizontal="center"/>
    </xf>
    <xf numFmtId="0" fontId="14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65" fontId="8" fillId="4" borderId="6" xfId="0" applyNumberFormat="1" applyFont="1" applyFill="1" applyBorder="1" applyAlignment="1">
      <alignment vertical="center"/>
    </xf>
    <xf numFmtId="0" fontId="7" fillId="3" borderId="5" xfId="0" applyFont="1" applyFill="1" applyBorder="1" applyAlignment="1">
      <alignment horizontal="center"/>
    </xf>
    <xf numFmtId="0" fontId="14" fillId="3" borderId="5" xfId="0" applyFont="1" applyFill="1" applyBorder="1" applyAlignment="1">
      <alignment horizontal="left"/>
    </xf>
    <xf numFmtId="165" fontId="0" fillId="0" borderId="0" xfId="0" applyNumberFormat="1"/>
    <xf numFmtId="166" fontId="8" fillId="4" borderId="6" xfId="0" applyNumberFormat="1" applyFont="1" applyFill="1" applyBorder="1"/>
    <xf numFmtId="0" fontId="7" fillId="4" borderId="0" xfId="0" applyFont="1" applyFill="1"/>
    <xf numFmtId="0" fontId="7" fillId="4" borderId="6" xfId="0" applyFont="1" applyFill="1" applyBorder="1"/>
    <xf numFmtId="0" fontId="7" fillId="4" borderId="5" xfId="0" applyFont="1" applyFill="1" applyBorder="1"/>
    <xf numFmtId="165" fontId="8" fillId="3" borderId="6" xfId="0" applyNumberFormat="1" applyFont="1" applyFill="1" applyBorder="1" applyAlignment="1">
      <alignment vertical="center"/>
    </xf>
    <xf numFmtId="166" fontId="8" fillId="3" borderId="0" xfId="0" applyNumberFormat="1" applyFont="1" applyFill="1"/>
    <xf numFmtId="0" fontId="7" fillId="5" borderId="5" xfId="112" quotePrefix="1" applyFont="1" applyFill="1" applyBorder="1" applyAlignment="1">
      <alignment horizontal="left" vertical="center"/>
    </xf>
    <xf numFmtId="0" fontId="7" fillId="5" borderId="0" xfId="112" quotePrefix="1" applyFont="1" applyFill="1" applyAlignment="1">
      <alignment horizontal="center" vertical="center"/>
    </xf>
    <xf numFmtId="0" fontId="7" fillId="5" borderId="6" xfId="112" quotePrefix="1" applyFont="1" applyFill="1" applyBorder="1" applyAlignment="1">
      <alignment horizontal="center" vertical="center"/>
    </xf>
    <xf numFmtId="0" fontId="7" fillId="5" borderId="0" xfId="112" applyFont="1" applyFill="1"/>
    <xf numFmtId="0" fontId="7" fillId="5" borderId="6" xfId="112" applyFont="1" applyFill="1" applyBorder="1"/>
    <xf numFmtId="1" fontId="7" fillId="5" borderId="0" xfId="112" applyNumberFormat="1" applyFont="1" applyFill="1"/>
    <xf numFmtId="0" fontId="14" fillId="2" borderId="5" xfId="112" quotePrefix="1" applyFont="1" applyFill="1" applyBorder="1" applyAlignment="1">
      <alignment horizontal="left" vertical="center"/>
    </xf>
    <xf numFmtId="0" fontId="14" fillId="2" borderId="0" xfId="112" quotePrefix="1" applyFont="1" applyFill="1" applyAlignment="1">
      <alignment horizontal="center" vertical="center"/>
    </xf>
    <xf numFmtId="0" fontId="14" fillId="2" borderId="6" xfId="112" quotePrefix="1" applyFont="1" applyFill="1" applyBorder="1" applyAlignment="1">
      <alignment horizontal="center" vertical="center"/>
    </xf>
    <xf numFmtId="0" fontId="14" fillId="6" borderId="0" xfId="112" applyFont="1" applyFill="1"/>
    <xf numFmtId="0" fontId="14" fillId="6" borderId="6" xfId="112" applyFont="1" applyFill="1" applyBorder="1"/>
    <xf numFmtId="0" fontId="14" fillId="5" borderId="5" xfId="112" quotePrefix="1" applyFont="1" applyFill="1" applyBorder="1" applyAlignment="1">
      <alignment horizontal="left" vertical="center"/>
    </xf>
    <xf numFmtId="0" fontId="14" fillId="5" borderId="0" xfId="112" quotePrefix="1" applyFont="1" applyFill="1" applyAlignment="1">
      <alignment horizontal="center" vertical="center"/>
    </xf>
    <xf numFmtId="0" fontId="14" fillId="5" borderId="6" xfId="112" quotePrefix="1" applyFont="1" applyFill="1" applyBorder="1" applyAlignment="1">
      <alignment horizontal="center" vertical="center"/>
    </xf>
    <xf numFmtId="0" fontId="14" fillId="5" borderId="0" xfId="112" applyFont="1" applyFill="1"/>
    <xf numFmtId="0" fontId="14" fillId="5" borderId="6" xfId="112" applyFont="1" applyFill="1" applyBorder="1"/>
    <xf numFmtId="2" fontId="14" fillId="5" borderId="0" xfId="112" applyNumberFormat="1" applyFont="1" applyFill="1"/>
    <xf numFmtId="2" fontId="7" fillId="5" borderId="0" xfId="112" applyNumberFormat="1" applyFont="1" applyFill="1"/>
    <xf numFmtId="164" fontId="8" fillId="4" borderId="6" xfId="1" applyFont="1" applyFill="1" applyBorder="1"/>
    <xf numFmtId="1" fontId="14" fillId="5" borderId="0" xfId="112" applyNumberFormat="1" applyFont="1" applyFill="1"/>
    <xf numFmtId="0" fontId="7" fillId="5" borderId="5" xfId="0" quotePrefix="1" applyFont="1" applyFill="1" applyBorder="1" applyAlignment="1">
      <alignment horizontal="left" vertical="center"/>
    </xf>
    <xf numFmtId="0" fontId="7" fillId="5" borderId="0" xfId="0" quotePrefix="1" applyFont="1" applyFill="1" applyAlignment="1">
      <alignment horizontal="center" vertical="center"/>
    </xf>
    <xf numFmtId="0" fontId="7" fillId="3" borderId="0" xfId="0" quotePrefix="1" applyFont="1" applyFill="1"/>
    <xf numFmtId="2" fontId="7" fillId="3" borderId="5" xfId="0" applyNumberFormat="1" applyFont="1" applyFill="1" applyBorder="1"/>
    <xf numFmtId="0" fontId="7" fillId="5" borderId="5" xfId="0" applyFont="1" applyFill="1" applyBorder="1" applyAlignment="1">
      <alignment horizontal="left" vertical="center"/>
    </xf>
    <xf numFmtId="0" fontId="7" fillId="5" borderId="0" xfId="0" applyFont="1" applyFill="1" applyAlignment="1">
      <alignment horizontal="center" vertical="center"/>
    </xf>
    <xf numFmtId="0" fontId="7" fillId="5" borderId="0" xfId="0" applyFont="1" applyFill="1" applyAlignment="1">
      <alignment horizontal="center"/>
    </xf>
    <xf numFmtId="0" fontId="7" fillId="5" borderId="5" xfId="0" applyFont="1" applyFill="1" applyBorder="1" applyAlignment="1">
      <alignment horizontal="center"/>
    </xf>
    <xf numFmtId="0" fontId="7" fillId="5" borderId="0" xfId="0" applyFont="1" applyFill="1"/>
    <xf numFmtId="0" fontId="7" fillId="5" borderId="6" xfId="0" applyFont="1" applyFill="1" applyBorder="1"/>
    <xf numFmtId="2" fontId="7" fillId="5" borderId="0" xfId="0" applyNumberFormat="1" applyFont="1" applyFill="1"/>
    <xf numFmtId="166" fontId="0" fillId="0" borderId="0" xfId="0" applyNumberFormat="1"/>
    <xf numFmtId="43" fontId="0" fillId="0" borderId="0" xfId="0" applyNumberFormat="1"/>
    <xf numFmtId="9" fontId="0" fillId="0" borderId="0" xfId="0" applyNumberFormat="1"/>
    <xf numFmtId="167" fontId="0" fillId="0" borderId="0" xfId="0" applyNumberFormat="1"/>
    <xf numFmtId="164" fontId="8" fillId="4" borderId="11" xfId="1" applyFont="1" applyFill="1" applyBorder="1"/>
    <xf numFmtId="0" fontId="10" fillId="2" borderId="5" xfId="0" applyFont="1" applyFill="1" applyBorder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vertical="center"/>
    </xf>
    <xf numFmtId="0" fontId="10" fillId="2" borderId="6" xfId="0" applyFont="1" applyFill="1" applyBorder="1" applyAlignment="1">
      <alignment vertical="center"/>
    </xf>
    <xf numFmtId="1" fontId="7" fillId="2" borderId="0" xfId="112" applyNumberFormat="1" applyFont="1" applyFill="1"/>
    <xf numFmtId="0" fontId="14" fillId="5" borderId="0" xfId="0" applyFont="1" applyFill="1"/>
    <xf numFmtId="0" fontId="7" fillId="5" borderId="6" xfId="0" quotePrefix="1" applyFont="1" applyFill="1" applyBorder="1" applyAlignment="1">
      <alignment horizontal="center" vertical="center"/>
    </xf>
    <xf numFmtId="0" fontId="7" fillId="5" borderId="6" xfId="0" applyFont="1" applyFill="1" applyBorder="1" applyAlignment="1">
      <alignment horizontal="center"/>
    </xf>
    <xf numFmtId="0" fontId="7" fillId="5" borderId="6" xfId="0" applyFont="1" applyFill="1" applyBorder="1" applyAlignment="1">
      <alignment vertical="center"/>
    </xf>
    <xf numFmtId="0" fontId="14" fillId="5" borderId="5" xfId="0" applyFont="1" applyFill="1" applyBorder="1" applyAlignment="1">
      <alignment horizontal="center"/>
    </xf>
    <xf numFmtId="0" fontId="14" fillId="5" borderId="0" xfId="0" applyFont="1" applyFill="1" applyAlignment="1">
      <alignment horizontal="center"/>
    </xf>
    <xf numFmtId="0" fontId="14" fillId="5" borderId="6" xfId="0" applyFont="1" applyFill="1" applyBorder="1" applyAlignment="1">
      <alignment horizontal="center"/>
    </xf>
    <xf numFmtId="0" fontId="7" fillId="5" borderId="5" xfId="0" applyFont="1" applyFill="1" applyBorder="1"/>
    <xf numFmtId="1" fontId="7" fillId="3" borderId="5" xfId="0" applyNumberFormat="1" applyFont="1" applyFill="1" applyBorder="1"/>
    <xf numFmtId="1" fontId="7" fillId="5" borderId="0" xfId="0" applyNumberFormat="1" applyFont="1" applyFill="1"/>
    <xf numFmtId="0" fontId="7" fillId="5" borderId="0" xfId="0" quotePrefix="1" applyFont="1" applyFill="1" applyAlignment="1">
      <alignment horizontal="left" vertical="center"/>
    </xf>
    <xf numFmtId="3" fontId="7" fillId="5" borderId="5" xfId="0" applyNumberFormat="1" applyFont="1" applyFill="1" applyBorder="1" applyAlignment="1">
      <alignment horizontal="right" vertical="center" wrapText="1"/>
    </xf>
    <xf numFmtId="3" fontId="7" fillId="5" borderId="6" xfId="0" applyNumberFormat="1" applyFont="1" applyFill="1" applyBorder="1" applyAlignment="1">
      <alignment horizontal="left" vertical="center" wrapText="1"/>
    </xf>
    <xf numFmtId="0" fontId="7" fillId="7" borderId="16" xfId="0" applyFont="1" applyFill="1" applyBorder="1" applyAlignment="1">
      <alignment horizontal="left"/>
    </xf>
    <xf numFmtId="0" fontId="7" fillId="7" borderId="0" xfId="0" applyFont="1" applyFill="1" applyAlignment="1">
      <alignment horizontal="center"/>
    </xf>
    <xf numFmtId="0" fontId="17" fillId="5" borderId="0" xfId="0" applyFont="1" applyFill="1"/>
    <xf numFmtId="0" fontId="7" fillId="5" borderId="17" xfId="0" applyFont="1" applyFill="1" applyBorder="1"/>
    <xf numFmtId="2" fontId="7" fillId="7" borderId="0" xfId="0" applyNumberFormat="1" applyFont="1" applyFill="1"/>
    <xf numFmtId="0" fontId="7" fillId="5" borderId="17" xfId="0" applyFont="1" applyFill="1" applyBorder="1" applyAlignment="1">
      <alignment vertical="center"/>
    </xf>
    <xf numFmtId="0" fontId="7" fillId="7" borderId="16" xfId="0" applyFont="1" applyFill="1" applyBorder="1" applyAlignment="1">
      <alignment horizontal="left" vertical="center"/>
    </xf>
    <xf numFmtId="0" fontId="7" fillId="7" borderId="0" xfId="0" applyFont="1" applyFill="1" applyAlignment="1">
      <alignment horizontal="center" vertical="center"/>
    </xf>
    <xf numFmtId="0" fontId="7" fillId="7" borderId="17" xfId="0" applyFont="1" applyFill="1" applyBorder="1" applyAlignment="1">
      <alignment horizontal="center" vertical="center"/>
    </xf>
    <xf numFmtId="0" fontId="7" fillId="7" borderId="0" xfId="0" applyFont="1" applyFill="1"/>
    <xf numFmtId="168" fontId="7" fillId="5" borderId="0" xfId="0" applyNumberFormat="1" applyFont="1" applyFill="1"/>
    <xf numFmtId="0" fontId="7" fillId="7" borderId="16" xfId="0" applyFont="1" applyFill="1" applyBorder="1" applyAlignment="1">
      <alignment horizontal="center"/>
    </xf>
    <xf numFmtId="0" fontId="7" fillId="7" borderId="17" xfId="0" applyFont="1" applyFill="1" applyBorder="1" applyAlignment="1">
      <alignment horizontal="center"/>
    </xf>
    <xf numFmtId="0" fontId="7" fillId="7" borderId="6" xfId="0" applyFont="1" applyFill="1" applyBorder="1"/>
    <xf numFmtId="0" fontId="7" fillId="7" borderId="17" xfId="0" applyFont="1" applyFill="1" applyBorder="1"/>
    <xf numFmtId="0" fontId="10" fillId="2" borderId="5" xfId="0" applyFont="1" applyFill="1" applyBorder="1" applyAlignment="1">
      <alignment vertical="center"/>
    </xf>
    <xf numFmtId="0" fontId="14" fillId="2" borderId="0" xfId="112" applyFont="1" applyFill="1"/>
    <xf numFmtId="0" fontId="14" fillId="2" borderId="6" xfId="112" applyFont="1" applyFill="1" applyBorder="1"/>
    <xf numFmtId="2" fontId="14" fillId="2" borderId="0" xfId="112" applyNumberFormat="1" applyFont="1" applyFill="1"/>
    <xf numFmtId="0" fontId="7" fillId="2" borderId="5" xfId="112" quotePrefix="1" applyFont="1" applyFill="1" applyBorder="1" applyAlignment="1">
      <alignment horizontal="left" vertical="center"/>
    </xf>
    <xf numFmtId="0" fontId="7" fillId="2" borderId="0" xfId="112" quotePrefix="1" applyFont="1" applyFill="1" applyAlignment="1">
      <alignment horizontal="center" vertical="center"/>
    </xf>
    <xf numFmtId="0" fontId="7" fillId="2" borderId="6" xfId="112" quotePrefix="1" applyFont="1" applyFill="1" applyBorder="1" applyAlignment="1">
      <alignment horizontal="center" vertical="center"/>
    </xf>
    <xf numFmtId="0" fontId="7" fillId="2" borderId="0" xfId="112" applyFont="1" applyFill="1"/>
    <xf numFmtId="0" fontId="7" fillId="2" borderId="6" xfId="112" applyFont="1" applyFill="1" applyBorder="1"/>
    <xf numFmtId="2" fontId="7" fillId="2" borderId="0" xfId="112" applyNumberFormat="1" applyFont="1" applyFill="1"/>
    <xf numFmtId="164" fontId="2" fillId="2" borderId="15" xfId="1" applyFont="1" applyFill="1" applyBorder="1"/>
    <xf numFmtId="164" fontId="18" fillId="0" borderId="0" xfId="0" applyNumberFormat="1" applyFont="1"/>
    <xf numFmtId="164" fontId="2" fillId="2" borderId="1" xfId="1" quotePrefix="1" applyFont="1" applyFill="1" applyBorder="1" applyAlignment="1">
      <alignment horizontal="right"/>
    </xf>
    <xf numFmtId="0" fontId="2" fillId="2" borderId="0" xfId="0" applyFont="1" applyFill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/>
    </xf>
    <xf numFmtId="0" fontId="9" fillId="2" borderId="6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  <xf numFmtId="0" fontId="2" fillId="2" borderId="6" xfId="0" applyFont="1" applyFill="1" applyBorder="1" applyAlignment="1">
      <alignment horizontal="center" vertical="top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2" fillId="2" borderId="10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49" fontId="2" fillId="2" borderId="0" xfId="0" quotePrefix="1" applyNumberFormat="1" applyFont="1" applyFill="1" applyAlignment="1">
      <alignment horizontal="left"/>
    </xf>
  </cellXfs>
  <cellStyles count="127">
    <cellStyle name="Currency [0]" xfId="1" builtinId="7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Normal" xfId="0" builtinId="0"/>
    <cellStyle name="Normal 2" xfId="112" xr:uid="{00000000-0005-0000-0000-000070000000}"/>
    <cellStyle name="Normal 2 2" xfId="116" xr:uid="{00000000-0005-0000-0000-000071000000}"/>
    <cellStyle name="Normal 2 2 2" xfId="123" xr:uid="{00000000-0005-0000-0000-000072000000}"/>
    <cellStyle name="Normal 2 2 3" xfId="121" xr:uid="{00000000-0005-0000-0000-000073000000}"/>
    <cellStyle name="Normal 2 2 7" xfId="119" xr:uid="{00000000-0005-0000-0000-000074000000}"/>
    <cellStyle name="Normal 3" xfId="115" xr:uid="{00000000-0005-0000-0000-000075000000}"/>
    <cellStyle name="Normal 3 2" xfId="125" xr:uid="{00000000-0005-0000-0000-000076000000}"/>
    <cellStyle name="Normal 4 2 2 2" xfId="117" xr:uid="{00000000-0005-0000-0000-000077000000}"/>
    <cellStyle name="Normal 5 2 2" xfId="118" xr:uid="{00000000-0005-0000-0000-000078000000}"/>
    <cellStyle name="Normal 5 3" xfId="124" xr:uid="{00000000-0005-0000-0000-000079000000}"/>
    <cellStyle name="Normal 6" xfId="113" xr:uid="{00000000-0005-0000-0000-00007A000000}"/>
    <cellStyle name="Normal 6 2" xfId="126" xr:uid="{00000000-0005-0000-0000-00007B000000}"/>
    <cellStyle name="Normal 6 3" xfId="120" xr:uid="{00000000-0005-0000-0000-00007C000000}"/>
    <cellStyle name="Normal 7 2" xfId="114" xr:uid="{00000000-0005-0000-0000-00007D000000}"/>
    <cellStyle name="Normal 8" xfId="122" xr:uid="{00000000-0005-0000-0000-00007E000000}"/>
  </cellStyles>
  <dxfs count="2">
    <dxf>
      <font>
        <b/>
        <i val="0"/>
        <strike val="0"/>
        <color rgb="FF000000"/>
      </font>
    </dxf>
    <dxf>
      <font>
        <b/>
        <i val="0"/>
        <strike val="0"/>
        <color rgb="FF000000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17779</xdr:colOff>
      <xdr:row>2</xdr:row>
      <xdr:rowOff>153264</xdr:rowOff>
    </xdr:from>
    <xdr:to>
      <xdr:col>11</xdr:col>
      <xdr:colOff>868383</xdr:colOff>
      <xdr:row>7</xdr:row>
      <xdr:rowOff>82224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FFF11C-C0CF-474C-B931-E23C32CD93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310879" y="546964"/>
          <a:ext cx="3504904" cy="90686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</xdr:colOff>
      <xdr:row>1</xdr:row>
      <xdr:rowOff>53787</xdr:rowOff>
    </xdr:from>
    <xdr:to>
      <xdr:col>6</xdr:col>
      <xdr:colOff>2516938</xdr:colOff>
      <xdr:row>6</xdr:row>
      <xdr:rowOff>158208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352ADE2-43C5-4EBE-B295-53F675F54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13758" y="250637"/>
          <a:ext cx="3211330" cy="10886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4AC113-2A49-4395-A378-22F32E496B6C}">
  <sheetPr>
    <tabColor theme="3" tint="0.39997558519241921"/>
  </sheetPr>
  <dimension ref="A7:W287"/>
  <sheetViews>
    <sheetView showGridLines="0" tabSelected="1" view="pageBreakPreview" topLeftCell="B271" zoomScale="70" zoomScaleSheetLayoutView="70" workbookViewId="0">
      <selection activeCell="K11" sqref="K11"/>
    </sheetView>
  </sheetViews>
  <sheetFormatPr defaultColWidth="11" defaultRowHeight="15.5" x14ac:dyDescent="0.35"/>
  <cols>
    <col min="2" max="4" width="1.83203125" style="18" customWidth="1"/>
    <col min="5" max="5" width="3.08203125" style="18" customWidth="1"/>
    <col min="6" max="6" width="2.83203125" style="18" customWidth="1"/>
    <col min="7" max="7" width="70.58203125" style="18" customWidth="1"/>
    <col min="8" max="8" width="9.5" style="18" customWidth="1"/>
    <col min="9" max="9" width="6.33203125" style="18" customWidth="1"/>
    <col min="10" max="10" width="16" style="18" customWidth="1"/>
    <col min="11" max="11" width="18.83203125" style="18" customWidth="1"/>
    <col min="12" max="12" width="20.5" style="18" customWidth="1"/>
    <col min="13" max="13" width="18.33203125" customWidth="1"/>
    <col min="14" max="14" width="18.33203125" bestFit="1" customWidth="1"/>
    <col min="15" max="15" width="18.6640625" customWidth="1"/>
  </cols>
  <sheetData>
    <row r="7" spans="2:13" ht="15" customHeight="1" x14ac:dyDescent="0.35"/>
    <row r="8" spans="2:13" ht="18" x14ac:dyDescent="0.4">
      <c r="B8" s="31" t="s">
        <v>24</v>
      </c>
      <c r="C8" s="17"/>
      <c r="D8" s="17"/>
    </row>
    <row r="9" spans="2:13" x14ac:dyDescent="0.35">
      <c r="B9" s="32" t="s">
        <v>25</v>
      </c>
      <c r="C9" s="5"/>
      <c r="D9" s="5"/>
      <c r="E9" s="5"/>
      <c r="F9" s="5"/>
      <c r="G9" s="5"/>
    </row>
    <row r="10" spans="2:13" x14ac:dyDescent="0.35">
      <c r="H10" s="20"/>
      <c r="I10" s="20"/>
      <c r="J10" s="20" t="s">
        <v>29</v>
      </c>
      <c r="L10" s="20"/>
      <c r="M10" s="18"/>
    </row>
    <row r="11" spans="2:13" x14ac:dyDescent="0.35">
      <c r="B11" s="18" t="s">
        <v>0</v>
      </c>
      <c r="F11" s="18" t="s">
        <v>38</v>
      </c>
      <c r="J11" s="18" t="s">
        <v>30</v>
      </c>
      <c r="M11" s="18"/>
    </row>
    <row r="12" spans="2:13" x14ac:dyDescent="0.35">
      <c r="B12" s="18" t="s">
        <v>35</v>
      </c>
      <c r="F12" s="18" t="s">
        <v>26</v>
      </c>
      <c r="J12" s="18" t="s">
        <v>31</v>
      </c>
      <c r="K12" s="18" t="s">
        <v>39</v>
      </c>
      <c r="M12" s="18"/>
    </row>
    <row r="13" spans="2:13" x14ac:dyDescent="0.35">
      <c r="B13" s="18" t="s">
        <v>4</v>
      </c>
      <c r="J13" s="18" t="s">
        <v>32</v>
      </c>
      <c r="K13" s="18" t="s">
        <v>40</v>
      </c>
      <c r="M13" s="18"/>
    </row>
    <row r="14" spans="2:13" x14ac:dyDescent="0.35">
      <c r="B14" s="18" t="s">
        <v>5</v>
      </c>
      <c r="J14" s="18" t="s">
        <v>33</v>
      </c>
      <c r="K14" s="18" t="s">
        <v>41</v>
      </c>
      <c r="M14" s="18"/>
    </row>
    <row r="15" spans="2:13" x14ac:dyDescent="0.35">
      <c r="F15" s="193"/>
      <c r="G15" s="193"/>
      <c r="J15" s="18" t="s">
        <v>34</v>
      </c>
      <c r="K15" s="18" t="s">
        <v>42</v>
      </c>
      <c r="M15" s="18"/>
    </row>
    <row r="16" spans="2:13" x14ac:dyDescent="0.35">
      <c r="F16" s="6"/>
    </row>
    <row r="18" spans="2:20" s="33" customFormat="1" ht="15" customHeight="1" x14ac:dyDescent="0.35">
      <c r="B18" s="184" t="s">
        <v>0</v>
      </c>
      <c r="C18" s="185"/>
      <c r="D18" s="186"/>
      <c r="E18" s="184" t="s">
        <v>1</v>
      </c>
      <c r="F18" s="185"/>
      <c r="G18" s="186"/>
      <c r="H18" s="184" t="s">
        <v>2</v>
      </c>
      <c r="I18" s="186"/>
      <c r="J18" s="191" t="s">
        <v>3</v>
      </c>
      <c r="K18" s="191" t="s">
        <v>22</v>
      </c>
      <c r="L18" s="191" t="s">
        <v>23</v>
      </c>
    </row>
    <row r="19" spans="2:20" s="33" customFormat="1" ht="15" customHeight="1" x14ac:dyDescent="0.35">
      <c r="B19" s="187"/>
      <c r="C19" s="188"/>
      <c r="D19" s="189"/>
      <c r="E19" s="187"/>
      <c r="F19" s="188"/>
      <c r="G19" s="189"/>
      <c r="H19" s="187"/>
      <c r="I19" s="189"/>
      <c r="J19" s="192"/>
      <c r="K19" s="192"/>
      <c r="L19" s="192"/>
    </row>
    <row r="20" spans="2:20" x14ac:dyDescent="0.35">
      <c r="B20" s="47"/>
      <c r="C20" s="48"/>
      <c r="D20" s="49"/>
      <c r="G20" s="22"/>
      <c r="H20" s="1"/>
      <c r="I20" s="1"/>
      <c r="J20" s="43"/>
      <c r="K20" s="30"/>
      <c r="L20" s="44"/>
    </row>
    <row r="21" spans="2:20" x14ac:dyDescent="0.35">
      <c r="B21" s="55" t="s">
        <v>43</v>
      </c>
      <c r="C21" s="56"/>
      <c r="D21" s="57"/>
      <c r="E21" s="53" t="s">
        <v>10</v>
      </c>
      <c r="F21" s="53"/>
      <c r="G21" s="58"/>
      <c r="J21" s="46"/>
      <c r="K21" s="52"/>
      <c r="L21" s="46" t="str">
        <f>IF(AND(ISBLANK(H21),ISBLANK(J21)),"",J21*H21)</f>
        <v/>
      </c>
      <c r="M21" s="18"/>
      <c r="N21" s="190" t="s">
        <v>15</v>
      </c>
      <c r="O21" s="190"/>
    </row>
    <row r="22" spans="2:20" x14ac:dyDescent="0.35">
      <c r="B22" s="47"/>
      <c r="C22" s="48"/>
      <c r="D22" s="49" t="s">
        <v>44</v>
      </c>
      <c r="F22" s="18" t="s">
        <v>45</v>
      </c>
      <c r="G22" s="22"/>
      <c r="H22" s="18">
        <v>1</v>
      </c>
      <c r="I22" s="22" t="s">
        <v>46</v>
      </c>
      <c r="J22" s="50">
        <v>16000000</v>
      </c>
      <c r="K22" s="59">
        <f>J22*H22</f>
        <v>16000000</v>
      </c>
      <c r="L22" s="46"/>
      <c r="N22" s="23" t="s">
        <v>11</v>
      </c>
      <c r="O22" s="23">
        <v>26.98</v>
      </c>
      <c r="P22">
        <f>O22*O23</f>
        <v>242.82</v>
      </c>
      <c r="Q22">
        <f>O22*O23</f>
        <v>242.82</v>
      </c>
    </row>
    <row r="23" spans="2:20" x14ac:dyDescent="0.35">
      <c r="B23" s="47"/>
      <c r="C23" s="48"/>
      <c r="D23" s="24" t="s">
        <v>47</v>
      </c>
      <c r="F23" s="18" t="s">
        <v>48</v>
      </c>
      <c r="G23" s="22"/>
      <c r="H23" s="18">
        <v>1</v>
      </c>
      <c r="I23" s="22" t="s">
        <v>46</v>
      </c>
      <c r="J23" s="50">
        <v>3500000</v>
      </c>
      <c r="K23" s="59">
        <f t="shared" ref="K23:K36" si="0">J23*H23</f>
        <v>3500000</v>
      </c>
      <c r="L23" s="46"/>
      <c r="N23" s="23" t="s">
        <v>21</v>
      </c>
      <c r="O23" s="23">
        <v>9</v>
      </c>
      <c r="R23" t="e">
        <f>Q22-#REF!</f>
        <v>#REF!</v>
      </c>
      <c r="S23" t="e">
        <f>R23*20%</f>
        <v>#REF!</v>
      </c>
      <c r="T23" t="e">
        <f>R23+S23</f>
        <v>#REF!</v>
      </c>
    </row>
    <row r="24" spans="2:20" x14ac:dyDescent="0.35">
      <c r="B24" s="47"/>
      <c r="C24" s="48"/>
      <c r="D24" s="24" t="s">
        <v>49</v>
      </c>
      <c r="F24" s="18" t="s">
        <v>50</v>
      </c>
      <c r="G24" s="22"/>
      <c r="H24" s="18">
        <v>1</v>
      </c>
      <c r="I24" s="30" t="s">
        <v>46</v>
      </c>
      <c r="J24" s="50">
        <v>4500000</v>
      </c>
      <c r="K24" s="59">
        <f t="shared" si="0"/>
        <v>4500000</v>
      </c>
      <c r="L24" s="46"/>
      <c r="N24" s="23" t="s">
        <v>12</v>
      </c>
      <c r="O24" s="23" t="e">
        <f>#REF!-#REF!</f>
        <v>#REF!</v>
      </c>
      <c r="P24">
        <f>140*50%</f>
        <v>70</v>
      </c>
    </row>
    <row r="25" spans="2:20" x14ac:dyDescent="0.35">
      <c r="B25" s="114"/>
      <c r="C25" s="115"/>
      <c r="D25" s="137" t="s">
        <v>51</v>
      </c>
      <c r="E25" s="122"/>
      <c r="F25" s="122" t="s">
        <v>221</v>
      </c>
      <c r="G25" s="123"/>
      <c r="H25" s="122">
        <v>17</v>
      </c>
      <c r="I25" s="138" t="s">
        <v>52</v>
      </c>
      <c r="J25" s="50">
        <v>1300000</v>
      </c>
      <c r="K25" s="59">
        <f t="shared" si="0"/>
        <v>22100000</v>
      </c>
      <c r="L25" s="46"/>
      <c r="M25" s="18"/>
      <c r="N25" s="23" t="s">
        <v>13</v>
      </c>
      <c r="O25" s="23">
        <f>(O22+O23)*2</f>
        <v>71.960000000000008</v>
      </c>
      <c r="Q25">
        <f>O22-(1.83*4)</f>
        <v>19.66</v>
      </c>
      <c r="R25" t="s">
        <v>19</v>
      </c>
    </row>
    <row r="26" spans="2:20" x14ac:dyDescent="0.35">
      <c r="B26" s="114"/>
      <c r="C26" s="115"/>
      <c r="D26" s="137" t="s">
        <v>53</v>
      </c>
      <c r="E26" s="122"/>
      <c r="F26" s="122" t="s">
        <v>222</v>
      </c>
      <c r="G26" s="123"/>
      <c r="H26" s="122">
        <v>27</v>
      </c>
      <c r="I26" s="123" t="s">
        <v>52</v>
      </c>
      <c r="J26" s="50">
        <v>350000</v>
      </c>
      <c r="K26" s="59">
        <f t="shared" si="0"/>
        <v>9450000</v>
      </c>
      <c r="L26" s="46"/>
      <c r="M26" s="18"/>
      <c r="N26" s="23" t="s">
        <v>14</v>
      </c>
      <c r="O26" s="23">
        <f>(O22-5)*O23</f>
        <v>197.82</v>
      </c>
      <c r="Q26">
        <f>O23-2</f>
        <v>7</v>
      </c>
      <c r="R26" t="s">
        <v>20</v>
      </c>
    </row>
    <row r="27" spans="2:20" x14ac:dyDescent="0.35">
      <c r="B27" s="47"/>
      <c r="C27" s="48"/>
      <c r="D27" s="24" t="s">
        <v>54</v>
      </c>
      <c r="F27" s="18" t="s">
        <v>55</v>
      </c>
      <c r="G27" s="22"/>
      <c r="H27" s="18">
        <v>1</v>
      </c>
      <c r="I27" s="22" t="s">
        <v>46</v>
      </c>
      <c r="J27" s="50">
        <v>800000</v>
      </c>
      <c r="K27" s="59">
        <f t="shared" si="0"/>
        <v>800000</v>
      </c>
      <c r="L27" s="46"/>
      <c r="M27" s="18"/>
      <c r="N27" s="23"/>
      <c r="O27" s="23" t="e">
        <f>#REF!*40%</f>
        <v>#REF!</v>
      </c>
      <c r="P27" t="e">
        <f>#REF!+#REF!</f>
        <v>#REF!</v>
      </c>
      <c r="Q27" t="e">
        <f>#REF!*25%</f>
        <v>#REF!</v>
      </c>
    </row>
    <row r="28" spans="2:20" x14ac:dyDescent="0.35">
      <c r="B28" s="47"/>
      <c r="C28" s="48"/>
      <c r="D28" s="24" t="s">
        <v>56</v>
      </c>
      <c r="F28" s="18" t="s">
        <v>57</v>
      </c>
      <c r="G28" s="22"/>
      <c r="H28" s="18">
        <v>44</v>
      </c>
      <c r="I28" s="22" t="s">
        <v>52</v>
      </c>
      <c r="J28" s="50">
        <v>450000</v>
      </c>
      <c r="K28" s="59">
        <f t="shared" si="0"/>
        <v>19800000</v>
      </c>
      <c r="L28" s="46"/>
      <c r="M28" s="18"/>
      <c r="N28" s="23"/>
      <c r="O28" s="23" t="e">
        <f>#REF!+O27</f>
        <v>#REF!</v>
      </c>
    </row>
    <row r="29" spans="2:20" x14ac:dyDescent="0.35">
      <c r="B29" s="47"/>
      <c r="C29" s="48"/>
      <c r="D29" s="24" t="s">
        <v>58</v>
      </c>
      <c r="F29" s="18" t="s">
        <v>59</v>
      </c>
      <c r="G29" s="22"/>
      <c r="H29" s="18">
        <v>1</v>
      </c>
      <c r="I29" s="22" t="s">
        <v>46</v>
      </c>
      <c r="J29" s="50">
        <v>1550000</v>
      </c>
      <c r="K29" s="59">
        <f t="shared" si="0"/>
        <v>1550000</v>
      </c>
      <c r="L29" s="46"/>
      <c r="M29" s="18"/>
      <c r="N29" s="23"/>
      <c r="O29" s="23"/>
    </row>
    <row r="30" spans="2:20" x14ac:dyDescent="0.35">
      <c r="B30" s="47"/>
      <c r="C30" s="48"/>
      <c r="D30" s="24" t="s">
        <v>60</v>
      </c>
      <c r="F30" s="18" t="s">
        <v>61</v>
      </c>
      <c r="G30" s="22"/>
      <c r="H30" s="18">
        <v>1</v>
      </c>
      <c r="I30" s="60" t="s">
        <v>46</v>
      </c>
      <c r="J30" s="50">
        <v>1550000</v>
      </c>
      <c r="K30" s="59">
        <f t="shared" si="0"/>
        <v>1550000</v>
      </c>
      <c r="L30" s="46"/>
      <c r="M30" s="18"/>
      <c r="N30" s="23"/>
      <c r="O30" s="23"/>
    </row>
    <row r="31" spans="2:20" x14ac:dyDescent="0.35">
      <c r="B31" s="47"/>
      <c r="C31" s="48"/>
      <c r="D31" s="24" t="s">
        <v>62</v>
      </c>
      <c r="F31" s="18" t="s">
        <v>63</v>
      </c>
      <c r="G31" s="22"/>
      <c r="H31" s="18">
        <v>1</v>
      </c>
      <c r="I31" s="60" t="s">
        <v>46</v>
      </c>
      <c r="J31" s="50">
        <v>2000000</v>
      </c>
      <c r="K31" s="59">
        <f t="shared" si="0"/>
        <v>2000000</v>
      </c>
      <c r="L31" s="46"/>
      <c r="M31" s="18"/>
      <c r="N31" s="23"/>
      <c r="O31" s="23"/>
    </row>
    <row r="32" spans="2:20" x14ac:dyDescent="0.35">
      <c r="B32" s="47"/>
      <c r="C32" s="48"/>
      <c r="D32" s="24" t="s">
        <v>64</v>
      </c>
      <c r="F32" s="18" t="s">
        <v>65</v>
      </c>
      <c r="G32" s="22"/>
      <c r="H32" s="18">
        <v>1</v>
      </c>
      <c r="I32" s="22" t="s">
        <v>46</v>
      </c>
      <c r="J32" s="50">
        <v>8000000</v>
      </c>
      <c r="K32" s="59">
        <f t="shared" si="0"/>
        <v>8000000</v>
      </c>
      <c r="L32" s="46"/>
      <c r="M32" s="18"/>
      <c r="N32" s="23">
        <v>1</v>
      </c>
      <c r="O32" s="23" t="s">
        <v>10</v>
      </c>
    </row>
    <row r="33" spans="2:15" x14ac:dyDescent="0.35">
      <c r="B33" s="47"/>
      <c r="C33" s="48"/>
      <c r="D33" s="24" t="s">
        <v>66</v>
      </c>
      <c r="F33" s="18" t="s">
        <v>67</v>
      </c>
      <c r="G33" s="22"/>
      <c r="H33" s="18">
        <v>20</v>
      </c>
      <c r="I33" s="22" t="s">
        <v>68</v>
      </c>
      <c r="J33" s="50">
        <v>85000</v>
      </c>
      <c r="K33" s="59">
        <f t="shared" si="0"/>
        <v>1700000</v>
      </c>
      <c r="L33" s="46"/>
      <c r="M33" s="18"/>
      <c r="N33" s="23"/>
      <c r="O33" s="23"/>
    </row>
    <row r="34" spans="2:15" x14ac:dyDescent="0.35">
      <c r="B34" s="62"/>
      <c r="C34" s="25"/>
      <c r="D34" s="24" t="s">
        <v>69</v>
      </c>
      <c r="F34" s="18" t="s">
        <v>71</v>
      </c>
      <c r="G34" s="22"/>
      <c r="H34" s="18">
        <v>44</v>
      </c>
      <c r="I34" s="61" t="s">
        <v>72</v>
      </c>
      <c r="J34" s="50">
        <v>425000</v>
      </c>
      <c r="K34" s="59">
        <f t="shared" si="0"/>
        <v>18700000</v>
      </c>
      <c r="L34" s="46"/>
      <c r="M34" s="18"/>
      <c r="N34" s="23"/>
      <c r="O34" s="23"/>
    </row>
    <row r="35" spans="2:15" x14ac:dyDescent="0.35">
      <c r="B35" s="63"/>
      <c r="C35" s="64"/>
      <c r="D35" s="24" t="s">
        <v>70</v>
      </c>
      <c r="E35" s="53"/>
      <c r="F35" s="18" t="s">
        <v>74</v>
      </c>
      <c r="G35" s="22"/>
      <c r="H35" s="18">
        <v>17</v>
      </c>
      <c r="I35" s="61" t="s">
        <v>72</v>
      </c>
      <c r="J35" s="50">
        <v>425000</v>
      </c>
      <c r="K35" s="59">
        <f t="shared" si="0"/>
        <v>7225000</v>
      </c>
      <c r="L35" s="46"/>
      <c r="M35" s="18"/>
      <c r="N35" s="23">
        <v>2</v>
      </c>
      <c r="O35" s="23" t="s">
        <v>16</v>
      </c>
    </row>
    <row r="36" spans="2:15" x14ac:dyDescent="0.35">
      <c r="B36" s="62"/>
      <c r="C36" s="25"/>
      <c r="D36" s="24" t="s">
        <v>73</v>
      </c>
      <c r="F36" s="18" t="s">
        <v>75</v>
      </c>
      <c r="G36" s="22"/>
      <c r="H36" s="18">
        <v>1</v>
      </c>
      <c r="I36" s="61" t="s">
        <v>46</v>
      </c>
      <c r="J36" s="50">
        <v>2500000</v>
      </c>
      <c r="K36" s="59">
        <f t="shared" si="0"/>
        <v>2500000</v>
      </c>
      <c r="L36" s="46"/>
      <c r="M36" s="18"/>
      <c r="N36" s="23">
        <v>4</v>
      </c>
      <c r="O36" s="23" t="s">
        <v>17</v>
      </c>
    </row>
    <row r="37" spans="2:15" x14ac:dyDescent="0.35">
      <c r="B37" s="63" t="s">
        <v>76</v>
      </c>
      <c r="C37" s="64"/>
      <c r="D37" s="65"/>
      <c r="E37" s="53" t="s">
        <v>77</v>
      </c>
      <c r="G37" s="22"/>
      <c r="I37" s="61"/>
      <c r="J37" s="50"/>
      <c r="K37" s="59"/>
      <c r="L37" s="46"/>
      <c r="M37" s="18"/>
      <c r="N37" s="23"/>
      <c r="O37" s="23"/>
    </row>
    <row r="38" spans="2:15" x14ac:dyDescent="0.35">
      <c r="B38" s="62"/>
      <c r="C38" s="25"/>
      <c r="D38" s="24" t="s">
        <v>44</v>
      </c>
      <c r="F38" s="18" t="s">
        <v>78</v>
      </c>
      <c r="G38" s="22"/>
      <c r="H38" s="18">
        <v>406</v>
      </c>
      <c r="I38" s="61" t="s">
        <v>79</v>
      </c>
      <c r="J38" s="66">
        <v>7000</v>
      </c>
      <c r="K38" s="59">
        <f t="shared" ref="K38:K55" si="1">H38*J38</f>
        <v>2842000</v>
      </c>
      <c r="L38" s="46"/>
      <c r="M38" s="18"/>
      <c r="N38" s="23"/>
      <c r="O38" s="23"/>
    </row>
    <row r="39" spans="2:15" x14ac:dyDescent="0.35">
      <c r="B39" s="62"/>
      <c r="C39" s="25"/>
      <c r="D39" s="24" t="s">
        <v>47</v>
      </c>
      <c r="F39" s="18" t="s">
        <v>80</v>
      </c>
      <c r="G39" s="22"/>
      <c r="H39" s="18">
        <f>H38</f>
        <v>406</v>
      </c>
      <c r="I39" s="61" t="s">
        <v>79</v>
      </c>
      <c r="J39" s="67">
        <v>70000</v>
      </c>
      <c r="K39" s="59">
        <f t="shared" si="1"/>
        <v>28420000</v>
      </c>
      <c r="L39" s="46"/>
      <c r="M39" s="18"/>
      <c r="N39" s="23">
        <v>14</v>
      </c>
      <c r="O39" s="23" t="s">
        <v>18</v>
      </c>
    </row>
    <row r="40" spans="2:15" x14ac:dyDescent="0.35">
      <c r="B40" s="62"/>
      <c r="C40" s="25"/>
      <c r="D40" s="24" t="s">
        <v>49</v>
      </c>
      <c r="F40" s="18" t="s">
        <v>81</v>
      </c>
      <c r="G40" s="22"/>
      <c r="H40" s="18">
        <v>102</v>
      </c>
      <c r="I40" s="61" t="s">
        <v>79</v>
      </c>
      <c r="J40" s="67">
        <v>70000</v>
      </c>
      <c r="K40" s="59">
        <f t="shared" si="1"/>
        <v>7140000</v>
      </c>
      <c r="L40" s="46"/>
      <c r="M40" s="18"/>
      <c r="N40" s="23">
        <v>15</v>
      </c>
      <c r="O40" s="23" t="s">
        <v>27</v>
      </c>
    </row>
    <row r="41" spans="2:15" x14ac:dyDescent="0.35">
      <c r="B41" s="62"/>
      <c r="C41" s="25"/>
      <c r="D41" s="24" t="s">
        <v>51</v>
      </c>
      <c r="F41" s="18" t="s">
        <v>82</v>
      </c>
      <c r="G41" s="22"/>
      <c r="H41" s="18">
        <v>62</v>
      </c>
      <c r="I41" s="61" t="s">
        <v>79</v>
      </c>
      <c r="J41" s="67">
        <v>70000</v>
      </c>
      <c r="K41" s="59">
        <f t="shared" si="1"/>
        <v>4340000</v>
      </c>
      <c r="L41" s="46"/>
      <c r="M41" s="18"/>
      <c r="N41" s="23"/>
      <c r="O41" s="23"/>
    </row>
    <row r="42" spans="2:15" x14ac:dyDescent="0.35">
      <c r="B42" s="62"/>
      <c r="C42" s="25"/>
      <c r="D42" s="24" t="s">
        <v>53</v>
      </c>
      <c r="F42" s="18" t="s">
        <v>83</v>
      </c>
      <c r="G42" s="22"/>
      <c r="H42" s="18">
        <f>H38</f>
        <v>406</v>
      </c>
      <c r="I42" s="22" t="s">
        <v>79</v>
      </c>
      <c r="J42" s="67">
        <v>20500</v>
      </c>
      <c r="K42" s="59">
        <f t="shared" si="1"/>
        <v>8323000</v>
      </c>
      <c r="L42" s="46"/>
      <c r="M42" s="18"/>
      <c r="N42" s="23"/>
      <c r="O42" s="23"/>
    </row>
    <row r="43" spans="2:15" x14ac:dyDescent="0.35">
      <c r="B43" s="62"/>
      <c r="C43" s="25"/>
      <c r="D43" s="24" t="s">
        <v>54</v>
      </c>
      <c r="F43" s="18" t="s">
        <v>84</v>
      </c>
      <c r="G43" s="22"/>
      <c r="H43" s="54">
        <f>H40</f>
        <v>102</v>
      </c>
      <c r="I43" s="61" t="s">
        <v>79</v>
      </c>
      <c r="J43" s="67">
        <v>14000</v>
      </c>
      <c r="K43" s="59">
        <f t="shared" si="1"/>
        <v>1428000</v>
      </c>
      <c r="L43" s="46"/>
      <c r="M43" s="18"/>
      <c r="N43" s="23"/>
      <c r="O43" s="23"/>
    </row>
    <row r="44" spans="2:15" x14ac:dyDescent="0.35">
      <c r="B44" s="62"/>
      <c r="C44" s="25"/>
      <c r="D44" s="24" t="s">
        <v>56</v>
      </c>
      <c r="F44" s="18" t="s">
        <v>85</v>
      </c>
      <c r="G44" s="22"/>
      <c r="H44" s="68">
        <f>H41</f>
        <v>62</v>
      </c>
      <c r="I44" s="69" t="s">
        <v>79</v>
      </c>
      <c r="J44" s="29">
        <v>14000</v>
      </c>
      <c r="K44" s="59">
        <f t="shared" si="1"/>
        <v>868000</v>
      </c>
      <c r="L44" s="46"/>
      <c r="M44" s="18"/>
      <c r="N44" s="23"/>
      <c r="O44" s="23"/>
    </row>
    <row r="45" spans="2:15" x14ac:dyDescent="0.35">
      <c r="B45" s="47"/>
      <c r="C45" s="48"/>
      <c r="D45" s="24" t="s">
        <v>58</v>
      </c>
      <c r="F45" s="18" t="s">
        <v>86</v>
      </c>
      <c r="G45" s="22"/>
      <c r="H45" s="54">
        <v>1</v>
      </c>
      <c r="I45" s="61" t="s">
        <v>46</v>
      </c>
      <c r="J45" s="29">
        <v>1200000</v>
      </c>
      <c r="K45" s="59">
        <f t="shared" si="1"/>
        <v>1200000</v>
      </c>
      <c r="L45" s="46"/>
      <c r="M45" s="18"/>
      <c r="N45" s="23"/>
      <c r="O45" s="23"/>
    </row>
    <row r="46" spans="2:15" x14ac:dyDescent="0.35">
      <c r="B46" s="47"/>
      <c r="C46" s="48"/>
      <c r="D46" s="24" t="s">
        <v>60</v>
      </c>
      <c r="F46" s="18" t="s">
        <v>87</v>
      </c>
      <c r="G46" s="22"/>
      <c r="H46" s="68">
        <v>36</v>
      </c>
      <c r="I46" s="69" t="s">
        <v>88</v>
      </c>
      <c r="J46" s="29">
        <v>125000</v>
      </c>
      <c r="K46" s="59">
        <f t="shared" si="1"/>
        <v>4500000</v>
      </c>
      <c r="L46" s="46"/>
      <c r="M46" s="18"/>
      <c r="N46" s="23"/>
      <c r="O46" s="23"/>
    </row>
    <row r="47" spans="2:15" x14ac:dyDescent="0.35">
      <c r="B47" s="139" t="s">
        <v>89</v>
      </c>
      <c r="C47" s="140"/>
      <c r="D47" s="141"/>
      <c r="E47" s="135" t="s">
        <v>90</v>
      </c>
      <c r="F47" s="122"/>
      <c r="G47" s="123"/>
      <c r="H47" s="142"/>
      <c r="I47" s="123"/>
      <c r="J47" s="29"/>
      <c r="K47" s="59"/>
      <c r="L47" s="46"/>
      <c r="M47" s="18"/>
      <c r="N47" s="23"/>
      <c r="O47" s="23"/>
    </row>
    <row r="48" spans="2:15" x14ac:dyDescent="0.35">
      <c r="B48" s="121"/>
      <c r="C48" s="120"/>
      <c r="D48" s="137" t="s">
        <v>44</v>
      </c>
      <c r="E48" s="122"/>
      <c r="F48" s="122" t="s">
        <v>91</v>
      </c>
      <c r="G48" s="123"/>
      <c r="H48" s="76">
        <v>2</v>
      </c>
      <c r="I48" s="69" t="s">
        <v>92</v>
      </c>
      <c r="J48" s="50">
        <v>1750000</v>
      </c>
      <c r="K48" s="59">
        <f t="shared" si="1"/>
        <v>3500000</v>
      </c>
      <c r="L48" s="46"/>
      <c r="M48" s="18"/>
      <c r="N48" s="23"/>
      <c r="O48" s="23"/>
    </row>
    <row r="49" spans="1:15" x14ac:dyDescent="0.35">
      <c r="B49" s="121"/>
      <c r="C49" s="120"/>
      <c r="D49" s="137" t="s">
        <v>47</v>
      </c>
      <c r="E49" s="122"/>
      <c r="F49" s="122" t="s">
        <v>93</v>
      </c>
      <c r="G49" s="123"/>
      <c r="H49" s="76">
        <v>2</v>
      </c>
      <c r="I49" s="69" t="s">
        <v>99</v>
      </c>
      <c r="J49" s="72">
        <v>1400000</v>
      </c>
      <c r="K49" s="59">
        <f t="shared" si="1"/>
        <v>2800000</v>
      </c>
      <c r="L49" s="46"/>
      <c r="M49" s="18"/>
      <c r="N49" s="23"/>
      <c r="O49" s="23"/>
    </row>
    <row r="50" spans="1:15" x14ac:dyDescent="0.35">
      <c r="B50" s="121"/>
      <c r="C50" s="120"/>
      <c r="D50" s="137"/>
      <c r="E50" s="122"/>
      <c r="F50" s="122" t="s">
        <v>123</v>
      </c>
      <c r="G50" s="123" t="s">
        <v>160</v>
      </c>
      <c r="H50" s="76"/>
      <c r="I50" s="69"/>
      <c r="J50" s="72"/>
      <c r="K50" s="59"/>
      <c r="L50" s="46"/>
      <c r="M50" s="18"/>
      <c r="N50" s="23"/>
      <c r="O50" s="23"/>
    </row>
    <row r="51" spans="1:15" x14ac:dyDescent="0.35">
      <c r="B51" s="139"/>
      <c r="C51" s="140"/>
      <c r="D51" s="137" t="s">
        <v>49</v>
      </c>
      <c r="E51" s="135"/>
      <c r="F51" s="122" t="s">
        <v>161</v>
      </c>
      <c r="G51" s="123"/>
      <c r="H51" s="142">
        <v>2</v>
      </c>
      <c r="I51" s="123" t="s">
        <v>99</v>
      </c>
      <c r="J51" s="50">
        <v>1800000</v>
      </c>
      <c r="K51" s="59">
        <f t="shared" ref="K51" si="2">H51*J51</f>
        <v>3600000</v>
      </c>
      <c r="L51" s="46"/>
      <c r="M51" s="18"/>
      <c r="N51" s="23"/>
      <c r="O51" s="23"/>
    </row>
    <row r="52" spans="1:15" x14ac:dyDescent="0.35">
      <c r="B52" s="121"/>
      <c r="C52" s="120"/>
      <c r="D52" s="137"/>
      <c r="E52" s="122"/>
      <c r="F52" s="122" t="s">
        <v>123</v>
      </c>
      <c r="G52" s="123" t="s">
        <v>162</v>
      </c>
      <c r="H52" s="76"/>
      <c r="I52" s="69"/>
      <c r="J52" s="50"/>
      <c r="K52" s="59"/>
      <c r="L52" s="46"/>
      <c r="M52" s="18"/>
      <c r="N52" s="23"/>
      <c r="O52" s="23"/>
    </row>
    <row r="53" spans="1:15" x14ac:dyDescent="0.35">
      <c r="B53" s="63" t="s">
        <v>94</v>
      </c>
      <c r="C53" s="64"/>
      <c r="D53" s="65"/>
      <c r="E53" s="53" t="s">
        <v>95</v>
      </c>
      <c r="G53" s="22"/>
      <c r="H53" s="70"/>
      <c r="I53" s="22"/>
      <c r="J53" s="50"/>
      <c r="K53" s="59"/>
      <c r="L53" s="46"/>
      <c r="M53" s="18"/>
      <c r="N53" s="23"/>
      <c r="O53" s="23"/>
    </row>
    <row r="54" spans="1:15" x14ac:dyDescent="0.35">
      <c r="B54" s="62"/>
      <c r="C54" s="25"/>
      <c r="D54" s="24" t="s">
        <v>44</v>
      </c>
      <c r="F54" s="18" t="s">
        <v>96</v>
      </c>
      <c r="G54" s="22"/>
      <c r="H54" s="71">
        <v>4</v>
      </c>
      <c r="I54" s="61" t="s">
        <v>97</v>
      </c>
      <c r="J54" s="72">
        <v>550000</v>
      </c>
      <c r="K54" s="59">
        <f t="shared" si="1"/>
        <v>2200000</v>
      </c>
      <c r="L54" s="46"/>
      <c r="M54" s="18"/>
      <c r="N54" s="23"/>
      <c r="O54" s="23"/>
    </row>
    <row r="55" spans="1:15" x14ac:dyDescent="0.35">
      <c r="B55" s="62"/>
      <c r="C55" s="25"/>
      <c r="D55" s="24" t="s">
        <v>47</v>
      </c>
      <c r="F55" s="18" t="s">
        <v>98</v>
      </c>
      <c r="G55" s="22"/>
      <c r="H55" s="71">
        <v>2</v>
      </c>
      <c r="I55" s="61" t="s">
        <v>92</v>
      </c>
      <c r="J55" s="50">
        <v>950000</v>
      </c>
      <c r="K55" s="59">
        <f t="shared" si="1"/>
        <v>1900000</v>
      </c>
      <c r="L55" s="46"/>
      <c r="M55" s="18"/>
      <c r="N55" s="23"/>
      <c r="O55" s="23"/>
    </row>
    <row r="56" spans="1:15" x14ac:dyDescent="0.35">
      <c r="B56" s="62"/>
      <c r="C56" s="25"/>
      <c r="D56" s="24" t="s">
        <v>49</v>
      </c>
      <c r="F56" s="18" t="s">
        <v>172</v>
      </c>
      <c r="G56" s="22"/>
      <c r="H56" s="71">
        <v>2</v>
      </c>
      <c r="I56" s="61" t="s">
        <v>99</v>
      </c>
      <c r="J56" s="72">
        <v>1800000</v>
      </c>
      <c r="K56" s="52"/>
      <c r="L56" s="46">
        <f>J56*H56</f>
        <v>3600000</v>
      </c>
      <c r="M56" s="18"/>
      <c r="N56" s="23"/>
      <c r="O56" s="23"/>
    </row>
    <row r="57" spans="1:15" x14ac:dyDescent="0.35">
      <c r="B57" s="55" t="s">
        <v>100</v>
      </c>
      <c r="C57" s="56"/>
      <c r="D57" s="57"/>
      <c r="E57" s="53" t="s">
        <v>101</v>
      </c>
      <c r="G57" s="22"/>
      <c r="I57" s="22"/>
      <c r="J57" s="73"/>
      <c r="K57" s="73"/>
      <c r="L57" s="46"/>
      <c r="M57" s="18"/>
      <c r="N57" s="23"/>
      <c r="O57" s="23"/>
    </row>
    <row r="58" spans="1:15" x14ac:dyDescent="0.35">
      <c r="B58" s="47"/>
      <c r="C58" s="48"/>
      <c r="D58" s="74" t="s">
        <v>44</v>
      </c>
      <c r="E58" s="25"/>
      <c r="F58" s="18" t="s">
        <v>102</v>
      </c>
      <c r="G58" s="22"/>
      <c r="H58" s="75">
        <v>4</v>
      </c>
      <c r="I58" s="69" t="s">
        <v>97</v>
      </c>
      <c r="J58" s="46">
        <v>500000</v>
      </c>
      <c r="K58" s="59">
        <f>J58*H58</f>
        <v>2000000</v>
      </c>
      <c r="L58" s="46"/>
      <c r="M58" s="18"/>
      <c r="N58" s="23"/>
      <c r="O58" s="23"/>
    </row>
    <row r="59" spans="1:15" x14ac:dyDescent="0.35">
      <c r="B59" s="47"/>
      <c r="C59" s="48"/>
      <c r="D59" s="74" t="s">
        <v>47</v>
      </c>
      <c r="E59" s="25"/>
      <c r="F59" s="18" t="s">
        <v>103</v>
      </c>
      <c r="G59" s="22"/>
      <c r="H59" s="76">
        <v>2</v>
      </c>
      <c r="I59" s="69" t="s">
        <v>99</v>
      </c>
      <c r="J59" s="46">
        <v>600000</v>
      </c>
      <c r="K59" s="59">
        <f t="shared" ref="K59" si="3">J59*H59</f>
        <v>1200000</v>
      </c>
      <c r="L59" s="46"/>
      <c r="M59" s="18"/>
      <c r="N59" s="23"/>
      <c r="O59" s="23"/>
    </row>
    <row r="60" spans="1:15" x14ac:dyDescent="0.35">
      <c r="B60" s="62"/>
      <c r="C60" s="25"/>
      <c r="D60" s="24" t="s">
        <v>49</v>
      </c>
      <c r="F60" s="18" t="s">
        <v>171</v>
      </c>
      <c r="G60" s="22"/>
      <c r="H60" s="70">
        <v>2</v>
      </c>
      <c r="I60" s="22" t="s">
        <v>99</v>
      </c>
      <c r="J60" s="29">
        <v>1500000</v>
      </c>
      <c r="K60" s="77"/>
      <c r="L60" s="46">
        <f>J60*H60</f>
        <v>3000000</v>
      </c>
      <c r="M60" s="18"/>
      <c r="N60" s="23"/>
      <c r="O60" s="23"/>
    </row>
    <row r="61" spans="1:15" x14ac:dyDescent="0.35">
      <c r="B61" s="86"/>
      <c r="C61" s="79"/>
      <c r="D61" s="80" t="s">
        <v>51</v>
      </c>
      <c r="E61" s="81"/>
      <c r="F61" s="82" t="s">
        <v>163</v>
      </c>
      <c r="G61" s="83"/>
      <c r="H61" s="76">
        <v>2</v>
      </c>
      <c r="I61" s="83" t="s">
        <v>99</v>
      </c>
      <c r="J61" s="46">
        <v>0</v>
      </c>
      <c r="K61" s="59">
        <f t="shared" ref="K61" si="4">J61*H61</f>
        <v>0</v>
      </c>
      <c r="L61" s="46"/>
      <c r="M61" s="18"/>
      <c r="N61" s="23"/>
      <c r="O61" s="23"/>
    </row>
    <row r="62" spans="1:15" x14ac:dyDescent="0.35">
      <c r="A62" t="s">
        <v>106</v>
      </c>
      <c r="B62" s="86" t="s">
        <v>104</v>
      </c>
      <c r="C62" s="79"/>
      <c r="D62" s="80"/>
      <c r="E62" s="81" t="s">
        <v>108</v>
      </c>
      <c r="F62" s="82"/>
      <c r="G62" s="83"/>
      <c r="H62" s="76"/>
      <c r="I62" s="83"/>
      <c r="J62" s="84"/>
      <c r="K62" s="59"/>
      <c r="L62" s="46"/>
    </row>
    <row r="63" spans="1:15" x14ac:dyDescent="0.35">
      <c r="B63" s="47"/>
      <c r="C63" s="48"/>
      <c r="D63" s="74" t="s">
        <v>44</v>
      </c>
      <c r="E63" s="25"/>
      <c r="F63" s="18" t="s">
        <v>164</v>
      </c>
      <c r="G63" s="22"/>
      <c r="H63" s="76">
        <v>1</v>
      </c>
      <c r="I63" s="69" t="s">
        <v>46</v>
      </c>
      <c r="J63" s="46">
        <v>7500000</v>
      </c>
      <c r="K63" s="59">
        <f t="shared" ref="K63:K64" si="5">J63*H63</f>
        <v>7500000</v>
      </c>
      <c r="L63" s="46"/>
      <c r="M63" s="87"/>
    </row>
    <row r="64" spans="1:15" x14ac:dyDescent="0.35">
      <c r="B64" s="47"/>
      <c r="C64" s="48"/>
      <c r="D64" s="74" t="s">
        <v>47</v>
      </c>
      <c r="E64" s="25"/>
      <c r="F64" s="18" t="s">
        <v>109</v>
      </c>
      <c r="G64" s="22"/>
      <c r="H64" s="76">
        <v>1</v>
      </c>
      <c r="I64" s="69" t="s">
        <v>46</v>
      </c>
      <c r="J64" s="46">
        <v>2750000</v>
      </c>
      <c r="K64" s="59">
        <f t="shared" si="5"/>
        <v>2750000</v>
      </c>
      <c r="L64" s="46"/>
      <c r="M64" s="87"/>
    </row>
    <row r="65" spans="2:23" x14ac:dyDescent="0.35">
      <c r="B65" s="85"/>
      <c r="C65" s="79"/>
      <c r="D65" s="80" t="s">
        <v>51</v>
      </c>
      <c r="E65" s="82"/>
      <c r="F65" s="82" t="s">
        <v>165</v>
      </c>
      <c r="G65" s="83"/>
      <c r="H65" s="76">
        <v>49</v>
      </c>
      <c r="I65" s="83" t="s">
        <v>149</v>
      </c>
      <c r="J65" s="67">
        <v>150000</v>
      </c>
      <c r="K65" s="77"/>
      <c r="L65" s="46">
        <f t="shared" ref="L65" si="6">J65*H65</f>
        <v>7350000</v>
      </c>
      <c r="M65" s="18"/>
      <c r="N65" s="23"/>
      <c r="O65" s="23"/>
    </row>
    <row r="66" spans="2:23" x14ac:dyDescent="0.35">
      <c r="B66" s="85"/>
      <c r="C66" s="79"/>
      <c r="D66" s="80"/>
      <c r="E66" s="82"/>
      <c r="F66" s="82" t="s">
        <v>123</v>
      </c>
      <c r="G66" s="83" t="s">
        <v>166</v>
      </c>
      <c r="H66" s="117"/>
      <c r="I66" s="83"/>
      <c r="J66" s="50"/>
      <c r="K66" s="29"/>
      <c r="L66" s="52"/>
      <c r="M66" s="18"/>
      <c r="N66" s="23"/>
      <c r="O66" s="23"/>
    </row>
    <row r="67" spans="2:23" x14ac:dyDescent="0.35">
      <c r="B67" s="85"/>
      <c r="C67" s="79"/>
      <c r="D67" s="80"/>
      <c r="E67" s="82"/>
      <c r="F67" s="82" t="s">
        <v>123</v>
      </c>
      <c r="G67" s="83" t="s">
        <v>167</v>
      </c>
      <c r="H67" s="117"/>
      <c r="I67" s="83"/>
      <c r="J67" s="50"/>
      <c r="K67" s="29"/>
      <c r="L67" s="52"/>
      <c r="M67" s="18"/>
      <c r="N67" s="23"/>
      <c r="O67" s="23"/>
    </row>
    <row r="68" spans="2:23" x14ac:dyDescent="0.35">
      <c r="B68" s="78" t="s">
        <v>168</v>
      </c>
      <c r="C68" s="79"/>
      <c r="D68" s="80"/>
      <c r="E68" s="81" t="s">
        <v>110</v>
      </c>
      <c r="F68" s="82"/>
      <c r="G68" s="83"/>
      <c r="H68" s="76"/>
      <c r="I68" s="22"/>
      <c r="J68" s="88"/>
      <c r="K68" s="73"/>
      <c r="L68" s="46"/>
    </row>
    <row r="69" spans="2:23" x14ac:dyDescent="0.35">
      <c r="B69" s="85"/>
      <c r="C69" s="79"/>
      <c r="D69" s="80" t="s">
        <v>44</v>
      </c>
      <c r="E69" s="82"/>
      <c r="F69" s="82" t="s">
        <v>111</v>
      </c>
      <c r="G69" s="83"/>
      <c r="H69" s="76">
        <v>9</v>
      </c>
      <c r="I69" s="83" t="s">
        <v>112</v>
      </c>
      <c r="J69" s="84">
        <v>400000</v>
      </c>
      <c r="K69" s="59">
        <f>J69*H69</f>
        <v>3600000</v>
      </c>
      <c r="L69" s="46"/>
      <c r="M69" s="87"/>
    </row>
    <row r="70" spans="2:23" x14ac:dyDescent="0.35">
      <c r="B70" s="85"/>
      <c r="C70" s="79"/>
      <c r="D70" s="80" t="s">
        <v>47</v>
      </c>
      <c r="E70" s="82"/>
      <c r="F70" s="82" t="s">
        <v>113</v>
      </c>
      <c r="G70" s="83"/>
      <c r="H70" s="76">
        <v>9</v>
      </c>
      <c r="I70" s="83" t="s">
        <v>114</v>
      </c>
      <c r="J70" s="84">
        <v>400000</v>
      </c>
      <c r="K70" s="59">
        <f>J70*H70</f>
        <v>3600000</v>
      </c>
      <c r="L70" s="46"/>
      <c r="M70" s="87"/>
    </row>
    <row r="71" spans="2:23" x14ac:dyDescent="0.35">
      <c r="B71" s="47"/>
      <c r="C71" s="48"/>
      <c r="D71" s="24"/>
      <c r="G71" s="22"/>
      <c r="I71" s="22"/>
      <c r="J71" s="50"/>
      <c r="K71" s="29"/>
      <c r="L71" s="52"/>
      <c r="M71" s="18"/>
      <c r="N71" s="23"/>
      <c r="O71" s="23"/>
    </row>
    <row r="72" spans="2:23" x14ac:dyDescent="0.35">
      <c r="B72" s="47"/>
      <c r="C72" s="48"/>
      <c r="D72" s="24"/>
      <c r="G72" s="22"/>
      <c r="I72" s="22"/>
      <c r="J72" s="50"/>
      <c r="K72" s="29"/>
      <c r="L72" s="52"/>
      <c r="M72" s="18"/>
      <c r="N72" s="23"/>
      <c r="O72" s="23"/>
    </row>
    <row r="73" spans="2:23" x14ac:dyDescent="0.35">
      <c r="B73" s="8"/>
      <c r="C73" s="9"/>
      <c r="D73" s="10"/>
      <c r="E73" s="4"/>
      <c r="F73" s="4"/>
      <c r="G73" s="4"/>
      <c r="H73" s="1"/>
      <c r="I73" s="1"/>
      <c r="J73" s="11" t="s">
        <v>8</v>
      </c>
      <c r="K73" s="7">
        <f>SUM(K20:K72)</f>
        <v>213086000</v>
      </c>
      <c r="L73" s="7">
        <f>SUM(L20:L72)</f>
        <v>13950000</v>
      </c>
      <c r="M73" s="14"/>
      <c r="N73" s="15"/>
      <c r="O73" s="34"/>
      <c r="P73" s="34"/>
      <c r="Q73" s="34"/>
      <c r="R73" s="34"/>
      <c r="S73">
        <v>102.15</v>
      </c>
      <c r="T73" s="34" t="s">
        <v>19</v>
      </c>
      <c r="U73" s="34"/>
      <c r="V73" s="34"/>
      <c r="W73" s="16"/>
    </row>
    <row r="74" spans="2:23" x14ac:dyDescent="0.35">
      <c r="B74" s="8"/>
      <c r="C74" s="9"/>
      <c r="D74" s="9"/>
      <c r="E74" s="4"/>
      <c r="F74" s="4"/>
      <c r="G74" s="4"/>
      <c r="H74" s="1"/>
      <c r="I74" s="1"/>
      <c r="J74" s="11"/>
      <c r="K74" s="35" t="s">
        <v>22</v>
      </c>
      <c r="L74" s="36" t="s">
        <v>23</v>
      </c>
      <c r="M74" s="14"/>
      <c r="N74" s="15"/>
      <c r="O74" s="34"/>
      <c r="P74" s="34"/>
      <c r="Q74" s="34"/>
      <c r="R74" s="34"/>
      <c r="T74" s="34"/>
      <c r="U74" s="34"/>
      <c r="V74" s="34"/>
      <c r="W74" s="16"/>
    </row>
    <row r="75" spans="2:23" x14ac:dyDescent="0.35">
      <c r="B75" s="3" t="s">
        <v>9</v>
      </c>
      <c r="C75" s="4"/>
      <c r="D75" s="4"/>
      <c r="E75" s="4"/>
      <c r="F75" s="4"/>
      <c r="G75" s="4"/>
      <c r="H75" s="1"/>
      <c r="I75" s="1"/>
      <c r="J75" s="12"/>
      <c r="K75" s="12"/>
      <c r="L75" s="13"/>
      <c r="N75" s="15"/>
      <c r="O75" s="34"/>
      <c r="P75" s="34"/>
      <c r="Q75" s="34"/>
      <c r="R75" s="34"/>
      <c r="S75">
        <v>26.04</v>
      </c>
      <c r="T75" s="34" t="s">
        <v>20</v>
      </c>
      <c r="U75" s="34"/>
      <c r="V75" s="34"/>
      <c r="W75" s="16"/>
    </row>
    <row r="76" spans="2:23" x14ac:dyDescent="0.35">
      <c r="B76" s="37"/>
      <c r="C76" s="1"/>
      <c r="D76" s="1"/>
      <c r="E76" s="38"/>
      <c r="F76" s="38"/>
      <c r="G76" s="38"/>
      <c r="H76" s="1"/>
      <c r="I76" s="1"/>
      <c r="J76" s="1"/>
      <c r="K76" s="1"/>
      <c r="L76" s="19"/>
    </row>
    <row r="77" spans="2:23" x14ac:dyDescent="0.35">
      <c r="B77" s="28" t="s">
        <v>6</v>
      </c>
      <c r="C77" s="27"/>
      <c r="D77" s="27"/>
      <c r="E77" s="26"/>
      <c r="F77" s="26"/>
      <c r="G77" s="5"/>
      <c r="K77" s="176" t="s">
        <v>225</v>
      </c>
      <c r="L77" s="177"/>
    </row>
    <row r="78" spans="2:23" x14ac:dyDescent="0.35">
      <c r="B78" s="28">
        <v>1</v>
      </c>
      <c r="C78" s="27"/>
      <c r="D78" s="27"/>
      <c r="E78" s="26" t="s">
        <v>7</v>
      </c>
      <c r="F78" s="26"/>
      <c r="G78" s="5"/>
      <c r="K78" s="176" t="s">
        <v>28</v>
      </c>
      <c r="L78" s="177"/>
    </row>
    <row r="79" spans="2:23" x14ac:dyDescent="0.35">
      <c r="B79" s="39"/>
      <c r="C79" s="27"/>
      <c r="D79" s="27"/>
      <c r="E79" s="26"/>
      <c r="F79" s="26"/>
      <c r="G79" s="5"/>
      <c r="J79" s="25"/>
      <c r="K79" s="25"/>
      <c r="L79" s="24"/>
    </row>
    <row r="80" spans="2:23" x14ac:dyDescent="0.35">
      <c r="B80" s="28"/>
      <c r="C80" s="27"/>
      <c r="D80" s="27"/>
      <c r="E80" s="26"/>
      <c r="F80" s="26"/>
      <c r="G80" s="5"/>
      <c r="L80" s="22"/>
    </row>
    <row r="81" spans="2:14" x14ac:dyDescent="0.35">
      <c r="B81" s="45"/>
      <c r="E81" s="5"/>
      <c r="F81" s="5"/>
      <c r="G81" s="5"/>
      <c r="L81" s="22"/>
    </row>
    <row r="82" spans="2:14" x14ac:dyDescent="0.35">
      <c r="B82" s="45"/>
      <c r="E82" s="5"/>
      <c r="F82" s="5"/>
      <c r="G82" s="5"/>
      <c r="L82" s="22"/>
    </row>
    <row r="83" spans="2:14" x14ac:dyDescent="0.35">
      <c r="B83" s="45"/>
      <c r="E83" s="5"/>
      <c r="F83" s="5"/>
      <c r="G83" s="5"/>
      <c r="L83" s="22"/>
    </row>
    <row r="84" spans="2:14" x14ac:dyDescent="0.35">
      <c r="B84" s="45"/>
      <c r="E84" s="5"/>
      <c r="F84" s="5"/>
      <c r="G84" s="5"/>
      <c r="J84" s="40"/>
      <c r="K84" s="178" t="s">
        <v>36</v>
      </c>
      <c r="L84" s="179"/>
      <c r="M84" s="40"/>
    </row>
    <row r="85" spans="2:14" x14ac:dyDescent="0.35">
      <c r="B85" s="45"/>
      <c r="K85" s="180" t="s">
        <v>37</v>
      </c>
      <c r="L85" s="181"/>
      <c r="M85" s="42"/>
    </row>
    <row r="86" spans="2:14" x14ac:dyDescent="0.35">
      <c r="B86" s="182"/>
      <c r="C86" s="183"/>
      <c r="D86" s="183"/>
      <c r="E86" s="41"/>
      <c r="F86" s="41"/>
      <c r="G86" s="41"/>
      <c r="H86" s="2"/>
      <c r="I86" s="2"/>
      <c r="J86" s="2"/>
      <c r="K86" s="2"/>
      <c r="L86" s="21"/>
    </row>
    <row r="87" spans="2:14" x14ac:dyDescent="0.35">
      <c r="B87" s="47"/>
      <c r="C87" s="48"/>
      <c r="D87" s="49"/>
      <c r="G87" s="22"/>
      <c r="H87" s="1"/>
      <c r="I87" s="1"/>
      <c r="J87" s="43"/>
      <c r="K87" s="30"/>
      <c r="L87" s="44"/>
    </row>
    <row r="88" spans="2:14" x14ac:dyDescent="0.35">
      <c r="B88" s="85"/>
      <c r="C88" s="79"/>
      <c r="D88" s="80" t="s">
        <v>49</v>
      </c>
      <c r="E88" s="82"/>
      <c r="F88" s="82" t="s">
        <v>115</v>
      </c>
      <c r="G88" s="83"/>
      <c r="H88" s="76">
        <v>2</v>
      </c>
      <c r="I88" s="83" t="s">
        <v>99</v>
      </c>
      <c r="J88" s="84">
        <v>1000000</v>
      </c>
      <c r="K88" s="59">
        <f>J88*H88</f>
        <v>2000000</v>
      </c>
      <c r="L88" s="46"/>
      <c r="M88" s="87"/>
    </row>
    <row r="89" spans="2:14" x14ac:dyDescent="0.35">
      <c r="B89" s="85"/>
      <c r="C89" s="79"/>
      <c r="D89" s="80" t="s">
        <v>51</v>
      </c>
      <c r="E89" s="82"/>
      <c r="F89" s="82" t="s">
        <v>116</v>
      </c>
      <c r="G89" s="83"/>
      <c r="H89" s="76">
        <v>9</v>
      </c>
      <c r="I89" s="83" t="s">
        <v>114</v>
      </c>
      <c r="J89" s="84">
        <v>160000</v>
      </c>
      <c r="K89" s="59">
        <f>J89*H89</f>
        <v>1440000</v>
      </c>
      <c r="L89" s="46"/>
      <c r="M89" s="87"/>
    </row>
    <row r="90" spans="2:14" x14ac:dyDescent="0.35">
      <c r="B90" s="85"/>
      <c r="C90" s="79"/>
      <c r="D90" s="80" t="s">
        <v>53</v>
      </c>
      <c r="E90" s="82"/>
      <c r="F90" s="82" t="s">
        <v>117</v>
      </c>
      <c r="G90" s="83"/>
      <c r="H90" s="76">
        <v>2</v>
      </c>
      <c r="I90" s="83" t="s">
        <v>99</v>
      </c>
      <c r="J90" s="84">
        <v>500000</v>
      </c>
      <c r="K90" s="59">
        <f>J90*H90</f>
        <v>1000000</v>
      </c>
      <c r="L90" s="46"/>
      <c r="M90" s="87"/>
    </row>
    <row r="91" spans="2:14" x14ac:dyDescent="0.35">
      <c r="B91" s="62"/>
      <c r="C91" s="25"/>
      <c r="D91" s="24" t="s">
        <v>54</v>
      </c>
      <c r="F91" s="89" t="s">
        <v>118</v>
      </c>
      <c r="G91" s="90"/>
      <c r="H91" s="91">
        <v>9</v>
      </c>
      <c r="I91" s="90" t="s">
        <v>112</v>
      </c>
      <c r="J91" s="84">
        <v>150000</v>
      </c>
      <c r="K91" s="59">
        <f>J91*H91</f>
        <v>1350000</v>
      </c>
      <c r="L91" s="46"/>
      <c r="M91" s="87"/>
    </row>
    <row r="92" spans="2:14" x14ac:dyDescent="0.35">
      <c r="B92" s="94"/>
      <c r="C92" s="95"/>
      <c r="D92" s="96" t="s">
        <v>56</v>
      </c>
      <c r="E92" s="97"/>
      <c r="F92" s="97" t="s">
        <v>169</v>
      </c>
      <c r="G92" s="98"/>
      <c r="H92" s="99">
        <v>1</v>
      </c>
      <c r="I92" s="98" t="s">
        <v>99</v>
      </c>
      <c r="J92" s="84">
        <v>250000</v>
      </c>
      <c r="K92" s="59"/>
      <c r="L92" s="46">
        <f>J92*H92</f>
        <v>250000</v>
      </c>
      <c r="M92" s="87"/>
    </row>
    <row r="93" spans="2:14" x14ac:dyDescent="0.35">
      <c r="B93" s="94"/>
      <c r="C93" s="95"/>
      <c r="D93" s="96"/>
      <c r="E93" s="97"/>
      <c r="F93" s="97" t="s">
        <v>123</v>
      </c>
      <c r="G93" s="98" t="s">
        <v>170</v>
      </c>
      <c r="H93" s="111"/>
      <c r="I93" s="98"/>
      <c r="J93" s="84"/>
      <c r="K93" s="59"/>
      <c r="L93" s="46"/>
      <c r="M93" s="87">
        <v>179879.04479999997</v>
      </c>
      <c r="N93" s="127">
        <v>1.3</v>
      </c>
    </row>
    <row r="94" spans="2:14" x14ac:dyDescent="0.35">
      <c r="B94" s="63" t="s">
        <v>107</v>
      </c>
      <c r="C94" s="64"/>
      <c r="D94" s="65"/>
      <c r="E94" s="53" t="s">
        <v>119</v>
      </c>
      <c r="G94" s="22"/>
      <c r="H94" s="70"/>
      <c r="I94" s="22"/>
      <c r="J94" s="92"/>
      <c r="K94" s="73"/>
      <c r="L94" s="46"/>
    </row>
    <row r="95" spans="2:14" x14ac:dyDescent="0.35">
      <c r="B95" s="62"/>
      <c r="C95" s="25"/>
      <c r="D95" s="24" t="s">
        <v>44</v>
      </c>
      <c r="F95" s="18" t="s">
        <v>120</v>
      </c>
      <c r="G95" s="22"/>
      <c r="H95" s="70">
        <v>1</v>
      </c>
      <c r="I95" s="22" t="s">
        <v>46</v>
      </c>
      <c r="J95" s="92">
        <v>2000000</v>
      </c>
      <c r="K95" s="93">
        <f>J95*H95</f>
        <v>2000000</v>
      </c>
      <c r="L95" s="46"/>
    </row>
    <row r="96" spans="2:14" x14ac:dyDescent="0.35">
      <c r="B96" s="94"/>
      <c r="C96" s="95"/>
      <c r="D96" s="96"/>
      <c r="E96" s="97"/>
      <c r="F96" s="97"/>
      <c r="G96" s="98"/>
      <c r="H96" s="99"/>
      <c r="I96" s="98"/>
      <c r="J96" s="73"/>
      <c r="K96" s="93"/>
      <c r="L96" s="46"/>
    </row>
    <row r="97" spans="2:12" x14ac:dyDescent="0.35">
      <c r="B97" s="100"/>
      <c r="C97" s="101"/>
      <c r="D97" s="102"/>
      <c r="E97" s="103"/>
      <c r="F97" s="103" t="s">
        <v>121</v>
      </c>
      <c r="G97" s="104"/>
      <c r="H97" s="99"/>
      <c r="I97" s="98"/>
      <c r="J97" s="73"/>
      <c r="K97" s="93"/>
      <c r="L97" s="46"/>
    </row>
    <row r="98" spans="2:12" x14ac:dyDescent="0.35">
      <c r="B98" s="105" t="s">
        <v>43</v>
      </c>
      <c r="C98" s="106"/>
      <c r="D98" s="107"/>
      <c r="E98" s="108" t="s">
        <v>173</v>
      </c>
      <c r="F98" s="108"/>
      <c r="G98" s="109"/>
      <c r="H98" s="113"/>
      <c r="I98" s="109"/>
      <c r="J98" s="50"/>
      <c r="K98" s="59"/>
      <c r="L98" s="46"/>
    </row>
    <row r="99" spans="2:12" x14ac:dyDescent="0.35">
      <c r="B99" s="94"/>
      <c r="C99" s="95"/>
      <c r="D99" s="96" t="s">
        <v>44</v>
      </c>
      <c r="E99" s="97"/>
      <c r="F99" s="97" t="s">
        <v>122</v>
      </c>
      <c r="G99" s="98"/>
      <c r="H99" s="99">
        <v>1</v>
      </c>
      <c r="I99" s="98" t="s">
        <v>99</v>
      </c>
      <c r="J99" s="50">
        <v>650000</v>
      </c>
      <c r="K99" s="59">
        <f>J99*H99</f>
        <v>650000</v>
      </c>
      <c r="L99" s="46"/>
    </row>
    <row r="100" spans="2:12" x14ac:dyDescent="0.35">
      <c r="B100" s="94"/>
      <c r="C100" s="95"/>
      <c r="D100" s="96"/>
      <c r="E100" s="97"/>
      <c r="F100" s="97" t="s">
        <v>123</v>
      </c>
      <c r="G100" s="98" t="s">
        <v>174</v>
      </c>
      <c r="H100" s="99"/>
      <c r="I100" s="98"/>
      <c r="J100" s="73"/>
      <c r="K100" s="93"/>
      <c r="L100" s="46"/>
    </row>
    <row r="101" spans="2:12" x14ac:dyDescent="0.35">
      <c r="B101" s="94"/>
      <c r="C101" s="95"/>
      <c r="D101" s="96"/>
      <c r="E101" s="97"/>
      <c r="F101" s="97" t="s">
        <v>123</v>
      </c>
      <c r="G101" s="98" t="s">
        <v>175</v>
      </c>
      <c r="H101" s="99"/>
      <c r="I101" s="98"/>
      <c r="J101" s="73"/>
      <c r="K101" s="93"/>
      <c r="L101" s="46"/>
    </row>
    <row r="102" spans="2:12" x14ac:dyDescent="0.35">
      <c r="B102" s="94"/>
      <c r="C102" s="95"/>
      <c r="D102" s="96" t="s">
        <v>47</v>
      </c>
      <c r="E102" s="97"/>
      <c r="F102" s="97" t="s">
        <v>124</v>
      </c>
      <c r="G102" s="98"/>
      <c r="H102" s="99">
        <v>1</v>
      </c>
      <c r="I102" s="98" t="s">
        <v>99</v>
      </c>
      <c r="J102" s="50">
        <v>700000</v>
      </c>
      <c r="K102" s="59">
        <f>J102*H102</f>
        <v>700000</v>
      </c>
      <c r="L102" s="46"/>
    </row>
    <row r="103" spans="2:12" x14ac:dyDescent="0.35">
      <c r="B103" s="94"/>
      <c r="C103" s="95"/>
      <c r="D103" s="96"/>
      <c r="E103" s="97"/>
      <c r="F103" s="97" t="s">
        <v>123</v>
      </c>
      <c r="G103" s="98" t="s">
        <v>174</v>
      </c>
      <c r="H103" s="99"/>
      <c r="I103" s="98"/>
      <c r="J103" s="50"/>
      <c r="K103" s="59"/>
      <c r="L103" s="46"/>
    </row>
    <row r="104" spans="2:12" x14ac:dyDescent="0.35">
      <c r="B104" s="94"/>
      <c r="C104" s="95"/>
      <c r="D104" s="96"/>
      <c r="E104" s="97"/>
      <c r="F104" s="97" t="s">
        <v>123</v>
      </c>
      <c r="G104" s="98" t="s">
        <v>176</v>
      </c>
      <c r="H104" s="99"/>
      <c r="I104" s="98"/>
      <c r="J104" s="73"/>
      <c r="K104" s="93"/>
      <c r="L104" s="46"/>
    </row>
    <row r="105" spans="2:12" x14ac:dyDescent="0.35">
      <c r="B105" s="94"/>
      <c r="C105" s="95"/>
      <c r="D105" s="96" t="s">
        <v>49</v>
      </c>
      <c r="E105" s="97"/>
      <c r="F105" s="97" t="s">
        <v>125</v>
      </c>
      <c r="G105" s="98"/>
      <c r="H105" s="99">
        <v>1</v>
      </c>
      <c r="I105" s="98" t="s">
        <v>99</v>
      </c>
      <c r="J105" s="29">
        <v>1100000</v>
      </c>
      <c r="K105" s="59">
        <f>J105*H105</f>
        <v>1100000</v>
      </c>
      <c r="L105" s="46"/>
    </row>
    <row r="106" spans="2:12" x14ac:dyDescent="0.35">
      <c r="B106" s="94"/>
      <c r="C106" s="95"/>
      <c r="D106" s="96"/>
      <c r="E106" s="97"/>
      <c r="F106" s="97" t="s">
        <v>123</v>
      </c>
      <c r="G106" s="98" t="s">
        <v>177</v>
      </c>
      <c r="H106" s="99"/>
      <c r="I106" s="98"/>
      <c r="J106" s="73"/>
      <c r="K106" s="93"/>
      <c r="L106" s="46"/>
    </row>
    <row r="107" spans="2:12" x14ac:dyDescent="0.35">
      <c r="B107" s="94"/>
      <c r="C107" s="95"/>
      <c r="D107" s="96"/>
      <c r="E107" s="97"/>
      <c r="F107" s="97" t="s">
        <v>123</v>
      </c>
      <c r="G107" s="98" t="s">
        <v>178</v>
      </c>
      <c r="H107" s="99"/>
      <c r="I107" s="98"/>
      <c r="J107" s="73"/>
      <c r="K107" s="93"/>
      <c r="L107" s="46"/>
    </row>
    <row r="108" spans="2:12" x14ac:dyDescent="0.35">
      <c r="B108" s="94"/>
      <c r="C108" s="95"/>
      <c r="D108" s="96"/>
      <c r="E108" s="97"/>
      <c r="F108" s="97" t="s">
        <v>123</v>
      </c>
      <c r="G108" s="98" t="s">
        <v>174</v>
      </c>
      <c r="H108" s="99"/>
      <c r="I108" s="98"/>
      <c r="J108" s="29"/>
      <c r="K108" s="59"/>
      <c r="L108" s="46"/>
    </row>
    <row r="109" spans="2:12" x14ac:dyDescent="0.35">
      <c r="B109" s="94"/>
      <c r="C109" s="95"/>
      <c r="D109" s="96"/>
      <c r="E109" s="97"/>
      <c r="F109" s="97" t="s">
        <v>123</v>
      </c>
      <c r="G109" s="98" t="s">
        <v>179</v>
      </c>
      <c r="H109" s="99"/>
      <c r="I109" s="98"/>
      <c r="J109" s="46"/>
      <c r="K109" s="59"/>
      <c r="L109" s="46"/>
    </row>
    <row r="110" spans="2:12" x14ac:dyDescent="0.35">
      <c r="B110" s="94"/>
      <c r="C110" s="95"/>
      <c r="D110" s="96" t="s">
        <v>51</v>
      </c>
      <c r="E110" s="97"/>
      <c r="F110" s="97" t="s">
        <v>126</v>
      </c>
      <c r="G110" s="98"/>
      <c r="H110" s="99">
        <v>1</v>
      </c>
      <c r="I110" s="98" t="s">
        <v>99</v>
      </c>
      <c r="J110" s="50">
        <v>800000</v>
      </c>
      <c r="K110" s="59">
        <f>J110*H110</f>
        <v>800000</v>
      </c>
      <c r="L110" s="46"/>
    </row>
    <row r="111" spans="2:12" x14ac:dyDescent="0.35">
      <c r="B111" s="94"/>
      <c r="C111" s="95"/>
      <c r="D111" s="96"/>
      <c r="E111" s="97"/>
      <c r="F111" s="97" t="s">
        <v>123</v>
      </c>
      <c r="G111" s="98" t="s">
        <v>177</v>
      </c>
      <c r="H111" s="99"/>
      <c r="I111" s="98"/>
      <c r="J111" s="46"/>
      <c r="K111" s="59"/>
      <c r="L111" s="46"/>
    </row>
    <row r="112" spans="2:12" x14ac:dyDescent="0.35">
      <c r="B112" s="94"/>
      <c r="C112" s="95"/>
      <c r="D112" s="96"/>
      <c r="E112" s="97"/>
      <c r="F112" s="97" t="s">
        <v>123</v>
      </c>
      <c r="G112" s="98" t="s">
        <v>178</v>
      </c>
      <c r="H112" s="99"/>
      <c r="I112" s="98"/>
      <c r="J112" s="46"/>
      <c r="K112" s="59"/>
      <c r="L112" s="46"/>
    </row>
    <row r="113" spans="2:12" x14ac:dyDescent="0.35">
      <c r="B113" s="94"/>
      <c r="C113" s="95"/>
      <c r="D113" s="96"/>
      <c r="E113" s="97"/>
      <c r="F113" s="97" t="s">
        <v>123</v>
      </c>
      <c r="G113" s="98" t="s">
        <v>174</v>
      </c>
      <c r="H113" s="99"/>
      <c r="I113" s="98"/>
      <c r="J113" s="50"/>
      <c r="K113" s="59"/>
      <c r="L113" s="46"/>
    </row>
    <row r="114" spans="2:12" x14ac:dyDescent="0.35">
      <c r="B114" s="94"/>
      <c r="C114" s="95"/>
      <c r="D114" s="96"/>
      <c r="E114" s="97"/>
      <c r="F114" s="97" t="s">
        <v>123</v>
      </c>
      <c r="G114" s="98" t="s">
        <v>179</v>
      </c>
      <c r="H114" s="99"/>
      <c r="I114" s="98"/>
      <c r="J114" s="29"/>
      <c r="K114" s="77"/>
      <c r="L114" s="46"/>
    </row>
    <row r="115" spans="2:12" x14ac:dyDescent="0.35">
      <c r="B115" s="94"/>
      <c r="C115" s="95"/>
      <c r="D115" s="96" t="s">
        <v>53</v>
      </c>
      <c r="E115" s="97"/>
      <c r="F115" s="97" t="s">
        <v>127</v>
      </c>
      <c r="G115" s="98"/>
      <c r="H115" s="99">
        <v>1</v>
      </c>
      <c r="I115" s="98" t="s">
        <v>99</v>
      </c>
      <c r="J115" s="50">
        <v>700000</v>
      </c>
      <c r="K115" s="59">
        <f>J115*H115</f>
        <v>700000</v>
      </c>
      <c r="L115" s="46"/>
    </row>
    <row r="116" spans="2:12" x14ac:dyDescent="0.35">
      <c r="B116" s="94"/>
      <c r="C116" s="95"/>
      <c r="D116" s="96"/>
      <c r="E116" s="97"/>
      <c r="F116" s="97" t="s">
        <v>123</v>
      </c>
      <c r="G116" s="98" t="s">
        <v>177</v>
      </c>
      <c r="H116" s="99"/>
      <c r="I116" s="98"/>
      <c r="J116" s="67"/>
      <c r="K116" s="59"/>
      <c r="L116" s="46"/>
    </row>
    <row r="117" spans="2:12" x14ac:dyDescent="0.35">
      <c r="B117" s="94"/>
      <c r="C117" s="95"/>
      <c r="D117" s="96"/>
      <c r="E117" s="97"/>
      <c r="F117" s="97" t="s">
        <v>123</v>
      </c>
      <c r="G117" s="98" t="s">
        <v>178</v>
      </c>
      <c r="H117" s="99"/>
      <c r="I117" s="98"/>
      <c r="J117" s="67"/>
      <c r="K117" s="59"/>
      <c r="L117" s="46"/>
    </row>
    <row r="118" spans="2:12" x14ac:dyDescent="0.35">
      <c r="B118" s="94"/>
      <c r="C118" s="95"/>
      <c r="D118" s="96"/>
      <c r="E118" s="97"/>
      <c r="F118" s="97" t="s">
        <v>123</v>
      </c>
      <c r="G118" s="98" t="s">
        <v>174</v>
      </c>
      <c r="H118" s="99"/>
      <c r="I118" s="98"/>
      <c r="J118" s="50"/>
      <c r="K118" s="59"/>
      <c r="L118" s="46"/>
    </row>
    <row r="119" spans="2:12" x14ac:dyDescent="0.35">
      <c r="B119" s="94"/>
      <c r="C119" s="95"/>
      <c r="D119" s="96"/>
      <c r="E119" s="97"/>
      <c r="F119" s="97" t="s">
        <v>123</v>
      </c>
      <c r="G119" s="98" t="s">
        <v>176</v>
      </c>
      <c r="H119" s="99"/>
      <c r="I119" s="98"/>
      <c r="J119" s="84"/>
      <c r="K119" s="59"/>
      <c r="L119" s="46"/>
    </row>
    <row r="120" spans="2:12" x14ac:dyDescent="0.35">
      <c r="B120" s="94"/>
      <c r="C120" s="95"/>
      <c r="D120" s="96" t="s">
        <v>54</v>
      </c>
      <c r="E120" s="97"/>
      <c r="F120" s="97" t="s">
        <v>128</v>
      </c>
      <c r="G120" s="98"/>
      <c r="H120" s="99">
        <v>1</v>
      </c>
      <c r="I120" s="98" t="s">
        <v>99</v>
      </c>
      <c r="J120" s="50">
        <v>700000</v>
      </c>
      <c r="K120" s="59">
        <f>J120*H120</f>
        <v>700000</v>
      </c>
      <c r="L120" s="46"/>
    </row>
    <row r="121" spans="2:12" x14ac:dyDescent="0.35">
      <c r="B121" s="94"/>
      <c r="C121" s="95"/>
      <c r="D121" s="96"/>
      <c r="E121" s="97"/>
      <c r="F121" s="97" t="s">
        <v>123</v>
      </c>
      <c r="G121" s="98" t="s">
        <v>177</v>
      </c>
      <c r="H121" s="99"/>
      <c r="I121" s="98"/>
      <c r="J121" s="46"/>
      <c r="K121" s="59"/>
      <c r="L121" s="46"/>
    </row>
    <row r="122" spans="2:12" x14ac:dyDescent="0.35">
      <c r="B122" s="94"/>
      <c r="C122" s="95"/>
      <c r="D122" s="96"/>
      <c r="E122" s="97"/>
      <c r="F122" s="97" t="s">
        <v>123</v>
      </c>
      <c r="G122" s="98" t="s">
        <v>178</v>
      </c>
      <c r="H122" s="99"/>
      <c r="I122" s="98"/>
      <c r="J122" s="84"/>
      <c r="K122" s="59"/>
      <c r="L122" s="46"/>
    </row>
    <row r="123" spans="2:12" x14ac:dyDescent="0.35">
      <c r="B123" s="94"/>
      <c r="C123" s="95"/>
      <c r="D123" s="96"/>
      <c r="E123" s="97"/>
      <c r="F123" s="97" t="s">
        <v>123</v>
      </c>
      <c r="G123" s="98" t="s">
        <v>174</v>
      </c>
      <c r="H123" s="99"/>
      <c r="I123" s="98"/>
      <c r="J123" s="50"/>
      <c r="K123" s="59"/>
      <c r="L123" s="46"/>
    </row>
    <row r="124" spans="2:12" x14ac:dyDescent="0.35">
      <c r="B124" s="94"/>
      <c r="C124" s="95"/>
      <c r="D124" s="96"/>
      <c r="E124" s="97"/>
      <c r="F124" s="97" t="s">
        <v>123</v>
      </c>
      <c r="G124" s="98" t="s">
        <v>176</v>
      </c>
      <c r="H124" s="99"/>
      <c r="I124" s="98"/>
      <c r="J124" s="84"/>
      <c r="K124" s="59"/>
      <c r="L124" s="46"/>
    </row>
    <row r="125" spans="2:12" x14ac:dyDescent="0.35">
      <c r="B125" s="105" t="s">
        <v>76</v>
      </c>
      <c r="C125" s="106"/>
      <c r="D125" s="107"/>
      <c r="E125" s="108" t="s">
        <v>129</v>
      </c>
      <c r="F125" s="108"/>
      <c r="G125" s="109"/>
      <c r="H125" s="110"/>
      <c r="I125" s="109"/>
      <c r="J125" s="84"/>
      <c r="K125" s="59"/>
      <c r="L125" s="46"/>
    </row>
    <row r="126" spans="2:12" x14ac:dyDescent="0.35">
      <c r="B126" s="94"/>
      <c r="C126" s="95" t="s">
        <v>130</v>
      </c>
      <c r="D126" s="96"/>
      <c r="E126" s="97" t="s">
        <v>131</v>
      </c>
      <c r="F126" s="97"/>
      <c r="G126" s="98"/>
      <c r="H126" s="111"/>
      <c r="I126" s="98"/>
      <c r="J126" s="84"/>
      <c r="K126" s="59"/>
      <c r="L126" s="46"/>
    </row>
    <row r="127" spans="2:12" x14ac:dyDescent="0.35">
      <c r="B127" s="94"/>
      <c r="C127" s="95"/>
      <c r="D127" s="96" t="s">
        <v>44</v>
      </c>
      <c r="E127" s="97"/>
      <c r="F127" s="97" t="s">
        <v>132</v>
      </c>
      <c r="G127" s="98"/>
      <c r="H127" s="99">
        <v>12</v>
      </c>
      <c r="I127" s="98" t="s">
        <v>133</v>
      </c>
      <c r="J127" s="84">
        <v>150000</v>
      </c>
      <c r="K127" s="59">
        <f>J127*H127</f>
        <v>1800000</v>
      </c>
      <c r="L127" s="46"/>
    </row>
    <row r="128" spans="2:12" x14ac:dyDescent="0.35">
      <c r="B128" s="94"/>
      <c r="C128" s="95"/>
      <c r="D128" s="96"/>
      <c r="E128" s="97"/>
      <c r="F128" s="97" t="s">
        <v>123</v>
      </c>
      <c r="G128" s="98" t="s">
        <v>180</v>
      </c>
      <c r="H128" s="99">
        <v>1470</v>
      </c>
      <c r="I128" s="98" t="s">
        <v>134</v>
      </c>
      <c r="J128" s="84">
        <v>434</v>
      </c>
      <c r="K128" s="59"/>
      <c r="L128" s="46">
        <f>J128*H128</f>
        <v>637980</v>
      </c>
    </row>
    <row r="129" spans="2:12" x14ac:dyDescent="0.35">
      <c r="B129" s="94"/>
      <c r="C129" s="95"/>
      <c r="D129" s="96"/>
      <c r="E129" s="97"/>
      <c r="F129" s="97" t="s">
        <v>123</v>
      </c>
      <c r="G129" s="98" t="s">
        <v>181</v>
      </c>
      <c r="H129" s="99">
        <v>4</v>
      </c>
      <c r="I129" s="98" t="s">
        <v>88</v>
      </c>
      <c r="J129" s="84">
        <v>230000</v>
      </c>
      <c r="K129" s="59"/>
      <c r="L129" s="46">
        <f>J129*H129</f>
        <v>920000</v>
      </c>
    </row>
    <row r="130" spans="2:12" x14ac:dyDescent="0.35">
      <c r="B130" s="94"/>
      <c r="C130" s="95"/>
      <c r="D130" s="96"/>
      <c r="E130" s="97"/>
      <c r="F130" s="97" t="s">
        <v>123</v>
      </c>
      <c r="G130" s="98" t="s">
        <v>182</v>
      </c>
      <c r="H130" s="99">
        <v>2</v>
      </c>
      <c r="I130" s="98" t="s">
        <v>88</v>
      </c>
      <c r="J130" s="112">
        <v>165000</v>
      </c>
      <c r="K130" s="59"/>
      <c r="L130" s="46">
        <f>J130*H130</f>
        <v>330000</v>
      </c>
    </row>
    <row r="131" spans="2:12" x14ac:dyDescent="0.35">
      <c r="B131" s="94"/>
      <c r="C131" s="95"/>
      <c r="D131" s="96"/>
      <c r="E131" s="97"/>
      <c r="F131" s="97" t="s">
        <v>123</v>
      </c>
      <c r="G131" s="98" t="s">
        <v>186</v>
      </c>
      <c r="H131" s="99">
        <v>8</v>
      </c>
      <c r="I131" s="98" t="s">
        <v>88</v>
      </c>
      <c r="J131" s="73">
        <v>0</v>
      </c>
      <c r="K131" s="59"/>
      <c r="L131" s="46">
        <f>J131*H131</f>
        <v>0</v>
      </c>
    </row>
    <row r="132" spans="2:12" x14ac:dyDescent="0.35">
      <c r="B132" s="94"/>
      <c r="C132" s="95"/>
      <c r="D132" s="96"/>
      <c r="E132" s="97"/>
      <c r="F132" s="97" t="s">
        <v>123</v>
      </c>
      <c r="G132" s="98" t="s">
        <v>187</v>
      </c>
      <c r="H132" s="99">
        <v>2</v>
      </c>
      <c r="I132" s="98" t="s">
        <v>88</v>
      </c>
      <c r="J132" s="73">
        <v>0</v>
      </c>
      <c r="K132" s="73"/>
      <c r="L132" s="46">
        <f>J132*H132</f>
        <v>0</v>
      </c>
    </row>
    <row r="133" spans="2:12" x14ac:dyDescent="0.35">
      <c r="B133" s="94"/>
      <c r="C133" s="95"/>
      <c r="D133" s="96" t="s">
        <v>47</v>
      </c>
      <c r="E133" s="97"/>
      <c r="F133" s="97" t="s">
        <v>135</v>
      </c>
      <c r="G133" s="98"/>
      <c r="H133" s="99">
        <v>6</v>
      </c>
      <c r="I133" s="98" t="s">
        <v>133</v>
      </c>
      <c r="J133" s="84">
        <v>150000</v>
      </c>
      <c r="K133" s="59">
        <f>J133*H133</f>
        <v>900000</v>
      </c>
      <c r="L133" s="46"/>
    </row>
    <row r="134" spans="2:12" x14ac:dyDescent="0.35">
      <c r="B134" s="94"/>
      <c r="C134" s="95"/>
      <c r="D134" s="96"/>
      <c r="E134" s="97"/>
      <c r="F134" s="97" t="s">
        <v>123</v>
      </c>
      <c r="G134" s="98" t="s">
        <v>180</v>
      </c>
      <c r="H134" s="99">
        <v>670</v>
      </c>
      <c r="I134" s="98" t="s">
        <v>134</v>
      </c>
      <c r="J134" s="84">
        <v>434</v>
      </c>
      <c r="K134" s="59"/>
      <c r="L134" s="46">
        <f>J134*H134</f>
        <v>290780</v>
      </c>
    </row>
    <row r="135" spans="2:12" x14ac:dyDescent="0.35">
      <c r="B135" s="94"/>
      <c r="C135" s="95"/>
      <c r="D135" s="96"/>
      <c r="E135" s="97"/>
      <c r="F135" s="97" t="s">
        <v>123</v>
      </c>
      <c r="G135" s="98" t="s">
        <v>181</v>
      </c>
      <c r="H135" s="99">
        <v>2</v>
      </c>
      <c r="I135" s="98" t="s">
        <v>88</v>
      </c>
      <c r="J135" s="84">
        <v>230000</v>
      </c>
      <c r="K135" s="59"/>
      <c r="L135" s="46">
        <f>J135*H135</f>
        <v>460000</v>
      </c>
    </row>
    <row r="136" spans="2:12" x14ac:dyDescent="0.35">
      <c r="B136" s="94"/>
      <c r="C136" s="95"/>
      <c r="D136" s="96"/>
      <c r="E136" s="97"/>
      <c r="F136" s="97" t="s">
        <v>123</v>
      </c>
      <c r="G136" s="98" t="s">
        <v>182</v>
      </c>
      <c r="H136" s="99">
        <v>1</v>
      </c>
      <c r="I136" s="98" t="s">
        <v>88</v>
      </c>
      <c r="J136" s="112">
        <v>165000</v>
      </c>
      <c r="K136" s="59"/>
      <c r="L136" s="46">
        <f>J136*H136</f>
        <v>165000</v>
      </c>
    </row>
    <row r="137" spans="2:12" x14ac:dyDescent="0.35">
      <c r="B137" s="94"/>
      <c r="C137" s="95"/>
      <c r="D137" s="96"/>
      <c r="E137" s="97"/>
      <c r="F137" s="97" t="s">
        <v>123</v>
      </c>
      <c r="G137" s="98" t="s">
        <v>188</v>
      </c>
      <c r="H137" s="99">
        <v>1</v>
      </c>
      <c r="I137" s="98" t="s">
        <v>46</v>
      </c>
      <c r="J137" s="73">
        <v>0</v>
      </c>
      <c r="K137" s="93"/>
      <c r="L137" s="46">
        <f>J137*H137</f>
        <v>0</v>
      </c>
    </row>
    <row r="138" spans="2:12" x14ac:dyDescent="0.35">
      <c r="B138" s="47"/>
      <c r="C138" s="48"/>
      <c r="D138" s="24"/>
      <c r="G138" s="22"/>
      <c r="I138" s="22"/>
      <c r="J138" s="50"/>
      <c r="K138" s="29"/>
      <c r="L138" s="52"/>
    </row>
    <row r="139" spans="2:12" x14ac:dyDescent="0.35">
      <c r="B139" s="47"/>
      <c r="C139" s="48"/>
      <c r="D139" s="24"/>
      <c r="G139" s="22"/>
      <c r="I139" s="22"/>
      <c r="J139" s="50"/>
      <c r="K139" s="29"/>
      <c r="L139" s="52"/>
    </row>
    <row r="140" spans="2:12" x14ac:dyDescent="0.35">
      <c r="B140" s="8"/>
      <c r="C140" s="9"/>
      <c r="D140" s="10"/>
      <c r="E140" s="4"/>
      <c r="F140" s="4"/>
      <c r="G140" s="4"/>
      <c r="H140" s="1"/>
      <c r="I140" s="1"/>
      <c r="J140" s="11" t="s">
        <v>8</v>
      </c>
      <c r="K140" s="7">
        <f>SUM(K87:K139)</f>
        <v>15140000</v>
      </c>
      <c r="L140" s="7">
        <f>SUM(L87:L139)</f>
        <v>3053760</v>
      </c>
    </row>
    <row r="141" spans="2:12" x14ac:dyDescent="0.35">
      <c r="B141" s="8"/>
      <c r="C141" s="9"/>
      <c r="D141" s="9"/>
      <c r="E141" s="4"/>
      <c r="F141" s="4"/>
      <c r="G141" s="4"/>
      <c r="H141" s="1"/>
      <c r="I141" s="1"/>
      <c r="J141" s="11"/>
      <c r="K141" s="35" t="s">
        <v>22</v>
      </c>
      <c r="L141" s="36" t="s">
        <v>23</v>
      </c>
    </row>
    <row r="142" spans="2:12" x14ac:dyDescent="0.35">
      <c r="B142" s="3" t="s">
        <v>9</v>
      </c>
      <c r="C142" s="4"/>
      <c r="D142" s="4"/>
      <c r="E142" s="4"/>
      <c r="F142" s="4"/>
      <c r="G142" s="4"/>
      <c r="H142" s="1"/>
      <c r="I142" s="1"/>
      <c r="J142" s="12"/>
      <c r="K142" s="12"/>
      <c r="L142" s="13"/>
    </row>
    <row r="143" spans="2:12" x14ac:dyDescent="0.35">
      <c r="B143" s="37"/>
      <c r="C143" s="1"/>
      <c r="D143" s="1"/>
      <c r="E143" s="38"/>
      <c r="F143" s="38"/>
      <c r="G143" s="38"/>
      <c r="H143" s="1"/>
      <c r="I143" s="1"/>
      <c r="J143" s="1"/>
      <c r="K143" s="1"/>
      <c r="L143" s="19"/>
    </row>
    <row r="144" spans="2:12" x14ac:dyDescent="0.35">
      <c r="B144" s="28" t="s">
        <v>6</v>
      </c>
      <c r="C144" s="27"/>
      <c r="D144" s="27"/>
      <c r="E144" s="26"/>
      <c r="F144" s="26"/>
      <c r="G144" s="5"/>
      <c r="K144" s="176" t="s">
        <v>225</v>
      </c>
      <c r="L144" s="177"/>
    </row>
    <row r="145" spans="2:12" x14ac:dyDescent="0.35">
      <c r="B145" s="28">
        <v>1</v>
      </c>
      <c r="C145" s="27"/>
      <c r="D145" s="27"/>
      <c r="E145" s="26" t="s">
        <v>7</v>
      </c>
      <c r="F145" s="26"/>
      <c r="G145" s="5"/>
      <c r="K145" s="176" t="s">
        <v>28</v>
      </c>
      <c r="L145" s="177"/>
    </row>
    <row r="146" spans="2:12" x14ac:dyDescent="0.35">
      <c r="B146" s="39"/>
      <c r="C146" s="27"/>
      <c r="D146" s="27"/>
      <c r="E146" s="26"/>
      <c r="F146" s="26"/>
      <c r="G146" s="5"/>
      <c r="J146" s="25"/>
      <c r="K146" s="25"/>
      <c r="L146" s="24"/>
    </row>
    <row r="147" spans="2:12" x14ac:dyDescent="0.35">
      <c r="B147" s="28"/>
      <c r="C147" s="27"/>
      <c r="D147" s="27"/>
      <c r="E147" s="26"/>
      <c r="F147" s="26"/>
      <c r="G147" s="5"/>
      <c r="L147" s="22"/>
    </row>
    <row r="148" spans="2:12" x14ac:dyDescent="0.35">
      <c r="B148" s="45"/>
      <c r="E148" s="5"/>
      <c r="F148" s="5"/>
      <c r="G148" s="5"/>
      <c r="L148" s="22"/>
    </row>
    <row r="149" spans="2:12" x14ac:dyDescent="0.35">
      <c r="B149" s="45"/>
      <c r="E149" s="5"/>
      <c r="F149" s="5"/>
      <c r="G149" s="5"/>
      <c r="L149" s="22"/>
    </row>
    <row r="150" spans="2:12" x14ac:dyDescent="0.35">
      <c r="B150" s="45"/>
      <c r="E150" s="5"/>
      <c r="F150" s="5"/>
      <c r="G150" s="5"/>
      <c r="L150" s="22"/>
    </row>
    <row r="151" spans="2:12" x14ac:dyDescent="0.35">
      <c r="B151" s="45"/>
      <c r="E151" s="5"/>
      <c r="F151" s="5"/>
      <c r="G151" s="5"/>
      <c r="J151" s="40"/>
      <c r="K151" s="178" t="s">
        <v>36</v>
      </c>
      <c r="L151" s="179"/>
    </row>
    <row r="152" spans="2:12" x14ac:dyDescent="0.35">
      <c r="B152" s="45"/>
      <c r="K152" s="180" t="s">
        <v>37</v>
      </c>
      <c r="L152" s="181"/>
    </row>
    <row r="153" spans="2:12" x14ac:dyDescent="0.35">
      <c r="B153" s="182"/>
      <c r="C153" s="183"/>
      <c r="D153" s="183"/>
      <c r="E153" s="41"/>
      <c r="F153" s="41"/>
      <c r="G153" s="41"/>
      <c r="H153" s="2"/>
      <c r="I153" s="2"/>
      <c r="J153" s="2"/>
      <c r="K153" s="2"/>
      <c r="L153" s="21"/>
    </row>
    <row r="154" spans="2:12" x14ac:dyDescent="0.35">
      <c r="B154" s="47"/>
      <c r="C154" s="48"/>
      <c r="D154" s="49"/>
      <c r="G154" s="22"/>
      <c r="H154" s="1"/>
      <c r="I154" s="1"/>
      <c r="J154" s="43"/>
      <c r="K154" s="30"/>
      <c r="L154" s="44"/>
    </row>
    <row r="155" spans="2:12" x14ac:dyDescent="0.35">
      <c r="B155" s="94"/>
      <c r="C155" s="95"/>
      <c r="D155" s="96"/>
      <c r="E155" s="97"/>
      <c r="F155" s="97" t="s">
        <v>123</v>
      </c>
      <c r="G155" s="98" t="s">
        <v>185</v>
      </c>
      <c r="H155" s="99">
        <v>1</v>
      </c>
      <c r="I155" s="98" t="s">
        <v>46</v>
      </c>
      <c r="J155" s="73">
        <v>120000</v>
      </c>
      <c r="K155" s="93"/>
      <c r="L155" s="46">
        <f>J155*H155</f>
        <v>120000</v>
      </c>
    </row>
    <row r="156" spans="2:12" x14ac:dyDescent="0.35">
      <c r="B156" s="94"/>
      <c r="C156" s="95"/>
      <c r="D156" s="96"/>
      <c r="E156" s="97"/>
      <c r="F156" s="97" t="s">
        <v>123</v>
      </c>
      <c r="G156" s="98" t="s">
        <v>186</v>
      </c>
      <c r="H156" s="99">
        <v>1</v>
      </c>
      <c r="I156" s="98" t="s">
        <v>46</v>
      </c>
      <c r="J156" s="73">
        <v>0</v>
      </c>
      <c r="K156" s="59"/>
      <c r="L156" s="46">
        <f>J156*H156</f>
        <v>0</v>
      </c>
    </row>
    <row r="157" spans="2:12" x14ac:dyDescent="0.35">
      <c r="B157" s="94"/>
      <c r="C157" s="95"/>
      <c r="D157" s="96"/>
      <c r="E157" s="97"/>
      <c r="F157" s="97" t="s">
        <v>123</v>
      </c>
      <c r="G157" s="98" t="s">
        <v>174</v>
      </c>
      <c r="H157" s="99">
        <v>1</v>
      </c>
      <c r="I157" s="98" t="s">
        <v>46</v>
      </c>
      <c r="J157" s="73">
        <v>0</v>
      </c>
      <c r="K157" s="59"/>
      <c r="L157" s="46">
        <f>J157*H157</f>
        <v>0</v>
      </c>
    </row>
    <row r="158" spans="2:12" x14ac:dyDescent="0.35">
      <c r="B158" s="94"/>
      <c r="C158" s="95" t="s">
        <v>136</v>
      </c>
      <c r="D158" s="96"/>
      <c r="E158" s="97" t="s">
        <v>137</v>
      </c>
      <c r="F158" s="97"/>
      <c r="G158" s="98"/>
      <c r="H158" s="99"/>
      <c r="I158" s="98"/>
      <c r="J158" s="73"/>
      <c r="K158" s="93"/>
      <c r="L158" s="46"/>
    </row>
    <row r="159" spans="2:12" x14ac:dyDescent="0.35">
      <c r="B159" s="94"/>
      <c r="C159" s="95"/>
      <c r="D159" s="96" t="s">
        <v>44</v>
      </c>
      <c r="E159" s="97"/>
      <c r="F159" s="97" t="s">
        <v>183</v>
      </c>
      <c r="G159" s="98"/>
      <c r="H159" s="99">
        <v>5</v>
      </c>
      <c r="I159" s="98" t="s">
        <v>133</v>
      </c>
      <c r="J159" s="84">
        <v>150000</v>
      </c>
      <c r="K159" s="59">
        <f>J159*H159</f>
        <v>750000</v>
      </c>
      <c r="L159" s="46"/>
    </row>
    <row r="160" spans="2:12" x14ac:dyDescent="0.35">
      <c r="B160" s="94"/>
      <c r="C160" s="95"/>
      <c r="D160" s="96"/>
      <c r="E160" s="97"/>
      <c r="F160" s="97" t="s">
        <v>123</v>
      </c>
      <c r="G160" s="98" t="s">
        <v>180</v>
      </c>
      <c r="H160" s="99">
        <v>750</v>
      </c>
      <c r="I160" s="98" t="s">
        <v>134</v>
      </c>
      <c r="J160" s="84">
        <v>434</v>
      </c>
      <c r="K160" s="59"/>
      <c r="L160" s="46">
        <f>J160*H160</f>
        <v>325500</v>
      </c>
    </row>
    <row r="161" spans="2:12" x14ac:dyDescent="0.35">
      <c r="B161" s="94"/>
      <c r="C161" s="95"/>
      <c r="D161" s="96"/>
      <c r="E161" s="97"/>
      <c r="F161" s="97" t="s">
        <v>123</v>
      </c>
      <c r="G161" s="98" t="s">
        <v>181</v>
      </c>
      <c r="H161" s="99">
        <v>1</v>
      </c>
      <c r="I161" s="98" t="s">
        <v>88</v>
      </c>
      <c r="J161" s="84">
        <v>230000</v>
      </c>
      <c r="K161" s="59"/>
      <c r="L161" s="46">
        <f>J161*H161</f>
        <v>230000</v>
      </c>
    </row>
    <row r="162" spans="2:12" x14ac:dyDescent="0.35">
      <c r="B162" s="94"/>
      <c r="C162" s="95"/>
      <c r="D162" s="96"/>
      <c r="E162" s="97"/>
      <c r="F162" s="97" t="s">
        <v>123</v>
      </c>
      <c r="G162" s="98" t="s">
        <v>182</v>
      </c>
      <c r="H162" s="99">
        <v>2</v>
      </c>
      <c r="I162" s="98" t="s">
        <v>88</v>
      </c>
      <c r="J162" s="112">
        <v>165000</v>
      </c>
      <c r="K162" s="59"/>
      <c r="L162" s="46">
        <f>J162*H162</f>
        <v>330000</v>
      </c>
    </row>
    <row r="163" spans="2:12" x14ac:dyDescent="0.35">
      <c r="B163" s="94"/>
      <c r="C163" s="95"/>
      <c r="D163" s="96"/>
      <c r="E163" s="97"/>
      <c r="F163" s="97" t="s">
        <v>123</v>
      </c>
      <c r="G163" s="98" t="s">
        <v>186</v>
      </c>
      <c r="H163" s="99">
        <v>1</v>
      </c>
      <c r="I163" s="98" t="s">
        <v>46</v>
      </c>
      <c r="J163" s="73">
        <v>0</v>
      </c>
      <c r="K163" s="59"/>
      <c r="L163" s="46">
        <f>J163*H163</f>
        <v>0</v>
      </c>
    </row>
    <row r="164" spans="2:12" x14ac:dyDescent="0.35">
      <c r="B164" s="94"/>
      <c r="C164" s="95"/>
      <c r="D164" s="96"/>
      <c r="E164" s="97"/>
      <c r="F164" s="97" t="s">
        <v>123</v>
      </c>
      <c r="G164" s="98" t="s">
        <v>174</v>
      </c>
      <c r="H164" s="99">
        <v>1</v>
      </c>
      <c r="I164" s="98" t="s">
        <v>46</v>
      </c>
      <c r="J164" s="73">
        <v>0</v>
      </c>
      <c r="K164" s="73"/>
      <c r="L164" s="46">
        <f>J164*H164</f>
        <v>0</v>
      </c>
    </row>
    <row r="165" spans="2:12" x14ac:dyDescent="0.35">
      <c r="B165" s="94"/>
      <c r="C165" s="95"/>
      <c r="D165" s="96" t="s">
        <v>47</v>
      </c>
      <c r="E165" s="97"/>
      <c r="F165" s="97" t="s">
        <v>184</v>
      </c>
      <c r="G165" s="98"/>
      <c r="H165" s="99">
        <v>5</v>
      </c>
      <c r="I165" s="98" t="s">
        <v>133</v>
      </c>
      <c r="J165" s="84">
        <v>150000</v>
      </c>
      <c r="K165" s="59">
        <f>J165*H165</f>
        <v>750000</v>
      </c>
      <c r="L165" s="46"/>
    </row>
    <row r="166" spans="2:12" x14ac:dyDescent="0.35">
      <c r="B166" s="94"/>
      <c r="C166" s="95"/>
      <c r="D166" s="96"/>
      <c r="E166" s="97"/>
      <c r="F166" s="97" t="s">
        <v>123</v>
      </c>
      <c r="G166" s="98" t="s">
        <v>180</v>
      </c>
      <c r="H166" s="99">
        <v>640</v>
      </c>
      <c r="I166" s="98" t="s">
        <v>134</v>
      </c>
      <c r="J166" s="84">
        <v>434</v>
      </c>
      <c r="K166" s="59"/>
      <c r="L166" s="46">
        <f t="shared" ref="L166:L172" si="7">J166*H166</f>
        <v>277760</v>
      </c>
    </row>
    <row r="167" spans="2:12" x14ac:dyDescent="0.35">
      <c r="B167" s="94"/>
      <c r="C167" s="95"/>
      <c r="D167" s="96"/>
      <c r="E167" s="97"/>
      <c r="F167" s="97" t="s">
        <v>123</v>
      </c>
      <c r="G167" s="98" t="s">
        <v>181</v>
      </c>
      <c r="H167" s="99">
        <v>2</v>
      </c>
      <c r="I167" s="98" t="s">
        <v>88</v>
      </c>
      <c r="J167" s="84">
        <v>230000</v>
      </c>
      <c r="K167" s="59"/>
      <c r="L167" s="46">
        <f t="shared" si="7"/>
        <v>460000</v>
      </c>
    </row>
    <row r="168" spans="2:12" x14ac:dyDescent="0.35">
      <c r="B168" s="94"/>
      <c r="C168" s="95"/>
      <c r="D168" s="96"/>
      <c r="E168" s="97"/>
      <c r="F168" s="97" t="s">
        <v>123</v>
      </c>
      <c r="G168" s="98" t="s">
        <v>182</v>
      </c>
      <c r="H168" s="99">
        <v>1</v>
      </c>
      <c r="I168" s="98" t="s">
        <v>88</v>
      </c>
      <c r="J168" s="112">
        <v>165000</v>
      </c>
      <c r="K168" s="59"/>
      <c r="L168" s="46">
        <f t="shared" si="7"/>
        <v>165000</v>
      </c>
    </row>
    <row r="169" spans="2:12" x14ac:dyDescent="0.35">
      <c r="B169" s="94"/>
      <c r="C169" s="95"/>
      <c r="D169" s="96"/>
      <c r="E169" s="97"/>
      <c r="F169" s="97" t="s">
        <v>123</v>
      </c>
      <c r="G169" s="98" t="s">
        <v>188</v>
      </c>
      <c r="H169" s="99">
        <v>1</v>
      </c>
      <c r="I169" s="98" t="s">
        <v>46</v>
      </c>
      <c r="J169" s="73">
        <v>0</v>
      </c>
      <c r="K169" s="93"/>
      <c r="L169" s="46">
        <f t="shared" si="7"/>
        <v>0</v>
      </c>
    </row>
    <row r="170" spans="2:12" x14ac:dyDescent="0.35">
      <c r="B170" s="94"/>
      <c r="C170" s="95"/>
      <c r="D170" s="96"/>
      <c r="E170" s="97"/>
      <c r="F170" s="97" t="s">
        <v>123</v>
      </c>
      <c r="G170" s="98" t="s">
        <v>189</v>
      </c>
      <c r="H170" s="99">
        <v>1</v>
      </c>
      <c r="I170" s="98" t="s">
        <v>46</v>
      </c>
      <c r="J170" s="73">
        <v>0</v>
      </c>
      <c r="K170" s="93"/>
      <c r="L170" s="46">
        <f t="shared" si="7"/>
        <v>0</v>
      </c>
    </row>
    <row r="171" spans="2:12" x14ac:dyDescent="0.35">
      <c r="B171" s="94"/>
      <c r="C171" s="95"/>
      <c r="D171" s="96"/>
      <c r="E171" s="97"/>
      <c r="F171" s="97" t="s">
        <v>123</v>
      </c>
      <c r="G171" s="98" t="s">
        <v>186</v>
      </c>
      <c r="H171" s="99">
        <v>1</v>
      </c>
      <c r="I171" s="98" t="s">
        <v>46</v>
      </c>
      <c r="J171" s="73">
        <v>0</v>
      </c>
      <c r="K171" s="59"/>
      <c r="L171" s="46">
        <f t="shared" si="7"/>
        <v>0</v>
      </c>
    </row>
    <row r="172" spans="2:12" x14ac:dyDescent="0.35">
      <c r="B172" s="94"/>
      <c r="C172" s="95"/>
      <c r="D172" s="96"/>
      <c r="E172" s="97"/>
      <c r="F172" s="97" t="s">
        <v>123</v>
      </c>
      <c r="G172" s="98" t="s">
        <v>174</v>
      </c>
      <c r="H172" s="99">
        <v>1</v>
      </c>
      <c r="I172" s="98" t="s">
        <v>46</v>
      </c>
      <c r="J172" s="73">
        <v>0</v>
      </c>
      <c r="K172" s="59"/>
      <c r="L172" s="46">
        <f t="shared" si="7"/>
        <v>0</v>
      </c>
    </row>
    <row r="173" spans="2:12" x14ac:dyDescent="0.35">
      <c r="B173" s="94"/>
      <c r="C173" s="95" t="s">
        <v>138</v>
      </c>
      <c r="D173" s="96"/>
      <c r="E173" s="97" t="s">
        <v>139</v>
      </c>
      <c r="F173" s="97"/>
      <c r="G173" s="98"/>
      <c r="H173" s="99"/>
      <c r="I173" s="98"/>
      <c r="J173" s="84"/>
      <c r="K173" s="59"/>
      <c r="L173" s="46"/>
    </row>
    <row r="174" spans="2:12" x14ac:dyDescent="0.35">
      <c r="B174" s="94"/>
      <c r="C174" s="95"/>
      <c r="D174" s="96" t="s">
        <v>44</v>
      </c>
      <c r="E174" s="97"/>
      <c r="F174" s="97" t="s">
        <v>140</v>
      </c>
      <c r="G174" s="98"/>
      <c r="H174" s="99">
        <v>2</v>
      </c>
      <c r="I174" s="98" t="s">
        <v>133</v>
      </c>
      <c r="J174" s="84">
        <v>75000</v>
      </c>
      <c r="K174" s="59">
        <f>J174*H174</f>
        <v>150000</v>
      </c>
      <c r="L174" s="46"/>
    </row>
    <row r="175" spans="2:12" x14ac:dyDescent="0.35">
      <c r="B175" s="94"/>
      <c r="C175" s="95"/>
      <c r="D175" s="96"/>
      <c r="E175" s="97"/>
      <c r="F175" s="97" t="s">
        <v>123</v>
      </c>
      <c r="G175" s="98" t="s">
        <v>190</v>
      </c>
      <c r="H175" s="99">
        <v>1</v>
      </c>
      <c r="I175" s="98" t="s">
        <v>88</v>
      </c>
      <c r="J175" s="84">
        <v>125000</v>
      </c>
      <c r="K175" s="59"/>
      <c r="L175" s="46">
        <f>J175*H175</f>
        <v>125000</v>
      </c>
    </row>
    <row r="176" spans="2:12" x14ac:dyDescent="0.35">
      <c r="B176" s="94"/>
      <c r="C176" s="95"/>
      <c r="D176" s="96"/>
      <c r="E176" s="97"/>
      <c r="F176" s="97" t="s">
        <v>123</v>
      </c>
      <c r="G176" s="98" t="s">
        <v>191</v>
      </c>
      <c r="H176" s="99">
        <v>1</v>
      </c>
      <c r="I176" s="98" t="s">
        <v>88</v>
      </c>
      <c r="J176" s="92">
        <v>125000</v>
      </c>
      <c r="K176" s="93"/>
      <c r="L176" s="46">
        <f>J176*H176</f>
        <v>125000</v>
      </c>
    </row>
    <row r="177" spans="2:12" x14ac:dyDescent="0.35">
      <c r="B177" s="94"/>
      <c r="C177" s="95"/>
      <c r="D177" s="96"/>
      <c r="E177" s="97"/>
      <c r="F177" s="97" t="s">
        <v>123</v>
      </c>
      <c r="G177" s="98" t="s">
        <v>192</v>
      </c>
      <c r="H177" s="99">
        <v>1</v>
      </c>
      <c r="I177" s="98" t="s">
        <v>88</v>
      </c>
      <c r="J177" s="73">
        <v>350000</v>
      </c>
      <c r="K177" s="93"/>
      <c r="L177" s="46">
        <f>J177*H177</f>
        <v>350000</v>
      </c>
    </row>
    <row r="178" spans="2:12" x14ac:dyDescent="0.35">
      <c r="B178" s="94"/>
      <c r="C178" s="95"/>
      <c r="D178" s="96"/>
      <c r="E178" s="97"/>
      <c r="F178" s="97" t="s">
        <v>123</v>
      </c>
      <c r="G178" s="98" t="s">
        <v>186</v>
      </c>
      <c r="H178" s="99">
        <v>1</v>
      </c>
      <c r="I178" s="98" t="s">
        <v>46</v>
      </c>
      <c r="J178" s="73">
        <v>0</v>
      </c>
      <c r="K178" s="93"/>
      <c r="L178" s="46">
        <f>J178*H178</f>
        <v>0</v>
      </c>
    </row>
    <row r="179" spans="2:12" x14ac:dyDescent="0.35">
      <c r="B179" s="114"/>
      <c r="C179" s="115"/>
      <c r="D179" s="80"/>
      <c r="E179" s="82"/>
      <c r="F179" s="116" t="s">
        <v>123</v>
      </c>
      <c r="G179" s="83" t="s">
        <v>174</v>
      </c>
      <c r="H179" s="143">
        <v>1</v>
      </c>
      <c r="I179" s="83" t="s">
        <v>46</v>
      </c>
      <c r="J179" s="73">
        <v>0</v>
      </c>
      <c r="K179" s="93"/>
      <c r="L179" s="46">
        <f>J179*H179</f>
        <v>0</v>
      </c>
    </row>
    <row r="180" spans="2:12" x14ac:dyDescent="0.35">
      <c r="B180" s="94"/>
      <c r="C180" s="95" t="s">
        <v>141</v>
      </c>
      <c r="D180" s="96"/>
      <c r="E180" s="97" t="s">
        <v>142</v>
      </c>
      <c r="F180" s="97"/>
      <c r="G180" s="98"/>
      <c r="H180" s="111"/>
      <c r="I180" s="98"/>
      <c r="J180" s="73"/>
      <c r="K180" s="93"/>
      <c r="L180" s="46"/>
    </row>
    <row r="181" spans="2:12" x14ac:dyDescent="0.35">
      <c r="B181" s="118"/>
      <c r="C181" s="119"/>
      <c r="D181" s="120" t="s">
        <v>44</v>
      </c>
      <c r="E181" s="121"/>
      <c r="F181" s="122" t="s">
        <v>143</v>
      </c>
      <c r="G181" s="123"/>
      <c r="H181" s="144">
        <v>9</v>
      </c>
      <c r="I181" s="69" t="s">
        <v>133</v>
      </c>
      <c r="J181" s="84">
        <v>75000</v>
      </c>
      <c r="K181" s="59">
        <f>J181*H181</f>
        <v>675000</v>
      </c>
      <c r="L181" s="46"/>
    </row>
    <row r="182" spans="2:12" x14ac:dyDescent="0.35">
      <c r="B182" s="145"/>
      <c r="C182" s="115"/>
      <c r="D182" s="136"/>
      <c r="E182" s="122"/>
      <c r="F182" s="97" t="s">
        <v>123</v>
      </c>
      <c r="G182" s="98" t="s">
        <v>193</v>
      </c>
      <c r="H182" s="146">
        <v>300</v>
      </c>
      <c r="I182" s="147" t="s">
        <v>134</v>
      </c>
      <c r="J182" s="84">
        <v>295</v>
      </c>
      <c r="K182" s="59"/>
      <c r="L182" s="46">
        <f>J182*H182</f>
        <v>88500</v>
      </c>
    </row>
    <row r="183" spans="2:12" x14ac:dyDescent="0.35">
      <c r="B183" s="94"/>
      <c r="C183" s="95"/>
      <c r="D183" s="96"/>
      <c r="E183" s="97"/>
      <c r="F183" s="97" t="s">
        <v>123</v>
      </c>
      <c r="G183" s="98" t="s">
        <v>194</v>
      </c>
      <c r="H183" s="99">
        <v>6</v>
      </c>
      <c r="I183" s="98" t="s">
        <v>88</v>
      </c>
      <c r="J183" s="84">
        <v>350000</v>
      </c>
      <c r="K183" s="59"/>
      <c r="L183" s="46">
        <f>J183*H183</f>
        <v>2100000</v>
      </c>
    </row>
    <row r="184" spans="2:12" x14ac:dyDescent="0.35">
      <c r="B184" s="105" t="s">
        <v>89</v>
      </c>
      <c r="C184" s="106"/>
      <c r="D184" s="107"/>
      <c r="E184" s="108" t="s">
        <v>144</v>
      </c>
      <c r="F184" s="108"/>
      <c r="G184" s="109"/>
      <c r="H184" s="113"/>
      <c r="I184" s="109"/>
      <c r="J184" s="92"/>
      <c r="K184" s="73"/>
      <c r="L184" s="46"/>
    </row>
    <row r="185" spans="2:12" x14ac:dyDescent="0.35">
      <c r="B185" s="94"/>
      <c r="C185" s="95"/>
      <c r="D185" s="96" t="s">
        <v>44</v>
      </c>
      <c r="E185" s="97"/>
      <c r="F185" s="97" t="s">
        <v>145</v>
      </c>
      <c r="G185" s="98"/>
      <c r="H185" s="99"/>
      <c r="I185" s="98"/>
      <c r="J185" s="92"/>
      <c r="K185" s="93"/>
      <c r="L185" s="46"/>
    </row>
    <row r="186" spans="2:12" x14ac:dyDescent="0.35">
      <c r="B186" s="94"/>
      <c r="C186" s="95"/>
      <c r="D186" s="96"/>
      <c r="E186" s="97"/>
      <c r="F186" s="97" t="s">
        <v>123</v>
      </c>
      <c r="G186" s="98" t="s">
        <v>195</v>
      </c>
      <c r="H186" s="111">
        <v>26.865839999999995</v>
      </c>
      <c r="I186" s="98" t="s">
        <v>105</v>
      </c>
      <c r="J186" s="73">
        <v>32000</v>
      </c>
      <c r="K186" s="93"/>
      <c r="L186" s="46">
        <f>J186*H186</f>
        <v>859706.87999999989</v>
      </c>
    </row>
    <row r="187" spans="2:12" x14ac:dyDescent="0.35">
      <c r="B187" s="94"/>
      <c r="C187" s="95"/>
      <c r="D187" s="96"/>
      <c r="E187" s="97"/>
      <c r="F187" s="97" t="s">
        <v>123</v>
      </c>
      <c r="G187" s="98" t="s">
        <v>196</v>
      </c>
      <c r="H187" s="111">
        <v>48.042000000000002</v>
      </c>
      <c r="I187" s="98" t="s">
        <v>105</v>
      </c>
      <c r="J187" s="73">
        <v>32000</v>
      </c>
      <c r="K187" s="93"/>
      <c r="L187" s="46">
        <f>J187*H187</f>
        <v>1537344</v>
      </c>
    </row>
    <row r="188" spans="2:12" x14ac:dyDescent="0.35">
      <c r="B188" s="94"/>
      <c r="C188" s="95"/>
      <c r="D188" s="96"/>
      <c r="E188" s="97"/>
      <c r="F188" s="97" t="s">
        <v>123</v>
      </c>
      <c r="G188" s="98" t="s">
        <v>197</v>
      </c>
      <c r="H188" s="111">
        <v>98.752999999999986</v>
      </c>
      <c r="I188" s="98" t="s">
        <v>105</v>
      </c>
      <c r="J188" s="73">
        <v>32000</v>
      </c>
      <c r="K188" s="93"/>
      <c r="L188" s="46">
        <f>J188*H188</f>
        <v>3160095.9999999995</v>
      </c>
    </row>
    <row r="189" spans="2:12" x14ac:dyDescent="0.35">
      <c r="B189" s="94"/>
      <c r="C189" s="95"/>
      <c r="D189" s="96"/>
      <c r="E189" s="97"/>
      <c r="F189" s="97" t="s">
        <v>123</v>
      </c>
      <c r="G189" s="98" t="s">
        <v>198</v>
      </c>
      <c r="H189" s="111">
        <v>3.2027999999999994</v>
      </c>
      <c r="I189" s="98" t="s">
        <v>105</v>
      </c>
      <c r="J189" s="73">
        <v>32000</v>
      </c>
      <c r="K189" s="93"/>
      <c r="L189" s="46">
        <f>J189*H189</f>
        <v>102489.59999999998</v>
      </c>
    </row>
    <row r="190" spans="2:12" x14ac:dyDescent="0.35">
      <c r="B190" s="94"/>
      <c r="C190" s="95"/>
      <c r="D190" s="96"/>
      <c r="E190" s="97"/>
      <c r="F190" s="97" t="s">
        <v>123</v>
      </c>
      <c r="G190" s="98" t="s">
        <v>199</v>
      </c>
      <c r="H190" s="111">
        <v>4.7728499999999991</v>
      </c>
      <c r="I190" s="98" t="s">
        <v>105</v>
      </c>
      <c r="J190" s="73">
        <v>32000</v>
      </c>
      <c r="K190" s="93"/>
      <c r="L190" s="46">
        <f>J190*H190</f>
        <v>152731.19999999998</v>
      </c>
    </row>
    <row r="191" spans="2:12" x14ac:dyDescent="0.35">
      <c r="B191" s="105" t="s">
        <v>94</v>
      </c>
      <c r="C191" s="106"/>
      <c r="D191" s="107"/>
      <c r="E191" s="108" t="s">
        <v>18</v>
      </c>
      <c r="F191" s="108"/>
      <c r="G191" s="109"/>
      <c r="H191" s="113"/>
      <c r="I191" s="109"/>
      <c r="J191" s="73"/>
      <c r="K191" s="93"/>
      <c r="L191" s="46"/>
    </row>
    <row r="192" spans="2:12" x14ac:dyDescent="0.35">
      <c r="B192" s="94"/>
      <c r="C192" s="95" t="s">
        <v>146</v>
      </c>
      <c r="D192" s="96"/>
      <c r="E192" s="97" t="s">
        <v>147</v>
      </c>
      <c r="F192" s="97"/>
      <c r="G192" s="98"/>
      <c r="H192" s="111"/>
      <c r="I192" s="98"/>
      <c r="J192" s="73"/>
      <c r="K192" s="93"/>
      <c r="L192" s="46"/>
    </row>
    <row r="193" spans="2:15" x14ac:dyDescent="0.35">
      <c r="B193" s="94"/>
      <c r="C193" s="95"/>
      <c r="D193" s="96" t="s">
        <v>44</v>
      </c>
      <c r="E193" s="97"/>
      <c r="F193" s="97" t="s">
        <v>148</v>
      </c>
      <c r="G193" s="98"/>
      <c r="H193" s="99">
        <v>1</v>
      </c>
      <c r="I193" s="98" t="s">
        <v>149</v>
      </c>
      <c r="J193" s="73">
        <v>1250000</v>
      </c>
      <c r="K193" s="93"/>
      <c r="L193" s="46">
        <f>J193*H193</f>
        <v>1250000</v>
      </c>
    </row>
    <row r="194" spans="2:15" x14ac:dyDescent="0.35">
      <c r="B194" s="94"/>
      <c r="C194" s="95"/>
      <c r="D194" s="96"/>
      <c r="E194" s="97"/>
      <c r="F194" s="97" t="s">
        <v>123</v>
      </c>
      <c r="G194" s="98" t="s">
        <v>201</v>
      </c>
      <c r="H194" s="99"/>
      <c r="I194" s="98"/>
      <c r="J194" s="73"/>
      <c r="K194" s="93"/>
      <c r="L194" s="46"/>
      <c r="M194" s="125">
        <v>210056</v>
      </c>
      <c r="N194" s="125">
        <v>750000</v>
      </c>
    </row>
    <row r="195" spans="2:15" x14ac:dyDescent="0.35">
      <c r="B195" s="94"/>
      <c r="C195" s="95"/>
      <c r="D195" s="96"/>
      <c r="E195" s="97"/>
      <c r="F195" s="97" t="s">
        <v>123</v>
      </c>
      <c r="G195" s="98" t="s">
        <v>200</v>
      </c>
      <c r="H195" s="111"/>
      <c r="I195" s="98"/>
      <c r="J195" s="73"/>
      <c r="K195" s="93"/>
      <c r="L195" s="46"/>
      <c r="M195" s="125">
        <v>215482.49999999997</v>
      </c>
      <c r="N195" s="126">
        <v>1255127.25</v>
      </c>
      <c r="O195" s="127">
        <v>1.3</v>
      </c>
    </row>
    <row r="196" spans="2:15" x14ac:dyDescent="0.35">
      <c r="B196" s="94"/>
      <c r="C196" s="95"/>
      <c r="D196" s="96" t="s">
        <v>47</v>
      </c>
      <c r="E196" s="97"/>
      <c r="F196" s="97" t="s">
        <v>150</v>
      </c>
      <c r="G196" s="98"/>
      <c r="H196" s="99">
        <v>1</v>
      </c>
      <c r="I196" s="98" t="s">
        <v>149</v>
      </c>
      <c r="J196" s="46">
        <v>500000</v>
      </c>
      <c r="K196" s="59"/>
      <c r="L196" s="46">
        <f>J196*H196</f>
        <v>500000</v>
      </c>
    </row>
    <row r="197" spans="2:15" x14ac:dyDescent="0.35">
      <c r="B197" s="94"/>
      <c r="C197" s="95"/>
      <c r="D197" s="96"/>
      <c r="E197" s="97"/>
      <c r="F197" s="97" t="s">
        <v>123</v>
      </c>
      <c r="G197" s="98" t="s">
        <v>151</v>
      </c>
      <c r="H197" s="99"/>
      <c r="I197" s="98"/>
      <c r="J197" s="46"/>
      <c r="K197" s="59"/>
      <c r="L197" s="46"/>
    </row>
    <row r="198" spans="2:15" x14ac:dyDescent="0.35">
      <c r="B198" s="94"/>
      <c r="C198" s="95"/>
      <c r="D198" s="96" t="s">
        <v>49</v>
      </c>
      <c r="E198" s="97"/>
      <c r="F198" s="97" t="s">
        <v>152</v>
      </c>
      <c r="G198" s="98"/>
      <c r="H198" s="99">
        <v>6</v>
      </c>
      <c r="I198" s="98" t="s">
        <v>133</v>
      </c>
      <c r="J198" s="84">
        <v>150000</v>
      </c>
      <c r="K198" s="59">
        <f>J198*H198</f>
        <v>900000</v>
      </c>
      <c r="L198" s="46"/>
    </row>
    <row r="199" spans="2:15" x14ac:dyDescent="0.35">
      <c r="B199" s="94"/>
      <c r="C199" s="95"/>
      <c r="D199" s="96"/>
      <c r="E199" s="97"/>
      <c r="F199" s="97" t="s">
        <v>123</v>
      </c>
      <c r="G199" s="98" t="s">
        <v>202</v>
      </c>
      <c r="H199" s="99">
        <v>1950</v>
      </c>
      <c r="I199" s="98" t="s">
        <v>134</v>
      </c>
      <c r="J199" s="46">
        <v>332</v>
      </c>
      <c r="K199" s="59"/>
      <c r="L199" s="46">
        <f>J199*H199</f>
        <v>647400</v>
      </c>
    </row>
    <row r="200" spans="2:15" x14ac:dyDescent="0.35">
      <c r="B200" s="94"/>
      <c r="C200" s="95"/>
      <c r="D200" s="96"/>
      <c r="E200" s="97"/>
      <c r="F200" s="97" t="s">
        <v>123</v>
      </c>
      <c r="G200" s="98" t="s">
        <v>203</v>
      </c>
      <c r="H200" s="99">
        <v>2</v>
      </c>
      <c r="I200" s="98" t="s">
        <v>153</v>
      </c>
      <c r="J200" s="29">
        <v>95000</v>
      </c>
      <c r="K200" s="59"/>
      <c r="L200" s="46">
        <f>J200*H200</f>
        <v>190000</v>
      </c>
    </row>
    <row r="201" spans="2:15" x14ac:dyDescent="0.35">
      <c r="B201" s="94"/>
      <c r="C201" s="95"/>
      <c r="D201" s="96" t="s">
        <v>51</v>
      </c>
      <c r="E201" s="97"/>
      <c r="F201" s="97" t="s">
        <v>154</v>
      </c>
      <c r="G201" s="98"/>
      <c r="H201" s="99">
        <v>1</v>
      </c>
      <c r="I201" s="98" t="s">
        <v>149</v>
      </c>
      <c r="J201" s="73">
        <v>1150000</v>
      </c>
      <c r="K201" s="93"/>
      <c r="L201" s="46">
        <f>J201*H201</f>
        <v>1150000</v>
      </c>
    </row>
    <row r="202" spans="2:15" x14ac:dyDescent="0.35">
      <c r="B202" s="94"/>
      <c r="C202" s="95"/>
      <c r="D202" s="96"/>
      <c r="E202" s="97"/>
      <c r="F202" s="97" t="s">
        <v>123</v>
      </c>
      <c r="G202" s="98" t="s">
        <v>204</v>
      </c>
      <c r="H202" s="99"/>
      <c r="I202" s="98"/>
      <c r="J202" s="29"/>
      <c r="K202" s="77"/>
      <c r="L202" s="46"/>
      <c r="M202" s="87">
        <v>200000</v>
      </c>
      <c r="N202">
        <f>250*480*1.54</f>
        <v>184800</v>
      </c>
    </row>
    <row r="203" spans="2:15" x14ac:dyDescent="0.35">
      <c r="B203" s="94"/>
      <c r="C203" s="95"/>
      <c r="D203" s="96"/>
      <c r="E203" s="97"/>
      <c r="F203" s="97" t="s">
        <v>123</v>
      </c>
      <c r="G203" s="98" t="s">
        <v>205</v>
      </c>
      <c r="H203" s="111"/>
      <c r="I203" s="98"/>
      <c r="J203" s="29"/>
      <c r="K203" s="77"/>
      <c r="L203" s="46"/>
      <c r="M203" s="128">
        <v>363447.14999999991</v>
      </c>
    </row>
    <row r="204" spans="2:15" x14ac:dyDescent="0.35">
      <c r="B204" s="94"/>
      <c r="C204" s="95"/>
      <c r="D204" s="96"/>
      <c r="E204" s="97"/>
      <c r="F204" s="97" t="s">
        <v>123</v>
      </c>
      <c r="G204" s="98" t="s">
        <v>206</v>
      </c>
      <c r="H204" s="111"/>
      <c r="I204" s="98"/>
      <c r="J204" s="29"/>
      <c r="K204" s="77"/>
      <c r="L204" s="46"/>
      <c r="M204" s="128">
        <v>316041</v>
      </c>
      <c r="N204" s="128">
        <f>SUM(M202:M204)*130%</f>
        <v>1143334.595</v>
      </c>
    </row>
    <row r="205" spans="2:15" x14ac:dyDescent="0.35">
      <c r="B205" s="94"/>
      <c r="C205" s="95"/>
      <c r="D205" s="96"/>
      <c r="E205" s="97"/>
      <c r="F205" s="97"/>
      <c r="G205" s="98"/>
      <c r="H205" s="111"/>
      <c r="I205" s="98"/>
      <c r="J205" s="29"/>
      <c r="K205" s="77"/>
      <c r="L205" s="46"/>
    </row>
    <row r="206" spans="2:15" x14ac:dyDescent="0.35">
      <c r="B206" s="47"/>
      <c r="C206" s="48"/>
      <c r="D206" s="24"/>
      <c r="G206" s="22"/>
      <c r="I206" s="22"/>
      <c r="J206" s="50"/>
      <c r="K206" s="29"/>
      <c r="L206" s="52"/>
    </row>
    <row r="207" spans="2:15" x14ac:dyDescent="0.35">
      <c r="B207" s="8"/>
      <c r="C207" s="9"/>
      <c r="D207" s="10"/>
      <c r="E207" s="4"/>
      <c r="F207" s="4"/>
      <c r="G207" s="4"/>
      <c r="H207" s="1"/>
      <c r="I207" s="1"/>
      <c r="J207" s="11" t="s">
        <v>8</v>
      </c>
      <c r="K207" s="7">
        <f>SUM(K154:K206)</f>
        <v>3225000</v>
      </c>
      <c r="L207" s="7">
        <f>SUM(L154:L206)</f>
        <v>14246527.679999998</v>
      </c>
    </row>
    <row r="208" spans="2:15" x14ac:dyDescent="0.35">
      <c r="B208" s="8"/>
      <c r="C208" s="9"/>
      <c r="D208" s="9"/>
      <c r="E208" s="4"/>
      <c r="F208" s="4"/>
      <c r="G208" s="4"/>
      <c r="H208" s="1"/>
      <c r="I208" s="1"/>
      <c r="J208" s="11"/>
      <c r="K208" s="35" t="s">
        <v>22</v>
      </c>
      <c r="L208" s="36" t="s">
        <v>23</v>
      </c>
    </row>
    <row r="209" spans="2:15" x14ac:dyDescent="0.35">
      <c r="B209" s="3" t="s">
        <v>9</v>
      </c>
      <c r="C209" s="4"/>
      <c r="D209" s="4"/>
      <c r="E209" s="4"/>
      <c r="F209" s="4"/>
      <c r="G209" s="4"/>
      <c r="H209" s="1"/>
      <c r="I209" s="1"/>
      <c r="J209" s="12"/>
      <c r="K209" s="12"/>
      <c r="L209" s="13"/>
    </row>
    <row r="210" spans="2:15" x14ac:dyDescent="0.35">
      <c r="B210" s="37"/>
      <c r="C210" s="1"/>
      <c r="D210" s="1"/>
      <c r="E210" s="38"/>
      <c r="F210" s="38"/>
      <c r="G210" s="38"/>
      <c r="H210" s="1"/>
      <c r="I210" s="1"/>
      <c r="J210" s="1"/>
      <c r="K210" s="1"/>
      <c r="L210" s="19"/>
    </row>
    <row r="211" spans="2:15" x14ac:dyDescent="0.35">
      <c r="B211" s="28" t="s">
        <v>6</v>
      </c>
      <c r="C211" s="27"/>
      <c r="D211" s="27"/>
      <c r="E211" s="26"/>
      <c r="F211" s="26"/>
      <c r="G211" s="5"/>
      <c r="K211" s="176" t="s">
        <v>225</v>
      </c>
      <c r="L211" s="177"/>
    </row>
    <row r="212" spans="2:15" x14ac:dyDescent="0.35">
      <c r="B212" s="28">
        <v>1</v>
      </c>
      <c r="C212" s="27"/>
      <c r="D212" s="27"/>
      <c r="E212" s="26" t="s">
        <v>7</v>
      </c>
      <c r="F212" s="26"/>
      <c r="G212" s="5"/>
      <c r="K212" s="176" t="s">
        <v>28</v>
      </c>
      <c r="L212" s="177"/>
    </row>
    <row r="213" spans="2:15" x14ac:dyDescent="0.35">
      <c r="B213" s="39"/>
      <c r="C213" s="27"/>
      <c r="D213" s="27"/>
      <c r="E213" s="26"/>
      <c r="F213" s="26"/>
      <c r="G213" s="5"/>
      <c r="J213" s="25"/>
      <c r="K213" s="25"/>
      <c r="L213" s="24"/>
    </row>
    <row r="214" spans="2:15" x14ac:dyDescent="0.35">
      <c r="B214" s="28"/>
      <c r="C214" s="27"/>
      <c r="D214" s="27"/>
      <c r="E214" s="26"/>
      <c r="F214" s="26"/>
      <c r="G214" s="5"/>
      <c r="L214" s="22"/>
    </row>
    <row r="215" spans="2:15" x14ac:dyDescent="0.35">
      <c r="B215" s="45"/>
      <c r="E215" s="5"/>
      <c r="F215" s="5"/>
      <c r="G215" s="5"/>
      <c r="L215" s="22"/>
    </row>
    <row r="216" spans="2:15" x14ac:dyDescent="0.35">
      <c r="B216" s="45"/>
      <c r="E216" s="5"/>
      <c r="F216" s="5"/>
      <c r="G216" s="5"/>
      <c r="L216" s="22"/>
    </row>
    <row r="217" spans="2:15" x14ac:dyDescent="0.35">
      <c r="B217" s="45"/>
      <c r="E217" s="5"/>
      <c r="F217" s="5"/>
      <c r="G217" s="5"/>
      <c r="L217" s="22"/>
    </row>
    <row r="218" spans="2:15" x14ac:dyDescent="0.35">
      <c r="B218" s="45"/>
      <c r="E218" s="5"/>
      <c r="F218" s="5"/>
      <c r="G218" s="5"/>
      <c r="J218" s="40"/>
      <c r="K218" s="178" t="s">
        <v>36</v>
      </c>
      <c r="L218" s="179"/>
    </row>
    <row r="219" spans="2:15" x14ac:dyDescent="0.35">
      <c r="B219" s="45"/>
      <c r="K219" s="180" t="s">
        <v>37</v>
      </c>
      <c r="L219" s="181"/>
    </row>
    <row r="220" spans="2:15" x14ac:dyDescent="0.35">
      <c r="B220" s="182"/>
      <c r="C220" s="183"/>
      <c r="D220" s="183"/>
      <c r="E220" s="41"/>
      <c r="F220" s="41"/>
      <c r="G220" s="41"/>
      <c r="H220" s="2"/>
      <c r="I220" s="2"/>
      <c r="J220" s="2"/>
      <c r="K220" s="2"/>
      <c r="L220" s="21"/>
    </row>
    <row r="221" spans="2:15" x14ac:dyDescent="0.35">
      <c r="B221" s="47"/>
      <c r="C221" s="48"/>
      <c r="D221" s="49"/>
      <c r="G221" s="22"/>
      <c r="H221" s="1"/>
      <c r="I221" s="1"/>
      <c r="J221" s="43"/>
      <c r="K221" s="30"/>
      <c r="L221" s="44"/>
    </row>
    <row r="222" spans="2:15" x14ac:dyDescent="0.35">
      <c r="B222" s="94"/>
      <c r="C222" s="95"/>
      <c r="D222" s="96" t="s">
        <v>53</v>
      </c>
      <c r="E222" s="97"/>
      <c r="F222" s="97" t="s">
        <v>155</v>
      </c>
      <c r="G222" s="98"/>
      <c r="H222" s="99">
        <v>1</v>
      </c>
      <c r="I222" s="98" t="s">
        <v>149</v>
      </c>
      <c r="J222" s="67">
        <v>350000</v>
      </c>
      <c r="K222" s="59"/>
      <c r="L222" s="46">
        <f>J222*H222</f>
        <v>350000</v>
      </c>
    </row>
    <row r="223" spans="2:15" x14ac:dyDescent="0.35">
      <c r="B223" s="94"/>
      <c r="C223" s="95"/>
      <c r="D223" s="96"/>
      <c r="E223" s="97"/>
      <c r="F223" s="97" t="s">
        <v>123</v>
      </c>
      <c r="G223" s="98" t="s">
        <v>207</v>
      </c>
      <c r="H223" s="111"/>
      <c r="I223" s="98"/>
      <c r="J223" s="67"/>
      <c r="K223" s="77"/>
      <c r="L223" s="46"/>
      <c r="M223" s="126"/>
    </row>
    <row r="224" spans="2:15" x14ac:dyDescent="0.35">
      <c r="B224" s="94"/>
      <c r="C224" s="95"/>
      <c r="D224" s="96"/>
      <c r="E224" s="97"/>
      <c r="F224" s="97" t="s">
        <v>123</v>
      </c>
      <c r="G224" s="98" t="s">
        <v>208</v>
      </c>
      <c r="H224" s="111"/>
      <c r="I224" s="98"/>
      <c r="J224" s="67"/>
      <c r="K224" s="59"/>
      <c r="L224" s="46"/>
      <c r="M224" s="126"/>
      <c r="N224" s="126"/>
      <c r="O224" s="127"/>
    </row>
    <row r="225" spans="2:15" x14ac:dyDescent="0.35">
      <c r="B225" s="94"/>
      <c r="C225" s="95"/>
      <c r="D225" s="96" t="s">
        <v>54</v>
      </c>
      <c r="E225" s="97"/>
      <c r="F225" s="97" t="s">
        <v>156</v>
      </c>
      <c r="G225" s="98"/>
      <c r="H225" s="99">
        <v>3</v>
      </c>
      <c r="I225" s="98" t="s">
        <v>88</v>
      </c>
      <c r="J225" s="46">
        <v>250000</v>
      </c>
      <c r="K225" s="59">
        <f>J225*H225</f>
        <v>750000</v>
      </c>
      <c r="L225" s="46"/>
    </row>
    <row r="226" spans="2:15" x14ac:dyDescent="0.35">
      <c r="B226" s="94"/>
      <c r="C226" s="95"/>
      <c r="D226" s="96" t="s">
        <v>56</v>
      </c>
      <c r="E226" s="97"/>
      <c r="F226" s="97" t="s">
        <v>157</v>
      </c>
      <c r="G226" s="98"/>
      <c r="H226" s="99">
        <v>1</v>
      </c>
      <c r="I226" s="98" t="s">
        <v>149</v>
      </c>
      <c r="J226" s="46">
        <v>3500000</v>
      </c>
      <c r="K226" s="59"/>
      <c r="L226" s="46">
        <f>J226*H226</f>
        <v>3500000</v>
      </c>
    </row>
    <row r="227" spans="2:15" x14ac:dyDescent="0.35">
      <c r="B227" s="148"/>
      <c r="C227" s="149"/>
      <c r="D227" s="137"/>
      <c r="E227" s="150"/>
      <c r="F227" s="122" t="s">
        <v>123</v>
      </c>
      <c r="G227" s="151" t="s">
        <v>209</v>
      </c>
      <c r="H227" s="152"/>
      <c r="I227" s="153"/>
      <c r="J227" s="29"/>
      <c r="K227" s="59"/>
      <c r="L227" s="46"/>
      <c r="M227" s="128">
        <v>634430.50000000012</v>
      </c>
    </row>
    <row r="228" spans="2:15" x14ac:dyDescent="0.35">
      <c r="B228" s="148"/>
      <c r="C228" s="149"/>
      <c r="D228" s="137"/>
      <c r="E228" s="150"/>
      <c r="F228" s="122" t="s">
        <v>123</v>
      </c>
      <c r="G228" s="151" t="s">
        <v>210</v>
      </c>
      <c r="H228" s="152"/>
      <c r="I228" s="153"/>
      <c r="J228" s="29"/>
      <c r="K228" s="73"/>
      <c r="L228" s="46"/>
      <c r="M228" s="128">
        <v>368379.00000000012</v>
      </c>
    </row>
    <row r="229" spans="2:15" x14ac:dyDescent="0.35">
      <c r="B229" s="154"/>
      <c r="C229" s="155"/>
      <c r="D229" s="156"/>
      <c r="E229" s="157"/>
      <c r="F229" s="122" t="s">
        <v>123</v>
      </c>
      <c r="G229" s="123" t="s">
        <v>211</v>
      </c>
      <c r="H229" s="158"/>
      <c r="I229" s="153"/>
      <c r="J229" s="29"/>
      <c r="K229" s="59"/>
      <c r="L229" s="46"/>
      <c r="M229" s="128">
        <v>35000</v>
      </c>
    </row>
    <row r="230" spans="2:15" x14ac:dyDescent="0.35">
      <c r="B230" s="159"/>
      <c r="C230" s="149"/>
      <c r="D230" s="160"/>
      <c r="E230" s="157"/>
      <c r="F230" s="122" t="s">
        <v>123</v>
      </c>
      <c r="G230" s="161" t="s">
        <v>212</v>
      </c>
      <c r="H230" s="157"/>
      <c r="I230" s="162"/>
      <c r="J230" s="29"/>
      <c r="K230" s="59"/>
      <c r="L230" s="46"/>
      <c r="M230" s="128">
        <v>35000</v>
      </c>
    </row>
    <row r="231" spans="2:15" x14ac:dyDescent="0.35">
      <c r="B231" s="154"/>
      <c r="C231" s="155"/>
      <c r="D231" s="156"/>
      <c r="E231" s="157"/>
      <c r="F231" s="122" t="s">
        <v>123</v>
      </c>
      <c r="G231" s="123" t="s">
        <v>213</v>
      </c>
      <c r="H231" s="124"/>
      <c r="I231" s="153"/>
      <c r="J231" s="29"/>
      <c r="K231" s="59"/>
      <c r="L231" s="46"/>
      <c r="M231" s="128">
        <v>86193</v>
      </c>
    </row>
    <row r="232" spans="2:15" x14ac:dyDescent="0.35">
      <c r="B232" s="159"/>
      <c r="C232" s="149"/>
      <c r="D232" s="160"/>
      <c r="E232" s="157"/>
      <c r="F232" s="122" t="s">
        <v>123</v>
      </c>
      <c r="G232" s="161" t="s">
        <v>214</v>
      </c>
      <c r="H232" s="152"/>
      <c r="I232" s="162"/>
      <c r="J232" s="29"/>
      <c r="K232" s="59"/>
      <c r="L232" s="46"/>
      <c r="M232" s="128">
        <v>35000</v>
      </c>
    </row>
    <row r="233" spans="2:15" x14ac:dyDescent="0.35">
      <c r="B233" s="154"/>
      <c r="C233" s="155"/>
      <c r="D233" s="156"/>
      <c r="E233" s="157"/>
      <c r="F233" s="122" t="s">
        <v>123</v>
      </c>
      <c r="G233" s="123" t="s">
        <v>215</v>
      </c>
      <c r="H233" s="124"/>
      <c r="I233" s="153"/>
      <c r="J233" s="29"/>
      <c r="K233" s="59"/>
      <c r="L233" s="46"/>
      <c r="M233" s="128">
        <v>35000</v>
      </c>
    </row>
    <row r="234" spans="2:15" x14ac:dyDescent="0.35">
      <c r="B234" s="159"/>
      <c r="C234" s="149"/>
      <c r="D234" s="160"/>
      <c r="E234" s="150"/>
      <c r="F234" s="122" t="s">
        <v>123</v>
      </c>
      <c r="G234" s="123" t="s">
        <v>217</v>
      </c>
      <c r="H234" s="124"/>
      <c r="I234" s="153"/>
      <c r="J234" s="29"/>
      <c r="K234" s="59"/>
      <c r="L234" s="46"/>
      <c r="M234" s="128">
        <v>100000</v>
      </c>
    </row>
    <row r="235" spans="2:15" x14ac:dyDescent="0.35">
      <c r="B235" s="159"/>
      <c r="C235" s="149"/>
      <c r="D235" s="160"/>
      <c r="E235" s="150"/>
      <c r="F235" s="122" t="s">
        <v>123</v>
      </c>
      <c r="G235" s="123" t="s">
        <v>216</v>
      </c>
      <c r="H235" s="124"/>
      <c r="I235" s="153"/>
      <c r="J235" s="29"/>
      <c r="K235" s="59"/>
      <c r="L235" s="46"/>
      <c r="M235" s="128">
        <v>35000</v>
      </c>
      <c r="N235" s="128">
        <f>SUM(M227:M235)*130%</f>
        <v>1773203.2500000005</v>
      </c>
      <c r="O235" s="127">
        <v>1.3</v>
      </c>
    </row>
    <row r="236" spans="2:15" x14ac:dyDescent="0.35">
      <c r="B236" s="94"/>
      <c r="C236" s="95" t="s">
        <v>158</v>
      </c>
      <c r="D236" s="96"/>
      <c r="E236" s="97" t="s">
        <v>159</v>
      </c>
      <c r="F236" s="97"/>
      <c r="G236" s="98"/>
      <c r="H236" s="111"/>
      <c r="I236" s="97"/>
      <c r="J236" s="129"/>
      <c r="K236" s="59"/>
      <c r="L236" s="46"/>
    </row>
    <row r="237" spans="2:15" x14ac:dyDescent="0.35">
      <c r="B237" s="94"/>
      <c r="C237" s="95"/>
      <c r="D237" s="96" t="s">
        <v>44</v>
      </c>
      <c r="E237" s="97"/>
      <c r="F237" s="97" t="s">
        <v>218</v>
      </c>
      <c r="G237" s="98"/>
      <c r="H237" s="99">
        <v>1</v>
      </c>
      <c r="I237" s="97" t="s">
        <v>46</v>
      </c>
      <c r="J237" s="29">
        <v>5500000</v>
      </c>
      <c r="K237" s="59">
        <f>J237*H237</f>
        <v>5500000</v>
      </c>
      <c r="L237" s="46"/>
    </row>
    <row r="238" spans="2:15" x14ac:dyDescent="0.35">
      <c r="B238" s="94"/>
      <c r="C238" s="95"/>
      <c r="D238" s="96" t="s">
        <v>47</v>
      </c>
      <c r="E238" s="97"/>
      <c r="F238" s="97" t="s">
        <v>219</v>
      </c>
      <c r="G238" s="98"/>
      <c r="H238" s="99">
        <v>1</v>
      </c>
      <c r="I238" s="97" t="s">
        <v>46</v>
      </c>
      <c r="J238" s="50">
        <v>8500000</v>
      </c>
      <c r="K238" s="59">
        <f>J238*H238</f>
        <v>8500000</v>
      </c>
      <c r="L238" s="46"/>
    </row>
    <row r="239" spans="2:15" x14ac:dyDescent="0.35">
      <c r="B239" s="94"/>
      <c r="C239" s="95"/>
      <c r="D239" s="96"/>
      <c r="E239" s="97"/>
      <c r="F239" s="97"/>
      <c r="G239" s="98"/>
      <c r="H239" s="99"/>
      <c r="I239" s="98"/>
      <c r="J239" s="46"/>
      <c r="K239" s="59"/>
      <c r="L239" s="46"/>
    </row>
    <row r="240" spans="2:15" s="34" customFormat="1" x14ac:dyDescent="0.35">
      <c r="B240" s="130"/>
      <c r="C240" s="131"/>
      <c r="D240" s="131"/>
      <c r="E240" s="163"/>
      <c r="F240" s="132"/>
      <c r="G240" s="133"/>
      <c r="H240" s="132"/>
      <c r="I240" s="133"/>
      <c r="J240" s="46"/>
      <c r="K240" s="52"/>
      <c r="L240" s="46"/>
    </row>
    <row r="241" spans="2:12" s="34" customFormat="1" x14ac:dyDescent="0.35">
      <c r="B241" s="100"/>
      <c r="C241" s="101"/>
      <c r="D241" s="102"/>
      <c r="E241" s="164"/>
      <c r="F241" s="164"/>
      <c r="G241" s="165"/>
      <c r="H241" s="166"/>
      <c r="I241" s="165"/>
      <c r="J241" s="29"/>
      <c r="K241" s="51"/>
      <c r="L241" s="46"/>
    </row>
    <row r="242" spans="2:12" s="34" customFormat="1" x14ac:dyDescent="0.35">
      <c r="B242" s="167"/>
      <c r="C242" s="168"/>
      <c r="D242" s="169"/>
      <c r="E242" s="170"/>
      <c r="F242" s="170"/>
      <c r="G242" s="171"/>
      <c r="H242" s="134"/>
      <c r="I242" s="171"/>
      <c r="J242" s="29"/>
      <c r="K242" s="51"/>
      <c r="L242" s="46"/>
    </row>
    <row r="243" spans="2:12" s="34" customFormat="1" x14ac:dyDescent="0.35">
      <c r="B243" s="167"/>
      <c r="C243" s="168"/>
      <c r="D243" s="169"/>
      <c r="E243" s="170"/>
      <c r="F243" s="170"/>
      <c r="G243" s="171"/>
      <c r="H243" s="172"/>
      <c r="I243" s="171"/>
      <c r="J243" s="29"/>
      <c r="K243" s="51"/>
      <c r="L243" s="46"/>
    </row>
    <row r="244" spans="2:12" s="34" customFormat="1" x14ac:dyDescent="0.35">
      <c r="B244" s="100"/>
      <c r="C244" s="101"/>
      <c r="D244" s="102"/>
      <c r="E244" s="164"/>
      <c r="F244" s="164"/>
      <c r="G244" s="165"/>
      <c r="H244" s="166"/>
      <c r="I244" s="165"/>
      <c r="J244" s="29"/>
      <c r="K244" s="51"/>
      <c r="L244" s="46"/>
    </row>
    <row r="245" spans="2:12" s="34" customFormat="1" x14ac:dyDescent="0.35">
      <c r="B245" s="167"/>
      <c r="C245" s="168"/>
      <c r="D245" s="169"/>
      <c r="E245" s="170"/>
      <c r="F245" s="170"/>
      <c r="G245" s="171"/>
      <c r="H245" s="172"/>
      <c r="I245" s="171"/>
      <c r="J245" s="29"/>
      <c r="K245" s="51"/>
      <c r="L245" s="46"/>
    </row>
    <row r="246" spans="2:12" s="34" customFormat="1" x14ac:dyDescent="0.35">
      <c r="B246" s="167"/>
      <c r="C246" s="168"/>
      <c r="D246" s="169"/>
      <c r="E246" s="170"/>
      <c r="F246" s="170"/>
      <c r="G246" s="171"/>
      <c r="H246" s="172"/>
      <c r="I246" s="171"/>
      <c r="J246" s="29"/>
      <c r="K246" s="51"/>
      <c r="L246" s="46"/>
    </row>
    <row r="247" spans="2:12" s="34" customFormat="1" x14ac:dyDescent="0.35">
      <c r="B247" s="167"/>
      <c r="C247" s="168"/>
      <c r="D247" s="169"/>
      <c r="E247" s="170"/>
      <c r="F247" s="170"/>
      <c r="G247" s="171"/>
      <c r="H247" s="134"/>
      <c r="I247" s="171"/>
      <c r="J247" s="29"/>
      <c r="K247" s="51"/>
      <c r="L247" s="46"/>
    </row>
    <row r="248" spans="2:12" x14ac:dyDescent="0.35">
      <c r="B248" s="47"/>
      <c r="C248" s="48"/>
      <c r="D248" s="24"/>
      <c r="G248" s="22"/>
      <c r="I248" s="22"/>
      <c r="J248" s="50"/>
      <c r="K248" s="29"/>
      <c r="L248" s="52"/>
    </row>
    <row r="249" spans="2:12" x14ac:dyDescent="0.35">
      <c r="B249" s="47"/>
      <c r="C249" s="48"/>
      <c r="D249" s="24"/>
      <c r="G249" s="22"/>
      <c r="I249" s="22"/>
      <c r="J249" s="50"/>
      <c r="K249" s="29"/>
      <c r="L249" s="52"/>
    </row>
    <row r="250" spans="2:12" x14ac:dyDescent="0.35">
      <c r="B250" s="47"/>
      <c r="C250" s="48"/>
      <c r="D250" s="24"/>
      <c r="G250" s="22"/>
      <c r="I250" s="22"/>
      <c r="J250" s="50"/>
      <c r="K250" s="29"/>
      <c r="L250" s="52"/>
    </row>
    <row r="251" spans="2:12" x14ac:dyDescent="0.35">
      <c r="B251" s="47"/>
      <c r="C251" s="48"/>
      <c r="D251" s="24"/>
      <c r="G251" s="22"/>
      <c r="I251" s="22"/>
      <c r="J251" s="50"/>
      <c r="K251" s="29"/>
      <c r="L251" s="52"/>
    </row>
    <row r="252" spans="2:12" x14ac:dyDescent="0.35">
      <c r="B252" s="47"/>
      <c r="C252" s="48"/>
      <c r="D252" s="24"/>
      <c r="G252" s="22"/>
      <c r="I252" s="22"/>
      <c r="J252" s="50"/>
      <c r="K252" s="29"/>
      <c r="L252" s="52"/>
    </row>
    <row r="253" spans="2:12" x14ac:dyDescent="0.35">
      <c r="B253" s="47"/>
      <c r="C253" s="48"/>
      <c r="D253" s="24"/>
      <c r="G253" s="22"/>
      <c r="I253" s="22"/>
      <c r="J253" s="50"/>
      <c r="K253" s="29"/>
      <c r="L253" s="52"/>
    </row>
    <row r="254" spans="2:12" x14ac:dyDescent="0.35">
      <c r="B254" s="47"/>
      <c r="C254" s="48"/>
      <c r="D254" s="24"/>
      <c r="G254" s="22"/>
      <c r="I254" s="22"/>
      <c r="J254" s="50"/>
      <c r="K254" s="29"/>
      <c r="L254" s="52"/>
    </row>
    <row r="255" spans="2:12" x14ac:dyDescent="0.35">
      <c r="B255" s="47"/>
      <c r="C255" s="48"/>
      <c r="D255" s="24"/>
      <c r="G255" s="22"/>
      <c r="I255" s="22"/>
      <c r="J255" s="50"/>
      <c r="K255" s="29"/>
      <c r="L255" s="52"/>
    </row>
    <row r="256" spans="2:12" x14ac:dyDescent="0.35">
      <c r="B256" s="47"/>
      <c r="C256" s="48"/>
      <c r="D256" s="24"/>
      <c r="G256" s="22"/>
      <c r="I256" s="22"/>
      <c r="J256" s="50"/>
      <c r="K256" s="29"/>
      <c r="L256" s="52"/>
    </row>
    <row r="257" spans="2:15" x14ac:dyDescent="0.35">
      <c r="B257" s="47"/>
      <c r="C257" s="48"/>
      <c r="D257" s="24"/>
      <c r="G257" s="22"/>
      <c r="I257" s="22"/>
      <c r="J257" s="50"/>
      <c r="K257" s="29"/>
      <c r="L257" s="52"/>
    </row>
    <row r="258" spans="2:15" x14ac:dyDescent="0.35">
      <c r="B258" s="47"/>
      <c r="C258" s="48"/>
      <c r="D258" s="24"/>
      <c r="G258" s="22"/>
      <c r="I258" s="22"/>
      <c r="J258" s="50"/>
      <c r="K258" s="29"/>
      <c r="L258" s="52"/>
    </row>
    <row r="259" spans="2:15" x14ac:dyDescent="0.35">
      <c r="B259" s="47"/>
      <c r="C259" s="48"/>
      <c r="D259" s="24"/>
      <c r="G259" s="22"/>
      <c r="I259" s="22"/>
      <c r="J259" s="50"/>
      <c r="K259" s="29"/>
      <c r="L259" s="52"/>
    </row>
    <row r="260" spans="2:15" x14ac:dyDescent="0.35">
      <c r="B260" s="47"/>
      <c r="C260" s="48"/>
      <c r="D260" s="24"/>
      <c r="G260" s="22"/>
      <c r="I260" s="22"/>
      <c r="J260" s="50"/>
      <c r="K260" s="29"/>
      <c r="L260" s="52"/>
    </row>
    <row r="261" spans="2:15" x14ac:dyDescent="0.35">
      <c r="B261" s="47"/>
      <c r="C261" s="48"/>
      <c r="D261" s="24"/>
      <c r="G261" s="22"/>
      <c r="I261" s="22"/>
      <c r="J261" s="50"/>
      <c r="K261" s="29"/>
      <c r="L261" s="52"/>
    </row>
    <row r="262" spans="2:15" x14ac:dyDescent="0.35">
      <c r="B262" s="47"/>
      <c r="C262" s="48"/>
      <c r="D262" s="24"/>
      <c r="G262" s="22"/>
      <c r="I262" s="22"/>
      <c r="J262" s="50"/>
      <c r="K262" s="29"/>
      <c r="L262" s="52"/>
    </row>
    <row r="263" spans="2:15" x14ac:dyDescent="0.35">
      <c r="B263" s="47"/>
      <c r="C263" s="48"/>
      <c r="D263" s="24"/>
      <c r="G263" s="22"/>
      <c r="I263" s="22"/>
      <c r="J263" s="50"/>
      <c r="K263" s="29"/>
      <c r="L263" s="52"/>
    </row>
    <row r="264" spans="2:15" x14ac:dyDescent="0.35">
      <c r="B264" s="47"/>
      <c r="C264" s="48"/>
      <c r="D264" s="24"/>
      <c r="G264" s="22"/>
      <c r="I264" s="22"/>
      <c r="J264" s="50"/>
      <c r="K264" s="29"/>
      <c r="L264" s="52"/>
    </row>
    <row r="265" spans="2:15" x14ac:dyDescent="0.35">
      <c r="B265" s="47"/>
      <c r="C265" s="48"/>
      <c r="D265" s="24"/>
      <c r="G265" s="22"/>
      <c r="I265" s="22"/>
      <c r="J265" s="50"/>
      <c r="K265" s="29"/>
      <c r="L265" s="52"/>
    </row>
    <row r="266" spans="2:15" x14ac:dyDescent="0.35">
      <c r="B266" s="47"/>
      <c r="C266" s="48"/>
      <c r="D266" s="24"/>
      <c r="G266" s="22"/>
      <c r="I266" s="22"/>
      <c r="J266" s="50"/>
      <c r="K266" s="29"/>
      <c r="L266" s="52"/>
    </row>
    <row r="267" spans="2:15" x14ac:dyDescent="0.35">
      <c r="B267" s="47"/>
      <c r="C267" s="48"/>
      <c r="D267" s="24"/>
      <c r="G267" s="22"/>
      <c r="I267" s="22"/>
      <c r="J267" s="50"/>
      <c r="K267" s="29"/>
      <c r="L267" s="52"/>
    </row>
    <row r="268" spans="2:15" x14ac:dyDescent="0.35">
      <c r="B268" s="47"/>
      <c r="C268" s="48"/>
      <c r="D268" s="24"/>
      <c r="G268" s="22"/>
      <c r="I268" s="22"/>
      <c r="J268" s="50"/>
      <c r="K268" s="29"/>
      <c r="L268" s="52"/>
    </row>
    <row r="269" spans="2:15" x14ac:dyDescent="0.35">
      <c r="B269" s="47"/>
      <c r="C269" s="48"/>
      <c r="D269" s="24"/>
      <c r="G269" s="22"/>
      <c r="I269" s="22"/>
      <c r="J269" s="50"/>
      <c r="K269" s="29"/>
      <c r="L269" s="52"/>
    </row>
    <row r="270" spans="2:15" x14ac:dyDescent="0.35">
      <c r="B270" s="47"/>
      <c r="C270" s="48"/>
      <c r="D270" s="24"/>
      <c r="G270" s="22"/>
      <c r="I270" s="22"/>
      <c r="J270" s="50"/>
      <c r="K270" s="29"/>
      <c r="L270" s="52"/>
    </row>
    <row r="271" spans="2:15" x14ac:dyDescent="0.35">
      <c r="B271" s="8"/>
      <c r="C271" s="9"/>
      <c r="D271" s="10"/>
      <c r="E271" s="4"/>
      <c r="F271" s="4"/>
      <c r="G271" s="4"/>
      <c r="H271" s="1"/>
      <c r="I271" s="1"/>
      <c r="J271" s="11" t="s">
        <v>8</v>
      </c>
      <c r="K271" s="7">
        <f>SUM(K221:K270)</f>
        <v>14750000</v>
      </c>
      <c r="L271" s="7">
        <f>SUM(L221:L270)</f>
        <v>3850000</v>
      </c>
    </row>
    <row r="272" spans="2:15" x14ac:dyDescent="0.35">
      <c r="B272" s="8"/>
      <c r="C272" s="9"/>
      <c r="D272" s="9"/>
      <c r="E272" s="4"/>
      <c r="F272" s="4"/>
      <c r="G272" s="4"/>
      <c r="H272" s="1"/>
      <c r="I272" s="1"/>
      <c r="J272" s="11" t="s">
        <v>220</v>
      </c>
      <c r="K272" s="173">
        <f>SUM(K73,K140,K207,K271)</f>
        <v>246201000</v>
      </c>
      <c r="L272" s="173">
        <f>SUM(L73,L140,L207,L271)</f>
        <v>35100287.68</v>
      </c>
      <c r="M272" s="14">
        <f>K272+L272</f>
        <v>281301287.68000001</v>
      </c>
      <c r="N272" s="14">
        <f>M272*10%</f>
        <v>28130128.768000003</v>
      </c>
      <c r="O272" s="174">
        <f>M272-N272</f>
        <v>253171158.912</v>
      </c>
    </row>
    <row r="273" spans="2:14" x14ac:dyDescent="0.35">
      <c r="B273" s="8"/>
      <c r="C273" s="9"/>
      <c r="D273" s="9"/>
      <c r="E273" s="4"/>
      <c r="F273" s="4"/>
      <c r="G273" s="4"/>
      <c r="H273" s="1"/>
      <c r="I273" s="1"/>
      <c r="J273" s="11" t="s">
        <v>223</v>
      </c>
      <c r="K273" s="14">
        <v>28130128.768000003</v>
      </c>
      <c r="L273" s="175">
        <v>0</v>
      </c>
      <c r="M273" s="14"/>
    </row>
    <row r="274" spans="2:14" x14ac:dyDescent="0.35">
      <c r="B274" s="8"/>
      <c r="C274" s="9"/>
      <c r="D274" s="9"/>
      <c r="E274" s="4"/>
      <c r="F274" s="4"/>
      <c r="G274" s="4"/>
      <c r="H274" s="1"/>
      <c r="I274" s="1"/>
      <c r="J274" s="11" t="s">
        <v>224</v>
      </c>
      <c r="K274" s="173">
        <f>K272-K273</f>
        <v>218070871.23199999</v>
      </c>
      <c r="L274" s="173">
        <f>L272-L273</f>
        <v>35100287.68</v>
      </c>
      <c r="M274" s="174">
        <f>K274+L274</f>
        <v>253171158.912</v>
      </c>
      <c r="N274" s="14"/>
    </row>
    <row r="275" spans="2:14" x14ac:dyDescent="0.35">
      <c r="B275" s="8"/>
      <c r="C275" s="9"/>
      <c r="D275" s="9"/>
      <c r="E275" s="4"/>
      <c r="F275" s="4"/>
      <c r="G275" s="4"/>
      <c r="H275" s="1"/>
      <c r="I275" s="1"/>
      <c r="J275" s="11"/>
      <c r="K275" s="35" t="s">
        <v>22</v>
      </c>
      <c r="L275" s="36" t="s">
        <v>23</v>
      </c>
      <c r="M275" s="14">
        <v>28130128.768000003</v>
      </c>
    </row>
    <row r="276" spans="2:14" x14ac:dyDescent="0.35">
      <c r="B276" s="3" t="s">
        <v>9</v>
      </c>
      <c r="C276" s="4"/>
      <c r="D276" s="4"/>
      <c r="E276" s="4"/>
      <c r="F276" s="4"/>
      <c r="G276" s="4"/>
      <c r="H276" s="1"/>
      <c r="I276" s="1"/>
      <c r="J276" s="12"/>
      <c r="K276" s="12"/>
      <c r="L276" s="13"/>
      <c r="M276" s="14"/>
    </row>
    <row r="277" spans="2:14" x14ac:dyDescent="0.35">
      <c r="B277" s="37"/>
      <c r="C277" s="1"/>
      <c r="D277" s="1"/>
      <c r="E277" s="38"/>
      <c r="F277" s="38"/>
      <c r="G277" s="38"/>
      <c r="H277" s="1"/>
      <c r="I277" s="1"/>
      <c r="J277" s="1"/>
      <c r="K277" s="1"/>
      <c r="L277" s="19"/>
      <c r="M277" s="14"/>
    </row>
    <row r="278" spans="2:14" x14ac:dyDescent="0.35">
      <c r="B278" s="28" t="s">
        <v>6</v>
      </c>
      <c r="C278" s="27"/>
      <c r="D278" s="27"/>
      <c r="E278" s="26"/>
      <c r="F278" s="26"/>
      <c r="G278" s="5"/>
      <c r="K278" s="176" t="s">
        <v>225</v>
      </c>
      <c r="L278" s="177"/>
    </row>
    <row r="279" spans="2:14" x14ac:dyDescent="0.35">
      <c r="B279" s="28">
        <v>1</v>
      </c>
      <c r="C279" s="27"/>
      <c r="D279" s="27"/>
      <c r="E279" s="26" t="s">
        <v>7</v>
      </c>
      <c r="F279" s="26"/>
      <c r="G279" s="5"/>
      <c r="K279" s="176" t="s">
        <v>28</v>
      </c>
      <c r="L279" s="177"/>
    </row>
    <row r="280" spans="2:14" x14ac:dyDescent="0.35">
      <c r="B280" s="39"/>
      <c r="C280" s="27"/>
      <c r="D280" s="27"/>
      <c r="E280" s="26"/>
      <c r="F280" s="26"/>
      <c r="G280" s="5"/>
      <c r="J280" s="25"/>
      <c r="K280" s="25"/>
      <c r="L280" s="24"/>
    </row>
    <row r="281" spans="2:14" x14ac:dyDescent="0.35">
      <c r="B281" s="28"/>
      <c r="C281" s="27"/>
      <c r="D281" s="27"/>
      <c r="E281" s="26"/>
      <c r="F281" s="26"/>
      <c r="G281" s="5"/>
      <c r="L281" s="22"/>
    </row>
    <row r="282" spans="2:14" x14ac:dyDescent="0.35">
      <c r="B282" s="45"/>
      <c r="E282" s="5"/>
      <c r="F282" s="5"/>
      <c r="G282" s="5"/>
      <c r="L282" s="22"/>
    </row>
    <row r="283" spans="2:14" x14ac:dyDescent="0.35">
      <c r="B283" s="45"/>
      <c r="E283" s="5"/>
      <c r="F283" s="5"/>
      <c r="G283" s="5"/>
      <c r="L283" s="22"/>
    </row>
    <row r="284" spans="2:14" x14ac:dyDescent="0.35">
      <c r="B284" s="45"/>
      <c r="E284" s="5"/>
      <c r="F284" s="5"/>
      <c r="G284" s="5"/>
      <c r="L284" s="22"/>
    </row>
    <row r="285" spans="2:14" x14ac:dyDescent="0.35">
      <c r="B285" s="45"/>
      <c r="E285" s="5"/>
      <c r="F285" s="5"/>
      <c r="G285" s="5"/>
      <c r="J285" s="40"/>
      <c r="K285" s="178" t="s">
        <v>36</v>
      </c>
      <c r="L285" s="179"/>
    </row>
    <row r="286" spans="2:14" x14ac:dyDescent="0.35">
      <c r="B286" s="45"/>
      <c r="K286" s="180" t="s">
        <v>37</v>
      </c>
      <c r="L286" s="181"/>
    </row>
    <row r="287" spans="2:14" x14ac:dyDescent="0.35">
      <c r="B287" s="182"/>
      <c r="C287" s="183"/>
      <c r="D287" s="183"/>
      <c r="E287" s="41"/>
      <c r="F287" s="41"/>
      <c r="G287" s="41"/>
      <c r="H287" s="2"/>
      <c r="I287" s="2"/>
      <c r="J287" s="2"/>
      <c r="K287" s="2"/>
      <c r="L287" s="21"/>
    </row>
  </sheetData>
  <mergeCells count="28">
    <mergeCell ref="F15:G15"/>
    <mergeCell ref="B18:D19"/>
    <mergeCell ref="E18:G19"/>
    <mergeCell ref="H18:I19"/>
    <mergeCell ref="J18:J19"/>
    <mergeCell ref="B153:D153"/>
    <mergeCell ref="L18:L19"/>
    <mergeCell ref="N21:O21"/>
    <mergeCell ref="K77:L77"/>
    <mergeCell ref="K78:L78"/>
    <mergeCell ref="K84:L84"/>
    <mergeCell ref="K85:L85"/>
    <mergeCell ref="K18:K19"/>
    <mergeCell ref="B86:D86"/>
    <mergeCell ref="K144:L144"/>
    <mergeCell ref="K145:L145"/>
    <mergeCell ref="K151:L151"/>
    <mergeCell ref="K152:L152"/>
    <mergeCell ref="K279:L279"/>
    <mergeCell ref="K285:L285"/>
    <mergeCell ref="K286:L286"/>
    <mergeCell ref="B287:D287"/>
    <mergeCell ref="K211:L211"/>
    <mergeCell ref="K212:L212"/>
    <mergeCell ref="K218:L218"/>
    <mergeCell ref="K219:L219"/>
    <mergeCell ref="B220:D220"/>
    <mergeCell ref="K278:L278"/>
  </mergeCells>
  <conditionalFormatting sqref="E62:E64 E68:E69">
    <cfRule type="expression" dxfId="1" priority="2">
      <formula>AND((ISBLANK($B62)=FALSE),(ISBLANK($E62)=FALSE))</formula>
    </cfRule>
  </conditionalFormatting>
  <conditionalFormatting sqref="E90">
    <cfRule type="expression" dxfId="0" priority="1">
      <formula>AND((ISBLANK($B90)=FALSE),(ISBLANK($E90)=FALSE))</formula>
    </cfRule>
  </conditionalFormatting>
  <printOptions horizontalCentered="1"/>
  <pageMargins left="0.80870078740157503" right="0.39370078740157499" top="0.39370078740157499" bottom="0.39370078740157499" header="0.31496062992126" footer="0.31496062992126"/>
  <pageSetup scale="55" fitToHeight="0" orientation="portrait" r:id="rId1"/>
  <headerFooter>
    <oddFooter>&amp;LMKT-FM-002/Rev.01/18 Des 15/&amp;K00B050Green&amp;RPage &amp;P of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Rincian Biaya rev.03</vt:lpstr>
      <vt:lpstr>'Rincian Biaya rev.03'!Print_Area</vt:lpstr>
      <vt:lpstr>'Rincian Biaya rev.03'!Print_Titles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wimba prambada</dc:creator>
  <cp:lastModifiedBy>sigit hartono</cp:lastModifiedBy>
  <cp:lastPrinted>2022-06-22T06:43:51Z</cp:lastPrinted>
  <dcterms:created xsi:type="dcterms:W3CDTF">2015-07-30T04:54:41Z</dcterms:created>
  <dcterms:modified xsi:type="dcterms:W3CDTF">2025-12-23T07:59:13Z</dcterms:modified>
</cp:coreProperties>
</file>