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:\Shared drives\HO-A.1 MANAGEMENT REPRESENTATIF\TUGAS\MARKETING JUAN\"/>
    </mc:Choice>
  </mc:AlternateContent>
  <xr:revisionPtr revIDLastSave="0" documentId="13_ncr:1_{7F743B1F-4CE7-4D53-A87E-D9906088C7F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incian Biaya rev.01" sheetId="43" r:id="rId1"/>
  </sheets>
  <definedNames>
    <definedName name="_xlnm.Print_Area" localSheetId="0">'Rincian Biaya rev.01'!$B$2:$L$609</definedName>
    <definedName name="_xlnm.Print_Titles" localSheetId="0">'Rincian Biaya rev.01'!$2:$19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0" i="43" l="1"/>
  <c r="N464" i="43"/>
  <c r="L581" i="43" l="1"/>
  <c r="L563" i="43"/>
  <c r="L562" i="43"/>
  <c r="L561" i="43"/>
  <c r="L560" i="43"/>
  <c r="L559" i="43"/>
  <c r="L556" i="43"/>
  <c r="L555" i="43"/>
  <c r="L554" i="43"/>
  <c r="L553" i="43"/>
  <c r="L552" i="43"/>
  <c r="L529" i="43"/>
  <c r="L528" i="43"/>
  <c r="L527" i="43"/>
  <c r="L522" i="43"/>
  <c r="L521" i="43"/>
  <c r="L520" i="43"/>
  <c r="L519" i="43"/>
  <c r="L517" i="43"/>
  <c r="L516" i="43"/>
  <c r="L515" i="43"/>
  <c r="L463" i="43"/>
  <c r="L462" i="43"/>
  <c r="L461" i="43"/>
  <c r="L288" i="43"/>
  <c r="L289" i="43"/>
  <c r="L290" i="43"/>
  <c r="L291" i="43"/>
  <c r="L292" i="43"/>
  <c r="L293" i="43"/>
  <c r="L294" i="43"/>
  <c r="L295" i="43"/>
  <c r="L296" i="43"/>
  <c r="L300" i="43"/>
  <c r="L301" i="43"/>
  <c r="L302" i="43"/>
  <c r="L303" i="43"/>
  <c r="L304" i="43"/>
  <c r="L305" i="43"/>
  <c r="L308" i="43"/>
  <c r="L309" i="43"/>
  <c r="L310" i="43"/>
  <c r="L313" i="43"/>
  <c r="L314" i="43"/>
  <c r="L315" i="43"/>
  <c r="L316" i="43"/>
  <c r="L317" i="43"/>
  <c r="L318" i="43"/>
  <c r="L319" i="43"/>
  <c r="L320" i="43"/>
  <c r="L321" i="43"/>
  <c r="L322" i="43"/>
  <c r="L287" i="43"/>
  <c r="L222" i="43"/>
  <c r="L223" i="43"/>
  <c r="L224" i="43"/>
  <c r="L225" i="43"/>
  <c r="L226" i="43"/>
  <c r="L227" i="43"/>
  <c r="L228" i="43"/>
  <c r="L229" i="43"/>
  <c r="L230" i="43"/>
  <c r="L231" i="43"/>
  <c r="L232" i="43"/>
  <c r="L234" i="43"/>
  <c r="L235" i="43"/>
  <c r="L236" i="43"/>
  <c r="L237" i="43"/>
  <c r="L238" i="43"/>
  <c r="L239" i="43"/>
  <c r="L240" i="43"/>
  <c r="L241" i="43"/>
  <c r="L242" i="43"/>
  <c r="L245" i="43"/>
  <c r="L246" i="43"/>
  <c r="L247" i="43"/>
  <c r="L248" i="43"/>
  <c r="L249" i="43"/>
  <c r="L250" i="43"/>
  <c r="L251" i="43"/>
  <c r="L252" i="43"/>
  <c r="L253" i="43"/>
  <c r="L254" i="43"/>
  <c r="L255" i="43"/>
  <c r="L256" i="43"/>
  <c r="L258" i="43"/>
  <c r="L259" i="43"/>
  <c r="L260" i="43"/>
  <c r="L261" i="43"/>
  <c r="L262" i="43"/>
  <c r="L263" i="43"/>
  <c r="L264" i="43"/>
  <c r="L265" i="43"/>
  <c r="L266" i="43"/>
  <c r="L221" i="43"/>
  <c r="L154" i="43"/>
  <c r="L155" i="43"/>
  <c r="L156" i="43"/>
  <c r="L157" i="43"/>
  <c r="L158" i="43"/>
  <c r="L159" i="43"/>
  <c r="L162" i="43"/>
  <c r="L163" i="43"/>
  <c r="L164" i="43"/>
  <c r="L165" i="43"/>
  <c r="L166" i="43"/>
  <c r="L167" i="43"/>
  <c r="L168" i="43"/>
  <c r="L169" i="43"/>
  <c r="L172" i="43"/>
  <c r="L173" i="43"/>
  <c r="L174" i="43"/>
  <c r="L175" i="43"/>
  <c r="L176" i="43"/>
  <c r="L177" i="43"/>
  <c r="L179" i="43"/>
  <c r="L180" i="43"/>
  <c r="L181" i="43"/>
  <c r="L182" i="43"/>
  <c r="L183" i="43"/>
  <c r="L184" i="43"/>
  <c r="L185" i="43"/>
  <c r="L186" i="43"/>
  <c r="L188" i="43"/>
  <c r="L189" i="43"/>
  <c r="L190" i="43"/>
  <c r="L191" i="43"/>
  <c r="L193" i="43"/>
  <c r="L194" i="43"/>
  <c r="L195" i="43"/>
  <c r="L196" i="43"/>
  <c r="L197" i="43"/>
  <c r="L198" i="43"/>
  <c r="L199" i="43"/>
  <c r="L200" i="43"/>
  <c r="L201" i="43"/>
  <c r="L202" i="43"/>
  <c r="L153" i="43"/>
  <c r="L107" i="43"/>
  <c r="L108" i="43"/>
  <c r="L109" i="43"/>
  <c r="L110" i="43"/>
  <c r="L111" i="43"/>
  <c r="L112" i="43"/>
  <c r="L113" i="43"/>
  <c r="L116" i="43"/>
  <c r="L117" i="43"/>
  <c r="L118" i="43"/>
  <c r="L119" i="43"/>
  <c r="L120" i="43"/>
  <c r="L122" i="43"/>
  <c r="L123" i="43"/>
  <c r="L124" i="43"/>
  <c r="L125" i="43"/>
  <c r="L126" i="43"/>
  <c r="L128" i="43"/>
  <c r="L129" i="43"/>
  <c r="L130" i="43"/>
  <c r="L131" i="43"/>
  <c r="L133" i="43"/>
  <c r="L134" i="43"/>
  <c r="L135" i="43"/>
  <c r="L136" i="43"/>
  <c r="L106" i="43"/>
  <c r="K582" i="43"/>
  <c r="K573" i="43"/>
  <c r="K568" i="43"/>
  <c r="K558" i="43"/>
  <c r="K551" i="43"/>
  <c r="K524" i="43"/>
  <c r="K511" i="43"/>
  <c r="K507" i="43"/>
  <c r="K504" i="43"/>
  <c r="K500" i="43"/>
  <c r="K497" i="43"/>
  <c r="K493" i="43"/>
  <c r="K490" i="43"/>
  <c r="K486" i="43"/>
  <c r="K483" i="43"/>
  <c r="K464" i="43"/>
  <c r="K460" i="43"/>
  <c r="K452" i="43"/>
  <c r="K445" i="43"/>
  <c r="K438" i="43"/>
  <c r="K434" i="43"/>
  <c r="K430" i="43"/>
  <c r="K421" i="43"/>
  <c r="K417" i="43"/>
  <c r="K394" i="43"/>
  <c r="K389" i="43"/>
  <c r="K376" i="43"/>
  <c r="K364" i="43"/>
  <c r="K363" i="43"/>
  <c r="K354" i="43"/>
  <c r="K330" i="43"/>
  <c r="K324" i="43"/>
  <c r="K307" i="43"/>
  <c r="K299" i="43"/>
  <c r="K286" i="43"/>
  <c r="K257" i="43"/>
  <c r="K244" i="43"/>
  <c r="K233" i="43"/>
  <c r="K220" i="43"/>
  <c r="K192" i="43"/>
  <c r="K187" i="43"/>
  <c r="K178" i="43"/>
  <c r="K171" i="43"/>
  <c r="K161" i="43"/>
  <c r="K132" i="43"/>
  <c r="K127" i="43"/>
  <c r="K121" i="43"/>
  <c r="K115" i="43"/>
  <c r="K105" i="43"/>
  <c r="K100" i="43"/>
  <c r="K98" i="43"/>
  <c r="K97" i="43"/>
  <c r="K96" i="43"/>
  <c r="K95" i="43"/>
  <c r="K94" i="43"/>
  <c r="K93" i="43"/>
  <c r="K91" i="43"/>
  <c r="K90" i="43"/>
  <c r="K89" i="43"/>
  <c r="K88" i="43"/>
  <c r="K68" i="43"/>
  <c r="K66" i="43"/>
  <c r="K65" i="43"/>
  <c r="K64" i="43"/>
  <c r="K63" i="43"/>
  <c r="K62" i="43"/>
  <c r="K59" i="43"/>
  <c r="K58" i="43"/>
  <c r="K57" i="43"/>
  <c r="K56" i="43"/>
  <c r="K55" i="43"/>
  <c r="K54" i="43"/>
  <c r="K53" i="43"/>
  <c r="K52" i="43"/>
  <c r="K51" i="43"/>
  <c r="K49" i="43"/>
  <c r="K47" i="43"/>
  <c r="K46" i="43"/>
  <c r="K45" i="43"/>
  <c r="K44" i="43"/>
  <c r="K43" i="43"/>
  <c r="K42" i="43"/>
  <c r="K41" i="43"/>
  <c r="K40" i="43"/>
  <c r="K39" i="43"/>
  <c r="K23" i="43"/>
  <c r="K24" i="43"/>
  <c r="K25" i="43"/>
  <c r="K26" i="43"/>
  <c r="K27" i="43"/>
  <c r="K28" i="43"/>
  <c r="K29" i="43"/>
  <c r="K30" i="43"/>
  <c r="K31" i="43"/>
  <c r="K32" i="43"/>
  <c r="K33" i="43"/>
  <c r="K34" i="43"/>
  <c r="K35" i="43"/>
  <c r="K36" i="43"/>
  <c r="K37" i="43"/>
  <c r="K22" i="43"/>
  <c r="M490" i="43"/>
  <c r="M445" i="43"/>
  <c r="M438" i="43"/>
  <c r="M434" i="43"/>
  <c r="M421" i="43"/>
  <c r="M394" i="43"/>
  <c r="L402" i="43"/>
  <c r="M389" i="43"/>
  <c r="M376" i="43"/>
  <c r="M364" i="43"/>
  <c r="M324" i="43"/>
  <c r="H437" i="43" l="1"/>
  <c r="H436" i="43"/>
  <c r="H426" i="43"/>
  <c r="H393" i="43"/>
  <c r="H391" i="43"/>
  <c r="H381" i="43"/>
  <c r="H367" i="43"/>
  <c r="H312" i="43"/>
  <c r="L312" i="43" s="1"/>
  <c r="H306" i="43"/>
  <c r="L306" i="43" s="1"/>
  <c r="H297" i="43"/>
  <c r="L297" i="43" s="1"/>
  <c r="H170" i="43"/>
  <c r="L170" i="43" s="1"/>
  <c r="H114" i="43"/>
  <c r="L114" i="43" s="1"/>
  <c r="L595" i="43" l="1"/>
  <c r="K595" i="43"/>
  <c r="L534" i="43"/>
  <c r="K534" i="43"/>
  <c r="L468" i="43"/>
  <c r="K468" i="43"/>
  <c r="K402" i="43"/>
  <c r="L336" i="43"/>
  <c r="K336" i="43"/>
  <c r="L270" i="43"/>
  <c r="K270" i="43"/>
  <c r="L204" i="43"/>
  <c r="K204" i="43"/>
  <c r="L138" i="43"/>
  <c r="K138" i="43"/>
  <c r="Q27" i="43"/>
  <c r="P27" i="43"/>
  <c r="O27" i="43"/>
  <c r="O28" i="43" s="1"/>
  <c r="Q26" i="43"/>
  <c r="O26" i="43"/>
  <c r="Q25" i="43"/>
  <c r="O25" i="43"/>
  <c r="P24" i="43"/>
  <c r="O24" i="43"/>
  <c r="Q22" i="43"/>
  <c r="R23" i="43" s="1"/>
  <c r="P22" i="43"/>
  <c r="L72" i="43"/>
  <c r="L596" i="43" l="1"/>
  <c r="K72" i="43"/>
  <c r="S23" i="43"/>
  <c r="T23" i="43" s="1"/>
  <c r="M72" i="43" l="1"/>
  <c r="K596" i="43"/>
  <c r="M596" i="43" s="1"/>
</calcChain>
</file>

<file path=xl/sharedStrings.xml><?xml version="1.0" encoding="utf-8"?>
<sst xmlns="http://schemas.openxmlformats.org/spreadsheetml/2006/main" count="1337" uniqueCount="395">
  <si>
    <t>No</t>
  </si>
  <si>
    <t>Item</t>
  </si>
  <si>
    <t>Volume</t>
  </si>
  <si>
    <t>Unit Price</t>
  </si>
  <si>
    <t>Client</t>
  </si>
  <si>
    <t>Contact</t>
  </si>
  <si>
    <t>Note :</t>
  </si>
  <si>
    <t>Cara pembayaran :</t>
  </si>
  <si>
    <t xml:space="preserve">Total   </t>
  </si>
  <si>
    <t>Say   :</t>
  </si>
  <si>
    <t>PELAYANAN UMUM</t>
  </si>
  <si>
    <t>L</t>
  </si>
  <si>
    <t>D</t>
  </si>
  <si>
    <t>Keliling</t>
  </si>
  <si>
    <t>Bottom</t>
  </si>
  <si>
    <t>Luasan Painting</t>
  </si>
  <si>
    <t>PERAWATAN LAMBUNG</t>
  </si>
  <si>
    <t>SISTIM PENGGERAK</t>
  </si>
  <si>
    <t>PERLENGKAPAN DECK</t>
  </si>
  <si>
    <t>Panjang Sideboard</t>
  </si>
  <si>
    <t>Lebar Sideboard</t>
  </si>
  <si>
    <t>B</t>
  </si>
  <si>
    <t>Service</t>
  </si>
  <si>
    <t>Material</t>
  </si>
  <si>
    <t>DETAIL OF DOCKING AND REPAIR COST</t>
  </si>
  <si>
    <t>Rincian Biaya Docking Dan Perbaikan</t>
  </si>
  <si>
    <t>: All</t>
  </si>
  <si>
    <t>AKOMODASI</t>
  </si>
  <si>
    <t>PT. Meranti Nusa Bahari</t>
  </si>
  <si>
    <t>Project Information</t>
  </si>
  <si>
    <t>Name</t>
  </si>
  <si>
    <t>Length</t>
  </si>
  <si>
    <t>Breadth</t>
  </si>
  <si>
    <t>Depth</t>
  </si>
  <si>
    <t>Klass</t>
  </si>
  <si>
    <t>Type</t>
  </si>
  <si>
    <t>Aditya Agung H.</t>
  </si>
  <si>
    <t>General Manager</t>
  </si>
  <si>
    <t>: 7/FIN/MKT-MNB/II/2025</t>
  </si>
  <si>
    <t>:  28.20 Meter</t>
  </si>
  <si>
    <t>:    8.00 Meter</t>
  </si>
  <si>
    <t>:    3.65 Meter</t>
  </si>
  <si>
    <t>: BKI</t>
  </si>
  <si>
    <t>I</t>
  </si>
  <si>
    <t>a</t>
  </si>
  <si>
    <t>Docking-Undocking</t>
  </si>
  <si>
    <t>Ls</t>
  </si>
  <si>
    <t>b</t>
  </si>
  <si>
    <t>Asistensi Tali Temali Dari Darat dan Persiapan Ganjal</t>
  </si>
  <si>
    <t>c</t>
  </si>
  <si>
    <t>Asistensi Dengan Mooring Boat</t>
  </si>
  <si>
    <t>d</t>
  </si>
  <si>
    <t>Hari</t>
  </si>
  <si>
    <t>e</t>
  </si>
  <si>
    <t>f</t>
  </si>
  <si>
    <t>Penyambungan Listrik Darat Ke Kapal</t>
  </si>
  <si>
    <t>g</t>
  </si>
  <si>
    <t>Suplai Listrik  16A 380V selama diatas dock dan sandar</t>
  </si>
  <si>
    <t>h</t>
  </si>
  <si>
    <t xml:space="preserve">Disediakan Fasilitas MCK untuk ABK </t>
  </si>
  <si>
    <t>i</t>
  </si>
  <si>
    <t>Disediakan Tempat Penampungan Sampah</t>
  </si>
  <si>
    <t>j</t>
  </si>
  <si>
    <t>Disediakan Tempat Penyimpanan Material Untuk Kapal</t>
  </si>
  <si>
    <t>k</t>
  </si>
  <si>
    <t>Penggunaan Alat Angkat ( &lt; 1.5 Ton )</t>
  </si>
  <si>
    <t>l</t>
  </si>
  <si>
    <t>Suplai Air Tawar</t>
  </si>
  <si>
    <t>Ton</t>
  </si>
  <si>
    <t>m</t>
  </si>
  <si>
    <t>n</t>
  </si>
  <si>
    <t>Security guard ( 2 Shift)</t>
  </si>
  <si>
    <t>hari</t>
  </si>
  <si>
    <t>o</t>
  </si>
  <si>
    <t>Safety watchman during drydock</t>
  </si>
  <si>
    <t>p</t>
  </si>
  <si>
    <t>Penyediaan APAR selama diatas dock</t>
  </si>
  <si>
    <t>II</t>
  </si>
  <si>
    <t>PERAWATAN LAMBUNG (Material Supply By Shipyard)</t>
  </si>
  <si>
    <t>Sekrap Bagian Bawah Air</t>
  </si>
  <si>
    <t>m2</t>
  </si>
  <si>
    <t>Sandblasting Bottom Sampai Waterline (S.A 2.0)</t>
  </si>
  <si>
    <t>Sandblasting Top Side (S.A 2.0)</t>
  </si>
  <si>
    <t>Sandblasting Bulwark luar (S.A 2.0)</t>
  </si>
  <si>
    <t>Pengecetan Bottom sampai waterline (1x Primer, 1x Sealer dan 1x Anti Fouling)</t>
  </si>
  <si>
    <t>Pengecetan Top Side (1x Primer dan 1x Top Coat)</t>
  </si>
  <si>
    <t>Pengecatan Draft Mark, Nama Kapal</t>
  </si>
  <si>
    <t>Pemasangan Zinc Anode (Material By Owner)</t>
  </si>
  <si>
    <t>pcs</t>
  </si>
  <si>
    <t>-</t>
  </si>
  <si>
    <t>III</t>
  </si>
  <si>
    <t>SEACHEST AND VALVE</t>
  </si>
  <si>
    <t>Buka dan Tutup Kembali Saringan Luar Dan Pembersihan Kotak Seachest</t>
  </si>
  <si>
    <t>bh</t>
  </si>
  <si>
    <t>IV</t>
  </si>
  <si>
    <t>SISTEM PENGGERAK KAPAL</t>
  </si>
  <si>
    <t>Pengukuran Clearance Shaft</t>
  </si>
  <si>
    <t>Titik</t>
  </si>
  <si>
    <t>Buka dan pasang kembali penahan rymers packing</t>
  </si>
  <si>
    <t>set</t>
  </si>
  <si>
    <t>Buka &amp; Pasang Propeller</t>
  </si>
  <si>
    <t>Repair Propeller  (Estimasi)(Damage area, &lt; 0,4R)</t>
  </si>
  <si>
    <t>Balancing Propeller</t>
  </si>
  <si>
    <t>Buka dan pasang shaft propeller</t>
  </si>
  <si>
    <t>Baling - baling dibersihkan dan dipolish kembali</t>
  </si>
  <si>
    <t>Buka dan pasang kembali flangedisc coupling gearbox</t>
  </si>
  <si>
    <t>Dial check shaft propeller dan dibuatkan record</t>
  </si>
  <si>
    <t>V</t>
  </si>
  <si>
    <t>SISTEM KEMUDI</t>
  </si>
  <si>
    <t>Pengukuran Clearance</t>
  </si>
  <si>
    <t>Bongkar dan Penyemenan Kembali Flens Kemudi</t>
  </si>
  <si>
    <t>Buka dan pasang kembali daun kemudi</t>
  </si>
  <si>
    <t>Buka dan pasang kembali kuadran rudder stock</t>
  </si>
  <si>
    <t>Buka dan pasang kembali rudder stock</t>
  </si>
  <si>
    <t>VI</t>
  </si>
  <si>
    <t>Kg</t>
  </si>
  <si>
    <t>VII</t>
  </si>
  <si>
    <t>KAMAR MESIN</t>
  </si>
  <si>
    <t>Cleaning Got Kamar Mesin</t>
  </si>
  <si>
    <t xml:space="preserve">PERLENGKAPAN LAMBUNG </t>
  </si>
  <si>
    <t>Bongkar dan pasang kembali ban pusher (acsess untuk blasting)</t>
  </si>
  <si>
    <t>Ganti kupingan dapra yang rusak</t>
  </si>
  <si>
    <t>IX</t>
  </si>
  <si>
    <t>JANGKAR DAN PERLENGKAPANNYA (cat rantai dan jangkar disupplai owner)</t>
  </si>
  <si>
    <t>Jangkar dan rantainya  diturunkan dan Dan dinaikkan Kembali (diatur ulang)</t>
  </si>
  <si>
    <t>segel</t>
  </si>
  <si>
    <t>Sandblasting Rantai Jangkar (PS &amp; SB)</t>
  </si>
  <si>
    <t>Segel</t>
  </si>
  <si>
    <t>Sandblasting Jangkar (PS &amp; SB)</t>
  </si>
  <si>
    <t>Pengecatan Rantai Jangkar (PS &amp; SB)</t>
  </si>
  <si>
    <t>Pengecetan jangkar (PS &amp; SB)</t>
  </si>
  <si>
    <t>Pcs</t>
  </si>
  <si>
    <t>Pengukuran rantai jangkar</t>
  </si>
  <si>
    <t>X</t>
  </si>
  <si>
    <t>LAPORAN PENGEDOKAN</t>
  </si>
  <si>
    <t>Dibuatkan laporan pengedokan dan gambar bukaan kulit sesuai posisi replating</t>
  </si>
  <si>
    <t>JR Rev. 00 Initial survey join with OS (16/1/25)</t>
  </si>
  <si>
    <t>I.1</t>
  </si>
  <si>
    <t>Pipa Cooler ME PS</t>
  </si>
  <si>
    <t>Joint</t>
  </si>
  <si>
    <t>mm</t>
  </si>
  <si>
    <t>Pipa inlet cooler to Gear Box PS</t>
  </si>
  <si>
    <t>Pipa cooler M/E to Shaft PS</t>
  </si>
  <si>
    <t>joint</t>
  </si>
  <si>
    <t>I.2</t>
  </si>
  <si>
    <t>Pipa Cooler ME SB</t>
  </si>
  <si>
    <t>Pipa cooler M/E to Shaft SB</t>
  </si>
  <si>
    <t>I.3</t>
  </si>
  <si>
    <t>Pipa Cooler A/E PS</t>
  </si>
  <si>
    <t>I.4</t>
  </si>
  <si>
    <t>Pipa Cooler A/E SB</t>
  </si>
  <si>
    <t>I.5</t>
  </si>
  <si>
    <t>Pipa inlet FO A/E PS</t>
  </si>
  <si>
    <t>Pipa inlet FO to AE PS</t>
  </si>
  <si>
    <t>I.6</t>
  </si>
  <si>
    <t>Pipa inlet FO A/E SB</t>
  </si>
  <si>
    <t>Pipa inlet FO to AE SB</t>
  </si>
  <si>
    <t>I.7</t>
  </si>
  <si>
    <t>Lantai kamar mesin</t>
  </si>
  <si>
    <t>II.1</t>
  </si>
  <si>
    <t>Platform haluan</t>
  </si>
  <si>
    <t>II.2</t>
  </si>
  <si>
    <t>Pipa atas deck</t>
  </si>
  <si>
    <t>II.3</t>
  </si>
  <si>
    <t>Blower</t>
  </si>
  <si>
    <t>Bongkar pasang instalasi listrik blower</t>
  </si>
  <si>
    <t>Set</t>
  </si>
  <si>
    <t>Blower PS</t>
  </si>
  <si>
    <t>Blower SB</t>
  </si>
  <si>
    <t>II.4</t>
  </si>
  <si>
    <t>II.5</t>
  </si>
  <si>
    <t>Emergency exit haluan</t>
  </si>
  <si>
    <t>II.6</t>
  </si>
  <si>
    <t>Pintu rumah CO2</t>
  </si>
  <si>
    <t>II.7</t>
  </si>
  <si>
    <t>II.8</t>
  </si>
  <si>
    <t>Pintu steering PS/SB</t>
  </si>
  <si>
    <t>II.9</t>
  </si>
  <si>
    <t>Tangga steering PS/SB</t>
  </si>
  <si>
    <t>II.10</t>
  </si>
  <si>
    <t>kg</t>
  </si>
  <si>
    <t>SEACHEST DAN VALVE</t>
  </si>
  <si>
    <t>JR Rev. 01 Additional work by OS (22/01/25)</t>
  </si>
  <si>
    <t>Bongkar dan pasang baru valve induk seachest Ps/Sb</t>
  </si>
  <si>
    <t>suplai(flange to flange 210 mm) | Marine gate valve cast iron size. 6" 10K</t>
  </si>
  <si>
    <t>Servis Y-strainer size. 2" 10K cooler AE Ps/Sb</t>
  </si>
  <si>
    <t>gasket | Reinforced rubber packing size. 3.2mm | 160 X 160 mm</t>
  </si>
  <si>
    <t>Servis strainer size. 2 1/2" 5K cooler ME Ps/Sb</t>
  </si>
  <si>
    <t>gasket | Reinforced rubber packing size. 3.2mm | 200 X 200 mm</t>
  </si>
  <si>
    <t>Servis gate valve size. 2 1/2" 10K cooler ME Ps/Sb</t>
  </si>
  <si>
    <t>gland | Rames packing white size. 1/4"</t>
  </si>
  <si>
    <t>Servis gate valve size. 2" 10K cooler AE Ps/Sb</t>
  </si>
  <si>
    <t>Servis gate valve size. 2" 10K pancingan got</t>
  </si>
  <si>
    <t>gasket | Rubber packing size. 5mm | 160 X 160 mm</t>
  </si>
  <si>
    <t>Servis butterfly valve size. 6" 10K bantu seachest Ps/Sb</t>
  </si>
  <si>
    <t>bolt | B/N SS size. 3/4" X 5"    @ 8 pcs</t>
  </si>
  <si>
    <t>Pintu-pintu</t>
  </si>
  <si>
    <t>Pintu ER Ps/Sb</t>
  </si>
  <si>
    <t>Ban pusher</t>
  </si>
  <si>
    <t>suplai(5 lubang) | Tire fender (Loader) size. 26.5-25</t>
  </si>
  <si>
    <t>Ban pusher bawah</t>
  </si>
  <si>
    <t>suplai(5 lubang) | Tire fender (Loader) size. 17.5-25</t>
  </si>
  <si>
    <t>Pad eye ban pusher</t>
  </si>
  <si>
    <t>Modifikasi pitch propeller Ps/Sb</t>
  </si>
  <si>
    <t>JANGKAR DAN PERLENGKAPANNYA</t>
  </si>
  <si>
    <t>Pergantian komponen jangkar (Ps/Sb)</t>
  </si>
  <si>
    <t>VI.1</t>
  </si>
  <si>
    <t>VI.2</t>
  </si>
  <si>
    <t>Cooler to AE PS</t>
  </si>
  <si>
    <t>Cooler to AE SB</t>
  </si>
  <si>
    <t>Supplay | Common gate valve cast iron size. 2" 10K</t>
  </si>
  <si>
    <t>bending | Plate (Perforated SS) thickness 1 mm | 200 X 200 mm</t>
  </si>
  <si>
    <t>JR Rev. 02 Additional Work by OS (03/02/25)</t>
  </si>
  <si>
    <t xml:space="preserve">Anjungan </t>
  </si>
  <si>
    <t xml:space="preserve">Rekondisi kaca anjungan </t>
  </si>
  <si>
    <t>Supplay | Kaca Anjungan (Tanpa Frame)  Estimasi uk. 900 x 600 mm</t>
  </si>
  <si>
    <t>Balikpapan, 4 Maret 2025</t>
  </si>
  <si>
    <t>Sewa Dok Selama Perbaikan (13 januari 2025 - 11 Febuari 2025)</t>
  </si>
  <si>
    <t>Sewa Tempat Sandar (after repair)(12 Februari 2025 - 20 Februari 2025)</t>
  </si>
  <si>
    <t>Disediakan Tempat Penampungan Limbah B3 ≤ 2 Ton (include bea Treatment)</t>
  </si>
  <si>
    <t>Bongkar ban dapra (acsess untuk blasting bulwark luar)</t>
  </si>
  <si>
    <t>Bongkar dan pasang kembali ban pusher bawah uk.1200 (acsess untuk blasting)</t>
  </si>
  <si>
    <t>Pipa Seachest to M/E PS</t>
  </si>
  <si>
    <t xml:space="preserve"> | Pipe seamless size. 2 1/2" Sch 80</t>
  </si>
  <si>
    <t xml:space="preserve"> | Flange plate size. 2 1/2" 5K</t>
  </si>
  <si>
    <t xml:space="preserve"> | Elbow black size. 2 1/2" Sch. 80</t>
  </si>
  <si>
    <t xml:space="preserve"> | B/N galvanized size. 14mm X 50mm</t>
  </si>
  <si>
    <t xml:space="preserve"> | Rubber packing size. 5mm | 170 X 170 mm</t>
  </si>
  <si>
    <t xml:space="preserve"> | Rubber hose HP size. 3"</t>
  </si>
  <si>
    <t xml:space="preserve"> | Clamp HD size. 4"</t>
  </si>
  <si>
    <t xml:space="preserve"> | U-bolt size. 3"</t>
  </si>
  <si>
    <t xml:space="preserve"> |Support pipa |Angle bar 70 X 70 X 400 mm</t>
  </si>
  <si>
    <t xml:space="preserve"> | Pipe seamless size. 1 1/2" Sch 80</t>
  </si>
  <si>
    <t xml:space="preserve"> | Elbow black size. 1 1/2" Sch. 80</t>
  </si>
  <si>
    <t xml:space="preserve"> | Pipe seamless size. 1" Sch 80</t>
  </si>
  <si>
    <t xml:space="preserve"> | Rubber hose HP size. 1 1/2"</t>
  </si>
  <si>
    <t xml:space="preserve"> | Clamp hose size. 2"</t>
  </si>
  <si>
    <t>Pipa cooler M/E to manifold PS</t>
  </si>
  <si>
    <t xml:space="preserve"> | Pipe seamless size. 2" Sch 80</t>
  </si>
  <si>
    <t xml:space="preserve"> | Elbow black size. 2" Sch. 80</t>
  </si>
  <si>
    <t xml:space="preserve"> | Rubber hose HP size. 2 1/2"</t>
  </si>
  <si>
    <t xml:space="preserve"> | Clamp HD size. 3"</t>
  </si>
  <si>
    <t>Pipa cooler gear box to Overboar PS</t>
  </si>
  <si>
    <t xml:space="preserve"> | Clamp HD size. 2"</t>
  </si>
  <si>
    <t xml:space="preserve"> | Pipe seamless size. 3/4" Sch 80</t>
  </si>
  <si>
    <t xml:space="preserve"> | Long nipple size. 3/4" Sch 80</t>
  </si>
  <si>
    <t xml:space="preserve"> | Elbow black size. 3/4" Sch. 80</t>
  </si>
  <si>
    <t xml:space="preserve"> | Flange plate size. 3/4" 5K</t>
  </si>
  <si>
    <t xml:space="preserve"> | B/N galvanized size. 10mm X 45mm</t>
  </si>
  <si>
    <t xml:space="preserve"> | Rubber packing size. 5mm | 90 X 90 mm</t>
  </si>
  <si>
    <t xml:space="preserve"> | Rubber hose HP size. 1"</t>
  </si>
  <si>
    <t xml:space="preserve"> | Clamp HD size. 1 1/2"</t>
  </si>
  <si>
    <t xml:space="preserve"> | Long nipple size. 1/2" Sch 80</t>
  </si>
  <si>
    <t xml:space="preserve"> | Elbow black size. 1/2" Sch. 80</t>
  </si>
  <si>
    <t xml:space="preserve"> | Common ball valve bronze size. 1/2"</t>
  </si>
  <si>
    <t>Pipa seachet  to M/E SB</t>
  </si>
  <si>
    <t>custom flange | Plate (A) thickness 10 mm | 110 X 70 mm</t>
  </si>
  <si>
    <t xml:space="preserve"> | B/N galvanized size. 10mm X 30mm</t>
  </si>
  <si>
    <t>Pipa cooler M/E to manifold SB</t>
  </si>
  <si>
    <t>custom flange | Plate (A) thickness 12 mm | 160 X 100 mm</t>
  </si>
  <si>
    <t xml:space="preserve"> | B/N galvanized size. 16mm X 50mm</t>
  </si>
  <si>
    <t xml:space="preserve"> | Rubber packing size. 5mm | 160 X 100 mm</t>
  </si>
  <si>
    <t>Pipa cooler gear box to overboard SB</t>
  </si>
  <si>
    <t xml:space="preserve"> | Rubber packing size. 3.2mm | 100 X 100 mm</t>
  </si>
  <si>
    <t>Pipa seachest to Pump AE PS</t>
  </si>
  <si>
    <t xml:space="preserve"> | Long nipple size. 1 1/2" Sch 80</t>
  </si>
  <si>
    <t xml:space="preserve"> | Flange plate size. 2" 5K</t>
  </si>
  <si>
    <t xml:space="preserve"> | Flange plate size. 2" 10K</t>
  </si>
  <si>
    <t xml:space="preserve"> | Reducer black size. 2" X 1 1/2" Sch 80</t>
  </si>
  <si>
    <t xml:space="preserve"> | B/N galvanized size. 12mm X 50mm</t>
  </si>
  <si>
    <t xml:space="preserve"> | Rubber packing size. 5mm | 140 X 140 mm</t>
  </si>
  <si>
    <t xml:space="preserve"> | Rubber hose HP size. 2"</t>
  </si>
  <si>
    <t xml:space="preserve"> | Clamp HD size. 2 1/2"</t>
  </si>
  <si>
    <t>Pump to cooler AE PS</t>
  </si>
  <si>
    <t xml:space="preserve"> | Reducer black size. 3/4" X 1 1/2" Sch 80</t>
  </si>
  <si>
    <t xml:space="preserve"> | Rubber hose elbow size 1"</t>
  </si>
  <si>
    <t>Pipa seachest to Pump AE SB</t>
  </si>
  <si>
    <t xml:space="preserve"> Pump to cooler AE SB</t>
  </si>
  <si>
    <t xml:space="preserve"> | Reducer black size. 1 1/4" X 1 1/2" Sch 80</t>
  </si>
  <si>
    <t xml:space="preserve"> | Pipe seamless size. 1/2" Sch 80</t>
  </si>
  <si>
    <t xml:space="preserve"> | Flange plate size. 1/2" 5K</t>
  </si>
  <si>
    <t>material lama | Flange plate size. 3/4" 10K</t>
  </si>
  <si>
    <t xml:space="preserve"> | B/N galvanized size. 14mm X 45mm</t>
  </si>
  <si>
    <t xml:space="preserve"> | Packing TBA size.3.2mm | 90 X 90 mm</t>
  </si>
  <si>
    <t xml:space="preserve"> | Packing TBA size.3.2mm | 130 X 130 mm</t>
  </si>
  <si>
    <t xml:space="preserve"> | U-bolt size. 3/4"</t>
  </si>
  <si>
    <t xml:space="preserve"> |Support pipa |Angle bar 70 X 70 X 70 mm</t>
  </si>
  <si>
    <t>Pipa pancingan got OWS</t>
  </si>
  <si>
    <t xml:space="preserve"> | Pipe seamless size. 1/2" Sch 80 (material lama)</t>
  </si>
  <si>
    <t xml:space="preserve"> | Rubber hose size. 1"</t>
  </si>
  <si>
    <t xml:space="preserve"> | Clamp Hose size. 1 1/2"</t>
  </si>
  <si>
    <t>I.8</t>
  </si>
  <si>
    <t>pondasi | Angle bar size. 70 x 70 x 7 mm | 33770 mm</t>
  </si>
  <si>
    <t xml:space="preserve"> | Plate (Checker) thickness 6 mm | 1220 X 800 mm</t>
  </si>
  <si>
    <t xml:space="preserve"> | Plate (Checker) thickness 6 mm | 560 X 680 mm</t>
  </si>
  <si>
    <t xml:space="preserve"> | Plate (Checker) thickness 6 mm | 990 X 540 mm</t>
  </si>
  <si>
    <t xml:space="preserve"> | Plate (Checker) thickness 6 mm | 1000 X 530 mm</t>
  </si>
  <si>
    <t xml:space="preserve"> | Plate (Checker) thickness 6 mm | 690 X 930 mm</t>
  </si>
  <si>
    <t xml:space="preserve"> | Plate (Checker) thickness 6 mm | 500 X 800 mm</t>
  </si>
  <si>
    <t xml:space="preserve"> | Plate (Checker) thickness 6 mm | 800 X 1220 mm</t>
  </si>
  <si>
    <t xml:space="preserve"> | Plate (Checker) thickness 6 mm | 800 X 990 mm</t>
  </si>
  <si>
    <t xml:space="preserve"> | Plat grating size. 1" x 3/16"x 3ft x 20ft | 1490 X 490 mm</t>
  </si>
  <si>
    <t>pondasi | Angle bar size. 70 x 70 x 7 mm | 4040 mm</t>
  </si>
  <si>
    <t xml:space="preserve"> | Plate (A) thickness 12 mm | 370 X 50 mm</t>
  </si>
  <si>
    <t xml:space="preserve"> | Plate (A) thickness 12 mm | 380 X 50 mm</t>
  </si>
  <si>
    <t xml:space="preserve"> | Long nipple size. 2" Sch 80</t>
  </si>
  <si>
    <t xml:space="preserve"> | Marine angle valve hydrant size. 2" 5K</t>
  </si>
  <si>
    <t xml:space="preserve"> | Common ball valve bronze size. 2"</t>
  </si>
  <si>
    <t>cover body | Plate (A) thickness 6 mm | 1460 X 450 mm</t>
  </si>
  <si>
    <t>ring plat | Plate (A) thickness 6 mm | 550 X 550 mm @ 3 sht</t>
  </si>
  <si>
    <t>bracket | Plate (A) thickness 12 mm | 70 X 60 mm @ 4 sht</t>
  </si>
  <si>
    <t>bracket kepala blower | Plate (A) thickness 6 mm | 50 X 70 mm @ 4 sht</t>
  </si>
  <si>
    <t xml:space="preserve"> | Rubber packing size. 5mm | 550 X 550 mm</t>
  </si>
  <si>
    <t xml:space="preserve"> | Duradus 100 x 100 x 50 mm</t>
  </si>
  <si>
    <t xml:space="preserve"> | Plate (Checker) thickness 6 mm | 100 X 100 mm</t>
  </si>
  <si>
    <t xml:space="preserve"> | Elbow black size. 1 1/4" Sch. 80</t>
  </si>
  <si>
    <t>Pelancaran Handle blower</t>
  </si>
  <si>
    <t>cover body | Plate (A) thickness 6 mm | 1450 X 440 mm</t>
  </si>
  <si>
    <t>kepala blower | Plate (A) thickness 4 mm | 210 X 230 mm</t>
  </si>
  <si>
    <t>ring plat | Plate (A) thickness 6 mm | 560 X 560 mm @ 3 sht</t>
  </si>
  <si>
    <t>bracket body | Plate (A) thickness 6 mm | 170 X 60 mm @ 4 sht</t>
  </si>
  <si>
    <t>Tangga pintu ER PS/SB</t>
  </si>
  <si>
    <t xml:space="preserve"> | Plat grating size. 1" x 3/16"x 3ft x 20ft | 180 X 490 mm</t>
  </si>
  <si>
    <t>plat sisi pondasi | Plate (A) thickness 8 mm | 300 X 200 mm @ 4 sht</t>
  </si>
  <si>
    <t>face | Plate (A) thickness 8 mm | 510 X 55 mm @ 2 sht</t>
  </si>
  <si>
    <t>face | Plate (A) thickness 8 mm | 200 X 30 mm @ 4 sht</t>
  </si>
  <si>
    <t xml:space="preserve"> | Toggle chrome size. 3/4"</t>
  </si>
  <si>
    <t>strip manhole | Flat bar size. 2" x 8 mm | 450 mm</t>
  </si>
  <si>
    <t>lis luar cover | Flat bar size. 2" x 8 mm | 830 mm</t>
  </si>
  <si>
    <t xml:space="preserve"> | Watertight rubber size. 40 x 20mm</t>
  </si>
  <si>
    <t>engsel | Plate (A) thickness 10 mm | 130 X 50 mm @ 2 sht</t>
  </si>
  <si>
    <t xml:space="preserve"> | Cylinder hinge size. 3/4"</t>
  </si>
  <si>
    <t>plat engsel | Plate (A) thickness 12 mm | 100 X 40 mm @ 2 sht</t>
  </si>
  <si>
    <t>plat engsel | Plate (A) thickness 12 mm | 50 X 40 mm @ 2 sht</t>
  </si>
  <si>
    <t xml:space="preserve">Pintu store towing </t>
  </si>
  <si>
    <t>pengunci | Plate (A) thickness 12 mm | 50 X 40 mm @ 2 sht</t>
  </si>
  <si>
    <t>plat engsel | Plate (A) thickness 12 mm | 100 X 30 mm</t>
  </si>
  <si>
    <t>plat engsel | Plate (A) thickness 8 mm | 100 X 30 mm</t>
  </si>
  <si>
    <t>plat engsel | Plate (A) thickness 12 mm | 50 X 40 mm @2 pcs</t>
  </si>
  <si>
    <t>plat engsel | Plate (A) thickness 12 mm | 60 X 30 mm</t>
  </si>
  <si>
    <t xml:space="preserve"> | Bolt "butterfly" brass 3/4" x 100mm</t>
  </si>
  <si>
    <t>bolt | B/N galvanized size. 14 X 45mm</t>
  </si>
  <si>
    <t xml:space="preserve"> | Bolt "butterfly" brass 5/8"x 4"</t>
  </si>
  <si>
    <t>plat engsel + pengunci | Plate (A) thickness 12 mm | 70 X 50 mm @ 4 sht</t>
  </si>
  <si>
    <t xml:space="preserve"> | B/N galvanized size. 12 X 50mm</t>
  </si>
  <si>
    <t xml:space="preserve"> | Plat grating size. 1" x 3/16"x 3ft x 20ft | 480 X 220 mm @ 4 pcs</t>
  </si>
  <si>
    <t>Pondasi bracket | Plate (A) thickness 12 mm | 490 X 50 mm @ 2 sht</t>
  </si>
  <si>
    <t>plat alas | Plate (A) thickness 12 mm | 300 X 500 mm @ 2 sht</t>
  </si>
  <si>
    <t>Pintu small hatch engine room</t>
  </si>
  <si>
    <t>plat engsel | Plate (A) thickness 12 mm | 100 X 100 mm @ 4 sht</t>
  </si>
  <si>
    <t>plat engsel | Plate (A) thickness 12 mm | 160 X 100 mm @ 2 sht</t>
  </si>
  <si>
    <t>doubling plat engsel | Plate (A) thickness 12 mm | 79 X 80 mm @ 2 sht</t>
  </si>
  <si>
    <t>plat strip dalam | Flat bar size. 1" x 8 mm | 2070 mm</t>
  </si>
  <si>
    <t>II.11</t>
  </si>
  <si>
    <t>Tutup lubang rantai jangkar Ps/Sb</t>
  </si>
  <si>
    <t>cover | Plate (A) thickness 12 mm | 320 X 320 mm @ 2 sht</t>
  </si>
  <si>
    <t xml:space="preserve"> | Angle bar size. 60 x 60 x 6 mm | 80 mm @ 4 pcs</t>
  </si>
  <si>
    <t>bolt | B/N galvanized size. 12 X 50mm</t>
  </si>
  <si>
    <t>nut | B/N galvanized size. 12 X 50mm</t>
  </si>
  <si>
    <t>Handle roundbar 3/4" x 200 @2pcs</t>
  </si>
  <si>
    <t>Service Sea chest valve 6"</t>
  </si>
  <si>
    <t xml:space="preserve"> | Reinforced rubber packing size. 3.2mm | 300 X 200 mm</t>
  </si>
  <si>
    <t xml:space="preserve"> | B/N HTB size. 16mm X 65mm</t>
  </si>
  <si>
    <t xml:space="preserve"> | Rames packing white size. 1/4"</t>
  </si>
  <si>
    <t>gasket | Reinforced rubber packing size. 5mm | 290 X 290 mm @ 4 pcs</t>
  </si>
  <si>
    <t>bolt | B/N SS size. 3/4" X 2 1/2"    @ 8 pcs</t>
  </si>
  <si>
    <t>Potong pipa 6" area valve induk seachest kiri dan kanan</t>
  </si>
  <si>
    <t>Potong dan pasang kembali flange 6" PS/SB</t>
  </si>
  <si>
    <t>bolt | B/N galvanized size. 14mm X 50mm</t>
  </si>
  <si>
    <t xml:space="preserve"> | B/N galvanized size. 5/8" X 2 1/2"</t>
  </si>
  <si>
    <t>Bongkar dan pasang baru gate valve size. 2 1/2" 10k cooler ME Sb</t>
  </si>
  <si>
    <t>suplai (flange to flange 160 mm) | Marine gate valve cast iron size. 2 1/2" 10K</t>
  </si>
  <si>
    <t xml:space="preserve"> | B/N galvanized size. 14 X 50 mm</t>
  </si>
  <si>
    <t>Bongkar dan pasang baru gate valve size. 2" 10k cooler AE Sb</t>
  </si>
  <si>
    <t>Bongkar dan pasang baru gate valve size. 2" 10kpancingan got</t>
  </si>
  <si>
    <t xml:space="preserve"> | Anchor chain size. 5/8" | 2500 mm @ 5 pcs</t>
  </si>
  <si>
    <t xml:space="preserve"> | Shackle-D galvanized size. M20 : 3/4"</t>
  </si>
  <si>
    <t xml:space="preserve"> | Anchor chain size. 5/8" | 2000 mm @ 4 pcs</t>
  </si>
  <si>
    <t xml:space="preserve"> | Anchor chain swivel size. 7/8"</t>
  </si>
  <si>
    <t xml:space="preserve"> | Kenter shackle size. 7/8"</t>
  </si>
  <si>
    <t xml:space="preserve"> | Anchor shackle size. 7/8"</t>
  </si>
  <si>
    <t xml:space="preserve"> | Pipe galvanized size. 1 1/4" Sch 80</t>
  </si>
  <si>
    <t xml:space="preserve"> | Rubber hose HP size. 1 3/4"</t>
  </si>
  <si>
    <t>Ganti rames packing PS/SB</t>
  </si>
  <si>
    <t>JR Rev. 02 Aktualisasi (29/01/25)</t>
  </si>
  <si>
    <t xml:space="preserve"> | B/N HTB size. 3/4" X 2 1/2"</t>
  </si>
  <si>
    <t xml:space="preserve"> | Reinforced rubber packing size. 3mm | 260 X 260 mm</t>
  </si>
  <si>
    <t xml:space="preserve"> | Reinforced rubber packing size. 5mm | 260 X 260 mm</t>
  </si>
  <si>
    <t>bending | Plate (Perforated SS) thickness 2 mm | 500 X 300 mm</t>
  </si>
  <si>
    <t xml:space="preserve">pasang baru carpenter jendela anjungan </t>
  </si>
  <si>
    <t>Pengecetan Bulwark Luar (1x Primer dan 1x Top Coat)</t>
  </si>
  <si>
    <t>Pipa Hydrant PS, 7 joint</t>
  </si>
  <si>
    <t>Pipa Hydrant SB, 7 joint</t>
  </si>
  <si>
    <t>Modifikasi pipa induk seachest PS/SB, 4 joint</t>
  </si>
  <si>
    <t>Servis Y-strainer size. 6" 10K Seachest Ps/Sb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</si>
</sst>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&quot;IDR&quot;* #,##0_-;\-&quot;IDR&quot;* #,##0_-;_-&quot;IDR&quot;* &quot;-&quot;_-;_-@_-"/>
    <numFmt numFmtId="165" formatCode="_([$IDR]\ * #,##0_);_([$IDR]\ * \(#,##0\);_([$IDR]\ * &quot;-&quot;??_);_(@_)"/>
    <numFmt numFmtId="166" formatCode="_(&quot;IDR&quot;* #,##0_);_(&quot;IDR&quot;* \(#,##0\);_(&quot;IDR&quot;* &quot;-&quot;_);_(@_)"/>
    <numFmt numFmtId="167" formatCode="_-* #,##0_-;\-* #,##0_-;_-* &quot;-&quot;??_-;_-@_-"/>
    <numFmt numFmtId="168" formatCode="_-[$IDR]\ * #,##0_-;\-[$IDR]\ * #,##0_-;_-[$IDR]\ * &quot;-&quot;_-;_-@_-"/>
  </numFmts>
  <fonts count="2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222222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12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1"/>
      <color theme="0"/>
      <name val="Arial"/>
      <family val="2"/>
    </font>
    <font>
      <b/>
      <sz val="11"/>
      <color theme="9" tint="-0.499984740745262"/>
      <name val="Arial"/>
      <family val="2"/>
    </font>
    <font>
      <sz val="11"/>
      <color theme="9" tint="-0.499984740745262"/>
      <name val="Arial"/>
      <family val="2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129">
    <xf numFmtId="0" fontId="0" fillId="0" borderId="0"/>
    <xf numFmtId="164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0" fontId="1" fillId="0" borderId="0"/>
  </cellStyleXfs>
  <cellXfs count="252">
    <xf numFmtId="0" fontId="0" fillId="0" borderId="0" xfId="0"/>
    <xf numFmtId="0" fontId="3" fillId="2" borderId="3" xfId="0" applyFont="1" applyFill="1" applyBorder="1"/>
    <xf numFmtId="0" fontId="3" fillId="2" borderId="8" xfId="0" applyFont="1" applyFill="1" applyBorder="1"/>
    <xf numFmtId="0" fontId="3" fillId="2" borderId="13" xfId="0" applyFont="1" applyFill="1" applyBorder="1"/>
    <xf numFmtId="0" fontId="3" fillId="2" borderId="14" xfId="0" applyFont="1" applyFill="1" applyBorder="1"/>
    <xf numFmtId="0" fontId="4" fillId="2" borderId="0" xfId="0" applyFont="1" applyFill="1"/>
    <xf numFmtId="0" fontId="7" fillId="0" borderId="0" xfId="0" applyFont="1"/>
    <xf numFmtId="164" fontId="3" fillId="2" borderId="1" xfId="1" applyFont="1" applyFill="1" applyBorder="1"/>
    <xf numFmtId="0" fontId="9" fillId="2" borderId="13" xfId="0" quotePrefix="1" applyFont="1" applyFill="1" applyBorder="1" applyAlignment="1">
      <alignment horizontal="left" vertical="center"/>
    </xf>
    <xf numFmtId="0" fontId="9" fillId="2" borderId="14" xfId="0" quotePrefix="1" applyFont="1" applyFill="1" applyBorder="1" applyAlignment="1">
      <alignment horizontal="center" vertical="center"/>
    </xf>
    <xf numFmtId="0" fontId="9" fillId="2" borderId="15" xfId="0" quotePrefix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right"/>
    </xf>
    <xf numFmtId="0" fontId="3" fillId="2" borderId="15" xfId="0" applyFont="1" applyFill="1" applyBorder="1"/>
    <xf numFmtId="0" fontId="4" fillId="2" borderId="1" xfId="0" applyFont="1" applyFill="1" applyBorder="1" applyAlignment="1">
      <alignment horizontal="center"/>
    </xf>
    <xf numFmtId="164" fontId="0" fillId="0" borderId="0" xfId="0" applyNumberFormat="1"/>
    <xf numFmtId="0" fontId="0" fillId="2" borderId="5" xfId="0" applyFill="1" applyBorder="1"/>
    <xf numFmtId="0" fontId="0" fillId="2" borderId="6" xfId="0" applyFill="1" applyBorder="1"/>
    <xf numFmtId="0" fontId="12" fillId="2" borderId="0" xfId="0" applyFont="1" applyFill="1"/>
    <xf numFmtId="0" fontId="3" fillId="2" borderId="0" xfId="0" applyFont="1" applyFill="1"/>
    <xf numFmtId="0" fontId="3" fillId="2" borderId="4" xfId="0" applyFont="1" applyFill="1" applyBorder="1"/>
    <xf numFmtId="0" fontId="13" fillId="2" borderId="0" xfId="0" applyFont="1" applyFill="1"/>
    <xf numFmtId="0" fontId="3" fillId="2" borderId="9" xfId="0" applyFont="1" applyFill="1" applyBorder="1"/>
    <xf numFmtId="0" fontId="3" fillId="2" borderId="6" xfId="0" applyFont="1" applyFill="1" applyBorder="1"/>
    <xf numFmtId="0" fontId="0" fillId="0" borderId="1" xfId="0" applyBorder="1"/>
    <xf numFmtId="0" fontId="3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9" fillId="4" borderId="0" xfId="0" applyFont="1" applyFill="1"/>
    <xf numFmtId="0" fontId="9" fillId="4" borderId="0" xfId="0" applyFont="1" applyFill="1" applyAlignment="1">
      <alignment horizontal="center"/>
    </xf>
    <xf numFmtId="0" fontId="9" fillId="4" borderId="5" xfId="0" applyFont="1" applyFill="1" applyBorder="1" applyAlignment="1">
      <alignment horizontal="left"/>
    </xf>
    <xf numFmtId="165" fontId="9" fillId="4" borderId="11" xfId="0" applyNumberFormat="1" applyFont="1" applyFill="1" applyBorder="1" applyAlignment="1">
      <alignment vertical="center"/>
    </xf>
    <xf numFmtId="0" fontId="8" fillId="2" borderId="6" xfId="0" applyFont="1" applyFill="1" applyBorder="1"/>
    <xf numFmtId="0" fontId="1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0" fillId="2" borderId="0" xfId="0" applyFill="1"/>
    <xf numFmtId="0" fontId="4" fillId="2" borderId="15" xfId="0" applyFont="1" applyFill="1" applyBorder="1" applyAlignment="1">
      <alignment horizontal="center"/>
    </xf>
    <xf numFmtId="164" fontId="4" fillId="2" borderId="1" xfId="1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4" fillId="2" borderId="3" xfId="0" applyFont="1" applyFill="1" applyBorder="1"/>
    <xf numFmtId="20" fontId="9" fillId="4" borderId="5" xfId="0" applyNumberFormat="1" applyFont="1" applyFill="1" applyBorder="1" applyAlignment="1">
      <alignment horizontal="left"/>
    </xf>
    <xf numFmtId="0" fontId="10" fillId="2" borderId="0" xfId="0" applyFont="1" applyFill="1"/>
    <xf numFmtId="0" fontId="4" fillId="2" borderId="8" xfId="0" applyFont="1" applyFill="1" applyBorder="1"/>
    <xf numFmtId="0" fontId="3" fillId="2" borderId="0" xfId="0" applyFont="1" applyFill="1" applyAlignment="1">
      <alignment vertical="top"/>
    </xf>
    <xf numFmtId="0" fontId="8" fillId="2" borderId="10" xfId="0" applyFont="1" applyFill="1" applyBorder="1"/>
    <xf numFmtId="0" fontId="8" fillId="2" borderId="11" xfId="0" applyFont="1" applyFill="1" applyBorder="1"/>
    <xf numFmtId="0" fontId="3" fillId="2" borderId="5" xfId="0" applyFont="1" applyFill="1" applyBorder="1" applyAlignment="1">
      <alignment horizontal="left"/>
    </xf>
    <xf numFmtId="164" fontId="3" fillId="2" borderId="11" xfId="1" applyFont="1" applyFill="1" applyBorder="1"/>
    <xf numFmtId="0" fontId="9" fillId="2" borderId="5" xfId="0" quotePrefix="1" applyFont="1" applyFill="1" applyBorder="1" applyAlignment="1">
      <alignment horizontal="left" vertical="center"/>
    </xf>
    <xf numFmtId="0" fontId="9" fillId="2" borderId="0" xfId="0" quotePrefix="1" applyFont="1" applyFill="1" applyAlignment="1">
      <alignment horizontal="center" vertical="center"/>
    </xf>
    <xf numFmtId="0" fontId="9" fillId="2" borderId="6" xfId="0" quotePrefix="1" applyFont="1" applyFill="1" applyBorder="1" applyAlignment="1">
      <alignment horizontal="center" vertical="center"/>
    </xf>
    <xf numFmtId="165" fontId="9" fillId="3" borderId="11" xfId="0" applyNumberFormat="1" applyFont="1" applyFill="1" applyBorder="1" applyAlignment="1">
      <alignment vertical="center"/>
    </xf>
    <xf numFmtId="165" fontId="9" fillId="4" borderId="0" xfId="0" applyNumberFormat="1" applyFont="1" applyFill="1" applyAlignment="1">
      <alignment vertical="center"/>
    </xf>
    <xf numFmtId="164" fontId="3" fillId="2" borderId="6" xfId="1" applyFont="1" applyFill="1" applyBorder="1"/>
    <xf numFmtId="164" fontId="3" fillId="2" borderId="15" xfId="1" applyFont="1" applyFill="1" applyBorder="1"/>
    <xf numFmtId="165" fontId="9" fillId="3" borderId="0" xfId="0" applyNumberFormat="1" applyFont="1" applyFill="1" applyAlignment="1">
      <alignment vertical="center"/>
    </xf>
    <xf numFmtId="0" fontId="3" fillId="2" borderId="5" xfId="0" applyFont="1" applyFill="1" applyBorder="1"/>
    <xf numFmtId="0" fontId="9" fillId="3" borderId="5" xfId="0" applyFont="1" applyFill="1" applyBorder="1"/>
    <xf numFmtId="0" fontId="8" fillId="3" borderId="5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0" xfId="0" applyFont="1" applyFill="1"/>
    <xf numFmtId="0" fontId="8" fillId="3" borderId="6" xfId="0" applyFont="1" applyFill="1" applyBorder="1"/>
    <xf numFmtId="0" fontId="8" fillId="3" borderId="5" xfId="0" applyFont="1" applyFill="1" applyBorder="1"/>
    <xf numFmtId="0" fontId="15" fillId="3" borderId="5" xfId="0" applyFont="1" applyFill="1" applyBorder="1" applyAlignment="1">
      <alignment horizontal="center"/>
    </xf>
    <xf numFmtId="0" fontId="15" fillId="3" borderId="0" xfId="0" applyFont="1" applyFill="1"/>
    <xf numFmtId="0" fontId="8" fillId="3" borderId="0" xfId="0" quotePrefix="1" applyFont="1" applyFill="1"/>
    <xf numFmtId="0" fontId="15" fillId="3" borderId="5" xfId="0" applyFont="1" applyFill="1" applyBorder="1" applyAlignment="1">
      <alignment horizontal="left"/>
    </xf>
    <xf numFmtId="166" fontId="9" fillId="3" borderId="6" xfId="0" applyNumberFormat="1" applyFont="1" applyFill="1" applyBorder="1"/>
    <xf numFmtId="166" fontId="9" fillId="3" borderId="11" xfId="0" applyNumberFormat="1" applyFont="1" applyFill="1" applyBorder="1"/>
    <xf numFmtId="164" fontId="9" fillId="3" borderId="11" xfId="1" applyFont="1" applyFill="1" applyBorder="1" applyAlignment="1">
      <alignment vertical="center"/>
    </xf>
    <xf numFmtId="165" fontId="9" fillId="4" borderId="6" xfId="0" applyNumberFormat="1" applyFont="1" applyFill="1" applyBorder="1" applyAlignment="1">
      <alignment vertical="center"/>
    </xf>
    <xf numFmtId="165" fontId="9" fillId="3" borderId="6" xfId="0" applyNumberFormat="1" applyFont="1" applyFill="1" applyBorder="1" applyAlignment="1">
      <alignment vertical="center"/>
    </xf>
    <xf numFmtId="0" fontId="8" fillId="5" borderId="5" xfId="112" applyFont="1" applyFill="1" applyBorder="1" applyAlignment="1">
      <alignment horizontal="center" vertical="center"/>
    </xf>
    <xf numFmtId="0" fontId="8" fillId="5" borderId="0" xfId="112" applyFont="1" applyFill="1" applyAlignment="1">
      <alignment horizontal="center" vertical="center"/>
    </xf>
    <xf numFmtId="0" fontId="8" fillId="5" borderId="5" xfId="112" applyFont="1" applyFill="1" applyBorder="1" applyAlignment="1">
      <alignment horizontal="left"/>
    </xf>
    <xf numFmtId="0" fontId="8" fillId="5" borderId="0" xfId="112" applyFont="1" applyFill="1" applyAlignment="1">
      <alignment horizontal="left"/>
    </xf>
    <xf numFmtId="0" fontId="8" fillId="5" borderId="6" xfId="128" applyFont="1" applyFill="1" applyBorder="1"/>
    <xf numFmtId="0" fontId="8" fillId="5" borderId="5" xfId="112" applyFont="1" applyFill="1" applyBorder="1" applyAlignment="1">
      <alignment horizontal="left" vertical="center"/>
    </xf>
    <xf numFmtId="0" fontId="8" fillId="5" borderId="6" xfId="112" applyFont="1" applyFill="1" applyBorder="1" applyAlignment="1">
      <alignment horizontal="left" vertical="center"/>
    </xf>
    <xf numFmtId="0" fontId="15" fillId="5" borderId="5" xfId="112" applyFont="1" applyFill="1" applyBorder="1" applyAlignment="1">
      <alignment horizontal="left"/>
    </xf>
    <xf numFmtId="2" fontId="8" fillId="5" borderId="5" xfId="112" applyNumberFormat="1" applyFont="1" applyFill="1" applyBorder="1"/>
    <xf numFmtId="0" fontId="8" fillId="3" borderId="6" xfId="128" applyFont="1" applyFill="1" applyBorder="1"/>
    <xf numFmtId="1" fontId="8" fillId="5" borderId="5" xfId="112" applyNumberFormat="1" applyFont="1" applyFill="1" applyBorder="1"/>
    <xf numFmtId="1" fontId="8" fillId="3" borderId="6" xfId="128" applyNumberFormat="1" applyFont="1" applyFill="1" applyBorder="1"/>
    <xf numFmtId="0" fontId="15" fillId="5" borderId="0" xfId="112" applyFont="1" applyFill="1" applyAlignment="1">
      <alignment horizontal="left"/>
    </xf>
    <xf numFmtId="0" fontId="16" fillId="5" borderId="5" xfId="112" applyFont="1" applyFill="1" applyBorder="1" applyAlignment="1">
      <alignment horizontal="center"/>
    </xf>
    <xf numFmtId="0" fontId="17" fillId="5" borderId="0" xfId="112" applyFont="1" applyFill="1"/>
    <xf numFmtId="1" fontId="17" fillId="5" borderId="5" xfId="112" applyNumberFormat="1" applyFont="1" applyFill="1" applyBorder="1"/>
    <xf numFmtId="0" fontId="18" fillId="5" borderId="0" xfId="112" applyFont="1" applyFill="1"/>
    <xf numFmtId="1" fontId="17" fillId="5" borderId="6" xfId="112" applyNumberFormat="1" applyFont="1" applyFill="1" applyBorder="1"/>
    <xf numFmtId="1" fontId="8" fillId="3" borderId="6" xfId="112" applyNumberFormat="1" applyFont="1" applyFill="1" applyBorder="1" applyAlignment="1">
      <alignment vertical="center"/>
    </xf>
    <xf numFmtId="0" fontId="8" fillId="5" borderId="0" xfId="112" quotePrefix="1" applyFont="1" applyFill="1" applyAlignment="1">
      <alignment horizontal="center" vertical="center"/>
    </xf>
    <xf numFmtId="0" fontId="15" fillId="5" borderId="0" xfId="112" applyFont="1" applyFill="1"/>
    <xf numFmtId="1" fontId="8" fillId="5" borderId="6" xfId="112" applyNumberFormat="1" applyFont="1" applyFill="1" applyBorder="1"/>
    <xf numFmtId="0" fontId="15" fillId="5" borderId="5" xfId="112" quotePrefix="1" applyFont="1" applyFill="1" applyBorder="1" applyAlignment="1">
      <alignment horizontal="left" vertical="center"/>
    </xf>
    <xf numFmtId="1" fontId="19" fillId="5" borderId="5" xfId="112" applyNumberFormat="1" applyFont="1" applyFill="1" applyBorder="1"/>
    <xf numFmtId="1" fontId="19" fillId="5" borderId="6" xfId="112" applyNumberFormat="1" applyFont="1" applyFill="1" applyBorder="1"/>
    <xf numFmtId="0" fontId="8" fillId="5" borderId="6" xfId="112" applyFont="1" applyFill="1" applyBorder="1"/>
    <xf numFmtId="0" fontId="19" fillId="5" borderId="6" xfId="112" applyFont="1" applyFill="1" applyBorder="1"/>
    <xf numFmtId="0" fontId="14" fillId="5" borderId="5" xfId="112" quotePrefix="1" applyFont="1" applyFill="1" applyBorder="1" applyAlignment="1">
      <alignment horizontal="left" vertical="center"/>
    </xf>
    <xf numFmtId="0" fontId="9" fillId="5" borderId="0" xfId="112" quotePrefix="1" applyFont="1" applyFill="1" applyAlignment="1">
      <alignment horizontal="center" vertical="center"/>
    </xf>
    <xf numFmtId="0" fontId="15" fillId="5" borderId="5" xfId="112" applyFont="1" applyFill="1" applyBorder="1" applyAlignment="1">
      <alignment horizontal="center" vertical="center"/>
    </xf>
    <xf numFmtId="0" fontId="8" fillId="5" borderId="0" xfId="128" applyFont="1" applyFill="1" applyAlignment="1">
      <alignment horizontal="center"/>
    </xf>
    <xf numFmtId="0" fontId="8" fillId="5" borderId="5" xfId="128" applyFont="1" applyFill="1" applyBorder="1"/>
    <xf numFmtId="0" fontId="19" fillId="5" borderId="5" xfId="128" applyFont="1" applyFill="1" applyBorder="1"/>
    <xf numFmtId="0" fontId="19" fillId="5" borderId="6" xfId="128" applyFont="1" applyFill="1" applyBorder="1"/>
    <xf numFmtId="2" fontId="19" fillId="5" borderId="5" xfId="128" applyNumberFormat="1" applyFont="1" applyFill="1" applyBorder="1"/>
    <xf numFmtId="0" fontId="8" fillId="5" borderId="6" xfId="112" applyFont="1" applyFill="1" applyBorder="1" applyAlignment="1">
      <alignment horizontal="left"/>
    </xf>
    <xf numFmtId="0" fontId="3" fillId="2" borderId="7" xfId="0" applyFont="1" applyFill="1" applyBorder="1"/>
    <xf numFmtId="0" fontId="9" fillId="3" borderId="0" xfId="0" applyFont="1" applyFill="1" applyAlignment="1">
      <alignment vertical="center"/>
    </xf>
    <xf numFmtId="0" fontId="3" fillId="2" borderId="11" xfId="0" applyFont="1" applyFill="1" applyBorder="1"/>
    <xf numFmtId="166" fontId="9" fillId="4" borderId="6" xfId="0" applyNumberFormat="1" applyFont="1" applyFill="1" applyBorder="1"/>
    <xf numFmtId="164" fontId="9" fillId="3" borderId="6" xfId="1" applyFont="1" applyFill="1" applyBorder="1" applyAlignment="1">
      <alignment vertical="center"/>
    </xf>
    <xf numFmtId="165" fontId="9" fillId="4" borderId="6" xfId="0" applyNumberFormat="1" applyFont="1" applyFill="1" applyBorder="1" applyAlignment="1">
      <alignment horizontal="center" vertical="center"/>
    </xf>
    <xf numFmtId="0" fontId="8" fillId="2" borderId="4" xfId="0" applyFont="1" applyFill="1" applyBorder="1"/>
    <xf numFmtId="165" fontId="9" fillId="4" borderId="12" xfId="0" applyNumberFormat="1" applyFont="1" applyFill="1" applyBorder="1" applyAlignment="1">
      <alignment vertical="center"/>
    </xf>
    <xf numFmtId="164" fontId="3" fillId="2" borderId="9" xfId="1" applyFont="1" applyFill="1" applyBorder="1"/>
    <xf numFmtId="0" fontId="14" fillId="5" borderId="0" xfId="112" quotePrefix="1" applyFont="1" applyFill="1" applyAlignment="1">
      <alignment horizontal="center" vertical="center"/>
    </xf>
    <xf numFmtId="0" fontId="14" fillId="5" borderId="6" xfId="112" quotePrefix="1" applyFont="1" applyFill="1" applyBorder="1" applyAlignment="1">
      <alignment horizontal="center" vertical="center"/>
    </xf>
    <xf numFmtId="0" fontId="14" fillId="5" borderId="0" xfId="112" applyFont="1" applyFill="1"/>
    <xf numFmtId="0" fontId="14" fillId="5" borderId="6" xfId="112" applyFont="1" applyFill="1" applyBorder="1"/>
    <xf numFmtId="0" fontId="9" fillId="5" borderId="0" xfId="112" applyFont="1" applyFill="1"/>
    <xf numFmtId="0" fontId="9" fillId="5" borderId="6" xfId="112" applyFont="1" applyFill="1" applyBorder="1"/>
    <xf numFmtId="0" fontId="8" fillId="5" borderId="5" xfId="112" quotePrefix="1" applyFont="1" applyFill="1" applyBorder="1" applyAlignment="1">
      <alignment horizontal="left" vertical="center"/>
    </xf>
    <xf numFmtId="0" fontId="8" fillId="5" borderId="6" xfId="112" quotePrefix="1" applyFont="1" applyFill="1" applyBorder="1" applyAlignment="1">
      <alignment horizontal="center" vertical="center"/>
    </xf>
    <xf numFmtId="0" fontId="8" fillId="5" borderId="0" xfId="112" applyFont="1" applyFill="1"/>
    <xf numFmtId="0" fontId="8" fillId="5" borderId="6" xfId="112" applyFont="1" applyFill="1" applyBorder="1" applyAlignment="1">
      <alignment horizontal="center"/>
    </xf>
    <xf numFmtId="0" fontId="8" fillId="5" borderId="6" xfId="112" applyFont="1" applyFill="1" applyBorder="1" applyAlignment="1">
      <alignment vertical="center"/>
    </xf>
    <xf numFmtId="0" fontId="8" fillId="3" borderId="6" xfId="112" applyFont="1" applyFill="1" applyBorder="1" applyAlignment="1">
      <alignment vertical="center"/>
    </xf>
    <xf numFmtId="0" fontId="8" fillId="5" borderId="5" xfId="112" applyFont="1" applyFill="1" applyBorder="1" applyAlignment="1">
      <alignment horizontal="center"/>
    </xf>
    <xf numFmtId="0" fontId="8" fillId="5" borderId="0" xfId="112" applyFont="1" applyFill="1" applyAlignment="1">
      <alignment horizontal="center"/>
    </xf>
    <xf numFmtId="0" fontId="15" fillId="5" borderId="5" xfId="112" applyFont="1" applyFill="1" applyBorder="1" applyAlignment="1">
      <alignment horizontal="center"/>
    </xf>
    <xf numFmtId="0" fontId="15" fillId="5" borderId="0" xfId="112" applyFont="1" applyFill="1" applyAlignment="1">
      <alignment horizontal="center"/>
    </xf>
    <xf numFmtId="0" fontId="14" fillId="5" borderId="5" xfId="112" applyFont="1" applyFill="1" applyBorder="1" applyAlignment="1">
      <alignment horizontal="center"/>
    </xf>
    <xf numFmtId="0" fontId="14" fillId="5" borderId="0" xfId="112" applyFont="1" applyFill="1" applyAlignment="1">
      <alignment horizontal="center"/>
    </xf>
    <xf numFmtId="0" fontId="14" fillId="5" borderId="6" xfId="112" applyFont="1" applyFill="1" applyBorder="1" applyAlignment="1">
      <alignment horizontal="center"/>
    </xf>
    <xf numFmtId="0" fontId="9" fillId="3" borderId="6" xfId="112" applyFont="1" applyFill="1" applyBorder="1" applyAlignment="1">
      <alignment vertical="center"/>
    </xf>
    <xf numFmtId="0" fontId="8" fillId="3" borderId="0" xfId="112" applyFont="1" applyFill="1"/>
    <xf numFmtId="0" fontId="8" fillId="3" borderId="0" xfId="112" applyFont="1" applyFill="1" applyAlignment="1">
      <alignment horizontal="right"/>
    </xf>
    <xf numFmtId="0" fontId="15" fillId="5" borderId="6" xfId="112" applyFont="1" applyFill="1" applyBorder="1" applyAlignment="1">
      <alignment horizontal="center"/>
    </xf>
    <xf numFmtId="0" fontId="8" fillId="5" borderId="5" xfId="112" applyFont="1" applyFill="1" applyBorder="1"/>
    <xf numFmtId="0" fontId="8" fillId="3" borderId="5" xfId="112" applyFont="1" applyFill="1" applyBorder="1"/>
    <xf numFmtId="0" fontId="9" fillId="5" borderId="5" xfId="112" applyFont="1" applyFill="1" applyBorder="1"/>
    <xf numFmtId="0" fontId="8" fillId="3" borderId="5" xfId="112" applyFont="1" applyFill="1" applyBorder="1" applyAlignment="1">
      <alignment horizontal="center"/>
    </xf>
    <xf numFmtId="0" fontId="8" fillId="3" borderId="0" xfId="112" applyFont="1" applyFill="1" applyAlignment="1">
      <alignment horizontal="center"/>
    </xf>
    <xf numFmtId="0" fontId="8" fillId="3" borderId="6" xfId="112" applyFont="1" applyFill="1" applyBorder="1" applyAlignment="1">
      <alignment horizontal="center"/>
    </xf>
    <xf numFmtId="0" fontId="8" fillId="3" borderId="6" xfId="112" applyFont="1" applyFill="1" applyBorder="1"/>
    <xf numFmtId="0" fontId="15" fillId="3" borderId="5" xfId="112" applyFont="1" applyFill="1" applyBorder="1" applyAlignment="1">
      <alignment horizontal="center"/>
    </xf>
    <xf numFmtId="0" fontId="15" fillId="3" borderId="0" xfId="112" applyFont="1" applyFill="1"/>
    <xf numFmtId="0" fontId="15" fillId="3" borderId="5" xfId="112" applyFont="1" applyFill="1" applyBorder="1" applyAlignment="1">
      <alignment horizontal="left"/>
    </xf>
    <xf numFmtId="0" fontId="15" fillId="5" borderId="0" xfId="112" quotePrefix="1" applyFont="1" applyFill="1" applyAlignment="1">
      <alignment horizontal="center" vertical="center"/>
    </xf>
    <xf numFmtId="0" fontId="15" fillId="5" borderId="6" xfId="112" quotePrefix="1" applyFont="1" applyFill="1" applyBorder="1" applyAlignment="1">
      <alignment horizontal="center" vertical="center"/>
    </xf>
    <xf numFmtId="0" fontId="14" fillId="3" borderId="5" xfId="112" applyFont="1" applyFill="1" applyBorder="1" applyAlignment="1">
      <alignment horizontal="center"/>
    </xf>
    <xf numFmtId="0" fontId="9" fillId="3" borderId="0" xfId="112" applyFont="1" applyFill="1" applyAlignment="1">
      <alignment horizontal="center"/>
    </xf>
    <xf numFmtId="0" fontId="9" fillId="3" borderId="6" xfId="112" applyFont="1" applyFill="1" applyBorder="1" applyAlignment="1">
      <alignment horizontal="center"/>
    </xf>
    <xf numFmtId="0" fontId="14" fillId="3" borderId="0" xfId="112" applyFont="1" applyFill="1"/>
    <xf numFmtId="0" fontId="9" fillId="3" borderId="0" xfId="112" applyFont="1" applyFill="1"/>
    <xf numFmtId="0" fontId="9" fillId="3" borderId="6" xfId="112" applyFont="1" applyFill="1" applyBorder="1"/>
    <xf numFmtId="0" fontId="9" fillId="3" borderId="5" xfId="112" applyFont="1" applyFill="1" applyBorder="1"/>
    <xf numFmtId="0" fontId="14" fillId="5" borderId="5" xfId="113" applyFont="1" applyFill="1" applyBorder="1" applyAlignment="1">
      <alignment horizontal="center" vertical="center"/>
    </xf>
    <xf numFmtId="0" fontId="14" fillId="5" borderId="0" xfId="113" applyFont="1" applyFill="1" applyAlignment="1">
      <alignment horizontal="center" vertical="center"/>
    </xf>
    <xf numFmtId="0" fontId="9" fillId="5" borderId="0" xfId="113" applyFont="1" applyFill="1" applyAlignment="1">
      <alignment horizontal="center" vertical="center"/>
    </xf>
    <xf numFmtId="0" fontId="9" fillId="5" borderId="5" xfId="113" applyFont="1" applyFill="1" applyBorder="1" applyAlignment="1">
      <alignment horizontal="left" vertical="center"/>
    </xf>
    <xf numFmtId="0" fontId="9" fillId="5" borderId="0" xfId="112" applyFont="1" applyFill="1" applyAlignment="1">
      <alignment vertical="center"/>
    </xf>
    <xf numFmtId="0" fontId="9" fillId="5" borderId="6" xfId="112" applyFont="1" applyFill="1" applyBorder="1" applyAlignment="1">
      <alignment vertical="center"/>
    </xf>
    <xf numFmtId="2" fontId="9" fillId="3" borderId="5" xfId="117" applyNumberFormat="1" applyFont="1" applyFill="1" applyBorder="1"/>
    <xf numFmtId="0" fontId="9" fillId="6" borderId="5" xfId="112" applyFont="1" applyFill="1" applyBorder="1" applyAlignment="1">
      <alignment horizontal="center" vertical="center"/>
    </xf>
    <xf numFmtId="0" fontId="9" fillId="6" borderId="0" xfId="112" applyFont="1" applyFill="1" applyAlignment="1">
      <alignment horizontal="center" vertical="center"/>
    </xf>
    <xf numFmtId="0" fontId="9" fillId="6" borderId="5" xfId="112" applyFont="1" applyFill="1" applyBorder="1" applyAlignment="1">
      <alignment horizontal="left"/>
    </xf>
    <xf numFmtId="0" fontId="9" fillId="6" borderId="0" xfId="112" applyFont="1" applyFill="1" applyAlignment="1">
      <alignment horizontal="left"/>
    </xf>
    <xf numFmtId="167" fontId="9" fillId="6" borderId="5" xfId="127" applyNumberFormat="1" applyFont="1" applyFill="1" applyBorder="1" applyAlignment="1">
      <alignment horizontal="right"/>
    </xf>
    <xf numFmtId="0" fontId="9" fillId="6" borderId="6" xfId="128" applyFont="1" applyFill="1" applyBorder="1"/>
    <xf numFmtId="0" fontId="9" fillId="5" borderId="5" xfId="112" applyFont="1" applyFill="1" applyBorder="1" applyAlignment="1">
      <alignment horizontal="left" vertical="center"/>
    </xf>
    <xf numFmtId="0" fontId="9" fillId="5" borderId="0" xfId="112" applyFont="1" applyFill="1" applyAlignment="1">
      <alignment horizontal="center" vertical="center"/>
    </xf>
    <xf numFmtId="0" fontId="9" fillId="5" borderId="6" xfId="112" applyFont="1" applyFill="1" applyBorder="1" applyAlignment="1">
      <alignment horizontal="left" vertical="center"/>
    </xf>
    <xf numFmtId="0" fontId="14" fillId="5" borderId="5" xfId="112" applyFont="1" applyFill="1" applyBorder="1" applyAlignment="1">
      <alignment horizontal="left"/>
    </xf>
    <xf numFmtId="0" fontId="9" fillId="5" borderId="0" xfId="112" applyFont="1" applyFill="1" applyAlignment="1">
      <alignment horizontal="left"/>
    </xf>
    <xf numFmtId="2" fontId="9" fillId="5" borderId="5" xfId="112" applyNumberFormat="1" applyFont="1" applyFill="1" applyBorder="1"/>
    <xf numFmtId="0" fontId="9" fillId="3" borderId="6" xfId="128" applyFont="1" applyFill="1" applyBorder="1"/>
    <xf numFmtId="0" fontId="20" fillId="5" borderId="5" xfId="112" quotePrefix="1" applyFont="1" applyFill="1" applyBorder="1" applyAlignment="1">
      <alignment horizontal="left" vertical="center"/>
    </xf>
    <xf numFmtId="0" fontId="21" fillId="5" borderId="0" xfId="112" quotePrefix="1" applyFont="1" applyFill="1" applyAlignment="1">
      <alignment horizontal="center" vertical="center"/>
    </xf>
    <xf numFmtId="0" fontId="21" fillId="5" borderId="6" xfId="112" applyFont="1" applyFill="1" applyBorder="1" applyAlignment="1">
      <alignment horizontal="left" vertical="center"/>
    </xf>
    <xf numFmtId="0" fontId="20" fillId="5" borderId="0" xfId="112" applyFont="1" applyFill="1"/>
    <xf numFmtId="1" fontId="9" fillId="5" borderId="5" xfId="112" applyNumberFormat="1" applyFont="1" applyFill="1" applyBorder="1"/>
    <xf numFmtId="1" fontId="9" fillId="5" borderId="6" xfId="112" applyNumberFormat="1" applyFont="1" applyFill="1" applyBorder="1"/>
    <xf numFmtId="1" fontId="8" fillId="5" borderId="5" xfId="128" applyNumberFormat="1" applyFont="1" applyFill="1" applyBorder="1"/>
    <xf numFmtId="0" fontId="14" fillId="5" borderId="5" xfId="112" applyFont="1" applyFill="1" applyBorder="1" applyAlignment="1">
      <alignment horizontal="center" vertical="center"/>
    </xf>
    <xf numFmtId="0" fontId="9" fillId="5" borderId="0" xfId="128" applyFont="1" applyFill="1" applyAlignment="1">
      <alignment horizontal="center"/>
    </xf>
    <xf numFmtId="0" fontId="9" fillId="5" borderId="5" xfId="128" applyFont="1" applyFill="1" applyBorder="1"/>
    <xf numFmtId="0" fontId="9" fillId="5" borderId="6" xfId="128" applyFont="1" applyFill="1" applyBorder="1"/>
    <xf numFmtId="0" fontId="14" fillId="6" borderId="5" xfId="112" applyFont="1" applyFill="1" applyBorder="1" applyAlignment="1">
      <alignment horizontal="center" vertical="center"/>
    </xf>
    <xf numFmtId="0" fontId="14" fillId="6" borderId="5" xfId="112" applyFont="1" applyFill="1" applyBorder="1" applyAlignment="1">
      <alignment horizontal="left"/>
    </xf>
    <xf numFmtId="0" fontId="15" fillId="5" borderId="0" xfId="112" applyFont="1" applyFill="1" applyAlignment="1">
      <alignment horizontal="center" vertical="center"/>
    </xf>
    <xf numFmtId="0" fontId="15" fillId="5" borderId="0" xfId="128" applyFont="1" applyFill="1" applyAlignment="1">
      <alignment horizontal="center"/>
    </xf>
    <xf numFmtId="0" fontId="9" fillId="5" borderId="6" xfId="112" quotePrefix="1" applyFont="1" applyFill="1" applyBorder="1" applyAlignment="1">
      <alignment horizontal="right" vertical="center"/>
    </xf>
    <xf numFmtId="0" fontId="14" fillId="6" borderId="0" xfId="112" applyFont="1" applyFill="1"/>
    <xf numFmtId="0" fontId="8" fillId="5" borderId="6" xfId="112" quotePrefix="1" applyFont="1" applyFill="1" applyBorder="1" applyAlignment="1">
      <alignment horizontal="right" vertical="center"/>
    </xf>
    <xf numFmtId="0" fontId="21" fillId="5" borderId="6" xfId="112" quotePrefix="1" applyFont="1" applyFill="1" applyBorder="1" applyAlignment="1">
      <alignment horizontal="right" vertical="center"/>
    </xf>
    <xf numFmtId="0" fontId="21" fillId="5" borderId="0" xfId="112" applyFont="1" applyFill="1"/>
    <xf numFmtId="0" fontId="21" fillId="5" borderId="6" xfId="112" applyFont="1" applyFill="1" applyBorder="1"/>
    <xf numFmtId="1" fontId="21" fillId="5" borderId="5" xfId="112" applyNumberFormat="1" applyFont="1" applyFill="1" applyBorder="1"/>
    <xf numFmtId="1" fontId="9" fillId="5" borderId="0" xfId="112" applyNumberFormat="1" applyFont="1" applyFill="1"/>
    <xf numFmtId="0" fontId="14" fillId="5" borderId="6" xfId="112" quotePrefix="1" applyFont="1" applyFill="1" applyBorder="1" applyAlignment="1">
      <alignment horizontal="right" vertical="center"/>
    </xf>
    <xf numFmtId="0" fontId="14" fillId="6" borderId="0" xfId="112" applyFont="1" applyFill="1" applyAlignment="1">
      <alignment horizontal="center" vertical="center"/>
    </xf>
    <xf numFmtId="0" fontId="14" fillId="6" borderId="0" xfId="128" applyFont="1" applyFill="1" applyAlignment="1">
      <alignment horizontal="center"/>
    </xf>
    <xf numFmtId="0" fontId="14" fillId="6" borderId="0" xfId="112" applyFont="1" applyFill="1" applyAlignment="1">
      <alignment horizontal="left"/>
    </xf>
    <xf numFmtId="0" fontId="14" fillId="6" borderId="5" xfId="128" applyFont="1" applyFill="1" applyBorder="1"/>
    <xf numFmtId="0" fontId="14" fillId="6" borderId="6" xfId="128" applyFont="1" applyFill="1" applyBorder="1"/>
    <xf numFmtId="165" fontId="14" fillId="3" borderId="11" xfId="0" applyNumberFormat="1" applyFont="1" applyFill="1" applyBorder="1" applyAlignment="1">
      <alignment vertical="center"/>
    </xf>
    <xf numFmtId="164" fontId="11" fillId="2" borderId="6" xfId="1" applyFont="1" applyFill="1" applyBorder="1"/>
    <xf numFmtId="0" fontId="22" fillId="0" borderId="0" xfId="0" applyFont="1"/>
    <xf numFmtId="165" fontId="14" fillId="3" borderId="0" xfId="0" applyNumberFormat="1" applyFont="1" applyFill="1" applyAlignment="1">
      <alignment vertical="center"/>
    </xf>
    <xf numFmtId="164" fontId="11" fillId="2" borderId="11" xfId="1" applyFont="1" applyFill="1" applyBorder="1"/>
    <xf numFmtId="0" fontId="14" fillId="6" borderId="6" xfId="112" quotePrefix="1" applyFont="1" applyFill="1" applyBorder="1" applyAlignment="1">
      <alignment horizontal="right" vertical="center"/>
    </xf>
    <xf numFmtId="0" fontId="14" fillId="6" borderId="6" xfId="112" applyFont="1" applyFill="1" applyBorder="1"/>
    <xf numFmtId="1" fontId="14" fillId="6" borderId="5" xfId="112" applyNumberFormat="1" applyFont="1" applyFill="1" applyBorder="1"/>
    <xf numFmtId="168" fontId="8" fillId="2" borderId="10" xfId="0" applyNumberFormat="1" applyFont="1" applyFill="1" applyBorder="1"/>
    <xf numFmtId="168" fontId="3" fillId="2" borderId="11" xfId="1" applyNumberFormat="1" applyFont="1" applyFill="1" applyBorder="1"/>
    <xf numFmtId="168" fontId="9" fillId="3" borderId="11" xfId="0" applyNumberFormat="1" applyFont="1" applyFill="1" applyBorder="1" applyAlignment="1">
      <alignment vertical="center"/>
    </xf>
    <xf numFmtId="168" fontId="3" fillId="2" borderId="11" xfId="0" applyNumberFormat="1" applyFont="1" applyFill="1" applyBorder="1"/>
    <xf numFmtId="168" fontId="19" fillId="3" borderId="11" xfId="0" applyNumberFormat="1" applyFont="1" applyFill="1" applyBorder="1" applyAlignment="1">
      <alignment vertical="center"/>
    </xf>
    <xf numFmtId="2" fontId="19" fillId="5" borderId="5" xfId="112" applyNumberFormat="1" applyFont="1" applyFill="1" applyBorder="1"/>
    <xf numFmtId="2" fontId="19" fillId="3" borderId="5" xfId="112" applyNumberFormat="1" applyFont="1" applyFill="1" applyBorder="1"/>
    <xf numFmtId="0" fontId="19" fillId="3" borderId="6" xfId="112" applyFont="1" applyFill="1" applyBorder="1"/>
    <xf numFmtId="168" fontId="19" fillId="2" borderId="11" xfId="0" applyNumberFormat="1" applyFont="1" applyFill="1" applyBorder="1"/>
    <xf numFmtId="1" fontId="19" fillId="5" borderId="5" xfId="128" applyNumberFormat="1" applyFont="1" applyFill="1" applyBorder="1"/>
    <xf numFmtId="168" fontId="8" fillId="3" borderId="11" xfId="0" applyNumberFormat="1" applyFont="1" applyFill="1" applyBorder="1" applyAlignment="1">
      <alignment vertical="center"/>
    </xf>
    <xf numFmtId="168" fontId="3" fillId="2" borderId="6" xfId="0" applyNumberFormat="1" applyFont="1" applyFill="1" applyBorder="1"/>
    <xf numFmtId="0" fontId="9" fillId="2" borderId="2" xfId="0" quotePrefix="1" applyFont="1" applyFill="1" applyBorder="1" applyAlignment="1">
      <alignment horizontal="left" vertical="center"/>
    </xf>
    <xf numFmtId="0" fontId="9" fillId="2" borderId="3" xfId="0" quotePrefix="1" applyFont="1" applyFill="1" applyBorder="1" applyAlignment="1">
      <alignment horizontal="center" vertical="center"/>
    </xf>
    <xf numFmtId="0" fontId="14" fillId="6" borderId="5" xfId="112" quotePrefix="1" applyFont="1" applyFill="1" applyBorder="1" applyAlignment="1">
      <alignment horizontal="left" vertical="center"/>
    </xf>
    <xf numFmtId="0" fontId="14" fillId="6" borderId="0" xfId="112" quotePrefix="1" applyFont="1" applyFill="1" applyAlignment="1">
      <alignment horizontal="center" vertical="center"/>
    </xf>
    <xf numFmtId="168" fontId="0" fillId="0" borderId="0" xfId="0" applyNumberFormat="1"/>
    <xf numFmtId="168" fontId="22" fillId="0" borderId="0" xfId="0" applyNumberFormat="1" applyFont="1"/>
    <xf numFmtId="49" fontId="3" fillId="2" borderId="0" xfId="0" quotePrefix="1" applyNumberFormat="1" applyFont="1" applyFill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</cellXfs>
  <cellStyles count="129">
    <cellStyle name="Comma 2" xfId="127" xr:uid="{654758F5-3810-4070-9BD0-181223A78B4A}"/>
    <cellStyle name="Currency [0]" xfId="1" builtinId="7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Normal" xfId="0" builtinId="0"/>
    <cellStyle name="Normal 2" xfId="112" xr:uid="{00000000-0005-0000-0000-000070000000}"/>
    <cellStyle name="Normal 2 2" xfId="116" xr:uid="{00000000-0005-0000-0000-000071000000}"/>
    <cellStyle name="Normal 2 2 2" xfId="123" xr:uid="{00000000-0005-0000-0000-000072000000}"/>
    <cellStyle name="Normal 2 2 3" xfId="121" xr:uid="{00000000-0005-0000-0000-000073000000}"/>
    <cellStyle name="Normal 2 2 7" xfId="119" xr:uid="{00000000-0005-0000-0000-000074000000}"/>
    <cellStyle name="Normal 3" xfId="115" xr:uid="{00000000-0005-0000-0000-000075000000}"/>
    <cellStyle name="Normal 3 2" xfId="125" xr:uid="{00000000-0005-0000-0000-000076000000}"/>
    <cellStyle name="Normal 4 2 2 2" xfId="117" xr:uid="{00000000-0005-0000-0000-000077000000}"/>
    <cellStyle name="Normal 5 2 2" xfId="118" xr:uid="{00000000-0005-0000-0000-000078000000}"/>
    <cellStyle name="Normal 5 3" xfId="124" xr:uid="{00000000-0005-0000-0000-000079000000}"/>
    <cellStyle name="Normal 6" xfId="113" xr:uid="{00000000-0005-0000-0000-00007A000000}"/>
    <cellStyle name="Normal 6 2" xfId="126" xr:uid="{00000000-0005-0000-0000-00007B000000}"/>
    <cellStyle name="Normal 6 3" xfId="120" xr:uid="{00000000-0005-0000-0000-00007C000000}"/>
    <cellStyle name="Normal 7" xfId="128" xr:uid="{70D1D173-25B6-4CAA-BE92-B9D756529BE7}"/>
    <cellStyle name="Normal 7 2" xfId="114" xr:uid="{00000000-0005-0000-0000-00007D000000}"/>
    <cellStyle name="Normal 8" xfId="122" xr:uid="{00000000-0005-0000-0000-00007E000000}"/>
  </cellStyles>
  <dxfs count="9">
    <dxf>
      <font>
        <b/>
        <i val="0"/>
        <color auto="1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ill>
        <patternFill>
          <bgColor rgb="FFFFFF00"/>
        </patternFill>
      </fill>
    </dxf>
    <dxf>
      <font>
        <b/>
        <i val="0"/>
        <color auto="1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17779</xdr:colOff>
      <xdr:row>2</xdr:row>
      <xdr:rowOff>153264</xdr:rowOff>
    </xdr:from>
    <xdr:to>
      <xdr:col>11</xdr:col>
      <xdr:colOff>868383</xdr:colOff>
      <xdr:row>7</xdr:row>
      <xdr:rowOff>82224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0039B4-D7B1-46EA-8E0E-4F7CC27BF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00719" y="549504"/>
          <a:ext cx="3502364" cy="911940"/>
        </a:xfrm>
        <a:prstGeom prst="rect">
          <a:avLst/>
        </a:prstGeom>
      </xdr:spPr>
    </xdr:pic>
    <xdr:clientData/>
  </xdr:twoCellAnchor>
  <xdr:twoCellAnchor editAs="oneCell">
    <xdr:from>
      <xdr:col>2</xdr:col>
      <xdr:colOff>35858</xdr:colOff>
      <xdr:row>1</xdr:row>
      <xdr:rowOff>53787</xdr:rowOff>
    </xdr:from>
    <xdr:to>
      <xdr:col>6</xdr:col>
      <xdr:colOff>2516938</xdr:colOff>
      <xdr:row>6</xdr:row>
      <xdr:rowOff>158208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9960C7-E5AE-46C2-AE5D-2257A8124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1218" y="251907"/>
          <a:ext cx="3204980" cy="10950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8AFF3-2299-49D3-B229-AD65A0C46BAA}">
  <dimension ref="B7:W609"/>
  <sheetViews>
    <sheetView showGridLines="0" tabSelected="1" view="pageBreakPreview" topLeftCell="A13" zoomScale="70" zoomScaleSheetLayoutView="85" workbookViewId="0">
      <selection activeCell="K11" sqref="K11"/>
    </sheetView>
  </sheetViews>
  <sheetFormatPr defaultColWidth="11" defaultRowHeight="15.5" x14ac:dyDescent="0.35"/>
  <cols>
    <col min="2" max="4" width="1.83203125" style="18" customWidth="1"/>
    <col min="5" max="5" width="3.08203125" style="18" customWidth="1"/>
    <col min="6" max="6" width="2.83203125" style="18" customWidth="1"/>
    <col min="7" max="7" width="70.58203125" style="18" customWidth="1"/>
    <col min="8" max="8" width="9.5" style="18" customWidth="1"/>
    <col min="9" max="9" width="6.33203125" style="18" customWidth="1"/>
    <col min="10" max="10" width="16" style="18" customWidth="1"/>
    <col min="11" max="11" width="18.83203125" style="18" customWidth="1"/>
    <col min="12" max="12" width="20.5" style="18" customWidth="1"/>
    <col min="13" max="13" width="18.33203125" customWidth="1"/>
    <col min="14" max="14" width="18.33203125" bestFit="1" customWidth="1"/>
  </cols>
  <sheetData>
    <row r="7" spans="2:13" ht="15" customHeight="1" x14ac:dyDescent="0.35"/>
    <row r="8" spans="2:13" ht="18" x14ac:dyDescent="0.4">
      <c r="B8" s="31" t="s">
        <v>24</v>
      </c>
      <c r="C8" s="17"/>
      <c r="D8" s="17"/>
    </row>
    <row r="9" spans="2:13" x14ac:dyDescent="0.35">
      <c r="B9" s="32" t="s">
        <v>25</v>
      </c>
      <c r="C9" s="5"/>
      <c r="D9" s="5"/>
      <c r="E9" s="5"/>
      <c r="F9" s="5"/>
      <c r="G9" s="5"/>
    </row>
    <row r="10" spans="2:13" x14ac:dyDescent="0.35">
      <c r="H10" s="20"/>
      <c r="I10" s="20"/>
      <c r="J10" s="20" t="s">
        <v>29</v>
      </c>
      <c r="L10" s="20"/>
      <c r="M10" s="18"/>
    </row>
    <row r="11" spans="2:13" x14ac:dyDescent="0.35">
      <c r="B11" s="18" t="s">
        <v>0</v>
      </c>
      <c r="F11" s="18" t="s">
        <v>38</v>
      </c>
      <c r="J11" s="18" t="s">
        <v>30</v>
      </c>
      <c r="M11" s="18"/>
    </row>
    <row r="12" spans="2:13" x14ac:dyDescent="0.35">
      <c r="B12" s="18" t="s">
        <v>35</v>
      </c>
      <c r="F12" s="18" t="s">
        <v>26</v>
      </c>
      <c r="J12" s="18" t="s">
        <v>31</v>
      </c>
      <c r="K12" s="18" t="s">
        <v>39</v>
      </c>
      <c r="M12" s="18"/>
    </row>
    <row r="13" spans="2:13" x14ac:dyDescent="0.35">
      <c r="B13" s="18" t="s">
        <v>4</v>
      </c>
      <c r="J13" s="18" t="s">
        <v>32</v>
      </c>
      <c r="K13" s="18" t="s">
        <v>40</v>
      </c>
      <c r="M13" s="18"/>
    </row>
    <row r="14" spans="2:13" x14ac:dyDescent="0.35">
      <c r="B14" s="18" t="s">
        <v>5</v>
      </c>
      <c r="J14" s="18" t="s">
        <v>33</v>
      </c>
      <c r="K14" s="18" t="s">
        <v>41</v>
      </c>
      <c r="M14" s="18"/>
    </row>
    <row r="15" spans="2:13" x14ac:dyDescent="0.35">
      <c r="F15" s="234"/>
      <c r="G15" s="234"/>
      <c r="J15" s="18" t="s">
        <v>34</v>
      </c>
      <c r="K15" s="18" t="s">
        <v>42</v>
      </c>
      <c r="M15" s="18"/>
    </row>
    <row r="16" spans="2:13" x14ac:dyDescent="0.35">
      <c r="F16" s="6"/>
    </row>
    <row r="18" spans="2:20" s="33" customFormat="1" ht="15" customHeight="1" x14ac:dyDescent="0.35">
      <c r="B18" s="235" t="s">
        <v>0</v>
      </c>
      <c r="C18" s="236"/>
      <c r="D18" s="237"/>
      <c r="E18" s="235" t="s">
        <v>1</v>
      </c>
      <c r="F18" s="236"/>
      <c r="G18" s="237"/>
      <c r="H18" s="235" t="s">
        <v>2</v>
      </c>
      <c r="I18" s="237"/>
      <c r="J18" s="241" t="s">
        <v>3</v>
      </c>
      <c r="K18" s="241" t="s">
        <v>22</v>
      </c>
      <c r="L18" s="241" t="s">
        <v>23</v>
      </c>
    </row>
    <row r="19" spans="2:20" s="33" customFormat="1" ht="15" customHeight="1" x14ac:dyDescent="0.35">
      <c r="B19" s="238"/>
      <c r="C19" s="239"/>
      <c r="D19" s="240"/>
      <c r="E19" s="238"/>
      <c r="F19" s="239"/>
      <c r="G19" s="240"/>
      <c r="H19" s="238"/>
      <c r="I19" s="240"/>
      <c r="J19" s="242"/>
      <c r="K19" s="242"/>
      <c r="L19" s="242"/>
    </row>
    <row r="20" spans="2:20" x14ac:dyDescent="0.35">
      <c r="B20" s="47"/>
      <c r="C20" s="48"/>
      <c r="D20" s="49"/>
      <c r="G20" s="22"/>
      <c r="H20" s="1"/>
      <c r="I20" s="1"/>
      <c r="J20" s="43"/>
      <c r="K20" s="114"/>
      <c r="L20" s="43"/>
    </row>
    <row r="21" spans="2:20" x14ac:dyDescent="0.35">
      <c r="B21" s="99" t="s">
        <v>43</v>
      </c>
      <c r="C21" s="117"/>
      <c r="D21" s="118"/>
      <c r="E21" s="119" t="s">
        <v>10</v>
      </c>
      <c r="F21" s="119"/>
      <c r="G21" s="120"/>
      <c r="H21" s="121"/>
      <c r="I21" s="122"/>
      <c r="J21" s="46"/>
      <c r="K21" s="52"/>
      <c r="L21" s="46"/>
      <c r="M21" s="18"/>
      <c r="N21" s="245" t="s">
        <v>15</v>
      </c>
      <c r="O21" s="245"/>
    </row>
    <row r="22" spans="2:20" x14ac:dyDescent="0.35">
      <c r="B22" s="123"/>
      <c r="C22" s="91"/>
      <c r="D22" s="124" t="s">
        <v>44</v>
      </c>
      <c r="E22" s="125"/>
      <c r="F22" s="125" t="s">
        <v>45</v>
      </c>
      <c r="G22" s="97"/>
      <c r="H22" s="125">
        <v>1</v>
      </c>
      <c r="I22" s="97" t="s">
        <v>46</v>
      </c>
      <c r="J22" s="50">
        <v>18700000</v>
      </c>
      <c r="K22" s="54">
        <f>J22*H22</f>
        <v>18700000</v>
      </c>
      <c r="L22" s="46"/>
      <c r="M22" s="71"/>
      <c r="N22" s="23" t="s">
        <v>11</v>
      </c>
      <c r="O22" s="23">
        <v>26.98</v>
      </c>
      <c r="P22">
        <f>O22*O23</f>
        <v>242.82</v>
      </c>
      <c r="Q22">
        <f>O22*O23</f>
        <v>242.82</v>
      </c>
    </row>
    <row r="23" spans="2:20" x14ac:dyDescent="0.35">
      <c r="B23" s="123"/>
      <c r="C23" s="91"/>
      <c r="D23" s="126" t="s">
        <v>47</v>
      </c>
      <c r="E23" s="125"/>
      <c r="F23" s="125" t="s">
        <v>48</v>
      </c>
      <c r="G23" s="97"/>
      <c r="H23" s="125">
        <v>1</v>
      </c>
      <c r="I23" s="97" t="s">
        <v>46</v>
      </c>
      <c r="J23" s="50">
        <v>4500000</v>
      </c>
      <c r="K23" s="54">
        <f t="shared" ref="K23:K68" si="0">J23*H23</f>
        <v>4500000</v>
      </c>
      <c r="L23" s="46"/>
      <c r="M23" s="71"/>
      <c r="N23" s="23" t="s">
        <v>21</v>
      </c>
      <c r="O23" s="23">
        <v>9</v>
      </c>
      <c r="R23" t="e">
        <f>Q22-#REF!</f>
        <v>#REF!</v>
      </c>
      <c r="S23" t="e">
        <f>R23*20%</f>
        <v>#REF!</v>
      </c>
      <c r="T23" t="e">
        <f>R23+S23</f>
        <v>#REF!</v>
      </c>
    </row>
    <row r="24" spans="2:20" x14ac:dyDescent="0.35">
      <c r="B24" s="123"/>
      <c r="C24" s="91"/>
      <c r="D24" s="126" t="s">
        <v>49</v>
      </c>
      <c r="E24" s="125"/>
      <c r="F24" s="125" t="s">
        <v>50</v>
      </c>
      <c r="G24" s="97"/>
      <c r="H24" s="125">
        <v>1</v>
      </c>
      <c r="I24" s="97" t="s">
        <v>46</v>
      </c>
      <c r="J24" s="50">
        <v>6000000</v>
      </c>
      <c r="K24" s="54">
        <f t="shared" si="0"/>
        <v>6000000</v>
      </c>
      <c r="L24" s="46"/>
      <c r="M24" s="71"/>
      <c r="N24" s="23" t="s">
        <v>12</v>
      </c>
      <c r="O24" s="23" t="e">
        <f>#REF!-#REF!</f>
        <v>#REF!</v>
      </c>
      <c r="P24">
        <f>140*50%</f>
        <v>70</v>
      </c>
    </row>
    <row r="25" spans="2:20" x14ac:dyDescent="0.35">
      <c r="B25" s="123"/>
      <c r="C25" s="91"/>
      <c r="D25" s="126" t="s">
        <v>51</v>
      </c>
      <c r="E25" s="125"/>
      <c r="F25" s="125" t="s">
        <v>217</v>
      </c>
      <c r="G25" s="97"/>
      <c r="H25" s="125">
        <v>30</v>
      </c>
      <c r="I25" s="127" t="s">
        <v>52</v>
      </c>
      <c r="J25" s="50">
        <v>1750000</v>
      </c>
      <c r="K25" s="54">
        <f t="shared" si="0"/>
        <v>52500000</v>
      </c>
      <c r="L25" s="46"/>
      <c r="M25" s="71"/>
      <c r="N25" s="23" t="s">
        <v>13</v>
      </c>
      <c r="O25" s="23">
        <f>(O22+O23)*2</f>
        <v>71.960000000000008</v>
      </c>
      <c r="Q25">
        <f>O22-(1.83*4)</f>
        <v>19.66</v>
      </c>
      <c r="R25" t="s">
        <v>19</v>
      </c>
    </row>
    <row r="26" spans="2:20" x14ac:dyDescent="0.35">
      <c r="B26" s="123"/>
      <c r="C26" s="91"/>
      <c r="D26" s="126" t="s">
        <v>53</v>
      </c>
      <c r="E26" s="125"/>
      <c r="F26" s="125" t="s">
        <v>218</v>
      </c>
      <c r="G26" s="97"/>
      <c r="H26" s="125">
        <v>9</v>
      </c>
      <c r="I26" s="97" t="s">
        <v>52</v>
      </c>
      <c r="J26" s="50">
        <v>400000</v>
      </c>
      <c r="K26" s="54">
        <f t="shared" si="0"/>
        <v>3600000</v>
      </c>
      <c r="L26" s="46"/>
      <c r="M26" s="71"/>
      <c r="N26" s="23" t="s">
        <v>14</v>
      </c>
      <c r="O26" s="23">
        <f>(O22-5)*O23</f>
        <v>197.82</v>
      </c>
      <c r="Q26">
        <f>O23-2</f>
        <v>7</v>
      </c>
      <c r="R26" t="s">
        <v>20</v>
      </c>
    </row>
    <row r="27" spans="2:20" x14ac:dyDescent="0.35">
      <c r="B27" s="123"/>
      <c r="C27" s="91"/>
      <c r="D27" s="126" t="s">
        <v>54</v>
      </c>
      <c r="E27" s="125"/>
      <c r="F27" s="125" t="s">
        <v>55</v>
      </c>
      <c r="G27" s="97"/>
      <c r="H27" s="125">
        <v>1</v>
      </c>
      <c r="I27" s="97" t="s">
        <v>46</v>
      </c>
      <c r="J27" s="50">
        <v>1000000</v>
      </c>
      <c r="K27" s="54">
        <f t="shared" si="0"/>
        <v>1000000</v>
      </c>
      <c r="L27" s="46"/>
      <c r="M27" s="71"/>
      <c r="N27" s="23"/>
      <c r="O27" s="23" t="e">
        <f>#REF!*40%</f>
        <v>#REF!</v>
      </c>
      <c r="P27" t="e">
        <f>#REF!+#REF!</f>
        <v>#REF!</v>
      </c>
      <c r="Q27" t="e">
        <f>#REF!*25%</f>
        <v>#REF!</v>
      </c>
    </row>
    <row r="28" spans="2:20" x14ac:dyDescent="0.35">
      <c r="B28" s="123"/>
      <c r="C28" s="91"/>
      <c r="D28" s="126" t="s">
        <v>56</v>
      </c>
      <c r="E28" s="125"/>
      <c r="F28" s="125" t="s">
        <v>57</v>
      </c>
      <c r="G28" s="97"/>
      <c r="H28" s="125">
        <v>39</v>
      </c>
      <c r="I28" s="97" t="s">
        <v>52</v>
      </c>
      <c r="J28" s="50">
        <v>600000</v>
      </c>
      <c r="K28" s="54">
        <f t="shared" si="0"/>
        <v>23400000</v>
      </c>
      <c r="L28" s="46"/>
      <c r="M28" s="71"/>
      <c r="N28" s="23"/>
      <c r="O28" s="23" t="e">
        <f>#REF!+O27</f>
        <v>#REF!</v>
      </c>
    </row>
    <row r="29" spans="2:20" x14ac:dyDescent="0.35">
      <c r="B29" s="123"/>
      <c r="C29" s="91"/>
      <c r="D29" s="126" t="s">
        <v>58</v>
      </c>
      <c r="E29" s="125"/>
      <c r="F29" s="125" t="s">
        <v>59</v>
      </c>
      <c r="G29" s="97"/>
      <c r="H29" s="125">
        <v>1</v>
      </c>
      <c r="I29" s="97" t="s">
        <v>46</v>
      </c>
      <c r="J29" s="50">
        <v>1750000</v>
      </c>
      <c r="K29" s="54">
        <f t="shared" si="0"/>
        <v>1750000</v>
      </c>
      <c r="L29" s="46"/>
      <c r="M29" s="71"/>
      <c r="N29" s="23"/>
      <c r="O29" s="23"/>
    </row>
    <row r="30" spans="2:20" x14ac:dyDescent="0.35">
      <c r="B30" s="123"/>
      <c r="C30" s="91"/>
      <c r="D30" s="126" t="s">
        <v>60</v>
      </c>
      <c r="E30" s="125"/>
      <c r="F30" s="125" t="s">
        <v>61</v>
      </c>
      <c r="G30" s="97"/>
      <c r="H30" s="125">
        <v>1</v>
      </c>
      <c r="I30" s="107" t="s">
        <v>46</v>
      </c>
      <c r="J30" s="50">
        <v>1750000</v>
      </c>
      <c r="K30" s="54">
        <f t="shared" si="0"/>
        <v>1750000</v>
      </c>
      <c r="L30" s="46"/>
      <c r="M30" s="71"/>
      <c r="N30" s="23"/>
      <c r="O30" s="23"/>
    </row>
    <row r="31" spans="2:20" x14ac:dyDescent="0.35">
      <c r="B31" s="123"/>
      <c r="C31" s="91"/>
      <c r="D31" s="126" t="s">
        <v>62</v>
      </c>
      <c r="E31" s="125"/>
      <c r="F31" s="125" t="s">
        <v>63</v>
      </c>
      <c r="G31" s="97"/>
      <c r="H31" s="125">
        <v>1</v>
      </c>
      <c r="I31" s="107" t="s">
        <v>46</v>
      </c>
      <c r="J31" s="50">
        <v>2250000</v>
      </c>
      <c r="K31" s="54">
        <f t="shared" si="0"/>
        <v>2250000</v>
      </c>
      <c r="L31" s="46"/>
      <c r="M31" s="71"/>
      <c r="N31" s="23"/>
      <c r="O31" s="23"/>
    </row>
    <row r="32" spans="2:20" x14ac:dyDescent="0.35">
      <c r="B32" s="123"/>
      <c r="C32" s="91"/>
      <c r="D32" s="126" t="s">
        <v>64</v>
      </c>
      <c r="E32" s="125"/>
      <c r="F32" s="125" t="s">
        <v>65</v>
      </c>
      <c r="G32" s="97"/>
      <c r="H32" s="125">
        <v>1</v>
      </c>
      <c r="I32" s="97" t="s">
        <v>46</v>
      </c>
      <c r="J32" s="50">
        <v>10000000</v>
      </c>
      <c r="K32" s="54">
        <f t="shared" si="0"/>
        <v>10000000</v>
      </c>
      <c r="L32" s="46"/>
      <c r="M32" s="71"/>
      <c r="N32" s="23">
        <v>1</v>
      </c>
      <c r="O32" s="23" t="s">
        <v>10</v>
      </c>
    </row>
    <row r="33" spans="2:15" x14ac:dyDescent="0.35">
      <c r="B33" s="123"/>
      <c r="C33" s="91"/>
      <c r="D33" s="126" t="s">
        <v>66</v>
      </c>
      <c r="E33" s="125"/>
      <c r="F33" s="125" t="s">
        <v>67</v>
      </c>
      <c r="G33" s="97"/>
      <c r="H33" s="125">
        <v>50</v>
      </c>
      <c r="I33" s="97" t="s">
        <v>68</v>
      </c>
      <c r="J33" s="50">
        <v>90000</v>
      </c>
      <c r="K33" s="54">
        <f t="shared" si="0"/>
        <v>4500000</v>
      </c>
      <c r="L33" s="46"/>
      <c r="M33" s="71"/>
      <c r="N33" s="23"/>
      <c r="O33" s="23"/>
    </row>
    <row r="34" spans="2:15" x14ac:dyDescent="0.35">
      <c r="B34" s="123"/>
      <c r="C34" s="91"/>
      <c r="D34" s="124" t="s">
        <v>69</v>
      </c>
      <c r="E34" s="125"/>
      <c r="F34" s="125" t="s">
        <v>219</v>
      </c>
      <c r="G34" s="97"/>
      <c r="H34" s="125">
        <v>2.5</v>
      </c>
      <c r="I34" s="128" t="s">
        <v>68</v>
      </c>
      <c r="J34" s="50">
        <v>7250000</v>
      </c>
      <c r="K34" s="54">
        <f t="shared" si="0"/>
        <v>18125000</v>
      </c>
      <c r="L34" s="46"/>
      <c r="M34" s="71"/>
      <c r="N34" s="23"/>
      <c r="O34" s="23"/>
    </row>
    <row r="35" spans="2:15" x14ac:dyDescent="0.35">
      <c r="B35" s="129"/>
      <c r="C35" s="130"/>
      <c r="D35" s="126" t="s">
        <v>70</v>
      </c>
      <c r="E35" s="125"/>
      <c r="F35" s="125" t="s">
        <v>71</v>
      </c>
      <c r="G35" s="97"/>
      <c r="H35" s="125">
        <v>39</v>
      </c>
      <c r="I35" s="128" t="s">
        <v>72</v>
      </c>
      <c r="J35" s="50">
        <v>450000</v>
      </c>
      <c r="K35" s="54">
        <f t="shared" si="0"/>
        <v>17550000</v>
      </c>
      <c r="L35" s="46"/>
      <c r="M35" s="71"/>
      <c r="N35" s="23"/>
      <c r="O35" s="23"/>
    </row>
    <row r="36" spans="2:15" x14ac:dyDescent="0.35">
      <c r="B36" s="131"/>
      <c r="C36" s="132"/>
      <c r="D36" s="126" t="s">
        <v>73</v>
      </c>
      <c r="E36" s="92"/>
      <c r="F36" s="125" t="s">
        <v>74</v>
      </c>
      <c r="G36" s="97"/>
      <c r="H36" s="125">
        <v>30</v>
      </c>
      <c r="I36" s="128" t="s">
        <v>72</v>
      </c>
      <c r="J36" s="50">
        <v>450000</v>
      </c>
      <c r="K36" s="54">
        <f t="shared" si="0"/>
        <v>13500000</v>
      </c>
      <c r="L36" s="46"/>
      <c r="M36" s="71"/>
      <c r="N36" s="23">
        <v>2</v>
      </c>
      <c r="O36" s="23" t="s">
        <v>16</v>
      </c>
    </row>
    <row r="37" spans="2:15" x14ac:dyDescent="0.35">
      <c r="B37" s="129"/>
      <c r="C37" s="130"/>
      <c r="D37" s="126" t="s">
        <v>75</v>
      </c>
      <c r="E37" s="125"/>
      <c r="F37" s="125" t="s">
        <v>76</v>
      </c>
      <c r="G37" s="97"/>
      <c r="H37" s="125">
        <v>1</v>
      </c>
      <c r="I37" s="128" t="s">
        <v>46</v>
      </c>
      <c r="J37" s="50">
        <v>3850000.0000000005</v>
      </c>
      <c r="K37" s="54">
        <f t="shared" si="0"/>
        <v>3850000.0000000005</v>
      </c>
      <c r="L37" s="46"/>
      <c r="M37" s="71"/>
      <c r="N37" s="23">
        <v>4</v>
      </c>
      <c r="O37" s="23" t="s">
        <v>17</v>
      </c>
    </row>
    <row r="38" spans="2:15" x14ac:dyDescent="0.35">
      <c r="B38" s="133" t="s">
        <v>77</v>
      </c>
      <c r="C38" s="134"/>
      <c r="D38" s="135"/>
      <c r="E38" s="119" t="s">
        <v>78</v>
      </c>
      <c r="F38" s="121"/>
      <c r="G38" s="122"/>
      <c r="H38" s="121"/>
      <c r="I38" s="136"/>
      <c r="J38" s="50"/>
      <c r="K38" s="54"/>
      <c r="L38" s="46"/>
      <c r="M38" s="71"/>
      <c r="N38" s="23"/>
      <c r="O38" s="23"/>
    </row>
    <row r="39" spans="2:15" x14ac:dyDescent="0.35">
      <c r="B39" s="129"/>
      <c r="C39" s="130"/>
      <c r="D39" s="126" t="s">
        <v>44</v>
      </c>
      <c r="E39" s="125"/>
      <c r="F39" s="125" t="s">
        <v>79</v>
      </c>
      <c r="G39" s="97"/>
      <c r="H39" s="125">
        <v>397</v>
      </c>
      <c r="I39" s="128" t="s">
        <v>80</v>
      </c>
      <c r="J39" s="50">
        <v>7700.0000000000009</v>
      </c>
      <c r="K39" s="54">
        <f t="shared" si="0"/>
        <v>3056900.0000000005</v>
      </c>
      <c r="L39" s="46"/>
      <c r="M39" s="67"/>
      <c r="N39" s="23"/>
      <c r="O39" s="23"/>
    </row>
    <row r="40" spans="2:15" x14ac:dyDescent="0.35">
      <c r="B40" s="129"/>
      <c r="C40" s="130"/>
      <c r="D40" s="126" t="s">
        <v>47</v>
      </c>
      <c r="E40" s="125"/>
      <c r="F40" s="125" t="s">
        <v>81</v>
      </c>
      <c r="G40" s="97"/>
      <c r="H40" s="125">
        <v>397</v>
      </c>
      <c r="I40" s="128" t="s">
        <v>80</v>
      </c>
      <c r="J40" s="50">
        <v>77000</v>
      </c>
      <c r="K40" s="54">
        <f t="shared" si="0"/>
        <v>30569000</v>
      </c>
      <c r="L40" s="46"/>
      <c r="M40" s="111"/>
      <c r="N40" s="23">
        <v>14</v>
      </c>
      <c r="O40" s="23" t="s">
        <v>18</v>
      </c>
    </row>
    <row r="41" spans="2:15" x14ac:dyDescent="0.35">
      <c r="B41" s="129"/>
      <c r="C41" s="130"/>
      <c r="D41" s="126" t="s">
        <v>49</v>
      </c>
      <c r="E41" s="125"/>
      <c r="F41" s="125" t="s">
        <v>82</v>
      </c>
      <c r="G41" s="97"/>
      <c r="H41" s="125">
        <v>156</v>
      </c>
      <c r="I41" s="128" t="s">
        <v>80</v>
      </c>
      <c r="J41" s="50">
        <v>77000</v>
      </c>
      <c r="K41" s="54">
        <f t="shared" si="0"/>
        <v>12012000</v>
      </c>
      <c r="L41" s="46"/>
      <c r="M41" s="111"/>
      <c r="N41" s="23">
        <v>15</v>
      </c>
      <c r="O41" s="23" t="s">
        <v>27</v>
      </c>
    </row>
    <row r="42" spans="2:15" x14ac:dyDescent="0.35">
      <c r="B42" s="129"/>
      <c r="C42" s="130"/>
      <c r="D42" s="126" t="s">
        <v>51</v>
      </c>
      <c r="E42" s="125"/>
      <c r="F42" s="125" t="s">
        <v>83</v>
      </c>
      <c r="G42" s="97"/>
      <c r="H42" s="125">
        <v>62</v>
      </c>
      <c r="I42" s="128" t="s">
        <v>80</v>
      </c>
      <c r="J42" s="50">
        <v>77000</v>
      </c>
      <c r="K42" s="54">
        <f t="shared" si="0"/>
        <v>4774000</v>
      </c>
      <c r="L42" s="46"/>
      <c r="M42" s="111"/>
      <c r="N42" s="23"/>
      <c r="O42" s="23"/>
    </row>
    <row r="43" spans="2:15" x14ac:dyDescent="0.35">
      <c r="B43" s="129"/>
      <c r="C43" s="130"/>
      <c r="D43" s="126" t="s">
        <v>53</v>
      </c>
      <c r="E43" s="125"/>
      <c r="F43" s="125" t="s">
        <v>84</v>
      </c>
      <c r="G43" s="97"/>
      <c r="H43" s="125">
        <v>397</v>
      </c>
      <c r="I43" s="97" t="s">
        <v>80</v>
      </c>
      <c r="J43" s="50">
        <v>167200</v>
      </c>
      <c r="K43" s="54">
        <f t="shared" si="0"/>
        <v>66378400</v>
      </c>
      <c r="L43" s="46"/>
      <c r="M43" s="111"/>
      <c r="N43" s="23"/>
      <c r="O43" s="23"/>
    </row>
    <row r="44" spans="2:15" x14ac:dyDescent="0.35">
      <c r="B44" s="129"/>
      <c r="C44" s="130"/>
      <c r="D44" s="126" t="s">
        <v>54</v>
      </c>
      <c r="E44" s="125"/>
      <c r="F44" s="125" t="s">
        <v>85</v>
      </c>
      <c r="G44" s="97"/>
      <c r="H44" s="137">
        <v>156</v>
      </c>
      <c r="I44" s="128" t="s">
        <v>80</v>
      </c>
      <c r="J44" s="50">
        <v>132000</v>
      </c>
      <c r="K44" s="54">
        <f t="shared" si="0"/>
        <v>20592000</v>
      </c>
      <c r="L44" s="46"/>
      <c r="M44" s="111"/>
      <c r="N44" s="23"/>
      <c r="O44" s="23"/>
    </row>
    <row r="45" spans="2:15" x14ac:dyDescent="0.35">
      <c r="B45" s="129"/>
      <c r="C45" s="130"/>
      <c r="D45" s="126" t="s">
        <v>56</v>
      </c>
      <c r="E45" s="125"/>
      <c r="F45" s="125" t="s">
        <v>390</v>
      </c>
      <c r="G45" s="97"/>
      <c r="H45" s="138">
        <v>62</v>
      </c>
      <c r="I45" s="128" t="s">
        <v>80</v>
      </c>
      <c r="J45" s="50">
        <v>132000</v>
      </c>
      <c r="K45" s="54">
        <f t="shared" si="0"/>
        <v>8184000</v>
      </c>
      <c r="L45" s="46"/>
      <c r="M45" s="111"/>
      <c r="N45" s="23"/>
      <c r="O45" s="23"/>
    </row>
    <row r="46" spans="2:15" x14ac:dyDescent="0.35">
      <c r="B46" s="123"/>
      <c r="C46" s="91"/>
      <c r="D46" s="126" t="s">
        <v>58</v>
      </c>
      <c r="E46" s="125"/>
      <c r="F46" s="125" t="s">
        <v>86</v>
      </c>
      <c r="G46" s="97"/>
      <c r="H46" s="137">
        <v>1</v>
      </c>
      <c r="I46" s="128" t="s">
        <v>46</v>
      </c>
      <c r="J46" s="50">
        <v>1500000</v>
      </c>
      <c r="K46" s="54">
        <f t="shared" si="0"/>
        <v>1500000</v>
      </c>
      <c r="L46" s="46"/>
      <c r="M46" s="70"/>
      <c r="N46" s="23"/>
      <c r="O46" s="23"/>
    </row>
    <row r="47" spans="2:15" x14ac:dyDescent="0.35">
      <c r="B47" s="123"/>
      <c r="C47" s="91"/>
      <c r="D47" s="126" t="s">
        <v>60</v>
      </c>
      <c r="E47" s="125"/>
      <c r="F47" s="125" t="s">
        <v>87</v>
      </c>
      <c r="G47" s="97"/>
      <c r="H47" s="138">
        <v>26</v>
      </c>
      <c r="I47" s="128" t="s">
        <v>88</v>
      </c>
      <c r="J47" s="50">
        <v>110000</v>
      </c>
      <c r="K47" s="54">
        <f t="shared" si="0"/>
        <v>2860000</v>
      </c>
      <c r="L47" s="46"/>
      <c r="M47" s="70"/>
      <c r="N47" s="23"/>
      <c r="O47" s="23"/>
    </row>
    <row r="48" spans="2:15" x14ac:dyDescent="0.35">
      <c r="B48" s="131" t="s">
        <v>90</v>
      </c>
      <c r="C48" s="132"/>
      <c r="D48" s="139"/>
      <c r="E48" s="92" t="s">
        <v>91</v>
      </c>
      <c r="F48" s="125"/>
      <c r="G48" s="97"/>
      <c r="H48" s="140"/>
      <c r="I48" s="97"/>
      <c r="J48" s="50"/>
      <c r="K48" s="54"/>
      <c r="L48" s="46"/>
      <c r="M48" s="70"/>
      <c r="N48" s="23"/>
      <c r="O48" s="23"/>
    </row>
    <row r="49" spans="2:15" x14ac:dyDescent="0.35">
      <c r="B49" s="129"/>
      <c r="C49" s="130"/>
      <c r="D49" s="126" t="s">
        <v>44</v>
      </c>
      <c r="E49" s="125"/>
      <c r="F49" s="125" t="s">
        <v>92</v>
      </c>
      <c r="G49" s="97"/>
      <c r="H49" s="141">
        <v>2</v>
      </c>
      <c r="I49" s="128" t="s">
        <v>93</v>
      </c>
      <c r="J49" s="50">
        <v>2000000</v>
      </c>
      <c r="K49" s="54">
        <f t="shared" si="0"/>
        <v>4000000</v>
      </c>
      <c r="L49" s="46"/>
      <c r="M49" s="71"/>
      <c r="N49" s="23"/>
      <c r="O49" s="23"/>
    </row>
    <row r="50" spans="2:15" x14ac:dyDescent="0.35">
      <c r="B50" s="133" t="s">
        <v>94</v>
      </c>
      <c r="C50" s="134"/>
      <c r="D50" s="135"/>
      <c r="E50" s="119" t="s">
        <v>95</v>
      </c>
      <c r="F50" s="121"/>
      <c r="G50" s="122"/>
      <c r="H50" s="142"/>
      <c r="I50" s="122"/>
      <c r="J50" s="50"/>
      <c r="K50" s="54"/>
      <c r="L50" s="46"/>
      <c r="M50" s="71"/>
      <c r="N50" s="23"/>
      <c r="O50" s="23"/>
    </row>
    <row r="51" spans="2:15" x14ac:dyDescent="0.35">
      <c r="B51" s="129"/>
      <c r="C51" s="130"/>
      <c r="D51" s="126" t="s">
        <v>44</v>
      </c>
      <c r="E51" s="125"/>
      <c r="F51" s="125" t="s">
        <v>96</v>
      </c>
      <c r="G51" s="97"/>
      <c r="H51" s="141">
        <v>4</v>
      </c>
      <c r="I51" s="128" t="s">
        <v>97</v>
      </c>
      <c r="J51" s="50">
        <v>600000</v>
      </c>
      <c r="K51" s="54">
        <f t="shared" si="0"/>
        <v>2400000</v>
      </c>
      <c r="L51" s="46"/>
      <c r="M51" s="71"/>
      <c r="N51" s="23"/>
      <c r="O51" s="23"/>
    </row>
    <row r="52" spans="2:15" x14ac:dyDescent="0.35">
      <c r="B52" s="129"/>
      <c r="C52" s="130"/>
      <c r="D52" s="126" t="s">
        <v>47</v>
      </c>
      <c r="E52" s="125"/>
      <c r="F52" s="125" t="s">
        <v>98</v>
      </c>
      <c r="G52" s="97"/>
      <c r="H52" s="141">
        <v>2</v>
      </c>
      <c r="I52" s="128" t="s">
        <v>93</v>
      </c>
      <c r="J52" s="50">
        <v>1000000</v>
      </c>
      <c r="K52" s="54">
        <f t="shared" si="0"/>
        <v>2000000</v>
      </c>
      <c r="L52" s="46"/>
      <c r="M52" s="112"/>
      <c r="N52" s="23"/>
      <c r="O52" s="23"/>
    </row>
    <row r="53" spans="2:15" x14ac:dyDescent="0.35">
      <c r="B53" s="143"/>
      <c r="C53" s="144"/>
      <c r="D53" s="145" t="s">
        <v>49</v>
      </c>
      <c r="E53" s="137"/>
      <c r="F53" s="137" t="s">
        <v>100</v>
      </c>
      <c r="G53" s="146"/>
      <c r="H53" s="141">
        <v>2</v>
      </c>
      <c r="I53" s="146" t="s">
        <v>99</v>
      </c>
      <c r="J53" s="50">
        <v>7750000</v>
      </c>
      <c r="K53" s="54">
        <f t="shared" si="0"/>
        <v>15500000</v>
      </c>
      <c r="L53" s="46"/>
      <c r="M53" s="71"/>
      <c r="N53" s="23"/>
      <c r="O53" s="23"/>
    </row>
    <row r="54" spans="2:15" x14ac:dyDescent="0.35">
      <c r="B54" s="143"/>
      <c r="C54" s="144"/>
      <c r="D54" s="145" t="s">
        <v>51</v>
      </c>
      <c r="E54" s="137"/>
      <c r="F54" s="137" t="s">
        <v>101</v>
      </c>
      <c r="G54" s="146"/>
      <c r="H54" s="141">
        <v>2</v>
      </c>
      <c r="I54" s="146" t="s">
        <v>99</v>
      </c>
      <c r="J54" s="50">
        <v>15500000</v>
      </c>
      <c r="K54" s="50">
        <f t="shared" si="0"/>
        <v>31000000</v>
      </c>
      <c r="L54" s="52"/>
      <c r="M54" s="112"/>
      <c r="N54" s="23"/>
      <c r="O54" s="23"/>
    </row>
    <row r="55" spans="2:15" x14ac:dyDescent="0.35">
      <c r="B55" s="143"/>
      <c r="C55" s="144"/>
      <c r="D55" s="145" t="s">
        <v>53</v>
      </c>
      <c r="E55" s="137"/>
      <c r="F55" s="137" t="s">
        <v>102</v>
      </c>
      <c r="G55" s="146"/>
      <c r="H55" s="141">
        <v>2</v>
      </c>
      <c r="I55" s="146" t="s">
        <v>99</v>
      </c>
      <c r="J55" s="50">
        <v>3000000</v>
      </c>
      <c r="K55" s="50">
        <f t="shared" si="0"/>
        <v>6000000</v>
      </c>
      <c r="L55" s="52"/>
      <c r="M55" s="71"/>
      <c r="N55" s="23"/>
      <c r="O55" s="23"/>
    </row>
    <row r="56" spans="2:15" x14ac:dyDescent="0.35">
      <c r="B56" s="147"/>
      <c r="C56" s="144"/>
      <c r="D56" s="145" t="s">
        <v>54</v>
      </c>
      <c r="E56" s="148"/>
      <c r="F56" s="137" t="s">
        <v>103</v>
      </c>
      <c r="G56" s="146"/>
      <c r="H56" s="141">
        <v>2</v>
      </c>
      <c r="I56" s="128" t="s">
        <v>99</v>
      </c>
      <c r="J56" s="50">
        <v>8800000</v>
      </c>
      <c r="K56" s="50">
        <f t="shared" si="0"/>
        <v>17600000</v>
      </c>
      <c r="L56" s="52"/>
      <c r="M56" s="113"/>
      <c r="N56" s="23"/>
      <c r="O56" s="23"/>
    </row>
    <row r="57" spans="2:15" x14ac:dyDescent="0.35">
      <c r="B57" s="143"/>
      <c r="C57" s="144"/>
      <c r="D57" s="145" t="s">
        <v>56</v>
      </c>
      <c r="E57" s="137"/>
      <c r="F57" s="137" t="s">
        <v>104</v>
      </c>
      <c r="G57" s="146"/>
      <c r="H57" s="141">
        <v>2</v>
      </c>
      <c r="I57" s="146" t="s">
        <v>99</v>
      </c>
      <c r="J57" s="50">
        <v>3000000</v>
      </c>
      <c r="K57" s="50">
        <f t="shared" si="0"/>
        <v>6000000</v>
      </c>
      <c r="L57" s="52"/>
      <c r="M57" s="71"/>
      <c r="N57" s="23"/>
      <c r="O57" s="23"/>
    </row>
    <row r="58" spans="2:15" x14ac:dyDescent="0.35">
      <c r="B58" s="143"/>
      <c r="C58" s="144"/>
      <c r="D58" s="145" t="s">
        <v>58</v>
      </c>
      <c r="E58" s="137"/>
      <c r="F58" s="137" t="s">
        <v>105</v>
      </c>
      <c r="G58" s="146"/>
      <c r="H58" s="141">
        <v>2</v>
      </c>
      <c r="I58" s="146" t="s">
        <v>99</v>
      </c>
      <c r="J58" s="50">
        <v>2000000</v>
      </c>
      <c r="K58" s="50">
        <f t="shared" si="0"/>
        <v>4000000</v>
      </c>
      <c r="L58" s="52"/>
      <c r="M58" s="112"/>
      <c r="N58" s="23"/>
      <c r="O58" s="23"/>
    </row>
    <row r="59" spans="2:15" x14ac:dyDescent="0.35">
      <c r="B59" s="149"/>
      <c r="C59" s="144"/>
      <c r="D59" s="145" t="s">
        <v>60</v>
      </c>
      <c r="E59" s="148"/>
      <c r="F59" s="137" t="s">
        <v>106</v>
      </c>
      <c r="G59" s="146"/>
      <c r="H59" s="141">
        <v>2</v>
      </c>
      <c r="I59" s="146" t="s">
        <v>99</v>
      </c>
      <c r="J59" s="50">
        <v>2250000</v>
      </c>
      <c r="K59" s="50">
        <f t="shared" si="0"/>
        <v>4500000</v>
      </c>
      <c r="L59" s="52"/>
      <c r="M59" s="112"/>
      <c r="N59" s="23"/>
      <c r="O59" s="23"/>
    </row>
    <row r="60" spans="2:15" x14ac:dyDescent="0.35">
      <c r="B60" s="149"/>
      <c r="C60" s="144"/>
      <c r="D60" s="102" t="s">
        <v>62</v>
      </c>
      <c r="E60" s="79"/>
      <c r="F60" s="75" t="s">
        <v>383</v>
      </c>
      <c r="G60" s="75"/>
      <c r="H60" s="103">
        <v>2</v>
      </c>
      <c r="I60" s="76" t="s">
        <v>166</v>
      </c>
      <c r="J60" s="218">
        <v>2000000</v>
      </c>
      <c r="K60" s="50">
        <f t="shared" si="0"/>
        <v>4000000</v>
      </c>
      <c r="L60" s="52"/>
      <c r="M60" s="112"/>
      <c r="N60" s="23"/>
      <c r="O60" s="23"/>
    </row>
    <row r="61" spans="2:15" x14ac:dyDescent="0.35">
      <c r="B61" s="94" t="s">
        <v>107</v>
      </c>
      <c r="C61" s="150"/>
      <c r="D61" s="151"/>
      <c r="E61" s="92" t="s">
        <v>108</v>
      </c>
      <c r="F61" s="125"/>
      <c r="G61" s="97"/>
      <c r="H61" s="125"/>
      <c r="I61" s="97"/>
      <c r="J61" s="50"/>
      <c r="K61" s="50"/>
      <c r="L61" s="52"/>
      <c r="M61" s="71"/>
      <c r="N61" s="23"/>
      <c r="O61" s="23"/>
    </row>
    <row r="62" spans="2:15" x14ac:dyDescent="0.35">
      <c r="B62" s="149"/>
      <c r="C62" s="144"/>
      <c r="D62" s="145" t="s">
        <v>44</v>
      </c>
      <c r="E62" s="148"/>
      <c r="F62" s="137" t="s">
        <v>109</v>
      </c>
      <c r="G62" s="146"/>
      <c r="H62" s="141">
        <v>4</v>
      </c>
      <c r="I62" s="146" t="s">
        <v>97</v>
      </c>
      <c r="J62" s="50">
        <v>600000</v>
      </c>
      <c r="K62" s="50">
        <f t="shared" si="0"/>
        <v>2400000</v>
      </c>
      <c r="L62" s="52"/>
      <c r="M62" s="71"/>
      <c r="N62" s="23"/>
      <c r="O62" s="23"/>
    </row>
    <row r="63" spans="2:15" x14ac:dyDescent="0.35">
      <c r="B63" s="149"/>
      <c r="C63" s="144"/>
      <c r="D63" s="145" t="s">
        <v>47</v>
      </c>
      <c r="E63" s="148"/>
      <c r="F63" s="137" t="s">
        <v>110</v>
      </c>
      <c r="G63" s="146"/>
      <c r="H63" s="141">
        <v>2</v>
      </c>
      <c r="I63" s="146" t="s">
        <v>99</v>
      </c>
      <c r="J63" s="50">
        <v>700000</v>
      </c>
      <c r="K63" s="50">
        <f t="shared" si="0"/>
        <v>1400000</v>
      </c>
      <c r="L63" s="52"/>
      <c r="M63" s="71"/>
      <c r="N63" s="23"/>
      <c r="O63" s="23"/>
    </row>
    <row r="64" spans="2:15" x14ac:dyDescent="0.35">
      <c r="B64" s="149"/>
      <c r="C64" s="144"/>
      <c r="D64" s="145" t="s">
        <v>49</v>
      </c>
      <c r="E64" s="148"/>
      <c r="F64" s="137" t="s">
        <v>111</v>
      </c>
      <c r="G64" s="146"/>
      <c r="H64" s="141">
        <v>2</v>
      </c>
      <c r="I64" s="146" t="s">
        <v>99</v>
      </c>
      <c r="J64" s="50">
        <v>5500000</v>
      </c>
      <c r="K64" s="50">
        <f t="shared" si="0"/>
        <v>11000000</v>
      </c>
      <c r="L64" s="22"/>
      <c r="N64" s="23"/>
      <c r="O64" s="23"/>
    </row>
    <row r="65" spans="2:23" x14ac:dyDescent="0.35">
      <c r="B65" s="149"/>
      <c r="C65" s="144"/>
      <c r="D65" s="145" t="s">
        <v>51</v>
      </c>
      <c r="E65" s="148"/>
      <c r="F65" s="137" t="s">
        <v>112</v>
      </c>
      <c r="G65" s="146"/>
      <c r="H65" s="141">
        <v>2</v>
      </c>
      <c r="I65" s="146" t="s">
        <v>99</v>
      </c>
      <c r="J65" s="50">
        <v>2250000</v>
      </c>
      <c r="K65" s="50">
        <f t="shared" si="0"/>
        <v>4500000</v>
      </c>
      <c r="L65" s="22"/>
      <c r="N65" s="23"/>
      <c r="O65" s="23"/>
    </row>
    <row r="66" spans="2:23" x14ac:dyDescent="0.35">
      <c r="B66" s="149"/>
      <c r="C66" s="144"/>
      <c r="D66" s="145" t="s">
        <v>53</v>
      </c>
      <c r="E66" s="148"/>
      <c r="F66" s="137" t="s">
        <v>113</v>
      </c>
      <c r="G66" s="146"/>
      <c r="H66" s="141">
        <v>2</v>
      </c>
      <c r="I66" s="146" t="s">
        <v>99</v>
      </c>
      <c r="J66" s="50">
        <v>5500000</v>
      </c>
      <c r="K66" s="50">
        <f t="shared" si="0"/>
        <v>11000000</v>
      </c>
      <c r="L66" s="22"/>
      <c r="N66" s="23"/>
      <c r="O66" s="23"/>
    </row>
    <row r="67" spans="2:23" x14ac:dyDescent="0.35">
      <c r="B67" s="149" t="s">
        <v>114</v>
      </c>
      <c r="C67" s="144"/>
      <c r="D67" s="145"/>
      <c r="E67" s="148" t="s">
        <v>117</v>
      </c>
      <c r="F67" s="137"/>
      <c r="G67" s="146"/>
      <c r="H67" s="141"/>
      <c r="I67" s="146"/>
      <c r="J67" s="110"/>
      <c r="K67" s="110"/>
      <c r="L67" s="22"/>
      <c r="N67" s="23"/>
      <c r="O67" s="23"/>
    </row>
    <row r="68" spans="2:23" x14ac:dyDescent="0.35">
      <c r="B68" s="143"/>
      <c r="C68" s="144"/>
      <c r="D68" s="144" t="s">
        <v>44</v>
      </c>
      <c r="E68" s="141"/>
      <c r="F68" s="137" t="s">
        <v>118</v>
      </c>
      <c r="G68" s="146"/>
      <c r="H68" s="141">
        <v>1</v>
      </c>
      <c r="I68" s="146" t="s">
        <v>46</v>
      </c>
      <c r="J68" s="50">
        <v>8250000</v>
      </c>
      <c r="K68" s="50">
        <f t="shared" si="0"/>
        <v>8250000</v>
      </c>
      <c r="L68" s="22"/>
      <c r="N68" s="23"/>
      <c r="O68" s="23"/>
    </row>
    <row r="69" spans="2:23" x14ac:dyDescent="0.35">
      <c r="B69" s="143"/>
      <c r="C69" s="144"/>
      <c r="D69" s="144"/>
      <c r="E69" s="141"/>
      <c r="F69" s="137"/>
      <c r="G69" s="146"/>
      <c r="H69" s="137"/>
      <c r="I69" s="137"/>
      <c r="J69" s="110"/>
      <c r="K69" s="110"/>
      <c r="L69" s="22"/>
      <c r="N69" s="23"/>
      <c r="O69" s="23"/>
    </row>
    <row r="70" spans="2:23" x14ac:dyDescent="0.35">
      <c r="B70" s="55"/>
      <c r="E70" s="55"/>
      <c r="G70" s="22"/>
      <c r="J70" s="110"/>
      <c r="K70" s="110"/>
      <c r="L70" s="22"/>
      <c r="N70" s="23"/>
      <c r="O70" s="23"/>
    </row>
    <row r="71" spans="2:23" x14ac:dyDescent="0.35">
      <c r="B71" s="47"/>
      <c r="C71" s="48"/>
      <c r="D71" s="25"/>
      <c r="E71" s="108"/>
      <c r="F71" s="2"/>
      <c r="G71" s="21"/>
      <c r="I71" s="22"/>
      <c r="J71" s="50"/>
      <c r="K71" s="29"/>
      <c r="L71" s="52"/>
      <c r="M71" s="18"/>
      <c r="N71" s="23"/>
      <c r="O71" s="23"/>
    </row>
    <row r="72" spans="2:23" x14ac:dyDescent="0.35">
      <c r="B72" s="8"/>
      <c r="C72" s="9"/>
      <c r="D72" s="10"/>
      <c r="E72" s="4"/>
      <c r="F72" s="4"/>
      <c r="G72" s="4"/>
      <c r="H72" s="1"/>
      <c r="I72" s="1"/>
      <c r="J72" s="11" t="s">
        <v>8</v>
      </c>
      <c r="K72" s="7">
        <f>SUM(K20:K71)</f>
        <v>468451300</v>
      </c>
      <c r="L72" s="7">
        <f>SUM(L20:L71)</f>
        <v>0</v>
      </c>
      <c r="M72" s="14">
        <f>K72+L72</f>
        <v>468451300</v>
      </c>
      <c r="N72" s="15"/>
      <c r="O72" s="34"/>
      <c r="P72" s="34"/>
      <c r="Q72" s="34"/>
      <c r="R72" s="34"/>
      <c r="S72">
        <v>102.15</v>
      </c>
      <c r="T72" s="34" t="s">
        <v>19</v>
      </c>
      <c r="U72" s="34"/>
      <c r="V72" s="34"/>
      <c r="W72" s="16"/>
    </row>
    <row r="73" spans="2:23" x14ac:dyDescent="0.35">
      <c r="B73" s="8"/>
      <c r="C73" s="9"/>
      <c r="D73" s="9"/>
      <c r="E73" s="4"/>
      <c r="F73" s="4"/>
      <c r="G73" s="4"/>
      <c r="H73" s="1"/>
      <c r="I73" s="1"/>
      <c r="J73" s="11"/>
      <c r="K73" s="35" t="s">
        <v>22</v>
      </c>
      <c r="L73" s="36" t="s">
        <v>23</v>
      </c>
      <c r="M73" s="14"/>
      <c r="N73" s="15"/>
      <c r="O73" s="34"/>
      <c r="P73" s="34"/>
      <c r="Q73" s="34"/>
      <c r="R73" s="34"/>
      <c r="T73" s="34"/>
      <c r="U73" s="34"/>
      <c r="V73" s="34"/>
      <c r="W73" s="16"/>
    </row>
    <row r="74" spans="2:23" x14ac:dyDescent="0.35">
      <c r="B74" s="3" t="s">
        <v>9</v>
      </c>
      <c r="C74" s="4"/>
      <c r="D74" s="4"/>
      <c r="E74" s="4"/>
      <c r="F74" s="4"/>
      <c r="G74" s="4"/>
      <c r="H74" s="1"/>
      <c r="I74" s="1"/>
      <c r="J74" s="12"/>
      <c r="K74" s="12"/>
      <c r="L74" s="13"/>
      <c r="N74" s="15"/>
      <c r="O74" s="34"/>
      <c r="P74" s="34"/>
      <c r="Q74" s="34"/>
      <c r="R74" s="34"/>
      <c r="S74">
        <v>26.04</v>
      </c>
      <c r="T74" s="34" t="s">
        <v>20</v>
      </c>
      <c r="U74" s="34"/>
      <c r="V74" s="34"/>
      <c r="W74" s="16"/>
    </row>
    <row r="75" spans="2:23" x14ac:dyDescent="0.35">
      <c r="B75" s="37"/>
      <c r="C75" s="1"/>
      <c r="D75" s="1"/>
      <c r="E75" s="38"/>
      <c r="F75" s="38"/>
      <c r="G75" s="38"/>
      <c r="H75" s="1"/>
      <c r="I75" s="1"/>
      <c r="J75" s="1"/>
      <c r="K75" s="1"/>
      <c r="L75" s="19"/>
    </row>
    <row r="76" spans="2:23" x14ac:dyDescent="0.35">
      <c r="B76" s="28" t="s">
        <v>6</v>
      </c>
      <c r="C76" s="27"/>
      <c r="D76" s="27"/>
      <c r="E76" s="26"/>
      <c r="F76" s="26"/>
      <c r="G76" s="5"/>
      <c r="K76" s="246" t="s">
        <v>216</v>
      </c>
      <c r="L76" s="247"/>
    </row>
    <row r="77" spans="2:23" x14ac:dyDescent="0.35">
      <c r="B77" s="28">
        <v>1</v>
      </c>
      <c r="C77" s="27"/>
      <c r="D77" s="27"/>
      <c r="E77" s="26" t="s">
        <v>7</v>
      </c>
      <c r="F77" s="26"/>
      <c r="G77" s="5"/>
      <c r="K77" s="246" t="s">
        <v>28</v>
      </c>
      <c r="L77" s="247"/>
    </row>
    <row r="78" spans="2:23" x14ac:dyDescent="0.35">
      <c r="B78" s="39"/>
      <c r="C78" s="27"/>
      <c r="D78" s="27"/>
      <c r="E78" s="26"/>
      <c r="F78" s="26"/>
      <c r="G78" s="5"/>
      <c r="J78" s="25"/>
      <c r="K78" s="25"/>
      <c r="L78" s="24"/>
    </row>
    <row r="79" spans="2:23" x14ac:dyDescent="0.35">
      <c r="B79" s="28"/>
      <c r="C79" s="27"/>
      <c r="D79" s="27"/>
      <c r="E79" s="26"/>
      <c r="F79" s="26"/>
      <c r="G79" s="5"/>
      <c r="L79" s="22"/>
    </row>
    <row r="80" spans="2:23" x14ac:dyDescent="0.35">
      <c r="B80" s="45"/>
      <c r="E80" s="5"/>
      <c r="F80" s="5"/>
      <c r="G80" s="5"/>
      <c r="L80" s="22"/>
    </row>
    <row r="81" spans="2:13" x14ac:dyDescent="0.35">
      <c r="B81" s="45"/>
      <c r="E81" s="5"/>
      <c r="F81" s="5"/>
      <c r="G81" s="5"/>
      <c r="L81" s="22"/>
    </row>
    <row r="82" spans="2:13" x14ac:dyDescent="0.35">
      <c r="B82" s="45"/>
      <c r="E82" s="5"/>
      <c r="F82" s="5"/>
      <c r="G82" s="5"/>
      <c r="L82" s="22"/>
    </row>
    <row r="83" spans="2:13" x14ac:dyDescent="0.35">
      <c r="B83" s="45"/>
      <c r="E83" s="5"/>
      <c r="F83" s="5"/>
      <c r="G83" s="5"/>
      <c r="J83" s="40"/>
      <c r="K83" s="248" t="s">
        <v>36</v>
      </c>
      <c r="L83" s="249"/>
      <c r="M83" s="40"/>
    </row>
    <row r="84" spans="2:13" x14ac:dyDescent="0.35">
      <c r="B84" s="45"/>
      <c r="K84" s="250" t="s">
        <v>37</v>
      </c>
      <c r="L84" s="251"/>
      <c r="M84" s="42"/>
    </row>
    <row r="85" spans="2:13" x14ac:dyDescent="0.35">
      <c r="B85" s="243"/>
      <c r="C85" s="244"/>
      <c r="D85" s="244"/>
      <c r="E85" s="41"/>
      <c r="F85" s="41"/>
      <c r="G85" s="41"/>
      <c r="H85" s="2"/>
      <c r="I85" s="2"/>
      <c r="J85" s="2"/>
      <c r="K85" s="2"/>
      <c r="L85" s="21"/>
    </row>
    <row r="86" spans="2:13" x14ac:dyDescent="0.35">
      <c r="B86" s="47"/>
      <c r="C86" s="48"/>
      <c r="D86" s="49"/>
      <c r="G86" s="22"/>
      <c r="H86" s="1"/>
      <c r="I86" s="1"/>
      <c r="J86" s="216"/>
      <c r="K86" s="30"/>
      <c r="L86" s="44"/>
    </row>
    <row r="87" spans="2:13" x14ac:dyDescent="0.35">
      <c r="B87" s="149" t="s">
        <v>116</v>
      </c>
      <c r="C87" s="144"/>
      <c r="D87" s="145"/>
      <c r="E87" s="148" t="s">
        <v>119</v>
      </c>
      <c r="F87" s="137"/>
      <c r="G87" s="146"/>
      <c r="H87" s="141"/>
      <c r="I87" s="146"/>
      <c r="J87" s="217"/>
      <c r="K87" s="52"/>
      <c r="L87" s="46"/>
    </row>
    <row r="88" spans="2:13" x14ac:dyDescent="0.35">
      <c r="B88" s="143"/>
      <c r="C88" s="144"/>
      <c r="D88" s="145" t="s">
        <v>44</v>
      </c>
      <c r="E88" s="137"/>
      <c r="F88" s="137" t="s">
        <v>220</v>
      </c>
      <c r="G88" s="146"/>
      <c r="H88" s="141">
        <v>1</v>
      </c>
      <c r="I88" s="146" t="s">
        <v>46</v>
      </c>
      <c r="J88" s="218">
        <v>10500000</v>
      </c>
      <c r="K88" s="50">
        <f t="shared" ref="K88:K91" si="1">J88*H88</f>
        <v>10500000</v>
      </c>
      <c r="L88" s="46"/>
    </row>
    <row r="89" spans="2:13" x14ac:dyDescent="0.35">
      <c r="B89" s="143"/>
      <c r="C89" s="144"/>
      <c r="D89" s="145" t="s">
        <v>47</v>
      </c>
      <c r="E89" s="137"/>
      <c r="F89" s="137" t="s">
        <v>120</v>
      </c>
      <c r="G89" s="146"/>
      <c r="H89" s="141">
        <v>1</v>
      </c>
      <c r="I89" s="146" t="s">
        <v>88</v>
      </c>
      <c r="J89" s="218">
        <v>3300000.0000000005</v>
      </c>
      <c r="K89" s="50">
        <f t="shared" si="1"/>
        <v>3300000.0000000005</v>
      </c>
      <c r="L89" s="46"/>
    </row>
    <row r="90" spans="2:13" x14ac:dyDescent="0.35">
      <c r="B90" s="143"/>
      <c r="C90" s="144"/>
      <c r="D90" s="145" t="s">
        <v>49</v>
      </c>
      <c r="E90" s="137"/>
      <c r="F90" s="137" t="s">
        <v>221</v>
      </c>
      <c r="G90" s="146"/>
      <c r="H90" s="141">
        <v>2</v>
      </c>
      <c r="I90" s="146" t="s">
        <v>88</v>
      </c>
      <c r="J90" s="218">
        <v>500000</v>
      </c>
      <c r="K90" s="50">
        <f t="shared" si="1"/>
        <v>1000000</v>
      </c>
      <c r="L90" s="46"/>
    </row>
    <row r="91" spans="2:13" x14ac:dyDescent="0.35">
      <c r="B91" s="123"/>
      <c r="C91" s="91"/>
      <c r="D91" s="145" t="s">
        <v>51</v>
      </c>
      <c r="E91" s="137"/>
      <c r="F91" s="125" t="s">
        <v>121</v>
      </c>
      <c r="G91" s="97"/>
      <c r="H91" s="141">
        <v>9</v>
      </c>
      <c r="I91" s="146" t="s">
        <v>88</v>
      </c>
      <c r="J91" s="218">
        <v>330000</v>
      </c>
      <c r="K91" s="50">
        <f t="shared" si="1"/>
        <v>2970000</v>
      </c>
      <c r="L91" s="46"/>
    </row>
    <row r="92" spans="2:13" x14ac:dyDescent="0.35">
      <c r="B92" s="152" t="s">
        <v>122</v>
      </c>
      <c r="C92" s="153"/>
      <c r="D92" s="154"/>
      <c r="E92" s="155" t="s">
        <v>123</v>
      </c>
      <c r="F92" s="156"/>
      <c r="G92" s="157"/>
      <c r="H92" s="158"/>
      <c r="I92" s="122"/>
      <c r="J92" s="218"/>
      <c r="K92" s="54"/>
      <c r="L92" s="46"/>
    </row>
    <row r="93" spans="2:13" x14ac:dyDescent="0.35">
      <c r="B93" s="143"/>
      <c r="C93" s="144"/>
      <c r="D93" s="145" t="s">
        <v>44</v>
      </c>
      <c r="E93" s="137"/>
      <c r="F93" s="137" t="s">
        <v>124</v>
      </c>
      <c r="G93" s="146"/>
      <c r="H93" s="141">
        <v>9</v>
      </c>
      <c r="I93" s="146" t="s">
        <v>125</v>
      </c>
      <c r="J93" s="218">
        <v>550000</v>
      </c>
      <c r="K93" s="50">
        <f t="shared" ref="K93:K98" si="2">J93*H93</f>
        <v>4950000</v>
      </c>
      <c r="L93" s="46"/>
    </row>
    <row r="94" spans="2:13" x14ac:dyDescent="0.35">
      <c r="B94" s="143"/>
      <c r="C94" s="144"/>
      <c r="D94" s="145" t="s">
        <v>47</v>
      </c>
      <c r="E94" s="137"/>
      <c r="F94" s="137" t="s">
        <v>126</v>
      </c>
      <c r="G94" s="146"/>
      <c r="H94" s="141">
        <v>9</v>
      </c>
      <c r="I94" s="146" t="s">
        <v>127</v>
      </c>
      <c r="J94" s="218">
        <v>450000</v>
      </c>
      <c r="K94" s="50">
        <f t="shared" si="2"/>
        <v>4050000</v>
      </c>
      <c r="L94" s="46"/>
    </row>
    <row r="95" spans="2:13" x14ac:dyDescent="0.35">
      <c r="B95" s="143"/>
      <c r="C95" s="144"/>
      <c r="D95" s="145" t="s">
        <v>49</v>
      </c>
      <c r="E95" s="137"/>
      <c r="F95" s="137" t="s">
        <v>128</v>
      </c>
      <c r="G95" s="146"/>
      <c r="H95" s="141">
        <v>2</v>
      </c>
      <c r="I95" s="146" t="s">
        <v>99</v>
      </c>
      <c r="J95" s="218">
        <v>1000000</v>
      </c>
      <c r="K95" s="50">
        <f t="shared" si="2"/>
        <v>2000000</v>
      </c>
      <c r="L95" s="46"/>
    </row>
    <row r="96" spans="2:13" x14ac:dyDescent="0.35">
      <c r="B96" s="143"/>
      <c r="C96" s="144"/>
      <c r="D96" s="145" t="s">
        <v>51</v>
      </c>
      <c r="E96" s="137"/>
      <c r="F96" s="137" t="s">
        <v>129</v>
      </c>
      <c r="G96" s="146"/>
      <c r="H96" s="141">
        <v>9</v>
      </c>
      <c r="I96" s="146" t="s">
        <v>127</v>
      </c>
      <c r="J96" s="218">
        <v>200000</v>
      </c>
      <c r="K96" s="50">
        <f t="shared" si="2"/>
        <v>1800000</v>
      </c>
      <c r="L96" s="46"/>
    </row>
    <row r="97" spans="2:12" x14ac:dyDescent="0.35">
      <c r="B97" s="143"/>
      <c r="C97" s="144"/>
      <c r="D97" s="145" t="s">
        <v>53</v>
      </c>
      <c r="E97" s="137"/>
      <c r="F97" s="137" t="s">
        <v>130</v>
      </c>
      <c r="G97" s="146"/>
      <c r="H97" s="141">
        <v>2</v>
      </c>
      <c r="I97" s="146" t="s">
        <v>99</v>
      </c>
      <c r="J97" s="218">
        <v>700000</v>
      </c>
      <c r="K97" s="50">
        <f t="shared" si="2"/>
        <v>1400000</v>
      </c>
      <c r="L97" s="46"/>
    </row>
    <row r="98" spans="2:12" x14ac:dyDescent="0.35">
      <c r="B98" s="129"/>
      <c r="C98" s="130"/>
      <c r="D98" s="126" t="s">
        <v>54</v>
      </c>
      <c r="E98" s="125"/>
      <c r="F98" s="137" t="s">
        <v>132</v>
      </c>
      <c r="G98" s="146"/>
      <c r="H98" s="141">
        <v>9</v>
      </c>
      <c r="I98" s="146" t="s">
        <v>125</v>
      </c>
      <c r="J98" s="50">
        <v>200000</v>
      </c>
      <c r="K98" s="50">
        <f t="shared" si="2"/>
        <v>1800000</v>
      </c>
      <c r="L98" s="46"/>
    </row>
    <row r="99" spans="2:12" x14ac:dyDescent="0.35">
      <c r="B99" s="133" t="s">
        <v>133</v>
      </c>
      <c r="C99" s="134"/>
      <c r="D99" s="135"/>
      <c r="E99" s="119" t="s">
        <v>134</v>
      </c>
      <c r="F99" s="121"/>
      <c r="G99" s="122"/>
      <c r="H99" s="142"/>
      <c r="I99" s="122"/>
      <c r="J99" s="218"/>
      <c r="K99" s="54"/>
      <c r="L99" s="46"/>
    </row>
    <row r="100" spans="2:12" x14ac:dyDescent="0.35">
      <c r="B100" s="129"/>
      <c r="C100" s="130"/>
      <c r="D100" s="126" t="s">
        <v>44</v>
      </c>
      <c r="E100" s="125"/>
      <c r="F100" s="125" t="s">
        <v>135</v>
      </c>
      <c r="G100" s="97"/>
      <c r="H100" s="140">
        <v>1</v>
      </c>
      <c r="I100" s="97" t="s">
        <v>46</v>
      </c>
      <c r="J100" s="218">
        <v>2250000</v>
      </c>
      <c r="K100" s="50">
        <f t="shared" ref="K100" si="3">J100*H100</f>
        <v>2250000</v>
      </c>
      <c r="L100" s="46"/>
    </row>
    <row r="101" spans="2:12" x14ac:dyDescent="0.35">
      <c r="B101" s="159"/>
      <c r="C101" s="160"/>
      <c r="D101" s="161"/>
      <c r="E101" s="162"/>
      <c r="F101" s="163"/>
      <c r="G101" s="164"/>
      <c r="H101" s="165"/>
      <c r="I101" s="164"/>
      <c r="J101" s="218"/>
      <c r="K101" s="54"/>
      <c r="L101" s="46"/>
    </row>
    <row r="102" spans="2:12" x14ac:dyDescent="0.35">
      <c r="B102" s="166"/>
      <c r="C102" s="167"/>
      <c r="D102" s="167"/>
      <c r="E102" s="168"/>
      <c r="F102" s="169" t="s">
        <v>136</v>
      </c>
      <c r="G102" s="169"/>
      <c r="H102" s="170"/>
      <c r="I102" s="171"/>
      <c r="J102" s="218"/>
      <c r="K102" s="54"/>
      <c r="L102" s="46"/>
    </row>
    <row r="103" spans="2:12" x14ac:dyDescent="0.35">
      <c r="B103" s="172" t="s">
        <v>43</v>
      </c>
      <c r="C103" s="173"/>
      <c r="D103" s="174"/>
      <c r="E103" s="175" t="s">
        <v>117</v>
      </c>
      <c r="F103" s="176"/>
      <c r="G103" s="176"/>
      <c r="H103" s="177"/>
      <c r="I103" s="178"/>
      <c r="J103" s="218"/>
      <c r="K103" s="54"/>
      <c r="L103" s="46"/>
    </row>
    <row r="104" spans="2:12" x14ac:dyDescent="0.35">
      <c r="B104" s="77"/>
      <c r="C104" s="73" t="s">
        <v>137</v>
      </c>
      <c r="D104" s="78"/>
      <c r="E104" s="79"/>
      <c r="F104" s="75" t="s">
        <v>138</v>
      </c>
      <c r="G104" s="75"/>
      <c r="H104" s="80"/>
      <c r="I104" s="81"/>
      <c r="J104" s="218"/>
      <c r="K104" s="54"/>
      <c r="L104" s="46"/>
    </row>
    <row r="105" spans="2:12" x14ac:dyDescent="0.35">
      <c r="B105" s="77"/>
      <c r="C105" s="73"/>
      <c r="D105" s="78" t="s">
        <v>44</v>
      </c>
      <c r="E105" s="79"/>
      <c r="F105" s="75" t="s">
        <v>222</v>
      </c>
      <c r="G105" s="75"/>
      <c r="H105" s="82">
        <v>16</v>
      </c>
      <c r="I105" s="83" t="s">
        <v>139</v>
      </c>
      <c r="J105" s="50">
        <v>260000</v>
      </c>
      <c r="K105" s="50">
        <f t="shared" ref="K105" si="4">J105*H105</f>
        <v>4160000</v>
      </c>
      <c r="L105" s="46"/>
    </row>
    <row r="106" spans="2:12" x14ac:dyDescent="0.35">
      <c r="B106" s="77"/>
      <c r="C106" s="73"/>
      <c r="D106" s="78"/>
      <c r="E106" s="79"/>
      <c r="F106" s="75" t="s">
        <v>89</v>
      </c>
      <c r="G106" s="75" t="s">
        <v>223</v>
      </c>
      <c r="H106" s="82">
        <v>3940</v>
      </c>
      <c r="I106" s="83" t="s">
        <v>140</v>
      </c>
      <c r="J106" s="50">
        <v>627</v>
      </c>
      <c r="K106" s="54"/>
      <c r="L106" s="46">
        <f>J106*H106</f>
        <v>2470380</v>
      </c>
    </row>
    <row r="107" spans="2:12" x14ac:dyDescent="0.35">
      <c r="B107" s="77"/>
      <c r="C107" s="73"/>
      <c r="D107" s="78"/>
      <c r="E107" s="84"/>
      <c r="F107" s="75" t="s">
        <v>89</v>
      </c>
      <c r="G107" s="75" t="s">
        <v>224</v>
      </c>
      <c r="H107" s="82">
        <v>5</v>
      </c>
      <c r="I107" s="83" t="s">
        <v>131</v>
      </c>
      <c r="J107" s="50">
        <v>240000</v>
      </c>
      <c r="K107" s="54"/>
      <c r="L107" s="46">
        <f t="shared" ref="L107:L136" si="5">J107*H107</f>
        <v>1200000</v>
      </c>
    </row>
    <row r="108" spans="2:12" x14ac:dyDescent="0.35">
      <c r="B108" s="85"/>
      <c r="C108" s="86"/>
      <c r="D108" s="78"/>
      <c r="E108" s="79"/>
      <c r="F108" s="75" t="s">
        <v>89</v>
      </c>
      <c r="G108" s="75" t="s">
        <v>225</v>
      </c>
      <c r="H108" s="82">
        <v>4</v>
      </c>
      <c r="I108" s="83" t="s">
        <v>131</v>
      </c>
      <c r="J108" s="50">
        <v>290000</v>
      </c>
      <c r="K108" s="54"/>
      <c r="L108" s="46">
        <f t="shared" si="5"/>
        <v>1160000</v>
      </c>
    </row>
    <row r="109" spans="2:12" x14ac:dyDescent="0.35">
      <c r="B109" s="85"/>
      <c r="C109" s="86"/>
      <c r="D109" s="78"/>
      <c r="E109" s="79"/>
      <c r="F109" s="75" t="s">
        <v>89</v>
      </c>
      <c r="G109" s="75" t="s">
        <v>226</v>
      </c>
      <c r="H109" s="82">
        <v>12</v>
      </c>
      <c r="I109" s="83" t="s">
        <v>131</v>
      </c>
      <c r="J109" s="50">
        <v>40000</v>
      </c>
      <c r="K109" s="54"/>
      <c r="L109" s="46">
        <f t="shared" si="5"/>
        <v>480000</v>
      </c>
    </row>
    <row r="110" spans="2:12" x14ac:dyDescent="0.35">
      <c r="B110" s="85"/>
      <c r="C110" s="86"/>
      <c r="D110" s="78"/>
      <c r="E110" s="79"/>
      <c r="F110" s="75" t="s">
        <v>89</v>
      </c>
      <c r="G110" s="75" t="s">
        <v>227</v>
      </c>
      <c r="H110" s="82">
        <v>3</v>
      </c>
      <c r="I110" s="83" t="s">
        <v>88</v>
      </c>
      <c r="J110" s="50">
        <v>40000</v>
      </c>
      <c r="K110" s="54"/>
      <c r="L110" s="46">
        <f t="shared" si="5"/>
        <v>120000</v>
      </c>
    </row>
    <row r="111" spans="2:12" x14ac:dyDescent="0.35">
      <c r="B111" s="85"/>
      <c r="C111" s="86"/>
      <c r="D111" s="78"/>
      <c r="E111" s="79"/>
      <c r="F111" s="75" t="s">
        <v>89</v>
      </c>
      <c r="G111" s="75" t="s">
        <v>228</v>
      </c>
      <c r="H111" s="82">
        <v>180</v>
      </c>
      <c r="I111" s="83" t="s">
        <v>140</v>
      </c>
      <c r="J111" s="50">
        <v>468</v>
      </c>
      <c r="K111" s="54"/>
      <c r="L111" s="46">
        <f t="shared" si="5"/>
        <v>84240</v>
      </c>
    </row>
    <row r="112" spans="2:12" x14ac:dyDescent="0.35">
      <c r="B112" s="85"/>
      <c r="C112" s="86"/>
      <c r="D112" s="78"/>
      <c r="E112" s="79"/>
      <c r="F112" s="75" t="s">
        <v>89</v>
      </c>
      <c r="G112" s="75" t="s">
        <v>229</v>
      </c>
      <c r="H112" s="82">
        <v>2</v>
      </c>
      <c r="I112" s="83" t="s">
        <v>88</v>
      </c>
      <c r="J112" s="50">
        <v>60000</v>
      </c>
      <c r="K112" s="54"/>
      <c r="L112" s="46">
        <f t="shared" si="5"/>
        <v>120000</v>
      </c>
    </row>
    <row r="113" spans="2:12" x14ac:dyDescent="0.35">
      <c r="B113" s="85"/>
      <c r="C113" s="86"/>
      <c r="D113" s="78"/>
      <c r="E113" s="79"/>
      <c r="F113" s="75" t="s">
        <v>89</v>
      </c>
      <c r="G113" s="75" t="s">
        <v>230</v>
      </c>
      <c r="H113" s="82">
        <v>2</v>
      </c>
      <c r="I113" s="83" t="s">
        <v>131</v>
      </c>
      <c r="J113" s="218">
        <v>40000</v>
      </c>
      <c r="K113" s="54"/>
      <c r="L113" s="46">
        <f t="shared" si="5"/>
        <v>80000</v>
      </c>
    </row>
    <row r="114" spans="2:12" x14ac:dyDescent="0.35">
      <c r="B114" s="85"/>
      <c r="C114" s="86"/>
      <c r="D114" s="78"/>
      <c r="E114" s="79"/>
      <c r="F114" s="75" t="s">
        <v>89</v>
      </c>
      <c r="G114" s="75" t="s">
        <v>231</v>
      </c>
      <c r="H114" s="80">
        <f>0.14*0.4*10*7.85*1.2</f>
        <v>5.2751999999999999</v>
      </c>
      <c r="I114" s="83" t="s">
        <v>180</v>
      </c>
      <c r="J114" s="218">
        <v>33000</v>
      </c>
      <c r="K114" s="54"/>
      <c r="L114" s="46">
        <f t="shared" si="5"/>
        <v>174081.6</v>
      </c>
    </row>
    <row r="115" spans="2:12" x14ac:dyDescent="0.35">
      <c r="B115" s="85"/>
      <c r="C115" s="86"/>
      <c r="D115" s="78" t="s">
        <v>47</v>
      </c>
      <c r="E115" s="79"/>
      <c r="F115" s="75" t="s">
        <v>141</v>
      </c>
      <c r="G115" s="75"/>
      <c r="H115" s="82">
        <v>5</v>
      </c>
      <c r="I115" s="83" t="s">
        <v>139</v>
      </c>
      <c r="J115" s="50">
        <v>170000</v>
      </c>
      <c r="K115" s="50">
        <f t="shared" ref="K115" si="6">J115*H115</f>
        <v>850000</v>
      </c>
      <c r="L115" s="46"/>
    </row>
    <row r="116" spans="2:12" x14ac:dyDescent="0.35">
      <c r="B116" s="85"/>
      <c r="C116" s="86"/>
      <c r="D116" s="78"/>
      <c r="E116" s="79"/>
      <c r="F116" s="75" t="s">
        <v>89</v>
      </c>
      <c r="G116" s="75" t="s">
        <v>232</v>
      </c>
      <c r="H116" s="82">
        <v>90</v>
      </c>
      <c r="I116" s="83" t="s">
        <v>140</v>
      </c>
      <c r="J116" s="50">
        <v>421</v>
      </c>
      <c r="K116" s="54"/>
      <c r="L116" s="46">
        <f t="shared" si="5"/>
        <v>37890</v>
      </c>
    </row>
    <row r="117" spans="2:12" x14ac:dyDescent="0.35">
      <c r="B117" s="85"/>
      <c r="C117" s="86"/>
      <c r="D117" s="78"/>
      <c r="E117" s="79"/>
      <c r="F117" s="75" t="s">
        <v>89</v>
      </c>
      <c r="G117" s="75" t="s">
        <v>233</v>
      </c>
      <c r="H117" s="82">
        <v>2</v>
      </c>
      <c r="I117" s="83" t="s">
        <v>131</v>
      </c>
      <c r="J117" s="50">
        <v>140000</v>
      </c>
      <c r="K117" s="54"/>
      <c r="L117" s="46">
        <f t="shared" si="5"/>
        <v>280000</v>
      </c>
    </row>
    <row r="118" spans="2:12" x14ac:dyDescent="0.35">
      <c r="B118" s="85"/>
      <c r="C118" s="86"/>
      <c r="D118" s="78"/>
      <c r="E118" s="79"/>
      <c r="F118" s="75" t="s">
        <v>89</v>
      </c>
      <c r="G118" s="75" t="s">
        <v>234</v>
      </c>
      <c r="H118" s="82">
        <v>100</v>
      </c>
      <c r="I118" s="83" t="s">
        <v>140</v>
      </c>
      <c r="J118" s="218">
        <v>320</v>
      </c>
      <c r="K118" s="54"/>
      <c r="L118" s="46">
        <f t="shared" si="5"/>
        <v>32000</v>
      </c>
    </row>
    <row r="119" spans="2:12" x14ac:dyDescent="0.35">
      <c r="B119" s="77"/>
      <c r="C119" s="73"/>
      <c r="D119" s="78"/>
      <c r="E119" s="79"/>
      <c r="F119" s="75" t="s">
        <v>89</v>
      </c>
      <c r="G119" s="75" t="s">
        <v>235</v>
      </c>
      <c r="H119" s="82">
        <v>110</v>
      </c>
      <c r="I119" s="83" t="s">
        <v>140</v>
      </c>
      <c r="J119" s="218">
        <v>595</v>
      </c>
      <c r="K119" s="54"/>
      <c r="L119" s="46">
        <f t="shared" si="5"/>
        <v>65450</v>
      </c>
    </row>
    <row r="120" spans="2:12" x14ac:dyDescent="0.35">
      <c r="B120" s="77"/>
      <c r="C120" s="73"/>
      <c r="D120" s="78"/>
      <c r="E120" s="79"/>
      <c r="F120" s="75" t="s">
        <v>89</v>
      </c>
      <c r="G120" s="75" t="s">
        <v>236</v>
      </c>
      <c r="H120" s="82">
        <v>4</v>
      </c>
      <c r="I120" s="83" t="s">
        <v>88</v>
      </c>
      <c r="J120" s="218">
        <v>130000</v>
      </c>
      <c r="K120" s="54"/>
      <c r="L120" s="46">
        <f t="shared" si="5"/>
        <v>520000</v>
      </c>
    </row>
    <row r="121" spans="2:12" x14ac:dyDescent="0.35">
      <c r="B121" s="77"/>
      <c r="C121" s="73"/>
      <c r="D121" s="78" t="s">
        <v>49</v>
      </c>
      <c r="E121" s="79"/>
      <c r="F121" s="75" t="s">
        <v>237</v>
      </c>
      <c r="G121" s="75"/>
      <c r="H121" s="82">
        <v>4</v>
      </c>
      <c r="I121" s="83" t="s">
        <v>139</v>
      </c>
      <c r="J121" s="50">
        <v>220000</v>
      </c>
      <c r="K121" s="50">
        <f t="shared" ref="K121" si="7">J121*H121</f>
        <v>880000</v>
      </c>
      <c r="L121" s="46"/>
    </row>
    <row r="122" spans="2:12" x14ac:dyDescent="0.35">
      <c r="B122" s="77"/>
      <c r="C122" s="73"/>
      <c r="D122" s="78"/>
      <c r="E122" s="84"/>
      <c r="F122" s="75" t="s">
        <v>89</v>
      </c>
      <c r="G122" s="75" t="s">
        <v>238</v>
      </c>
      <c r="H122" s="82">
        <v>250</v>
      </c>
      <c r="I122" s="83" t="s">
        <v>140</v>
      </c>
      <c r="J122" s="50">
        <v>627</v>
      </c>
      <c r="K122" s="52"/>
      <c r="L122" s="46">
        <f t="shared" si="5"/>
        <v>156750</v>
      </c>
    </row>
    <row r="123" spans="2:12" x14ac:dyDescent="0.35">
      <c r="B123" s="77"/>
      <c r="C123" s="73"/>
      <c r="D123" s="78"/>
      <c r="E123" s="84"/>
      <c r="F123" s="75" t="s">
        <v>89</v>
      </c>
      <c r="G123" s="75" t="s">
        <v>239</v>
      </c>
      <c r="H123" s="82">
        <v>2</v>
      </c>
      <c r="I123" s="83" t="s">
        <v>131</v>
      </c>
      <c r="J123" s="50">
        <v>140000</v>
      </c>
      <c r="K123" s="54"/>
      <c r="L123" s="46">
        <f t="shared" si="5"/>
        <v>280000</v>
      </c>
    </row>
    <row r="124" spans="2:12" x14ac:dyDescent="0.35">
      <c r="B124" s="85"/>
      <c r="C124" s="86"/>
      <c r="D124" s="78"/>
      <c r="E124" s="84"/>
      <c r="F124" s="75" t="s">
        <v>89</v>
      </c>
      <c r="G124" s="75" t="s">
        <v>240</v>
      </c>
      <c r="H124" s="82">
        <v>160</v>
      </c>
      <c r="I124" s="83" t="s">
        <v>140</v>
      </c>
      <c r="J124" s="50">
        <v>453</v>
      </c>
      <c r="K124" s="51"/>
      <c r="L124" s="46">
        <f t="shared" si="5"/>
        <v>72480</v>
      </c>
    </row>
    <row r="125" spans="2:12" x14ac:dyDescent="0.35">
      <c r="B125" s="85"/>
      <c r="C125" s="86"/>
      <c r="D125" s="78"/>
      <c r="E125" s="79"/>
      <c r="F125" s="75" t="s">
        <v>89</v>
      </c>
      <c r="G125" s="75" t="s">
        <v>241</v>
      </c>
      <c r="H125" s="82">
        <v>2</v>
      </c>
      <c r="I125" s="83" t="s">
        <v>88</v>
      </c>
      <c r="J125" s="50">
        <v>60000</v>
      </c>
      <c r="K125" s="54"/>
      <c r="L125" s="46">
        <f t="shared" si="5"/>
        <v>120000</v>
      </c>
    </row>
    <row r="126" spans="2:12" x14ac:dyDescent="0.35">
      <c r="B126" s="85"/>
      <c r="C126" s="86"/>
      <c r="D126" s="78"/>
      <c r="E126" s="79"/>
      <c r="F126" s="75" t="s">
        <v>89</v>
      </c>
      <c r="G126" s="75" t="s">
        <v>226</v>
      </c>
      <c r="H126" s="82">
        <v>2</v>
      </c>
      <c r="I126" s="83" t="s">
        <v>131</v>
      </c>
      <c r="J126" s="50">
        <v>40000</v>
      </c>
      <c r="K126" s="50"/>
      <c r="L126" s="46">
        <f t="shared" si="5"/>
        <v>80000</v>
      </c>
    </row>
    <row r="127" spans="2:12" x14ac:dyDescent="0.35">
      <c r="B127" s="85"/>
      <c r="C127" s="86"/>
      <c r="D127" s="78" t="s">
        <v>51</v>
      </c>
      <c r="E127" s="79"/>
      <c r="F127" s="75" t="s">
        <v>242</v>
      </c>
      <c r="G127" s="75"/>
      <c r="H127" s="82">
        <v>2</v>
      </c>
      <c r="I127" s="83" t="s">
        <v>139</v>
      </c>
      <c r="J127" s="218">
        <v>170000</v>
      </c>
      <c r="K127" s="50">
        <f t="shared" ref="K127" si="8">J127*H127</f>
        <v>340000</v>
      </c>
      <c r="L127" s="46"/>
    </row>
    <row r="128" spans="2:12" x14ac:dyDescent="0.35">
      <c r="B128" s="85"/>
      <c r="C128" s="86"/>
      <c r="D128" s="78"/>
      <c r="E128" s="79"/>
      <c r="F128" s="75" t="s">
        <v>89</v>
      </c>
      <c r="G128" s="75" t="s">
        <v>232</v>
      </c>
      <c r="H128" s="82">
        <v>330</v>
      </c>
      <c r="I128" s="83" t="s">
        <v>140</v>
      </c>
      <c r="J128" s="218">
        <v>421</v>
      </c>
      <c r="K128" s="50"/>
      <c r="L128" s="46">
        <f t="shared" si="5"/>
        <v>138930</v>
      </c>
    </row>
    <row r="129" spans="2:12" x14ac:dyDescent="0.35">
      <c r="B129" s="85"/>
      <c r="C129" s="86"/>
      <c r="D129" s="78"/>
      <c r="E129" s="79"/>
      <c r="F129" s="75" t="s">
        <v>89</v>
      </c>
      <c r="G129" s="75" t="s">
        <v>234</v>
      </c>
      <c r="H129" s="82">
        <v>100</v>
      </c>
      <c r="I129" s="83" t="s">
        <v>140</v>
      </c>
      <c r="J129" s="218">
        <v>320</v>
      </c>
      <c r="K129" s="54"/>
      <c r="L129" s="46">
        <f t="shared" si="5"/>
        <v>32000</v>
      </c>
    </row>
    <row r="130" spans="2:12" x14ac:dyDescent="0.35">
      <c r="B130" s="85"/>
      <c r="C130" s="86"/>
      <c r="D130" s="78"/>
      <c r="E130" s="79"/>
      <c r="F130" s="75" t="s">
        <v>89</v>
      </c>
      <c r="G130" s="75" t="s">
        <v>235</v>
      </c>
      <c r="H130" s="82">
        <v>160</v>
      </c>
      <c r="I130" s="83" t="s">
        <v>140</v>
      </c>
      <c r="J130" s="218">
        <v>264</v>
      </c>
      <c r="K130" s="54"/>
      <c r="L130" s="46">
        <f t="shared" si="5"/>
        <v>42240</v>
      </c>
    </row>
    <row r="131" spans="2:12" x14ac:dyDescent="0.35">
      <c r="B131" s="85"/>
      <c r="C131" s="86"/>
      <c r="D131" s="78"/>
      <c r="E131" s="79"/>
      <c r="F131" s="75" t="s">
        <v>89</v>
      </c>
      <c r="G131" s="75" t="s">
        <v>243</v>
      </c>
      <c r="H131" s="87">
        <v>2</v>
      </c>
      <c r="I131" s="83" t="s">
        <v>88</v>
      </c>
      <c r="J131" s="219">
        <v>130000</v>
      </c>
      <c r="K131" s="110"/>
      <c r="L131" s="46">
        <f t="shared" si="5"/>
        <v>260000</v>
      </c>
    </row>
    <row r="132" spans="2:12" x14ac:dyDescent="0.35">
      <c r="B132" s="85"/>
      <c r="C132" s="86"/>
      <c r="D132" s="78" t="s">
        <v>53</v>
      </c>
      <c r="E132" s="79"/>
      <c r="F132" s="75" t="s">
        <v>142</v>
      </c>
      <c r="G132" s="75"/>
      <c r="H132" s="82">
        <v>15</v>
      </c>
      <c r="I132" s="83" t="s">
        <v>143</v>
      </c>
      <c r="J132" s="50">
        <v>100000</v>
      </c>
      <c r="K132" s="50">
        <f t="shared" ref="K132" si="9">J132*H132</f>
        <v>1500000</v>
      </c>
      <c r="L132" s="46"/>
    </row>
    <row r="133" spans="2:12" x14ac:dyDescent="0.35">
      <c r="B133" s="85"/>
      <c r="C133" s="86"/>
      <c r="D133" s="78"/>
      <c r="E133" s="79"/>
      <c r="F133" s="75" t="s">
        <v>89</v>
      </c>
      <c r="G133" s="75" t="s">
        <v>244</v>
      </c>
      <c r="H133" s="82">
        <v>2990</v>
      </c>
      <c r="I133" s="83" t="s">
        <v>140</v>
      </c>
      <c r="J133" s="50">
        <v>526</v>
      </c>
      <c r="K133" s="110"/>
      <c r="L133" s="46">
        <f t="shared" si="5"/>
        <v>1572740</v>
      </c>
    </row>
    <row r="134" spans="2:12" x14ac:dyDescent="0.35">
      <c r="B134" s="85"/>
      <c r="C134" s="86"/>
      <c r="D134" s="78"/>
      <c r="E134" s="79"/>
      <c r="F134" s="75" t="s">
        <v>89</v>
      </c>
      <c r="G134" s="75" t="s">
        <v>245</v>
      </c>
      <c r="H134" s="82">
        <v>1</v>
      </c>
      <c r="I134" s="83" t="s">
        <v>88</v>
      </c>
      <c r="J134" s="50">
        <v>120000</v>
      </c>
      <c r="K134" s="110"/>
      <c r="L134" s="46">
        <f t="shared" si="5"/>
        <v>120000</v>
      </c>
    </row>
    <row r="135" spans="2:12" x14ac:dyDescent="0.35">
      <c r="B135" s="85"/>
      <c r="C135" s="86"/>
      <c r="D135" s="78"/>
      <c r="E135" s="79"/>
      <c r="F135" s="75" t="s">
        <v>89</v>
      </c>
      <c r="G135" s="75" t="s">
        <v>246</v>
      </c>
      <c r="H135" s="82">
        <v>3</v>
      </c>
      <c r="I135" s="83" t="s">
        <v>131</v>
      </c>
      <c r="J135" s="50">
        <v>190000</v>
      </c>
      <c r="K135" s="110"/>
      <c r="L135" s="46">
        <f t="shared" si="5"/>
        <v>570000</v>
      </c>
    </row>
    <row r="136" spans="2:12" x14ac:dyDescent="0.35">
      <c r="B136" s="85"/>
      <c r="C136" s="86"/>
      <c r="D136" s="78"/>
      <c r="E136" s="79"/>
      <c r="F136" s="75" t="s">
        <v>89</v>
      </c>
      <c r="G136" s="75" t="s">
        <v>247</v>
      </c>
      <c r="H136" s="82">
        <v>2</v>
      </c>
      <c r="I136" s="83" t="s">
        <v>131</v>
      </c>
      <c r="J136" s="219">
        <v>150000</v>
      </c>
      <c r="K136" s="110"/>
      <c r="L136" s="46">
        <f t="shared" si="5"/>
        <v>300000</v>
      </c>
    </row>
    <row r="137" spans="2:12" x14ac:dyDescent="0.35">
      <c r="B137" s="47"/>
      <c r="C137" s="48"/>
      <c r="D137" s="25"/>
      <c r="E137" s="108"/>
      <c r="F137" s="2"/>
      <c r="G137" s="21"/>
      <c r="I137" s="22"/>
      <c r="J137" s="218"/>
      <c r="K137" s="29"/>
      <c r="L137" s="52"/>
    </row>
    <row r="138" spans="2:12" x14ac:dyDescent="0.35">
      <c r="B138" s="8"/>
      <c r="C138" s="9"/>
      <c r="D138" s="10"/>
      <c r="E138" s="4"/>
      <c r="F138" s="4"/>
      <c r="G138" s="4"/>
      <c r="H138" s="1"/>
      <c r="I138" s="1"/>
      <c r="J138" s="11" t="s">
        <v>8</v>
      </c>
      <c r="K138" s="7">
        <f>SUM(K86:K137)</f>
        <v>43750000</v>
      </c>
      <c r="L138" s="7">
        <f>SUM(L86:L137)</f>
        <v>10569181.6</v>
      </c>
    </row>
    <row r="139" spans="2:12" x14ac:dyDescent="0.35">
      <c r="B139" s="8"/>
      <c r="C139" s="9"/>
      <c r="D139" s="9"/>
      <c r="E139" s="4"/>
      <c r="F139" s="4"/>
      <c r="G139" s="4"/>
      <c r="H139" s="1"/>
      <c r="I139" s="1"/>
      <c r="J139" s="11"/>
      <c r="K139" s="35" t="s">
        <v>22</v>
      </c>
      <c r="L139" s="36" t="s">
        <v>23</v>
      </c>
    </row>
    <row r="140" spans="2:12" x14ac:dyDescent="0.35">
      <c r="B140" s="3" t="s">
        <v>9</v>
      </c>
      <c r="C140" s="4"/>
      <c r="D140" s="4"/>
      <c r="E140" s="4"/>
      <c r="F140" s="4"/>
      <c r="G140" s="4"/>
      <c r="H140" s="1"/>
      <c r="I140" s="1"/>
      <c r="J140" s="12"/>
      <c r="K140" s="12"/>
      <c r="L140" s="13"/>
    </row>
    <row r="141" spans="2:12" x14ac:dyDescent="0.35">
      <c r="B141" s="37"/>
      <c r="C141" s="1"/>
      <c r="D141" s="1"/>
      <c r="E141" s="38"/>
      <c r="F141" s="38"/>
      <c r="G141" s="38"/>
      <c r="H141" s="1"/>
      <c r="I141" s="1"/>
      <c r="J141" s="1"/>
      <c r="K141" s="1"/>
      <c r="L141" s="19"/>
    </row>
    <row r="142" spans="2:12" x14ac:dyDescent="0.35">
      <c r="B142" s="28" t="s">
        <v>6</v>
      </c>
      <c r="C142" s="27"/>
      <c r="D142" s="27"/>
      <c r="E142" s="26"/>
      <c r="F142" s="26"/>
      <c r="G142" s="5"/>
      <c r="K142" s="246" t="s">
        <v>216</v>
      </c>
      <c r="L142" s="247"/>
    </row>
    <row r="143" spans="2:12" x14ac:dyDescent="0.35">
      <c r="B143" s="28">
        <v>1</v>
      </c>
      <c r="C143" s="27"/>
      <c r="D143" s="27"/>
      <c r="E143" s="26" t="s">
        <v>7</v>
      </c>
      <c r="F143" s="26"/>
      <c r="G143" s="5"/>
      <c r="K143" s="246" t="s">
        <v>28</v>
      </c>
      <c r="L143" s="247"/>
    </row>
    <row r="144" spans="2:12" x14ac:dyDescent="0.35">
      <c r="B144" s="39"/>
      <c r="C144" s="27"/>
      <c r="D144" s="27"/>
      <c r="E144" s="26"/>
      <c r="F144" s="26"/>
      <c r="G144" s="5"/>
      <c r="J144" s="25"/>
      <c r="K144" s="25"/>
      <c r="L144" s="24"/>
    </row>
    <row r="145" spans="2:12" x14ac:dyDescent="0.35">
      <c r="B145" s="28"/>
      <c r="C145" s="27"/>
      <c r="D145" s="27"/>
      <c r="E145" s="26"/>
      <c r="F145" s="26"/>
      <c r="G145" s="5"/>
      <c r="L145" s="22"/>
    </row>
    <row r="146" spans="2:12" x14ac:dyDescent="0.35">
      <c r="B146" s="45"/>
      <c r="E146" s="5"/>
      <c r="F146" s="5"/>
      <c r="G146" s="5"/>
      <c r="L146" s="22"/>
    </row>
    <row r="147" spans="2:12" x14ac:dyDescent="0.35">
      <c r="B147" s="45"/>
      <c r="E147" s="5"/>
      <c r="F147" s="5"/>
      <c r="G147" s="5"/>
      <c r="L147" s="22"/>
    </row>
    <row r="148" spans="2:12" x14ac:dyDescent="0.35">
      <c r="B148" s="45"/>
      <c r="E148" s="5"/>
      <c r="F148" s="5"/>
      <c r="G148" s="5"/>
      <c r="L148" s="22"/>
    </row>
    <row r="149" spans="2:12" x14ac:dyDescent="0.35">
      <c r="B149" s="45"/>
      <c r="E149" s="5"/>
      <c r="F149" s="5"/>
      <c r="G149" s="5"/>
      <c r="J149" s="40"/>
      <c r="K149" s="248" t="s">
        <v>36</v>
      </c>
      <c r="L149" s="249"/>
    </row>
    <row r="150" spans="2:12" x14ac:dyDescent="0.35">
      <c r="B150" s="45"/>
      <c r="K150" s="250" t="s">
        <v>37</v>
      </c>
      <c r="L150" s="251"/>
    </row>
    <row r="151" spans="2:12" x14ac:dyDescent="0.35">
      <c r="B151" s="243"/>
      <c r="C151" s="244"/>
      <c r="D151" s="244"/>
      <c r="E151" s="41"/>
      <c r="F151" s="41"/>
      <c r="G151" s="41"/>
      <c r="H151" s="2"/>
      <c r="I151" s="2"/>
      <c r="J151" s="2"/>
      <c r="K151" s="2"/>
      <c r="L151" s="21"/>
    </row>
    <row r="152" spans="2:12" x14ac:dyDescent="0.35">
      <c r="B152" s="47"/>
      <c r="C152" s="48"/>
      <c r="D152" s="49"/>
      <c r="G152" s="22"/>
      <c r="H152" s="1"/>
      <c r="I152" s="1"/>
      <c r="J152" s="216"/>
      <c r="K152" s="30"/>
      <c r="L152" s="44"/>
    </row>
    <row r="153" spans="2:12" x14ac:dyDescent="0.35">
      <c r="B153" s="85"/>
      <c r="C153" s="86"/>
      <c r="D153" s="78"/>
      <c r="E153" s="79"/>
      <c r="F153" s="75" t="s">
        <v>89</v>
      </c>
      <c r="G153" s="75" t="s">
        <v>248</v>
      </c>
      <c r="H153" s="82">
        <v>4</v>
      </c>
      <c r="I153" s="83" t="s">
        <v>131</v>
      </c>
      <c r="J153" s="217">
        <v>40000</v>
      </c>
      <c r="K153" s="52"/>
      <c r="L153" s="46">
        <f t="shared" ref="L153:L202" si="10">J153*H153</f>
        <v>160000</v>
      </c>
    </row>
    <row r="154" spans="2:12" x14ac:dyDescent="0.35">
      <c r="B154" s="85"/>
      <c r="C154" s="86"/>
      <c r="D154" s="78"/>
      <c r="E154" s="79"/>
      <c r="F154" s="75" t="s">
        <v>89</v>
      </c>
      <c r="G154" s="75" t="s">
        <v>249</v>
      </c>
      <c r="H154" s="82">
        <v>1</v>
      </c>
      <c r="I154" s="83" t="s">
        <v>88</v>
      </c>
      <c r="J154" s="218">
        <v>40000</v>
      </c>
      <c r="K154" s="54"/>
      <c r="L154" s="46">
        <f t="shared" si="10"/>
        <v>40000</v>
      </c>
    </row>
    <row r="155" spans="2:12" x14ac:dyDescent="0.35">
      <c r="B155" s="85"/>
      <c r="C155" s="86"/>
      <c r="D155" s="78"/>
      <c r="E155" s="79"/>
      <c r="F155" s="75" t="s">
        <v>89</v>
      </c>
      <c r="G155" s="75" t="s">
        <v>250</v>
      </c>
      <c r="H155" s="82">
        <v>120</v>
      </c>
      <c r="I155" s="83" t="s">
        <v>140</v>
      </c>
      <c r="J155" s="218">
        <v>181</v>
      </c>
      <c r="K155" s="54"/>
      <c r="L155" s="46">
        <f t="shared" si="10"/>
        <v>21720</v>
      </c>
    </row>
    <row r="156" spans="2:12" x14ac:dyDescent="0.35">
      <c r="B156" s="77"/>
      <c r="C156" s="73"/>
      <c r="D156" s="78"/>
      <c r="E156" s="79"/>
      <c r="F156" s="75" t="s">
        <v>89</v>
      </c>
      <c r="G156" s="75" t="s">
        <v>251</v>
      </c>
      <c r="H156" s="82">
        <v>2</v>
      </c>
      <c r="I156" s="83" t="s">
        <v>88</v>
      </c>
      <c r="J156" s="218">
        <v>100000</v>
      </c>
      <c r="K156" s="54"/>
      <c r="L156" s="46">
        <f t="shared" si="10"/>
        <v>200000</v>
      </c>
    </row>
    <row r="157" spans="2:12" x14ac:dyDescent="0.35">
      <c r="B157" s="77"/>
      <c r="C157" s="73"/>
      <c r="D157" s="78"/>
      <c r="E157" s="79"/>
      <c r="F157" s="75" t="s">
        <v>89</v>
      </c>
      <c r="G157" s="75" t="s">
        <v>252</v>
      </c>
      <c r="H157" s="82">
        <v>1</v>
      </c>
      <c r="I157" s="83" t="s">
        <v>88</v>
      </c>
      <c r="J157" s="218">
        <v>290000</v>
      </c>
      <c r="K157" s="54"/>
      <c r="L157" s="46">
        <f t="shared" si="10"/>
        <v>290000</v>
      </c>
    </row>
    <row r="158" spans="2:12" x14ac:dyDescent="0.35">
      <c r="B158" s="77"/>
      <c r="C158" s="73"/>
      <c r="D158" s="78"/>
      <c r="E158" s="79"/>
      <c r="F158" s="75" t="s">
        <v>89</v>
      </c>
      <c r="G158" s="75" t="s">
        <v>253</v>
      </c>
      <c r="H158" s="82">
        <v>1</v>
      </c>
      <c r="I158" s="83" t="s">
        <v>131</v>
      </c>
      <c r="J158" s="218">
        <v>140000</v>
      </c>
      <c r="K158" s="54"/>
      <c r="L158" s="46">
        <f t="shared" si="10"/>
        <v>140000</v>
      </c>
    </row>
    <row r="159" spans="2:12" x14ac:dyDescent="0.35">
      <c r="B159" s="85"/>
      <c r="C159" s="86"/>
      <c r="D159" s="78"/>
      <c r="E159" s="88"/>
      <c r="F159" s="75" t="s">
        <v>89</v>
      </c>
      <c r="G159" s="75" t="s">
        <v>254</v>
      </c>
      <c r="H159" s="82">
        <v>1</v>
      </c>
      <c r="I159" s="83" t="s">
        <v>131</v>
      </c>
      <c r="J159" s="218">
        <v>300000</v>
      </c>
      <c r="K159" s="54"/>
      <c r="L159" s="46">
        <f t="shared" si="10"/>
        <v>300000</v>
      </c>
    </row>
    <row r="160" spans="2:12" x14ac:dyDescent="0.35">
      <c r="B160" s="85"/>
      <c r="C160" s="86" t="s">
        <v>144</v>
      </c>
      <c r="D160" s="78"/>
      <c r="E160" s="88"/>
      <c r="F160" s="75" t="s">
        <v>145</v>
      </c>
      <c r="G160" s="75"/>
      <c r="H160" s="82"/>
      <c r="I160" s="83"/>
      <c r="J160" s="218"/>
      <c r="K160" s="54"/>
      <c r="L160" s="46"/>
    </row>
    <row r="161" spans="2:12" x14ac:dyDescent="0.35">
      <c r="B161" s="85"/>
      <c r="C161" s="86"/>
      <c r="D161" s="78" t="s">
        <v>44</v>
      </c>
      <c r="E161" s="88"/>
      <c r="F161" s="75" t="s">
        <v>255</v>
      </c>
      <c r="G161" s="75"/>
      <c r="H161" s="82">
        <v>14</v>
      </c>
      <c r="I161" s="83" t="s">
        <v>139</v>
      </c>
      <c r="J161" s="69">
        <v>260000</v>
      </c>
      <c r="K161" s="50">
        <f t="shared" ref="K161" si="11">J161*H161</f>
        <v>3640000</v>
      </c>
      <c r="L161" s="46"/>
    </row>
    <row r="162" spans="2:12" x14ac:dyDescent="0.35">
      <c r="B162" s="85"/>
      <c r="C162" s="86"/>
      <c r="D162" s="78"/>
      <c r="E162" s="88"/>
      <c r="F162" s="75" t="s">
        <v>89</v>
      </c>
      <c r="G162" s="75" t="s">
        <v>223</v>
      </c>
      <c r="H162" s="82">
        <v>2410</v>
      </c>
      <c r="I162" s="83" t="s">
        <v>140</v>
      </c>
      <c r="J162" s="68">
        <v>627</v>
      </c>
      <c r="K162" s="54"/>
      <c r="L162" s="46">
        <f t="shared" si="10"/>
        <v>1511070</v>
      </c>
    </row>
    <row r="163" spans="2:12" x14ac:dyDescent="0.35">
      <c r="B163" s="85"/>
      <c r="C163" s="86"/>
      <c r="D163" s="78"/>
      <c r="E163" s="88"/>
      <c r="F163" s="75" t="s">
        <v>89</v>
      </c>
      <c r="G163" s="75" t="s">
        <v>224</v>
      </c>
      <c r="H163" s="82">
        <v>3</v>
      </c>
      <c r="I163" s="83" t="s">
        <v>131</v>
      </c>
      <c r="J163" s="50">
        <v>240000</v>
      </c>
      <c r="K163" s="54"/>
      <c r="L163" s="46">
        <f t="shared" si="10"/>
        <v>720000</v>
      </c>
    </row>
    <row r="164" spans="2:12" x14ac:dyDescent="0.35">
      <c r="B164" s="85"/>
      <c r="C164" s="86"/>
      <c r="D164" s="78"/>
      <c r="E164" s="88"/>
      <c r="F164" s="75" t="s">
        <v>89</v>
      </c>
      <c r="G164" s="75" t="s">
        <v>225</v>
      </c>
      <c r="H164" s="82">
        <v>4</v>
      </c>
      <c r="I164" s="83" t="s">
        <v>131</v>
      </c>
      <c r="J164" s="50">
        <v>290000</v>
      </c>
      <c r="K164" s="54"/>
      <c r="L164" s="46">
        <f t="shared" si="10"/>
        <v>1160000</v>
      </c>
    </row>
    <row r="165" spans="2:12" x14ac:dyDescent="0.35">
      <c r="B165" s="85"/>
      <c r="C165" s="86"/>
      <c r="D165" s="78"/>
      <c r="E165" s="88"/>
      <c r="F165" s="75" t="s">
        <v>89</v>
      </c>
      <c r="G165" s="75" t="s">
        <v>226</v>
      </c>
      <c r="H165" s="82">
        <v>8</v>
      </c>
      <c r="I165" s="83" t="s">
        <v>131</v>
      </c>
      <c r="J165" s="50">
        <v>40000</v>
      </c>
      <c r="K165" s="54"/>
      <c r="L165" s="46">
        <f t="shared" si="10"/>
        <v>320000</v>
      </c>
    </row>
    <row r="166" spans="2:12" x14ac:dyDescent="0.35">
      <c r="B166" s="85"/>
      <c r="C166" s="86"/>
      <c r="D166" s="78"/>
      <c r="E166" s="88"/>
      <c r="F166" s="75" t="s">
        <v>89</v>
      </c>
      <c r="G166" s="75" t="s">
        <v>227</v>
      </c>
      <c r="H166" s="82">
        <v>2</v>
      </c>
      <c r="I166" s="83" t="s">
        <v>88</v>
      </c>
      <c r="J166" s="50">
        <v>40000</v>
      </c>
      <c r="K166" s="54"/>
      <c r="L166" s="46">
        <f t="shared" si="10"/>
        <v>80000</v>
      </c>
    </row>
    <row r="167" spans="2:12" x14ac:dyDescent="0.35">
      <c r="B167" s="85"/>
      <c r="C167" s="86"/>
      <c r="D167" s="78"/>
      <c r="E167" s="88"/>
      <c r="F167" s="75" t="s">
        <v>89</v>
      </c>
      <c r="G167" s="75" t="s">
        <v>228</v>
      </c>
      <c r="H167" s="82">
        <v>190</v>
      </c>
      <c r="I167" s="83" t="s">
        <v>140</v>
      </c>
      <c r="J167" s="50">
        <v>468</v>
      </c>
      <c r="K167" s="54"/>
      <c r="L167" s="46">
        <f t="shared" si="10"/>
        <v>88920</v>
      </c>
    </row>
    <row r="168" spans="2:12" x14ac:dyDescent="0.35">
      <c r="B168" s="85"/>
      <c r="C168" s="86"/>
      <c r="D168" s="78"/>
      <c r="E168" s="88"/>
      <c r="F168" s="75" t="s">
        <v>89</v>
      </c>
      <c r="G168" s="75" t="s">
        <v>229</v>
      </c>
      <c r="H168" s="82">
        <v>2</v>
      </c>
      <c r="I168" s="83" t="s">
        <v>88</v>
      </c>
      <c r="J168" s="50">
        <v>60000</v>
      </c>
      <c r="K168" s="54"/>
      <c r="L168" s="46">
        <f t="shared" si="10"/>
        <v>120000</v>
      </c>
    </row>
    <row r="169" spans="2:12" x14ac:dyDescent="0.35">
      <c r="B169" s="85"/>
      <c r="C169" s="86"/>
      <c r="D169" s="78"/>
      <c r="E169" s="84"/>
      <c r="F169" s="75" t="s">
        <v>89</v>
      </c>
      <c r="G169" s="75" t="s">
        <v>230</v>
      </c>
      <c r="H169" s="82">
        <v>2</v>
      </c>
      <c r="I169" s="83" t="s">
        <v>131</v>
      </c>
      <c r="J169" s="218">
        <v>40000</v>
      </c>
      <c r="K169" s="54"/>
      <c r="L169" s="46">
        <f t="shared" si="10"/>
        <v>80000</v>
      </c>
    </row>
    <row r="170" spans="2:12" x14ac:dyDescent="0.35">
      <c r="B170" s="85"/>
      <c r="C170" s="86"/>
      <c r="D170" s="78"/>
      <c r="E170" s="84"/>
      <c r="F170" s="75" t="s">
        <v>89</v>
      </c>
      <c r="G170" s="75" t="s">
        <v>231</v>
      </c>
      <c r="H170" s="80">
        <f>0.14*0.4*10*7.85*1.2</f>
        <v>5.2751999999999999</v>
      </c>
      <c r="I170" s="83" t="s">
        <v>180</v>
      </c>
      <c r="J170" s="218">
        <v>33000</v>
      </c>
      <c r="K170" s="54"/>
      <c r="L170" s="46">
        <f t="shared" si="10"/>
        <v>174081.6</v>
      </c>
    </row>
    <row r="171" spans="2:12" x14ac:dyDescent="0.35">
      <c r="B171" s="85"/>
      <c r="C171" s="86"/>
      <c r="D171" s="78" t="s">
        <v>47</v>
      </c>
      <c r="E171" s="84"/>
      <c r="F171" s="75" t="s">
        <v>141</v>
      </c>
      <c r="G171" s="75"/>
      <c r="H171" s="82">
        <v>5</v>
      </c>
      <c r="I171" s="83" t="s">
        <v>139</v>
      </c>
      <c r="J171" s="50">
        <v>170000</v>
      </c>
      <c r="K171" s="50">
        <f t="shared" ref="K171" si="12">J171*H171</f>
        <v>850000</v>
      </c>
      <c r="L171" s="46"/>
    </row>
    <row r="172" spans="2:12" x14ac:dyDescent="0.35">
      <c r="B172" s="85"/>
      <c r="C172" s="86"/>
      <c r="D172" s="78"/>
      <c r="E172" s="84"/>
      <c r="F172" s="75" t="s">
        <v>89</v>
      </c>
      <c r="G172" s="75" t="s">
        <v>232</v>
      </c>
      <c r="H172" s="82">
        <v>90</v>
      </c>
      <c r="I172" s="83" t="s">
        <v>140</v>
      </c>
      <c r="J172" s="50">
        <v>421</v>
      </c>
      <c r="K172" s="54"/>
      <c r="L172" s="46">
        <f t="shared" si="10"/>
        <v>37890</v>
      </c>
    </row>
    <row r="173" spans="2:12" x14ac:dyDescent="0.35">
      <c r="B173" s="85"/>
      <c r="C173" s="86"/>
      <c r="D173" s="78"/>
      <c r="E173" s="84"/>
      <c r="F173" s="75" t="s">
        <v>89</v>
      </c>
      <c r="G173" s="75" t="s">
        <v>233</v>
      </c>
      <c r="H173" s="82">
        <v>2</v>
      </c>
      <c r="I173" s="83" t="s">
        <v>131</v>
      </c>
      <c r="J173" s="50">
        <v>140000</v>
      </c>
      <c r="K173" s="54"/>
      <c r="L173" s="46">
        <f t="shared" si="10"/>
        <v>280000</v>
      </c>
    </row>
    <row r="174" spans="2:12" x14ac:dyDescent="0.35">
      <c r="B174" s="85"/>
      <c r="C174" s="86"/>
      <c r="D174" s="78"/>
      <c r="E174" s="79"/>
      <c r="F174" s="75" t="s">
        <v>89</v>
      </c>
      <c r="G174" s="75" t="s">
        <v>256</v>
      </c>
      <c r="H174" s="82">
        <v>0.72533999999999998</v>
      </c>
      <c r="I174" s="83" t="s">
        <v>115</v>
      </c>
      <c r="J174" s="50">
        <v>160000</v>
      </c>
      <c r="K174" s="54"/>
      <c r="L174" s="46">
        <f t="shared" si="10"/>
        <v>116054.39999999999</v>
      </c>
    </row>
    <row r="175" spans="2:12" x14ac:dyDescent="0.35">
      <c r="B175" s="85"/>
      <c r="C175" s="86"/>
      <c r="D175" s="78"/>
      <c r="E175" s="79"/>
      <c r="F175" s="75" t="s">
        <v>89</v>
      </c>
      <c r="G175" s="75" t="s">
        <v>257</v>
      </c>
      <c r="H175" s="82">
        <v>2</v>
      </c>
      <c r="I175" s="83" t="s">
        <v>131</v>
      </c>
      <c r="J175" s="50">
        <v>40000</v>
      </c>
      <c r="K175" s="54"/>
      <c r="L175" s="46">
        <f t="shared" si="10"/>
        <v>80000</v>
      </c>
    </row>
    <row r="176" spans="2:12" x14ac:dyDescent="0.35">
      <c r="B176" s="85"/>
      <c r="C176" s="86"/>
      <c r="D176" s="78"/>
      <c r="E176" s="79"/>
      <c r="F176" s="75" t="s">
        <v>89</v>
      </c>
      <c r="G176" s="75" t="s">
        <v>235</v>
      </c>
      <c r="H176" s="82">
        <v>110</v>
      </c>
      <c r="I176" s="83" t="s">
        <v>140</v>
      </c>
      <c r="J176" s="50">
        <v>369</v>
      </c>
      <c r="K176" s="54"/>
      <c r="L176" s="46">
        <f t="shared" si="10"/>
        <v>40590</v>
      </c>
    </row>
    <row r="177" spans="2:12" x14ac:dyDescent="0.35">
      <c r="B177" s="85"/>
      <c r="C177" s="86"/>
      <c r="D177" s="78"/>
      <c r="E177" s="79"/>
      <c r="F177" s="75" t="s">
        <v>89</v>
      </c>
      <c r="G177" s="75" t="s">
        <v>236</v>
      </c>
      <c r="H177" s="82">
        <v>4</v>
      </c>
      <c r="I177" s="83" t="s">
        <v>88</v>
      </c>
      <c r="J177" s="67">
        <v>130000</v>
      </c>
      <c r="K177" s="54"/>
      <c r="L177" s="46">
        <f t="shared" si="10"/>
        <v>520000</v>
      </c>
    </row>
    <row r="178" spans="2:12" x14ac:dyDescent="0.35">
      <c r="B178" s="85"/>
      <c r="C178" s="86"/>
      <c r="D178" s="78" t="s">
        <v>49</v>
      </c>
      <c r="E178" s="79"/>
      <c r="F178" s="75" t="s">
        <v>258</v>
      </c>
      <c r="G178" s="75"/>
      <c r="H178" s="82">
        <v>4</v>
      </c>
      <c r="I178" s="83" t="s">
        <v>139</v>
      </c>
      <c r="J178" s="50">
        <v>220000</v>
      </c>
      <c r="K178" s="50">
        <f t="shared" ref="K178" si="13">J178*H178</f>
        <v>880000</v>
      </c>
      <c r="L178" s="46"/>
    </row>
    <row r="179" spans="2:12" x14ac:dyDescent="0.35">
      <c r="B179" s="85"/>
      <c r="C179" s="86"/>
      <c r="D179" s="78"/>
      <c r="E179" s="79"/>
      <c r="F179" s="75" t="s">
        <v>89</v>
      </c>
      <c r="G179" s="75" t="s">
        <v>238</v>
      </c>
      <c r="H179" s="82">
        <v>350</v>
      </c>
      <c r="I179" s="83" t="s">
        <v>140</v>
      </c>
      <c r="J179" s="50">
        <v>627</v>
      </c>
      <c r="K179" s="54"/>
      <c r="L179" s="46">
        <f t="shared" si="10"/>
        <v>219450</v>
      </c>
    </row>
    <row r="180" spans="2:12" x14ac:dyDescent="0.35">
      <c r="B180" s="85"/>
      <c r="C180" s="86"/>
      <c r="D180" s="78"/>
      <c r="E180" s="79"/>
      <c r="F180" s="75" t="s">
        <v>89</v>
      </c>
      <c r="G180" s="75" t="s">
        <v>239</v>
      </c>
      <c r="H180" s="82">
        <v>2</v>
      </c>
      <c r="I180" s="83" t="s">
        <v>131</v>
      </c>
      <c r="J180" s="50">
        <v>140000</v>
      </c>
      <c r="K180" s="54"/>
      <c r="L180" s="46">
        <f t="shared" si="10"/>
        <v>280000</v>
      </c>
    </row>
    <row r="181" spans="2:12" x14ac:dyDescent="0.35">
      <c r="B181" s="85"/>
      <c r="C181" s="86"/>
      <c r="D181" s="78"/>
      <c r="E181" s="79"/>
      <c r="F181" s="75" t="s">
        <v>89</v>
      </c>
      <c r="G181" s="75" t="s">
        <v>259</v>
      </c>
      <c r="H181" s="82">
        <v>1.8086399999999998</v>
      </c>
      <c r="I181" s="83" t="s">
        <v>115</v>
      </c>
      <c r="J181" s="50">
        <v>330000</v>
      </c>
      <c r="K181" s="54"/>
      <c r="L181" s="46">
        <f t="shared" si="10"/>
        <v>596851.19999999995</v>
      </c>
    </row>
    <row r="182" spans="2:12" x14ac:dyDescent="0.35">
      <c r="B182" s="85"/>
      <c r="C182" s="86"/>
      <c r="D182" s="78"/>
      <c r="E182" s="79"/>
      <c r="F182" s="75" t="s">
        <v>89</v>
      </c>
      <c r="G182" s="75" t="s">
        <v>240</v>
      </c>
      <c r="H182" s="82">
        <v>200</v>
      </c>
      <c r="I182" s="83" t="s">
        <v>140</v>
      </c>
      <c r="J182" s="50">
        <v>453</v>
      </c>
      <c r="K182" s="54"/>
      <c r="L182" s="46">
        <f t="shared" si="10"/>
        <v>90600</v>
      </c>
    </row>
    <row r="183" spans="2:12" x14ac:dyDescent="0.35">
      <c r="B183" s="85"/>
      <c r="C183" s="86"/>
      <c r="D183" s="78"/>
      <c r="E183" s="79"/>
      <c r="F183" s="75" t="s">
        <v>89</v>
      </c>
      <c r="G183" s="75" t="s">
        <v>241</v>
      </c>
      <c r="H183" s="82">
        <v>2</v>
      </c>
      <c r="I183" s="83" t="s">
        <v>88</v>
      </c>
      <c r="J183" s="50">
        <v>60000</v>
      </c>
      <c r="K183" s="54"/>
      <c r="L183" s="46">
        <f t="shared" si="10"/>
        <v>120000</v>
      </c>
    </row>
    <row r="184" spans="2:12" x14ac:dyDescent="0.35">
      <c r="B184" s="85"/>
      <c r="C184" s="86"/>
      <c r="D184" s="78"/>
      <c r="E184" s="79"/>
      <c r="F184" s="75" t="s">
        <v>89</v>
      </c>
      <c r="G184" s="75" t="s">
        <v>260</v>
      </c>
      <c r="H184" s="82">
        <v>1</v>
      </c>
      <c r="I184" s="83" t="s">
        <v>131</v>
      </c>
      <c r="J184" s="50">
        <v>40000</v>
      </c>
      <c r="K184" s="54"/>
      <c r="L184" s="46">
        <f t="shared" si="10"/>
        <v>40000</v>
      </c>
    </row>
    <row r="185" spans="2:12" x14ac:dyDescent="0.35">
      <c r="B185" s="85"/>
      <c r="C185" s="86"/>
      <c r="D185" s="78"/>
      <c r="E185" s="88"/>
      <c r="F185" s="75" t="s">
        <v>89</v>
      </c>
      <c r="G185" s="75" t="s">
        <v>226</v>
      </c>
      <c r="H185" s="82">
        <v>1</v>
      </c>
      <c r="I185" s="89" t="s">
        <v>131</v>
      </c>
      <c r="J185" s="50">
        <v>40000</v>
      </c>
      <c r="K185" s="54"/>
      <c r="L185" s="46">
        <f t="shared" si="10"/>
        <v>40000</v>
      </c>
    </row>
    <row r="186" spans="2:12" x14ac:dyDescent="0.35">
      <c r="B186" s="85"/>
      <c r="C186" s="86"/>
      <c r="D186" s="78"/>
      <c r="E186" s="88"/>
      <c r="F186" s="75" t="s">
        <v>89</v>
      </c>
      <c r="G186" s="75" t="s">
        <v>261</v>
      </c>
      <c r="H186" s="82">
        <v>1</v>
      </c>
      <c r="I186" s="89" t="s">
        <v>88</v>
      </c>
      <c r="J186" s="50">
        <v>40000</v>
      </c>
      <c r="K186" s="54"/>
      <c r="L186" s="46">
        <f t="shared" si="10"/>
        <v>40000</v>
      </c>
    </row>
    <row r="187" spans="2:12" x14ac:dyDescent="0.35">
      <c r="B187" s="85"/>
      <c r="C187" s="86"/>
      <c r="D187" s="78" t="s">
        <v>51</v>
      </c>
      <c r="E187" s="88"/>
      <c r="F187" s="75" t="s">
        <v>262</v>
      </c>
      <c r="G187" s="75"/>
      <c r="H187" s="82">
        <v>2</v>
      </c>
      <c r="I187" s="83" t="s">
        <v>139</v>
      </c>
      <c r="J187" s="218">
        <v>170000</v>
      </c>
      <c r="K187" s="50">
        <f t="shared" ref="K187" si="14">J187*H187</f>
        <v>340000</v>
      </c>
      <c r="L187" s="46"/>
    </row>
    <row r="188" spans="2:12" x14ac:dyDescent="0.35">
      <c r="B188" s="85"/>
      <c r="C188" s="86"/>
      <c r="D188" s="78"/>
      <c r="E188" s="88"/>
      <c r="F188" s="75" t="s">
        <v>89</v>
      </c>
      <c r="G188" s="75" t="s">
        <v>232</v>
      </c>
      <c r="H188" s="82">
        <v>300</v>
      </c>
      <c r="I188" s="83" t="s">
        <v>140</v>
      </c>
      <c r="J188" s="218">
        <v>421</v>
      </c>
      <c r="K188" s="52"/>
      <c r="L188" s="46">
        <f t="shared" si="10"/>
        <v>126300</v>
      </c>
    </row>
    <row r="189" spans="2:12" x14ac:dyDescent="0.35">
      <c r="B189" s="85"/>
      <c r="C189" s="86"/>
      <c r="D189" s="78"/>
      <c r="E189" s="88"/>
      <c r="F189" s="75" t="s">
        <v>89</v>
      </c>
      <c r="G189" s="75" t="s">
        <v>234</v>
      </c>
      <c r="H189" s="82">
        <v>100</v>
      </c>
      <c r="I189" s="83" t="s">
        <v>140</v>
      </c>
      <c r="J189" s="218">
        <v>320</v>
      </c>
      <c r="K189" s="54"/>
      <c r="L189" s="46">
        <f t="shared" si="10"/>
        <v>32000</v>
      </c>
    </row>
    <row r="190" spans="2:12" x14ac:dyDescent="0.35">
      <c r="B190" s="85"/>
      <c r="C190" s="86"/>
      <c r="D190" s="78"/>
      <c r="E190" s="88"/>
      <c r="F190" s="75" t="s">
        <v>89</v>
      </c>
      <c r="G190" s="75" t="s">
        <v>235</v>
      </c>
      <c r="H190" s="82">
        <v>140</v>
      </c>
      <c r="I190" s="83" t="s">
        <v>140</v>
      </c>
      <c r="J190" s="218">
        <v>264</v>
      </c>
      <c r="K190" s="51"/>
      <c r="L190" s="46">
        <f t="shared" si="10"/>
        <v>36960</v>
      </c>
    </row>
    <row r="191" spans="2:12" x14ac:dyDescent="0.35">
      <c r="B191" s="85"/>
      <c r="C191" s="86"/>
      <c r="D191" s="78"/>
      <c r="E191" s="79"/>
      <c r="F191" s="75" t="s">
        <v>89</v>
      </c>
      <c r="G191" s="75" t="s">
        <v>243</v>
      </c>
      <c r="H191" s="82">
        <v>2</v>
      </c>
      <c r="I191" s="90" t="s">
        <v>88</v>
      </c>
      <c r="J191" s="219">
        <v>130000</v>
      </c>
      <c r="K191" s="54"/>
      <c r="L191" s="46">
        <f t="shared" si="10"/>
        <v>260000</v>
      </c>
    </row>
    <row r="192" spans="2:12" x14ac:dyDescent="0.35">
      <c r="B192" s="77"/>
      <c r="C192" s="73"/>
      <c r="D192" s="78" t="s">
        <v>53</v>
      </c>
      <c r="E192" s="79"/>
      <c r="F192" s="75" t="s">
        <v>146</v>
      </c>
      <c r="G192" s="75"/>
      <c r="H192" s="82">
        <v>13</v>
      </c>
      <c r="I192" s="83" t="s">
        <v>139</v>
      </c>
      <c r="J192" s="50">
        <v>100000</v>
      </c>
      <c r="K192" s="50">
        <f t="shared" ref="K192" si="15">J192*H192</f>
        <v>1300000</v>
      </c>
      <c r="L192" s="46"/>
    </row>
    <row r="193" spans="2:12" x14ac:dyDescent="0.35">
      <c r="B193" s="77"/>
      <c r="C193" s="73"/>
      <c r="D193" s="78"/>
      <c r="E193" s="79"/>
      <c r="F193" s="75" t="s">
        <v>89</v>
      </c>
      <c r="G193" s="75" t="s">
        <v>244</v>
      </c>
      <c r="H193" s="82">
        <v>2970</v>
      </c>
      <c r="I193" s="83" t="s">
        <v>140</v>
      </c>
      <c r="J193" s="50">
        <v>526</v>
      </c>
      <c r="K193" s="50"/>
      <c r="L193" s="46">
        <f t="shared" si="10"/>
        <v>1562220</v>
      </c>
    </row>
    <row r="194" spans="2:12" x14ac:dyDescent="0.35">
      <c r="B194" s="77"/>
      <c r="C194" s="73"/>
      <c r="D194" s="78"/>
      <c r="E194" s="79"/>
      <c r="F194" s="75" t="s">
        <v>89</v>
      </c>
      <c r="G194" s="75" t="s">
        <v>245</v>
      </c>
      <c r="H194" s="82">
        <v>1</v>
      </c>
      <c r="I194" s="83" t="s">
        <v>88</v>
      </c>
      <c r="J194" s="50">
        <v>120000</v>
      </c>
      <c r="K194" s="50"/>
      <c r="L194" s="46">
        <f t="shared" si="10"/>
        <v>120000</v>
      </c>
    </row>
    <row r="195" spans="2:12" x14ac:dyDescent="0.35">
      <c r="B195" s="77"/>
      <c r="C195" s="73"/>
      <c r="D195" s="78"/>
      <c r="E195" s="79"/>
      <c r="F195" s="75" t="s">
        <v>89</v>
      </c>
      <c r="G195" s="75" t="s">
        <v>246</v>
      </c>
      <c r="H195" s="82">
        <v>4</v>
      </c>
      <c r="I195" s="83" t="s">
        <v>131</v>
      </c>
      <c r="J195" s="50">
        <v>190000</v>
      </c>
      <c r="K195" s="54"/>
      <c r="L195" s="46">
        <f t="shared" si="10"/>
        <v>760000</v>
      </c>
    </row>
    <row r="196" spans="2:12" x14ac:dyDescent="0.35">
      <c r="B196" s="77"/>
      <c r="C196" s="73"/>
      <c r="D196" s="78"/>
      <c r="E196" s="79"/>
      <c r="F196" s="75" t="s">
        <v>89</v>
      </c>
      <c r="G196" s="75" t="s">
        <v>247</v>
      </c>
      <c r="H196" s="82">
        <v>2</v>
      </c>
      <c r="I196" s="83" t="s">
        <v>131</v>
      </c>
      <c r="J196" s="50">
        <v>130000</v>
      </c>
      <c r="K196" s="54"/>
      <c r="L196" s="46">
        <f t="shared" si="10"/>
        <v>260000</v>
      </c>
    </row>
    <row r="197" spans="2:12" x14ac:dyDescent="0.35">
      <c r="B197" s="77"/>
      <c r="C197" s="73"/>
      <c r="D197" s="78"/>
      <c r="E197" s="79"/>
      <c r="F197" s="75" t="s">
        <v>89</v>
      </c>
      <c r="G197" s="75" t="s">
        <v>248</v>
      </c>
      <c r="H197" s="82">
        <v>4</v>
      </c>
      <c r="I197" s="83" t="s">
        <v>131</v>
      </c>
      <c r="J197" s="50">
        <v>40000</v>
      </c>
      <c r="K197" s="110"/>
      <c r="L197" s="46">
        <f t="shared" si="10"/>
        <v>160000</v>
      </c>
    </row>
    <row r="198" spans="2:12" x14ac:dyDescent="0.35">
      <c r="B198" s="77"/>
      <c r="C198" s="73"/>
      <c r="D198" s="78"/>
      <c r="E198" s="79"/>
      <c r="F198" s="75" t="s">
        <v>89</v>
      </c>
      <c r="G198" s="75" t="s">
        <v>263</v>
      </c>
      <c r="H198" s="82">
        <v>2</v>
      </c>
      <c r="I198" s="83" t="s">
        <v>88</v>
      </c>
      <c r="J198" s="50">
        <v>40000</v>
      </c>
      <c r="K198" s="110"/>
      <c r="L198" s="46">
        <f t="shared" si="10"/>
        <v>80000</v>
      </c>
    </row>
    <row r="199" spans="2:12" x14ac:dyDescent="0.35">
      <c r="B199" s="77"/>
      <c r="C199" s="73"/>
      <c r="D199" s="78"/>
      <c r="E199" s="79"/>
      <c r="F199" s="75" t="s">
        <v>89</v>
      </c>
      <c r="G199" s="75" t="s">
        <v>250</v>
      </c>
      <c r="H199" s="82">
        <v>140</v>
      </c>
      <c r="I199" s="83" t="s">
        <v>140</v>
      </c>
      <c r="J199" s="50">
        <v>181</v>
      </c>
      <c r="K199" s="110"/>
      <c r="L199" s="46">
        <f t="shared" si="10"/>
        <v>25340</v>
      </c>
    </row>
    <row r="200" spans="2:12" x14ac:dyDescent="0.35">
      <c r="B200" s="77"/>
      <c r="C200" s="73"/>
      <c r="D200" s="78"/>
      <c r="E200" s="79"/>
      <c r="F200" s="75" t="s">
        <v>89</v>
      </c>
      <c r="G200" s="75" t="s">
        <v>251</v>
      </c>
      <c r="H200" s="82">
        <v>2</v>
      </c>
      <c r="I200" s="83" t="s">
        <v>88</v>
      </c>
      <c r="J200" s="50">
        <v>100000</v>
      </c>
      <c r="K200" s="110"/>
      <c r="L200" s="46">
        <f t="shared" si="10"/>
        <v>200000</v>
      </c>
    </row>
    <row r="201" spans="2:12" x14ac:dyDescent="0.35">
      <c r="B201" s="77"/>
      <c r="C201" s="73"/>
      <c r="D201" s="78"/>
      <c r="E201" s="79"/>
      <c r="F201" s="75" t="s">
        <v>89</v>
      </c>
      <c r="G201" s="75" t="s">
        <v>252</v>
      </c>
      <c r="H201" s="82">
        <v>2</v>
      </c>
      <c r="I201" s="83" t="s">
        <v>88</v>
      </c>
      <c r="J201" s="219">
        <v>290000</v>
      </c>
      <c r="K201" s="110"/>
      <c r="L201" s="46">
        <f t="shared" si="10"/>
        <v>580000</v>
      </c>
    </row>
    <row r="202" spans="2:12" x14ac:dyDescent="0.35">
      <c r="B202" s="77"/>
      <c r="C202" s="73"/>
      <c r="D202" s="78"/>
      <c r="E202" s="79"/>
      <c r="F202" s="75" t="s">
        <v>89</v>
      </c>
      <c r="G202" s="75" t="s">
        <v>254</v>
      </c>
      <c r="H202" s="82">
        <v>1</v>
      </c>
      <c r="I202" s="83" t="s">
        <v>131</v>
      </c>
      <c r="J202" s="219">
        <v>300000</v>
      </c>
      <c r="K202" s="110"/>
      <c r="L202" s="46">
        <f t="shared" si="10"/>
        <v>300000</v>
      </c>
    </row>
    <row r="203" spans="2:12" x14ac:dyDescent="0.35">
      <c r="B203" s="47"/>
      <c r="C203" s="48"/>
      <c r="D203" s="25"/>
      <c r="E203" s="108"/>
      <c r="F203" s="2"/>
      <c r="G203" s="21"/>
      <c r="I203" s="22"/>
      <c r="J203" s="218"/>
      <c r="K203" s="29"/>
      <c r="L203" s="52"/>
    </row>
    <row r="204" spans="2:12" x14ac:dyDescent="0.35">
      <c r="B204" s="8"/>
      <c r="C204" s="9"/>
      <c r="D204" s="10"/>
      <c r="E204" s="4"/>
      <c r="F204" s="4"/>
      <c r="G204" s="4"/>
      <c r="H204" s="1"/>
      <c r="I204" s="1"/>
      <c r="J204" s="11" t="s">
        <v>8</v>
      </c>
      <c r="K204" s="7">
        <f>SUM(K152:K203)</f>
        <v>7010000</v>
      </c>
      <c r="L204" s="7">
        <f>SUM(L152:L203)</f>
        <v>12410047.199999999</v>
      </c>
    </row>
    <row r="205" spans="2:12" x14ac:dyDescent="0.35">
      <c r="B205" s="8"/>
      <c r="C205" s="9"/>
      <c r="D205" s="9"/>
      <c r="E205" s="4"/>
      <c r="F205" s="4"/>
      <c r="G205" s="4"/>
      <c r="H205" s="1"/>
      <c r="I205" s="1"/>
      <c r="J205" s="11"/>
      <c r="K205" s="35" t="s">
        <v>22</v>
      </c>
      <c r="L205" s="36" t="s">
        <v>23</v>
      </c>
    </row>
    <row r="206" spans="2:12" x14ac:dyDescent="0.35">
      <c r="B206" s="3" t="s">
        <v>9</v>
      </c>
      <c r="C206" s="4"/>
      <c r="D206" s="4"/>
      <c r="E206" s="4"/>
      <c r="F206" s="4"/>
      <c r="G206" s="4"/>
      <c r="H206" s="1"/>
      <c r="I206" s="1"/>
      <c r="J206" s="12"/>
      <c r="K206" s="12"/>
      <c r="L206" s="13"/>
    </row>
    <row r="207" spans="2:12" x14ac:dyDescent="0.35">
      <c r="B207" s="37"/>
      <c r="C207" s="1"/>
      <c r="D207" s="1"/>
      <c r="E207" s="38"/>
      <c r="F207" s="38"/>
      <c r="G207" s="38"/>
      <c r="H207" s="1"/>
      <c r="I207" s="1"/>
      <c r="J207" s="1"/>
      <c r="K207" s="1"/>
      <c r="L207" s="19"/>
    </row>
    <row r="208" spans="2:12" x14ac:dyDescent="0.35">
      <c r="B208" s="28" t="s">
        <v>6</v>
      </c>
      <c r="C208" s="27"/>
      <c r="D208" s="27"/>
      <c r="E208" s="26"/>
      <c r="F208" s="26"/>
      <c r="G208" s="5"/>
      <c r="K208" s="246" t="s">
        <v>216</v>
      </c>
      <c r="L208" s="247"/>
    </row>
    <row r="209" spans="2:12" x14ac:dyDescent="0.35">
      <c r="B209" s="28">
        <v>1</v>
      </c>
      <c r="C209" s="27"/>
      <c r="D209" s="27"/>
      <c r="E209" s="26" t="s">
        <v>7</v>
      </c>
      <c r="F209" s="26"/>
      <c r="G209" s="5"/>
      <c r="K209" s="246" t="s">
        <v>28</v>
      </c>
      <c r="L209" s="247"/>
    </row>
    <row r="210" spans="2:12" x14ac:dyDescent="0.35">
      <c r="B210" s="39"/>
      <c r="C210" s="27"/>
      <c r="D210" s="27"/>
      <c r="E210" s="26"/>
      <c r="F210" s="26"/>
      <c r="G210" s="5"/>
      <c r="J210" s="25"/>
      <c r="K210" s="25"/>
      <c r="L210" s="24"/>
    </row>
    <row r="211" spans="2:12" x14ac:dyDescent="0.35">
      <c r="B211" s="28"/>
      <c r="C211" s="27"/>
      <c r="D211" s="27"/>
      <c r="E211" s="26"/>
      <c r="F211" s="26"/>
      <c r="G211" s="5"/>
      <c r="L211" s="22"/>
    </row>
    <row r="212" spans="2:12" x14ac:dyDescent="0.35">
      <c r="B212" s="45"/>
      <c r="E212" s="5"/>
      <c r="F212" s="5"/>
      <c r="G212" s="5"/>
      <c r="L212" s="22"/>
    </row>
    <row r="213" spans="2:12" x14ac:dyDescent="0.35">
      <c r="B213" s="45"/>
      <c r="E213" s="5"/>
      <c r="F213" s="5"/>
      <c r="G213" s="5"/>
      <c r="L213" s="22"/>
    </row>
    <row r="214" spans="2:12" x14ac:dyDescent="0.35">
      <c r="B214" s="45"/>
      <c r="E214" s="5"/>
      <c r="F214" s="5"/>
      <c r="G214" s="5"/>
      <c r="L214" s="22"/>
    </row>
    <row r="215" spans="2:12" x14ac:dyDescent="0.35">
      <c r="B215" s="45"/>
      <c r="E215" s="5"/>
      <c r="F215" s="5"/>
      <c r="G215" s="5"/>
      <c r="J215" s="40"/>
      <c r="K215" s="248" t="s">
        <v>36</v>
      </c>
      <c r="L215" s="249"/>
    </row>
    <row r="216" spans="2:12" x14ac:dyDescent="0.35">
      <c r="B216" s="45"/>
      <c r="K216" s="250" t="s">
        <v>37</v>
      </c>
      <c r="L216" s="251"/>
    </row>
    <row r="217" spans="2:12" x14ac:dyDescent="0.35">
      <c r="B217" s="243"/>
      <c r="C217" s="244"/>
      <c r="D217" s="244"/>
      <c r="E217" s="41"/>
      <c r="F217" s="41"/>
      <c r="G217" s="41"/>
      <c r="H217" s="2"/>
      <c r="I217" s="2"/>
      <c r="J217" s="2"/>
      <c r="K217" s="2"/>
      <c r="L217" s="21"/>
    </row>
    <row r="218" spans="2:12" x14ac:dyDescent="0.35">
      <c r="B218" s="47"/>
      <c r="C218" s="48"/>
      <c r="D218" s="49"/>
      <c r="G218" s="22"/>
      <c r="H218" s="1"/>
      <c r="I218" s="1"/>
      <c r="J218" s="216"/>
      <c r="K218" s="30"/>
      <c r="L218" s="44"/>
    </row>
    <row r="219" spans="2:12" x14ac:dyDescent="0.35">
      <c r="B219" s="77"/>
      <c r="C219" s="73" t="s">
        <v>147</v>
      </c>
      <c r="D219" s="78"/>
      <c r="E219" s="79"/>
      <c r="F219" s="75" t="s">
        <v>148</v>
      </c>
      <c r="G219" s="75"/>
      <c r="H219" s="82"/>
      <c r="I219" s="83"/>
      <c r="J219" s="217"/>
      <c r="K219" s="52"/>
      <c r="L219" s="46"/>
    </row>
    <row r="220" spans="2:12" x14ac:dyDescent="0.35">
      <c r="B220" s="77"/>
      <c r="C220" s="73"/>
      <c r="D220" s="78" t="s">
        <v>44</v>
      </c>
      <c r="E220" s="79"/>
      <c r="F220" s="75" t="s">
        <v>264</v>
      </c>
      <c r="G220" s="75"/>
      <c r="H220" s="82">
        <v>21</v>
      </c>
      <c r="I220" s="83" t="s">
        <v>139</v>
      </c>
      <c r="J220" s="50">
        <v>220000</v>
      </c>
      <c r="K220" s="50">
        <f t="shared" ref="K220" si="16">J220*H220</f>
        <v>4620000</v>
      </c>
      <c r="L220" s="46"/>
    </row>
    <row r="221" spans="2:12" x14ac:dyDescent="0.35">
      <c r="B221" s="77"/>
      <c r="C221" s="73"/>
      <c r="D221" s="78"/>
      <c r="E221" s="79"/>
      <c r="F221" s="75" t="s">
        <v>89</v>
      </c>
      <c r="G221" s="75" t="s">
        <v>232</v>
      </c>
      <c r="H221" s="82">
        <v>1020</v>
      </c>
      <c r="I221" s="83" t="s">
        <v>140</v>
      </c>
      <c r="J221" s="50">
        <v>421</v>
      </c>
      <c r="K221" s="54"/>
      <c r="L221" s="46">
        <f t="shared" ref="L221:L266" si="17">J221*H221</f>
        <v>429420</v>
      </c>
    </row>
    <row r="222" spans="2:12" x14ac:dyDescent="0.35">
      <c r="B222" s="77"/>
      <c r="C222" s="73"/>
      <c r="D222" s="78"/>
      <c r="E222" s="79"/>
      <c r="F222" s="75" t="s">
        <v>89</v>
      </c>
      <c r="G222" s="75" t="s">
        <v>238</v>
      </c>
      <c r="H222" s="82">
        <v>1820</v>
      </c>
      <c r="I222" s="83" t="s">
        <v>140</v>
      </c>
      <c r="J222" s="50">
        <v>627</v>
      </c>
      <c r="K222" s="54"/>
      <c r="L222" s="46">
        <f t="shared" si="17"/>
        <v>1141140</v>
      </c>
    </row>
    <row r="223" spans="2:12" x14ac:dyDescent="0.35">
      <c r="B223" s="77"/>
      <c r="C223" s="73"/>
      <c r="D223" s="78"/>
      <c r="E223" s="79"/>
      <c r="F223" s="75" t="s">
        <v>89</v>
      </c>
      <c r="G223" s="75" t="s">
        <v>265</v>
      </c>
      <c r="H223" s="82">
        <v>1</v>
      </c>
      <c r="I223" s="83" t="s">
        <v>131</v>
      </c>
      <c r="J223" s="218">
        <v>270000</v>
      </c>
      <c r="K223" s="54"/>
      <c r="L223" s="46">
        <f t="shared" si="17"/>
        <v>270000</v>
      </c>
    </row>
    <row r="224" spans="2:12" x14ac:dyDescent="0.35">
      <c r="B224" s="77"/>
      <c r="C224" s="73"/>
      <c r="D224" s="78"/>
      <c r="E224" s="79"/>
      <c r="F224" s="75" t="s">
        <v>89</v>
      </c>
      <c r="G224" s="75" t="s">
        <v>233</v>
      </c>
      <c r="H224" s="82">
        <v>2</v>
      </c>
      <c r="I224" s="83" t="s">
        <v>131</v>
      </c>
      <c r="J224" s="67">
        <v>140000</v>
      </c>
      <c r="K224" s="54"/>
      <c r="L224" s="46">
        <f t="shared" si="17"/>
        <v>280000</v>
      </c>
    </row>
    <row r="225" spans="2:12" x14ac:dyDescent="0.35">
      <c r="B225" s="77"/>
      <c r="C225" s="73"/>
      <c r="D225" s="78"/>
      <c r="E225" s="79"/>
      <c r="F225" s="75" t="s">
        <v>89</v>
      </c>
      <c r="G225" s="75" t="s">
        <v>239</v>
      </c>
      <c r="H225" s="82">
        <v>4</v>
      </c>
      <c r="I225" s="83" t="s">
        <v>131</v>
      </c>
      <c r="J225" s="67">
        <v>140000</v>
      </c>
      <c r="K225" s="54"/>
      <c r="L225" s="46">
        <f t="shared" si="17"/>
        <v>560000</v>
      </c>
    </row>
    <row r="226" spans="2:12" x14ac:dyDescent="0.35">
      <c r="B226" s="77"/>
      <c r="C226" s="73"/>
      <c r="D226" s="78"/>
      <c r="E226" s="79"/>
      <c r="F226" s="75" t="s">
        <v>89</v>
      </c>
      <c r="G226" s="75" t="s">
        <v>266</v>
      </c>
      <c r="H226" s="82">
        <v>4</v>
      </c>
      <c r="I226" s="83" t="s">
        <v>131</v>
      </c>
      <c r="J226" s="218">
        <v>210000</v>
      </c>
      <c r="K226" s="54"/>
      <c r="L226" s="46">
        <f t="shared" si="17"/>
        <v>840000</v>
      </c>
    </row>
    <row r="227" spans="2:12" x14ac:dyDescent="0.35">
      <c r="B227" s="77"/>
      <c r="C227" s="73"/>
      <c r="D227" s="78"/>
      <c r="E227" s="79"/>
      <c r="F227" s="75" t="s">
        <v>89</v>
      </c>
      <c r="G227" s="75" t="s">
        <v>267</v>
      </c>
      <c r="H227" s="82">
        <v>1</v>
      </c>
      <c r="I227" s="83" t="s">
        <v>88</v>
      </c>
      <c r="J227" s="218">
        <v>230000</v>
      </c>
      <c r="K227" s="54"/>
      <c r="L227" s="46">
        <f t="shared" si="17"/>
        <v>230000</v>
      </c>
    </row>
    <row r="228" spans="2:12" x14ac:dyDescent="0.35">
      <c r="B228" s="77"/>
      <c r="C228" s="73"/>
      <c r="D228" s="78"/>
      <c r="E228" s="79"/>
      <c r="F228" s="75" t="s">
        <v>89</v>
      </c>
      <c r="G228" s="75" t="s">
        <v>268</v>
      </c>
      <c r="H228" s="82">
        <v>1</v>
      </c>
      <c r="I228" s="83" t="s">
        <v>131</v>
      </c>
      <c r="J228" s="218">
        <v>200000</v>
      </c>
      <c r="K228" s="54"/>
      <c r="L228" s="46">
        <f t="shared" si="17"/>
        <v>200000</v>
      </c>
    </row>
    <row r="229" spans="2:12" x14ac:dyDescent="0.35">
      <c r="B229" s="77"/>
      <c r="C229" s="73"/>
      <c r="D229" s="78"/>
      <c r="E229" s="79"/>
      <c r="F229" s="75" t="s">
        <v>89</v>
      </c>
      <c r="G229" s="75" t="s">
        <v>269</v>
      </c>
      <c r="H229" s="82">
        <v>8</v>
      </c>
      <c r="I229" s="83" t="s">
        <v>131</v>
      </c>
      <c r="J229" s="218">
        <v>40000</v>
      </c>
      <c r="K229" s="54"/>
      <c r="L229" s="46">
        <f t="shared" si="17"/>
        <v>320000</v>
      </c>
    </row>
    <row r="230" spans="2:12" x14ac:dyDescent="0.35">
      <c r="B230" s="77"/>
      <c r="C230" s="73"/>
      <c r="D230" s="78"/>
      <c r="E230" s="79"/>
      <c r="F230" s="75" t="s">
        <v>89</v>
      </c>
      <c r="G230" s="75" t="s">
        <v>270</v>
      </c>
      <c r="H230" s="82">
        <v>2</v>
      </c>
      <c r="I230" s="83" t="s">
        <v>88</v>
      </c>
      <c r="J230" s="218">
        <v>40000</v>
      </c>
      <c r="K230" s="54"/>
      <c r="L230" s="46">
        <f t="shared" si="17"/>
        <v>80000</v>
      </c>
    </row>
    <row r="231" spans="2:12" x14ac:dyDescent="0.35">
      <c r="B231" s="77"/>
      <c r="C231" s="73"/>
      <c r="D231" s="78"/>
      <c r="E231" s="79"/>
      <c r="F231" s="75" t="s">
        <v>89</v>
      </c>
      <c r="G231" s="75" t="s">
        <v>271</v>
      </c>
      <c r="H231" s="82">
        <v>140</v>
      </c>
      <c r="I231" s="83" t="s">
        <v>140</v>
      </c>
      <c r="J231" s="218">
        <v>386</v>
      </c>
      <c r="K231" s="54"/>
      <c r="L231" s="46">
        <f t="shared" si="17"/>
        <v>54040</v>
      </c>
    </row>
    <row r="232" spans="2:12" x14ac:dyDescent="0.35">
      <c r="B232" s="77"/>
      <c r="C232" s="73"/>
      <c r="D232" s="78"/>
      <c r="E232" s="79"/>
      <c r="F232" s="75" t="s">
        <v>89</v>
      </c>
      <c r="G232" s="75" t="s">
        <v>272</v>
      </c>
      <c r="H232" s="82">
        <v>2</v>
      </c>
      <c r="I232" s="83" t="s">
        <v>88</v>
      </c>
      <c r="J232" s="218">
        <v>130000</v>
      </c>
      <c r="K232" s="54"/>
      <c r="L232" s="46">
        <f t="shared" si="17"/>
        <v>260000</v>
      </c>
    </row>
    <row r="233" spans="2:12" x14ac:dyDescent="0.35">
      <c r="B233" s="77"/>
      <c r="C233" s="73"/>
      <c r="D233" s="78" t="s">
        <v>47</v>
      </c>
      <c r="E233" s="79"/>
      <c r="F233" s="75" t="s">
        <v>273</v>
      </c>
      <c r="G233" s="75"/>
      <c r="H233" s="82">
        <v>4</v>
      </c>
      <c r="I233" s="83" t="s">
        <v>139</v>
      </c>
      <c r="J233" s="218">
        <v>220000</v>
      </c>
      <c r="K233" s="50">
        <f t="shared" ref="K233" si="18">J233*H233</f>
        <v>880000</v>
      </c>
      <c r="L233" s="46"/>
    </row>
    <row r="234" spans="2:12" x14ac:dyDescent="0.35">
      <c r="B234" s="77"/>
      <c r="C234" s="73"/>
      <c r="D234" s="78"/>
      <c r="E234" s="79"/>
      <c r="F234" s="75" t="s">
        <v>89</v>
      </c>
      <c r="G234" s="75" t="s">
        <v>232</v>
      </c>
      <c r="H234" s="82">
        <v>420</v>
      </c>
      <c r="I234" s="83" t="s">
        <v>140</v>
      </c>
      <c r="J234" s="218">
        <v>421</v>
      </c>
      <c r="K234" s="54"/>
      <c r="L234" s="46">
        <f t="shared" si="17"/>
        <v>176820</v>
      </c>
    </row>
    <row r="235" spans="2:12" x14ac:dyDescent="0.35">
      <c r="B235" s="77"/>
      <c r="C235" s="73"/>
      <c r="D235" s="78"/>
      <c r="E235" s="79"/>
      <c r="F235" s="75" t="s">
        <v>89</v>
      </c>
      <c r="G235" s="75" t="s">
        <v>265</v>
      </c>
      <c r="H235" s="82">
        <v>1</v>
      </c>
      <c r="I235" s="83" t="s">
        <v>131</v>
      </c>
      <c r="J235" s="218">
        <v>270000</v>
      </c>
      <c r="K235" s="54"/>
      <c r="L235" s="46">
        <f t="shared" si="17"/>
        <v>270000</v>
      </c>
    </row>
    <row r="236" spans="2:12" x14ac:dyDescent="0.35">
      <c r="B236" s="77"/>
      <c r="C236" s="73"/>
      <c r="D236" s="78"/>
      <c r="E236" s="79"/>
      <c r="F236" s="75" t="s">
        <v>89</v>
      </c>
      <c r="G236" s="75" t="s">
        <v>233</v>
      </c>
      <c r="H236" s="82">
        <v>1</v>
      </c>
      <c r="I236" s="83" t="s">
        <v>131</v>
      </c>
      <c r="J236" s="218">
        <v>140000</v>
      </c>
      <c r="K236" s="54"/>
      <c r="L236" s="46">
        <f t="shared" si="17"/>
        <v>140000</v>
      </c>
    </row>
    <row r="237" spans="2:12" x14ac:dyDescent="0.35">
      <c r="B237" s="77"/>
      <c r="C237" s="73"/>
      <c r="D237" s="78"/>
      <c r="E237" s="79"/>
      <c r="F237" s="75" t="s">
        <v>89</v>
      </c>
      <c r="G237" s="75" t="s">
        <v>274</v>
      </c>
      <c r="H237" s="82">
        <v>1</v>
      </c>
      <c r="I237" s="83" t="s">
        <v>131</v>
      </c>
      <c r="J237" s="218">
        <v>100000</v>
      </c>
      <c r="K237" s="54"/>
      <c r="L237" s="46">
        <f t="shared" si="17"/>
        <v>100000</v>
      </c>
    </row>
    <row r="238" spans="2:12" x14ac:dyDescent="0.35">
      <c r="B238" s="77"/>
      <c r="C238" s="73"/>
      <c r="D238" s="78"/>
      <c r="E238" s="79"/>
      <c r="F238" s="75" t="s">
        <v>89</v>
      </c>
      <c r="G238" s="75" t="s">
        <v>271</v>
      </c>
      <c r="H238" s="82">
        <v>150</v>
      </c>
      <c r="I238" s="83" t="s">
        <v>140</v>
      </c>
      <c r="J238" s="218">
        <v>386</v>
      </c>
      <c r="K238" s="54"/>
      <c r="L238" s="46">
        <f t="shared" si="17"/>
        <v>57900</v>
      </c>
    </row>
    <row r="239" spans="2:12" x14ac:dyDescent="0.35">
      <c r="B239" s="77"/>
      <c r="C239" s="73"/>
      <c r="D239" s="78"/>
      <c r="E239" s="79"/>
      <c r="F239" s="75" t="s">
        <v>89</v>
      </c>
      <c r="G239" s="75" t="s">
        <v>275</v>
      </c>
      <c r="H239" s="82">
        <v>1</v>
      </c>
      <c r="I239" s="83" t="s">
        <v>131</v>
      </c>
      <c r="J239" s="218">
        <v>181000</v>
      </c>
      <c r="K239" s="54"/>
      <c r="L239" s="46">
        <f t="shared" si="17"/>
        <v>181000</v>
      </c>
    </row>
    <row r="240" spans="2:12" x14ac:dyDescent="0.35">
      <c r="B240" s="77"/>
      <c r="C240" s="73"/>
      <c r="D240" s="78"/>
      <c r="E240" s="79"/>
      <c r="F240" s="75" t="s">
        <v>89</v>
      </c>
      <c r="G240" s="75" t="s">
        <v>272</v>
      </c>
      <c r="H240" s="82">
        <v>2</v>
      </c>
      <c r="I240" s="83" t="s">
        <v>88</v>
      </c>
      <c r="J240" s="218">
        <v>130000</v>
      </c>
      <c r="K240" s="54"/>
      <c r="L240" s="46">
        <f t="shared" si="17"/>
        <v>260000</v>
      </c>
    </row>
    <row r="241" spans="2:12" x14ac:dyDescent="0.35">
      <c r="B241" s="77"/>
      <c r="C241" s="73"/>
      <c r="D241" s="78"/>
      <c r="E241" s="79"/>
      <c r="F241" s="75" t="s">
        <v>89</v>
      </c>
      <c r="G241" s="75" t="s">
        <v>251</v>
      </c>
      <c r="H241" s="82">
        <v>2</v>
      </c>
      <c r="I241" s="83" t="s">
        <v>88</v>
      </c>
      <c r="J241" s="218">
        <v>100000</v>
      </c>
      <c r="K241" s="54"/>
      <c r="L241" s="46">
        <f t="shared" si="17"/>
        <v>200000</v>
      </c>
    </row>
    <row r="242" spans="2:12" x14ac:dyDescent="0.35">
      <c r="B242" s="77"/>
      <c r="C242" s="73"/>
      <c r="D242" s="78"/>
      <c r="E242" s="79"/>
      <c r="F242" s="75" t="s">
        <v>89</v>
      </c>
      <c r="G242" s="75" t="s">
        <v>244</v>
      </c>
      <c r="H242" s="82">
        <v>60</v>
      </c>
      <c r="I242" s="83" t="s">
        <v>140</v>
      </c>
      <c r="J242" s="218">
        <v>526</v>
      </c>
      <c r="K242" s="54"/>
      <c r="L242" s="46">
        <f t="shared" si="17"/>
        <v>31560</v>
      </c>
    </row>
    <row r="243" spans="2:12" x14ac:dyDescent="0.35">
      <c r="B243" s="77"/>
      <c r="C243" s="73" t="s">
        <v>149</v>
      </c>
      <c r="D243" s="78"/>
      <c r="E243" s="79"/>
      <c r="F243" s="75" t="s">
        <v>150</v>
      </c>
      <c r="G243" s="75"/>
      <c r="H243" s="82"/>
      <c r="I243" s="83"/>
      <c r="J243" s="218"/>
      <c r="K243" s="54"/>
      <c r="L243" s="46"/>
    </row>
    <row r="244" spans="2:12" x14ac:dyDescent="0.35">
      <c r="B244" s="77"/>
      <c r="C244" s="73"/>
      <c r="D244" s="78" t="s">
        <v>44</v>
      </c>
      <c r="E244" s="79"/>
      <c r="F244" s="75" t="s">
        <v>276</v>
      </c>
      <c r="G244" s="75"/>
      <c r="H244" s="82">
        <v>21</v>
      </c>
      <c r="I244" s="83" t="s">
        <v>139</v>
      </c>
      <c r="J244" s="50">
        <v>220000</v>
      </c>
      <c r="K244" s="50">
        <f t="shared" ref="K244" si="19">J244*H244</f>
        <v>4620000</v>
      </c>
      <c r="L244" s="46"/>
    </row>
    <row r="245" spans="2:12" x14ac:dyDescent="0.35">
      <c r="B245" s="77"/>
      <c r="C245" s="73"/>
      <c r="D245" s="78"/>
      <c r="E245" s="79"/>
      <c r="F245" s="75" t="s">
        <v>89</v>
      </c>
      <c r="G245" s="75" t="s">
        <v>232</v>
      </c>
      <c r="H245" s="82">
        <v>970</v>
      </c>
      <c r="I245" s="83" t="s">
        <v>140</v>
      </c>
      <c r="J245" s="50">
        <v>421</v>
      </c>
      <c r="K245" s="54"/>
      <c r="L245" s="46">
        <f t="shared" si="17"/>
        <v>408370</v>
      </c>
    </row>
    <row r="246" spans="2:12" x14ac:dyDescent="0.35">
      <c r="B246" s="77"/>
      <c r="C246" s="73"/>
      <c r="D246" s="78"/>
      <c r="E246" s="79"/>
      <c r="F246" s="75" t="s">
        <v>89</v>
      </c>
      <c r="G246" s="75" t="s">
        <v>238</v>
      </c>
      <c r="H246" s="82">
        <v>2430</v>
      </c>
      <c r="I246" s="83" t="s">
        <v>140</v>
      </c>
      <c r="J246" s="50">
        <v>627</v>
      </c>
      <c r="K246" s="54"/>
      <c r="L246" s="46">
        <f t="shared" si="17"/>
        <v>1523610</v>
      </c>
    </row>
    <row r="247" spans="2:12" x14ac:dyDescent="0.35">
      <c r="B247" s="77"/>
      <c r="C247" s="73"/>
      <c r="D247" s="78"/>
      <c r="E247" s="79"/>
      <c r="F247" s="75" t="s">
        <v>89</v>
      </c>
      <c r="G247" s="75" t="s">
        <v>265</v>
      </c>
      <c r="H247" s="82">
        <v>1</v>
      </c>
      <c r="I247" s="83" t="s">
        <v>131</v>
      </c>
      <c r="J247" s="218">
        <v>270000</v>
      </c>
      <c r="K247" s="54"/>
      <c r="L247" s="46">
        <f t="shared" si="17"/>
        <v>270000</v>
      </c>
    </row>
    <row r="248" spans="2:12" x14ac:dyDescent="0.35">
      <c r="B248" s="77"/>
      <c r="C248" s="73"/>
      <c r="D248" s="78"/>
      <c r="E248" s="79"/>
      <c r="F248" s="75" t="s">
        <v>89</v>
      </c>
      <c r="G248" s="75" t="s">
        <v>233</v>
      </c>
      <c r="H248" s="82">
        <v>2</v>
      </c>
      <c r="I248" s="83" t="s">
        <v>131</v>
      </c>
      <c r="J248" s="67">
        <v>140000</v>
      </c>
      <c r="K248" s="54"/>
      <c r="L248" s="46">
        <f t="shared" si="17"/>
        <v>280000</v>
      </c>
    </row>
    <row r="249" spans="2:12" x14ac:dyDescent="0.35">
      <c r="B249" s="77"/>
      <c r="C249" s="73"/>
      <c r="D249" s="78"/>
      <c r="E249" s="79"/>
      <c r="F249" s="75" t="s">
        <v>89</v>
      </c>
      <c r="G249" s="75" t="s">
        <v>239</v>
      </c>
      <c r="H249" s="82">
        <v>4</v>
      </c>
      <c r="I249" s="83" t="s">
        <v>131</v>
      </c>
      <c r="J249" s="67">
        <v>140000</v>
      </c>
      <c r="K249" s="54"/>
      <c r="L249" s="46">
        <f t="shared" si="17"/>
        <v>560000</v>
      </c>
    </row>
    <row r="250" spans="2:12" x14ac:dyDescent="0.35">
      <c r="B250" s="77"/>
      <c r="C250" s="73"/>
      <c r="D250" s="78"/>
      <c r="E250" s="79"/>
      <c r="F250" s="75" t="s">
        <v>89</v>
      </c>
      <c r="G250" s="75" t="s">
        <v>266</v>
      </c>
      <c r="H250" s="82">
        <v>4</v>
      </c>
      <c r="I250" s="83" t="s">
        <v>131</v>
      </c>
      <c r="J250" s="218">
        <v>210000</v>
      </c>
      <c r="K250" s="54"/>
      <c r="L250" s="46">
        <f t="shared" si="17"/>
        <v>840000</v>
      </c>
    </row>
    <row r="251" spans="2:12" x14ac:dyDescent="0.35">
      <c r="B251" s="77"/>
      <c r="C251" s="73"/>
      <c r="D251" s="78"/>
      <c r="E251" s="79"/>
      <c r="F251" s="75" t="s">
        <v>89</v>
      </c>
      <c r="G251" s="75" t="s">
        <v>266</v>
      </c>
      <c r="H251" s="82">
        <v>1</v>
      </c>
      <c r="I251" s="83" t="s">
        <v>131</v>
      </c>
      <c r="J251" s="218">
        <v>230000</v>
      </c>
      <c r="K251" s="54"/>
      <c r="L251" s="46">
        <f t="shared" si="17"/>
        <v>230000</v>
      </c>
    </row>
    <row r="252" spans="2:12" x14ac:dyDescent="0.35">
      <c r="B252" s="77"/>
      <c r="C252" s="73"/>
      <c r="D252" s="78"/>
      <c r="E252" s="79"/>
      <c r="F252" s="75" t="s">
        <v>89</v>
      </c>
      <c r="G252" s="75" t="s">
        <v>268</v>
      </c>
      <c r="H252" s="82">
        <v>1</v>
      </c>
      <c r="I252" s="83" t="s">
        <v>131</v>
      </c>
      <c r="J252" s="218">
        <v>200000</v>
      </c>
      <c r="K252" s="54"/>
      <c r="L252" s="46">
        <f t="shared" si="17"/>
        <v>200000</v>
      </c>
    </row>
    <row r="253" spans="2:12" x14ac:dyDescent="0.35">
      <c r="B253" s="77"/>
      <c r="C253" s="73"/>
      <c r="D253" s="78"/>
      <c r="E253" s="79"/>
      <c r="F253" s="75" t="s">
        <v>89</v>
      </c>
      <c r="G253" s="75" t="s">
        <v>269</v>
      </c>
      <c r="H253" s="82">
        <v>8</v>
      </c>
      <c r="I253" s="83" t="s">
        <v>131</v>
      </c>
      <c r="J253" s="218">
        <v>40000</v>
      </c>
      <c r="K253" s="54"/>
      <c r="L253" s="46">
        <f t="shared" si="17"/>
        <v>320000</v>
      </c>
    </row>
    <row r="254" spans="2:12" x14ac:dyDescent="0.35">
      <c r="B254" s="77"/>
      <c r="C254" s="73"/>
      <c r="D254" s="78"/>
      <c r="E254" s="84"/>
      <c r="F254" s="75" t="s">
        <v>89</v>
      </c>
      <c r="G254" s="75" t="s">
        <v>270</v>
      </c>
      <c r="H254" s="82">
        <v>2</v>
      </c>
      <c r="I254" s="83" t="s">
        <v>88</v>
      </c>
      <c r="J254" s="218">
        <v>40000</v>
      </c>
      <c r="K254" s="52"/>
      <c r="L254" s="46">
        <f t="shared" si="17"/>
        <v>80000</v>
      </c>
    </row>
    <row r="255" spans="2:12" x14ac:dyDescent="0.35">
      <c r="B255" s="77"/>
      <c r="C255" s="73"/>
      <c r="D255" s="78"/>
      <c r="E255" s="84"/>
      <c r="F255" s="75" t="s">
        <v>89</v>
      </c>
      <c r="G255" s="75" t="s">
        <v>271</v>
      </c>
      <c r="H255" s="82">
        <v>130</v>
      </c>
      <c r="I255" s="83" t="s">
        <v>140</v>
      </c>
      <c r="J255" s="218">
        <v>386</v>
      </c>
      <c r="K255" s="54"/>
      <c r="L255" s="46">
        <f t="shared" si="17"/>
        <v>50180</v>
      </c>
    </row>
    <row r="256" spans="2:12" x14ac:dyDescent="0.35">
      <c r="B256" s="77"/>
      <c r="C256" s="91"/>
      <c r="D256" s="78"/>
      <c r="E256" s="92"/>
      <c r="F256" s="75" t="s">
        <v>89</v>
      </c>
      <c r="G256" s="75" t="s">
        <v>272</v>
      </c>
      <c r="H256" s="82">
        <v>1</v>
      </c>
      <c r="I256" s="93" t="s">
        <v>88</v>
      </c>
      <c r="J256" s="218">
        <v>130000</v>
      </c>
      <c r="K256" s="51"/>
      <c r="L256" s="46">
        <f t="shared" si="17"/>
        <v>130000</v>
      </c>
    </row>
    <row r="257" spans="2:12" x14ac:dyDescent="0.35">
      <c r="B257" s="94"/>
      <c r="C257" s="91"/>
      <c r="D257" s="78" t="s">
        <v>47</v>
      </c>
      <c r="E257" s="92"/>
      <c r="F257" s="75" t="s">
        <v>277</v>
      </c>
      <c r="G257" s="75"/>
      <c r="H257" s="82">
        <v>4</v>
      </c>
      <c r="I257" s="93" t="s">
        <v>139</v>
      </c>
      <c r="J257" s="218">
        <v>220000</v>
      </c>
      <c r="K257" s="50">
        <f t="shared" ref="K257" si="20">J257*H257</f>
        <v>880000</v>
      </c>
      <c r="L257" s="46"/>
    </row>
    <row r="258" spans="2:12" x14ac:dyDescent="0.35">
      <c r="B258" s="94"/>
      <c r="C258" s="91"/>
      <c r="D258" s="78"/>
      <c r="E258" s="92"/>
      <c r="F258" s="75" t="s">
        <v>89</v>
      </c>
      <c r="G258" s="75" t="s">
        <v>232</v>
      </c>
      <c r="H258" s="82">
        <v>420</v>
      </c>
      <c r="I258" s="93" t="s">
        <v>140</v>
      </c>
      <c r="J258" s="218">
        <v>421</v>
      </c>
      <c r="K258" s="50"/>
      <c r="L258" s="46">
        <f t="shared" si="17"/>
        <v>176820</v>
      </c>
    </row>
    <row r="259" spans="2:12" x14ac:dyDescent="0.35">
      <c r="B259" s="94"/>
      <c r="C259" s="91"/>
      <c r="D259" s="78"/>
      <c r="E259" s="92"/>
      <c r="F259" s="75" t="s">
        <v>89</v>
      </c>
      <c r="G259" s="75" t="s">
        <v>265</v>
      </c>
      <c r="H259" s="82">
        <v>1</v>
      </c>
      <c r="I259" s="93" t="s">
        <v>131</v>
      </c>
      <c r="J259" s="218">
        <v>270000</v>
      </c>
      <c r="K259" s="50"/>
      <c r="L259" s="46">
        <f t="shared" si="17"/>
        <v>270000</v>
      </c>
    </row>
    <row r="260" spans="2:12" x14ac:dyDescent="0.35">
      <c r="B260" s="94"/>
      <c r="C260" s="91"/>
      <c r="D260" s="78"/>
      <c r="E260" s="92"/>
      <c r="F260" s="75" t="s">
        <v>89</v>
      </c>
      <c r="G260" s="75" t="s">
        <v>233</v>
      </c>
      <c r="H260" s="82">
        <v>1</v>
      </c>
      <c r="I260" s="93" t="s">
        <v>131</v>
      </c>
      <c r="J260" s="218">
        <v>140000</v>
      </c>
      <c r="K260" s="50"/>
      <c r="L260" s="46">
        <f t="shared" si="17"/>
        <v>140000</v>
      </c>
    </row>
    <row r="261" spans="2:12" x14ac:dyDescent="0.35">
      <c r="B261" s="94"/>
      <c r="C261" s="91"/>
      <c r="D261" s="78"/>
      <c r="E261" s="92"/>
      <c r="F261" s="75" t="s">
        <v>89</v>
      </c>
      <c r="G261" s="75" t="s">
        <v>278</v>
      </c>
      <c r="H261" s="82">
        <v>1</v>
      </c>
      <c r="I261" s="93" t="s">
        <v>131</v>
      </c>
      <c r="J261" s="218">
        <v>100000</v>
      </c>
      <c r="K261" s="54"/>
      <c r="L261" s="46">
        <f t="shared" si="17"/>
        <v>100000</v>
      </c>
    </row>
    <row r="262" spans="2:12" x14ac:dyDescent="0.35">
      <c r="B262" s="94"/>
      <c r="C262" s="91"/>
      <c r="D262" s="78"/>
      <c r="E262" s="92"/>
      <c r="F262" s="75" t="s">
        <v>89</v>
      </c>
      <c r="G262" s="75" t="s">
        <v>271</v>
      </c>
      <c r="H262" s="82">
        <v>140</v>
      </c>
      <c r="I262" s="93" t="s">
        <v>140</v>
      </c>
      <c r="J262" s="218">
        <v>386</v>
      </c>
      <c r="K262" s="54"/>
      <c r="L262" s="46">
        <f t="shared" si="17"/>
        <v>54040</v>
      </c>
    </row>
    <row r="263" spans="2:12" x14ac:dyDescent="0.35">
      <c r="B263" s="94"/>
      <c r="C263" s="91"/>
      <c r="D263" s="78"/>
      <c r="E263" s="92"/>
      <c r="F263" s="75" t="s">
        <v>89</v>
      </c>
      <c r="G263" s="75" t="s">
        <v>275</v>
      </c>
      <c r="H263" s="82">
        <v>1</v>
      </c>
      <c r="I263" s="93" t="s">
        <v>131</v>
      </c>
      <c r="J263" s="218">
        <v>181000</v>
      </c>
      <c r="K263" s="110"/>
      <c r="L263" s="46">
        <f t="shared" si="17"/>
        <v>181000</v>
      </c>
    </row>
    <row r="264" spans="2:12" x14ac:dyDescent="0.35">
      <c r="B264" s="94"/>
      <c r="C264" s="91"/>
      <c r="D264" s="78"/>
      <c r="E264" s="92"/>
      <c r="F264" s="75" t="s">
        <v>89</v>
      </c>
      <c r="G264" s="75" t="s">
        <v>272</v>
      </c>
      <c r="H264" s="82">
        <v>2</v>
      </c>
      <c r="I264" s="93" t="s">
        <v>88</v>
      </c>
      <c r="J264" s="218">
        <v>130000</v>
      </c>
      <c r="K264" s="110"/>
      <c r="L264" s="46">
        <f t="shared" si="17"/>
        <v>260000</v>
      </c>
    </row>
    <row r="265" spans="2:12" x14ac:dyDescent="0.35">
      <c r="B265" s="94"/>
      <c r="C265" s="91"/>
      <c r="D265" s="78"/>
      <c r="E265" s="92"/>
      <c r="F265" s="75" t="s">
        <v>89</v>
      </c>
      <c r="G265" s="75" t="s">
        <v>251</v>
      </c>
      <c r="H265" s="82">
        <v>2</v>
      </c>
      <c r="I265" s="93" t="s">
        <v>88</v>
      </c>
      <c r="J265" s="218">
        <v>100000</v>
      </c>
      <c r="K265" s="110"/>
      <c r="L265" s="46">
        <f t="shared" si="17"/>
        <v>200000</v>
      </c>
    </row>
    <row r="266" spans="2:12" x14ac:dyDescent="0.35">
      <c r="B266" s="94"/>
      <c r="C266" s="91"/>
      <c r="D266" s="78"/>
      <c r="E266" s="92"/>
      <c r="F266" s="75" t="s">
        <v>89</v>
      </c>
      <c r="G266" s="75" t="s">
        <v>244</v>
      </c>
      <c r="H266" s="82">
        <v>50</v>
      </c>
      <c r="I266" s="93" t="s">
        <v>140</v>
      </c>
      <c r="J266" s="218">
        <v>526</v>
      </c>
      <c r="K266" s="110"/>
      <c r="L266" s="46">
        <f t="shared" si="17"/>
        <v>26300</v>
      </c>
    </row>
    <row r="267" spans="2:12" x14ac:dyDescent="0.35">
      <c r="B267" s="55"/>
      <c r="E267" s="55"/>
      <c r="G267" s="22"/>
      <c r="J267" s="219"/>
      <c r="K267" s="110"/>
      <c r="L267" s="46"/>
    </row>
    <row r="268" spans="2:12" x14ac:dyDescent="0.35">
      <c r="B268" s="55"/>
      <c r="E268" s="55"/>
      <c r="G268" s="22"/>
      <c r="J268" s="219"/>
      <c r="K268" s="110"/>
      <c r="L268" s="22"/>
    </row>
    <row r="269" spans="2:12" x14ac:dyDescent="0.35">
      <c r="B269" s="47"/>
      <c r="C269" s="48"/>
      <c r="D269" s="25"/>
      <c r="E269" s="108"/>
      <c r="F269" s="2"/>
      <c r="G269" s="21"/>
      <c r="I269" s="22"/>
      <c r="J269" s="218"/>
      <c r="K269" s="29"/>
      <c r="L269" s="52"/>
    </row>
    <row r="270" spans="2:12" x14ac:dyDescent="0.35">
      <c r="B270" s="8"/>
      <c r="C270" s="9"/>
      <c r="D270" s="10"/>
      <c r="E270" s="4"/>
      <c r="F270" s="4"/>
      <c r="G270" s="4"/>
      <c r="H270" s="1"/>
      <c r="I270" s="1"/>
      <c r="J270" s="11" t="s">
        <v>8</v>
      </c>
      <c r="K270" s="7">
        <f>SUM(K218:K269)</f>
        <v>11000000</v>
      </c>
      <c r="L270" s="7">
        <f>SUM(L218:L269)</f>
        <v>12382200</v>
      </c>
    </row>
    <row r="271" spans="2:12" x14ac:dyDescent="0.35">
      <c r="B271" s="8"/>
      <c r="C271" s="9"/>
      <c r="D271" s="9"/>
      <c r="E271" s="4"/>
      <c r="F271" s="4"/>
      <c r="G271" s="4"/>
      <c r="H271" s="1"/>
      <c r="I271" s="1"/>
      <c r="J271" s="11"/>
      <c r="K271" s="35" t="s">
        <v>22</v>
      </c>
      <c r="L271" s="36" t="s">
        <v>23</v>
      </c>
    </row>
    <row r="272" spans="2:12" x14ac:dyDescent="0.35">
      <c r="B272" s="3" t="s">
        <v>9</v>
      </c>
      <c r="C272" s="4"/>
      <c r="D272" s="4"/>
      <c r="E272" s="4"/>
      <c r="F272" s="4"/>
      <c r="G272" s="4"/>
      <c r="H272" s="1"/>
      <c r="I272" s="1"/>
      <c r="J272" s="12"/>
      <c r="K272" s="12"/>
      <c r="L272" s="13"/>
    </row>
    <row r="273" spans="2:12" x14ac:dyDescent="0.35">
      <c r="B273" s="37"/>
      <c r="C273" s="1"/>
      <c r="D273" s="1"/>
      <c r="E273" s="38"/>
      <c r="F273" s="38"/>
      <c r="G273" s="38"/>
      <c r="H273" s="1"/>
      <c r="I273" s="1"/>
      <c r="J273" s="1"/>
      <c r="K273" s="1"/>
      <c r="L273" s="19"/>
    </row>
    <row r="274" spans="2:12" x14ac:dyDescent="0.35">
      <c r="B274" s="28" t="s">
        <v>6</v>
      </c>
      <c r="C274" s="27"/>
      <c r="D274" s="27"/>
      <c r="E274" s="26"/>
      <c r="F274" s="26"/>
      <c r="G274" s="5"/>
      <c r="K274" s="246" t="s">
        <v>216</v>
      </c>
      <c r="L274" s="247"/>
    </row>
    <row r="275" spans="2:12" x14ac:dyDescent="0.35">
      <c r="B275" s="28">
        <v>1</v>
      </c>
      <c r="C275" s="27"/>
      <c r="D275" s="27"/>
      <c r="E275" s="26" t="s">
        <v>7</v>
      </c>
      <c r="F275" s="26"/>
      <c r="G275" s="5"/>
      <c r="K275" s="246" t="s">
        <v>28</v>
      </c>
      <c r="L275" s="247"/>
    </row>
    <row r="276" spans="2:12" x14ac:dyDescent="0.35">
      <c r="B276" s="39"/>
      <c r="C276" s="27"/>
      <c r="D276" s="27"/>
      <c r="E276" s="26"/>
      <c r="F276" s="26"/>
      <c r="G276" s="5"/>
      <c r="J276" s="25"/>
      <c r="K276" s="25"/>
      <c r="L276" s="24"/>
    </row>
    <row r="277" spans="2:12" x14ac:dyDescent="0.35">
      <c r="B277" s="28"/>
      <c r="C277" s="27"/>
      <c r="D277" s="27"/>
      <c r="E277" s="26"/>
      <c r="F277" s="26"/>
      <c r="G277" s="5"/>
      <c r="L277" s="22"/>
    </row>
    <row r="278" spans="2:12" x14ac:dyDescent="0.35">
      <c r="B278" s="45"/>
      <c r="E278" s="5"/>
      <c r="F278" s="5"/>
      <c r="G278" s="5"/>
      <c r="L278" s="22"/>
    </row>
    <row r="279" spans="2:12" x14ac:dyDescent="0.35">
      <c r="B279" s="45"/>
      <c r="E279" s="5"/>
      <c r="F279" s="5"/>
      <c r="G279" s="5"/>
      <c r="L279" s="22"/>
    </row>
    <row r="280" spans="2:12" x14ac:dyDescent="0.35">
      <c r="B280" s="45"/>
      <c r="E280" s="5"/>
      <c r="F280" s="5"/>
      <c r="G280" s="5"/>
      <c r="L280" s="22"/>
    </row>
    <row r="281" spans="2:12" x14ac:dyDescent="0.35">
      <c r="B281" s="45"/>
      <c r="E281" s="5"/>
      <c r="F281" s="5"/>
      <c r="G281" s="5"/>
      <c r="J281" s="40"/>
      <c r="K281" s="248" t="s">
        <v>36</v>
      </c>
      <c r="L281" s="249"/>
    </row>
    <row r="282" spans="2:12" x14ac:dyDescent="0.35">
      <c r="B282" s="45"/>
      <c r="K282" s="250" t="s">
        <v>37</v>
      </c>
      <c r="L282" s="251"/>
    </row>
    <row r="283" spans="2:12" x14ac:dyDescent="0.35">
      <c r="B283" s="243"/>
      <c r="C283" s="244"/>
      <c r="D283" s="244"/>
      <c r="E283" s="41"/>
      <c r="F283" s="41"/>
      <c r="G283" s="41"/>
      <c r="H283" s="2"/>
      <c r="I283" s="2"/>
      <c r="J283" s="2"/>
      <c r="K283" s="2"/>
      <c r="L283" s="21"/>
    </row>
    <row r="284" spans="2:12" x14ac:dyDescent="0.35">
      <c r="B284" s="47"/>
      <c r="C284" s="48"/>
      <c r="D284" s="49"/>
      <c r="G284" s="22"/>
      <c r="H284" s="1"/>
      <c r="I284" s="1"/>
      <c r="J284" s="216"/>
      <c r="K284" s="30"/>
      <c r="L284" s="44"/>
    </row>
    <row r="285" spans="2:12" x14ac:dyDescent="0.35">
      <c r="B285" s="94"/>
      <c r="C285" s="91" t="s">
        <v>151</v>
      </c>
      <c r="D285" s="78"/>
      <c r="E285" s="92"/>
      <c r="F285" s="75" t="s">
        <v>152</v>
      </c>
      <c r="G285" s="75"/>
      <c r="H285" s="82"/>
      <c r="I285" s="93"/>
      <c r="J285" s="217"/>
      <c r="K285" s="52"/>
      <c r="L285" s="46"/>
    </row>
    <row r="286" spans="2:12" x14ac:dyDescent="0.35">
      <c r="B286" s="94"/>
      <c r="C286" s="91"/>
      <c r="D286" s="78" t="s">
        <v>44</v>
      </c>
      <c r="E286" s="92"/>
      <c r="F286" s="75" t="s">
        <v>153</v>
      </c>
      <c r="G286" s="75"/>
      <c r="H286" s="82">
        <v>22</v>
      </c>
      <c r="I286" s="93" t="s">
        <v>139</v>
      </c>
      <c r="J286" s="218">
        <v>100000</v>
      </c>
      <c r="K286" s="50">
        <f t="shared" ref="K286" si="21">J286*H286</f>
        <v>2200000</v>
      </c>
      <c r="L286" s="46"/>
    </row>
    <row r="287" spans="2:12" x14ac:dyDescent="0.35">
      <c r="B287" s="94"/>
      <c r="C287" s="91"/>
      <c r="D287" s="78"/>
      <c r="E287" s="92"/>
      <c r="F287" s="75" t="s">
        <v>89</v>
      </c>
      <c r="G287" s="75" t="s">
        <v>279</v>
      </c>
      <c r="H287" s="82">
        <v>2840</v>
      </c>
      <c r="I287" s="93" t="s">
        <v>140</v>
      </c>
      <c r="J287" s="218">
        <v>289</v>
      </c>
      <c r="K287" s="54"/>
      <c r="L287" s="46">
        <f t="shared" ref="L287:L322" si="22">J287*H287</f>
        <v>820760</v>
      </c>
    </row>
    <row r="288" spans="2:12" x14ac:dyDescent="0.35">
      <c r="B288" s="94"/>
      <c r="C288" s="91"/>
      <c r="D288" s="78"/>
      <c r="E288" s="92"/>
      <c r="F288" s="75" t="s">
        <v>89</v>
      </c>
      <c r="G288" s="75" t="s">
        <v>244</v>
      </c>
      <c r="H288" s="82">
        <v>2080</v>
      </c>
      <c r="I288" s="93" t="s">
        <v>140</v>
      </c>
      <c r="J288" s="218">
        <v>526</v>
      </c>
      <c r="K288" s="54"/>
      <c r="L288" s="46">
        <f t="shared" si="22"/>
        <v>1094080</v>
      </c>
    </row>
    <row r="289" spans="2:12" x14ac:dyDescent="0.35">
      <c r="B289" s="94"/>
      <c r="C289" s="91"/>
      <c r="D289" s="78"/>
      <c r="E289" s="92"/>
      <c r="F289" s="75" t="s">
        <v>89</v>
      </c>
      <c r="G289" s="75" t="s">
        <v>280</v>
      </c>
      <c r="H289" s="82">
        <v>2</v>
      </c>
      <c r="I289" s="93" t="s">
        <v>131</v>
      </c>
      <c r="J289" s="218">
        <v>130000</v>
      </c>
      <c r="K289" s="54"/>
      <c r="L289" s="46">
        <f t="shared" si="22"/>
        <v>260000</v>
      </c>
    </row>
    <row r="290" spans="2:12" x14ac:dyDescent="0.35">
      <c r="B290" s="94"/>
      <c r="C290" s="91"/>
      <c r="D290" s="78"/>
      <c r="E290" s="92"/>
      <c r="F290" s="75" t="s">
        <v>89</v>
      </c>
      <c r="G290" s="75" t="s">
        <v>281</v>
      </c>
      <c r="H290" s="82">
        <v>1</v>
      </c>
      <c r="I290" s="93" t="s">
        <v>131</v>
      </c>
      <c r="J290" s="218">
        <v>0</v>
      </c>
      <c r="K290" s="54"/>
      <c r="L290" s="46">
        <f t="shared" si="22"/>
        <v>0</v>
      </c>
    </row>
    <row r="291" spans="2:12" x14ac:dyDescent="0.35">
      <c r="B291" s="94"/>
      <c r="C291" s="91"/>
      <c r="D291" s="78"/>
      <c r="E291" s="92"/>
      <c r="F291" s="75" t="s">
        <v>89</v>
      </c>
      <c r="G291" s="75" t="s">
        <v>253</v>
      </c>
      <c r="H291" s="82">
        <v>5</v>
      </c>
      <c r="I291" s="93" t="s">
        <v>131</v>
      </c>
      <c r="J291" s="218">
        <v>140000</v>
      </c>
      <c r="K291" s="54"/>
      <c r="L291" s="46">
        <f t="shared" si="22"/>
        <v>700000</v>
      </c>
    </row>
    <row r="292" spans="2:12" x14ac:dyDescent="0.35">
      <c r="B292" s="94"/>
      <c r="C292" s="91"/>
      <c r="D292" s="78"/>
      <c r="E292" s="92"/>
      <c r="F292" s="75" t="s">
        <v>89</v>
      </c>
      <c r="G292" s="75" t="s">
        <v>248</v>
      </c>
      <c r="H292" s="82">
        <v>4</v>
      </c>
      <c r="I292" s="93" t="s">
        <v>131</v>
      </c>
      <c r="J292" s="218">
        <v>40000</v>
      </c>
      <c r="K292" s="54"/>
      <c r="L292" s="46">
        <f t="shared" si="22"/>
        <v>160000</v>
      </c>
    </row>
    <row r="293" spans="2:12" x14ac:dyDescent="0.35">
      <c r="B293" s="94"/>
      <c r="C293" s="91"/>
      <c r="D293" s="78"/>
      <c r="E293" s="92"/>
      <c r="F293" s="75" t="s">
        <v>89</v>
      </c>
      <c r="G293" s="75" t="s">
        <v>282</v>
      </c>
      <c r="H293" s="82">
        <v>4</v>
      </c>
      <c r="I293" s="93" t="s">
        <v>131</v>
      </c>
      <c r="J293" s="218">
        <v>40000</v>
      </c>
      <c r="K293" s="54"/>
      <c r="L293" s="46">
        <f t="shared" si="22"/>
        <v>160000</v>
      </c>
    </row>
    <row r="294" spans="2:12" x14ac:dyDescent="0.35">
      <c r="B294" s="94"/>
      <c r="C294" s="91"/>
      <c r="D294" s="78"/>
      <c r="E294" s="92"/>
      <c r="F294" s="75" t="s">
        <v>89</v>
      </c>
      <c r="G294" s="75" t="s">
        <v>283</v>
      </c>
      <c r="H294" s="82">
        <v>1</v>
      </c>
      <c r="I294" s="93" t="s">
        <v>88</v>
      </c>
      <c r="J294" s="218">
        <v>50000</v>
      </c>
      <c r="K294" s="54"/>
      <c r="L294" s="46">
        <f t="shared" si="22"/>
        <v>50000</v>
      </c>
    </row>
    <row r="295" spans="2:12" x14ac:dyDescent="0.35">
      <c r="B295" s="94"/>
      <c r="C295" s="91"/>
      <c r="D295" s="78"/>
      <c r="E295" s="92"/>
      <c r="F295" s="75" t="s">
        <v>89</v>
      </c>
      <c r="G295" s="75" t="s">
        <v>284</v>
      </c>
      <c r="H295" s="82">
        <v>1</v>
      </c>
      <c r="I295" s="93" t="s">
        <v>88</v>
      </c>
      <c r="J295" s="218">
        <v>80000</v>
      </c>
      <c r="K295" s="54"/>
      <c r="L295" s="46">
        <f t="shared" si="22"/>
        <v>80000</v>
      </c>
    </row>
    <row r="296" spans="2:12" x14ac:dyDescent="0.35">
      <c r="B296" s="94"/>
      <c r="C296" s="91"/>
      <c r="D296" s="78"/>
      <c r="E296" s="92"/>
      <c r="F296" s="75" t="s">
        <v>89</v>
      </c>
      <c r="G296" s="75" t="s">
        <v>285</v>
      </c>
      <c r="H296" s="82">
        <v>1</v>
      </c>
      <c r="I296" s="93" t="s">
        <v>131</v>
      </c>
      <c r="J296" s="218">
        <v>40000</v>
      </c>
      <c r="K296" s="54"/>
      <c r="L296" s="46">
        <f t="shared" si="22"/>
        <v>40000</v>
      </c>
    </row>
    <row r="297" spans="2:12" x14ac:dyDescent="0.35">
      <c r="B297" s="179"/>
      <c r="C297" s="180"/>
      <c r="D297" s="181"/>
      <c r="E297" s="182"/>
      <c r="F297" s="75" t="s">
        <v>89</v>
      </c>
      <c r="G297" s="75" t="s">
        <v>286</v>
      </c>
      <c r="H297" s="80">
        <f>0.14*0.07*10*7.85*1.2</f>
        <v>0.92316000000000009</v>
      </c>
      <c r="I297" s="83" t="s">
        <v>180</v>
      </c>
      <c r="J297" s="218">
        <v>33000</v>
      </c>
      <c r="K297" s="54"/>
      <c r="L297" s="46">
        <f t="shared" si="22"/>
        <v>30464.280000000002</v>
      </c>
    </row>
    <row r="298" spans="2:12" x14ac:dyDescent="0.35">
      <c r="B298" s="94"/>
      <c r="C298" s="91" t="s">
        <v>154</v>
      </c>
      <c r="D298" s="78"/>
      <c r="E298" s="92"/>
      <c r="F298" s="75" t="s">
        <v>155</v>
      </c>
      <c r="G298" s="75"/>
      <c r="H298" s="82"/>
      <c r="I298" s="93"/>
      <c r="J298" s="218"/>
      <c r="K298" s="54"/>
      <c r="L298" s="46"/>
    </row>
    <row r="299" spans="2:12" x14ac:dyDescent="0.35">
      <c r="B299" s="94"/>
      <c r="C299" s="91"/>
      <c r="D299" s="78" t="s">
        <v>44</v>
      </c>
      <c r="E299" s="92"/>
      <c r="F299" s="75" t="s">
        <v>156</v>
      </c>
      <c r="G299" s="75"/>
      <c r="H299" s="82">
        <v>15</v>
      </c>
      <c r="I299" s="93" t="s">
        <v>139</v>
      </c>
      <c r="J299" s="218">
        <v>100000</v>
      </c>
      <c r="K299" s="50">
        <f t="shared" ref="K299" si="23">J299*H299</f>
        <v>1500000</v>
      </c>
      <c r="L299" s="46"/>
    </row>
    <row r="300" spans="2:12" x14ac:dyDescent="0.35">
      <c r="B300" s="94"/>
      <c r="C300" s="91"/>
      <c r="D300" s="78"/>
      <c r="E300" s="92"/>
      <c r="F300" s="75" t="s">
        <v>89</v>
      </c>
      <c r="G300" s="75" t="s">
        <v>279</v>
      </c>
      <c r="H300" s="82">
        <v>2010</v>
      </c>
      <c r="I300" s="93" t="s">
        <v>140</v>
      </c>
      <c r="J300" s="218">
        <v>289</v>
      </c>
      <c r="K300" s="54"/>
      <c r="L300" s="46">
        <f t="shared" si="22"/>
        <v>580890</v>
      </c>
    </row>
    <row r="301" spans="2:12" x14ac:dyDescent="0.35">
      <c r="B301" s="94"/>
      <c r="C301" s="91"/>
      <c r="D301" s="78"/>
      <c r="E301" s="92"/>
      <c r="F301" s="75" t="s">
        <v>89</v>
      </c>
      <c r="G301" s="75" t="s">
        <v>280</v>
      </c>
      <c r="H301" s="82">
        <v>2</v>
      </c>
      <c r="I301" s="93" t="s">
        <v>131</v>
      </c>
      <c r="J301" s="218">
        <v>130000</v>
      </c>
      <c r="K301" s="54"/>
      <c r="L301" s="46">
        <f t="shared" si="22"/>
        <v>260000</v>
      </c>
    </row>
    <row r="302" spans="2:12" x14ac:dyDescent="0.35">
      <c r="B302" s="94"/>
      <c r="C302" s="91"/>
      <c r="D302" s="78"/>
      <c r="E302" s="92"/>
      <c r="F302" s="75" t="s">
        <v>89</v>
      </c>
      <c r="G302" s="75" t="s">
        <v>253</v>
      </c>
      <c r="H302" s="82">
        <v>5</v>
      </c>
      <c r="I302" s="93" t="s">
        <v>131</v>
      </c>
      <c r="J302" s="218">
        <v>140000</v>
      </c>
      <c r="K302" s="54"/>
      <c r="L302" s="46">
        <f t="shared" si="22"/>
        <v>700000</v>
      </c>
    </row>
    <row r="303" spans="2:12" x14ac:dyDescent="0.35">
      <c r="B303" s="94"/>
      <c r="C303" s="91"/>
      <c r="D303" s="78"/>
      <c r="E303" s="92"/>
      <c r="F303" s="75" t="s">
        <v>89</v>
      </c>
      <c r="G303" s="75" t="s">
        <v>248</v>
      </c>
      <c r="H303" s="82">
        <v>4</v>
      </c>
      <c r="I303" s="93" t="s">
        <v>131</v>
      </c>
      <c r="J303" s="218">
        <v>40000</v>
      </c>
      <c r="K303" s="54"/>
      <c r="L303" s="46">
        <f t="shared" si="22"/>
        <v>160000</v>
      </c>
    </row>
    <row r="304" spans="2:12" x14ac:dyDescent="0.35">
      <c r="B304" s="94"/>
      <c r="C304" s="91"/>
      <c r="D304" s="78"/>
      <c r="E304" s="92"/>
      <c r="F304" s="75" t="s">
        <v>89</v>
      </c>
      <c r="G304" s="75" t="s">
        <v>283</v>
      </c>
      <c r="H304" s="82">
        <v>1</v>
      </c>
      <c r="I304" s="93" t="s">
        <v>88</v>
      </c>
      <c r="J304" s="218">
        <v>50000</v>
      </c>
      <c r="K304" s="54"/>
      <c r="L304" s="46">
        <f t="shared" si="22"/>
        <v>50000</v>
      </c>
    </row>
    <row r="305" spans="2:12" x14ac:dyDescent="0.35">
      <c r="B305" s="94"/>
      <c r="C305" s="91"/>
      <c r="D305" s="78"/>
      <c r="E305" s="92"/>
      <c r="F305" s="75" t="s">
        <v>89</v>
      </c>
      <c r="G305" s="75" t="s">
        <v>285</v>
      </c>
      <c r="H305" s="82">
        <v>1</v>
      </c>
      <c r="I305" s="93" t="s">
        <v>131</v>
      </c>
      <c r="J305" s="218">
        <v>40000</v>
      </c>
      <c r="K305" s="54"/>
      <c r="L305" s="46">
        <f t="shared" si="22"/>
        <v>40000</v>
      </c>
    </row>
    <row r="306" spans="2:12" x14ac:dyDescent="0.35">
      <c r="B306" s="94"/>
      <c r="C306" s="91"/>
      <c r="D306" s="78"/>
      <c r="E306" s="92"/>
      <c r="F306" s="75" t="s">
        <v>89</v>
      </c>
      <c r="G306" s="75" t="s">
        <v>286</v>
      </c>
      <c r="H306" s="80">
        <f>0.14*0.07*10*7.85*1.2</f>
        <v>0.92316000000000009</v>
      </c>
      <c r="I306" s="83" t="s">
        <v>180</v>
      </c>
      <c r="J306" s="218">
        <v>33000</v>
      </c>
      <c r="K306" s="54"/>
      <c r="L306" s="46">
        <f t="shared" si="22"/>
        <v>30464.280000000002</v>
      </c>
    </row>
    <row r="307" spans="2:12" x14ac:dyDescent="0.35">
      <c r="B307" s="94"/>
      <c r="C307" s="91" t="s">
        <v>157</v>
      </c>
      <c r="D307" s="78"/>
      <c r="E307" s="92"/>
      <c r="F307" s="75" t="s">
        <v>287</v>
      </c>
      <c r="G307" s="75"/>
      <c r="H307" s="82">
        <v>2</v>
      </c>
      <c r="I307" s="83" t="s">
        <v>139</v>
      </c>
      <c r="J307" s="218">
        <v>100000</v>
      </c>
      <c r="K307" s="50">
        <f t="shared" ref="K307" si="24">J307*H307</f>
        <v>200000</v>
      </c>
      <c r="L307" s="46"/>
    </row>
    <row r="308" spans="2:12" x14ac:dyDescent="0.35">
      <c r="B308" s="94"/>
      <c r="C308" s="91"/>
      <c r="D308" s="78"/>
      <c r="E308" s="92"/>
      <c r="F308" s="75" t="s">
        <v>89</v>
      </c>
      <c r="G308" s="75" t="s">
        <v>288</v>
      </c>
      <c r="H308" s="82">
        <v>1000</v>
      </c>
      <c r="I308" s="83" t="s">
        <v>140</v>
      </c>
      <c r="J308" s="218">
        <v>0</v>
      </c>
      <c r="K308" s="54"/>
      <c r="L308" s="46">
        <f t="shared" si="22"/>
        <v>0</v>
      </c>
    </row>
    <row r="309" spans="2:12" x14ac:dyDescent="0.35">
      <c r="B309" s="94"/>
      <c r="C309" s="91"/>
      <c r="D309" s="78"/>
      <c r="E309" s="92"/>
      <c r="F309" s="75" t="s">
        <v>89</v>
      </c>
      <c r="G309" s="75" t="s">
        <v>289</v>
      </c>
      <c r="H309" s="82">
        <v>170</v>
      </c>
      <c r="I309" s="83" t="s">
        <v>140</v>
      </c>
      <c r="J309" s="218">
        <v>181</v>
      </c>
      <c r="K309" s="54"/>
      <c r="L309" s="46">
        <f t="shared" si="22"/>
        <v>30770</v>
      </c>
    </row>
    <row r="310" spans="2:12" x14ac:dyDescent="0.35">
      <c r="B310" s="94"/>
      <c r="C310" s="91"/>
      <c r="D310" s="78"/>
      <c r="E310" s="92"/>
      <c r="F310" s="75" t="s">
        <v>89</v>
      </c>
      <c r="G310" s="75" t="s">
        <v>290</v>
      </c>
      <c r="H310" s="82">
        <v>2</v>
      </c>
      <c r="I310" s="83" t="s">
        <v>88</v>
      </c>
      <c r="J310" s="218">
        <v>40000</v>
      </c>
      <c r="K310" s="54"/>
      <c r="L310" s="46">
        <f t="shared" si="22"/>
        <v>80000</v>
      </c>
    </row>
    <row r="311" spans="2:12" x14ac:dyDescent="0.35">
      <c r="B311" s="99"/>
      <c r="C311" s="100" t="s">
        <v>291</v>
      </c>
      <c r="D311" s="174"/>
      <c r="E311" s="119"/>
      <c r="F311" s="176" t="s">
        <v>158</v>
      </c>
      <c r="G311" s="176"/>
      <c r="H311" s="183"/>
      <c r="I311" s="184"/>
      <c r="J311" s="218"/>
      <c r="K311" s="54"/>
      <c r="L311" s="46"/>
    </row>
    <row r="312" spans="2:12" x14ac:dyDescent="0.35">
      <c r="B312" s="94"/>
      <c r="C312" s="91"/>
      <c r="D312" s="78"/>
      <c r="E312" s="92"/>
      <c r="F312" s="75" t="s">
        <v>89</v>
      </c>
      <c r="G312" s="75" t="s">
        <v>292</v>
      </c>
      <c r="H312" s="80">
        <f>0.14*7*33.07*7.85*1.2</f>
        <v>305.28901199999996</v>
      </c>
      <c r="I312" s="93" t="s">
        <v>115</v>
      </c>
      <c r="J312" s="218">
        <v>33000</v>
      </c>
      <c r="K312" s="54"/>
      <c r="L312" s="46">
        <f t="shared" si="22"/>
        <v>10074537.395999998</v>
      </c>
    </row>
    <row r="313" spans="2:12" x14ac:dyDescent="0.35">
      <c r="B313" s="94"/>
      <c r="C313" s="91"/>
      <c r="D313" s="78"/>
      <c r="E313" s="92"/>
      <c r="F313" s="75" t="s">
        <v>89</v>
      </c>
      <c r="G313" s="75" t="s">
        <v>293</v>
      </c>
      <c r="H313" s="80">
        <v>46.847999999999999</v>
      </c>
      <c r="I313" s="93" t="s">
        <v>115</v>
      </c>
      <c r="J313" s="218">
        <v>37000</v>
      </c>
      <c r="K313" s="54"/>
      <c r="L313" s="46">
        <f t="shared" si="22"/>
        <v>1733376</v>
      </c>
    </row>
    <row r="314" spans="2:12" x14ac:dyDescent="0.35">
      <c r="B314" s="94"/>
      <c r="C314" s="91"/>
      <c r="D314" s="78"/>
      <c r="E314" s="92"/>
      <c r="F314" s="75" t="s">
        <v>89</v>
      </c>
      <c r="G314" s="75" t="s">
        <v>294</v>
      </c>
      <c r="H314" s="80">
        <v>21.934080000000002</v>
      </c>
      <c r="I314" s="93" t="s">
        <v>115</v>
      </c>
      <c r="J314" s="218">
        <v>37000</v>
      </c>
      <c r="K314" s="54"/>
      <c r="L314" s="46">
        <f t="shared" si="22"/>
        <v>811560.96000000008</v>
      </c>
    </row>
    <row r="315" spans="2:12" x14ac:dyDescent="0.35">
      <c r="B315" s="94"/>
      <c r="C315" s="91"/>
      <c r="D315" s="78"/>
      <c r="E315" s="92"/>
      <c r="F315" s="75" t="s">
        <v>89</v>
      </c>
      <c r="G315" s="75" t="s">
        <v>295</v>
      </c>
      <c r="H315" s="80">
        <v>30.792959999999997</v>
      </c>
      <c r="I315" s="93" t="s">
        <v>115</v>
      </c>
      <c r="J315" s="218">
        <v>37000</v>
      </c>
      <c r="K315" s="54"/>
      <c r="L315" s="46">
        <f t="shared" si="22"/>
        <v>1139339.5199999998</v>
      </c>
    </row>
    <row r="316" spans="2:12" x14ac:dyDescent="0.35">
      <c r="B316" s="94"/>
      <c r="C316" s="91"/>
      <c r="D316" s="78"/>
      <c r="E316" s="92"/>
      <c r="F316" s="75" t="s">
        <v>89</v>
      </c>
      <c r="G316" s="75" t="s">
        <v>296</v>
      </c>
      <c r="H316" s="80">
        <v>30.527999999999999</v>
      </c>
      <c r="I316" s="93" t="s">
        <v>115</v>
      </c>
      <c r="J316" s="218">
        <v>37000</v>
      </c>
      <c r="K316" s="54"/>
      <c r="L316" s="46">
        <f t="shared" si="22"/>
        <v>1129536</v>
      </c>
    </row>
    <row r="317" spans="2:12" x14ac:dyDescent="0.35">
      <c r="B317" s="94"/>
      <c r="C317" s="91"/>
      <c r="D317" s="78"/>
      <c r="E317" s="92"/>
      <c r="F317" s="75" t="s">
        <v>89</v>
      </c>
      <c r="G317" s="75" t="s">
        <v>297</v>
      </c>
      <c r="H317" s="80">
        <v>30.801600000000004</v>
      </c>
      <c r="I317" s="93" t="s">
        <v>115</v>
      </c>
      <c r="J317" s="218">
        <v>37000</v>
      </c>
      <c r="K317" s="54"/>
      <c r="L317" s="46">
        <f t="shared" si="22"/>
        <v>1139659.2000000002</v>
      </c>
    </row>
    <row r="318" spans="2:12" x14ac:dyDescent="0.35">
      <c r="B318" s="94"/>
      <c r="C318" s="91"/>
      <c r="D318" s="78"/>
      <c r="E318" s="92"/>
      <c r="F318" s="75" t="s">
        <v>89</v>
      </c>
      <c r="G318" s="75" t="s">
        <v>298</v>
      </c>
      <c r="H318" s="80">
        <v>23.04</v>
      </c>
      <c r="I318" s="93" t="s">
        <v>115</v>
      </c>
      <c r="J318" s="218">
        <v>37000</v>
      </c>
      <c r="K318" s="54"/>
      <c r="L318" s="46">
        <f t="shared" si="22"/>
        <v>852480</v>
      </c>
    </row>
    <row r="319" spans="2:12" x14ac:dyDescent="0.35">
      <c r="B319" s="94"/>
      <c r="C319" s="91"/>
      <c r="D319" s="78"/>
      <c r="E319" s="92"/>
      <c r="F319" s="75" t="s">
        <v>89</v>
      </c>
      <c r="G319" s="75" t="s">
        <v>299</v>
      </c>
      <c r="H319" s="80">
        <v>46.848000000000006</v>
      </c>
      <c r="I319" s="93" t="s">
        <v>115</v>
      </c>
      <c r="J319" s="218">
        <v>37000</v>
      </c>
      <c r="K319" s="54"/>
      <c r="L319" s="46">
        <f t="shared" si="22"/>
        <v>1733376.0000000002</v>
      </c>
    </row>
    <row r="320" spans="2:12" x14ac:dyDescent="0.35">
      <c r="B320" s="94"/>
      <c r="C320" s="91"/>
      <c r="D320" s="78"/>
      <c r="E320" s="92"/>
      <c r="F320" s="75" t="s">
        <v>89</v>
      </c>
      <c r="G320" s="75" t="s">
        <v>300</v>
      </c>
      <c r="H320" s="80">
        <v>38.016000000000005</v>
      </c>
      <c r="I320" s="93" t="s">
        <v>115</v>
      </c>
      <c r="J320" s="218">
        <v>37000</v>
      </c>
      <c r="K320" s="52"/>
      <c r="L320" s="46">
        <f t="shared" si="22"/>
        <v>1406592.0000000002</v>
      </c>
    </row>
    <row r="321" spans="2:13" x14ac:dyDescent="0.35">
      <c r="B321" s="94"/>
      <c r="C321" s="91"/>
      <c r="D321" s="78"/>
      <c r="E321" s="92"/>
      <c r="F321" s="75" t="s">
        <v>89</v>
      </c>
      <c r="G321" s="75" t="s">
        <v>300</v>
      </c>
      <c r="H321" s="80">
        <v>38.016000000000005</v>
      </c>
      <c r="I321" s="93" t="s">
        <v>115</v>
      </c>
      <c r="J321" s="218">
        <v>37000</v>
      </c>
      <c r="K321" s="54"/>
      <c r="L321" s="46">
        <f t="shared" si="22"/>
        <v>1406592.0000000002</v>
      </c>
    </row>
    <row r="322" spans="2:13" x14ac:dyDescent="0.35">
      <c r="B322" s="94"/>
      <c r="C322" s="91"/>
      <c r="D322" s="78"/>
      <c r="E322" s="92"/>
      <c r="F322" s="75" t="s">
        <v>89</v>
      </c>
      <c r="G322" s="75" t="s">
        <v>226</v>
      </c>
      <c r="H322" s="82">
        <v>45</v>
      </c>
      <c r="I322" s="93" t="s">
        <v>88</v>
      </c>
      <c r="J322" s="218">
        <v>40000</v>
      </c>
      <c r="K322" s="51"/>
      <c r="L322" s="46">
        <f t="shared" si="22"/>
        <v>1800000</v>
      </c>
    </row>
    <row r="323" spans="2:13" x14ac:dyDescent="0.35">
      <c r="B323" s="99" t="s">
        <v>77</v>
      </c>
      <c r="C323" s="100"/>
      <c r="D323" s="174"/>
      <c r="E323" s="119" t="s">
        <v>18</v>
      </c>
      <c r="F323" s="176"/>
      <c r="G323" s="176"/>
      <c r="H323" s="183"/>
      <c r="I323" s="184"/>
      <c r="J323" s="218"/>
      <c r="K323" s="54"/>
      <c r="L323" s="46"/>
      <c r="M323" s="232"/>
    </row>
    <row r="324" spans="2:13" x14ac:dyDescent="0.35">
      <c r="B324" s="94"/>
      <c r="C324" s="91" t="s">
        <v>159</v>
      </c>
      <c r="D324" s="78"/>
      <c r="E324" s="92"/>
      <c r="F324" s="75" t="s">
        <v>160</v>
      </c>
      <c r="G324" s="75"/>
      <c r="H324" s="82">
        <v>1</v>
      </c>
      <c r="I324" s="93" t="s">
        <v>99</v>
      </c>
      <c r="J324" s="218">
        <v>4250000</v>
      </c>
      <c r="K324" s="50">
        <f t="shared" ref="K324" si="25">J324*H324</f>
        <v>4250000</v>
      </c>
      <c r="L324" s="52"/>
      <c r="M324" s="233">
        <f>SUM(M325:M328)*1.3</f>
        <v>4056837.0855999994</v>
      </c>
    </row>
    <row r="325" spans="2:13" x14ac:dyDescent="0.35">
      <c r="B325" s="94"/>
      <c r="C325" s="91"/>
      <c r="D325" s="78"/>
      <c r="E325" s="92"/>
      <c r="F325" s="75" t="s">
        <v>89</v>
      </c>
      <c r="G325" s="75" t="s">
        <v>301</v>
      </c>
      <c r="H325" s="95">
        <v>1</v>
      </c>
      <c r="I325" s="96" t="s">
        <v>88</v>
      </c>
      <c r="J325" s="220">
        <v>1750000</v>
      </c>
      <c r="K325" s="50"/>
      <c r="L325" s="52"/>
      <c r="M325" s="232">
        <v>1750000</v>
      </c>
    </row>
    <row r="326" spans="2:13" x14ac:dyDescent="0.35">
      <c r="B326" s="94"/>
      <c r="C326" s="91"/>
      <c r="D326" s="78"/>
      <c r="E326" s="92"/>
      <c r="F326" s="75" t="s">
        <v>89</v>
      </c>
      <c r="G326" s="75" t="s">
        <v>302</v>
      </c>
      <c r="H326" s="221">
        <v>37.295663999999995</v>
      </c>
      <c r="I326" s="96" t="s">
        <v>115</v>
      </c>
      <c r="J326" s="220">
        <v>33000</v>
      </c>
      <c r="K326" s="50"/>
      <c r="L326" s="52"/>
      <c r="M326" s="232">
        <v>1230756.9119999998</v>
      </c>
    </row>
    <row r="327" spans="2:13" x14ac:dyDescent="0.35">
      <c r="B327" s="94"/>
      <c r="C327" s="91"/>
      <c r="D327" s="78"/>
      <c r="E327" s="92"/>
      <c r="F327" s="75" t="s">
        <v>89</v>
      </c>
      <c r="G327" s="75" t="s">
        <v>303</v>
      </c>
      <c r="H327" s="221">
        <v>2.0912399999999995</v>
      </c>
      <c r="I327" s="96" t="s">
        <v>115</v>
      </c>
      <c r="J327" s="220">
        <v>33000</v>
      </c>
      <c r="K327" s="50"/>
      <c r="L327" s="52"/>
      <c r="M327" s="232">
        <v>69010.919999999984</v>
      </c>
    </row>
    <row r="328" spans="2:13" x14ac:dyDescent="0.35">
      <c r="B328" s="94"/>
      <c r="C328" s="91"/>
      <c r="D328" s="78"/>
      <c r="E328" s="92"/>
      <c r="F328" s="75" t="s">
        <v>89</v>
      </c>
      <c r="G328" s="75" t="s">
        <v>304</v>
      </c>
      <c r="H328" s="221">
        <v>2.1477599999999994</v>
      </c>
      <c r="I328" s="96" t="s">
        <v>115</v>
      </c>
      <c r="J328" s="220">
        <v>33000</v>
      </c>
      <c r="K328" s="50"/>
      <c r="L328" s="52"/>
      <c r="M328" s="232">
        <v>70876.079999999987</v>
      </c>
    </row>
    <row r="329" spans="2:13" x14ac:dyDescent="0.35">
      <c r="B329" s="94"/>
      <c r="C329" s="91" t="s">
        <v>161</v>
      </c>
      <c r="D329" s="78"/>
      <c r="E329" s="92"/>
      <c r="F329" s="75" t="s">
        <v>162</v>
      </c>
      <c r="G329" s="75"/>
      <c r="H329" s="82"/>
      <c r="I329" s="93"/>
      <c r="J329" s="219"/>
      <c r="K329" s="110"/>
      <c r="L329" s="22"/>
      <c r="M329" s="232"/>
    </row>
    <row r="330" spans="2:13" x14ac:dyDescent="0.35">
      <c r="B330" s="94"/>
      <c r="C330" s="91"/>
      <c r="D330" s="78" t="s">
        <v>44</v>
      </c>
      <c r="E330" s="92"/>
      <c r="F330" s="75" t="s">
        <v>391</v>
      </c>
      <c r="G330" s="75"/>
      <c r="H330" s="82">
        <v>1</v>
      </c>
      <c r="I330" s="93" t="s">
        <v>99</v>
      </c>
      <c r="J330" s="219">
        <v>9000000</v>
      </c>
      <c r="K330" s="50">
        <f t="shared" ref="K330" si="26">J330*H330</f>
        <v>9000000</v>
      </c>
      <c r="L330" s="22"/>
      <c r="M330" s="232"/>
    </row>
    <row r="331" spans="2:13" x14ac:dyDescent="0.35">
      <c r="B331" s="94"/>
      <c r="C331" s="91"/>
      <c r="D331" s="78"/>
      <c r="E331" s="92"/>
      <c r="F331" s="75" t="s">
        <v>89</v>
      </c>
      <c r="G331" s="75" t="s">
        <v>238</v>
      </c>
      <c r="H331" s="95">
        <v>670</v>
      </c>
      <c r="I331" s="96" t="s">
        <v>140</v>
      </c>
      <c r="J331" s="219"/>
      <c r="K331" s="110"/>
      <c r="L331" s="22"/>
      <c r="M331" s="232"/>
    </row>
    <row r="332" spans="2:13" x14ac:dyDescent="0.35">
      <c r="B332" s="94"/>
      <c r="C332" s="91"/>
      <c r="D332" s="78"/>
      <c r="E332" s="92"/>
      <c r="F332" s="75" t="s">
        <v>89</v>
      </c>
      <c r="G332" s="75" t="s">
        <v>305</v>
      </c>
      <c r="H332" s="95">
        <v>2</v>
      </c>
      <c r="I332" s="96" t="s">
        <v>88</v>
      </c>
      <c r="J332" s="219"/>
      <c r="K332" s="110"/>
      <c r="L332" s="22"/>
      <c r="M332" s="232"/>
    </row>
    <row r="333" spans="2:13" x14ac:dyDescent="0.35">
      <c r="B333" s="94"/>
      <c r="C333" s="91"/>
      <c r="D333" s="78"/>
      <c r="E333" s="92"/>
      <c r="F333" s="75" t="s">
        <v>89</v>
      </c>
      <c r="G333" s="75" t="s">
        <v>266</v>
      </c>
      <c r="H333" s="95">
        <v>2</v>
      </c>
      <c r="I333" s="96" t="s">
        <v>131</v>
      </c>
      <c r="J333" s="219"/>
      <c r="K333" s="110"/>
      <c r="L333" s="22"/>
      <c r="M333" s="232"/>
    </row>
    <row r="334" spans="2:13" x14ac:dyDescent="0.35">
      <c r="B334" s="94"/>
      <c r="C334" s="91"/>
      <c r="D334" s="78"/>
      <c r="E334" s="92"/>
      <c r="F334" s="75" t="s">
        <v>89</v>
      </c>
      <c r="G334" s="75" t="s">
        <v>269</v>
      </c>
      <c r="H334" s="95">
        <v>4</v>
      </c>
      <c r="I334" s="96" t="s">
        <v>131</v>
      </c>
      <c r="J334" s="219"/>
      <c r="K334" s="110"/>
      <c r="L334" s="22"/>
      <c r="M334" s="232"/>
    </row>
    <row r="335" spans="2:13" x14ac:dyDescent="0.35">
      <c r="B335" s="47"/>
      <c r="C335" s="48"/>
      <c r="D335" s="25"/>
      <c r="E335" s="108"/>
      <c r="F335" s="2"/>
      <c r="G335" s="21"/>
      <c r="I335" s="22"/>
      <c r="J335" s="218"/>
      <c r="K335" s="29"/>
      <c r="L335" s="52"/>
      <c r="M335" s="232"/>
    </row>
    <row r="336" spans="2:13" x14ac:dyDescent="0.35">
      <c r="B336" s="8"/>
      <c r="C336" s="9"/>
      <c r="D336" s="10"/>
      <c r="E336" s="4"/>
      <c r="F336" s="4"/>
      <c r="G336" s="4"/>
      <c r="H336" s="1"/>
      <c r="I336" s="1"/>
      <c r="J336" s="11" t="s">
        <v>8</v>
      </c>
      <c r="K336" s="7">
        <f>SUM(K284:K335)</f>
        <v>17150000</v>
      </c>
      <c r="L336" s="7">
        <f>SUM(L284:L335)</f>
        <v>28554477.635999996</v>
      </c>
      <c r="M336" s="232"/>
    </row>
    <row r="337" spans="2:13" x14ac:dyDescent="0.35">
      <c r="B337" s="8"/>
      <c r="C337" s="9"/>
      <c r="D337" s="9"/>
      <c r="E337" s="4"/>
      <c r="F337" s="4"/>
      <c r="G337" s="4"/>
      <c r="H337" s="1"/>
      <c r="I337" s="1"/>
      <c r="J337" s="11"/>
      <c r="K337" s="35" t="s">
        <v>22</v>
      </c>
      <c r="L337" s="36" t="s">
        <v>23</v>
      </c>
      <c r="M337" s="232"/>
    </row>
    <row r="338" spans="2:13" x14ac:dyDescent="0.35">
      <c r="B338" s="3" t="s">
        <v>9</v>
      </c>
      <c r="C338" s="4"/>
      <c r="D338" s="4"/>
      <c r="E338" s="4"/>
      <c r="F338" s="4"/>
      <c r="G338" s="4"/>
      <c r="H338" s="1"/>
      <c r="I338" s="1"/>
      <c r="J338" s="12"/>
      <c r="K338" s="12"/>
      <c r="L338" s="13"/>
      <c r="M338" s="232"/>
    </row>
    <row r="339" spans="2:13" x14ac:dyDescent="0.35">
      <c r="B339" s="37"/>
      <c r="C339" s="1"/>
      <c r="D339" s="1"/>
      <c r="E339" s="38"/>
      <c r="F339" s="38"/>
      <c r="G339" s="38"/>
      <c r="H339" s="1"/>
      <c r="I339" s="1"/>
      <c r="J339" s="1"/>
      <c r="K339" s="1"/>
      <c r="L339" s="19"/>
      <c r="M339" s="232"/>
    </row>
    <row r="340" spans="2:13" x14ac:dyDescent="0.35">
      <c r="B340" s="28" t="s">
        <v>6</v>
      </c>
      <c r="C340" s="27"/>
      <c r="D340" s="27"/>
      <c r="E340" s="26"/>
      <c r="F340" s="26"/>
      <c r="G340" s="5"/>
      <c r="K340" s="246" t="s">
        <v>216</v>
      </c>
      <c r="L340" s="247"/>
      <c r="M340" s="232"/>
    </row>
    <row r="341" spans="2:13" x14ac:dyDescent="0.35">
      <c r="B341" s="28">
        <v>1</v>
      </c>
      <c r="C341" s="27"/>
      <c r="D341" s="27"/>
      <c r="E341" s="26" t="s">
        <v>7</v>
      </c>
      <c r="F341" s="26"/>
      <c r="G341" s="5"/>
      <c r="K341" s="246" t="s">
        <v>28</v>
      </c>
      <c r="L341" s="247"/>
      <c r="M341" s="232"/>
    </row>
    <row r="342" spans="2:13" x14ac:dyDescent="0.35">
      <c r="B342" s="39"/>
      <c r="C342" s="27"/>
      <c r="D342" s="27"/>
      <c r="E342" s="26"/>
      <c r="F342" s="26"/>
      <c r="G342" s="5"/>
      <c r="J342" s="25"/>
      <c r="K342" s="25"/>
      <c r="L342" s="24"/>
      <c r="M342" s="232"/>
    </row>
    <row r="343" spans="2:13" x14ac:dyDescent="0.35">
      <c r="B343" s="28"/>
      <c r="C343" s="27"/>
      <c r="D343" s="27"/>
      <c r="E343" s="26"/>
      <c r="F343" s="26"/>
      <c r="G343" s="5"/>
      <c r="L343" s="22"/>
      <c r="M343" s="232"/>
    </row>
    <row r="344" spans="2:13" x14ac:dyDescent="0.35">
      <c r="B344" s="45"/>
      <c r="E344" s="5"/>
      <c r="F344" s="5"/>
      <c r="G344" s="5"/>
      <c r="L344" s="22"/>
      <c r="M344" s="232"/>
    </row>
    <row r="345" spans="2:13" x14ac:dyDescent="0.35">
      <c r="B345" s="45"/>
      <c r="E345" s="5"/>
      <c r="F345" s="5"/>
      <c r="G345" s="5"/>
      <c r="L345" s="22"/>
      <c r="M345" s="232"/>
    </row>
    <row r="346" spans="2:13" x14ac:dyDescent="0.35">
      <c r="B346" s="45"/>
      <c r="E346" s="5"/>
      <c r="F346" s="5"/>
      <c r="G346" s="5"/>
      <c r="L346" s="22"/>
      <c r="M346" s="232"/>
    </row>
    <row r="347" spans="2:13" x14ac:dyDescent="0.35">
      <c r="B347" s="45"/>
      <c r="E347" s="5"/>
      <c r="F347" s="5"/>
      <c r="G347" s="5"/>
      <c r="J347" s="40"/>
      <c r="K347" s="248" t="s">
        <v>36</v>
      </c>
      <c r="L347" s="249"/>
      <c r="M347" s="232"/>
    </row>
    <row r="348" spans="2:13" x14ac:dyDescent="0.35">
      <c r="B348" s="45"/>
      <c r="K348" s="250" t="s">
        <v>37</v>
      </c>
      <c r="L348" s="251"/>
      <c r="M348" s="232"/>
    </row>
    <row r="349" spans="2:13" x14ac:dyDescent="0.35">
      <c r="B349" s="243"/>
      <c r="C349" s="244"/>
      <c r="D349" s="244"/>
      <c r="E349" s="41"/>
      <c r="F349" s="41"/>
      <c r="G349" s="41"/>
      <c r="H349" s="2"/>
      <c r="I349" s="2"/>
      <c r="J349" s="2"/>
      <c r="K349" s="2"/>
      <c r="L349" s="21"/>
      <c r="M349" s="232"/>
    </row>
    <row r="350" spans="2:13" x14ac:dyDescent="0.35">
      <c r="B350" s="47"/>
      <c r="C350" s="48"/>
      <c r="D350" s="49"/>
      <c r="G350" s="22"/>
      <c r="H350" s="1"/>
      <c r="I350" s="1"/>
      <c r="J350" s="216"/>
      <c r="K350" s="30"/>
      <c r="L350" s="44"/>
      <c r="M350" s="232"/>
    </row>
    <row r="351" spans="2:13" x14ac:dyDescent="0.35">
      <c r="B351" s="94"/>
      <c r="C351" s="91"/>
      <c r="D351" s="78"/>
      <c r="E351" s="92"/>
      <c r="F351" s="75" t="s">
        <v>89</v>
      </c>
      <c r="G351" s="75" t="s">
        <v>270</v>
      </c>
      <c r="H351" s="95">
        <v>1</v>
      </c>
      <c r="I351" s="96" t="s">
        <v>88</v>
      </c>
      <c r="J351" s="217"/>
      <c r="K351" s="52"/>
      <c r="L351" s="46"/>
      <c r="M351" s="232"/>
    </row>
    <row r="352" spans="2:13" x14ac:dyDescent="0.35">
      <c r="B352" s="94"/>
      <c r="C352" s="91"/>
      <c r="D352" s="78"/>
      <c r="E352" s="92"/>
      <c r="F352" s="75" t="s">
        <v>89</v>
      </c>
      <c r="G352" s="75" t="s">
        <v>306</v>
      </c>
      <c r="H352" s="95">
        <v>1</v>
      </c>
      <c r="I352" s="96" t="s">
        <v>131</v>
      </c>
      <c r="J352" s="218"/>
      <c r="K352" s="54"/>
      <c r="L352" s="46"/>
      <c r="M352" s="232"/>
    </row>
    <row r="353" spans="2:13" x14ac:dyDescent="0.35">
      <c r="B353" s="94"/>
      <c r="C353" s="91"/>
      <c r="D353" s="78"/>
      <c r="E353" s="92"/>
      <c r="F353" s="75" t="s">
        <v>89</v>
      </c>
      <c r="G353" s="75" t="s">
        <v>307</v>
      </c>
      <c r="H353" s="95">
        <v>1</v>
      </c>
      <c r="I353" s="96" t="s">
        <v>131</v>
      </c>
      <c r="J353" s="218"/>
      <c r="K353" s="54"/>
      <c r="L353" s="46"/>
      <c r="M353" s="232"/>
    </row>
    <row r="354" spans="2:13" x14ac:dyDescent="0.35">
      <c r="B354" s="94"/>
      <c r="C354" s="91"/>
      <c r="D354" s="78" t="s">
        <v>47</v>
      </c>
      <c r="E354" s="92"/>
      <c r="F354" s="75" t="s">
        <v>392</v>
      </c>
      <c r="G354" s="75"/>
      <c r="H354" s="82">
        <v>1</v>
      </c>
      <c r="I354" s="93" t="s">
        <v>99</v>
      </c>
      <c r="J354" s="219">
        <v>9000000</v>
      </c>
      <c r="K354" s="50">
        <f t="shared" ref="K354" si="27">J354*H354</f>
        <v>9000000</v>
      </c>
      <c r="L354" s="46"/>
      <c r="M354" s="232"/>
    </row>
    <row r="355" spans="2:13" x14ac:dyDescent="0.35">
      <c r="B355" s="94"/>
      <c r="C355" s="91"/>
      <c r="D355" s="78"/>
      <c r="E355" s="92"/>
      <c r="F355" s="75" t="s">
        <v>89</v>
      </c>
      <c r="G355" s="75" t="s">
        <v>238</v>
      </c>
      <c r="H355" s="95">
        <v>670</v>
      </c>
      <c r="I355" s="96" t="s">
        <v>140</v>
      </c>
      <c r="J355" s="218"/>
      <c r="K355" s="54"/>
      <c r="L355" s="46"/>
      <c r="M355" s="232"/>
    </row>
    <row r="356" spans="2:13" x14ac:dyDescent="0.35">
      <c r="B356" s="94"/>
      <c r="C356" s="91"/>
      <c r="D356" s="78"/>
      <c r="E356" s="92"/>
      <c r="F356" s="75" t="s">
        <v>89</v>
      </c>
      <c r="G356" s="75" t="s">
        <v>305</v>
      </c>
      <c r="H356" s="95">
        <v>2</v>
      </c>
      <c r="I356" s="98" t="s">
        <v>88</v>
      </c>
      <c r="J356" s="218"/>
      <c r="K356" s="54"/>
      <c r="L356" s="46"/>
      <c r="M356" s="232"/>
    </row>
    <row r="357" spans="2:13" x14ac:dyDescent="0.35">
      <c r="B357" s="94"/>
      <c r="C357" s="91"/>
      <c r="D357" s="78"/>
      <c r="E357" s="92"/>
      <c r="F357" s="75" t="s">
        <v>89</v>
      </c>
      <c r="G357" s="75" t="s">
        <v>266</v>
      </c>
      <c r="H357" s="95">
        <v>2</v>
      </c>
      <c r="I357" s="96" t="s">
        <v>131</v>
      </c>
      <c r="J357" s="218"/>
      <c r="K357" s="54"/>
      <c r="L357" s="46"/>
      <c r="M357" s="232"/>
    </row>
    <row r="358" spans="2:13" x14ac:dyDescent="0.35">
      <c r="B358" s="94"/>
      <c r="C358" s="91"/>
      <c r="D358" s="78"/>
      <c r="E358" s="92"/>
      <c r="F358" s="75" t="s">
        <v>89</v>
      </c>
      <c r="G358" s="75" t="s">
        <v>226</v>
      </c>
      <c r="H358" s="95">
        <v>4</v>
      </c>
      <c r="I358" s="96" t="s">
        <v>131</v>
      </c>
      <c r="J358" s="218"/>
      <c r="K358" s="54"/>
      <c r="L358" s="46"/>
      <c r="M358" s="232"/>
    </row>
    <row r="359" spans="2:13" x14ac:dyDescent="0.35">
      <c r="B359" s="94"/>
      <c r="C359" s="91"/>
      <c r="D359" s="78"/>
      <c r="E359" s="92"/>
      <c r="F359" s="75" t="s">
        <v>89</v>
      </c>
      <c r="G359" s="75" t="s">
        <v>270</v>
      </c>
      <c r="H359" s="95">
        <v>1</v>
      </c>
      <c r="I359" s="96" t="s">
        <v>88</v>
      </c>
      <c r="J359" s="218"/>
      <c r="K359" s="54"/>
      <c r="L359" s="46"/>
      <c r="M359" s="232"/>
    </row>
    <row r="360" spans="2:13" x14ac:dyDescent="0.35">
      <c r="B360" s="94"/>
      <c r="C360" s="91"/>
      <c r="D360" s="78"/>
      <c r="E360" s="92"/>
      <c r="F360" s="75" t="s">
        <v>89</v>
      </c>
      <c r="G360" s="75" t="s">
        <v>306</v>
      </c>
      <c r="H360" s="95">
        <v>1</v>
      </c>
      <c r="I360" s="96" t="s">
        <v>131</v>
      </c>
      <c r="J360" s="218"/>
      <c r="K360" s="54"/>
      <c r="L360" s="46"/>
      <c r="M360" s="232"/>
    </row>
    <row r="361" spans="2:13" x14ac:dyDescent="0.35">
      <c r="B361" s="94"/>
      <c r="C361" s="91"/>
      <c r="D361" s="78"/>
      <c r="E361" s="92"/>
      <c r="F361" s="75" t="s">
        <v>89</v>
      </c>
      <c r="G361" s="75" t="s">
        <v>307</v>
      </c>
      <c r="H361" s="95">
        <v>1</v>
      </c>
      <c r="I361" s="96" t="s">
        <v>131</v>
      </c>
      <c r="J361" s="218"/>
      <c r="K361" s="54"/>
      <c r="L361" s="46"/>
      <c r="M361" s="232"/>
    </row>
    <row r="362" spans="2:13" x14ac:dyDescent="0.35">
      <c r="B362" s="94"/>
      <c r="C362" s="91" t="s">
        <v>163</v>
      </c>
      <c r="D362" s="78"/>
      <c r="E362" s="92"/>
      <c r="F362" s="75" t="s">
        <v>164</v>
      </c>
      <c r="G362" s="75"/>
      <c r="H362" s="82"/>
      <c r="I362" s="93"/>
      <c r="J362" s="218"/>
      <c r="K362" s="54"/>
      <c r="L362" s="46"/>
      <c r="M362" s="232"/>
    </row>
    <row r="363" spans="2:13" x14ac:dyDescent="0.35">
      <c r="B363" s="94"/>
      <c r="C363" s="91"/>
      <c r="D363" s="78" t="s">
        <v>44</v>
      </c>
      <c r="E363" s="92"/>
      <c r="F363" s="75" t="s">
        <v>165</v>
      </c>
      <c r="G363" s="75"/>
      <c r="H363" s="82">
        <v>2</v>
      </c>
      <c r="I363" s="93" t="s">
        <v>166</v>
      </c>
      <c r="J363" s="218">
        <v>1500000</v>
      </c>
      <c r="K363" s="50">
        <f t="shared" ref="K363:K364" si="28">J363*H363</f>
        <v>3000000</v>
      </c>
      <c r="L363" s="46"/>
      <c r="M363" s="232"/>
    </row>
    <row r="364" spans="2:13" x14ac:dyDescent="0.35">
      <c r="B364" s="94"/>
      <c r="C364" s="91"/>
      <c r="D364" s="78" t="s">
        <v>47</v>
      </c>
      <c r="E364" s="92"/>
      <c r="F364" s="75" t="s">
        <v>167</v>
      </c>
      <c r="G364" s="75"/>
      <c r="H364" s="82">
        <v>1</v>
      </c>
      <c r="I364" s="93" t="s">
        <v>99</v>
      </c>
      <c r="J364" s="218">
        <v>5750000</v>
      </c>
      <c r="K364" s="50">
        <f t="shared" si="28"/>
        <v>5750000</v>
      </c>
      <c r="L364" s="46"/>
      <c r="M364" s="233">
        <f>SUM(M365:M375)*1.3</f>
        <v>5466443.3668</v>
      </c>
    </row>
    <row r="365" spans="2:13" x14ac:dyDescent="0.35">
      <c r="B365" s="94"/>
      <c r="C365" s="91"/>
      <c r="D365" s="78"/>
      <c r="E365" s="92"/>
      <c r="F365" s="75" t="s">
        <v>89</v>
      </c>
      <c r="G365" s="75" t="s">
        <v>308</v>
      </c>
      <c r="H365" s="95">
        <v>37.133639999999993</v>
      </c>
      <c r="I365" s="96" t="s">
        <v>115</v>
      </c>
      <c r="J365" s="220">
        <v>33000</v>
      </c>
      <c r="K365" s="54"/>
      <c r="L365" s="46"/>
      <c r="M365" s="232">
        <v>1225410.1199999996</v>
      </c>
    </row>
    <row r="366" spans="2:13" x14ac:dyDescent="0.35">
      <c r="B366" s="94"/>
      <c r="C366" s="91"/>
      <c r="D366" s="78"/>
      <c r="E366" s="92"/>
      <c r="F366" s="75" t="s">
        <v>89</v>
      </c>
      <c r="G366" s="75" t="s">
        <v>309</v>
      </c>
      <c r="H366" s="95">
        <v>51.291899999999991</v>
      </c>
      <c r="I366" s="96" t="s">
        <v>115</v>
      </c>
      <c r="J366" s="220">
        <v>33000</v>
      </c>
      <c r="K366" s="54"/>
      <c r="L366" s="46"/>
      <c r="M366" s="232">
        <v>1692632.6999999997</v>
      </c>
    </row>
    <row r="367" spans="2:13" x14ac:dyDescent="0.35">
      <c r="B367" s="94"/>
      <c r="C367" s="91"/>
      <c r="D367" s="78"/>
      <c r="E367" s="92"/>
      <c r="F367" s="75" t="s">
        <v>89</v>
      </c>
      <c r="G367" s="75" t="s">
        <v>310</v>
      </c>
      <c r="H367" s="95">
        <f>0.07*0.06*12*7.85*1.2*4</f>
        <v>1.8990720000000001</v>
      </c>
      <c r="I367" s="96" t="s">
        <v>115</v>
      </c>
      <c r="J367" s="220">
        <v>33000</v>
      </c>
      <c r="K367" s="54"/>
      <c r="L367" s="46"/>
      <c r="M367" s="232">
        <v>62669.376000000004</v>
      </c>
    </row>
    <row r="368" spans="2:13" x14ac:dyDescent="0.35">
      <c r="B368" s="94"/>
      <c r="C368" s="91"/>
      <c r="D368" s="78"/>
      <c r="E368" s="92"/>
      <c r="F368" s="75" t="s">
        <v>89</v>
      </c>
      <c r="G368" s="75" t="s">
        <v>311</v>
      </c>
      <c r="H368" s="95">
        <v>0.79127999999999987</v>
      </c>
      <c r="I368" s="96" t="s">
        <v>115</v>
      </c>
      <c r="J368" s="220">
        <v>33000</v>
      </c>
      <c r="K368" s="54"/>
      <c r="L368" s="46"/>
      <c r="M368" s="232">
        <v>26112.239999999994</v>
      </c>
    </row>
    <row r="369" spans="2:13" x14ac:dyDescent="0.35">
      <c r="B369" s="94"/>
      <c r="C369" s="91"/>
      <c r="D369" s="78"/>
      <c r="E369" s="92"/>
      <c r="F369" s="75" t="s">
        <v>89</v>
      </c>
      <c r="G369" s="75" t="s">
        <v>248</v>
      </c>
      <c r="H369" s="95">
        <v>12</v>
      </c>
      <c r="I369" s="96" t="s">
        <v>131</v>
      </c>
      <c r="J369" s="220">
        <v>40000</v>
      </c>
      <c r="K369" s="54"/>
      <c r="L369" s="46"/>
      <c r="M369" s="232">
        <v>480000</v>
      </c>
    </row>
    <row r="370" spans="2:13" x14ac:dyDescent="0.35">
      <c r="B370" s="94"/>
      <c r="C370" s="91"/>
      <c r="D370" s="78"/>
      <c r="E370" s="92"/>
      <c r="F370" s="75" t="s">
        <v>89</v>
      </c>
      <c r="G370" s="75" t="s">
        <v>312</v>
      </c>
      <c r="H370" s="95">
        <v>1</v>
      </c>
      <c r="I370" s="96" t="s">
        <v>88</v>
      </c>
      <c r="J370" s="220">
        <v>40000</v>
      </c>
      <c r="K370" s="54"/>
      <c r="L370" s="46"/>
      <c r="M370" s="232">
        <v>40000</v>
      </c>
    </row>
    <row r="371" spans="2:13" x14ac:dyDescent="0.35">
      <c r="B371" s="94"/>
      <c r="C371" s="91"/>
      <c r="D371" s="78"/>
      <c r="E371" s="92"/>
      <c r="F371" s="75" t="s">
        <v>89</v>
      </c>
      <c r="G371" s="75" t="s">
        <v>313</v>
      </c>
      <c r="H371" s="95">
        <v>1</v>
      </c>
      <c r="I371" s="96" t="s">
        <v>88</v>
      </c>
      <c r="J371" s="220">
        <v>130000</v>
      </c>
      <c r="K371" s="54"/>
      <c r="L371" s="46"/>
      <c r="M371" s="232">
        <v>130000</v>
      </c>
    </row>
    <row r="372" spans="2:13" x14ac:dyDescent="0.35">
      <c r="B372" s="94"/>
      <c r="C372" s="91"/>
      <c r="D372" s="78"/>
      <c r="E372" s="92"/>
      <c r="F372" s="75" t="s">
        <v>89</v>
      </c>
      <c r="G372" s="75" t="s">
        <v>314</v>
      </c>
      <c r="H372" s="95">
        <v>0.57600000000000007</v>
      </c>
      <c r="I372" s="96" t="s">
        <v>115</v>
      </c>
      <c r="J372" s="220">
        <v>37000</v>
      </c>
      <c r="K372" s="54"/>
      <c r="L372" s="46"/>
      <c r="M372" s="232">
        <v>21312.000000000004</v>
      </c>
    </row>
    <row r="373" spans="2:13" x14ac:dyDescent="0.35">
      <c r="B373" s="94"/>
      <c r="C373" s="91"/>
      <c r="D373" s="78"/>
      <c r="E373" s="92"/>
      <c r="F373" s="75" t="s">
        <v>89</v>
      </c>
      <c r="G373" s="75" t="s">
        <v>244</v>
      </c>
      <c r="H373" s="95">
        <v>70</v>
      </c>
      <c r="I373" s="96" t="s">
        <v>140</v>
      </c>
      <c r="J373" s="220">
        <v>526</v>
      </c>
      <c r="K373" s="54"/>
      <c r="L373" s="46"/>
      <c r="M373" s="232">
        <v>36820</v>
      </c>
    </row>
    <row r="374" spans="2:13" x14ac:dyDescent="0.35">
      <c r="B374" s="94"/>
      <c r="C374" s="91"/>
      <c r="D374" s="78"/>
      <c r="E374" s="92"/>
      <c r="F374" s="75" t="s">
        <v>89</v>
      </c>
      <c r="G374" s="75" t="s">
        <v>315</v>
      </c>
      <c r="H374" s="95">
        <v>1</v>
      </c>
      <c r="I374" s="96" t="s">
        <v>88</v>
      </c>
      <c r="J374" s="220">
        <v>240000</v>
      </c>
      <c r="K374" s="54"/>
      <c r="L374" s="46"/>
      <c r="M374" s="232">
        <v>240000</v>
      </c>
    </row>
    <row r="375" spans="2:13" x14ac:dyDescent="0.35">
      <c r="B375" s="94"/>
      <c r="C375" s="91"/>
      <c r="D375" s="78"/>
      <c r="E375" s="92"/>
      <c r="F375" s="75" t="s">
        <v>89</v>
      </c>
      <c r="G375" s="75" t="s">
        <v>316</v>
      </c>
      <c r="H375" s="95">
        <v>1</v>
      </c>
      <c r="I375" s="96" t="s">
        <v>46</v>
      </c>
      <c r="J375" s="220">
        <v>250000</v>
      </c>
      <c r="K375" s="54"/>
      <c r="L375" s="46"/>
      <c r="M375" s="232">
        <v>250000</v>
      </c>
    </row>
    <row r="376" spans="2:13" x14ac:dyDescent="0.35">
      <c r="B376" s="94"/>
      <c r="C376" s="91"/>
      <c r="D376" s="78" t="s">
        <v>49</v>
      </c>
      <c r="E376" s="92"/>
      <c r="F376" s="75" t="s">
        <v>168</v>
      </c>
      <c r="G376" s="75"/>
      <c r="H376" s="82">
        <v>1</v>
      </c>
      <c r="I376" s="93" t="s">
        <v>99</v>
      </c>
      <c r="J376" s="218">
        <v>8500000</v>
      </c>
      <c r="K376" s="50">
        <f t="shared" ref="K376" si="29">J376*H376</f>
        <v>8500000</v>
      </c>
      <c r="L376" s="46"/>
      <c r="M376" s="233">
        <f>SUM(M377:M388)*1.3</f>
        <v>8401708.463200001</v>
      </c>
    </row>
    <row r="377" spans="2:13" x14ac:dyDescent="0.35">
      <c r="B377" s="94"/>
      <c r="C377" s="91"/>
      <c r="D377" s="78"/>
      <c r="E377" s="92"/>
      <c r="F377" s="75" t="s">
        <v>89</v>
      </c>
      <c r="G377" s="75" t="s">
        <v>317</v>
      </c>
      <c r="H377" s="95">
        <v>36.059759999999997</v>
      </c>
      <c r="I377" s="96" t="s">
        <v>115</v>
      </c>
      <c r="J377" s="220">
        <v>33000</v>
      </c>
      <c r="K377" s="54"/>
      <c r="L377" s="46"/>
      <c r="M377" s="232">
        <v>1189972.0799999998</v>
      </c>
    </row>
    <row r="378" spans="2:13" x14ac:dyDescent="0.35">
      <c r="B378" s="94"/>
      <c r="C378" s="91"/>
      <c r="D378" s="78"/>
      <c r="E378" s="92"/>
      <c r="F378" s="75" t="s">
        <v>89</v>
      </c>
      <c r="G378" s="75" t="s">
        <v>318</v>
      </c>
      <c r="H378" s="95">
        <v>1.8199439999999998</v>
      </c>
      <c r="I378" s="96" t="s">
        <v>115</v>
      </c>
      <c r="J378" s="220">
        <v>33000</v>
      </c>
      <c r="K378" s="54"/>
      <c r="L378" s="46"/>
      <c r="M378" s="232">
        <v>60058.151999999995</v>
      </c>
    </row>
    <row r="379" spans="2:13" x14ac:dyDescent="0.35">
      <c r="B379" s="94"/>
      <c r="C379" s="91"/>
      <c r="D379" s="78"/>
      <c r="E379" s="92"/>
      <c r="F379" s="75" t="s">
        <v>89</v>
      </c>
      <c r="G379" s="75" t="s">
        <v>319</v>
      </c>
      <c r="H379" s="95">
        <v>53.174015999999995</v>
      </c>
      <c r="I379" s="96" t="s">
        <v>115</v>
      </c>
      <c r="J379" s="220">
        <v>33000</v>
      </c>
      <c r="K379" s="54"/>
      <c r="L379" s="46"/>
      <c r="M379" s="232">
        <v>1754742.5279999999</v>
      </c>
    </row>
    <row r="380" spans="2:13" x14ac:dyDescent="0.35">
      <c r="B380" s="94"/>
      <c r="C380" s="91"/>
      <c r="D380" s="78"/>
      <c r="E380" s="92"/>
      <c r="F380" s="75" t="s">
        <v>89</v>
      </c>
      <c r="G380" s="75" t="s">
        <v>320</v>
      </c>
      <c r="H380" s="95">
        <v>2.3060159999999996</v>
      </c>
      <c r="I380" s="96" t="s">
        <v>115</v>
      </c>
      <c r="J380" s="220">
        <v>33000</v>
      </c>
      <c r="K380" s="54"/>
      <c r="L380" s="46"/>
      <c r="M380" s="232">
        <v>76098.527999999991</v>
      </c>
    </row>
    <row r="381" spans="2:13" x14ac:dyDescent="0.35">
      <c r="B381" s="94"/>
      <c r="C381" s="91"/>
      <c r="D381" s="78"/>
      <c r="E381" s="92"/>
      <c r="F381" s="75" t="s">
        <v>89</v>
      </c>
      <c r="G381" s="75" t="s">
        <v>310</v>
      </c>
      <c r="H381" s="95">
        <f>0.07*0.06*12*7.85*1.2*4</f>
        <v>1.8990720000000001</v>
      </c>
      <c r="I381" s="96" t="s">
        <v>115</v>
      </c>
      <c r="J381" s="220">
        <v>33000</v>
      </c>
      <c r="K381" s="54"/>
      <c r="L381" s="46"/>
      <c r="M381" s="232">
        <v>62669.376000000004</v>
      </c>
    </row>
    <row r="382" spans="2:13" x14ac:dyDescent="0.35">
      <c r="B382" s="94"/>
      <c r="C382" s="91"/>
      <c r="D382" s="78"/>
      <c r="E382" s="92"/>
      <c r="F382" s="75" t="s">
        <v>89</v>
      </c>
      <c r="G382" s="75" t="s">
        <v>248</v>
      </c>
      <c r="H382" s="95">
        <v>12</v>
      </c>
      <c r="I382" s="96" t="s">
        <v>131</v>
      </c>
      <c r="J382" s="220">
        <v>4000</v>
      </c>
      <c r="K382" s="54"/>
      <c r="L382" s="46"/>
      <c r="M382" s="232">
        <v>48000</v>
      </c>
    </row>
    <row r="383" spans="2:13" x14ac:dyDescent="0.35">
      <c r="B383" s="94"/>
      <c r="C383" s="91"/>
      <c r="D383" s="78"/>
      <c r="E383" s="92"/>
      <c r="F383" s="75" t="s">
        <v>89</v>
      </c>
      <c r="G383" s="75" t="s">
        <v>312</v>
      </c>
      <c r="H383" s="95">
        <v>1</v>
      </c>
      <c r="I383" s="96" t="s">
        <v>88</v>
      </c>
      <c r="J383" s="220">
        <v>40000</v>
      </c>
      <c r="K383" s="54"/>
      <c r="L383" s="46"/>
      <c r="M383" s="232">
        <v>40000</v>
      </c>
    </row>
    <row r="384" spans="2:13" x14ac:dyDescent="0.35">
      <c r="B384" s="94"/>
      <c r="C384" s="91"/>
      <c r="D384" s="78"/>
      <c r="E384" s="92"/>
      <c r="F384" s="75" t="s">
        <v>89</v>
      </c>
      <c r="G384" s="75" t="s">
        <v>313</v>
      </c>
      <c r="H384" s="95">
        <v>1</v>
      </c>
      <c r="I384" s="96" t="s">
        <v>88</v>
      </c>
      <c r="J384" s="220">
        <v>130000</v>
      </c>
      <c r="K384" s="54"/>
      <c r="L384" s="46"/>
      <c r="M384" s="232">
        <v>130000</v>
      </c>
    </row>
    <row r="385" spans="2:13" x14ac:dyDescent="0.35">
      <c r="B385" s="94"/>
      <c r="C385" s="91"/>
      <c r="D385" s="78"/>
      <c r="E385" s="92"/>
      <c r="F385" s="75" t="s">
        <v>89</v>
      </c>
      <c r="G385" s="75" t="s">
        <v>314</v>
      </c>
      <c r="H385" s="95">
        <v>0.57600000000000007</v>
      </c>
      <c r="I385" s="98" t="s">
        <v>115</v>
      </c>
      <c r="J385" s="220">
        <v>37000</v>
      </c>
      <c r="K385" s="54"/>
      <c r="L385" s="46"/>
      <c r="M385" s="232">
        <v>21312.000000000004</v>
      </c>
    </row>
    <row r="386" spans="2:13" x14ac:dyDescent="0.35">
      <c r="B386" s="94"/>
      <c r="C386" s="91"/>
      <c r="D386" s="78"/>
      <c r="E386" s="92"/>
      <c r="F386" s="75" t="s">
        <v>89</v>
      </c>
      <c r="G386" s="75" t="s">
        <v>244</v>
      </c>
      <c r="H386" s="95">
        <v>70</v>
      </c>
      <c r="I386" s="98" t="s">
        <v>140</v>
      </c>
      <c r="J386" s="220">
        <v>37000</v>
      </c>
      <c r="K386" s="52"/>
      <c r="L386" s="46"/>
      <c r="M386" s="232">
        <v>2590000</v>
      </c>
    </row>
    <row r="387" spans="2:13" x14ac:dyDescent="0.35">
      <c r="B387" s="94"/>
      <c r="C387" s="91"/>
      <c r="D387" s="78"/>
      <c r="E387" s="92"/>
      <c r="F387" s="75" t="s">
        <v>89</v>
      </c>
      <c r="G387" s="75" t="s">
        <v>315</v>
      </c>
      <c r="H387" s="95">
        <v>1</v>
      </c>
      <c r="I387" s="98" t="s">
        <v>88</v>
      </c>
      <c r="J387" s="220">
        <v>240000</v>
      </c>
      <c r="K387" s="54"/>
      <c r="L387" s="46"/>
      <c r="M387" s="232">
        <v>240000</v>
      </c>
    </row>
    <row r="388" spans="2:13" x14ac:dyDescent="0.35">
      <c r="B388" s="94"/>
      <c r="C388" s="91"/>
      <c r="D388" s="78"/>
      <c r="E388" s="92"/>
      <c r="F388" s="75" t="s">
        <v>89</v>
      </c>
      <c r="G388" s="75" t="s">
        <v>316</v>
      </c>
      <c r="H388" s="95">
        <v>1</v>
      </c>
      <c r="I388" s="96" t="s">
        <v>46</v>
      </c>
      <c r="J388" s="220">
        <v>250000</v>
      </c>
      <c r="K388" s="51"/>
      <c r="L388" s="46"/>
      <c r="M388" s="232">
        <v>250000</v>
      </c>
    </row>
    <row r="389" spans="2:13" x14ac:dyDescent="0.35">
      <c r="B389" s="94"/>
      <c r="C389" s="91" t="s">
        <v>169</v>
      </c>
      <c r="D389" s="78"/>
      <c r="E389" s="92"/>
      <c r="F389" s="75" t="s">
        <v>321</v>
      </c>
      <c r="G389" s="75"/>
      <c r="H389" s="82">
        <v>2</v>
      </c>
      <c r="I389" s="97" t="s">
        <v>99</v>
      </c>
      <c r="J389" s="218">
        <v>3250000</v>
      </c>
      <c r="K389" s="50">
        <f t="shared" ref="K389" si="30">J389*H389</f>
        <v>6500000</v>
      </c>
      <c r="L389" s="46"/>
      <c r="M389" s="233">
        <f>SUM(M390:M393)*1.3</f>
        <v>1802181.2952000001</v>
      </c>
    </row>
    <row r="390" spans="2:13" x14ac:dyDescent="0.35">
      <c r="B390" s="94"/>
      <c r="C390" s="91"/>
      <c r="D390" s="78"/>
      <c r="E390" s="92"/>
      <c r="F390" s="75" t="s">
        <v>89</v>
      </c>
      <c r="G390" s="75" t="s">
        <v>322</v>
      </c>
      <c r="H390" s="95">
        <v>2</v>
      </c>
      <c r="I390" s="98" t="s">
        <v>131</v>
      </c>
      <c r="J390" s="220">
        <v>330000</v>
      </c>
      <c r="K390" s="50"/>
      <c r="L390" s="52"/>
      <c r="M390" s="232">
        <v>660000</v>
      </c>
    </row>
    <row r="391" spans="2:13" x14ac:dyDescent="0.35">
      <c r="B391" s="94"/>
      <c r="C391" s="91"/>
      <c r="D391" s="78"/>
      <c r="E391" s="92"/>
      <c r="F391" s="75" t="s">
        <v>89</v>
      </c>
      <c r="G391" s="75" t="s">
        <v>323</v>
      </c>
      <c r="H391" s="221">
        <f>0.3*0.2*8*7.85*4*1.2</f>
        <v>18.086399999999998</v>
      </c>
      <c r="I391" s="98" t="s">
        <v>115</v>
      </c>
      <c r="J391" s="220">
        <v>33000</v>
      </c>
      <c r="K391" s="50"/>
      <c r="L391" s="52"/>
      <c r="M391" s="232">
        <v>596851.19999999995</v>
      </c>
    </row>
    <row r="392" spans="2:13" x14ac:dyDescent="0.35">
      <c r="B392" s="94"/>
      <c r="C392" s="91"/>
      <c r="D392" s="78"/>
      <c r="E392" s="92"/>
      <c r="F392" s="75" t="s">
        <v>89</v>
      </c>
      <c r="G392" s="75" t="s">
        <v>324</v>
      </c>
      <c r="H392" s="221">
        <v>2.1138479999999999</v>
      </c>
      <c r="I392" s="98" t="s">
        <v>115</v>
      </c>
      <c r="J392" s="220">
        <v>33000</v>
      </c>
      <c r="K392" s="50"/>
      <c r="L392" s="52"/>
      <c r="M392" s="232">
        <v>69756.983999999997</v>
      </c>
    </row>
    <row r="393" spans="2:13" x14ac:dyDescent="0.35">
      <c r="B393" s="143"/>
      <c r="C393" s="130"/>
      <c r="D393" s="145"/>
      <c r="E393" s="137"/>
      <c r="F393" s="137" t="s">
        <v>89</v>
      </c>
      <c r="G393" s="146" t="s">
        <v>325</v>
      </c>
      <c r="H393" s="222">
        <f>8*0.2*0.03*4*7.85*1.2</f>
        <v>1.8086399999999998</v>
      </c>
      <c r="I393" s="223" t="s">
        <v>115</v>
      </c>
      <c r="J393" s="220">
        <v>33000</v>
      </c>
      <c r="K393" s="50"/>
      <c r="L393" s="52"/>
      <c r="M393" s="232">
        <v>59685.119999999995</v>
      </c>
    </row>
    <row r="394" spans="2:13" x14ac:dyDescent="0.35">
      <c r="B394" s="101"/>
      <c r="C394" s="73" t="s">
        <v>170</v>
      </c>
      <c r="D394" s="102"/>
      <c r="E394" s="79"/>
      <c r="F394" s="75" t="s">
        <v>171</v>
      </c>
      <c r="G394" s="75"/>
      <c r="H394" s="103">
        <v>1</v>
      </c>
      <c r="I394" s="76" t="s">
        <v>99</v>
      </c>
      <c r="J394" s="218">
        <v>1500000</v>
      </c>
      <c r="K394" s="50">
        <f t="shared" ref="K394" si="31">J394*H394</f>
        <v>1500000</v>
      </c>
      <c r="L394" s="46"/>
      <c r="M394" s="233">
        <f>SUM(M395:M399)*1.3</f>
        <v>1315754.2906560001</v>
      </c>
    </row>
    <row r="395" spans="2:13" x14ac:dyDescent="0.35">
      <c r="B395" s="101"/>
      <c r="C395" s="73"/>
      <c r="D395" s="102"/>
      <c r="E395" s="79"/>
      <c r="F395" s="75" t="s">
        <v>89</v>
      </c>
      <c r="G395" s="75" t="s">
        <v>326</v>
      </c>
      <c r="H395" s="104">
        <v>1</v>
      </c>
      <c r="I395" s="105" t="s">
        <v>131</v>
      </c>
      <c r="J395" s="224">
        <v>550000</v>
      </c>
      <c r="K395" s="110"/>
      <c r="L395" s="52"/>
      <c r="M395" s="232">
        <v>550000</v>
      </c>
    </row>
    <row r="396" spans="2:13" x14ac:dyDescent="0.35">
      <c r="B396" s="101"/>
      <c r="C396" s="73"/>
      <c r="D396" s="102"/>
      <c r="E396" s="79"/>
      <c r="F396" s="75" t="s">
        <v>89</v>
      </c>
      <c r="G396" s="75" t="s">
        <v>327</v>
      </c>
      <c r="H396" s="106">
        <v>1.7227295999999996</v>
      </c>
      <c r="I396" s="105" t="s">
        <v>115</v>
      </c>
      <c r="J396" s="224">
        <v>33000</v>
      </c>
      <c r="K396" s="110"/>
      <c r="L396" s="52"/>
      <c r="M396" s="232">
        <v>56850.076799999988</v>
      </c>
    </row>
    <row r="397" spans="2:13" x14ac:dyDescent="0.35">
      <c r="B397" s="101"/>
      <c r="C397" s="73"/>
      <c r="D397" s="102"/>
      <c r="E397" s="79"/>
      <c r="F397" s="75" t="s">
        <v>89</v>
      </c>
      <c r="G397" s="75" t="s">
        <v>328</v>
      </c>
      <c r="H397" s="106">
        <v>3.1774790399999993</v>
      </c>
      <c r="I397" s="105" t="s">
        <v>115</v>
      </c>
      <c r="J397" s="224">
        <v>33000</v>
      </c>
      <c r="K397" s="110"/>
      <c r="L397" s="52"/>
      <c r="M397" s="232">
        <v>104856.80831999998</v>
      </c>
    </row>
    <row r="398" spans="2:13" x14ac:dyDescent="0.35">
      <c r="B398" s="101"/>
      <c r="C398" s="73"/>
      <c r="D398" s="102"/>
      <c r="E398" s="79"/>
      <c r="F398" s="75"/>
      <c r="G398" s="75" t="s">
        <v>329</v>
      </c>
      <c r="H398" s="104">
        <v>2600</v>
      </c>
      <c r="I398" s="105" t="s">
        <v>140</v>
      </c>
      <c r="J398" s="224">
        <v>100</v>
      </c>
      <c r="K398" s="110"/>
      <c r="L398" s="52"/>
      <c r="M398" s="232">
        <v>260000</v>
      </c>
    </row>
    <row r="399" spans="2:13" x14ac:dyDescent="0.35">
      <c r="B399" s="101"/>
      <c r="C399" s="73"/>
      <c r="D399" s="102"/>
      <c r="E399" s="79"/>
      <c r="F399" s="75" t="s">
        <v>89</v>
      </c>
      <c r="G399" s="75" t="s">
        <v>330</v>
      </c>
      <c r="H399" s="106">
        <v>1.2245999999999999</v>
      </c>
      <c r="I399" s="105" t="s">
        <v>115</v>
      </c>
      <c r="J399" s="224">
        <v>33000</v>
      </c>
      <c r="K399" s="110"/>
      <c r="L399" s="52"/>
      <c r="M399" s="232">
        <v>40411.799999999996</v>
      </c>
    </row>
    <row r="400" spans="2:13" x14ac:dyDescent="0.35">
      <c r="B400" s="55"/>
      <c r="E400" s="55"/>
      <c r="G400" s="22"/>
      <c r="J400" s="219"/>
      <c r="K400" s="110"/>
      <c r="L400" s="22"/>
      <c r="M400" s="232"/>
    </row>
    <row r="401" spans="2:13" x14ac:dyDescent="0.35">
      <c r="B401" s="47"/>
      <c r="C401" s="48"/>
      <c r="D401" s="25"/>
      <c r="E401" s="108"/>
      <c r="F401" s="2"/>
      <c r="G401" s="21"/>
      <c r="I401" s="22"/>
      <c r="J401" s="218"/>
      <c r="K401" s="29"/>
      <c r="L401" s="52"/>
      <c r="M401" s="232"/>
    </row>
    <row r="402" spans="2:13" x14ac:dyDescent="0.35">
      <c r="B402" s="8"/>
      <c r="C402" s="9"/>
      <c r="D402" s="10"/>
      <c r="E402" s="4"/>
      <c r="F402" s="4"/>
      <c r="G402" s="4"/>
      <c r="H402" s="1"/>
      <c r="I402" s="1"/>
      <c r="J402" s="11" t="s">
        <v>8</v>
      </c>
      <c r="K402" s="7">
        <f>SUM(K350:K401)</f>
        <v>34250000</v>
      </c>
      <c r="L402" s="7">
        <f>SUM(L350:L401)</f>
        <v>0</v>
      </c>
      <c r="M402" s="232"/>
    </row>
    <row r="403" spans="2:13" x14ac:dyDescent="0.35">
      <c r="B403" s="8"/>
      <c r="C403" s="9"/>
      <c r="D403" s="9"/>
      <c r="E403" s="4"/>
      <c r="F403" s="4"/>
      <c r="G403" s="4"/>
      <c r="H403" s="1"/>
      <c r="I403" s="1"/>
      <c r="J403" s="11"/>
      <c r="K403" s="35" t="s">
        <v>22</v>
      </c>
      <c r="L403" s="36" t="s">
        <v>23</v>
      </c>
      <c r="M403" s="232"/>
    </row>
    <row r="404" spans="2:13" x14ac:dyDescent="0.35">
      <c r="B404" s="3" t="s">
        <v>9</v>
      </c>
      <c r="C404" s="4"/>
      <c r="D404" s="4"/>
      <c r="E404" s="4"/>
      <c r="F404" s="4"/>
      <c r="G404" s="4"/>
      <c r="H404" s="1"/>
      <c r="I404" s="1"/>
      <c r="J404" s="12"/>
      <c r="K404" s="12"/>
      <c r="L404" s="13"/>
      <c r="M404" s="232"/>
    </row>
    <row r="405" spans="2:13" x14ac:dyDescent="0.35">
      <c r="B405" s="37"/>
      <c r="C405" s="1"/>
      <c r="D405" s="1"/>
      <c r="E405" s="38"/>
      <c r="F405" s="38"/>
      <c r="G405" s="38"/>
      <c r="H405" s="1"/>
      <c r="I405" s="1"/>
      <c r="J405" s="1"/>
      <c r="K405" s="1"/>
      <c r="L405" s="19"/>
      <c r="M405" s="232"/>
    </row>
    <row r="406" spans="2:13" x14ac:dyDescent="0.35">
      <c r="B406" s="28" t="s">
        <v>6</v>
      </c>
      <c r="C406" s="27"/>
      <c r="D406" s="27"/>
      <c r="E406" s="26"/>
      <c r="F406" s="26"/>
      <c r="G406" s="5"/>
      <c r="K406" s="246" t="s">
        <v>216</v>
      </c>
      <c r="L406" s="247"/>
      <c r="M406" s="232"/>
    </row>
    <row r="407" spans="2:13" x14ac:dyDescent="0.35">
      <c r="B407" s="28">
        <v>1</v>
      </c>
      <c r="C407" s="27"/>
      <c r="D407" s="27"/>
      <c r="E407" s="26" t="s">
        <v>7</v>
      </c>
      <c r="F407" s="26"/>
      <c r="G407" s="5"/>
      <c r="K407" s="246" t="s">
        <v>28</v>
      </c>
      <c r="L407" s="247"/>
      <c r="M407" s="232"/>
    </row>
    <row r="408" spans="2:13" x14ac:dyDescent="0.35">
      <c r="B408" s="39"/>
      <c r="C408" s="27"/>
      <c r="D408" s="27"/>
      <c r="E408" s="26"/>
      <c r="F408" s="26"/>
      <c r="G408" s="5"/>
      <c r="J408" s="25"/>
      <c r="K408" s="25"/>
      <c r="L408" s="24"/>
      <c r="M408" s="232"/>
    </row>
    <row r="409" spans="2:13" x14ac:dyDescent="0.35">
      <c r="B409" s="28"/>
      <c r="C409" s="27"/>
      <c r="D409" s="27"/>
      <c r="E409" s="26"/>
      <c r="F409" s="26"/>
      <c r="G409" s="5"/>
      <c r="L409" s="22"/>
      <c r="M409" s="232"/>
    </row>
    <row r="410" spans="2:13" x14ac:dyDescent="0.35">
      <c r="B410" s="45"/>
      <c r="E410" s="5"/>
      <c r="F410" s="5"/>
      <c r="G410" s="5"/>
      <c r="L410" s="22"/>
      <c r="M410" s="232"/>
    </row>
    <row r="411" spans="2:13" x14ac:dyDescent="0.35">
      <c r="B411" s="45"/>
      <c r="E411" s="5"/>
      <c r="F411" s="5"/>
      <c r="G411" s="5"/>
      <c r="L411" s="22"/>
      <c r="M411" s="232"/>
    </row>
    <row r="412" spans="2:13" x14ac:dyDescent="0.35">
      <c r="B412" s="45"/>
      <c r="E412" s="5"/>
      <c r="F412" s="5"/>
      <c r="G412" s="5"/>
      <c r="L412" s="22"/>
      <c r="M412" s="232"/>
    </row>
    <row r="413" spans="2:13" x14ac:dyDescent="0.35">
      <c r="B413" s="45"/>
      <c r="E413" s="5"/>
      <c r="F413" s="5"/>
      <c r="G413" s="5"/>
      <c r="J413" s="40"/>
      <c r="K413" s="248" t="s">
        <v>36</v>
      </c>
      <c r="L413" s="249"/>
      <c r="M413" s="232"/>
    </row>
    <row r="414" spans="2:13" x14ac:dyDescent="0.35">
      <c r="B414" s="45"/>
      <c r="K414" s="250" t="s">
        <v>37</v>
      </c>
      <c r="L414" s="251"/>
      <c r="M414" s="232"/>
    </row>
    <row r="415" spans="2:13" x14ac:dyDescent="0.35">
      <c r="B415" s="243"/>
      <c r="C415" s="244"/>
      <c r="D415" s="244"/>
      <c r="E415" s="41"/>
      <c r="F415" s="41"/>
      <c r="G415" s="41"/>
      <c r="H415" s="2"/>
      <c r="I415" s="2"/>
      <c r="J415" s="2"/>
      <c r="K415" s="2"/>
      <c r="L415" s="21"/>
      <c r="M415" s="232"/>
    </row>
    <row r="416" spans="2:13" x14ac:dyDescent="0.35">
      <c r="B416" s="47"/>
      <c r="C416" s="48"/>
      <c r="D416" s="49"/>
      <c r="G416" s="22"/>
      <c r="H416" s="1"/>
      <c r="I416" s="1"/>
      <c r="J416" s="216"/>
      <c r="K416" s="30"/>
      <c r="L416" s="44"/>
      <c r="M416" s="232"/>
    </row>
    <row r="417" spans="2:13" x14ac:dyDescent="0.35">
      <c r="B417" s="101"/>
      <c r="C417" s="73" t="s">
        <v>172</v>
      </c>
      <c r="D417" s="102"/>
      <c r="E417" s="79"/>
      <c r="F417" s="75" t="s">
        <v>173</v>
      </c>
      <c r="G417" s="75"/>
      <c r="H417" s="103">
        <v>1</v>
      </c>
      <c r="I417" s="76" t="s">
        <v>99</v>
      </c>
      <c r="J417" s="217">
        <v>250000</v>
      </c>
      <c r="K417" s="50">
        <f t="shared" ref="K417" si="32">J417*H417</f>
        <v>250000</v>
      </c>
      <c r="L417" s="46"/>
      <c r="M417" s="232"/>
    </row>
    <row r="418" spans="2:13" x14ac:dyDescent="0.35">
      <c r="B418" s="101"/>
      <c r="C418" s="73"/>
      <c r="D418" s="102"/>
      <c r="E418" s="79"/>
      <c r="F418" s="75" t="s">
        <v>89</v>
      </c>
      <c r="G418" s="75" t="s">
        <v>331</v>
      </c>
      <c r="H418" s="104">
        <v>2</v>
      </c>
      <c r="I418" s="105" t="s">
        <v>131</v>
      </c>
      <c r="J418" s="220">
        <v>50000</v>
      </c>
      <c r="K418" s="54"/>
      <c r="L418" s="46"/>
      <c r="M418" s="232"/>
    </row>
    <row r="419" spans="2:13" x14ac:dyDescent="0.35">
      <c r="B419" s="101"/>
      <c r="C419" s="73"/>
      <c r="D419" s="102"/>
      <c r="E419" s="79"/>
      <c r="F419" s="75" t="s">
        <v>89</v>
      </c>
      <c r="G419" s="75" t="s">
        <v>332</v>
      </c>
      <c r="H419" s="106">
        <v>0.90431999999999979</v>
      </c>
      <c r="I419" s="105" t="s">
        <v>115</v>
      </c>
      <c r="J419" s="220">
        <v>33000</v>
      </c>
      <c r="K419" s="54"/>
      <c r="L419" s="46"/>
      <c r="M419" s="232"/>
    </row>
    <row r="420" spans="2:13" x14ac:dyDescent="0.35">
      <c r="B420" s="101"/>
      <c r="C420" s="73"/>
      <c r="D420" s="102"/>
      <c r="E420" s="79"/>
      <c r="F420" s="75" t="s">
        <v>89</v>
      </c>
      <c r="G420" s="75" t="s">
        <v>333</v>
      </c>
      <c r="H420" s="106">
        <v>0.4521599999999999</v>
      </c>
      <c r="I420" s="105" t="s">
        <v>115</v>
      </c>
      <c r="J420" s="220">
        <v>33000</v>
      </c>
      <c r="K420" s="54"/>
      <c r="L420" s="46"/>
      <c r="M420" s="232"/>
    </row>
    <row r="421" spans="2:13" x14ac:dyDescent="0.35">
      <c r="B421" s="101"/>
      <c r="C421" s="73" t="s">
        <v>174</v>
      </c>
      <c r="D421" s="102"/>
      <c r="E421" s="79"/>
      <c r="F421" s="75" t="s">
        <v>334</v>
      </c>
      <c r="G421" s="75"/>
      <c r="H421" s="103">
        <v>1</v>
      </c>
      <c r="I421" s="76" t="s">
        <v>99</v>
      </c>
      <c r="J421" s="218">
        <v>1000000</v>
      </c>
      <c r="K421" s="50">
        <f t="shared" ref="K421" si="33">J421*H421</f>
        <v>1000000</v>
      </c>
      <c r="L421" s="46"/>
      <c r="M421" s="233">
        <f>SUM(M422:M429)*1.3</f>
        <v>630771.35680000007</v>
      </c>
    </row>
    <row r="422" spans="2:13" x14ac:dyDescent="0.35">
      <c r="B422" s="101"/>
      <c r="C422" s="73"/>
      <c r="D422" s="102"/>
      <c r="E422" s="79"/>
      <c r="F422" s="75" t="s">
        <v>89</v>
      </c>
      <c r="G422" s="75" t="s">
        <v>331</v>
      </c>
      <c r="H422" s="104">
        <v>2</v>
      </c>
      <c r="I422" s="105" t="s">
        <v>131</v>
      </c>
      <c r="J422" s="220">
        <v>50000</v>
      </c>
      <c r="K422" s="54"/>
      <c r="L422" s="46"/>
      <c r="M422" s="232">
        <v>100000</v>
      </c>
    </row>
    <row r="423" spans="2:13" x14ac:dyDescent="0.35">
      <c r="B423" s="101"/>
      <c r="C423" s="73"/>
      <c r="D423" s="102"/>
      <c r="E423" s="79"/>
      <c r="F423" s="75" t="s">
        <v>89</v>
      </c>
      <c r="G423" s="75" t="s">
        <v>335</v>
      </c>
      <c r="H423" s="106">
        <v>0.4521599999999999</v>
      </c>
      <c r="I423" s="105" t="s">
        <v>115</v>
      </c>
      <c r="J423" s="220">
        <v>33000</v>
      </c>
      <c r="K423" s="54"/>
      <c r="L423" s="46"/>
      <c r="M423" s="232">
        <v>14921.279999999997</v>
      </c>
    </row>
    <row r="424" spans="2:13" x14ac:dyDescent="0.35">
      <c r="B424" s="101"/>
      <c r="C424" s="73"/>
      <c r="D424" s="102"/>
      <c r="E424" s="79"/>
      <c r="F424" s="75" t="s">
        <v>89</v>
      </c>
      <c r="G424" s="75" t="s">
        <v>336</v>
      </c>
      <c r="H424" s="106">
        <v>0.33911999999999992</v>
      </c>
      <c r="I424" s="105" t="s">
        <v>115</v>
      </c>
      <c r="J424" s="220">
        <v>33000</v>
      </c>
      <c r="K424" s="54"/>
      <c r="L424" s="46"/>
      <c r="M424" s="232">
        <v>11190.959999999997</v>
      </c>
    </row>
    <row r="425" spans="2:13" x14ac:dyDescent="0.35">
      <c r="B425" s="101"/>
      <c r="C425" s="73"/>
      <c r="D425" s="102"/>
      <c r="E425" s="79"/>
      <c r="F425" s="75" t="s">
        <v>89</v>
      </c>
      <c r="G425" s="75" t="s">
        <v>337</v>
      </c>
      <c r="H425" s="106">
        <v>0.22607999999999998</v>
      </c>
      <c r="I425" s="105" t="s">
        <v>115</v>
      </c>
      <c r="J425" s="220">
        <v>33000</v>
      </c>
      <c r="K425" s="54"/>
      <c r="L425" s="46"/>
      <c r="M425" s="232">
        <v>7460.6399999999994</v>
      </c>
    </row>
    <row r="426" spans="2:13" x14ac:dyDescent="0.35">
      <c r="B426" s="101"/>
      <c r="C426" s="73"/>
      <c r="D426" s="102"/>
      <c r="E426" s="79"/>
      <c r="F426" s="75" t="s">
        <v>89</v>
      </c>
      <c r="G426" s="75" t="s">
        <v>338</v>
      </c>
      <c r="H426" s="106">
        <f>12*0.05*0.04*2*7.85*1.2</f>
        <v>0.45216000000000001</v>
      </c>
      <c r="I426" s="105" t="s">
        <v>115</v>
      </c>
      <c r="J426" s="220">
        <v>33000</v>
      </c>
      <c r="K426" s="54"/>
      <c r="L426" s="46"/>
      <c r="M426" s="232">
        <v>14921.28</v>
      </c>
    </row>
    <row r="427" spans="2:13" x14ac:dyDescent="0.35">
      <c r="B427" s="101"/>
      <c r="C427" s="73"/>
      <c r="D427" s="102"/>
      <c r="E427" s="79"/>
      <c r="F427" s="75" t="s">
        <v>89</v>
      </c>
      <c r="G427" s="75" t="s">
        <v>339</v>
      </c>
      <c r="H427" s="106">
        <v>0.20347199999999996</v>
      </c>
      <c r="I427" s="105" t="s">
        <v>115</v>
      </c>
      <c r="J427" s="220">
        <v>33000</v>
      </c>
      <c r="K427" s="54"/>
      <c r="L427" s="46"/>
      <c r="M427" s="232">
        <v>6714.5759999999982</v>
      </c>
    </row>
    <row r="428" spans="2:13" x14ac:dyDescent="0.35">
      <c r="B428" s="101"/>
      <c r="C428" s="73"/>
      <c r="D428" s="102"/>
      <c r="E428" s="79"/>
      <c r="F428" s="75" t="s">
        <v>89</v>
      </c>
      <c r="G428" s="75" t="s">
        <v>340</v>
      </c>
      <c r="H428" s="104">
        <v>1</v>
      </c>
      <c r="I428" s="105" t="s">
        <v>131</v>
      </c>
      <c r="J428" s="220">
        <v>290000</v>
      </c>
      <c r="K428" s="54"/>
      <c r="L428" s="46"/>
      <c r="M428" s="232">
        <v>290000</v>
      </c>
    </row>
    <row r="429" spans="2:13" x14ac:dyDescent="0.35">
      <c r="B429" s="101"/>
      <c r="C429" s="73"/>
      <c r="D429" s="102"/>
      <c r="E429" s="79"/>
      <c r="F429" s="75" t="s">
        <v>89</v>
      </c>
      <c r="G429" s="75" t="s">
        <v>341</v>
      </c>
      <c r="H429" s="104">
        <v>1</v>
      </c>
      <c r="I429" s="105" t="s">
        <v>131</v>
      </c>
      <c r="J429" s="220">
        <v>40000</v>
      </c>
      <c r="K429" s="54"/>
      <c r="L429" s="46"/>
      <c r="M429" s="232">
        <v>40000</v>
      </c>
    </row>
    <row r="430" spans="2:13" x14ac:dyDescent="0.35">
      <c r="B430" s="101"/>
      <c r="C430" s="73" t="s">
        <v>175</v>
      </c>
      <c r="D430" s="102"/>
      <c r="E430" s="79"/>
      <c r="F430" s="75" t="s">
        <v>176</v>
      </c>
      <c r="G430" s="75"/>
      <c r="H430" s="103">
        <v>1</v>
      </c>
      <c r="I430" s="76" t="s">
        <v>99</v>
      </c>
      <c r="J430" s="218">
        <v>1000000</v>
      </c>
      <c r="K430" s="50">
        <f t="shared" ref="K430" si="34">J430*H430</f>
        <v>1000000</v>
      </c>
      <c r="L430" s="46"/>
      <c r="M430" s="232"/>
    </row>
    <row r="431" spans="2:13" x14ac:dyDescent="0.35">
      <c r="B431" s="101"/>
      <c r="C431" s="73"/>
      <c r="D431" s="102"/>
      <c r="E431" s="79"/>
      <c r="F431" s="75" t="s">
        <v>89</v>
      </c>
      <c r="G431" s="75" t="s">
        <v>342</v>
      </c>
      <c r="H431" s="104">
        <v>2</v>
      </c>
      <c r="I431" s="105" t="s">
        <v>131</v>
      </c>
      <c r="J431" s="220">
        <v>290000</v>
      </c>
      <c r="K431" s="54"/>
      <c r="L431" s="46"/>
      <c r="M431" s="232"/>
    </row>
    <row r="432" spans="2:13" x14ac:dyDescent="0.35">
      <c r="B432" s="101"/>
      <c r="C432" s="73"/>
      <c r="D432" s="102"/>
      <c r="E432" s="79"/>
      <c r="F432" s="75" t="s">
        <v>89</v>
      </c>
      <c r="G432" s="75" t="s">
        <v>343</v>
      </c>
      <c r="H432" s="106">
        <v>1.5825599999999997</v>
      </c>
      <c r="I432" s="105" t="s">
        <v>115</v>
      </c>
      <c r="J432" s="220">
        <v>33000</v>
      </c>
      <c r="K432" s="54"/>
      <c r="L432" s="46"/>
      <c r="M432" s="232"/>
    </row>
    <row r="433" spans="2:13" x14ac:dyDescent="0.35">
      <c r="B433" s="101"/>
      <c r="C433" s="73"/>
      <c r="D433" s="102"/>
      <c r="E433" s="79"/>
      <c r="F433" s="75" t="s">
        <v>89</v>
      </c>
      <c r="G433" s="75" t="s">
        <v>344</v>
      </c>
      <c r="H433" s="225">
        <v>2</v>
      </c>
      <c r="I433" s="105" t="s">
        <v>131</v>
      </c>
      <c r="J433" s="220">
        <v>40000</v>
      </c>
      <c r="K433" s="54"/>
      <c r="L433" s="46"/>
      <c r="M433" s="232"/>
    </row>
    <row r="434" spans="2:13" x14ac:dyDescent="0.35">
      <c r="B434" s="101"/>
      <c r="C434" s="73" t="s">
        <v>177</v>
      </c>
      <c r="D434" s="102"/>
      <c r="E434" s="79"/>
      <c r="F434" s="75" t="s">
        <v>178</v>
      </c>
      <c r="G434" s="75"/>
      <c r="H434" s="103">
        <v>1</v>
      </c>
      <c r="I434" s="76" t="s">
        <v>99</v>
      </c>
      <c r="J434" s="218">
        <v>5500000</v>
      </c>
      <c r="K434" s="50">
        <f t="shared" ref="K434" si="35">J434*H434</f>
        <v>5500000</v>
      </c>
      <c r="L434" s="46"/>
      <c r="M434" s="233">
        <f>SUM(M435:M437)*1.3</f>
        <v>5443038.6399999997</v>
      </c>
    </row>
    <row r="435" spans="2:13" x14ac:dyDescent="0.35">
      <c r="B435" s="101"/>
      <c r="C435" s="73"/>
      <c r="D435" s="102"/>
      <c r="E435" s="79"/>
      <c r="F435" s="75" t="s">
        <v>89</v>
      </c>
      <c r="G435" s="75" t="s">
        <v>345</v>
      </c>
      <c r="H435" s="225">
        <v>4</v>
      </c>
      <c r="I435" s="105" t="s">
        <v>131</v>
      </c>
      <c r="J435" s="220">
        <v>310000</v>
      </c>
      <c r="K435" s="54"/>
      <c r="L435" s="46"/>
      <c r="M435" s="232">
        <v>1240000</v>
      </c>
    </row>
    <row r="436" spans="2:13" x14ac:dyDescent="0.35">
      <c r="B436" s="101"/>
      <c r="C436" s="73"/>
      <c r="D436" s="102"/>
      <c r="E436" s="79"/>
      <c r="F436" s="75" t="s">
        <v>89</v>
      </c>
      <c r="G436" s="75" t="s">
        <v>346</v>
      </c>
      <c r="H436" s="106">
        <f>0.49*0.5*12*7.85*1.2*2</f>
        <v>55.389599999999994</v>
      </c>
      <c r="I436" s="105" t="s">
        <v>115</v>
      </c>
      <c r="J436" s="220">
        <v>33000</v>
      </c>
      <c r="K436" s="54"/>
      <c r="L436" s="46"/>
      <c r="M436" s="232">
        <v>1827856.7999999998</v>
      </c>
    </row>
    <row r="437" spans="2:13" x14ac:dyDescent="0.35">
      <c r="B437" s="101"/>
      <c r="C437" s="73"/>
      <c r="D437" s="102"/>
      <c r="E437" s="79"/>
      <c r="F437" s="75" t="s">
        <v>89</v>
      </c>
      <c r="G437" s="75" t="s">
        <v>347</v>
      </c>
      <c r="H437" s="106">
        <f>0.3*0.5*12*2*7.85*1.2</f>
        <v>33.911999999999992</v>
      </c>
      <c r="I437" s="105" t="s">
        <v>115</v>
      </c>
      <c r="J437" s="220">
        <v>33000</v>
      </c>
      <c r="K437" s="54"/>
      <c r="L437" s="46"/>
      <c r="M437" s="232">
        <v>1119095.9999999998</v>
      </c>
    </row>
    <row r="438" spans="2:13" x14ac:dyDescent="0.35">
      <c r="B438" s="94"/>
      <c r="C438" s="91" t="s">
        <v>179</v>
      </c>
      <c r="D438" s="78"/>
      <c r="E438" s="79"/>
      <c r="F438" s="75" t="s">
        <v>348</v>
      </c>
      <c r="G438" s="75"/>
      <c r="H438" s="82">
        <v>1</v>
      </c>
      <c r="I438" s="93" t="s">
        <v>99</v>
      </c>
      <c r="J438" s="218">
        <v>1750000</v>
      </c>
      <c r="K438" s="50">
        <f t="shared" ref="K438" si="36">J438*H438</f>
        <v>1750000</v>
      </c>
      <c r="L438" s="46"/>
      <c r="M438" s="233">
        <f>SUM(M439:M444)*1.3</f>
        <v>1399436.2998719998</v>
      </c>
    </row>
    <row r="439" spans="2:13" x14ac:dyDescent="0.35">
      <c r="B439" s="101"/>
      <c r="C439" s="73"/>
      <c r="D439" s="102"/>
      <c r="E439" s="79"/>
      <c r="F439" s="84" t="s">
        <v>89</v>
      </c>
      <c r="G439" s="75" t="s">
        <v>344</v>
      </c>
      <c r="H439" s="104">
        <v>2</v>
      </c>
      <c r="I439" s="105" t="s">
        <v>131</v>
      </c>
      <c r="J439" s="220">
        <v>40000</v>
      </c>
      <c r="K439" s="54"/>
      <c r="L439" s="46"/>
      <c r="M439" s="232">
        <v>80000</v>
      </c>
    </row>
    <row r="440" spans="2:13" x14ac:dyDescent="0.35">
      <c r="B440" s="101"/>
      <c r="C440" s="73"/>
      <c r="D440" s="102"/>
      <c r="E440" s="79"/>
      <c r="F440" s="75" t="s">
        <v>89</v>
      </c>
      <c r="G440" s="75" t="s">
        <v>349</v>
      </c>
      <c r="H440" s="106">
        <v>4.5215999999999985</v>
      </c>
      <c r="I440" s="105" t="s">
        <v>115</v>
      </c>
      <c r="J440" s="220">
        <v>33000</v>
      </c>
      <c r="K440" s="54"/>
      <c r="L440" s="46"/>
      <c r="M440" s="232">
        <v>149212.79999999996</v>
      </c>
    </row>
    <row r="441" spans="2:13" x14ac:dyDescent="0.35">
      <c r="B441" s="101"/>
      <c r="C441" s="73"/>
      <c r="D441" s="102"/>
      <c r="E441" s="79"/>
      <c r="F441" s="75" t="s">
        <v>89</v>
      </c>
      <c r="G441" s="75" t="s">
        <v>350</v>
      </c>
      <c r="H441" s="106">
        <v>3.6172799999999996</v>
      </c>
      <c r="I441" s="105" t="s">
        <v>115</v>
      </c>
      <c r="J441" s="220">
        <v>33000</v>
      </c>
      <c r="K441" s="54"/>
      <c r="L441" s="46"/>
      <c r="M441" s="232">
        <v>119370.23999999999</v>
      </c>
    </row>
    <row r="442" spans="2:13" x14ac:dyDescent="0.35">
      <c r="B442" s="101"/>
      <c r="C442" s="73"/>
      <c r="D442" s="102"/>
      <c r="E442" s="79"/>
      <c r="F442" s="75" t="s">
        <v>89</v>
      </c>
      <c r="G442" s="75" t="s">
        <v>351</v>
      </c>
      <c r="H442" s="106">
        <v>1.4288255999999999</v>
      </c>
      <c r="I442" s="105" t="s">
        <v>115</v>
      </c>
      <c r="J442" s="220">
        <v>33000</v>
      </c>
      <c r="K442" s="54"/>
      <c r="L442" s="46"/>
      <c r="M442" s="232">
        <v>47151.2448</v>
      </c>
    </row>
    <row r="443" spans="2:13" x14ac:dyDescent="0.35">
      <c r="B443" s="101"/>
      <c r="C443" s="73"/>
      <c r="D443" s="102"/>
      <c r="E443" s="79"/>
      <c r="F443" s="75" t="s">
        <v>89</v>
      </c>
      <c r="G443" s="75" t="s">
        <v>352</v>
      </c>
      <c r="H443" s="106">
        <v>3.962278079999999</v>
      </c>
      <c r="I443" s="105" t="s">
        <v>180</v>
      </c>
      <c r="J443" s="220">
        <v>33000</v>
      </c>
      <c r="K443" s="54"/>
      <c r="L443" s="46"/>
      <c r="M443" s="232">
        <v>130755.17663999996</v>
      </c>
    </row>
    <row r="444" spans="2:13" x14ac:dyDescent="0.35">
      <c r="B444" s="101"/>
      <c r="C444" s="73"/>
      <c r="D444" s="102"/>
      <c r="E444" s="79"/>
      <c r="F444" s="75" t="s">
        <v>89</v>
      </c>
      <c r="G444" s="75" t="s">
        <v>326</v>
      </c>
      <c r="H444" s="104">
        <v>1</v>
      </c>
      <c r="I444" s="105" t="s">
        <v>131</v>
      </c>
      <c r="J444" s="220">
        <v>550000</v>
      </c>
      <c r="K444" s="54"/>
      <c r="L444" s="46"/>
      <c r="M444" s="232">
        <v>550000</v>
      </c>
    </row>
    <row r="445" spans="2:13" x14ac:dyDescent="0.35">
      <c r="B445" s="101"/>
      <c r="C445" s="73" t="s">
        <v>353</v>
      </c>
      <c r="D445" s="102"/>
      <c r="E445" s="79"/>
      <c r="F445" s="75" t="s">
        <v>354</v>
      </c>
      <c r="G445" s="75"/>
      <c r="H445" s="103">
        <v>1</v>
      </c>
      <c r="I445" s="76" t="s">
        <v>99</v>
      </c>
      <c r="J445" s="218">
        <v>2000000</v>
      </c>
      <c r="K445" s="50">
        <f t="shared" ref="K445" si="37">J445*H445</f>
        <v>2000000</v>
      </c>
      <c r="L445" s="46"/>
      <c r="M445" s="233">
        <f>SUM(M446:M450)*1.3</f>
        <v>1888369.1839999999</v>
      </c>
    </row>
    <row r="446" spans="2:13" x14ac:dyDescent="0.35">
      <c r="B446" s="101"/>
      <c r="C446" s="73"/>
      <c r="D446" s="102"/>
      <c r="E446" s="79"/>
      <c r="F446" s="75" t="s">
        <v>89</v>
      </c>
      <c r="G446" s="75" t="s">
        <v>355</v>
      </c>
      <c r="H446" s="106">
        <v>23.150592</v>
      </c>
      <c r="I446" s="105" t="s">
        <v>115</v>
      </c>
      <c r="J446" s="220">
        <v>33000</v>
      </c>
      <c r="K446" s="54"/>
      <c r="L446" s="46"/>
      <c r="M446" s="232">
        <v>763969.53599999996</v>
      </c>
    </row>
    <row r="447" spans="2:13" x14ac:dyDescent="0.35">
      <c r="B447" s="101"/>
      <c r="C447" s="73"/>
      <c r="D447" s="102"/>
      <c r="E447" s="79"/>
      <c r="F447" s="75" t="s">
        <v>89</v>
      </c>
      <c r="G447" s="75" t="s">
        <v>356</v>
      </c>
      <c r="H447" s="106">
        <v>2.1703679999999999</v>
      </c>
      <c r="I447" s="105" t="s">
        <v>115</v>
      </c>
      <c r="J447" s="220">
        <v>33000</v>
      </c>
      <c r="K447" s="54"/>
      <c r="L447" s="46"/>
      <c r="M447" s="232">
        <v>71622.144</v>
      </c>
    </row>
    <row r="448" spans="2:13" x14ac:dyDescent="0.35">
      <c r="B448" s="101"/>
      <c r="C448" s="73"/>
      <c r="D448" s="102"/>
      <c r="E448" s="79"/>
      <c r="F448" s="75" t="s">
        <v>89</v>
      </c>
      <c r="G448" s="75" t="s">
        <v>357</v>
      </c>
      <c r="H448" s="104">
        <v>4</v>
      </c>
      <c r="I448" s="105" t="s">
        <v>131</v>
      </c>
      <c r="J448" s="220">
        <v>40000</v>
      </c>
      <c r="K448" s="54"/>
      <c r="L448" s="46"/>
      <c r="M448" s="232">
        <v>160000</v>
      </c>
    </row>
    <row r="449" spans="2:14" x14ac:dyDescent="0.35">
      <c r="B449" s="101"/>
      <c r="C449" s="73"/>
      <c r="D449" s="102"/>
      <c r="E449" s="79"/>
      <c r="F449" s="75" t="s">
        <v>89</v>
      </c>
      <c r="G449" s="75" t="s">
        <v>358</v>
      </c>
      <c r="H449" s="104">
        <v>4</v>
      </c>
      <c r="I449" s="105" t="s">
        <v>131</v>
      </c>
      <c r="J449" s="220">
        <v>40000</v>
      </c>
      <c r="K449" s="54"/>
      <c r="L449" s="46"/>
      <c r="M449" s="232">
        <v>160000</v>
      </c>
    </row>
    <row r="450" spans="2:14" x14ac:dyDescent="0.35">
      <c r="B450" s="101"/>
      <c r="C450" s="73"/>
      <c r="D450" s="102"/>
      <c r="E450" s="79"/>
      <c r="F450" s="75" t="s">
        <v>89</v>
      </c>
      <c r="G450" s="75" t="s">
        <v>359</v>
      </c>
      <c r="H450" s="104">
        <v>9</v>
      </c>
      <c r="I450" s="105" t="s">
        <v>180</v>
      </c>
      <c r="J450" s="220">
        <v>33000</v>
      </c>
      <c r="K450" s="54"/>
      <c r="L450" s="46"/>
      <c r="M450" s="232">
        <v>297000</v>
      </c>
    </row>
    <row r="451" spans="2:14" x14ac:dyDescent="0.35">
      <c r="B451" s="186" t="s">
        <v>90</v>
      </c>
      <c r="C451" s="173"/>
      <c r="D451" s="187"/>
      <c r="E451" s="175" t="s">
        <v>181</v>
      </c>
      <c r="F451" s="176"/>
      <c r="G451" s="176"/>
      <c r="H451" s="188"/>
      <c r="I451" s="189"/>
      <c r="J451" s="218"/>
      <c r="K451" s="54"/>
      <c r="L451" s="46"/>
      <c r="M451" s="232"/>
    </row>
    <row r="452" spans="2:14" x14ac:dyDescent="0.35">
      <c r="B452" s="101"/>
      <c r="C452" s="73"/>
      <c r="D452" s="102" t="s">
        <v>44</v>
      </c>
      <c r="E452" s="79"/>
      <c r="F452" s="75" t="s">
        <v>360</v>
      </c>
      <c r="G452" s="75"/>
      <c r="H452" s="103">
        <v>2</v>
      </c>
      <c r="I452" s="76" t="s">
        <v>166</v>
      </c>
      <c r="J452" s="218">
        <v>2000000</v>
      </c>
      <c r="K452" s="50">
        <f t="shared" ref="K452" si="38">J452*H452</f>
        <v>4000000</v>
      </c>
      <c r="L452" s="46"/>
      <c r="M452" s="232"/>
    </row>
    <row r="453" spans="2:14" x14ac:dyDescent="0.35">
      <c r="B453" s="101"/>
      <c r="C453" s="73"/>
      <c r="D453" s="102"/>
      <c r="E453" s="79"/>
      <c r="F453" s="75" t="s">
        <v>89</v>
      </c>
      <c r="G453" s="75" t="s">
        <v>361</v>
      </c>
      <c r="H453" s="104">
        <v>2</v>
      </c>
      <c r="I453" s="105" t="s">
        <v>131</v>
      </c>
      <c r="J453" s="218"/>
      <c r="K453" s="54"/>
      <c r="L453" s="46"/>
      <c r="M453" s="232"/>
    </row>
    <row r="454" spans="2:14" x14ac:dyDescent="0.35">
      <c r="B454" s="101"/>
      <c r="C454" s="73"/>
      <c r="D454" s="102"/>
      <c r="E454" s="79"/>
      <c r="F454" s="75" t="s">
        <v>89</v>
      </c>
      <c r="G454" s="75" t="s">
        <v>362</v>
      </c>
      <c r="H454" s="104">
        <v>16</v>
      </c>
      <c r="I454" s="105" t="s">
        <v>131</v>
      </c>
      <c r="J454" s="218"/>
      <c r="K454" s="51"/>
      <c r="L454" s="46"/>
      <c r="M454" s="232"/>
    </row>
    <row r="455" spans="2:14" x14ac:dyDescent="0.35">
      <c r="B455" s="101"/>
      <c r="C455" s="73"/>
      <c r="D455" s="102"/>
      <c r="E455" s="79"/>
      <c r="F455" s="75" t="s">
        <v>89</v>
      </c>
      <c r="G455" s="75" t="s">
        <v>363</v>
      </c>
      <c r="H455" s="104">
        <v>1000</v>
      </c>
      <c r="I455" s="105" t="s">
        <v>140</v>
      </c>
      <c r="J455" s="218"/>
      <c r="K455" s="54"/>
      <c r="L455" s="46"/>
      <c r="M455" s="232"/>
    </row>
    <row r="456" spans="2:14" x14ac:dyDescent="0.35">
      <c r="B456" s="186"/>
      <c r="C456" s="173"/>
      <c r="D456" s="187"/>
      <c r="E456" s="175"/>
      <c r="F456" s="176"/>
      <c r="G456" s="176"/>
      <c r="H456" s="188"/>
      <c r="I456" s="189"/>
      <c r="J456" s="218"/>
      <c r="K456" s="50"/>
      <c r="L456" s="52"/>
      <c r="M456" s="232"/>
    </row>
    <row r="457" spans="2:14" s="210" customFormat="1" x14ac:dyDescent="0.35">
      <c r="B457" s="190"/>
      <c r="C457" s="203"/>
      <c r="D457" s="204"/>
      <c r="E457" s="191"/>
      <c r="F457" s="205" t="s">
        <v>182</v>
      </c>
      <c r="G457" s="205"/>
      <c r="H457" s="206"/>
      <c r="I457" s="207"/>
      <c r="J457" s="218"/>
      <c r="K457" s="208"/>
      <c r="L457" s="209"/>
      <c r="M457" s="233"/>
    </row>
    <row r="458" spans="2:14" x14ac:dyDescent="0.35">
      <c r="B458" s="186"/>
      <c r="C458" s="173"/>
      <c r="D458" s="187"/>
      <c r="E458" s="175"/>
      <c r="F458" s="176"/>
      <c r="G458" s="176"/>
      <c r="H458" s="188"/>
      <c r="I458" s="189"/>
      <c r="J458" s="218"/>
      <c r="K458" s="50"/>
      <c r="L458" s="52"/>
      <c r="M458" s="232"/>
    </row>
    <row r="459" spans="2:14" x14ac:dyDescent="0.35">
      <c r="B459" s="186" t="s">
        <v>43</v>
      </c>
      <c r="C459" s="173"/>
      <c r="D459" s="187"/>
      <c r="E459" s="175" t="s">
        <v>181</v>
      </c>
      <c r="F459" s="176"/>
      <c r="G459" s="176"/>
      <c r="H459" s="188"/>
      <c r="I459" s="189"/>
      <c r="J459" s="218"/>
      <c r="K459" s="54"/>
      <c r="L459" s="46"/>
      <c r="M459" s="232"/>
    </row>
    <row r="460" spans="2:14" x14ac:dyDescent="0.35">
      <c r="B460" s="101"/>
      <c r="C460" s="73"/>
      <c r="D460" s="102" t="s">
        <v>44</v>
      </c>
      <c r="E460" s="79"/>
      <c r="F460" s="75" t="s">
        <v>183</v>
      </c>
      <c r="G460" s="75"/>
      <c r="H460" s="103">
        <v>2</v>
      </c>
      <c r="I460" s="76" t="s">
        <v>166</v>
      </c>
      <c r="J460" s="218">
        <v>1000000</v>
      </c>
      <c r="K460" s="50">
        <f t="shared" ref="K460" si="39">J460*H460</f>
        <v>2000000</v>
      </c>
      <c r="L460" s="46"/>
      <c r="M460" s="232"/>
    </row>
    <row r="461" spans="2:14" x14ac:dyDescent="0.35">
      <c r="B461" s="101"/>
      <c r="C461" s="73"/>
      <c r="D461" s="102"/>
      <c r="E461" s="79"/>
      <c r="F461" s="75" t="s">
        <v>89</v>
      </c>
      <c r="G461" s="75" t="s">
        <v>184</v>
      </c>
      <c r="H461" s="103">
        <v>2</v>
      </c>
      <c r="I461" s="76" t="s">
        <v>131</v>
      </c>
      <c r="J461" s="219">
        <v>13000000</v>
      </c>
      <c r="K461" s="110"/>
      <c r="L461" s="227">
        <f>J461*H461</f>
        <v>26000000</v>
      </c>
      <c r="M461" s="232"/>
    </row>
    <row r="462" spans="2:14" x14ac:dyDescent="0.35">
      <c r="B462" s="101"/>
      <c r="C462" s="73"/>
      <c r="D462" s="102"/>
      <c r="E462" s="79"/>
      <c r="F462" s="75" t="s">
        <v>89</v>
      </c>
      <c r="G462" s="75" t="s">
        <v>364</v>
      </c>
      <c r="H462" s="103">
        <v>4</v>
      </c>
      <c r="I462" s="76" t="s">
        <v>131</v>
      </c>
      <c r="J462" s="219">
        <v>40000</v>
      </c>
      <c r="K462" s="110"/>
      <c r="L462" s="227">
        <f>J462*H462</f>
        <v>160000</v>
      </c>
      <c r="M462" s="232"/>
    </row>
    <row r="463" spans="2:14" x14ac:dyDescent="0.35">
      <c r="B463" s="101"/>
      <c r="C463" s="73"/>
      <c r="D463" s="102"/>
      <c r="E463" s="79"/>
      <c r="F463" s="75" t="s">
        <v>89</v>
      </c>
      <c r="G463" s="75" t="s">
        <v>365</v>
      </c>
      <c r="H463" s="103">
        <v>16</v>
      </c>
      <c r="I463" s="76" t="s">
        <v>131</v>
      </c>
      <c r="J463" s="219">
        <v>90000</v>
      </c>
      <c r="K463" s="110"/>
      <c r="L463" s="227">
        <f>J463*H463</f>
        <v>1440000</v>
      </c>
      <c r="M463" s="232"/>
    </row>
    <row r="464" spans="2:14" x14ac:dyDescent="0.35">
      <c r="B464" s="101"/>
      <c r="C464" s="73"/>
      <c r="D464" s="102" t="s">
        <v>47</v>
      </c>
      <c r="E464" s="79"/>
      <c r="F464" s="75" t="s">
        <v>393</v>
      </c>
      <c r="G464" s="75"/>
      <c r="H464" s="103">
        <v>1</v>
      </c>
      <c r="I464" s="76" t="s">
        <v>166</v>
      </c>
      <c r="J464" s="219">
        <v>8750000</v>
      </c>
      <c r="K464" s="50">
        <f t="shared" ref="K464" si="40">J464*H464</f>
        <v>8750000</v>
      </c>
      <c r="L464" s="22"/>
      <c r="M464" s="232">
        <v>2200000</v>
      </c>
      <c r="N464" s="233">
        <f>SUM(M464:M466)*1.3</f>
        <v>8710000</v>
      </c>
    </row>
    <row r="465" spans="2:13" x14ac:dyDescent="0.35">
      <c r="B465" s="101"/>
      <c r="C465" s="73"/>
      <c r="D465" s="102"/>
      <c r="E465" s="79"/>
      <c r="F465" s="75" t="s">
        <v>89</v>
      </c>
      <c r="G465" s="75" t="s">
        <v>366</v>
      </c>
      <c r="H465" s="104">
        <v>1</v>
      </c>
      <c r="I465" s="105" t="s">
        <v>46</v>
      </c>
      <c r="J465" s="224">
        <v>1500000</v>
      </c>
      <c r="K465" s="50"/>
      <c r="L465" s="22"/>
      <c r="M465" s="232">
        <v>1500000</v>
      </c>
    </row>
    <row r="466" spans="2:13" x14ac:dyDescent="0.35">
      <c r="B466" s="101"/>
      <c r="C466" s="73"/>
      <c r="D466" s="102"/>
      <c r="E466" s="79"/>
      <c r="F466" s="75" t="s">
        <v>89</v>
      </c>
      <c r="G466" s="75" t="s">
        <v>367</v>
      </c>
      <c r="H466" s="104">
        <v>2</v>
      </c>
      <c r="I466" s="105" t="s">
        <v>88</v>
      </c>
      <c r="J466" s="224">
        <v>1500000</v>
      </c>
      <c r="K466" s="50"/>
      <c r="L466" s="22"/>
      <c r="M466" s="232">
        <v>3000000</v>
      </c>
    </row>
    <row r="467" spans="2:13" x14ac:dyDescent="0.35">
      <c r="B467" s="47"/>
      <c r="C467" s="48"/>
      <c r="D467" s="25"/>
      <c r="E467" s="108"/>
      <c r="F467" s="2"/>
      <c r="G467" s="21"/>
      <c r="I467" s="22"/>
      <c r="J467" s="218"/>
      <c r="K467" s="29"/>
      <c r="L467" s="52"/>
      <c r="M467" s="232"/>
    </row>
    <row r="468" spans="2:13" x14ac:dyDescent="0.35">
      <c r="B468" s="8"/>
      <c r="C468" s="9"/>
      <c r="D468" s="10"/>
      <c r="E468" s="4"/>
      <c r="F468" s="4"/>
      <c r="G468" s="4"/>
      <c r="H468" s="1"/>
      <c r="I468" s="1"/>
      <c r="J468" s="11" t="s">
        <v>8</v>
      </c>
      <c r="K468" s="7">
        <f>SUM(K416:K467)</f>
        <v>26250000</v>
      </c>
      <c r="L468" s="7">
        <f>SUM(L416:L467)</f>
        <v>27600000</v>
      </c>
      <c r="M468" s="232"/>
    </row>
    <row r="469" spans="2:13" x14ac:dyDescent="0.35">
      <c r="B469" s="8"/>
      <c r="C469" s="9"/>
      <c r="D469" s="9"/>
      <c r="E469" s="4"/>
      <c r="F469" s="4"/>
      <c r="G469" s="4"/>
      <c r="H469" s="1"/>
      <c r="I469" s="1"/>
      <c r="J469" s="11"/>
      <c r="K469" s="35" t="s">
        <v>22</v>
      </c>
      <c r="L469" s="36" t="s">
        <v>23</v>
      </c>
      <c r="M469" s="232"/>
    </row>
    <row r="470" spans="2:13" x14ac:dyDescent="0.35">
      <c r="B470" s="3" t="s">
        <v>9</v>
      </c>
      <c r="C470" s="4"/>
      <c r="D470" s="4"/>
      <c r="E470" s="4"/>
      <c r="F470" s="4"/>
      <c r="G470" s="4"/>
      <c r="H470" s="1"/>
      <c r="I470" s="1"/>
      <c r="J470" s="12"/>
      <c r="K470" s="12"/>
      <c r="L470" s="13"/>
      <c r="M470" s="232"/>
    </row>
    <row r="471" spans="2:13" x14ac:dyDescent="0.35">
      <c r="B471" s="37"/>
      <c r="C471" s="1"/>
      <c r="D471" s="1"/>
      <c r="E471" s="38"/>
      <c r="F471" s="38"/>
      <c r="G471" s="38"/>
      <c r="H471" s="1"/>
      <c r="I471" s="1"/>
      <c r="J471" s="1"/>
      <c r="K471" s="1"/>
      <c r="L471" s="19"/>
      <c r="M471" s="232"/>
    </row>
    <row r="472" spans="2:13" x14ac:dyDescent="0.35">
      <c r="B472" s="28" t="s">
        <v>6</v>
      </c>
      <c r="C472" s="27"/>
      <c r="D472" s="27"/>
      <c r="E472" s="26"/>
      <c r="F472" s="26"/>
      <c r="G472" s="5"/>
      <c r="K472" s="246" t="s">
        <v>216</v>
      </c>
      <c r="L472" s="247"/>
      <c r="M472" s="232"/>
    </row>
    <row r="473" spans="2:13" x14ac:dyDescent="0.35">
      <c r="B473" s="28">
        <v>1</v>
      </c>
      <c r="C473" s="27"/>
      <c r="D473" s="27"/>
      <c r="E473" s="26" t="s">
        <v>7</v>
      </c>
      <c r="F473" s="26"/>
      <c r="G473" s="5"/>
      <c r="K473" s="246" t="s">
        <v>28</v>
      </c>
      <c r="L473" s="247"/>
      <c r="M473" s="232"/>
    </row>
    <row r="474" spans="2:13" x14ac:dyDescent="0.35">
      <c r="B474" s="39"/>
      <c r="C474" s="27"/>
      <c r="D474" s="27"/>
      <c r="E474" s="26"/>
      <c r="F474" s="26"/>
      <c r="G474" s="5"/>
      <c r="J474" s="25"/>
      <c r="K474" s="25"/>
      <c r="L474" s="24"/>
      <c r="M474" s="232"/>
    </row>
    <row r="475" spans="2:13" x14ac:dyDescent="0.35">
      <c r="B475" s="28"/>
      <c r="C475" s="27"/>
      <c r="D475" s="27"/>
      <c r="E475" s="26"/>
      <c r="F475" s="26"/>
      <c r="G475" s="5"/>
      <c r="L475" s="22"/>
      <c r="M475" s="232"/>
    </row>
    <row r="476" spans="2:13" x14ac:dyDescent="0.35">
      <c r="B476" s="45"/>
      <c r="E476" s="5"/>
      <c r="F476" s="5"/>
      <c r="G476" s="5"/>
      <c r="L476" s="22"/>
      <c r="M476" s="232"/>
    </row>
    <row r="477" spans="2:13" x14ac:dyDescent="0.35">
      <c r="B477" s="45"/>
      <c r="E477" s="5"/>
      <c r="F477" s="5"/>
      <c r="G477" s="5"/>
      <c r="L477" s="22"/>
      <c r="M477" s="232"/>
    </row>
    <row r="478" spans="2:13" x14ac:dyDescent="0.35">
      <c r="B478" s="45"/>
      <c r="E478" s="5"/>
      <c r="F478" s="5"/>
      <c r="G478" s="5"/>
      <c r="L478" s="22"/>
      <c r="M478" s="232"/>
    </row>
    <row r="479" spans="2:13" x14ac:dyDescent="0.35">
      <c r="B479" s="45"/>
      <c r="E479" s="5"/>
      <c r="F479" s="5"/>
      <c r="G479" s="5"/>
      <c r="J479" s="40"/>
      <c r="K479" s="248" t="s">
        <v>36</v>
      </c>
      <c r="L479" s="249"/>
      <c r="M479" s="232"/>
    </row>
    <row r="480" spans="2:13" x14ac:dyDescent="0.35">
      <c r="B480" s="45"/>
      <c r="K480" s="250" t="s">
        <v>37</v>
      </c>
      <c r="L480" s="251"/>
      <c r="M480" s="232"/>
    </row>
    <row r="481" spans="2:13" x14ac:dyDescent="0.35">
      <c r="B481" s="243"/>
      <c r="C481" s="244"/>
      <c r="D481" s="244"/>
      <c r="E481" s="41"/>
      <c r="F481" s="41"/>
      <c r="G481" s="41"/>
      <c r="H481" s="2"/>
      <c r="I481" s="2"/>
      <c r="J481" s="2"/>
      <c r="K481" s="2"/>
      <c r="L481" s="21"/>
      <c r="M481" s="232"/>
    </row>
    <row r="482" spans="2:13" x14ac:dyDescent="0.35">
      <c r="B482" s="47"/>
      <c r="C482" s="48"/>
      <c r="D482" s="49"/>
      <c r="G482" s="22"/>
      <c r="H482" s="1"/>
      <c r="I482" s="1"/>
      <c r="J482" s="216"/>
      <c r="K482" s="30"/>
      <c r="L482" s="44"/>
      <c r="M482" s="232"/>
    </row>
    <row r="483" spans="2:13" x14ac:dyDescent="0.35">
      <c r="B483" s="101"/>
      <c r="C483" s="73"/>
      <c r="D483" s="102" t="s">
        <v>49</v>
      </c>
      <c r="E483" s="79"/>
      <c r="F483" s="75" t="s">
        <v>187</v>
      </c>
      <c r="G483" s="75"/>
      <c r="H483" s="103">
        <v>2</v>
      </c>
      <c r="I483" s="76" t="s">
        <v>166</v>
      </c>
      <c r="J483" s="217">
        <v>950000</v>
      </c>
      <c r="K483" s="50">
        <f t="shared" ref="K483" si="41">J483*H483</f>
        <v>1900000</v>
      </c>
      <c r="L483" s="46"/>
      <c r="M483" s="232"/>
    </row>
    <row r="484" spans="2:13" x14ac:dyDescent="0.35">
      <c r="B484" s="101"/>
      <c r="C484" s="73"/>
      <c r="D484" s="102"/>
      <c r="E484" s="79"/>
      <c r="F484" s="75" t="s">
        <v>89</v>
      </c>
      <c r="G484" s="75" t="s">
        <v>188</v>
      </c>
      <c r="H484" s="104">
        <v>2</v>
      </c>
      <c r="I484" s="105" t="s">
        <v>131</v>
      </c>
      <c r="J484" s="218"/>
      <c r="K484" s="54"/>
      <c r="L484" s="46"/>
      <c r="M484" s="232"/>
    </row>
    <row r="485" spans="2:13" x14ac:dyDescent="0.35">
      <c r="B485" s="101"/>
      <c r="C485" s="73"/>
      <c r="D485" s="102"/>
      <c r="E485" s="79"/>
      <c r="F485" s="75" t="s">
        <v>89</v>
      </c>
      <c r="G485" s="75" t="s">
        <v>368</v>
      </c>
      <c r="H485" s="104">
        <v>8</v>
      </c>
      <c r="I485" s="105" t="s">
        <v>131</v>
      </c>
      <c r="J485" s="218"/>
      <c r="K485" s="54"/>
      <c r="L485" s="46"/>
      <c r="M485" s="232"/>
    </row>
    <row r="486" spans="2:13" x14ac:dyDescent="0.35">
      <c r="B486" s="101"/>
      <c r="C486" s="73"/>
      <c r="D486" s="102" t="s">
        <v>51</v>
      </c>
      <c r="E486" s="79"/>
      <c r="F486" s="75" t="s">
        <v>189</v>
      </c>
      <c r="G486" s="75"/>
      <c r="H486" s="103">
        <v>2</v>
      </c>
      <c r="I486" s="76" t="s">
        <v>166</v>
      </c>
      <c r="J486" s="218">
        <v>950000</v>
      </c>
      <c r="K486" s="50">
        <f t="shared" ref="K486" si="42">J486*H486</f>
        <v>1900000</v>
      </c>
      <c r="L486" s="46"/>
      <c r="M486" s="232"/>
    </row>
    <row r="487" spans="2:13" x14ac:dyDescent="0.35">
      <c r="B487" s="101"/>
      <c r="C487" s="73"/>
      <c r="D487" s="102"/>
      <c r="E487" s="79"/>
      <c r="F487" s="75" t="s">
        <v>89</v>
      </c>
      <c r="G487" s="75" t="s">
        <v>188</v>
      </c>
      <c r="H487" s="104">
        <v>2</v>
      </c>
      <c r="I487" s="105" t="s">
        <v>131</v>
      </c>
      <c r="J487" s="218"/>
      <c r="K487" s="54"/>
      <c r="L487" s="46"/>
      <c r="M487" s="232"/>
    </row>
    <row r="488" spans="2:13" x14ac:dyDescent="0.35">
      <c r="B488" s="101"/>
      <c r="C488" s="73"/>
      <c r="D488" s="102"/>
      <c r="E488" s="79"/>
      <c r="F488" s="75" t="s">
        <v>89</v>
      </c>
      <c r="G488" s="75" t="s">
        <v>190</v>
      </c>
      <c r="H488" s="104">
        <v>500</v>
      </c>
      <c r="I488" s="105" t="s">
        <v>140</v>
      </c>
      <c r="J488" s="218"/>
      <c r="K488" s="54"/>
      <c r="L488" s="46"/>
      <c r="M488" s="232"/>
    </row>
    <row r="489" spans="2:13" x14ac:dyDescent="0.35">
      <c r="B489" s="101"/>
      <c r="C489" s="73"/>
      <c r="D489" s="102"/>
      <c r="E489" s="79"/>
      <c r="F489" s="75" t="s">
        <v>89</v>
      </c>
      <c r="G489" s="75" t="s">
        <v>369</v>
      </c>
      <c r="H489" s="104">
        <v>8</v>
      </c>
      <c r="I489" s="105" t="s">
        <v>131</v>
      </c>
      <c r="J489" s="218"/>
      <c r="K489" s="54"/>
      <c r="L489" s="46"/>
      <c r="M489" s="232"/>
    </row>
    <row r="490" spans="2:13" x14ac:dyDescent="0.35">
      <c r="B490" s="101"/>
      <c r="C490" s="73"/>
      <c r="D490" s="102" t="s">
        <v>53</v>
      </c>
      <c r="E490" s="79"/>
      <c r="F490" s="75" t="s">
        <v>370</v>
      </c>
      <c r="G490" s="75"/>
      <c r="H490" s="103">
        <v>1</v>
      </c>
      <c r="I490" s="76" t="s">
        <v>166</v>
      </c>
      <c r="J490" s="226">
        <v>7250000</v>
      </c>
      <c r="K490" s="50">
        <f t="shared" ref="K490" si="43">J490*H490</f>
        <v>7250000</v>
      </c>
      <c r="L490" s="46"/>
      <c r="M490" s="233">
        <f>SUM(M491:M492)*1.3</f>
        <v>7176000</v>
      </c>
    </row>
    <row r="491" spans="2:13" x14ac:dyDescent="0.35">
      <c r="B491" s="101"/>
      <c r="C491" s="73"/>
      <c r="D491" s="102"/>
      <c r="E491" s="79"/>
      <c r="F491" s="75" t="s">
        <v>89</v>
      </c>
      <c r="G491" s="75" t="s">
        <v>371</v>
      </c>
      <c r="H491" s="104">
        <v>1</v>
      </c>
      <c r="I491" s="105" t="s">
        <v>131</v>
      </c>
      <c r="J491" s="220">
        <v>5200000</v>
      </c>
      <c r="K491" s="54"/>
      <c r="L491" s="46"/>
      <c r="M491" s="232">
        <v>5200000</v>
      </c>
    </row>
    <row r="492" spans="2:13" x14ac:dyDescent="0.35">
      <c r="B492" s="101"/>
      <c r="C492" s="73"/>
      <c r="D492" s="102"/>
      <c r="E492" s="79"/>
      <c r="F492" s="75" t="s">
        <v>89</v>
      </c>
      <c r="G492" s="75" t="s">
        <v>372</v>
      </c>
      <c r="H492" s="104">
        <v>8</v>
      </c>
      <c r="I492" s="105" t="s">
        <v>131</v>
      </c>
      <c r="J492" s="220">
        <v>40000</v>
      </c>
      <c r="K492" s="54"/>
      <c r="L492" s="46"/>
      <c r="M492" s="232">
        <v>320000</v>
      </c>
    </row>
    <row r="493" spans="2:13" x14ac:dyDescent="0.35">
      <c r="B493" s="101"/>
      <c r="C493" s="73"/>
      <c r="D493" s="102" t="s">
        <v>54</v>
      </c>
      <c r="E493" s="79"/>
      <c r="F493" s="75" t="s">
        <v>191</v>
      </c>
      <c r="G493" s="75"/>
      <c r="H493" s="103">
        <v>2</v>
      </c>
      <c r="I493" s="76" t="s">
        <v>166</v>
      </c>
      <c r="J493" s="226">
        <v>900000</v>
      </c>
      <c r="K493" s="50">
        <f t="shared" ref="K493" si="44">J493*H493</f>
        <v>1800000</v>
      </c>
      <c r="L493" s="46"/>
      <c r="M493" s="232"/>
    </row>
    <row r="494" spans="2:13" x14ac:dyDescent="0.35">
      <c r="B494" s="101"/>
      <c r="C494" s="73"/>
      <c r="D494" s="102"/>
      <c r="E494" s="79"/>
      <c r="F494" s="75" t="s">
        <v>89</v>
      </c>
      <c r="G494" s="75" t="s">
        <v>186</v>
      </c>
      <c r="H494" s="104">
        <v>2</v>
      </c>
      <c r="I494" s="105" t="s">
        <v>131</v>
      </c>
      <c r="J494" s="226"/>
      <c r="K494" s="54"/>
      <c r="L494" s="46"/>
      <c r="M494" s="232"/>
    </row>
    <row r="495" spans="2:13" x14ac:dyDescent="0.35">
      <c r="B495" s="101"/>
      <c r="C495" s="73"/>
      <c r="D495" s="102"/>
      <c r="E495" s="79"/>
      <c r="F495" s="75" t="s">
        <v>89</v>
      </c>
      <c r="G495" s="75" t="s">
        <v>190</v>
      </c>
      <c r="H495" s="104">
        <v>500</v>
      </c>
      <c r="I495" s="105" t="s">
        <v>140</v>
      </c>
      <c r="J495" s="226"/>
      <c r="K495" s="54"/>
      <c r="L495" s="46"/>
      <c r="M495" s="232"/>
    </row>
    <row r="496" spans="2:13" x14ac:dyDescent="0.35">
      <c r="B496" s="101"/>
      <c r="C496" s="73"/>
      <c r="D496" s="102"/>
      <c r="E496" s="79"/>
      <c r="F496" s="75" t="s">
        <v>89</v>
      </c>
      <c r="G496" s="75" t="s">
        <v>372</v>
      </c>
      <c r="H496" s="104">
        <v>16</v>
      </c>
      <c r="I496" s="105" t="s">
        <v>131</v>
      </c>
      <c r="J496" s="226"/>
      <c r="K496" s="54"/>
      <c r="L496" s="46"/>
      <c r="M496" s="232"/>
    </row>
    <row r="497" spans="2:13" x14ac:dyDescent="0.35">
      <c r="B497" s="101"/>
      <c r="C497" s="73"/>
      <c r="D497" s="102" t="s">
        <v>56</v>
      </c>
      <c r="E497" s="79"/>
      <c r="F497" s="75" t="s">
        <v>373</v>
      </c>
      <c r="G497" s="75"/>
      <c r="H497" s="103">
        <v>1</v>
      </c>
      <c r="I497" s="76" t="s">
        <v>166</v>
      </c>
      <c r="J497" s="226">
        <v>7250000</v>
      </c>
      <c r="K497" s="50">
        <f t="shared" ref="K497" si="45">J497*H497</f>
        <v>7250000</v>
      </c>
      <c r="L497" s="46"/>
      <c r="M497" s="232"/>
    </row>
    <row r="498" spans="2:13" x14ac:dyDescent="0.35">
      <c r="B498" s="101"/>
      <c r="C498" s="73"/>
      <c r="D498" s="102"/>
      <c r="E498" s="79"/>
      <c r="F498" s="75" t="s">
        <v>89</v>
      </c>
      <c r="G498" s="75" t="s">
        <v>371</v>
      </c>
      <c r="H498" s="104">
        <v>1</v>
      </c>
      <c r="I498" s="105" t="s">
        <v>131</v>
      </c>
      <c r="J498" s="226"/>
      <c r="K498" s="54"/>
      <c r="L498" s="46"/>
      <c r="M498" s="232"/>
    </row>
    <row r="499" spans="2:13" x14ac:dyDescent="0.35">
      <c r="B499" s="101"/>
      <c r="C499" s="73"/>
      <c r="D499" s="102"/>
      <c r="E499" s="79"/>
      <c r="F499" s="75" t="s">
        <v>89</v>
      </c>
      <c r="G499" s="75" t="s">
        <v>372</v>
      </c>
      <c r="H499" s="104">
        <v>8</v>
      </c>
      <c r="I499" s="105" t="s">
        <v>131</v>
      </c>
      <c r="J499" s="226"/>
      <c r="K499" s="54"/>
      <c r="L499" s="46"/>
      <c r="M499" s="232"/>
    </row>
    <row r="500" spans="2:13" x14ac:dyDescent="0.35">
      <c r="B500" s="72"/>
      <c r="C500" s="73"/>
      <c r="D500" s="102" t="s">
        <v>58</v>
      </c>
      <c r="E500" s="74"/>
      <c r="F500" s="75" t="s">
        <v>192</v>
      </c>
      <c r="G500" s="75"/>
      <c r="H500" s="103">
        <v>1</v>
      </c>
      <c r="I500" s="76" t="s">
        <v>166</v>
      </c>
      <c r="J500" s="226">
        <v>900000</v>
      </c>
      <c r="K500" s="50">
        <f t="shared" ref="K500" si="46">J500*H500</f>
        <v>900000</v>
      </c>
      <c r="L500" s="46"/>
      <c r="M500" s="232"/>
    </row>
    <row r="501" spans="2:13" x14ac:dyDescent="0.35">
      <c r="B501" s="101"/>
      <c r="C501" s="73"/>
      <c r="D501" s="102"/>
      <c r="E501" s="79"/>
      <c r="F501" s="75" t="s">
        <v>89</v>
      </c>
      <c r="G501" s="75" t="s">
        <v>193</v>
      </c>
      <c r="H501" s="104">
        <v>2</v>
      </c>
      <c r="I501" s="105" t="s">
        <v>131</v>
      </c>
      <c r="J501" s="226"/>
      <c r="K501" s="54"/>
      <c r="L501" s="46"/>
      <c r="M501" s="232"/>
    </row>
    <row r="502" spans="2:13" x14ac:dyDescent="0.35">
      <c r="B502" s="101"/>
      <c r="C502" s="73"/>
      <c r="D502" s="102"/>
      <c r="E502" s="79"/>
      <c r="F502" s="75" t="s">
        <v>89</v>
      </c>
      <c r="G502" s="75" t="s">
        <v>186</v>
      </c>
      <c r="H502" s="104">
        <v>2</v>
      </c>
      <c r="I502" s="105" t="s">
        <v>131</v>
      </c>
      <c r="J502" s="226"/>
      <c r="K502" s="54"/>
      <c r="L502" s="46"/>
      <c r="M502" s="232"/>
    </row>
    <row r="503" spans="2:13" x14ac:dyDescent="0.35">
      <c r="B503" s="101"/>
      <c r="C503" s="73"/>
      <c r="D503" s="102"/>
      <c r="E503" s="79"/>
      <c r="F503" s="75" t="s">
        <v>89</v>
      </c>
      <c r="G503" s="75" t="s">
        <v>190</v>
      </c>
      <c r="H503" s="104">
        <v>500</v>
      </c>
      <c r="I503" s="105" t="s">
        <v>140</v>
      </c>
      <c r="J503" s="226"/>
      <c r="K503" s="54"/>
      <c r="L503" s="46"/>
      <c r="M503" s="232"/>
    </row>
    <row r="504" spans="2:13" x14ac:dyDescent="0.35">
      <c r="B504" s="101"/>
      <c r="C504" s="73"/>
      <c r="D504" s="102" t="s">
        <v>60</v>
      </c>
      <c r="E504" s="79"/>
      <c r="F504" s="75" t="s">
        <v>374</v>
      </c>
      <c r="G504" s="75"/>
      <c r="H504" s="103">
        <v>1</v>
      </c>
      <c r="I504" s="76" t="s">
        <v>166</v>
      </c>
      <c r="J504" s="226">
        <v>6250000</v>
      </c>
      <c r="K504" s="50">
        <f t="shared" ref="K504" si="47">J504*H504</f>
        <v>6250000</v>
      </c>
      <c r="L504" s="46"/>
      <c r="M504" s="232"/>
    </row>
    <row r="505" spans="2:13" x14ac:dyDescent="0.35">
      <c r="B505" s="101"/>
      <c r="C505" s="73"/>
      <c r="D505" s="102"/>
      <c r="E505" s="79"/>
      <c r="F505" s="75" t="s">
        <v>89</v>
      </c>
      <c r="G505" s="75" t="s">
        <v>210</v>
      </c>
      <c r="H505" s="104">
        <v>1</v>
      </c>
      <c r="I505" s="105" t="s">
        <v>131</v>
      </c>
      <c r="J505" s="226"/>
      <c r="K505" s="54"/>
      <c r="L505" s="46"/>
      <c r="M505" s="232"/>
    </row>
    <row r="506" spans="2:13" x14ac:dyDescent="0.35">
      <c r="B506" s="101"/>
      <c r="C506" s="73"/>
      <c r="D506" s="102"/>
      <c r="E506" s="79"/>
      <c r="F506" s="75" t="s">
        <v>89</v>
      </c>
      <c r="G506" s="75" t="s">
        <v>369</v>
      </c>
      <c r="H506" s="104">
        <v>8</v>
      </c>
      <c r="I506" s="105" t="s">
        <v>131</v>
      </c>
      <c r="J506" s="226"/>
      <c r="K506" s="54"/>
      <c r="L506" s="46"/>
      <c r="M506" s="232"/>
    </row>
    <row r="507" spans="2:13" x14ac:dyDescent="0.35">
      <c r="B507" s="72"/>
      <c r="C507" s="73"/>
      <c r="D507" s="102" t="s">
        <v>62</v>
      </c>
      <c r="E507" s="74"/>
      <c r="F507" s="75" t="s">
        <v>194</v>
      </c>
      <c r="G507" s="75"/>
      <c r="H507" s="103">
        <v>2</v>
      </c>
      <c r="I507" s="76" t="s">
        <v>166</v>
      </c>
      <c r="J507" s="218">
        <v>2200000</v>
      </c>
      <c r="K507" s="50">
        <f t="shared" ref="K507" si="48">J507*H507</f>
        <v>4400000</v>
      </c>
      <c r="L507" s="46"/>
      <c r="M507" s="232"/>
    </row>
    <row r="508" spans="2:13" x14ac:dyDescent="0.35">
      <c r="B508" s="101"/>
      <c r="C508" s="73"/>
      <c r="D508" s="102"/>
      <c r="E508" s="79"/>
      <c r="F508" s="75" t="s">
        <v>89</v>
      </c>
      <c r="G508" s="75" t="s">
        <v>195</v>
      </c>
      <c r="H508" s="104">
        <v>16</v>
      </c>
      <c r="I508" s="105" t="s">
        <v>131</v>
      </c>
      <c r="J508" s="218"/>
      <c r="K508" s="54"/>
      <c r="L508" s="46"/>
      <c r="M508" s="232"/>
    </row>
    <row r="509" spans="2:13" x14ac:dyDescent="0.35">
      <c r="B509" s="101" t="s">
        <v>77</v>
      </c>
      <c r="C509" s="73"/>
      <c r="D509" s="102"/>
      <c r="E509" s="79" t="s">
        <v>18</v>
      </c>
      <c r="F509" s="75"/>
      <c r="G509" s="75"/>
      <c r="H509" s="103"/>
      <c r="I509" s="76"/>
      <c r="J509" s="218"/>
      <c r="K509" s="54"/>
      <c r="L509" s="46"/>
      <c r="M509" s="232"/>
    </row>
    <row r="510" spans="2:13" x14ac:dyDescent="0.35">
      <c r="B510" s="101"/>
      <c r="C510" s="73" t="s">
        <v>159</v>
      </c>
      <c r="D510" s="102"/>
      <c r="E510" s="79"/>
      <c r="F510" s="75" t="s">
        <v>196</v>
      </c>
      <c r="G510" s="75"/>
      <c r="H510" s="103"/>
      <c r="I510" s="76"/>
      <c r="J510" s="218"/>
      <c r="K510" s="54"/>
      <c r="L510" s="46"/>
      <c r="M510" s="232"/>
    </row>
    <row r="511" spans="2:13" x14ac:dyDescent="0.35">
      <c r="B511" s="101"/>
      <c r="C511" s="73"/>
      <c r="D511" s="102" t="s">
        <v>44</v>
      </c>
      <c r="E511" s="79"/>
      <c r="F511" s="75" t="s">
        <v>197</v>
      </c>
      <c r="G511" s="75"/>
      <c r="H511" s="103">
        <v>2</v>
      </c>
      <c r="I511" s="76" t="s">
        <v>99</v>
      </c>
      <c r="J511" s="218">
        <v>1500000</v>
      </c>
      <c r="K511" s="50">
        <f t="shared" ref="K511" si="49">J511*H511</f>
        <v>3000000</v>
      </c>
      <c r="L511" s="46"/>
      <c r="M511" s="232"/>
    </row>
    <row r="512" spans="2:13" x14ac:dyDescent="0.35">
      <c r="B512" s="101"/>
      <c r="C512" s="73"/>
      <c r="D512" s="102"/>
      <c r="E512" s="79"/>
      <c r="F512" s="75" t="s">
        <v>89</v>
      </c>
      <c r="G512" s="75" t="s">
        <v>326</v>
      </c>
      <c r="H512" s="104">
        <v>2</v>
      </c>
      <c r="I512" s="105" t="s">
        <v>131</v>
      </c>
      <c r="J512" s="218"/>
      <c r="K512" s="54"/>
      <c r="L512" s="46"/>
      <c r="M512" s="232"/>
    </row>
    <row r="513" spans="2:13" x14ac:dyDescent="0.35">
      <c r="B513" s="186" t="s">
        <v>90</v>
      </c>
      <c r="C513" s="173"/>
      <c r="D513" s="187"/>
      <c r="E513" s="175" t="s">
        <v>119</v>
      </c>
      <c r="F513" s="176"/>
      <c r="G513" s="176"/>
      <c r="H513" s="188"/>
      <c r="I513" s="189"/>
      <c r="J513" s="218"/>
      <c r="K513" s="54"/>
      <c r="L513" s="46"/>
      <c r="M513" s="232"/>
    </row>
    <row r="514" spans="2:13" x14ac:dyDescent="0.35">
      <c r="B514" s="101"/>
      <c r="C514" s="73"/>
      <c r="D514" s="102" t="s">
        <v>44</v>
      </c>
      <c r="E514" s="79"/>
      <c r="F514" s="75" t="s">
        <v>198</v>
      </c>
      <c r="G514" s="75"/>
      <c r="H514" s="103"/>
      <c r="I514" s="76"/>
      <c r="J514" s="218"/>
      <c r="K514" s="54"/>
      <c r="L514" s="46"/>
      <c r="M514" s="232"/>
    </row>
    <row r="515" spans="2:13" x14ac:dyDescent="0.35">
      <c r="B515" s="101"/>
      <c r="C515" s="73"/>
      <c r="D515" s="102"/>
      <c r="E515" s="79"/>
      <c r="F515" s="75" t="s">
        <v>89</v>
      </c>
      <c r="G515" s="75" t="s">
        <v>199</v>
      </c>
      <c r="H515" s="103">
        <v>1</v>
      </c>
      <c r="I515" s="76" t="s">
        <v>88</v>
      </c>
      <c r="J515" s="218">
        <v>2500000</v>
      </c>
      <c r="K515" s="54"/>
      <c r="L515" s="46">
        <f>J515*H515</f>
        <v>2500000</v>
      </c>
      <c r="M515" s="232"/>
    </row>
    <row r="516" spans="2:13" x14ac:dyDescent="0.35">
      <c r="B516" s="101"/>
      <c r="C516" s="73"/>
      <c r="D516" s="102"/>
      <c r="E516" s="79"/>
      <c r="F516" s="75" t="s">
        <v>89</v>
      </c>
      <c r="G516" s="75" t="s">
        <v>375</v>
      </c>
      <c r="H516" s="103">
        <v>12.5</v>
      </c>
      <c r="I516" s="76" t="s">
        <v>69</v>
      </c>
      <c r="J516" s="218">
        <v>1500000</v>
      </c>
      <c r="K516" s="54"/>
      <c r="L516" s="46">
        <f>J516*H516</f>
        <v>18750000</v>
      </c>
      <c r="M516" s="232"/>
    </row>
    <row r="517" spans="2:13" x14ac:dyDescent="0.35">
      <c r="B517" s="101"/>
      <c r="C517" s="73"/>
      <c r="D517" s="102"/>
      <c r="E517" s="79"/>
      <c r="F517" s="75" t="s">
        <v>89</v>
      </c>
      <c r="G517" s="75" t="s">
        <v>376</v>
      </c>
      <c r="H517" s="103">
        <v>10</v>
      </c>
      <c r="I517" s="76" t="s">
        <v>88</v>
      </c>
      <c r="J517" s="218">
        <v>100000</v>
      </c>
      <c r="K517" s="54"/>
      <c r="L517" s="46">
        <f>J517*H517</f>
        <v>1000000</v>
      </c>
      <c r="M517" s="232"/>
    </row>
    <row r="518" spans="2:13" x14ac:dyDescent="0.35">
      <c r="B518" s="101"/>
      <c r="C518" s="73"/>
      <c r="D518" s="102" t="s">
        <v>47</v>
      </c>
      <c r="E518" s="79"/>
      <c r="F518" s="75" t="s">
        <v>200</v>
      </c>
      <c r="G518" s="75"/>
      <c r="H518" s="103"/>
      <c r="I518" s="76"/>
      <c r="J518" s="218"/>
      <c r="K518" s="52"/>
      <c r="L518" s="46"/>
      <c r="M518" s="232"/>
    </row>
    <row r="519" spans="2:13" x14ac:dyDescent="0.35">
      <c r="B519" s="101"/>
      <c r="C519" s="73"/>
      <c r="D519" s="102"/>
      <c r="E519" s="79"/>
      <c r="F519" s="75" t="s">
        <v>89</v>
      </c>
      <c r="G519" s="75" t="s">
        <v>201</v>
      </c>
      <c r="H519" s="103">
        <v>1</v>
      </c>
      <c r="I519" s="76" t="s">
        <v>88</v>
      </c>
      <c r="J519" s="218">
        <v>2000000</v>
      </c>
      <c r="K519" s="54"/>
      <c r="L519" s="46">
        <f>J519*H519</f>
        <v>2000000</v>
      </c>
      <c r="M519" s="232"/>
    </row>
    <row r="520" spans="2:13" x14ac:dyDescent="0.35">
      <c r="B520" s="94"/>
      <c r="C520" s="91"/>
      <c r="D520" s="78"/>
      <c r="E520" s="92"/>
      <c r="F520" s="75" t="s">
        <v>89</v>
      </c>
      <c r="G520" s="75" t="s">
        <v>377</v>
      </c>
      <c r="H520" s="82">
        <v>8</v>
      </c>
      <c r="I520" s="97" t="s">
        <v>69</v>
      </c>
      <c r="J520" s="218">
        <v>1500000</v>
      </c>
      <c r="K520" s="51"/>
      <c r="L520" s="46">
        <f>J520*H520</f>
        <v>12000000</v>
      </c>
      <c r="M520" s="232"/>
    </row>
    <row r="521" spans="2:13" x14ac:dyDescent="0.35">
      <c r="B521" s="101"/>
      <c r="C521" s="192"/>
      <c r="D521" s="193"/>
      <c r="E521" s="79"/>
      <c r="F521" s="84" t="s">
        <v>89</v>
      </c>
      <c r="G521" s="75" t="s">
        <v>376</v>
      </c>
      <c r="H521" s="103">
        <v>10</v>
      </c>
      <c r="I521" s="76" t="s">
        <v>88</v>
      </c>
      <c r="J521" s="218">
        <v>100000</v>
      </c>
      <c r="K521" s="54"/>
      <c r="L521" s="46">
        <f>J521*H521</f>
        <v>1000000</v>
      </c>
      <c r="M521" s="232"/>
    </row>
    <row r="522" spans="2:13" x14ac:dyDescent="0.35">
      <c r="B522" s="101"/>
      <c r="C522" s="73"/>
      <c r="D522" s="102" t="s">
        <v>49</v>
      </c>
      <c r="E522" s="79"/>
      <c r="F522" s="75" t="s">
        <v>202</v>
      </c>
      <c r="G522" s="75"/>
      <c r="H522" s="103">
        <v>7</v>
      </c>
      <c r="I522" s="76" t="s">
        <v>88</v>
      </c>
      <c r="J522" s="218">
        <v>250000</v>
      </c>
      <c r="K522" s="50"/>
      <c r="L522" s="46">
        <f>J522*H522</f>
        <v>1750000</v>
      </c>
      <c r="M522" s="232"/>
    </row>
    <row r="523" spans="2:13" x14ac:dyDescent="0.35">
      <c r="B523" s="101" t="s">
        <v>94</v>
      </c>
      <c r="C523" s="73"/>
      <c r="D523" s="102"/>
      <c r="E523" s="79" t="s">
        <v>95</v>
      </c>
      <c r="F523" s="75"/>
      <c r="G523" s="75"/>
      <c r="H523" s="103"/>
      <c r="I523" s="76"/>
      <c r="J523" s="218"/>
      <c r="K523" s="50"/>
      <c r="L523" s="52"/>
      <c r="M523" s="232"/>
    </row>
    <row r="524" spans="2:13" x14ac:dyDescent="0.35">
      <c r="B524" s="101"/>
      <c r="C524" s="73"/>
      <c r="D524" s="102" t="s">
        <v>44</v>
      </c>
      <c r="E524" s="79"/>
      <c r="F524" s="75" t="s">
        <v>203</v>
      </c>
      <c r="G524" s="75"/>
      <c r="H524" s="103">
        <v>2</v>
      </c>
      <c r="I524" s="76" t="s">
        <v>166</v>
      </c>
      <c r="J524" s="218">
        <v>12000000</v>
      </c>
      <c r="K524" s="50">
        <f t="shared" ref="K524" si="50">J524*H524</f>
        <v>24000000</v>
      </c>
      <c r="L524" s="52"/>
      <c r="M524" s="232"/>
    </row>
    <row r="525" spans="2:13" x14ac:dyDescent="0.35">
      <c r="B525" s="101" t="s">
        <v>107</v>
      </c>
      <c r="C525" s="73"/>
      <c r="D525" s="102"/>
      <c r="E525" s="79" t="s">
        <v>204</v>
      </c>
      <c r="F525" s="75"/>
      <c r="G525" s="75"/>
      <c r="H525" s="103"/>
      <c r="I525" s="76"/>
      <c r="J525" s="218"/>
      <c r="K525" s="54"/>
      <c r="L525" s="46"/>
      <c r="M525" s="232"/>
    </row>
    <row r="526" spans="2:13" x14ac:dyDescent="0.35">
      <c r="B526" s="131"/>
      <c r="C526" s="132"/>
      <c r="D526" s="126" t="s">
        <v>44</v>
      </c>
      <c r="E526" s="92"/>
      <c r="F526" s="125" t="s">
        <v>205</v>
      </c>
      <c r="G526" s="97"/>
      <c r="H526" s="140"/>
      <c r="I526" s="97"/>
      <c r="J526" s="218"/>
      <c r="K526" s="54"/>
      <c r="L526" s="46"/>
      <c r="M526" s="232"/>
    </row>
    <row r="527" spans="2:13" x14ac:dyDescent="0.35">
      <c r="B527" s="101"/>
      <c r="C527" s="192"/>
      <c r="D527" s="193"/>
      <c r="E527" s="79"/>
      <c r="F527" s="84" t="s">
        <v>89</v>
      </c>
      <c r="G527" s="75" t="s">
        <v>378</v>
      </c>
      <c r="H527" s="103">
        <v>2</v>
      </c>
      <c r="I527" s="76" t="s">
        <v>131</v>
      </c>
      <c r="J527" s="219">
        <v>3500000</v>
      </c>
      <c r="K527" s="110"/>
      <c r="L527" s="46">
        <f>J527*H527</f>
        <v>7000000</v>
      </c>
      <c r="M527" s="232"/>
    </row>
    <row r="528" spans="2:13" x14ac:dyDescent="0.35">
      <c r="B528" s="101"/>
      <c r="C528" s="73"/>
      <c r="D528" s="102"/>
      <c r="E528" s="79"/>
      <c r="F528" s="75" t="s">
        <v>89</v>
      </c>
      <c r="G528" s="75" t="s">
        <v>379</v>
      </c>
      <c r="H528" s="103">
        <v>2</v>
      </c>
      <c r="I528" s="76" t="s">
        <v>131</v>
      </c>
      <c r="J528" s="219">
        <v>2000000</v>
      </c>
      <c r="K528" s="110"/>
      <c r="L528" s="46">
        <f>J528*H528</f>
        <v>4000000</v>
      </c>
      <c r="M528" s="232"/>
    </row>
    <row r="529" spans="2:13" x14ac:dyDescent="0.35">
      <c r="B529" s="101"/>
      <c r="C529" s="73"/>
      <c r="D529" s="102"/>
      <c r="E529" s="79"/>
      <c r="F529" s="75" t="s">
        <v>89</v>
      </c>
      <c r="G529" s="75" t="s">
        <v>380</v>
      </c>
      <c r="H529" s="103">
        <v>2</v>
      </c>
      <c r="I529" s="76" t="s">
        <v>131</v>
      </c>
      <c r="J529" s="219">
        <v>1500000</v>
      </c>
      <c r="K529" s="110"/>
      <c r="L529" s="46">
        <f>J529*H529</f>
        <v>3000000</v>
      </c>
      <c r="M529" s="232"/>
    </row>
    <row r="530" spans="2:13" x14ac:dyDescent="0.35">
      <c r="B530" s="55"/>
      <c r="E530" s="55"/>
      <c r="G530" s="22"/>
      <c r="J530" s="219"/>
      <c r="K530" s="110"/>
      <c r="L530" s="22"/>
      <c r="M530" s="232"/>
    </row>
    <row r="531" spans="2:13" x14ac:dyDescent="0.35">
      <c r="B531" s="55"/>
      <c r="E531" s="55"/>
      <c r="G531" s="22"/>
      <c r="J531" s="219"/>
      <c r="K531" s="110"/>
      <c r="L531" s="22"/>
      <c r="M531" s="232"/>
    </row>
    <row r="532" spans="2:13" x14ac:dyDescent="0.35">
      <c r="B532" s="55"/>
      <c r="E532" s="55"/>
      <c r="G532" s="22"/>
      <c r="J532" s="219"/>
      <c r="K532" s="110"/>
      <c r="L532" s="22"/>
      <c r="M532" s="232"/>
    </row>
    <row r="533" spans="2:13" x14ac:dyDescent="0.35">
      <c r="B533" s="47"/>
      <c r="C533" s="48"/>
      <c r="D533" s="25"/>
      <c r="E533" s="108"/>
      <c r="F533" s="2"/>
      <c r="G533" s="21"/>
      <c r="I533" s="22"/>
      <c r="J533" s="218"/>
      <c r="K533" s="29"/>
      <c r="L533" s="52"/>
      <c r="M533" s="232"/>
    </row>
    <row r="534" spans="2:13" x14ac:dyDescent="0.35">
      <c r="B534" s="8"/>
      <c r="C534" s="9"/>
      <c r="D534" s="10"/>
      <c r="E534" s="4"/>
      <c r="F534" s="4"/>
      <c r="G534" s="4"/>
      <c r="H534" s="1"/>
      <c r="I534" s="1"/>
      <c r="J534" s="11" t="s">
        <v>8</v>
      </c>
      <c r="K534" s="7">
        <f>SUM(K482:K533)</f>
        <v>58650000</v>
      </c>
      <c r="L534" s="7">
        <f>SUM(L482:L533)</f>
        <v>53000000</v>
      </c>
      <c r="M534" s="232"/>
    </row>
    <row r="535" spans="2:13" x14ac:dyDescent="0.35">
      <c r="B535" s="8"/>
      <c r="C535" s="9"/>
      <c r="D535" s="9"/>
      <c r="E535" s="4"/>
      <c r="F535" s="4"/>
      <c r="G535" s="4"/>
      <c r="H535" s="1"/>
      <c r="I535" s="1"/>
      <c r="J535" s="11"/>
      <c r="K535" s="35" t="s">
        <v>22</v>
      </c>
      <c r="L535" s="36" t="s">
        <v>23</v>
      </c>
      <c r="M535" s="232"/>
    </row>
    <row r="536" spans="2:13" x14ac:dyDescent="0.35">
      <c r="B536" s="3" t="s">
        <v>9</v>
      </c>
      <c r="C536" s="4"/>
      <c r="D536" s="4"/>
      <c r="E536" s="4"/>
      <c r="F536" s="4"/>
      <c r="G536" s="4"/>
      <c r="H536" s="1"/>
      <c r="I536" s="1"/>
      <c r="J536" s="12"/>
      <c r="K536" s="12"/>
      <c r="L536" s="13"/>
      <c r="M536" s="232"/>
    </row>
    <row r="537" spans="2:13" x14ac:dyDescent="0.35">
      <c r="B537" s="37"/>
      <c r="C537" s="1"/>
      <c r="D537" s="1"/>
      <c r="E537" s="38"/>
      <c r="F537" s="38"/>
      <c r="G537" s="38"/>
      <c r="H537" s="1"/>
      <c r="I537" s="1"/>
      <c r="J537" s="1"/>
      <c r="K537" s="1"/>
      <c r="L537" s="19"/>
      <c r="M537" s="232"/>
    </row>
    <row r="538" spans="2:13" x14ac:dyDescent="0.35">
      <c r="B538" s="28" t="s">
        <v>6</v>
      </c>
      <c r="C538" s="27"/>
      <c r="D538" s="27"/>
      <c r="E538" s="26"/>
      <c r="F538" s="26"/>
      <c r="G538" s="5"/>
      <c r="K538" s="246" t="s">
        <v>216</v>
      </c>
      <c r="L538" s="247"/>
      <c r="M538" s="232"/>
    </row>
    <row r="539" spans="2:13" x14ac:dyDescent="0.35">
      <c r="B539" s="28">
        <v>1</v>
      </c>
      <c r="C539" s="27"/>
      <c r="D539" s="27"/>
      <c r="E539" s="26" t="s">
        <v>7</v>
      </c>
      <c r="F539" s="26"/>
      <c r="G539" s="5"/>
      <c r="K539" s="246" t="s">
        <v>28</v>
      </c>
      <c r="L539" s="247"/>
      <c r="M539" s="232"/>
    </row>
    <row r="540" spans="2:13" x14ac:dyDescent="0.35">
      <c r="B540" s="39"/>
      <c r="C540" s="27"/>
      <c r="D540" s="27"/>
      <c r="E540" s="26"/>
      <c r="F540" s="26"/>
      <c r="G540" s="5"/>
      <c r="J540" s="25"/>
      <c r="K540" s="25"/>
      <c r="L540" s="24"/>
      <c r="M540" s="232"/>
    </row>
    <row r="541" spans="2:13" x14ac:dyDescent="0.35">
      <c r="B541" s="28"/>
      <c r="C541" s="27"/>
      <c r="D541" s="27"/>
      <c r="E541" s="26"/>
      <c r="F541" s="26"/>
      <c r="G541" s="5"/>
      <c r="L541" s="22"/>
      <c r="M541" s="232"/>
    </row>
    <row r="542" spans="2:13" x14ac:dyDescent="0.35">
      <c r="B542" s="45"/>
      <c r="E542" s="5"/>
      <c r="F542" s="5"/>
      <c r="G542" s="5"/>
      <c r="L542" s="22"/>
      <c r="M542" s="232"/>
    </row>
    <row r="543" spans="2:13" x14ac:dyDescent="0.35">
      <c r="B543" s="45"/>
      <c r="E543" s="5"/>
      <c r="F543" s="5"/>
      <c r="G543" s="5"/>
      <c r="L543" s="22"/>
      <c r="M543" s="232"/>
    </row>
    <row r="544" spans="2:13" x14ac:dyDescent="0.35">
      <c r="B544" s="45"/>
      <c r="E544" s="5"/>
      <c r="F544" s="5"/>
      <c r="G544" s="5"/>
      <c r="L544" s="22"/>
      <c r="M544" s="232"/>
    </row>
    <row r="545" spans="2:13" x14ac:dyDescent="0.35">
      <c r="B545" s="45"/>
      <c r="E545" s="5"/>
      <c r="F545" s="5"/>
      <c r="G545" s="5"/>
      <c r="J545" s="40"/>
      <c r="K545" s="248" t="s">
        <v>36</v>
      </c>
      <c r="L545" s="249"/>
      <c r="M545" s="232"/>
    </row>
    <row r="546" spans="2:13" x14ac:dyDescent="0.35">
      <c r="B546" s="45"/>
      <c r="K546" s="250" t="s">
        <v>37</v>
      </c>
      <c r="L546" s="251"/>
      <c r="M546" s="232"/>
    </row>
    <row r="547" spans="2:13" x14ac:dyDescent="0.35">
      <c r="B547" s="243"/>
      <c r="C547" s="244"/>
      <c r="D547" s="244"/>
      <c r="E547" s="41"/>
      <c r="F547" s="41"/>
      <c r="G547" s="41"/>
      <c r="H547" s="2"/>
      <c r="I547" s="2"/>
      <c r="J547" s="2"/>
      <c r="K547" s="2"/>
      <c r="L547" s="21"/>
      <c r="M547" s="232"/>
    </row>
    <row r="548" spans="2:13" x14ac:dyDescent="0.35">
      <c r="B548" s="228"/>
      <c r="C548" s="229"/>
      <c r="D548" s="49"/>
      <c r="G548" s="22"/>
      <c r="H548" s="1"/>
      <c r="I548" s="1"/>
      <c r="J548" s="216"/>
      <c r="K548" s="30"/>
      <c r="L548" s="44"/>
      <c r="M548" s="232"/>
    </row>
    <row r="549" spans="2:13" x14ac:dyDescent="0.35">
      <c r="B549" s="101" t="s">
        <v>114</v>
      </c>
      <c r="C549" s="73"/>
      <c r="D549" s="102"/>
      <c r="E549" s="79" t="s">
        <v>117</v>
      </c>
      <c r="F549" s="75"/>
      <c r="G549" s="75"/>
      <c r="H549" s="103"/>
      <c r="I549" s="76"/>
      <c r="J549" s="217"/>
      <c r="K549" s="52"/>
      <c r="L549" s="46"/>
      <c r="M549" s="232"/>
    </row>
    <row r="550" spans="2:13" x14ac:dyDescent="0.35">
      <c r="B550" s="101"/>
      <c r="C550" s="73" t="s">
        <v>206</v>
      </c>
      <c r="D550" s="102"/>
      <c r="E550" s="79"/>
      <c r="F550" s="75" t="s">
        <v>148</v>
      </c>
      <c r="G550" s="75"/>
      <c r="H550" s="103"/>
      <c r="I550" s="76"/>
      <c r="J550" s="218"/>
      <c r="K550" s="54"/>
      <c r="L550" s="46"/>
      <c r="M550" s="232"/>
    </row>
    <row r="551" spans="2:13" x14ac:dyDescent="0.35">
      <c r="B551" s="101"/>
      <c r="C551" s="73"/>
      <c r="D551" s="102" t="s">
        <v>44</v>
      </c>
      <c r="E551" s="79"/>
      <c r="F551" s="75" t="s">
        <v>208</v>
      </c>
      <c r="G551" s="75"/>
      <c r="H551" s="103">
        <v>7</v>
      </c>
      <c r="I551" s="76" t="s">
        <v>139</v>
      </c>
      <c r="J551" s="218">
        <v>170000</v>
      </c>
      <c r="K551" s="50">
        <f t="shared" ref="K551" si="51">J551*H551</f>
        <v>1190000</v>
      </c>
      <c r="L551" s="46"/>
      <c r="M551" s="232"/>
    </row>
    <row r="552" spans="2:13" x14ac:dyDescent="0.35">
      <c r="B552" s="101"/>
      <c r="C552" s="73"/>
      <c r="D552" s="102"/>
      <c r="E552" s="79"/>
      <c r="F552" s="75" t="s">
        <v>89</v>
      </c>
      <c r="G552" s="75" t="s">
        <v>232</v>
      </c>
      <c r="H552" s="103">
        <v>130</v>
      </c>
      <c r="I552" s="76" t="s">
        <v>140</v>
      </c>
      <c r="J552" s="218">
        <v>421</v>
      </c>
      <c r="K552" s="54"/>
      <c r="L552" s="46">
        <f>J552*H552</f>
        <v>54730</v>
      </c>
      <c r="M552" s="232"/>
    </row>
    <row r="553" spans="2:13" x14ac:dyDescent="0.35">
      <c r="B553" s="101"/>
      <c r="C553" s="73"/>
      <c r="D553" s="102"/>
      <c r="E553" s="79"/>
      <c r="F553" s="75" t="s">
        <v>89</v>
      </c>
      <c r="G553" s="75" t="s">
        <v>381</v>
      </c>
      <c r="H553" s="103">
        <v>100</v>
      </c>
      <c r="I553" s="76" t="s">
        <v>140</v>
      </c>
      <c r="J553" s="218">
        <v>433</v>
      </c>
      <c r="K553" s="54"/>
      <c r="L553" s="46">
        <f>J553*H553</f>
        <v>43300</v>
      </c>
      <c r="M553" s="232"/>
    </row>
    <row r="554" spans="2:13" x14ac:dyDescent="0.35">
      <c r="B554" s="101"/>
      <c r="C554" s="73"/>
      <c r="D554" s="102"/>
      <c r="E554" s="79"/>
      <c r="F554" s="75" t="s">
        <v>89</v>
      </c>
      <c r="G554" s="75" t="s">
        <v>233</v>
      </c>
      <c r="H554" s="103">
        <v>3</v>
      </c>
      <c r="I554" s="76" t="s">
        <v>131</v>
      </c>
      <c r="J554" s="218">
        <v>140000</v>
      </c>
      <c r="K554" s="54"/>
      <c r="L554" s="46">
        <f>J554*H554</f>
        <v>420000</v>
      </c>
      <c r="M554" s="232"/>
    </row>
    <row r="555" spans="2:13" x14ac:dyDescent="0.35">
      <c r="B555" s="101"/>
      <c r="C555" s="73"/>
      <c r="D555" s="102"/>
      <c r="E555" s="79"/>
      <c r="F555" s="75" t="s">
        <v>89</v>
      </c>
      <c r="G555" s="75" t="s">
        <v>382</v>
      </c>
      <c r="H555" s="185">
        <v>80</v>
      </c>
      <c r="I555" s="76" t="s">
        <v>140</v>
      </c>
      <c r="J555" s="218">
        <v>283</v>
      </c>
      <c r="K555" s="54"/>
      <c r="L555" s="46">
        <f>J555*H555</f>
        <v>22640</v>
      </c>
      <c r="M555" s="232"/>
    </row>
    <row r="556" spans="2:13" x14ac:dyDescent="0.35">
      <c r="B556" s="101"/>
      <c r="C556" s="73"/>
      <c r="D556" s="102"/>
      <c r="E556" s="79"/>
      <c r="F556" s="75" t="s">
        <v>89</v>
      </c>
      <c r="G556" s="75" t="s">
        <v>272</v>
      </c>
      <c r="H556" s="103">
        <v>2</v>
      </c>
      <c r="I556" s="76" t="s">
        <v>88</v>
      </c>
      <c r="J556" s="218">
        <v>130000</v>
      </c>
      <c r="K556" s="54"/>
      <c r="L556" s="46">
        <f>J556*H556</f>
        <v>260000</v>
      </c>
      <c r="M556" s="232"/>
    </row>
    <row r="557" spans="2:13" x14ac:dyDescent="0.35">
      <c r="B557" s="101"/>
      <c r="C557" s="73" t="s">
        <v>207</v>
      </c>
      <c r="D557" s="102"/>
      <c r="E557" s="79"/>
      <c r="F557" s="75" t="s">
        <v>150</v>
      </c>
      <c r="G557" s="75"/>
      <c r="H557" s="103"/>
      <c r="I557" s="76"/>
      <c r="J557" s="218"/>
      <c r="K557" s="54"/>
      <c r="L557" s="46"/>
      <c r="M557" s="232"/>
    </row>
    <row r="558" spans="2:13" x14ac:dyDescent="0.35">
      <c r="B558" s="101"/>
      <c r="C558" s="73"/>
      <c r="D558" s="102" t="s">
        <v>44</v>
      </c>
      <c r="E558" s="79"/>
      <c r="F558" s="75" t="s">
        <v>209</v>
      </c>
      <c r="G558" s="75"/>
      <c r="H558" s="185">
        <v>7</v>
      </c>
      <c r="I558" s="76" t="s">
        <v>139</v>
      </c>
      <c r="J558" s="218">
        <v>170000</v>
      </c>
      <c r="K558" s="50">
        <f t="shared" ref="K558" si="52">J558*H558</f>
        <v>1190000</v>
      </c>
      <c r="L558" s="46"/>
      <c r="M558" s="232"/>
    </row>
    <row r="559" spans="2:13" x14ac:dyDescent="0.35">
      <c r="B559" s="101"/>
      <c r="C559" s="73"/>
      <c r="D559" s="102"/>
      <c r="E559" s="79"/>
      <c r="F559" s="75" t="s">
        <v>89</v>
      </c>
      <c r="G559" s="75" t="s">
        <v>232</v>
      </c>
      <c r="H559" s="103">
        <v>150</v>
      </c>
      <c r="I559" s="76" t="s">
        <v>140</v>
      </c>
      <c r="J559" s="218">
        <v>421</v>
      </c>
      <c r="K559" s="54"/>
      <c r="L559" s="46">
        <f>J559*H559</f>
        <v>63150</v>
      </c>
      <c r="M559" s="232"/>
    </row>
    <row r="560" spans="2:13" x14ac:dyDescent="0.35">
      <c r="B560" s="101"/>
      <c r="C560" s="73"/>
      <c r="D560" s="102"/>
      <c r="E560" s="79"/>
      <c r="F560" s="75" t="s">
        <v>89</v>
      </c>
      <c r="G560" s="75" t="s">
        <v>381</v>
      </c>
      <c r="H560" s="103">
        <v>100</v>
      </c>
      <c r="I560" s="76" t="s">
        <v>140</v>
      </c>
      <c r="J560" s="218">
        <v>433</v>
      </c>
      <c r="K560" s="54"/>
      <c r="L560" s="46">
        <f>J560*H560</f>
        <v>43300</v>
      </c>
      <c r="M560" s="232"/>
    </row>
    <row r="561" spans="2:13" x14ac:dyDescent="0.35">
      <c r="B561" s="101"/>
      <c r="C561" s="73"/>
      <c r="D561" s="102"/>
      <c r="E561" s="79"/>
      <c r="F561" s="75" t="s">
        <v>89</v>
      </c>
      <c r="G561" s="75" t="s">
        <v>233</v>
      </c>
      <c r="H561" s="103">
        <v>3</v>
      </c>
      <c r="I561" s="76" t="s">
        <v>131</v>
      </c>
      <c r="J561" s="218">
        <v>140000</v>
      </c>
      <c r="K561" s="54"/>
      <c r="L561" s="46">
        <f>J561*H561</f>
        <v>420000</v>
      </c>
      <c r="M561" s="232"/>
    </row>
    <row r="562" spans="2:13" x14ac:dyDescent="0.35">
      <c r="B562" s="101"/>
      <c r="C562" s="73"/>
      <c r="D562" s="102"/>
      <c r="E562" s="79"/>
      <c r="F562" s="75" t="s">
        <v>89</v>
      </c>
      <c r="G562" s="75" t="s">
        <v>382</v>
      </c>
      <c r="H562" s="103">
        <v>90</v>
      </c>
      <c r="I562" s="76" t="s">
        <v>140</v>
      </c>
      <c r="J562" s="218">
        <v>283</v>
      </c>
      <c r="K562" s="54"/>
      <c r="L562" s="46">
        <f>J562*H562</f>
        <v>25470</v>
      </c>
      <c r="M562" s="232"/>
    </row>
    <row r="563" spans="2:13" x14ac:dyDescent="0.35">
      <c r="B563" s="101"/>
      <c r="C563" s="73"/>
      <c r="D563" s="102"/>
      <c r="E563" s="79"/>
      <c r="F563" s="75" t="s">
        <v>89</v>
      </c>
      <c r="G563" s="75" t="s">
        <v>272</v>
      </c>
      <c r="H563" s="103">
        <v>2</v>
      </c>
      <c r="I563" s="76" t="s">
        <v>88</v>
      </c>
      <c r="J563" s="218">
        <v>130000</v>
      </c>
      <c r="K563" s="54"/>
      <c r="L563" s="46">
        <f>J563*H563</f>
        <v>260000</v>
      </c>
      <c r="M563" s="232"/>
    </row>
    <row r="564" spans="2:13" x14ac:dyDescent="0.35">
      <c r="B564" s="186"/>
      <c r="C564" s="173"/>
      <c r="D564" s="187"/>
      <c r="E564" s="175"/>
      <c r="F564" s="176"/>
      <c r="G564" s="176"/>
      <c r="H564" s="188"/>
      <c r="I564" s="189"/>
      <c r="J564" s="218"/>
      <c r="K564" s="54"/>
      <c r="L564" s="46"/>
      <c r="M564" s="232"/>
    </row>
    <row r="565" spans="2:13" x14ac:dyDescent="0.35">
      <c r="B565" s="99"/>
      <c r="C565" s="100"/>
      <c r="D565" s="194"/>
      <c r="E565" s="119"/>
      <c r="F565" s="121"/>
      <c r="G565" s="122"/>
      <c r="H565" s="183"/>
      <c r="I565" s="122"/>
      <c r="J565" s="218"/>
      <c r="K565" s="54"/>
      <c r="L565" s="46"/>
      <c r="M565" s="232"/>
    </row>
    <row r="566" spans="2:13" s="210" customFormat="1" x14ac:dyDescent="0.35">
      <c r="B566" s="230"/>
      <c r="C566" s="231"/>
      <c r="D566" s="213"/>
      <c r="E566" s="195"/>
      <c r="F566" s="195" t="s">
        <v>384</v>
      </c>
      <c r="G566" s="214"/>
      <c r="H566" s="215"/>
      <c r="I566" s="214"/>
      <c r="J566" s="218"/>
      <c r="K566" s="211"/>
      <c r="L566" s="212"/>
      <c r="M566" s="233"/>
    </row>
    <row r="567" spans="2:13" x14ac:dyDescent="0.35">
      <c r="B567" s="99" t="s">
        <v>43</v>
      </c>
      <c r="C567" s="100"/>
      <c r="D567" s="194"/>
      <c r="E567" s="119" t="s">
        <v>181</v>
      </c>
      <c r="F567" s="121"/>
      <c r="G567" s="122"/>
      <c r="H567" s="183"/>
      <c r="I567" s="122"/>
      <c r="J567" s="218"/>
      <c r="K567" s="54"/>
      <c r="L567" s="46"/>
      <c r="M567" s="232"/>
    </row>
    <row r="568" spans="2:13" x14ac:dyDescent="0.35">
      <c r="B568" s="94"/>
      <c r="C568" s="91"/>
      <c r="D568" s="196" t="s">
        <v>44</v>
      </c>
      <c r="E568" s="92"/>
      <c r="F568" s="125" t="s">
        <v>394</v>
      </c>
      <c r="G568" s="97"/>
      <c r="H568" s="82">
        <v>2</v>
      </c>
      <c r="I568" s="97" t="s">
        <v>166</v>
      </c>
      <c r="J568" s="218">
        <v>2200000</v>
      </c>
      <c r="K568" s="50">
        <f t="shared" ref="K568" si="53">J568*H568</f>
        <v>4400000</v>
      </c>
      <c r="L568" s="46"/>
      <c r="M568" s="232"/>
    </row>
    <row r="569" spans="2:13" x14ac:dyDescent="0.35">
      <c r="B569" s="94"/>
      <c r="C569" s="91"/>
      <c r="D569" s="196"/>
      <c r="E569" s="92"/>
      <c r="F569" s="125"/>
      <c r="G569" s="97" t="s">
        <v>385</v>
      </c>
      <c r="H569" s="95">
        <v>32</v>
      </c>
      <c r="I569" s="98" t="s">
        <v>131</v>
      </c>
      <c r="J569" s="218"/>
      <c r="K569" s="54"/>
      <c r="L569" s="46"/>
      <c r="M569" s="232"/>
    </row>
    <row r="570" spans="2:13" x14ac:dyDescent="0.35">
      <c r="B570" s="94"/>
      <c r="C570" s="91"/>
      <c r="D570" s="196"/>
      <c r="E570" s="92"/>
      <c r="F570" s="125"/>
      <c r="G570" s="97" t="s">
        <v>386</v>
      </c>
      <c r="H570" s="95">
        <v>1</v>
      </c>
      <c r="I570" s="98" t="s">
        <v>131</v>
      </c>
      <c r="J570" s="218"/>
      <c r="K570" s="54"/>
      <c r="L570" s="46"/>
      <c r="M570" s="232"/>
    </row>
    <row r="571" spans="2:13" x14ac:dyDescent="0.35">
      <c r="B571" s="94"/>
      <c r="C571" s="91"/>
      <c r="D571" s="196"/>
      <c r="E571" s="92"/>
      <c r="F571" s="125"/>
      <c r="G571" s="97" t="s">
        <v>387</v>
      </c>
      <c r="H571" s="95">
        <v>6</v>
      </c>
      <c r="I571" s="98" t="s">
        <v>131</v>
      </c>
      <c r="J571" s="218"/>
      <c r="K571" s="54"/>
      <c r="L571" s="46"/>
      <c r="M571" s="232"/>
    </row>
    <row r="572" spans="2:13" x14ac:dyDescent="0.35">
      <c r="B572" s="94"/>
      <c r="C572" s="91"/>
      <c r="D572" s="196"/>
      <c r="E572" s="92"/>
      <c r="F572" s="125" t="s">
        <v>89</v>
      </c>
      <c r="G572" s="97" t="s">
        <v>388</v>
      </c>
      <c r="H572" s="95">
        <v>2</v>
      </c>
      <c r="I572" s="98" t="s">
        <v>131</v>
      </c>
      <c r="J572" s="218"/>
      <c r="K572" s="54"/>
      <c r="L572" s="46"/>
      <c r="M572" s="232"/>
    </row>
    <row r="573" spans="2:13" x14ac:dyDescent="0.35">
      <c r="B573" s="94"/>
      <c r="C573" s="91"/>
      <c r="D573" s="196" t="s">
        <v>47</v>
      </c>
      <c r="E573" s="92"/>
      <c r="F573" s="125" t="s">
        <v>185</v>
      </c>
      <c r="G573" s="97"/>
      <c r="H573" s="82">
        <v>2</v>
      </c>
      <c r="I573" s="97" t="s">
        <v>166</v>
      </c>
      <c r="J573" s="218">
        <v>900000</v>
      </c>
      <c r="K573" s="50">
        <f t="shared" ref="K573" si="54">J573*H573</f>
        <v>1800000</v>
      </c>
      <c r="L573" s="46"/>
      <c r="M573" s="232"/>
    </row>
    <row r="574" spans="2:13" x14ac:dyDescent="0.35">
      <c r="B574" s="94"/>
      <c r="C574" s="91"/>
      <c r="D574" s="196"/>
      <c r="E574" s="92"/>
      <c r="F574" s="125" t="s">
        <v>89</v>
      </c>
      <c r="G574" s="97" t="s">
        <v>211</v>
      </c>
      <c r="H574" s="95">
        <v>2</v>
      </c>
      <c r="I574" s="98" t="s">
        <v>131</v>
      </c>
      <c r="J574" s="218"/>
      <c r="K574" s="54"/>
      <c r="L574" s="46"/>
      <c r="M574" s="232"/>
    </row>
    <row r="575" spans="2:13" x14ac:dyDescent="0.35">
      <c r="B575" s="179"/>
      <c r="C575" s="180"/>
      <c r="D575" s="197"/>
      <c r="E575" s="182"/>
      <c r="F575" s="198"/>
      <c r="G575" s="199"/>
      <c r="H575" s="200"/>
      <c r="I575" s="199"/>
      <c r="J575" s="218"/>
      <c r="K575" s="54"/>
      <c r="L575" s="46"/>
      <c r="M575" s="232"/>
    </row>
    <row r="576" spans="2:13" x14ac:dyDescent="0.35">
      <c r="B576" s="99"/>
      <c r="C576" s="100"/>
      <c r="D576" s="194"/>
      <c r="E576" s="119"/>
      <c r="F576" s="121"/>
      <c r="G576" s="122"/>
      <c r="H576" s="183"/>
      <c r="I576" s="122"/>
      <c r="J576" s="218"/>
      <c r="K576" s="54"/>
      <c r="L576" s="46"/>
      <c r="M576" s="232"/>
    </row>
    <row r="577" spans="2:13" s="210" customFormat="1" x14ac:dyDescent="0.35">
      <c r="B577" s="230"/>
      <c r="C577" s="231"/>
      <c r="D577" s="213"/>
      <c r="E577" s="195"/>
      <c r="F577" s="195" t="s">
        <v>212</v>
      </c>
      <c r="G577" s="214"/>
      <c r="H577" s="215"/>
      <c r="I577" s="214"/>
      <c r="J577" s="218"/>
      <c r="K577" s="211"/>
      <c r="L577" s="212"/>
      <c r="M577" s="233"/>
    </row>
    <row r="578" spans="2:13" x14ac:dyDescent="0.35">
      <c r="B578" s="99" t="s">
        <v>43</v>
      </c>
      <c r="C578" s="100"/>
      <c r="D578" s="194"/>
      <c r="E578" s="119" t="s">
        <v>18</v>
      </c>
      <c r="F578" s="121"/>
      <c r="G578" s="122"/>
      <c r="H578" s="183"/>
      <c r="I578" s="122"/>
      <c r="J578" s="218"/>
      <c r="K578" s="54"/>
      <c r="L578" s="46"/>
      <c r="M578" s="232"/>
    </row>
    <row r="579" spans="2:13" x14ac:dyDescent="0.35">
      <c r="B579" s="99"/>
      <c r="C579" s="100" t="s">
        <v>137</v>
      </c>
      <c r="D579" s="194"/>
      <c r="E579" s="119"/>
      <c r="F579" s="121" t="s">
        <v>213</v>
      </c>
      <c r="G579" s="122"/>
      <c r="H579" s="183"/>
      <c r="I579" s="122"/>
      <c r="J579" s="218"/>
      <c r="K579" s="54"/>
      <c r="L579" s="46"/>
      <c r="M579" s="232"/>
    </row>
    <row r="580" spans="2:13" x14ac:dyDescent="0.35">
      <c r="B580" s="99"/>
      <c r="C580" s="100"/>
      <c r="D580" s="194" t="s">
        <v>44</v>
      </c>
      <c r="E580" s="119"/>
      <c r="F580" s="121" t="s">
        <v>214</v>
      </c>
      <c r="G580" s="122"/>
      <c r="H580" s="201"/>
      <c r="I580" s="122"/>
      <c r="J580" s="218"/>
      <c r="K580" s="52"/>
      <c r="L580" s="46"/>
      <c r="M580" s="232"/>
    </row>
    <row r="581" spans="2:13" x14ac:dyDescent="0.35">
      <c r="B581" s="99"/>
      <c r="C581" s="117"/>
      <c r="D581" s="202"/>
      <c r="E581" s="119"/>
      <c r="F581" s="119" t="s">
        <v>89</v>
      </c>
      <c r="G581" s="122" t="s">
        <v>215</v>
      </c>
      <c r="H581" s="201">
        <v>1</v>
      </c>
      <c r="I581" s="122" t="s">
        <v>131</v>
      </c>
      <c r="J581" s="218">
        <v>7500000</v>
      </c>
      <c r="K581" s="54"/>
      <c r="L581" s="46">
        <f>J581*H581</f>
        <v>7500000</v>
      </c>
      <c r="M581" s="232"/>
    </row>
    <row r="582" spans="2:13" x14ac:dyDescent="0.35">
      <c r="B582" s="99"/>
      <c r="C582" s="100"/>
      <c r="D582" s="194" t="s">
        <v>47</v>
      </c>
      <c r="E582" s="119"/>
      <c r="F582" s="121" t="s">
        <v>389</v>
      </c>
      <c r="G582" s="122"/>
      <c r="H582" s="201">
        <v>1</v>
      </c>
      <c r="I582" s="122" t="s">
        <v>46</v>
      </c>
      <c r="J582" s="218">
        <v>1500000</v>
      </c>
      <c r="K582" s="50">
        <f t="shared" ref="K582" si="55">J582*H582</f>
        <v>1500000</v>
      </c>
      <c r="L582" s="46"/>
      <c r="M582" s="232"/>
    </row>
    <row r="583" spans="2:13" x14ac:dyDescent="0.35">
      <c r="B583" s="57"/>
      <c r="C583" s="58"/>
      <c r="D583" s="59"/>
      <c r="E583" s="60"/>
      <c r="F583" s="60"/>
      <c r="G583" s="61"/>
      <c r="H583" s="62"/>
      <c r="I583" s="61"/>
      <c r="J583" s="218"/>
      <c r="K583" s="54"/>
      <c r="L583" s="46"/>
      <c r="M583" s="232"/>
    </row>
    <row r="584" spans="2:13" x14ac:dyDescent="0.35">
      <c r="B584" s="63"/>
      <c r="C584" s="58"/>
      <c r="D584" s="59"/>
      <c r="E584" s="64"/>
      <c r="F584" s="60"/>
      <c r="G584" s="61"/>
      <c r="H584" s="56"/>
      <c r="I584" s="109"/>
      <c r="J584" s="218"/>
      <c r="K584" s="50"/>
      <c r="L584" s="52"/>
      <c r="M584" s="232"/>
    </row>
    <row r="585" spans="2:13" x14ac:dyDescent="0.35">
      <c r="B585" s="57"/>
      <c r="C585" s="58"/>
      <c r="D585" s="59"/>
      <c r="E585" s="60"/>
      <c r="F585" s="65"/>
      <c r="G585" s="61"/>
      <c r="H585" s="60"/>
      <c r="I585" s="60"/>
      <c r="J585" s="218"/>
      <c r="K585" s="50"/>
      <c r="L585" s="52"/>
      <c r="M585" s="232"/>
    </row>
    <row r="586" spans="2:13" x14ac:dyDescent="0.35">
      <c r="B586" s="57"/>
      <c r="C586" s="58"/>
      <c r="D586" s="58"/>
      <c r="E586" s="62"/>
      <c r="F586" s="60"/>
      <c r="G586" s="61"/>
      <c r="H586" s="60"/>
      <c r="I586" s="60"/>
      <c r="J586" s="218"/>
      <c r="K586" s="50"/>
      <c r="L586" s="52"/>
      <c r="M586" s="232"/>
    </row>
    <row r="587" spans="2:13" x14ac:dyDescent="0.35">
      <c r="B587" s="57"/>
      <c r="C587" s="58"/>
      <c r="D587" s="59"/>
      <c r="E587" s="60"/>
      <c r="F587" s="60"/>
      <c r="G587" s="61"/>
      <c r="H587" s="62"/>
      <c r="I587" s="61"/>
      <c r="J587" s="218"/>
      <c r="K587" s="54"/>
      <c r="L587" s="46"/>
      <c r="M587" s="232"/>
    </row>
    <row r="588" spans="2:13" x14ac:dyDescent="0.35">
      <c r="B588" s="66"/>
      <c r="C588" s="58"/>
      <c r="D588" s="59"/>
      <c r="E588" s="64"/>
      <c r="F588" s="60"/>
      <c r="G588" s="61"/>
      <c r="H588" s="62"/>
      <c r="I588" s="61"/>
      <c r="J588" s="218"/>
      <c r="K588" s="54"/>
      <c r="L588" s="46"/>
      <c r="M588" s="232"/>
    </row>
    <row r="589" spans="2:13" x14ac:dyDescent="0.35">
      <c r="B589" s="55"/>
      <c r="E589" s="55"/>
      <c r="G589" s="22"/>
      <c r="J589" s="219"/>
      <c r="K589" s="110"/>
      <c r="L589" s="22"/>
      <c r="M589" s="232"/>
    </row>
    <row r="590" spans="2:13" x14ac:dyDescent="0.35">
      <c r="B590" s="55"/>
      <c r="E590" s="55"/>
      <c r="G590" s="22"/>
      <c r="J590" s="219"/>
      <c r="K590" s="110"/>
      <c r="L590" s="22"/>
      <c r="M590" s="232"/>
    </row>
    <row r="591" spans="2:13" x14ac:dyDescent="0.35">
      <c r="B591" s="55"/>
      <c r="E591" s="55"/>
      <c r="G591" s="22"/>
      <c r="J591" s="219"/>
      <c r="K591" s="110"/>
      <c r="L591" s="22"/>
      <c r="M591" s="232"/>
    </row>
    <row r="592" spans="2:13" x14ac:dyDescent="0.35">
      <c r="B592" s="55"/>
      <c r="E592" s="55"/>
      <c r="G592" s="22"/>
      <c r="J592" s="219"/>
      <c r="K592" s="110"/>
      <c r="L592" s="22"/>
      <c r="M592" s="232"/>
    </row>
    <row r="593" spans="2:13" x14ac:dyDescent="0.35">
      <c r="B593" s="55"/>
      <c r="E593" s="55"/>
      <c r="G593" s="22"/>
      <c r="J593" s="219"/>
      <c r="K593" s="110"/>
      <c r="L593" s="22"/>
      <c r="M593" s="232"/>
    </row>
    <row r="594" spans="2:13" x14ac:dyDescent="0.35">
      <c r="B594" s="47"/>
      <c r="C594" s="48"/>
      <c r="D594" s="25"/>
      <c r="E594" s="108"/>
      <c r="F594" s="2"/>
      <c r="G594" s="21"/>
      <c r="I594" s="22"/>
      <c r="J594" s="218"/>
      <c r="K594" s="115"/>
      <c r="L594" s="116"/>
      <c r="M594" s="232"/>
    </row>
    <row r="595" spans="2:13" x14ac:dyDescent="0.35">
      <c r="B595" s="8"/>
      <c r="C595" s="9"/>
      <c r="D595" s="10"/>
      <c r="E595" s="4"/>
      <c r="F595" s="4"/>
      <c r="G595" s="4"/>
      <c r="H595" s="1"/>
      <c r="I595" s="1"/>
      <c r="J595" s="11" t="s">
        <v>8</v>
      </c>
      <c r="K595" s="7">
        <f>SUM(K548:K594)</f>
        <v>10080000</v>
      </c>
      <c r="L595" s="7">
        <f>SUM(L548:L594)</f>
        <v>9112590</v>
      </c>
      <c r="M595" s="232"/>
    </row>
    <row r="596" spans="2:13" x14ac:dyDescent="0.35">
      <c r="B596" s="8"/>
      <c r="C596" s="9"/>
      <c r="D596" s="9"/>
      <c r="E596" s="4"/>
      <c r="F596" s="4"/>
      <c r="G596" s="4"/>
      <c r="H596" s="1"/>
      <c r="I596" s="1"/>
      <c r="J596" s="11"/>
      <c r="K596" s="53">
        <f>SUM(K595,K534,K468,K402,K336,K270,K204,K138,K72)</f>
        <v>676591300</v>
      </c>
      <c r="L596" s="53">
        <f>SUM(L595,L534,L468,L402,L336,L270,L204,L138,L72)</f>
        <v>153628496.43599999</v>
      </c>
      <c r="M596" s="232">
        <f>SUM(K596:L596)</f>
        <v>830219796.43599999</v>
      </c>
    </row>
    <row r="597" spans="2:13" x14ac:dyDescent="0.35">
      <c r="B597" s="8"/>
      <c r="C597" s="9"/>
      <c r="D597" s="9"/>
      <c r="E597" s="4"/>
      <c r="F597" s="4"/>
      <c r="G597" s="4"/>
      <c r="H597" s="1"/>
      <c r="I597" s="1"/>
      <c r="J597" s="11"/>
      <c r="K597" s="35" t="s">
        <v>22</v>
      </c>
      <c r="L597" s="36" t="s">
        <v>23</v>
      </c>
      <c r="M597" s="232"/>
    </row>
    <row r="598" spans="2:13" x14ac:dyDescent="0.35">
      <c r="B598" s="3" t="s">
        <v>9</v>
      </c>
      <c r="C598" s="4"/>
      <c r="D598" s="4"/>
      <c r="E598" s="4"/>
      <c r="F598" s="4"/>
      <c r="G598" s="4"/>
      <c r="H598" s="1"/>
      <c r="I598" s="1"/>
      <c r="J598" s="12"/>
      <c r="K598" s="12"/>
      <c r="L598" s="13"/>
      <c r="M598" s="232"/>
    </row>
    <row r="599" spans="2:13" x14ac:dyDescent="0.35">
      <c r="B599" s="37"/>
      <c r="C599" s="1"/>
      <c r="D599" s="1"/>
      <c r="E599" s="38"/>
      <c r="F599" s="38"/>
      <c r="G599" s="38"/>
      <c r="H599" s="1"/>
      <c r="I599" s="1"/>
      <c r="J599" s="1"/>
      <c r="K599" s="1"/>
      <c r="L599" s="19"/>
      <c r="M599" s="232"/>
    </row>
    <row r="600" spans="2:13" x14ac:dyDescent="0.35">
      <c r="B600" s="28" t="s">
        <v>6</v>
      </c>
      <c r="C600" s="27"/>
      <c r="D600" s="27"/>
      <c r="E600" s="26"/>
      <c r="F600" s="26"/>
      <c r="G600" s="5"/>
      <c r="K600" s="246" t="s">
        <v>216</v>
      </c>
      <c r="L600" s="247"/>
      <c r="M600" s="232"/>
    </row>
    <row r="601" spans="2:13" x14ac:dyDescent="0.35">
      <c r="B601" s="28">
        <v>1</v>
      </c>
      <c r="C601" s="27"/>
      <c r="D601" s="27"/>
      <c r="E601" s="26" t="s">
        <v>7</v>
      </c>
      <c r="F601" s="26"/>
      <c r="G601" s="5"/>
      <c r="K601" s="246" t="s">
        <v>28</v>
      </c>
      <c r="L601" s="247"/>
      <c r="M601" s="232"/>
    </row>
    <row r="602" spans="2:13" x14ac:dyDescent="0.35">
      <c r="B602" s="39"/>
      <c r="C602" s="27"/>
      <c r="D602" s="27"/>
      <c r="E602" s="26"/>
      <c r="F602" s="26"/>
      <c r="G602" s="5"/>
      <c r="J602" s="25"/>
      <c r="K602" s="25"/>
      <c r="L602" s="24"/>
      <c r="M602" s="232"/>
    </row>
    <row r="603" spans="2:13" x14ac:dyDescent="0.35">
      <c r="B603" s="28"/>
      <c r="C603" s="27"/>
      <c r="D603" s="27"/>
      <c r="E603" s="26"/>
      <c r="F603" s="26"/>
      <c r="G603" s="5"/>
      <c r="L603" s="22"/>
      <c r="M603" s="232"/>
    </row>
    <row r="604" spans="2:13" x14ac:dyDescent="0.35">
      <c r="B604" s="45"/>
      <c r="E604" s="5"/>
      <c r="F604" s="5"/>
      <c r="G604" s="5"/>
      <c r="L604" s="22"/>
      <c r="M604" s="232"/>
    </row>
    <row r="605" spans="2:13" x14ac:dyDescent="0.35">
      <c r="B605" s="45"/>
      <c r="E605" s="5"/>
      <c r="F605" s="5"/>
      <c r="G605" s="5"/>
      <c r="L605" s="22"/>
      <c r="M605" s="232"/>
    </row>
    <row r="606" spans="2:13" x14ac:dyDescent="0.35">
      <c r="B606" s="45"/>
      <c r="E606" s="5"/>
      <c r="F606" s="5"/>
      <c r="G606" s="5"/>
      <c r="L606" s="22"/>
    </row>
    <row r="607" spans="2:13" x14ac:dyDescent="0.35">
      <c r="B607" s="45"/>
      <c r="E607" s="5"/>
      <c r="F607" s="5"/>
      <c r="G607" s="5"/>
      <c r="J607" s="40"/>
      <c r="K607" s="248" t="s">
        <v>36</v>
      </c>
      <c r="L607" s="249"/>
    </row>
    <row r="608" spans="2:13" x14ac:dyDescent="0.35">
      <c r="B608" s="45"/>
      <c r="K608" s="250" t="s">
        <v>37</v>
      </c>
      <c r="L608" s="251"/>
    </row>
    <row r="609" spans="2:12" x14ac:dyDescent="0.35">
      <c r="B609" s="243"/>
      <c r="C609" s="244"/>
      <c r="D609" s="244"/>
      <c r="E609" s="41"/>
      <c r="F609" s="41"/>
      <c r="G609" s="41"/>
      <c r="H609" s="2"/>
      <c r="I609" s="2"/>
      <c r="J609" s="2"/>
      <c r="K609" s="2"/>
      <c r="L609" s="21"/>
    </row>
  </sheetData>
  <mergeCells count="53">
    <mergeCell ref="K607:L607"/>
    <mergeCell ref="K608:L608"/>
    <mergeCell ref="B609:D609"/>
    <mergeCell ref="K149:L149"/>
    <mergeCell ref="K150:L150"/>
    <mergeCell ref="B151:D151"/>
    <mergeCell ref="K600:L600"/>
    <mergeCell ref="K601:L601"/>
    <mergeCell ref="B547:D547"/>
    <mergeCell ref="K414:L414"/>
    <mergeCell ref="B415:D415"/>
    <mergeCell ref="K472:L472"/>
    <mergeCell ref="K473:L473"/>
    <mergeCell ref="K479:L479"/>
    <mergeCell ref="K480:L480"/>
    <mergeCell ref="B481:D481"/>
    <mergeCell ref="K538:L538"/>
    <mergeCell ref="K539:L539"/>
    <mergeCell ref="K545:L545"/>
    <mergeCell ref="K546:L546"/>
    <mergeCell ref="K413:L413"/>
    <mergeCell ref="K275:L275"/>
    <mergeCell ref="K281:L281"/>
    <mergeCell ref="K282:L282"/>
    <mergeCell ref="B283:D283"/>
    <mergeCell ref="K340:L340"/>
    <mergeCell ref="K341:L341"/>
    <mergeCell ref="K347:L347"/>
    <mergeCell ref="K348:L348"/>
    <mergeCell ref="B349:D349"/>
    <mergeCell ref="K406:L406"/>
    <mergeCell ref="K407:L407"/>
    <mergeCell ref="K274:L274"/>
    <mergeCell ref="B85:D85"/>
    <mergeCell ref="L18:L19"/>
    <mergeCell ref="N21:O21"/>
    <mergeCell ref="K76:L76"/>
    <mergeCell ref="K77:L77"/>
    <mergeCell ref="K83:L83"/>
    <mergeCell ref="K84:L84"/>
    <mergeCell ref="K18:K19"/>
    <mergeCell ref="K208:L208"/>
    <mergeCell ref="K209:L209"/>
    <mergeCell ref="K215:L215"/>
    <mergeCell ref="K216:L216"/>
    <mergeCell ref="B217:D217"/>
    <mergeCell ref="K142:L142"/>
    <mergeCell ref="K143:L143"/>
    <mergeCell ref="F15:G15"/>
    <mergeCell ref="B18:D19"/>
    <mergeCell ref="E18:G19"/>
    <mergeCell ref="H18:I19"/>
    <mergeCell ref="J18:J19"/>
  </mergeCells>
  <conditionalFormatting sqref="B102">
    <cfRule type="expression" dxfId="8" priority="9">
      <formula>ISTEXT($E102)=TRUE</formula>
    </cfRule>
  </conditionalFormatting>
  <conditionalFormatting sqref="B102:I102">
    <cfRule type="expression" dxfId="7" priority="7">
      <formula>AND((ISTEXT($F102)=TRUE),(ISTEXT($B102)=FALSE),(ISTEXT($C102)=FALSE),(ISTEXT($D102)=FALSE),(ISTEXT($G102)=FALSE))</formula>
    </cfRule>
  </conditionalFormatting>
  <conditionalFormatting sqref="E60">
    <cfRule type="expression" dxfId="6" priority="1">
      <formula>AND((ISBLANK($B60)=FALSE),(ISBLANK($E60)=FALSE))</formula>
    </cfRule>
  </conditionalFormatting>
  <conditionalFormatting sqref="E87 E91:E93 E97">
    <cfRule type="expression" dxfId="5" priority="11">
      <formula>AND((ISBLANK($B87)=FALSE),(ISBLANK($E87)=FALSE))</formula>
    </cfRule>
  </conditionalFormatting>
  <conditionalFormatting sqref="E102">
    <cfRule type="expression" dxfId="4" priority="10">
      <formula>ISTEXT($B102)=TRUE</formula>
    </cfRule>
  </conditionalFormatting>
  <conditionalFormatting sqref="E393">
    <cfRule type="expression" dxfId="3" priority="6">
      <formula>AND((ISBLANK($B393)=FALSE),(ISBLANK($E393)=FALSE))</formula>
    </cfRule>
  </conditionalFormatting>
  <conditionalFormatting sqref="E452:E455 E462:E466">
    <cfRule type="expression" dxfId="2" priority="5">
      <formula>AND((ISBLANK($B452)=FALSE),(ISBLANK($E452)=FALSE))</formula>
    </cfRule>
  </conditionalFormatting>
  <conditionalFormatting sqref="E483:E485">
    <cfRule type="expression" dxfId="1" priority="4">
      <formula>AND((ISBLANK($B483)=FALSE),(ISBLANK($E483)=FALSE))</formula>
    </cfRule>
  </conditionalFormatting>
  <conditionalFormatting sqref="F102">
    <cfRule type="expression" dxfId="0" priority="8">
      <formula>AND((ISTEXT($B102)=FALSE),(ISTEXT($C102)=FALSE),(ISTEXT($D102)=FALSE),(ISTEXT($G102)=FALSE))</formula>
    </cfRule>
  </conditionalFormatting>
  <printOptions horizontalCentered="1"/>
  <pageMargins left="0.80870078740157503" right="0.39370078740157499" top="0.39370078740157499" bottom="0.39370078740157499" header="0.31496062992126" footer="0.31496062992126"/>
  <pageSetup scale="55" fitToHeight="0" orientation="portrait" r:id="rId1"/>
  <headerFooter>
    <oddFooter>&amp;LMKT-FM-002/Rev.01/18 Des 15/&amp;K00B050Green&amp;RPage &amp;P of &amp;N</oddFooter>
  </headerFooter>
  <rowBreaks count="8" manualBreakCount="8">
    <brk id="85" min="1" max="11" man="1"/>
    <brk id="151" min="1" max="11" man="1"/>
    <brk id="217" min="1" max="11" man="1"/>
    <brk id="283" min="1" max="11" man="1"/>
    <brk id="349" min="1" max="11" man="1"/>
    <brk id="415" min="1" max="11" man="1"/>
    <brk id="481" min="1" max="11" man="1"/>
    <brk id="547" min="1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Rincian Biaya rev.01</vt:lpstr>
      <vt:lpstr>'Rincian Biaya rev.01'!Print_Area</vt:lpstr>
      <vt:lpstr>'Rincian Biaya rev.01'!Print_Titles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wimba prambada</dc:creator>
  <cp:lastModifiedBy>sigit hartono</cp:lastModifiedBy>
  <cp:lastPrinted>2025-03-04T01:19:02Z</cp:lastPrinted>
  <dcterms:created xsi:type="dcterms:W3CDTF">2015-07-30T04:54:41Z</dcterms:created>
  <dcterms:modified xsi:type="dcterms:W3CDTF">2025-12-23T07:42:22Z</dcterms:modified>
</cp:coreProperties>
</file>