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426"/>
  <workbookPr showInkAnnotation="0" codeName="ThisWorkbook" autoCompressPictures="0"/>
  <mc:AlternateContent xmlns:mc="http://schemas.openxmlformats.org/markup-compatibility/2006">
    <mc:Choice Requires="x15">
      <x15ac:absPath xmlns:x15ac="http://schemas.microsoft.com/office/spreadsheetml/2010/11/ac" url="H:\Shared drives\HO-A.1 MANAGEMENT REPRESENTATIF\TUGAS\MARKETING JUAN\"/>
    </mc:Choice>
  </mc:AlternateContent>
  <xr:revisionPtr revIDLastSave="0" documentId="13_ncr:1_{A176C734-C05D-4B04-9B4A-0490D126054E}" xr6:coauthVersionLast="47" xr6:coauthVersionMax="47" xr10:uidLastSave="{00000000-0000-0000-0000-000000000000}"/>
  <bookViews>
    <workbookView xWindow="-110" yWindow="-110" windowWidth="19420" windowHeight="10300" tabRatio="500" xr2:uid="{00000000-000D-0000-FFFF-FFFF00000000}"/>
  </bookViews>
  <sheets>
    <sheet name="Rincian Biaya rev.02" sheetId="44" r:id="rId1"/>
  </sheets>
  <definedNames>
    <definedName name="_xlnm.Print_Area" localSheetId="0">'Rincian Biaya rev.02'!$B$2:$L$2297</definedName>
    <definedName name="_xlnm.Print_Titles" localSheetId="0">'Rincian Biaya rev.02'!$2:$19</definedName>
  </definedNames>
  <calcPr calcId="191029"/>
  <fileRecoveryPr autoRecover="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K2283" i="44" l="1"/>
  <c r="L2283" i="44"/>
  <c r="H2262" i="44"/>
  <c r="L2262" i="44" s="1"/>
  <c r="H2261" i="44"/>
  <c r="L2261" i="44" s="1"/>
  <c r="H2260" i="44"/>
  <c r="L2260" i="44" s="1"/>
  <c r="H2258" i="44"/>
  <c r="L2258" i="44" s="1"/>
  <c r="H2257" i="44"/>
  <c r="L2257" i="44" s="1"/>
  <c r="H2256" i="44"/>
  <c r="L2256" i="44" s="1"/>
  <c r="H2254" i="44"/>
  <c r="L2254" i="44" s="1"/>
  <c r="H2253" i="44"/>
  <c r="L2253" i="44" s="1"/>
  <c r="H2252" i="44"/>
  <c r="L2252" i="44" s="1"/>
  <c r="H2250" i="44"/>
  <c r="L2250" i="44" s="1"/>
  <c r="H2249" i="44"/>
  <c r="L2249" i="44" s="1"/>
  <c r="H2248" i="44"/>
  <c r="L2248" i="44" s="1"/>
  <c r="H2246" i="44"/>
  <c r="L2246" i="44" s="1"/>
  <c r="H2245" i="44"/>
  <c r="L2245" i="44" s="1"/>
  <c r="H2244" i="44"/>
  <c r="L2244" i="44" s="1"/>
  <c r="H2242" i="44"/>
  <c r="L2242" i="44" s="1"/>
  <c r="H2241" i="44"/>
  <c r="L2241" i="44" s="1"/>
  <c r="H2240" i="44"/>
  <c r="L2240" i="44" s="1"/>
  <c r="H2266" i="44"/>
  <c r="L2266" i="44" s="1"/>
  <c r="H2265" i="44"/>
  <c r="L2265" i="44" s="1"/>
  <c r="K2236" i="44"/>
  <c r="H2275" i="44"/>
  <c r="L2275" i="44" s="1"/>
  <c r="H2274" i="44"/>
  <c r="K2270" i="44"/>
  <c r="K2269" i="44"/>
  <c r="K2268" i="44"/>
  <c r="K2234" i="44"/>
  <c r="K2233" i="44"/>
  <c r="K2232" i="44"/>
  <c r="K2217" i="44"/>
  <c r="L2215" i="44"/>
  <c r="L2203" i="44"/>
  <c r="L2194" i="44"/>
  <c r="L2190" i="44"/>
  <c r="L2188" i="44"/>
  <c r="L2186" i="44"/>
  <c r="L2184" i="44"/>
  <c r="L2182" i="44"/>
  <c r="L2180" i="44"/>
  <c r="L2178" i="44"/>
  <c r="L2176" i="44"/>
  <c r="L2174" i="44"/>
  <c r="L2172" i="44"/>
  <c r="L2170" i="44"/>
  <c r="L2168" i="44"/>
  <c r="L2166" i="44"/>
  <c r="K2150" i="44"/>
  <c r="L2147" i="44"/>
  <c r="L2145" i="44"/>
  <c r="L2143" i="44"/>
  <c r="L2141" i="44"/>
  <c r="L2139" i="44"/>
  <c r="L2137" i="44"/>
  <c r="L2135" i="44"/>
  <c r="L2133" i="44"/>
  <c r="L2131" i="44"/>
  <c r="L2129" i="44"/>
  <c r="L2127" i="44"/>
  <c r="L2125" i="44"/>
  <c r="L2123" i="44"/>
  <c r="L2121" i="44"/>
  <c r="L2119" i="44"/>
  <c r="L2117" i="44"/>
  <c r="L2115" i="44"/>
  <c r="L2113" i="44"/>
  <c r="L2105" i="44"/>
  <c r="H2104" i="44"/>
  <c r="L2104" i="44" s="1"/>
  <c r="H2103" i="44"/>
  <c r="L2103" i="44" s="1"/>
  <c r="H2102" i="44"/>
  <c r="L2102" i="44" s="1"/>
  <c r="H2101" i="44"/>
  <c r="L2101" i="44" s="1"/>
  <c r="H2100" i="44"/>
  <c r="L2100" i="44" s="1"/>
  <c r="H2099" i="44"/>
  <c r="L2099" i="44" s="1"/>
  <c r="L2098" i="44"/>
  <c r="K2083" i="44"/>
  <c r="L2079" i="44"/>
  <c r="H2078" i="44"/>
  <c r="L2078" i="44" s="1"/>
  <c r="L2077" i="44"/>
  <c r="H2076" i="44"/>
  <c r="L2076" i="44" s="1"/>
  <c r="H2075" i="44"/>
  <c r="L2075" i="44" s="1"/>
  <c r="H2074" i="44"/>
  <c r="L2074" i="44" s="1"/>
  <c r="H2073" i="44"/>
  <c r="L2073" i="44" s="1"/>
  <c r="H2072" i="44"/>
  <c r="L2072" i="44" s="1"/>
  <c r="H2071" i="44"/>
  <c r="L2071" i="44" s="1"/>
  <c r="H2070" i="44"/>
  <c r="L2070" i="44" s="1"/>
  <c r="H2069" i="44"/>
  <c r="L2069" i="44" s="1"/>
  <c r="H2068" i="44"/>
  <c r="L2068" i="44" s="1"/>
  <c r="H2067" i="44"/>
  <c r="L2067" i="44" s="1"/>
  <c r="L2064" i="44"/>
  <c r="L2052" i="44"/>
  <c r="H2051" i="44"/>
  <c r="L2051" i="44" s="1"/>
  <c r="H2050" i="44"/>
  <c r="L2050" i="44" s="1"/>
  <c r="H2049" i="44"/>
  <c r="L2049" i="44" s="1"/>
  <c r="H2048" i="44"/>
  <c r="L2048" i="44" s="1"/>
  <c r="L2047" i="44"/>
  <c r="L2046" i="44"/>
  <c r="L2045" i="44"/>
  <c r="H2044" i="44"/>
  <c r="L2044" i="44" s="1"/>
  <c r="H2043" i="44"/>
  <c r="L2043" i="44" s="1"/>
  <c r="H2042" i="44"/>
  <c r="L2042" i="44" s="1"/>
  <c r="H2040" i="44"/>
  <c r="L2040" i="44" s="1"/>
  <c r="H2038" i="44"/>
  <c r="L2038" i="44" s="1"/>
  <c r="H2037" i="44"/>
  <c r="L2037" i="44" s="1"/>
  <c r="H2036" i="44"/>
  <c r="L2036" i="44" s="1"/>
  <c r="H2035" i="44"/>
  <c r="L2035" i="44" s="1"/>
  <c r="H2034" i="44"/>
  <c r="L2034" i="44" s="1"/>
  <c r="H2033" i="44"/>
  <c r="L2033" i="44" s="1"/>
  <c r="H2032" i="44"/>
  <c r="L2032" i="44" s="1"/>
  <c r="H2031" i="44"/>
  <c r="L2031" i="44" s="1"/>
  <c r="K2016" i="44"/>
  <c r="H2013" i="44"/>
  <c r="L2013" i="44" s="1"/>
  <c r="H2012" i="44"/>
  <c r="L2012" i="44" s="1"/>
  <c r="H2011" i="44"/>
  <c r="L2011" i="44" s="1"/>
  <c r="H2010" i="44"/>
  <c r="L2010" i="44" s="1"/>
  <c r="H2005" i="44"/>
  <c r="L2005" i="44" s="1"/>
  <c r="H2004" i="44"/>
  <c r="L2004" i="44" s="1"/>
  <c r="H2001" i="44"/>
  <c r="L2001" i="44" s="1"/>
  <c r="H1999" i="44"/>
  <c r="L1999" i="44" s="1"/>
  <c r="H1997" i="44"/>
  <c r="L1997" i="44" s="1"/>
  <c r="H1996" i="44"/>
  <c r="L1996" i="44" s="1"/>
  <c r="H1994" i="44"/>
  <c r="L1994" i="44" s="1"/>
  <c r="H1993" i="44"/>
  <c r="L1993" i="44" s="1"/>
  <c r="H1991" i="44"/>
  <c r="L1991" i="44" s="1"/>
  <c r="H1990" i="44"/>
  <c r="L1990" i="44" s="1"/>
  <c r="H1988" i="44"/>
  <c r="L1988" i="44" s="1"/>
  <c r="H1986" i="44"/>
  <c r="L1986" i="44" s="1"/>
  <c r="H1984" i="44"/>
  <c r="L1984" i="44" s="1"/>
  <c r="H1983" i="44"/>
  <c r="L1983" i="44" s="1"/>
  <c r="H1981" i="44"/>
  <c r="L1981" i="44" s="1"/>
  <c r="H1980" i="44"/>
  <c r="L1980" i="44" s="1"/>
  <c r="H1978" i="44"/>
  <c r="L1978" i="44" s="1"/>
  <c r="H1977" i="44"/>
  <c r="L1977" i="44" s="1"/>
  <c r="H1975" i="44"/>
  <c r="L1975" i="44" s="1"/>
  <c r="H1973" i="44"/>
  <c r="L1973" i="44" s="1"/>
  <c r="H1971" i="44"/>
  <c r="L1971" i="44" s="1"/>
  <c r="H1970" i="44"/>
  <c r="L1970" i="44" s="1"/>
  <c r="H1969" i="44"/>
  <c r="L1969" i="44" s="1"/>
  <c r="H1968" i="44"/>
  <c r="L1968" i="44" s="1"/>
  <c r="H1967" i="44"/>
  <c r="L1967" i="44" s="1"/>
  <c r="H1966" i="44"/>
  <c r="L1966" i="44" s="1"/>
  <c r="H1965" i="44"/>
  <c r="L1965" i="44" s="1"/>
  <c r="H1947" i="44"/>
  <c r="L1947" i="44" s="1"/>
  <c r="H1946" i="44"/>
  <c r="L1946" i="44" s="1"/>
  <c r="H1945" i="44"/>
  <c r="L1945" i="44" s="1"/>
  <c r="H1944" i="44"/>
  <c r="L1944" i="44" s="1"/>
  <c r="H1943" i="44"/>
  <c r="L1943" i="44" s="1"/>
  <c r="H1942" i="44"/>
  <c r="L1942" i="44" s="1"/>
  <c r="H1940" i="44"/>
  <c r="L1940" i="44" s="1"/>
  <c r="K1934" i="44"/>
  <c r="L1932" i="44"/>
  <c r="L1931" i="44"/>
  <c r="L1930" i="44"/>
  <c r="L1929" i="44"/>
  <c r="H1928" i="44"/>
  <c r="L1928" i="44" s="1"/>
  <c r="K1927" i="44"/>
  <c r="L1926" i="44"/>
  <c r="L1925" i="44"/>
  <c r="L1924" i="44"/>
  <c r="L1923" i="44"/>
  <c r="H1922" i="44"/>
  <c r="L1922" i="44" s="1"/>
  <c r="K1921" i="44"/>
  <c r="L1920" i="44"/>
  <c r="L1919" i="44"/>
  <c r="L1918" i="44"/>
  <c r="L1917" i="44"/>
  <c r="H1916" i="44"/>
  <c r="L1916" i="44" s="1"/>
  <c r="K1915" i="44"/>
  <c r="L1914" i="44"/>
  <c r="L1913" i="44"/>
  <c r="L1912" i="44"/>
  <c r="L1911" i="44"/>
  <c r="H1910" i="44"/>
  <c r="L1910" i="44" s="1"/>
  <c r="K1909" i="44"/>
  <c r="L1908" i="44"/>
  <c r="L1907" i="44"/>
  <c r="L1906" i="44"/>
  <c r="L1905" i="44"/>
  <c r="H1904" i="44"/>
  <c r="L1904" i="44" s="1"/>
  <c r="K1903" i="44"/>
  <c r="L1902" i="44"/>
  <c r="L1901" i="44"/>
  <c r="L1900" i="44"/>
  <c r="L1899" i="44"/>
  <c r="H1898" i="44"/>
  <c r="L1898" i="44" s="1"/>
  <c r="K1897" i="44"/>
  <c r="L1880" i="44"/>
  <c r="L1879" i="44"/>
  <c r="L1878" i="44"/>
  <c r="L1877" i="44"/>
  <c r="H1876" i="44"/>
  <c r="L1876" i="44" s="1"/>
  <c r="K1875" i="44"/>
  <c r="L1874" i="44"/>
  <c r="L1873" i="44"/>
  <c r="L1872" i="44"/>
  <c r="H1871" i="44"/>
  <c r="L1871" i="44" s="1"/>
  <c r="K1870" i="44"/>
  <c r="L1869" i="44"/>
  <c r="L1868" i="44"/>
  <c r="L1867" i="44"/>
  <c r="H1866" i="44"/>
  <c r="L1866" i="44" s="1"/>
  <c r="K1865" i="44"/>
  <c r="L1864" i="44"/>
  <c r="L1863" i="44"/>
  <c r="L1862" i="44"/>
  <c r="H1861" i="44"/>
  <c r="L1861" i="44" s="1"/>
  <c r="K1860" i="44"/>
  <c r="L1859" i="44"/>
  <c r="L1858" i="44"/>
  <c r="L1857" i="44"/>
  <c r="L1856" i="44"/>
  <c r="K1855" i="44"/>
  <c r="L1854" i="44"/>
  <c r="L1853" i="44"/>
  <c r="L1852" i="44"/>
  <c r="H1851" i="44"/>
  <c r="L1851" i="44" s="1"/>
  <c r="K1850" i="44"/>
  <c r="L1849" i="44"/>
  <c r="L1848" i="44"/>
  <c r="L1847" i="44"/>
  <c r="H1846" i="44"/>
  <c r="L1846" i="44" s="1"/>
  <c r="K1845" i="44"/>
  <c r="L1844" i="44"/>
  <c r="L1843" i="44"/>
  <c r="L1842" i="44"/>
  <c r="H1841" i="44"/>
  <c r="L1841" i="44" s="1"/>
  <c r="K1840" i="44"/>
  <c r="L1839" i="44"/>
  <c r="L1838" i="44"/>
  <c r="L1837" i="44"/>
  <c r="H1836" i="44"/>
  <c r="L1836" i="44" s="1"/>
  <c r="K1835" i="44"/>
  <c r="L1834" i="44"/>
  <c r="L1833" i="44"/>
  <c r="L1832" i="44"/>
  <c r="H1831" i="44"/>
  <c r="L1831" i="44" s="1"/>
  <c r="K1830" i="44"/>
  <c r="L1813" i="44"/>
  <c r="L1812" i="44"/>
  <c r="L1811" i="44"/>
  <c r="H1810" i="44"/>
  <c r="L1810" i="44" s="1"/>
  <c r="K1809" i="44"/>
  <c r="L1808" i="44"/>
  <c r="L1807" i="44"/>
  <c r="L1806" i="44"/>
  <c r="H1805" i="44"/>
  <c r="L1805" i="44" s="1"/>
  <c r="K1804" i="44"/>
  <c r="L1803" i="44"/>
  <c r="L1802" i="44"/>
  <c r="L1801" i="44"/>
  <c r="H1800" i="44"/>
  <c r="L1800" i="44" s="1"/>
  <c r="K1799" i="44"/>
  <c r="L1798" i="44"/>
  <c r="L1797" i="44"/>
  <c r="L1796" i="44"/>
  <c r="H1795" i="44"/>
  <c r="L1795" i="44" s="1"/>
  <c r="K1794" i="44"/>
  <c r="L1793" i="44"/>
  <c r="L1792" i="44"/>
  <c r="L1791" i="44"/>
  <c r="L1790" i="44"/>
  <c r="K1789" i="44"/>
  <c r="H1784" i="44"/>
  <c r="L1784" i="44" s="1"/>
  <c r="H1782" i="44"/>
  <c r="L1782" i="44" s="1"/>
  <c r="H1780" i="44"/>
  <c r="L1780" i="44" s="1"/>
  <c r="H1778" i="44"/>
  <c r="L1778" i="44" s="1"/>
  <c r="H1777" i="44"/>
  <c r="L1777" i="44" s="1"/>
  <c r="H1776" i="44"/>
  <c r="L1776" i="44" s="1"/>
  <c r="H1775" i="44"/>
  <c r="L1775" i="44" s="1"/>
  <c r="H1774" i="44"/>
  <c r="L1774" i="44" s="1"/>
  <c r="H1773" i="44"/>
  <c r="L1773" i="44" s="1"/>
  <c r="H1772" i="44"/>
  <c r="L1772" i="44" s="1"/>
  <c r="H1770" i="44"/>
  <c r="L1770" i="44" s="1"/>
  <c r="H1769" i="44"/>
  <c r="L1769" i="44" s="1"/>
  <c r="H1768" i="44"/>
  <c r="L1768" i="44" s="1"/>
  <c r="H1767" i="44"/>
  <c r="L1767" i="44" s="1"/>
  <c r="H1766" i="44"/>
  <c r="L1766" i="44" s="1"/>
  <c r="H1765" i="44"/>
  <c r="L1765" i="44" s="1"/>
  <c r="H1764" i="44"/>
  <c r="L1764" i="44" s="1"/>
  <c r="K1748" i="44"/>
  <c r="H1744" i="44"/>
  <c r="L1744" i="44" s="1"/>
  <c r="H1743" i="44"/>
  <c r="L1743" i="44" s="1"/>
  <c r="H1742" i="44"/>
  <c r="L1742" i="44" s="1"/>
  <c r="H1741" i="44"/>
  <c r="L1741" i="44" s="1"/>
  <c r="H1740" i="44"/>
  <c r="L1740" i="44" s="1"/>
  <c r="H1739" i="44"/>
  <c r="L1739" i="44" s="1"/>
  <c r="H1738" i="44"/>
  <c r="L1738" i="44" s="1"/>
  <c r="H1736" i="44"/>
  <c r="L1736" i="44" s="1"/>
  <c r="H1735" i="44"/>
  <c r="L1735" i="44" s="1"/>
  <c r="H1734" i="44"/>
  <c r="L1734" i="44" s="1"/>
  <c r="H1733" i="44"/>
  <c r="L1733" i="44" s="1"/>
  <c r="H1732" i="44"/>
  <c r="L1732" i="44" s="1"/>
  <c r="H1731" i="44"/>
  <c r="L1731" i="44" s="1"/>
  <c r="H1730" i="44"/>
  <c r="L1730" i="44" s="1"/>
  <c r="H1728" i="44"/>
  <c r="L1728" i="44" s="1"/>
  <c r="H1727" i="44"/>
  <c r="L1727" i="44" s="1"/>
  <c r="H1726" i="44"/>
  <c r="L1726" i="44" s="1"/>
  <c r="H1725" i="44"/>
  <c r="L1725" i="44" s="1"/>
  <c r="H1724" i="44"/>
  <c r="L1724" i="44" s="1"/>
  <c r="H1723" i="44"/>
  <c r="L1723" i="44" s="1"/>
  <c r="H1722" i="44"/>
  <c r="L1722" i="44" s="1"/>
  <c r="H1720" i="44"/>
  <c r="L1720" i="44" s="1"/>
  <c r="H1719" i="44"/>
  <c r="L1719" i="44" s="1"/>
  <c r="H1718" i="44"/>
  <c r="L1718" i="44" s="1"/>
  <c r="H1717" i="44"/>
  <c r="L1717" i="44" s="1"/>
  <c r="H1716" i="44"/>
  <c r="L1716" i="44" s="1"/>
  <c r="H1715" i="44"/>
  <c r="L1715" i="44" s="1"/>
  <c r="H1714" i="44"/>
  <c r="L1714" i="44" s="1"/>
  <c r="H1712" i="44"/>
  <c r="L1712" i="44" s="1"/>
  <c r="H1711" i="44"/>
  <c r="L1711" i="44" s="1"/>
  <c r="H1710" i="44"/>
  <c r="L1710" i="44" s="1"/>
  <c r="H1709" i="44"/>
  <c r="L1709" i="44" s="1"/>
  <c r="H1708" i="44"/>
  <c r="L1708" i="44" s="1"/>
  <c r="H1707" i="44"/>
  <c r="L1707" i="44" s="1"/>
  <c r="H1706" i="44"/>
  <c r="L1706" i="44" s="1"/>
  <c r="H1704" i="44"/>
  <c r="L1704" i="44" s="1"/>
  <c r="H1703" i="44"/>
  <c r="L1703" i="44" s="1"/>
  <c r="H1702" i="44"/>
  <c r="L1702" i="44" s="1"/>
  <c r="H1701" i="44"/>
  <c r="L1701" i="44" s="1"/>
  <c r="H1700" i="44"/>
  <c r="L1700" i="44" s="1"/>
  <c r="H1699" i="44"/>
  <c r="L1699" i="44" s="1"/>
  <c r="H1698" i="44"/>
  <c r="L1698" i="44" s="1"/>
  <c r="H1696" i="44"/>
  <c r="L1696" i="44" s="1"/>
  <c r="K1681" i="44"/>
  <c r="H1678" i="44"/>
  <c r="L1678" i="44" s="1"/>
  <c r="H1677" i="44"/>
  <c r="L1677" i="44" s="1"/>
  <c r="H1676" i="44"/>
  <c r="L1676" i="44" s="1"/>
  <c r="H1675" i="44"/>
  <c r="L1675" i="44" s="1"/>
  <c r="H1674" i="44"/>
  <c r="L1674" i="44" s="1"/>
  <c r="H1673" i="44"/>
  <c r="L1673" i="44" s="1"/>
  <c r="H1671" i="44"/>
  <c r="L1671" i="44" s="1"/>
  <c r="H1670" i="44"/>
  <c r="L1670" i="44" s="1"/>
  <c r="H1669" i="44"/>
  <c r="L1669" i="44" s="1"/>
  <c r="H1668" i="44"/>
  <c r="L1668" i="44" s="1"/>
  <c r="H1667" i="44"/>
  <c r="L1667" i="44" s="1"/>
  <c r="H1666" i="44"/>
  <c r="L1666" i="44" s="1"/>
  <c r="H1665" i="44"/>
  <c r="L1665" i="44" s="1"/>
  <c r="H1663" i="44"/>
  <c r="L1663" i="44" s="1"/>
  <c r="H1662" i="44"/>
  <c r="L1662" i="44" s="1"/>
  <c r="H1661" i="44"/>
  <c r="L1661" i="44" s="1"/>
  <c r="H1660" i="44"/>
  <c r="L1660" i="44" s="1"/>
  <c r="H1659" i="44"/>
  <c r="L1659" i="44" s="1"/>
  <c r="H1658" i="44"/>
  <c r="L1658" i="44" s="1"/>
  <c r="H1657" i="44"/>
  <c r="L1657" i="44" s="1"/>
  <c r="H1655" i="44"/>
  <c r="L1655" i="44" s="1"/>
  <c r="H1654" i="44"/>
  <c r="L1654" i="44" s="1"/>
  <c r="H1653" i="44"/>
  <c r="L1653" i="44" s="1"/>
  <c r="H1652" i="44"/>
  <c r="L1652" i="44" s="1"/>
  <c r="H1651" i="44"/>
  <c r="L1651" i="44" s="1"/>
  <c r="H1650" i="44"/>
  <c r="L1650" i="44" s="1"/>
  <c r="H1649" i="44"/>
  <c r="L1649" i="44" s="1"/>
  <c r="H1647" i="44"/>
  <c r="L1647" i="44" s="1"/>
  <c r="H1646" i="44"/>
  <c r="L1646" i="44" s="1"/>
  <c r="H1645" i="44"/>
  <c r="L1645" i="44" s="1"/>
  <c r="H1644" i="44"/>
  <c r="L1644" i="44" s="1"/>
  <c r="H1643" i="44"/>
  <c r="L1643" i="44" s="1"/>
  <c r="H1642" i="44"/>
  <c r="L1642" i="44" s="1"/>
  <c r="H1641" i="44"/>
  <c r="L1641" i="44" s="1"/>
  <c r="H1639" i="44"/>
  <c r="L1639" i="44" s="1"/>
  <c r="H1638" i="44"/>
  <c r="L1638" i="44" s="1"/>
  <c r="H1637" i="44"/>
  <c r="L1637" i="44" s="1"/>
  <c r="H1636" i="44"/>
  <c r="L1636" i="44" s="1"/>
  <c r="H1635" i="44"/>
  <c r="L1635" i="44" s="1"/>
  <c r="H1634" i="44"/>
  <c r="L1634" i="44" s="1"/>
  <c r="H1633" i="44"/>
  <c r="L1633" i="44" s="1"/>
  <c r="H1631" i="44"/>
  <c r="L1631" i="44" s="1"/>
  <c r="H1630" i="44"/>
  <c r="L1630" i="44" s="1"/>
  <c r="H1629" i="44"/>
  <c r="L1629" i="44" s="1"/>
  <c r="K1614" i="44"/>
  <c r="H1611" i="44"/>
  <c r="L1611" i="44" s="1"/>
  <c r="H1610" i="44"/>
  <c r="L1610" i="44" s="1"/>
  <c r="H1609" i="44"/>
  <c r="L1609" i="44" s="1"/>
  <c r="H1608" i="44"/>
  <c r="L1608" i="44" s="1"/>
  <c r="H1607" i="44"/>
  <c r="L1607" i="44" s="1"/>
  <c r="H1606" i="44"/>
  <c r="L1606" i="44" s="1"/>
  <c r="H1605" i="44"/>
  <c r="L1605" i="44" s="1"/>
  <c r="H1603" i="44"/>
  <c r="L1603" i="44" s="1"/>
  <c r="H1602" i="44"/>
  <c r="L1602" i="44" s="1"/>
  <c r="H1601" i="44"/>
  <c r="L1601" i="44" s="1"/>
  <c r="H1600" i="44"/>
  <c r="L1600" i="44" s="1"/>
  <c r="H1599" i="44"/>
  <c r="L1599" i="44" s="1"/>
  <c r="H1598" i="44"/>
  <c r="L1598" i="44" s="1"/>
  <c r="H1597" i="44"/>
  <c r="L1597" i="44" s="1"/>
  <c r="H1595" i="44"/>
  <c r="L1595" i="44" s="1"/>
  <c r="H1593" i="44"/>
  <c r="L1593" i="44" s="1"/>
  <c r="H1592" i="44"/>
  <c r="L1592" i="44" s="1"/>
  <c r="H1591" i="44"/>
  <c r="L1591" i="44" s="1"/>
  <c r="H1590" i="44"/>
  <c r="L1590" i="44" s="1"/>
  <c r="H1589" i="44"/>
  <c r="L1589" i="44" s="1"/>
  <c r="H1588" i="44"/>
  <c r="L1588" i="44" s="1"/>
  <c r="H1586" i="44"/>
  <c r="L1586" i="44" s="1"/>
  <c r="H1585" i="44"/>
  <c r="L1585" i="44" s="1"/>
  <c r="H1584" i="44"/>
  <c r="L1584" i="44" s="1"/>
  <c r="H1583" i="44"/>
  <c r="L1583" i="44" s="1"/>
  <c r="H1582" i="44"/>
  <c r="L1582" i="44" s="1"/>
  <c r="H1581" i="44"/>
  <c r="L1581" i="44" s="1"/>
  <c r="H1580" i="44"/>
  <c r="L1580" i="44" s="1"/>
  <c r="H1578" i="44"/>
  <c r="L1578" i="44" s="1"/>
  <c r="H1577" i="44"/>
  <c r="L1577" i="44" s="1"/>
  <c r="H1576" i="44"/>
  <c r="L1576" i="44" s="1"/>
  <c r="H1575" i="44"/>
  <c r="L1575" i="44" s="1"/>
  <c r="H1574" i="44"/>
  <c r="L1574" i="44" s="1"/>
  <c r="H1573" i="44"/>
  <c r="L1573" i="44" s="1"/>
  <c r="H1572" i="44"/>
  <c r="L1572" i="44" s="1"/>
  <c r="H1570" i="44"/>
  <c r="L1570" i="44" s="1"/>
  <c r="H1568" i="44"/>
  <c r="L1568" i="44" s="1"/>
  <c r="H1566" i="44"/>
  <c r="L1566" i="44" s="1"/>
  <c r="H1565" i="44"/>
  <c r="L1565" i="44" s="1"/>
  <c r="H1564" i="44"/>
  <c r="L1564" i="44" s="1"/>
  <c r="H1563" i="44"/>
  <c r="L1563" i="44" s="1"/>
  <c r="H1562" i="44"/>
  <c r="L1562" i="44" s="1"/>
  <c r="K1547" i="44"/>
  <c r="H1544" i="44"/>
  <c r="L1544" i="44" s="1"/>
  <c r="H1542" i="44"/>
  <c r="L1542" i="44" s="1"/>
  <c r="H1541" i="44"/>
  <c r="L1541" i="44" s="1"/>
  <c r="H1540" i="44"/>
  <c r="L1540" i="44" s="1"/>
  <c r="H1539" i="44"/>
  <c r="L1539" i="44" s="1"/>
  <c r="H1538" i="44"/>
  <c r="L1538" i="44" s="1"/>
  <c r="H1537" i="44"/>
  <c r="L1537" i="44" s="1"/>
  <c r="H1536" i="44"/>
  <c r="L1536" i="44" s="1"/>
  <c r="H1534" i="44"/>
  <c r="L1534" i="44" s="1"/>
  <c r="H1533" i="44"/>
  <c r="L1533" i="44" s="1"/>
  <c r="H1532" i="44"/>
  <c r="L1532" i="44" s="1"/>
  <c r="H1531" i="44"/>
  <c r="L1531" i="44" s="1"/>
  <c r="H1530" i="44"/>
  <c r="L1530" i="44" s="1"/>
  <c r="H1529" i="44"/>
  <c r="L1529" i="44" s="1"/>
  <c r="H1528" i="44"/>
  <c r="L1528" i="44" s="1"/>
  <c r="H1526" i="44"/>
  <c r="L1526" i="44" s="1"/>
  <c r="H1525" i="44"/>
  <c r="L1525" i="44" s="1"/>
  <c r="H1524" i="44"/>
  <c r="L1524" i="44" s="1"/>
  <c r="H1523" i="44"/>
  <c r="L1523" i="44" s="1"/>
  <c r="H1522" i="44"/>
  <c r="L1522" i="44" s="1"/>
  <c r="H1521" i="44"/>
  <c r="L1521" i="44" s="1"/>
  <c r="H1520" i="44"/>
  <c r="L1520" i="44" s="1"/>
  <c r="H1518" i="44"/>
  <c r="L1518" i="44" s="1"/>
  <c r="H1517" i="44"/>
  <c r="L1517" i="44" s="1"/>
  <c r="H1516" i="44"/>
  <c r="L1516" i="44" s="1"/>
  <c r="H1515" i="44"/>
  <c r="L1515" i="44" s="1"/>
  <c r="H1514" i="44"/>
  <c r="L1514" i="44" s="1"/>
  <c r="H1513" i="44"/>
  <c r="L1513" i="44" s="1"/>
  <c r="H1512" i="44"/>
  <c r="L1512" i="44" s="1"/>
  <c r="H1510" i="44"/>
  <c r="L1510" i="44" s="1"/>
  <c r="H1509" i="44"/>
  <c r="L1509" i="44" s="1"/>
  <c r="H1508" i="44"/>
  <c r="L1508" i="44" s="1"/>
  <c r="H1507" i="44"/>
  <c r="L1507" i="44" s="1"/>
  <c r="H1506" i="44"/>
  <c r="L1506" i="44" s="1"/>
  <c r="H1505" i="44"/>
  <c r="L1505" i="44" s="1"/>
  <c r="H1504" i="44"/>
  <c r="L1504" i="44" s="1"/>
  <c r="H1502" i="44"/>
  <c r="L1502" i="44" s="1"/>
  <c r="H1501" i="44"/>
  <c r="L1501" i="44" s="1"/>
  <c r="H1500" i="44"/>
  <c r="L1500" i="44" s="1"/>
  <c r="H1499" i="44"/>
  <c r="L1499" i="44" s="1"/>
  <c r="H1498" i="44"/>
  <c r="L1498" i="44" s="1"/>
  <c r="H1497" i="44"/>
  <c r="L1497" i="44" s="1"/>
  <c r="H1496" i="44"/>
  <c r="L1496" i="44" s="1"/>
  <c r="H1478" i="44"/>
  <c r="L1478" i="44" s="1"/>
  <c r="H1477" i="44"/>
  <c r="L1477" i="44" s="1"/>
  <c r="H1476" i="44"/>
  <c r="L1476" i="44" s="1"/>
  <c r="H1475" i="44"/>
  <c r="L1475" i="44" s="1"/>
  <c r="H1474" i="44"/>
  <c r="L1474" i="44" s="1"/>
  <c r="H1473" i="44"/>
  <c r="L1473" i="44" s="1"/>
  <c r="H1472" i="44"/>
  <c r="L1472" i="44" s="1"/>
  <c r="H1470" i="44"/>
  <c r="L1470" i="44" s="1"/>
  <c r="H1469" i="44"/>
  <c r="L1469" i="44" s="1"/>
  <c r="H1468" i="44"/>
  <c r="L1468" i="44" s="1"/>
  <c r="H1467" i="44"/>
  <c r="L1467" i="44" s="1"/>
  <c r="H1466" i="44"/>
  <c r="L1466" i="44" s="1"/>
  <c r="H1465" i="44"/>
  <c r="L1465" i="44" s="1"/>
  <c r="H1464" i="44"/>
  <c r="L1464" i="44" s="1"/>
  <c r="K1458" i="44"/>
  <c r="L1454" i="44"/>
  <c r="L1446" i="44"/>
  <c r="K1443" i="44"/>
  <c r="K1441" i="44"/>
  <c r="K1439" i="44"/>
  <c r="K1437" i="44"/>
  <c r="K1435" i="44"/>
  <c r="K1433" i="44"/>
  <c r="K1431" i="44"/>
  <c r="K1429" i="44"/>
  <c r="K1409" i="44"/>
  <c r="K1407" i="44"/>
  <c r="K1405" i="44"/>
  <c r="K1403" i="44"/>
  <c r="K1401" i="44"/>
  <c r="K1399" i="44"/>
  <c r="K1397" i="44"/>
  <c r="K1395" i="44"/>
  <c r="K1393" i="44"/>
  <c r="K1391" i="44"/>
  <c r="K1389" i="44"/>
  <c r="K1387" i="44"/>
  <c r="K1385" i="44"/>
  <c r="K1383" i="44"/>
  <c r="K1381" i="44"/>
  <c r="K1379" i="44"/>
  <c r="K1377" i="44"/>
  <c r="K1375" i="44"/>
  <c r="K1373" i="44"/>
  <c r="H1369" i="44"/>
  <c r="L1369" i="44" s="1"/>
  <c r="H1367" i="44"/>
  <c r="L1367" i="44" s="1"/>
  <c r="H1365" i="44"/>
  <c r="L1365" i="44" s="1"/>
  <c r="K1343" i="44"/>
  <c r="K1346" i="44" s="1"/>
  <c r="L1339" i="44"/>
  <c r="L1336" i="44"/>
  <c r="L1331" i="44"/>
  <c r="L1324" i="44"/>
  <c r="L1319" i="44"/>
  <c r="L1315" i="44"/>
  <c r="L1311" i="44"/>
  <c r="H1308" i="44"/>
  <c r="L1308" i="44" s="1"/>
  <c r="H1307" i="44"/>
  <c r="L1307" i="44" s="1"/>
  <c r="H1305" i="44"/>
  <c r="L1305" i="44" s="1"/>
  <c r="H1304" i="44"/>
  <c r="L1304" i="44" s="1"/>
  <c r="H1303" i="44"/>
  <c r="L1303" i="44" s="1"/>
  <c r="H1302" i="44"/>
  <c r="L1302" i="44" s="1"/>
  <c r="H1300" i="44"/>
  <c r="L1300" i="44" s="1"/>
  <c r="H1299" i="44"/>
  <c r="L1299" i="44" s="1"/>
  <c r="H1298" i="44"/>
  <c r="L1298" i="44" s="1"/>
  <c r="H1297" i="44"/>
  <c r="L1297" i="44" s="1"/>
  <c r="H1295" i="44"/>
  <c r="L1295" i="44" s="1"/>
  <c r="K1279" i="44"/>
  <c r="H1277" i="44"/>
  <c r="L1277" i="44" s="1"/>
  <c r="H1275" i="44"/>
  <c r="L1275" i="44" s="1"/>
  <c r="H1274" i="44"/>
  <c r="L1274" i="44" s="1"/>
  <c r="H1273" i="44"/>
  <c r="L1273" i="44" s="1"/>
  <c r="H1272" i="44"/>
  <c r="L1272" i="44" s="1"/>
  <c r="H1271" i="44"/>
  <c r="L1271" i="44" s="1"/>
  <c r="H1270" i="44"/>
  <c r="L1270" i="44" s="1"/>
  <c r="H1269" i="44"/>
  <c r="L1269" i="44" s="1"/>
  <c r="H1268" i="44"/>
  <c r="L1268" i="44" s="1"/>
  <c r="H1267" i="44"/>
  <c r="L1267" i="44" s="1"/>
  <c r="H1266" i="44"/>
  <c r="L1266" i="44" s="1"/>
  <c r="H1265" i="44"/>
  <c r="L1265" i="44" s="1"/>
  <c r="H1264" i="44"/>
  <c r="L1264" i="44" s="1"/>
  <c r="H1263" i="44"/>
  <c r="L1263" i="44" s="1"/>
  <c r="H1262" i="44"/>
  <c r="L1262" i="44" s="1"/>
  <c r="H1261" i="44"/>
  <c r="L1261" i="44" s="1"/>
  <c r="H1260" i="44"/>
  <c r="L1260" i="44" s="1"/>
  <c r="H1259" i="44"/>
  <c r="L1259" i="44" s="1"/>
  <c r="H1258" i="44"/>
  <c r="L1258" i="44" s="1"/>
  <c r="H1257" i="44"/>
  <c r="L1257" i="44" s="1"/>
  <c r="H1256" i="44"/>
  <c r="L1256" i="44" s="1"/>
  <c r="H1254" i="44"/>
  <c r="L1254" i="44" s="1"/>
  <c r="H1253" i="44"/>
  <c r="L1253" i="44" s="1"/>
  <c r="H1252" i="44"/>
  <c r="L1252" i="44" s="1"/>
  <c r="H1251" i="44"/>
  <c r="L1251" i="44" s="1"/>
  <c r="H1249" i="44"/>
  <c r="L1249" i="44" s="1"/>
  <c r="H1248" i="44"/>
  <c r="L1248" i="44" s="1"/>
  <c r="H1247" i="44"/>
  <c r="L1247" i="44" s="1"/>
  <c r="H1246" i="44"/>
  <c r="L1246" i="44" s="1"/>
  <c r="H1245" i="44"/>
  <c r="L1245" i="44" s="1"/>
  <c r="H1243" i="44"/>
  <c r="L1243" i="44" s="1"/>
  <c r="H1242" i="44"/>
  <c r="L1242" i="44" s="1"/>
  <c r="H1241" i="44"/>
  <c r="L1241" i="44" s="1"/>
  <c r="H1239" i="44"/>
  <c r="L1239" i="44" s="1"/>
  <c r="H1238" i="44"/>
  <c r="L1238" i="44" s="1"/>
  <c r="H1237" i="44"/>
  <c r="L1237" i="44" s="1"/>
  <c r="H1236" i="44"/>
  <c r="L1236" i="44" s="1"/>
  <c r="H1235" i="44"/>
  <c r="L1235" i="44" s="1"/>
  <c r="H1234" i="44"/>
  <c r="L1234" i="44" s="1"/>
  <c r="H1233" i="44"/>
  <c r="L1233" i="44" s="1"/>
  <c r="H1232" i="44"/>
  <c r="L1232" i="44" s="1"/>
  <c r="H1230" i="44"/>
  <c r="L1230" i="44" s="1"/>
  <c r="H1229" i="44"/>
  <c r="L1229" i="44" s="1"/>
  <c r="H1228" i="44"/>
  <c r="L1228" i="44" s="1"/>
  <c r="H1227" i="44"/>
  <c r="L1227" i="44" s="1"/>
  <c r="K1212" i="44"/>
  <c r="H1209" i="44"/>
  <c r="L1209" i="44" s="1"/>
  <c r="H1208" i="44"/>
  <c r="L1208" i="44" s="1"/>
  <c r="H1207" i="44"/>
  <c r="L1207" i="44" s="1"/>
  <c r="H1206" i="44"/>
  <c r="L1206" i="44" s="1"/>
  <c r="H1205" i="44"/>
  <c r="L1205" i="44" s="1"/>
  <c r="H1204" i="44"/>
  <c r="L1204" i="44" s="1"/>
  <c r="H1203" i="44"/>
  <c r="L1203" i="44" s="1"/>
  <c r="H1202" i="44"/>
  <c r="L1202" i="44" s="1"/>
  <c r="H1201" i="44"/>
  <c r="L1201" i="44" s="1"/>
  <c r="H1200" i="44"/>
  <c r="L1200" i="44" s="1"/>
  <c r="H1199" i="44"/>
  <c r="L1199" i="44" s="1"/>
  <c r="H1198" i="44"/>
  <c r="L1198" i="44" s="1"/>
  <c r="H1197" i="44"/>
  <c r="L1197" i="44" s="1"/>
  <c r="H1194" i="44"/>
  <c r="L1194" i="44" s="1"/>
  <c r="H1192" i="44"/>
  <c r="L1192" i="44" s="1"/>
  <c r="H1189" i="44"/>
  <c r="L1189" i="44" s="1"/>
  <c r="H1186" i="44"/>
  <c r="L1186" i="44" s="1"/>
  <c r="H1184" i="44"/>
  <c r="L1184" i="44" s="1"/>
  <c r="H1183" i="44"/>
  <c r="L1183" i="44" s="1"/>
  <c r="H1181" i="44"/>
  <c r="L1181" i="44" s="1"/>
  <c r="H1180" i="44"/>
  <c r="L1180" i="44" s="1"/>
  <c r="H1178" i="44"/>
  <c r="L1178" i="44" s="1"/>
  <c r="H1177" i="44"/>
  <c r="L1177" i="44" s="1"/>
  <c r="H1176" i="44"/>
  <c r="L1176" i="44" s="1"/>
  <c r="H1174" i="44"/>
  <c r="L1174" i="44" s="1"/>
  <c r="H1173" i="44"/>
  <c r="L1173" i="44" s="1"/>
  <c r="H1171" i="44"/>
  <c r="L1171" i="44" s="1"/>
  <c r="H1169" i="44"/>
  <c r="L1169" i="44" s="1"/>
  <c r="H1168" i="44"/>
  <c r="L1168" i="44" s="1"/>
  <c r="H1167" i="44"/>
  <c r="L1167" i="44" s="1"/>
  <c r="H1166" i="44"/>
  <c r="L1166" i="44" s="1"/>
  <c r="H1165" i="44"/>
  <c r="L1165" i="44" s="1"/>
  <c r="H1164" i="44"/>
  <c r="L1164" i="44" s="1"/>
  <c r="H1163" i="44"/>
  <c r="L1163" i="44" s="1"/>
  <c r="H1162" i="44"/>
  <c r="L1162" i="44" s="1"/>
  <c r="H1160" i="44"/>
  <c r="L1160" i="44" s="1"/>
  <c r="H1142" i="44"/>
  <c r="L1142" i="44" s="1"/>
  <c r="H1140" i="44"/>
  <c r="L1140" i="44" s="1"/>
  <c r="H1137" i="44"/>
  <c r="L1137" i="44" s="1"/>
  <c r="H1136" i="44"/>
  <c r="L1136" i="44" s="1"/>
  <c r="H1134" i="44"/>
  <c r="L1134" i="44" s="1"/>
  <c r="H1133" i="44"/>
  <c r="L1133" i="44" s="1"/>
  <c r="H1131" i="44"/>
  <c r="L1131" i="44" s="1"/>
  <c r="H1130" i="44"/>
  <c r="L1130" i="44" s="1"/>
  <c r="H1128" i="44"/>
  <c r="L1128" i="44" s="1"/>
  <c r="H1127" i="44"/>
  <c r="L1127" i="44" s="1"/>
  <c r="H1125" i="44"/>
  <c r="L1125" i="44" s="1"/>
  <c r="H1123" i="44"/>
  <c r="L1123" i="44" s="1"/>
  <c r="H1122" i="44"/>
  <c r="L1122" i="44" s="1"/>
  <c r="H1120" i="44"/>
  <c r="L1120" i="44" s="1"/>
  <c r="H1119" i="44"/>
  <c r="L1119" i="44" s="1"/>
  <c r="K1113" i="44"/>
  <c r="K1111" i="44"/>
  <c r="K1110" i="44"/>
  <c r="K1109" i="44"/>
  <c r="L1098" i="44"/>
  <c r="K1078" i="44"/>
  <c r="L1073" i="44"/>
  <c r="L1067" i="44"/>
  <c r="L1055" i="44"/>
  <c r="L1054" i="44"/>
  <c r="H1053" i="44"/>
  <c r="L1053" i="44" s="1"/>
  <c r="H1052" i="44"/>
  <c r="L1052" i="44" s="1"/>
  <c r="H1051" i="44"/>
  <c r="L1051" i="44" s="1"/>
  <c r="H1050" i="44"/>
  <c r="L1050" i="44" s="1"/>
  <c r="H1049" i="44"/>
  <c r="L1049" i="44" s="1"/>
  <c r="H1048" i="44"/>
  <c r="L1048" i="44" s="1"/>
  <c r="H1047" i="44"/>
  <c r="L1047" i="44" s="1"/>
  <c r="H1046" i="44"/>
  <c r="L1046" i="44" s="1"/>
  <c r="H1045" i="44"/>
  <c r="L1045" i="44" s="1"/>
  <c r="H1044" i="44"/>
  <c r="L1044" i="44" s="1"/>
  <c r="H1043" i="44"/>
  <c r="L1043" i="44" s="1"/>
  <c r="L1033" i="44"/>
  <c r="L1028" i="44"/>
  <c r="K1011" i="44"/>
  <c r="L1005" i="44"/>
  <c r="L1000" i="44"/>
  <c r="L994" i="44"/>
  <c r="L989" i="44"/>
  <c r="L984" i="44"/>
  <c r="L979" i="44"/>
  <c r="L971" i="44"/>
  <c r="L963" i="44"/>
  <c r="K944" i="44"/>
  <c r="L938" i="44"/>
  <c r="L930" i="44"/>
  <c r="L922" i="44"/>
  <c r="L914" i="44"/>
  <c r="L908" i="44"/>
  <c r="L901" i="44"/>
  <c r="L898" i="44"/>
  <c r="H897" i="44"/>
  <c r="L897" i="44" s="1"/>
  <c r="H896" i="44"/>
  <c r="L896" i="44" s="1"/>
  <c r="H895" i="44"/>
  <c r="L895" i="44" s="1"/>
  <c r="H894" i="44"/>
  <c r="L894" i="44" s="1"/>
  <c r="H893" i="44"/>
  <c r="L893" i="44" s="1"/>
  <c r="H892" i="44"/>
  <c r="L892" i="44" s="1"/>
  <c r="H874" i="44"/>
  <c r="L874" i="44" s="1"/>
  <c r="H873" i="44"/>
  <c r="L873" i="44" s="1"/>
  <c r="H872" i="44"/>
  <c r="L872" i="44" s="1"/>
  <c r="H870" i="44"/>
  <c r="L870" i="44" s="1"/>
  <c r="H869" i="44"/>
  <c r="L869" i="44" s="1"/>
  <c r="H868" i="44"/>
  <c r="L868" i="44" s="1"/>
  <c r="H867" i="44"/>
  <c r="L867" i="44" s="1"/>
  <c r="H866" i="44"/>
  <c r="L866" i="44" s="1"/>
  <c r="H865" i="44"/>
  <c r="L865" i="44" s="1"/>
  <c r="H864" i="44"/>
  <c r="L864" i="44" s="1"/>
  <c r="H862" i="44"/>
  <c r="L862" i="44" s="1"/>
  <c r="H861" i="44"/>
  <c r="L861" i="44" s="1"/>
  <c r="H860" i="44"/>
  <c r="L860" i="44" s="1"/>
  <c r="H859" i="44"/>
  <c r="L859" i="44" s="1"/>
  <c r="H858" i="44"/>
  <c r="L858" i="44" s="1"/>
  <c r="H857" i="44"/>
  <c r="L857" i="44" s="1"/>
  <c r="H856" i="44"/>
  <c r="L856" i="44" s="1"/>
  <c r="H855" i="44"/>
  <c r="L855" i="44" s="1"/>
  <c r="H854" i="44"/>
  <c r="L854" i="44" s="1"/>
  <c r="H853" i="44"/>
  <c r="L853" i="44" s="1"/>
  <c r="H852" i="44"/>
  <c r="L852" i="44" s="1"/>
  <c r="H850" i="44"/>
  <c r="L850" i="44" s="1"/>
  <c r="H849" i="44"/>
  <c r="L849" i="44" s="1"/>
  <c r="H848" i="44"/>
  <c r="L848" i="44" s="1"/>
  <c r="H847" i="44"/>
  <c r="L847" i="44" s="1"/>
  <c r="H846" i="44"/>
  <c r="L846" i="44" s="1"/>
  <c r="H845" i="44"/>
  <c r="L845" i="44" s="1"/>
  <c r="H844" i="44"/>
  <c r="L844" i="44" s="1"/>
  <c r="H843" i="44"/>
  <c r="L843" i="44" s="1"/>
  <c r="H842" i="44"/>
  <c r="L842" i="44" s="1"/>
  <c r="H841" i="44"/>
  <c r="L841" i="44" s="1"/>
  <c r="H840" i="44"/>
  <c r="L840" i="44" s="1"/>
  <c r="H837" i="44"/>
  <c r="K837" i="44" s="1"/>
  <c r="H836" i="44"/>
  <c r="K836" i="44" s="1"/>
  <c r="H834" i="44"/>
  <c r="K834" i="44" s="1"/>
  <c r="H833" i="44"/>
  <c r="K833" i="44" s="1"/>
  <c r="H832" i="44"/>
  <c r="K832" i="44" s="1"/>
  <c r="H831" i="44"/>
  <c r="K831" i="44" s="1"/>
  <c r="H830" i="44"/>
  <c r="K830" i="44" s="1"/>
  <c r="H829" i="44"/>
  <c r="K829" i="44" s="1"/>
  <c r="H827" i="44"/>
  <c r="K827" i="44" s="1"/>
  <c r="H826" i="44"/>
  <c r="K826" i="44" s="1"/>
  <c r="H825" i="44"/>
  <c r="K825" i="44" s="1"/>
  <c r="H807" i="44"/>
  <c r="K807" i="44" s="1"/>
  <c r="H806" i="44"/>
  <c r="K806" i="44" s="1"/>
  <c r="H805" i="44"/>
  <c r="K805" i="44" s="1"/>
  <c r="H804" i="44"/>
  <c r="K804" i="44" s="1"/>
  <c r="H803" i="44"/>
  <c r="K803" i="44" s="1"/>
  <c r="H802" i="44"/>
  <c r="K802" i="44" s="1"/>
  <c r="H801" i="44"/>
  <c r="K801" i="44" s="1"/>
  <c r="H799" i="44"/>
  <c r="K799" i="44" s="1"/>
  <c r="H798" i="44"/>
  <c r="K798" i="44" s="1"/>
  <c r="H797" i="44"/>
  <c r="K797" i="44" s="1"/>
  <c r="H796" i="44"/>
  <c r="K796" i="44" s="1"/>
  <c r="H795" i="44"/>
  <c r="K795" i="44" s="1"/>
  <c r="H794" i="44"/>
  <c r="K794" i="44" s="1"/>
  <c r="H792" i="44"/>
  <c r="L792" i="44" s="1"/>
  <c r="H791" i="44"/>
  <c r="L791" i="44" s="1"/>
  <c r="H790" i="44"/>
  <c r="L790" i="44" s="1"/>
  <c r="H789" i="44"/>
  <c r="L789" i="44" s="1"/>
  <c r="H788" i="44"/>
  <c r="L788" i="44" s="1"/>
  <c r="H787" i="44"/>
  <c r="L787" i="44" s="1"/>
  <c r="H785" i="44"/>
  <c r="L785" i="44" s="1"/>
  <c r="H784" i="44"/>
  <c r="L784" i="44" s="1"/>
  <c r="H783" i="44"/>
  <c r="L783" i="44" s="1"/>
  <c r="H782" i="44"/>
  <c r="L782" i="44" s="1"/>
  <c r="H780" i="44"/>
  <c r="L780" i="44" s="1"/>
  <c r="H779" i="44"/>
  <c r="L779" i="44" s="1"/>
  <c r="H778" i="44"/>
  <c r="L778" i="44" s="1"/>
  <c r="H777" i="44"/>
  <c r="L777" i="44" s="1"/>
  <c r="H776" i="44"/>
  <c r="L776" i="44" s="1"/>
  <c r="H774" i="44"/>
  <c r="L774" i="44" s="1"/>
  <c r="H773" i="44"/>
  <c r="L773" i="44" s="1"/>
  <c r="H772" i="44"/>
  <c r="L772" i="44" s="1"/>
  <c r="H771" i="44"/>
  <c r="L771" i="44" s="1"/>
  <c r="H770" i="44"/>
  <c r="L770" i="44" s="1"/>
  <c r="H769" i="44"/>
  <c r="L769" i="44" s="1"/>
  <c r="H768" i="44"/>
  <c r="L768" i="44" s="1"/>
  <c r="H767" i="44"/>
  <c r="L767" i="44" s="1"/>
  <c r="H766" i="44"/>
  <c r="L766" i="44" s="1"/>
  <c r="H765" i="44"/>
  <c r="L765" i="44" s="1"/>
  <c r="H764" i="44"/>
  <c r="L764" i="44" s="1"/>
  <c r="H763" i="44"/>
  <c r="L763" i="44" s="1"/>
  <c r="H762" i="44"/>
  <c r="L762" i="44" s="1"/>
  <c r="H761" i="44"/>
  <c r="L761" i="44" s="1"/>
  <c r="H760" i="44"/>
  <c r="L760" i="44" s="1"/>
  <c r="H759" i="44"/>
  <c r="L759" i="44" s="1"/>
  <c r="H758" i="44"/>
  <c r="L758" i="44" s="1"/>
  <c r="K743" i="44"/>
  <c r="H740" i="44"/>
  <c r="L740" i="44" s="1"/>
  <c r="H739" i="44"/>
  <c r="L739" i="44" s="1"/>
  <c r="H738" i="44"/>
  <c r="L738" i="44" s="1"/>
  <c r="H737" i="44"/>
  <c r="L737" i="44" s="1"/>
  <c r="H736" i="44"/>
  <c r="L736" i="44" s="1"/>
  <c r="H735" i="44"/>
  <c r="L735" i="44" s="1"/>
  <c r="H734" i="44"/>
  <c r="L734" i="44" s="1"/>
  <c r="H733" i="44"/>
  <c r="L733" i="44" s="1"/>
  <c r="H732" i="44"/>
  <c r="L732" i="44" s="1"/>
  <c r="H731" i="44"/>
  <c r="L731" i="44" s="1"/>
  <c r="H730" i="44"/>
  <c r="L730" i="44" s="1"/>
  <c r="H729" i="44"/>
  <c r="L729" i="44" s="1"/>
  <c r="H728" i="44"/>
  <c r="L728" i="44" s="1"/>
  <c r="H727" i="44"/>
  <c r="L727" i="44" s="1"/>
  <c r="H726" i="44"/>
  <c r="L726" i="44" s="1"/>
  <c r="H725" i="44"/>
  <c r="L725" i="44" s="1"/>
  <c r="H724" i="44"/>
  <c r="L724" i="44" s="1"/>
  <c r="H723" i="44"/>
  <c r="L723" i="44" s="1"/>
  <c r="H722" i="44"/>
  <c r="L722" i="44" s="1"/>
  <c r="H721" i="44"/>
  <c r="L721" i="44" s="1"/>
  <c r="H720" i="44"/>
  <c r="L720" i="44" s="1"/>
  <c r="H719" i="44"/>
  <c r="L719" i="44" s="1"/>
  <c r="H718" i="44"/>
  <c r="L718" i="44" s="1"/>
  <c r="H717" i="44"/>
  <c r="L717" i="44" s="1"/>
  <c r="H716" i="44"/>
  <c r="L716" i="44" s="1"/>
  <c r="H715" i="44"/>
  <c r="L715" i="44" s="1"/>
  <c r="H714" i="44"/>
  <c r="L714" i="44" s="1"/>
  <c r="H713" i="44"/>
  <c r="L713" i="44" s="1"/>
  <c r="H712" i="44"/>
  <c r="L712" i="44" s="1"/>
  <c r="H711" i="44"/>
  <c r="L711" i="44" s="1"/>
  <c r="H710" i="44"/>
  <c r="L710" i="44" s="1"/>
  <c r="H709" i="44"/>
  <c r="L709" i="44" s="1"/>
  <c r="H708" i="44"/>
  <c r="L708" i="44" s="1"/>
  <c r="H707" i="44"/>
  <c r="L707" i="44" s="1"/>
  <c r="H706" i="44"/>
  <c r="L706" i="44" s="1"/>
  <c r="H705" i="44"/>
  <c r="L705" i="44" s="1"/>
  <c r="H704" i="44"/>
  <c r="L704" i="44" s="1"/>
  <c r="H702" i="44"/>
  <c r="L702" i="44" s="1"/>
  <c r="H701" i="44"/>
  <c r="L701" i="44" s="1"/>
  <c r="H700" i="44"/>
  <c r="L700" i="44" s="1"/>
  <c r="H699" i="44"/>
  <c r="L699" i="44" s="1"/>
  <c r="H698" i="44"/>
  <c r="L698" i="44" s="1"/>
  <c r="H697" i="44"/>
  <c r="L697" i="44" s="1"/>
  <c r="H696" i="44"/>
  <c r="L696" i="44" s="1"/>
  <c r="H695" i="44"/>
  <c r="L695" i="44" s="1"/>
  <c r="H694" i="44"/>
  <c r="L694" i="44" s="1"/>
  <c r="H693" i="44"/>
  <c r="L693" i="44" s="1"/>
  <c r="H692" i="44"/>
  <c r="L692" i="44" s="1"/>
  <c r="H691" i="44"/>
  <c r="L691" i="44" s="1"/>
  <c r="K676" i="44"/>
  <c r="H673" i="44"/>
  <c r="L673" i="44" s="1"/>
  <c r="H672" i="44"/>
  <c r="L672" i="44" s="1"/>
  <c r="H671" i="44"/>
  <c r="L671" i="44" s="1"/>
  <c r="H670" i="44"/>
  <c r="L670" i="44" s="1"/>
  <c r="H669" i="44"/>
  <c r="L669" i="44" s="1"/>
  <c r="H668" i="44"/>
  <c r="L668" i="44" s="1"/>
  <c r="H667" i="44"/>
  <c r="L667" i="44" s="1"/>
  <c r="H666" i="44"/>
  <c r="L666" i="44" s="1"/>
  <c r="H665" i="44"/>
  <c r="L665" i="44" s="1"/>
  <c r="H664" i="44"/>
  <c r="L664" i="44" s="1"/>
  <c r="H663" i="44"/>
  <c r="L663" i="44" s="1"/>
  <c r="H662" i="44"/>
  <c r="L662" i="44" s="1"/>
  <c r="H661" i="44"/>
  <c r="L661" i="44" s="1"/>
  <c r="H660" i="44"/>
  <c r="L660" i="44" s="1"/>
  <c r="H659" i="44"/>
  <c r="L659" i="44" s="1"/>
  <c r="H658" i="44"/>
  <c r="L658" i="44" s="1"/>
  <c r="H657" i="44"/>
  <c r="L657" i="44" s="1"/>
  <c r="H656" i="44"/>
  <c r="L656" i="44" s="1"/>
  <c r="H655" i="44"/>
  <c r="L655" i="44" s="1"/>
  <c r="H654" i="44"/>
  <c r="L654" i="44" s="1"/>
  <c r="H653" i="44"/>
  <c r="L653" i="44" s="1"/>
  <c r="H652" i="44"/>
  <c r="L652" i="44" s="1"/>
  <c r="H651" i="44"/>
  <c r="L651" i="44" s="1"/>
  <c r="H650" i="44"/>
  <c r="L650" i="44" s="1"/>
  <c r="H649" i="44"/>
  <c r="L649" i="44" s="1"/>
  <c r="H648" i="44"/>
  <c r="L648" i="44" s="1"/>
  <c r="H647" i="44"/>
  <c r="L647" i="44" s="1"/>
  <c r="H646" i="44"/>
  <c r="L646" i="44" s="1"/>
  <c r="H645" i="44"/>
  <c r="L645" i="44" s="1"/>
  <c r="H644" i="44"/>
  <c r="L644" i="44" s="1"/>
  <c r="H641" i="44"/>
  <c r="L641" i="44" s="1"/>
  <c r="H640" i="44"/>
  <c r="L640" i="44" s="1"/>
  <c r="H639" i="44"/>
  <c r="L639" i="44" s="1"/>
  <c r="H638" i="44"/>
  <c r="L638" i="44" s="1"/>
  <c r="H637" i="44"/>
  <c r="L637" i="44" s="1"/>
  <c r="H636" i="44"/>
  <c r="L636" i="44" s="1"/>
  <c r="H635" i="44"/>
  <c r="L635" i="44" s="1"/>
  <c r="H634" i="44"/>
  <c r="L634" i="44" s="1"/>
  <c r="H633" i="44"/>
  <c r="L633" i="44" s="1"/>
  <c r="H632" i="44"/>
  <c r="L632" i="44" s="1"/>
  <c r="H631" i="44"/>
  <c r="L631" i="44" s="1"/>
  <c r="H630" i="44"/>
  <c r="L630" i="44" s="1"/>
  <c r="H629" i="44"/>
  <c r="L629" i="44" s="1"/>
  <c r="H628" i="44"/>
  <c r="L628" i="44" s="1"/>
  <c r="H626" i="44"/>
  <c r="L626" i="44" s="1"/>
  <c r="H625" i="44"/>
  <c r="L625" i="44" s="1"/>
  <c r="H624" i="44"/>
  <c r="L624" i="44" s="1"/>
  <c r="K609" i="44"/>
  <c r="H606" i="44"/>
  <c r="L606" i="44" s="1"/>
  <c r="H605" i="44"/>
  <c r="L605" i="44" s="1"/>
  <c r="H604" i="44"/>
  <c r="L604" i="44" s="1"/>
  <c r="H603" i="44"/>
  <c r="L603" i="44" s="1"/>
  <c r="H602" i="44"/>
  <c r="L602" i="44" s="1"/>
  <c r="H601" i="44"/>
  <c r="L601" i="44" s="1"/>
  <c r="H600" i="44"/>
  <c r="L600" i="44" s="1"/>
  <c r="H599" i="44"/>
  <c r="L599" i="44" s="1"/>
  <c r="H598" i="44"/>
  <c r="L598" i="44" s="1"/>
  <c r="H597" i="44"/>
  <c r="L597" i="44" s="1"/>
  <c r="H596" i="44"/>
  <c r="L596" i="44" s="1"/>
  <c r="H595" i="44"/>
  <c r="L595" i="44" s="1"/>
  <c r="H593" i="44"/>
  <c r="L593" i="44" s="1"/>
  <c r="H592" i="44"/>
  <c r="L592" i="44" s="1"/>
  <c r="H591" i="44"/>
  <c r="L591" i="44" s="1"/>
  <c r="H590" i="44"/>
  <c r="L590" i="44" s="1"/>
  <c r="H589" i="44"/>
  <c r="L589" i="44" s="1"/>
  <c r="H588" i="44"/>
  <c r="L588" i="44" s="1"/>
  <c r="H587" i="44"/>
  <c r="L587" i="44" s="1"/>
  <c r="H586" i="44"/>
  <c r="L586" i="44" s="1"/>
  <c r="H585" i="44"/>
  <c r="L585" i="44" s="1"/>
  <c r="H584" i="44"/>
  <c r="L584" i="44" s="1"/>
  <c r="H583" i="44"/>
  <c r="L583" i="44" s="1"/>
  <c r="H582" i="44"/>
  <c r="L582" i="44" s="1"/>
  <c r="H581" i="44"/>
  <c r="L581" i="44" s="1"/>
  <c r="H580" i="44"/>
  <c r="L580" i="44" s="1"/>
  <c r="H579" i="44"/>
  <c r="L579" i="44" s="1"/>
  <c r="H578" i="44"/>
  <c r="L578" i="44" s="1"/>
  <c r="H577" i="44"/>
  <c r="L577" i="44" s="1"/>
  <c r="H576" i="44"/>
  <c r="L576" i="44" s="1"/>
  <c r="H575" i="44"/>
  <c r="L575" i="44" s="1"/>
  <c r="H574" i="44"/>
  <c r="L574" i="44" s="1"/>
  <c r="H573" i="44"/>
  <c r="L573" i="44" s="1"/>
  <c r="H572" i="44"/>
  <c r="L572" i="44" s="1"/>
  <c r="H571" i="44"/>
  <c r="L571" i="44" s="1"/>
  <c r="H570" i="44"/>
  <c r="L570" i="44" s="1"/>
  <c r="H569" i="44"/>
  <c r="L569" i="44" s="1"/>
  <c r="H568" i="44"/>
  <c r="L568" i="44" s="1"/>
  <c r="H567" i="44"/>
  <c r="L567" i="44" s="1"/>
  <c r="H566" i="44"/>
  <c r="L566" i="44" s="1"/>
  <c r="H565" i="44"/>
  <c r="L565" i="44" s="1"/>
  <c r="H564" i="44"/>
  <c r="L564" i="44" s="1"/>
  <c r="H563" i="44"/>
  <c r="L563" i="44" s="1"/>
  <c r="H562" i="44"/>
  <c r="L562" i="44" s="1"/>
  <c r="H561" i="44"/>
  <c r="L561" i="44" s="1"/>
  <c r="H560" i="44"/>
  <c r="L560" i="44" s="1"/>
  <c r="H559" i="44"/>
  <c r="L559" i="44" s="1"/>
  <c r="H558" i="44"/>
  <c r="L558" i="44" s="1"/>
  <c r="H557" i="44"/>
  <c r="L557" i="44" s="1"/>
  <c r="H539" i="44"/>
  <c r="L539" i="44" s="1"/>
  <c r="H538" i="44"/>
  <c r="L538" i="44" s="1"/>
  <c r="H537" i="44"/>
  <c r="L537" i="44" s="1"/>
  <c r="H536" i="44"/>
  <c r="L536" i="44" s="1"/>
  <c r="H535" i="44"/>
  <c r="L535" i="44" s="1"/>
  <c r="H534" i="44"/>
  <c r="L534" i="44" s="1"/>
  <c r="H533" i="44"/>
  <c r="L533" i="44" s="1"/>
  <c r="H532" i="44"/>
  <c r="L532" i="44" s="1"/>
  <c r="H530" i="44"/>
  <c r="L530" i="44" s="1"/>
  <c r="H529" i="44"/>
  <c r="L529" i="44" s="1"/>
  <c r="H528" i="44"/>
  <c r="L528" i="44" s="1"/>
  <c r="H527" i="44"/>
  <c r="L527" i="44" s="1"/>
  <c r="H526" i="44"/>
  <c r="L526" i="44" s="1"/>
  <c r="H525" i="44"/>
  <c r="L525" i="44" s="1"/>
  <c r="H524" i="44"/>
  <c r="L524" i="44" s="1"/>
  <c r="H523" i="44"/>
  <c r="L523" i="44" s="1"/>
  <c r="H522" i="44"/>
  <c r="L522" i="44" s="1"/>
  <c r="H521" i="44"/>
  <c r="L521" i="44" s="1"/>
  <c r="H520" i="44"/>
  <c r="L520" i="44" s="1"/>
  <c r="H519" i="44"/>
  <c r="L519" i="44" s="1"/>
  <c r="H518" i="44"/>
  <c r="L518" i="44" s="1"/>
  <c r="H517" i="44"/>
  <c r="L517" i="44" s="1"/>
  <c r="H516" i="44"/>
  <c r="L516" i="44" s="1"/>
  <c r="H515" i="44"/>
  <c r="L515" i="44" s="1"/>
  <c r="H514" i="44"/>
  <c r="L514" i="44" s="1"/>
  <c r="H513" i="44"/>
  <c r="L513" i="44" s="1"/>
  <c r="H512" i="44"/>
  <c r="L512" i="44" s="1"/>
  <c r="H511" i="44"/>
  <c r="L511" i="44" s="1"/>
  <c r="H510" i="44"/>
  <c r="L510" i="44" s="1"/>
  <c r="H509" i="44"/>
  <c r="L509" i="44" s="1"/>
  <c r="H508" i="44"/>
  <c r="L508" i="44" s="1"/>
  <c r="H507" i="44"/>
  <c r="L507" i="44" s="1"/>
  <c r="H506" i="44"/>
  <c r="L506" i="44" s="1"/>
  <c r="H505" i="44"/>
  <c r="L505" i="44" s="1"/>
  <c r="H504" i="44"/>
  <c r="L504" i="44" s="1"/>
  <c r="H503" i="44"/>
  <c r="L503" i="44" s="1"/>
  <c r="H502" i="44"/>
  <c r="L502" i="44" s="1"/>
  <c r="H501" i="44"/>
  <c r="L501" i="44" s="1"/>
  <c r="H500" i="44"/>
  <c r="L500" i="44" s="1"/>
  <c r="H499" i="44"/>
  <c r="L499" i="44" s="1"/>
  <c r="H498" i="44"/>
  <c r="L498" i="44" s="1"/>
  <c r="H497" i="44"/>
  <c r="L497" i="44" s="1"/>
  <c r="H496" i="44"/>
  <c r="L496" i="44" s="1"/>
  <c r="H495" i="44"/>
  <c r="K495" i="44" s="1"/>
  <c r="H494" i="44"/>
  <c r="L494" i="44" s="1"/>
  <c r="H493" i="44"/>
  <c r="K493" i="44" s="1"/>
  <c r="H492" i="44"/>
  <c r="L492" i="44" s="1"/>
  <c r="H491" i="44"/>
  <c r="L491" i="44" s="1"/>
  <c r="H490" i="44"/>
  <c r="L490" i="44" s="1"/>
  <c r="K475" i="44"/>
  <c r="H472" i="44"/>
  <c r="L472" i="44" s="1"/>
  <c r="H471" i="44"/>
  <c r="L471" i="44" s="1"/>
  <c r="H470" i="44"/>
  <c r="L470" i="44" s="1"/>
  <c r="H469" i="44"/>
  <c r="L469" i="44" s="1"/>
  <c r="H468" i="44"/>
  <c r="L468" i="44" s="1"/>
  <c r="H467" i="44"/>
  <c r="L467" i="44" s="1"/>
  <c r="H466" i="44"/>
  <c r="L466" i="44" s="1"/>
  <c r="H465" i="44"/>
  <c r="L465" i="44" s="1"/>
  <c r="H464" i="44"/>
  <c r="L464" i="44" s="1"/>
  <c r="H463" i="44"/>
  <c r="L463" i="44" s="1"/>
  <c r="H462" i="44"/>
  <c r="L462" i="44" s="1"/>
  <c r="H461" i="44"/>
  <c r="L461" i="44" s="1"/>
  <c r="H460" i="44"/>
  <c r="L460" i="44" s="1"/>
  <c r="H459" i="44"/>
  <c r="L459" i="44" s="1"/>
  <c r="H458" i="44"/>
  <c r="L458" i="44" s="1"/>
  <c r="H457" i="44"/>
  <c r="L457" i="44" s="1"/>
  <c r="H456" i="44"/>
  <c r="L456" i="44" s="1"/>
  <c r="H455" i="44"/>
  <c r="L455" i="44" s="1"/>
  <c r="H454" i="44"/>
  <c r="L454" i="44" s="1"/>
  <c r="H453" i="44"/>
  <c r="L453" i="44" s="1"/>
  <c r="H452" i="44"/>
  <c r="L452" i="44" s="1"/>
  <c r="H451" i="44"/>
  <c r="L451" i="44" s="1"/>
  <c r="H450" i="44"/>
  <c r="L450" i="44" s="1"/>
  <c r="H449" i="44"/>
  <c r="L449" i="44" s="1"/>
  <c r="H448" i="44"/>
  <c r="L448" i="44" s="1"/>
  <c r="H447" i="44"/>
  <c r="L447" i="44" s="1"/>
  <c r="H446" i="44"/>
  <c r="L446" i="44" s="1"/>
  <c r="H445" i="44"/>
  <c r="L445" i="44" s="1"/>
  <c r="H444" i="44"/>
  <c r="L444" i="44" s="1"/>
  <c r="H443" i="44"/>
  <c r="L443" i="44" s="1"/>
  <c r="H442" i="44"/>
  <c r="L442" i="44" s="1"/>
  <c r="H441" i="44"/>
  <c r="L441" i="44" s="1"/>
  <c r="H440" i="44"/>
  <c r="L440" i="44" s="1"/>
  <c r="H439" i="44"/>
  <c r="L439" i="44" s="1"/>
  <c r="H438" i="44"/>
  <c r="L438" i="44" s="1"/>
  <c r="H437" i="44"/>
  <c r="L437" i="44" s="1"/>
  <c r="H436" i="44"/>
  <c r="L436" i="44" s="1"/>
  <c r="H435" i="44"/>
  <c r="L435" i="44" s="1"/>
  <c r="H434" i="44"/>
  <c r="L434" i="44" s="1"/>
  <c r="H433" i="44"/>
  <c r="L433" i="44" s="1"/>
  <c r="H432" i="44"/>
  <c r="L432" i="44" s="1"/>
  <c r="H431" i="44"/>
  <c r="L431" i="44" s="1"/>
  <c r="H430" i="44"/>
  <c r="L430" i="44" s="1"/>
  <c r="H429" i="44"/>
  <c r="L429" i="44" s="1"/>
  <c r="H428" i="44"/>
  <c r="L428" i="44" s="1"/>
  <c r="H427" i="44"/>
  <c r="L427" i="44" s="1"/>
  <c r="H426" i="44"/>
  <c r="L426" i="44" s="1"/>
  <c r="H425" i="44"/>
  <c r="L425" i="44" s="1"/>
  <c r="H424" i="44"/>
  <c r="L424" i="44" s="1"/>
  <c r="H423" i="44"/>
  <c r="L423" i="44" s="1"/>
  <c r="H405" i="44"/>
  <c r="L405" i="44" s="1"/>
  <c r="H404" i="44"/>
  <c r="L404" i="44" s="1"/>
  <c r="H403" i="44"/>
  <c r="L403" i="44" s="1"/>
  <c r="H402" i="44"/>
  <c r="L402" i="44" s="1"/>
  <c r="H401" i="44"/>
  <c r="L401" i="44" s="1"/>
  <c r="H400" i="44"/>
  <c r="L400" i="44" s="1"/>
  <c r="H399" i="44"/>
  <c r="L399" i="44" s="1"/>
  <c r="H398" i="44"/>
  <c r="L398" i="44" s="1"/>
  <c r="H397" i="44"/>
  <c r="L397" i="44" s="1"/>
  <c r="H396" i="44"/>
  <c r="L396" i="44" s="1"/>
  <c r="H395" i="44"/>
  <c r="L395" i="44" s="1"/>
  <c r="H394" i="44"/>
  <c r="L394" i="44" s="1"/>
  <c r="H393" i="44"/>
  <c r="L393" i="44" s="1"/>
  <c r="H392" i="44"/>
  <c r="L392" i="44" s="1"/>
  <c r="H391" i="44"/>
  <c r="L391" i="44" s="1"/>
  <c r="H390" i="44"/>
  <c r="L390" i="44" s="1"/>
  <c r="H389" i="44"/>
  <c r="L389" i="44" s="1"/>
  <c r="H388" i="44"/>
  <c r="L388" i="44" s="1"/>
  <c r="H387" i="44"/>
  <c r="L387" i="44" s="1"/>
  <c r="H386" i="44"/>
  <c r="L386" i="44" s="1"/>
  <c r="H385" i="44"/>
  <c r="L385" i="44" s="1"/>
  <c r="H384" i="44"/>
  <c r="L384" i="44" s="1"/>
  <c r="H383" i="44"/>
  <c r="L383" i="44" s="1"/>
  <c r="H382" i="44"/>
  <c r="L382" i="44" s="1"/>
  <c r="H381" i="44"/>
  <c r="L381" i="44" s="1"/>
  <c r="H380" i="44"/>
  <c r="L380" i="44" s="1"/>
  <c r="H379" i="44"/>
  <c r="L379" i="44" s="1"/>
  <c r="H378" i="44"/>
  <c r="L378" i="44" s="1"/>
  <c r="H377" i="44"/>
  <c r="L377" i="44" s="1"/>
  <c r="H376" i="44"/>
  <c r="K376" i="44" s="1"/>
  <c r="K408" i="44" s="1"/>
  <c r="H375" i="44"/>
  <c r="L375" i="44" s="1"/>
  <c r="H374" i="44"/>
  <c r="L374" i="44" s="1"/>
  <c r="H373" i="44"/>
  <c r="L373" i="44" s="1"/>
  <c r="H372" i="44"/>
  <c r="L372" i="44" s="1"/>
  <c r="H371" i="44"/>
  <c r="L371" i="44" s="1"/>
  <c r="H370" i="44"/>
  <c r="L370" i="44" s="1"/>
  <c r="H369" i="44"/>
  <c r="L369" i="44" s="1"/>
  <c r="H368" i="44"/>
  <c r="L368" i="44" s="1"/>
  <c r="H367" i="44"/>
  <c r="L367" i="44" s="1"/>
  <c r="H366" i="44"/>
  <c r="L366" i="44" s="1"/>
  <c r="H365" i="44"/>
  <c r="L365" i="44" s="1"/>
  <c r="H364" i="44"/>
  <c r="L364" i="44" s="1"/>
  <c r="H363" i="44"/>
  <c r="L363" i="44" s="1"/>
  <c r="H362" i="44"/>
  <c r="L362" i="44" s="1"/>
  <c r="H361" i="44"/>
  <c r="L361" i="44" s="1"/>
  <c r="H360" i="44"/>
  <c r="L360" i="44" s="1"/>
  <c r="H359" i="44"/>
  <c r="L359" i="44" s="1"/>
  <c r="H358" i="44"/>
  <c r="L358" i="44" s="1"/>
  <c r="H357" i="44"/>
  <c r="L357" i="44" s="1"/>
  <c r="H356" i="44"/>
  <c r="L356" i="44" s="1"/>
  <c r="K341" i="44"/>
  <c r="H338" i="44"/>
  <c r="L338" i="44" s="1"/>
  <c r="H337" i="44"/>
  <c r="L337" i="44" s="1"/>
  <c r="H336" i="44"/>
  <c r="L336" i="44" s="1"/>
  <c r="H335" i="44"/>
  <c r="L335" i="44" s="1"/>
  <c r="H334" i="44"/>
  <c r="L334" i="44" s="1"/>
  <c r="H333" i="44"/>
  <c r="L333" i="44" s="1"/>
  <c r="H332" i="44"/>
  <c r="L332" i="44" s="1"/>
  <c r="H331" i="44"/>
  <c r="L331" i="44" s="1"/>
  <c r="H330" i="44"/>
  <c r="L330" i="44" s="1"/>
  <c r="H329" i="44"/>
  <c r="L329" i="44" s="1"/>
  <c r="H328" i="44"/>
  <c r="L328" i="44" s="1"/>
  <c r="H327" i="44"/>
  <c r="L327" i="44" s="1"/>
  <c r="H326" i="44"/>
  <c r="L326" i="44" s="1"/>
  <c r="H325" i="44"/>
  <c r="L325" i="44" s="1"/>
  <c r="H324" i="44"/>
  <c r="L324" i="44" s="1"/>
  <c r="H323" i="44"/>
  <c r="L323" i="44" s="1"/>
  <c r="H322" i="44"/>
  <c r="L322" i="44" s="1"/>
  <c r="H321" i="44"/>
  <c r="L321" i="44" s="1"/>
  <c r="H320" i="44"/>
  <c r="L320" i="44" s="1"/>
  <c r="H319" i="44"/>
  <c r="L319" i="44" s="1"/>
  <c r="H318" i="44"/>
  <c r="L318" i="44" s="1"/>
  <c r="H317" i="44"/>
  <c r="L317" i="44" s="1"/>
  <c r="H316" i="44"/>
  <c r="L316" i="44" s="1"/>
  <c r="H315" i="44"/>
  <c r="L315" i="44" s="1"/>
  <c r="H314" i="44"/>
  <c r="L314" i="44" s="1"/>
  <c r="H313" i="44"/>
  <c r="L313" i="44" s="1"/>
  <c r="H312" i="44"/>
  <c r="L312" i="44" s="1"/>
  <c r="H311" i="44"/>
  <c r="L311" i="44" s="1"/>
  <c r="H310" i="44"/>
  <c r="L310" i="44" s="1"/>
  <c r="H309" i="44"/>
  <c r="L309" i="44" s="1"/>
  <c r="H308" i="44"/>
  <c r="L308" i="44" s="1"/>
  <c r="H307" i="44"/>
  <c r="L307" i="44" s="1"/>
  <c r="H306" i="44"/>
  <c r="L306" i="44" s="1"/>
  <c r="H305" i="44"/>
  <c r="L305" i="44" s="1"/>
  <c r="H304" i="44"/>
  <c r="L304" i="44" s="1"/>
  <c r="H303" i="44"/>
  <c r="L303" i="44" s="1"/>
  <c r="H302" i="44"/>
  <c r="L302" i="44" s="1"/>
  <c r="H301" i="44"/>
  <c r="L301" i="44" s="1"/>
  <c r="H300" i="44"/>
  <c r="L300" i="44" s="1"/>
  <c r="H299" i="44"/>
  <c r="L299" i="44" s="1"/>
  <c r="H298" i="44"/>
  <c r="L298" i="44" s="1"/>
  <c r="H297" i="44"/>
  <c r="L297" i="44" s="1"/>
  <c r="H296" i="44"/>
  <c r="L296" i="44" s="1"/>
  <c r="H295" i="44"/>
  <c r="L295" i="44" s="1"/>
  <c r="H294" i="44"/>
  <c r="L294" i="44" s="1"/>
  <c r="H293" i="44"/>
  <c r="L293" i="44" s="1"/>
  <c r="H292" i="44"/>
  <c r="L292" i="44" s="1"/>
  <c r="H291" i="44"/>
  <c r="L291" i="44" s="1"/>
  <c r="H290" i="44"/>
  <c r="L290" i="44" s="1"/>
  <c r="H289" i="44"/>
  <c r="L289" i="44" s="1"/>
  <c r="H271" i="44"/>
  <c r="L271" i="44" s="1"/>
  <c r="H270" i="44"/>
  <c r="L270" i="44" s="1"/>
  <c r="H269" i="44"/>
  <c r="L269" i="44" s="1"/>
  <c r="H268" i="44"/>
  <c r="L268" i="44" s="1"/>
  <c r="H267" i="44"/>
  <c r="L267" i="44" s="1"/>
  <c r="H266" i="44"/>
  <c r="L266" i="44" s="1"/>
  <c r="H265" i="44"/>
  <c r="L265" i="44" s="1"/>
  <c r="H264" i="44"/>
  <c r="L264" i="44" s="1"/>
  <c r="H263" i="44"/>
  <c r="L263" i="44" s="1"/>
  <c r="H262" i="44"/>
  <c r="L262" i="44" s="1"/>
  <c r="H261" i="44"/>
  <c r="L261" i="44" s="1"/>
  <c r="H260" i="44"/>
  <c r="L260" i="44" s="1"/>
  <c r="H259" i="44"/>
  <c r="L259" i="44" s="1"/>
  <c r="H258" i="44"/>
  <c r="L258" i="44" s="1"/>
  <c r="H257" i="44"/>
  <c r="L257" i="44" s="1"/>
  <c r="H256" i="44"/>
  <c r="L256" i="44" s="1"/>
  <c r="H255" i="44"/>
  <c r="L255" i="44" s="1"/>
  <c r="H254" i="44"/>
  <c r="L254" i="44" s="1"/>
  <c r="H253" i="44"/>
  <c r="L253" i="44" s="1"/>
  <c r="H252" i="44"/>
  <c r="L252" i="44" s="1"/>
  <c r="H251" i="44"/>
  <c r="L251" i="44" s="1"/>
  <c r="H250" i="44"/>
  <c r="L250" i="44" s="1"/>
  <c r="H248" i="44"/>
  <c r="K248" i="44" s="1"/>
  <c r="K274" i="44" s="1"/>
  <c r="H247" i="44"/>
  <c r="L247" i="44" s="1"/>
  <c r="H246" i="44"/>
  <c r="L246" i="44" s="1"/>
  <c r="H245" i="44"/>
  <c r="L245" i="44" s="1"/>
  <c r="H244" i="44"/>
  <c r="L244" i="44" s="1"/>
  <c r="H243" i="44"/>
  <c r="L243" i="44" s="1"/>
  <c r="H242" i="44"/>
  <c r="L242" i="44" s="1"/>
  <c r="H241" i="44"/>
  <c r="L241" i="44" s="1"/>
  <c r="H240" i="44"/>
  <c r="L240" i="44" s="1"/>
  <c r="H239" i="44"/>
  <c r="L239" i="44" s="1"/>
  <c r="H238" i="44"/>
  <c r="L238" i="44" s="1"/>
  <c r="H237" i="44"/>
  <c r="L237" i="44" s="1"/>
  <c r="H236" i="44"/>
  <c r="L236" i="44" s="1"/>
  <c r="H235" i="44"/>
  <c r="L235" i="44" s="1"/>
  <c r="H234" i="44"/>
  <c r="L234" i="44" s="1"/>
  <c r="H233" i="44"/>
  <c r="L233" i="44" s="1"/>
  <c r="H232" i="44"/>
  <c r="L232" i="44" s="1"/>
  <c r="H231" i="44"/>
  <c r="L231" i="44" s="1"/>
  <c r="H230" i="44"/>
  <c r="L230" i="44" s="1"/>
  <c r="H229" i="44"/>
  <c r="L229" i="44" s="1"/>
  <c r="H228" i="44"/>
  <c r="L228" i="44" s="1"/>
  <c r="H227" i="44"/>
  <c r="L227" i="44" s="1"/>
  <c r="H226" i="44"/>
  <c r="L226" i="44" s="1"/>
  <c r="H225" i="44"/>
  <c r="L225" i="44" s="1"/>
  <c r="H224" i="44"/>
  <c r="L224" i="44" s="1"/>
  <c r="H223" i="44"/>
  <c r="L223" i="44" s="1"/>
  <c r="H222" i="44"/>
  <c r="L222" i="44" s="1"/>
  <c r="K207" i="44"/>
  <c r="H204" i="44"/>
  <c r="L204" i="44" s="1"/>
  <c r="H203" i="44"/>
  <c r="L203" i="44" s="1"/>
  <c r="H202" i="44"/>
  <c r="L202" i="44" s="1"/>
  <c r="H201" i="44"/>
  <c r="L201" i="44" s="1"/>
  <c r="H200" i="44"/>
  <c r="L200" i="44" s="1"/>
  <c r="H199" i="44"/>
  <c r="L199" i="44" s="1"/>
  <c r="H198" i="44"/>
  <c r="L198" i="44" s="1"/>
  <c r="H197" i="44"/>
  <c r="L197" i="44" s="1"/>
  <c r="H196" i="44"/>
  <c r="L196" i="44" s="1"/>
  <c r="H195" i="44"/>
  <c r="L195" i="44" s="1"/>
  <c r="H194" i="44"/>
  <c r="L194" i="44" s="1"/>
  <c r="H193" i="44"/>
  <c r="L193" i="44" s="1"/>
  <c r="H192" i="44"/>
  <c r="L192" i="44" s="1"/>
  <c r="H191" i="44"/>
  <c r="L191" i="44" s="1"/>
  <c r="H190" i="44"/>
  <c r="L190" i="44" s="1"/>
  <c r="H189" i="44"/>
  <c r="L189" i="44" s="1"/>
  <c r="H188" i="44"/>
  <c r="L188" i="44" s="1"/>
  <c r="H187" i="44"/>
  <c r="L187" i="44" s="1"/>
  <c r="H186" i="44"/>
  <c r="L186" i="44" s="1"/>
  <c r="H185" i="44"/>
  <c r="L185" i="44" s="1"/>
  <c r="H184" i="44"/>
  <c r="L184" i="44" s="1"/>
  <c r="H183" i="44"/>
  <c r="L183" i="44" s="1"/>
  <c r="H182" i="44"/>
  <c r="L182" i="44" s="1"/>
  <c r="H181" i="44"/>
  <c r="L181" i="44" s="1"/>
  <c r="H180" i="44"/>
  <c r="L180" i="44" s="1"/>
  <c r="H179" i="44"/>
  <c r="L179" i="44" s="1"/>
  <c r="H178" i="44"/>
  <c r="L178" i="44" s="1"/>
  <c r="H177" i="44"/>
  <c r="L177" i="44" s="1"/>
  <c r="H176" i="44"/>
  <c r="L176" i="44" s="1"/>
  <c r="H175" i="44"/>
  <c r="L175" i="44" s="1"/>
  <c r="H174" i="44"/>
  <c r="L174" i="44" s="1"/>
  <c r="H173" i="44"/>
  <c r="L173" i="44" s="1"/>
  <c r="H172" i="44"/>
  <c r="L172" i="44" s="1"/>
  <c r="H171" i="44"/>
  <c r="L171" i="44" s="1"/>
  <c r="H170" i="44"/>
  <c r="L170" i="44" s="1"/>
  <c r="H169" i="44"/>
  <c r="L169" i="44" s="1"/>
  <c r="H168" i="44"/>
  <c r="L168" i="44" s="1"/>
  <c r="H167" i="44"/>
  <c r="L167" i="44" s="1"/>
  <c r="H166" i="44"/>
  <c r="L166" i="44" s="1"/>
  <c r="H165" i="44"/>
  <c r="L165" i="44" s="1"/>
  <c r="H164" i="44"/>
  <c r="L164" i="44" s="1"/>
  <c r="H163" i="44"/>
  <c r="L163" i="44" s="1"/>
  <c r="H162" i="44"/>
  <c r="L162" i="44" s="1"/>
  <c r="H161" i="44"/>
  <c r="L161" i="44" s="1"/>
  <c r="H160" i="44"/>
  <c r="L160" i="44" s="1"/>
  <c r="H159" i="44"/>
  <c r="L159" i="44" s="1"/>
  <c r="H158" i="44"/>
  <c r="L158" i="44" s="1"/>
  <c r="H157" i="44"/>
  <c r="L157" i="44" s="1"/>
  <c r="H156" i="44"/>
  <c r="L156" i="44" s="1"/>
  <c r="H155" i="44"/>
  <c r="L155" i="44" s="1"/>
  <c r="K140" i="44"/>
  <c r="H137" i="44"/>
  <c r="L137" i="44" s="1"/>
  <c r="H136" i="44"/>
  <c r="L136" i="44" s="1"/>
  <c r="H135" i="44"/>
  <c r="L135" i="44" s="1"/>
  <c r="H134" i="44"/>
  <c r="L134" i="44" s="1"/>
  <c r="H133" i="44"/>
  <c r="L133" i="44" s="1"/>
  <c r="H132" i="44"/>
  <c r="L132" i="44" s="1"/>
  <c r="H131" i="44"/>
  <c r="L131" i="44" s="1"/>
  <c r="H130" i="44"/>
  <c r="L130" i="44" s="1"/>
  <c r="H129" i="44"/>
  <c r="L129" i="44" s="1"/>
  <c r="H128" i="44"/>
  <c r="L128" i="44" s="1"/>
  <c r="H127" i="44"/>
  <c r="L127" i="44" s="1"/>
  <c r="H126" i="44"/>
  <c r="L126" i="44" s="1"/>
  <c r="H125" i="44"/>
  <c r="L125" i="44" s="1"/>
  <c r="H124" i="44"/>
  <c r="L124" i="44" s="1"/>
  <c r="H123" i="44"/>
  <c r="L123" i="44" s="1"/>
  <c r="H122" i="44"/>
  <c r="L122" i="44" s="1"/>
  <c r="H121" i="44"/>
  <c r="L121" i="44" s="1"/>
  <c r="H120" i="44"/>
  <c r="L120" i="44" s="1"/>
  <c r="H119" i="44"/>
  <c r="L119" i="44" s="1"/>
  <c r="H118" i="44"/>
  <c r="L118" i="44" s="1"/>
  <c r="H117" i="44"/>
  <c r="L117" i="44" s="1"/>
  <c r="H116" i="44"/>
  <c r="L116" i="44" s="1"/>
  <c r="H115" i="44"/>
  <c r="L115" i="44" s="1"/>
  <c r="H114" i="44"/>
  <c r="L114" i="44" s="1"/>
  <c r="H113" i="44"/>
  <c r="L113" i="44" s="1"/>
  <c r="H112" i="44"/>
  <c r="L112" i="44" s="1"/>
  <c r="H111" i="44"/>
  <c r="L111" i="44" s="1"/>
  <c r="H110" i="44"/>
  <c r="L110" i="44" s="1"/>
  <c r="H109" i="44"/>
  <c r="L109" i="44" s="1"/>
  <c r="H108" i="44"/>
  <c r="L108" i="44" s="1"/>
  <c r="H107" i="44"/>
  <c r="L107" i="44" s="1"/>
  <c r="H106" i="44"/>
  <c r="L106" i="44" s="1"/>
  <c r="H105" i="44"/>
  <c r="L105" i="44" s="1"/>
  <c r="H104" i="44"/>
  <c r="L104" i="44" s="1"/>
  <c r="H103" i="44"/>
  <c r="L103" i="44" s="1"/>
  <c r="H102" i="44"/>
  <c r="L102" i="44" s="1"/>
  <c r="H101" i="44"/>
  <c r="L101" i="44" s="1"/>
  <c r="H100" i="44"/>
  <c r="L100" i="44" s="1"/>
  <c r="H99" i="44"/>
  <c r="L99" i="44" s="1"/>
  <c r="H98" i="44"/>
  <c r="L98" i="44" s="1"/>
  <c r="H97" i="44"/>
  <c r="L97" i="44" s="1"/>
  <c r="H96" i="44"/>
  <c r="L96" i="44" s="1"/>
  <c r="H95" i="44"/>
  <c r="L95" i="44" s="1"/>
  <c r="H94" i="44"/>
  <c r="L94" i="44" s="1"/>
  <c r="H93" i="44"/>
  <c r="L93" i="44" s="1"/>
  <c r="H92" i="44"/>
  <c r="L92" i="44" s="1"/>
  <c r="H91" i="44"/>
  <c r="L91" i="44" s="1"/>
  <c r="H90" i="44"/>
  <c r="L90" i="44" s="1"/>
  <c r="H89" i="44"/>
  <c r="L89" i="44" s="1"/>
  <c r="H88" i="44"/>
  <c r="L88" i="44" s="1"/>
  <c r="H68" i="44"/>
  <c r="L68" i="44" s="1"/>
  <c r="H67" i="44"/>
  <c r="L67" i="44" s="1"/>
  <c r="H66" i="44"/>
  <c r="L66" i="44" s="1"/>
  <c r="H65" i="44"/>
  <c r="L65" i="44" s="1"/>
  <c r="H64" i="44"/>
  <c r="L64" i="44" s="1"/>
  <c r="H63" i="44"/>
  <c r="L63" i="44" s="1"/>
  <c r="H62" i="44"/>
  <c r="L62" i="44" s="1"/>
  <c r="H61" i="44"/>
  <c r="L61" i="44" s="1"/>
  <c r="K55" i="44"/>
  <c r="K53" i="44"/>
  <c r="K51" i="44"/>
  <c r="K50" i="44"/>
  <c r="K49" i="44"/>
  <c r="K48" i="44"/>
  <c r="K47" i="44"/>
  <c r="K46" i="44"/>
  <c r="K44" i="44"/>
  <c r="K43" i="44"/>
  <c r="K42" i="44"/>
  <c r="H41" i="44"/>
  <c r="K41" i="44" s="1"/>
  <c r="H40" i="44"/>
  <c r="K40" i="44" s="1"/>
  <c r="H39" i="44"/>
  <c r="K39" i="44" s="1"/>
  <c r="H38" i="44"/>
  <c r="K38" i="44" s="1"/>
  <c r="H37" i="44"/>
  <c r="K37" i="44" s="1"/>
  <c r="K36" i="44"/>
  <c r="K35" i="44"/>
  <c r="K34" i="44"/>
  <c r="H33" i="44"/>
  <c r="K33" i="44" s="1"/>
  <c r="K32" i="44"/>
  <c r="K31" i="44"/>
  <c r="K30" i="44"/>
  <c r="K28" i="44"/>
  <c r="K27" i="44"/>
  <c r="K26" i="44"/>
  <c r="H25" i="44"/>
  <c r="K25" i="44" s="1"/>
  <c r="K24" i="44"/>
  <c r="K23" i="44"/>
  <c r="K22" i="44"/>
  <c r="L609" i="44" l="1"/>
  <c r="L207" i="44"/>
  <c r="L810" i="44"/>
  <c r="K810" i="44"/>
  <c r="L1413" i="44"/>
  <c r="K1949" i="44"/>
  <c r="L2150" i="44"/>
  <c r="L73" i="44"/>
  <c r="L475" i="44"/>
  <c r="L542" i="44"/>
  <c r="L676" i="44"/>
  <c r="L743" i="44"/>
  <c r="L140" i="44"/>
  <c r="L274" i="44"/>
  <c r="K542" i="44"/>
  <c r="L1279" i="44"/>
  <c r="L341" i="44"/>
  <c r="L877" i="44"/>
  <c r="L1212" i="44"/>
  <c r="L1346" i="44"/>
  <c r="K877" i="44"/>
  <c r="L1145" i="44"/>
  <c r="K1815" i="44"/>
  <c r="L1882" i="44"/>
  <c r="L2016" i="44"/>
  <c r="K1480" i="44"/>
  <c r="L408" i="44"/>
  <c r="K1145" i="44"/>
  <c r="L1547" i="44"/>
  <c r="L1681" i="44"/>
  <c r="L1011" i="44"/>
  <c r="L1078" i="44"/>
  <c r="L1614" i="44"/>
  <c r="K1882" i="44"/>
  <c r="K1413" i="44"/>
  <c r="L1480" i="44"/>
  <c r="L1949" i="44"/>
  <c r="H2277" i="44"/>
  <c r="H2279" i="44"/>
  <c r="H2280" i="44"/>
  <c r="H2278" i="44"/>
  <c r="K73" i="44"/>
  <c r="L944" i="44"/>
  <c r="L1748" i="44"/>
  <c r="L1815" i="44"/>
  <c r="L2083" i="44"/>
  <c r="L2217" i="44"/>
  <c r="L2274" i="44"/>
  <c r="K2284" i="44" l="1"/>
  <c r="L2284" i="44"/>
  <c r="H2281" i="44"/>
  <c r="M2284" i="44" l="1"/>
</calcChain>
</file>

<file path=xl/sharedStrings.xml><?xml version="1.0" encoding="utf-8"?>
<sst xmlns="http://schemas.openxmlformats.org/spreadsheetml/2006/main" count="5007" uniqueCount="1293">
  <si>
    <t>No</t>
  </si>
  <si>
    <t>Item</t>
  </si>
  <si>
    <t>Volume</t>
  </si>
  <si>
    <t>Unit Price</t>
  </si>
  <si>
    <t>Client</t>
  </si>
  <si>
    <t>Contact</t>
  </si>
  <si>
    <t>Note :</t>
  </si>
  <si>
    <t>Cara pembayaran :</t>
  </si>
  <si>
    <t xml:space="preserve">Total   </t>
  </si>
  <si>
    <t>Say   :</t>
  </si>
  <si>
    <t>PELAYANAN UMUM</t>
  </si>
  <si>
    <t>Bottom</t>
  </si>
  <si>
    <t>PERLENGKAPAN DECK</t>
  </si>
  <si>
    <t>Service</t>
  </si>
  <si>
    <t>Material</t>
  </si>
  <si>
    <t>DETAIL OF DOCKING AND REPAIR COST</t>
  </si>
  <si>
    <t>Rincian Biaya Docking Dan Perbaikan</t>
  </si>
  <si>
    <t>: All</t>
  </si>
  <si>
    <t>PT. Meranti Nusa Bahari</t>
  </si>
  <si>
    <t>Project Information</t>
  </si>
  <si>
    <t>Name</t>
  </si>
  <si>
    <t>Length</t>
  </si>
  <si>
    <t>Breadth</t>
  </si>
  <si>
    <t>Depth</t>
  </si>
  <si>
    <t>Klass</t>
  </si>
  <si>
    <t>Type</t>
  </si>
  <si>
    <t>Aditya Agung H.</t>
  </si>
  <si>
    <t>General Manager</t>
  </si>
  <si>
    <t>I</t>
  </si>
  <si>
    <t>a</t>
  </si>
  <si>
    <t>Docking / Undocking</t>
  </si>
  <si>
    <t>Ls</t>
  </si>
  <si>
    <t>b</t>
  </si>
  <si>
    <t>Asistensi naik/ turun dock, termasuk persiapan ganjal</t>
  </si>
  <si>
    <t>c</t>
  </si>
  <si>
    <t>Asistensi dengan mooring Boat</t>
  </si>
  <si>
    <t>d</t>
  </si>
  <si>
    <t>Hari</t>
  </si>
  <si>
    <t>e</t>
  </si>
  <si>
    <t>f</t>
  </si>
  <si>
    <t>Disediakan Tempat penyimpanan logistik selama perbaikan</t>
  </si>
  <si>
    <t>g</t>
  </si>
  <si>
    <t>Penggunaan alat angkat (&lt;1 Ton)</t>
  </si>
  <si>
    <t>h</t>
  </si>
  <si>
    <t>i</t>
  </si>
  <si>
    <t>II</t>
  </si>
  <si>
    <t>Sekrap Bagian Bawah Air</t>
  </si>
  <si>
    <t>m2</t>
  </si>
  <si>
    <t>Sandblasting Bottom Sampai Waterline (S.A 2.0)</t>
  </si>
  <si>
    <t>Sandblasting Top Side (S.A 2.0)</t>
  </si>
  <si>
    <t>Sandblasting main Deck (S.A 2.0)</t>
  </si>
  <si>
    <t>Sandblasting External Sideboard (S.A 2.0)</t>
  </si>
  <si>
    <t>Sandblasting winch House (S.A 2.0)</t>
  </si>
  <si>
    <t>Pengecatan Bagian Bawah Air (1x primer,1x sealer,1 xAF)</t>
  </si>
  <si>
    <t>j</t>
  </si>
  <si>
    <t>Pengecatan Top Side (1x primer,1x top coat)</t>
  </si>
  <si>
    <t>k</t>
  </si>
  <si>
    <t>Pengecetan eksternal deck (1x primer, 1x top coat)</t>
  </si>
  <si>
    <t>l</t>
  </si>
  <si>
    <t>Pengecetan eksternal sideboard (1x primer, 1x top coat)</t>
  </si>
  <si>
    <t>m</t>
  </si>
  <si>
    <t>Pengecetan Winch House (1x Primer, 1x top coat)</t>
  </si>
  <si>
    <t>n</t>
  </si>
  <si>
    <t>Pemasangan Zinc Anode</t>
  </si>
  <si>
    <t>bh</t>
  </si>
  <si>
    <t>o</t>
  </si>
  <si>
    <t>Pengecatan Draft Mark, Nama Kapal</t>
  </si>
  <si>
    <t>p</t>
  </si>
  <si>
    <t>Cleaning Main deck &amp; Eksternal (Sisa cargo)</t>
  </si>
  <si>
    <t>IV</t>
  </si>
  <si>
    <t>TANGKI - TANGKI</t>
  </si>
  <si>
    <t>Buka dan Tutup Kembali Manhole</t>
  </si>
  <si>
    <t>pcs</t>
  </si>
  <si>
    <t>Bongkar Semen dan Penyemenan Kembali</t>
  </si>
  <si>
    <t>Ganti Karet Manhole</t>
  </si>
  <si>
    <t>Dilakukan Freegas Sebelum Pemeriksaan Kedalam Tangki</t>
  </si>
  <si>
    <t>Tank</t>
  </si>
  <si>
    <t>Air Test tangki</t>
  </si>
  <si>
    <t>Cleaning tangki</t>
  </si>
  <si>
    <t>V</t>
  </si>
  <si>
    <t>LAPORAN DAN GAMBAR</t>
  </si>
  <si>
    <t>Dibuatkan laporan pengedockan dan gambar bukaan kulit sesuai posisi replating</t>
  </si>
  <si>
    <t>set</t>
  </si>
  <si>
    <t>Naik turunkan Sideboard door</t>
  </si>
  <si>
    <t>Set</t>
  </si>
  <si>
    <t>JR. Rev. 00 Initial survey join survey with OS (22/08/24)</t>
  </si>
  <si>
    <t>REPLATING</t>
  </si>
  <si>
    <t>I.1</t>
  </si>
  <si>
    <t>Sideboard</t>
  </si>
  <si>
    <t>Sideboard Stantion, sway and stiffener SB</t>
  </si>
  <si>
    <t>-</t>
  </si>
  <si>
    <t>kg</t>
  </si>
  <si>
    <t>ST. No. 1, H-beam size (200x200x8x12 mm) x 3600 mm</t>
  </si>
  <si>
    <t>Sway No. 1, H-beam size (200x200x8x12 mm) x 3100 mm</t>
  </si>
  <si>
    <t>ST. No. 2, H-beam size (200x200x8x12 mm) x 1200 mm</t>
  </si>
  <si>
    <t>Sway No. 2, H-beam size (200x200x8x12 mm) x 3100 mm</t>
  </si>
  <si>
    <t>Sway No. 3, H-beam size (200x200x8x12 mm) x 3100 mm</t>
  </si>
  <si>
    <t>ST. No. 9-10, STF. No. 5, Angle bar size (100x100x10 mm) x 3600 mm</t>
  </si>
  <si>
    <t>Sideboard Stantion, sway and stiffener PS</t>
  </si>
  <si>
    <t>ST. No. 2, H-beam size (200x200x8x12 mm) x 3600 mm</t>
  </si>
  <si>
    <t>ST. No. 3, H-beam size (200x200x8x12 mm) x 3600 mm</t>
  </si>
  <si>
    <t>ST. No. 4, H-beam size (200x200x8x12 mm) x 3600 mm</t>
  </si>
  <si>
    <t>Sway No. 4, H-beam size (200x200x8x12 mm) x 3100 mm</t>
  </si>
  <si>
    <t>Sway No. 5, H-beam size (200x200x8x12 mm) x 3100 mm</t>
  </si>
  <si>
    <t>Sway No. 6, H-beam size (200x200x8x12 mm) x 3100 mm</t>
  </si>
  <si>
    <t>Sideboard Stantion and stiffener AP (Numbering from PS to SB)</t>
  </si>
  <si>
    <t>Sideboard Stantion and stiffener FP PS (Numbering from PS to SB)</t>
  </si>
  <si>
    <t>Sideboard Stantion and stiffener FP SB (Numbering from SB to PS)</t>
  </si>
  <si>
    <t>I.2</t>
  </si>
  <si>
    <t>Sideboard Plate</t>
  </si>
  <si>
    <t>Sideboard Plate SB</t>
  </si>
  <si>
    <t>Sideboard Plate PS</t>
  </si>
  <si>
    <t>Sideboard Plate AP</t>
  </si>
  <si>
    <t>Sideboard Plate FP PS</t>
  </si>
  <si>
    <t>Sideboard Plate FP SB</t>
  </si>
  <si>
    <t>I.3</t>
  </si>
  <si>
    <t>Portable side door</t>
  </si>
  <si>
    <t>Portable side door SB</t>
  </si>
  <si>
    <t>Portable side door PS</t>
  </si>
  <si>
    <t>Portable side door FP</t>
  </si>
  <si>
    <t>III</t>
  </si>
  <si>
    <t>Rumah bolder (Side), Plate size 400x130x12 mm, 2 pcs</t>
  </si>
  <si>
    <t>JANGKAR DAN PERLENGKAPAN</t>
  </si>
  <si>
    <t>Winch house</t>
  </si>
  <si>
    <t>Fabrication winch house</t>
  </si>
  <si>
    <t>Top, Plate size 3000x3000x8 mm</t>
  </si>
  <si>
    <t>Dismantle the old winch house</t>
  </si>
  <si>
    <t>Weathertight door winch house</t>
  </si>
  <si>
    <t>Handle, Roundbar size 5/8" x 400 mm</t>
  </si>
  <si>
    <t>Fabrication secret key</t>
  </si>
  <si>
    <t>Foundation warning light, 2 Joint</t>
  </si>
  <si>
    <t>Flange size 2" 5K, 2 pcs</t>
  </si>
  <si>
    <t>Sandblasting internal tangki (S.A 2.0)</t>
  </si>
  <si>
    <t>Pengecatan internal tangki (1x primer)</t>
  </si>
  <si>
    <t>Cleaning tangki (After Blasting)</t>
  </si>
  <si>
    <t>LAIN-LAIN</t>
  </si>
  <si>
    <t>UT scope IS dan dibuatkan laporannya</t>
  </si>
  <si>
    <t>JR. Rev. 01 Additional Work req by OS (05/10/24)</t>
  </si>
  <si>
    <t>Chine</t>
  </si>
  <si>
    <t>Fr. 0-1, Lajur F PS</t>
  </si>
  <si>
    <t>Fr. 0-1, Lajur F SB</t>
  </si>
  <si>
    <t>Fr. 23-24, Lajur F SB</t>
  </si>
  <si>
    <t>Side shell</t>
  </si>
  <si>
    <t>Fr. 23/24-25/26, Lajur G PS</t>
  </si>
  <si>
    <t xml:space="preserve">Plate(ABS) size 4000x1830x12 mm </t>
  </si>
  <si>
    <t>Fr. 37/38-40/41, Lajur G PS</t>
  </si>
  <si>
    <t>Fr. 42/43-46/47, Lajur G, H, I PS</t>
  </si>
  <si>
    <t>Fr. 41/42-43/44, Lajur G SB</t>
  </si>
  <si>
    <t>Transome</t>
  </si>
  <si>
    <t>Transome FP</t>
  </si>
  <si>
    <t>I.4</t>
  </si>
  <si>
    <t xml:space="preserve">Corner </t>
  </si>
  <si>
    <t>Corner PS</t>
  </si>
  <si>
    <t>Corner SB</t>
  </si>
  <si>
    <t>I.5</t>
  </si>
  <si>
    <t>Internal tank</t>
  </si>
  <si>
    <t>Internal tank 2 PS</t>
  </si>
  <si>
    <t>Internal tank 1 SB</t>
  </si>
  <si>
    <t>Internal tank 1 CT</t>
  </si>
  <si>
    <t>Internal tank 9 SB</t>
  </si>
  <si>
    <t>Internal tank 10 SB</t>
  </si>
  <si>
    <t>PERLENGKAPAN LAMBUNG</t>
  </si>
  <si>
    <t>II.1</t>
  </si>
  <si>
    <t>Draft mark</t>
  </si>
  <si>
    <t>Draft mark FP PS</t>
  </si>
  <si>
    <t>Draft mark FP SB</t>
  </si>
  <si>
    <t>II.2</t>
  </si>
  <si>
    <t>Pad eye</t>
  </si>
  <si>
    <t>Pad eye PS &amp; SB</t>
  </si>
  <si>
    <t>Pad eye, Plate size 130x80x12 mm, @1 pcs</t>
  </si>
  <si>
    <t>II.3</t>
  </si>
  <si>
    <t>Daprah</t>
  </si>
  <si>
    <t>TANGKI-TANGKI</t>
  </si>
  <si>
    <t>Manhole</t>
  </si>
  <si>
    <t xml:space="preserve">Bongkar dan pasang kembali ring manhole </t>
  </si>
  <si>
    <t>Manhole tank 2 PS</t>
  </si>
  <si>
    <t>Manhole tank 3 PS</t>
  </si>
  <si>
    <t>Manhole tank 4 PS</t>
  </si>
  <si>
    <t>Manhole tank 5 PS</t>
  </si>
  <si>
    <t>Manhole tank 6 PS</t>
  </si>
  <si>
    <t>Manhole tank 7 PS</t>
  </si>
  <si>
    <t>Manhole tank 8 PS</t>
  </si>
  <si>
    <t>Manhole tank 9 PS</t>
  </si>
  <si>
    <t>Manhole tank 10 PS</t>
  </si>
  <si>
    <t>Manhole tank 2 SB</t>
  </si>
  <si>
    <t>Manhole tank 3 SB</t>
  </si>
  <si>
    <t>Manhole tank 4 SB</t>
  </si>
  <si>
    <t>Manhole tank 5 SB</t>
  </si>
  <si>
    <t>q</t>
  </si>
  <si>
    <t>Manhole tank 6 SB</t>
  </si>
  <si>
    <t>r</t>
  </si>
  <si>
    <t>Manhole tank 7 SB</t>
  </si>
  <si>
    <t>s</t>
  </si>
  <si>
    <t>Manhole tank 8 SB</t>
  </si>
  <si>
    <t>t</t>
  </si>
  <si>
    <t>Manhole tank 9 SB</t>
  </si>
  <si>
    <t>u</t>
  </si>
  <si>
    <t>Manhole tank 10 SB</t>
  </si>
  <si>
    <t>III.1</t>
  </si>
  <si>
    <t>Bracket towing</t>
  </si>
  <si>
    <t>Bracket towing PS &amp; SB (Haluan)</t>
  </si>
  <si>
    <t>JR. Rev. 03 Additional Work req by OS (10/10/24)</t>
  </si>
  <si>
    <t>Main deck</t>
  </si>
  <si>
    <t xml:space="preserve">Lajur A, Plate (ABS) size 6100x1830x12 mm </t>
  </si>
  <si>
    <t xml:space="preserve">Lajur A/B, Plate (ABS) size 6100x1830x12 mm </t>
  </si>
  <si>
    <t xml:space="preserve">Lajur B, Plate (ABS) size 6100x1830x12 mm </t>
  </si>
  <si>
    <t xml:space="preserve">Lajur C, Plate (ABS) size 6100x1830x12 mm </t>
  </si>
  <si>
    <t xml:space="preserve">Lajur D, Plate (ABS) size 6100x1830x12 mm </t>
  </si>
  <si>
    <t xml:space="preserve">Lajur D/E, Plate (ABS) size 6100x1830x12 mm </t>
  </si>
  <si>
    <t xml:space="preserve">Lajur C/D, Plate (ABS) size 6100x1830x12 mm </t>
  </si>
  <si>
    <t>Tabel Sounding</t>
  </si>
  <si>
    <t>Perhitungan Table Sounding Tangki</t>
  </si>
  <si>
    <t>Tanki</t>
  </si>
  <si>
    <t>ST. No. 18, H-beam size (200x200x8x12 mm) x 3600 mm</t>
  </si>
  <si>
    <t>ST. No. 19, H-beam size (200x200x8x12 mm) x 3600 mm</t>
  </si>
  <si>
    <t>JR. Rev. 05 Revisi material (06/11/24)</t>
  </si>
  <si>
    <t>Pipa sounding</t>
  </si>
  <si>
    <t>mm</t>
  </si>
  <si>
    <t>JR. Rev. 05 Additional work req by OS (06/11/24)</t>
  </si>
  <si>
    <t xml:space="preserve">Plate (ABS) size 6100x1830x12 mm </t>
  </si>
  <si>
    <t>Fr. 5/6-8/9, Lajur A-E PS</t>
  </si>
  <si>
    <t xml:space="preserve">Lajur B/C, Plate (ABS) size 6100x1830x12 mm </t>
  </si>
  <si>
    <t xml:space="preserve">Lajur E, Plate (ABS) size 6100x1530x12 mm </t>
  </si>
  <si>
    <t>Fr. 5/6-8/9, Lajur A-E SB</t>
  </si>
  <si>
    <t>Fr. 42/43-46/47, Lajur K</t>
  </si>
  <si>
    <t>ST. No. 16, H-beam size (200x200x8x12 mm) x 3600 mm</t>
  </si>
  <si>
    <t>ST. No. 17, H-beam size (200x200x8x12 mm) x 3600 mm</t>
  </si>
  <si>
    <t>ST. No. 20, H-beam size (200x200x8x12 mm) x 3600 mm</t>
  </si>
  <si>
    <t>Safety pintu haluan</t>
  </si>
  <si>
    <t>Sway, H-beam size (200x200x8x12 mm) x 3100 mm</t>
  </si>
  <si>
    <t>: 89/FIN/MKT-MNB/XI/2024</t>
  </si>
  <si>
    <t>:  91.44 Meter</t>
  </si>
  <si>
    <t>:  24.38 Meter</t>
  </si>
  <si>
    <t>:     6.10 Meter</t>
  </si>
  <si>
    <t>:  RINA</t>
  </si>
  <si>
    <t xml:space="preserve"> </t>
  </si>
  <si>
    <t>JR. Rev. 07 Additional work req by OS (30/11/24)</t>
  </si>
  <si>
    <t>Winch house stantion</t>
  </si>
  <si>
    <t>Longitudinal STF, H-beam size (200x200x8x12) x 3000 mm, 3 pcs</t>
  </si>
  <si>
    <t>Winch foundation</t>
  </si>
  <si>
    <t>Ladder winch house</t>
  </si>
  <si>
    <t xml:space="preserve">Railing, Elbow size 1 1/4" sch 40 </t>
  </si>
  <si>
    <t>Weathertight door Chain locker</t>
  </si>
  <si>
    <t>Horizontal STF, Plat strip uk. (1 1/2" x 8 mm) x 650 mm</t>
  </si>
  <si>
    <t xml:space="preserve">B/N uk. 5/8 x 2 1/2" </t>
  </si>
  <si>
    <t>Spurling pipe</t>
  </si>
  <si>
    <t>Peluncuran jangkar</t>
  </si>
  <si>
    <t>Roller, Pipa size 8" sch. 80</t>
  </si>
  <si>
    <t>Roller, Doubling pipe, Plate size 200x200x12 mm, 2 pcs</t>
  </si>
  <si>
    <t>Roller, Bubut dan pengepasan roller</t>
  </si>
  <si>
    <t>JR. Rev. 08 Additonal work req by OS (06/12/24)</t>
  </si>
  <si>
    <t>Tangki nomer 1 PS</t>
  </si>
  <si>
    <t>B/N (SS) size 3/4" x 2,5"</t>
  </si>
  <si>
    <t>Tangki nomer 2 PS</t>
  </si>
  <si>
    <t>Tangki nomer 3 PS</t>
  </si>
  <si>
    <t>Tangki nomer 4 PS</t>
  </si>
  <si>
    <t>Tangki nomer 5 PS</t>
  </si>
  <si>
    <t>Tangki nomer 6 PS</t>
  </si>
  <si>
    <t>Tangki nomer 7 PS</t>
  </si>
  <si>
    <t>Tangki nomer 8 PS</t>
  </si>
  <si>
    <t>Tangki nomer 9 PS</t>
  </si>
  <si>
    <t>Tangki nomer 10 PS</t>
  </si>
  <si>
    <t>Tangki nomer 1 CT</t>
  </si>
  <si>
    <t>Tangki nomer 2 CT</t>
  </si>
  <si>
    <t>Tangki nomer 3 CT</t>
  </si>
  <si>
    <t>Tangki nomer 4 CT</t>
  </si>
  <si>
    <t>Tangki nomer 5 CT</t>
  </si>
  <si>
    <t>Tangki nomer 6 CT</t>
  </si>
  <si>
    <t>Tangki nomer 7 CT</t>
  </si>
  <si>
    <t>Tangki nomer 8 CT</t>
  </si>
  <si>
    <t>Tangki nomer 9 CT</t>
  </si>
  <si>
    <t>Tangki nomer 10 CT</t>
  </si>
  <si>
    <t>Tangki nomer 1 SB</t>
  </si>
  <si>
    <t>v</t>
  </si>
  <si>
    <t>Tangki nomer 2 SB</t>
  </si>
  <si>
    <t>w</t>
  </si>
  <si>
    <t>Tangki nomer 3 SB</t>
  </si>
  <si>
    <t>x</t>
  </si>
  <si>
    <t>Tangki nomer 4 SB</t>
  </si>
  <si>
    <t>y</t>
  </si>
  <si>
    <t>Tangki nomer 5 SB</t>
  </si>
  <si>
    <t>z</t>
  </si>
  <si>
    <t>Tangki nomer 6 SB</t>
  </si>
  <si>
    <t>aa</t>
  </si>
  <si>
    <t>Tangki nomer 7 SB</t>
  </si>
  <si>
    <t>ab</t>
  </si>
  <si>
    <t>Tangki nomer 8 SB</t>
  </si>
  <si>
    <t>ac</t>
  </si>
  <si>
    <t>Tangki nomer 9 SB</t>
  </si>
  <si>
    <t>ad</t>
  </si>
  <si>
    <t>Tangki nomer 10 SB</t>
  </si>
  <si>
    <t>JR. Rev. 09 Additonal work req by OS (24/12/24)</t>
  </si>
  <si>
    <t>PERLENGEKAPAN LAMBUNG</t>
  </si>
  <si>
    <t>Stepladder on sideshell PS</t>
  </si>
  <si>
    <t>Safety Railing, Elbow size 1,5" sch. 80, 4 pcs</t>
  </si>
  <si>
    <t>Stepladder on sideshell SB</t>
  </si>
  <si>
    <t>Sewa dock selama tongkang dalam perbaikan (2 oktober 2024 -17 desember 2024, 18 desember 2024 - 6 Februari 2025)</t>
  </si>
  <si>
    <t>Fasilitas sandar sesudah docking (sewa sandar) (7 Februari 2025 - 19 Februari 2025)</t>
  </si>
  <si>
    <r>
      <t xml:space="preserve">PERAWATAN BADAN KAPAL </t>
    </r>
    <r>
      <rPr>
        <b/>
        <i/>
        <sz val="11"/>
        <rFont val="Arial"/>
        <family val="2"/>
      </rPr>
      <t>(Supplai Material by Owner)</t>
    </r>
  </si>
  <si>
    <t>Cuci Air Tawar (bottom dan lambung)</t>
  </si>
  <si>
    <t>ST. No. 0-1, STF. No. 2, Angle bar size (100x100x10 mm) x 1090 mm</t>
  </si>
  <si>
    <t>ST. No. 0-1, STF. No. 1, 3, 4, 5, Angle bar size (100x100x10 mm) x 3660 mm, 4 pcs</t>
  </si>
  <si>
    <t>ST. No. 1, Foundation foot, Plate size 250x250x12 mm</t>
  </si>
  <si>
    <t>Sway No. 1, Foundation foot, Plate size 250x250x12 mm</t>
  </si>
  <si>
    <t>ST. No. 1-2, STF. No. 2, Angle bar size (100x100x10 mm) x 1090 mm</t>
  </si>
  <si>
    <t>ST. No. 1-2, STF. No. 3, Angle bar size (100x100x10 mm) x 840 mm</t>
  </si>
  <si>
    <t>ST. No. 1-2, STF. No. 1, 4, 5, Angle bar size (100x100x10 mm) x 3640 mm, 3 pcs</t>
  </si>
  <si>
    <t>ST. No. 2, Foundation foot, Plate size 250x250x12 mm</t>
  </si>
  <si>
    <t>Sway No. 2, Foundation foot, Plate size 250x250x12 mm</t>
  </si>
  <si>
    <t>ST. No. 2-3, STF. No. 3, Angle bar size (100x100x10 mm) x 1190 mm</t>
  </si>
  <si>
    <t>ST. No. 2-3, STF. No. 4, Angle bar size (100x100x10 mm) x 1170 mm</t>
  </si>
  <si>
    <t>ST. No. 2-3, STF. No. 1, 2, 5, Angle bar size (100x100x10 mm) x 3650 mm, 3 pcs</t>
  </si>
  <si>
    <t>ST. No. 3, Foundation foot, Plate size 250x250x12 mm</t>
  </si>
  <si>
    <t>Sway No. 3, Foundation foot, Plate size 250x250x12 mm</t>
  </si>
  <si>
    <t>ST. No. 3-4, STF. No. 1, 5, Angle bar size (100x100x10 mm) x 3640 mm, 2 pcs</t>
  </si>
  <si>
    <t>ST. No. 4, Foundation foot, Plate size 250x250x12 mm</t>
  </si>
  <si>
    <t>Sway No. 4, Foundation foot, Plate size 250x250x12 mm</t>
  </si>
  <si>
    <t>ST. No. 4-5, STF. No. 1, Angle bar size (100x100x10 mm) x 3650 mm</t>
  </si>
  <si>
    <t>ST. No. 4-5, STF. No. 5, Angle bar size (100x100x10 mm) x 3630 mm</t>
  </si>
  <si>
    <t>ST. No. 5, H-beam size (200x200x8x12 mm) x 3600 mm</t>
  </si>
  <si>
    <t>ST. No. 5, Foundation foot, Plate size 250x250x12 mm</t>
  </si>
  <si>
    <t>Sway No. 5, Foundation foot, Plate size 300x300x12 mm</t>
  </si>
  <si>
    <t>ST. No. 5-6, STF. No. 1, Angle bar size (100x100x10 mm) x 3660 mm</t>
  </si>
  <si>
    <t>ST. No. 5-6, STF. No. 5, Angle bar size (100x100x10 mm) x 3650 mm</t>
  </si>
  <si>
    <t>ST. No. 6, H-beam size (200x200x8x12 mm) x 3600 mm</t>
  </si>
  <si>
    <t>ST. No. 6, Foundation foot, Plate size 250x250x12 mm</t>
  </si>
  <si>
    <t>Sway No. 6, Foundation foot, Plate size 300x300x12 mm</t>
  </si>
  <si>
    <t>ST. No. 6-7, STF. No. 1, Angle bar size (100x100x10 mm) x 3450 mm</t>
  </si>
  <si>
    <t>ST. No. 6-7, STF. No. 4, Angle bar size (100x100x10 mm) x 3480 mm</t>
  </si>
  <si>
    <t>ST. No. 7, H-beam size (200x200x8x12 mm) x 3600 mm</t>
  </si>
  <si>
    <t>ST. No. 7, Foundation foot, Plate size 250x250x12 mm</t>
  </si>
  <si>
    <t>Sway No. 7, H-beam size (200x200x8x12 mm) x 3100 mm</t>
  </si>
  <si>
    <t>Sway No. 7, Foundation foot, Plate size 300x300x12 mm</t>
  </si>
  <si>
    <t>ST. No. 7-8, STF. No. 1, 5, Angle bar size (100x100x10 mm) x 3640 mm, 2 pcs</t>
  </si>
  <si>
    <t>ST. No. 8, H-beam size (200x200x8x12 mm) x 3600 mm</t>
  </si>
  <si>
    <t>ST. No. 8, Foundation foot, Plate size 250x250x12 mm</t>
  </si>
  <si>
    <t>Sway No. 8, Foundation foot, Plate size 300x300x12 mm</t>
  </si>
  <si>
    <t>ST. No. 8-9, STF. No. 1, 5, Angle bar size (100x100x10 mm) x 3650 mm, 2 pcs</t>
  </si>
  <si>
    <t>ST. No. 9, H-beam size (200x200x8x12 mm) x 3600 mm</t>
  </si>
  <si>
    <t>ST. No. 9, Foundation foot, Plate size 250x250x12 mm</t>
  </si>
  <si>
    <t>Sway No. 9, Foundation foot, Plate size 300x300x12 mm</t>
  </si>
  <si>
    <t>ST. No. 9-10, STF. No. 1, Angle bar size (100x100x10 mm) x 3650 mm</t>
  </si>
  <si>
    <t>ST. No. 9-10, STF. No. 5, Angle bar size (100x100x10 mm) x 3630 mm</t>
  </si>
  <si>
    <t>ST. No. 10, H-beam size (200x200x8x12 mm) x 3600 mm</t>
  </si>
  <si>
    <t>ST. No. 10, Foundation foot, Plate size 250x250x12 mm</t>
  </si>
  <si>
    <t>Sway No. 10, Foundation foot, Plate size 300x300x12 mm</t>
  </si>
  <si>
    <t>ST. No. 10-11, STF. No. 1, Angle bar size (100x100x10 mm) x 3440 mm</t>
  </si>
  <si>
    <t>ST. No. 10-11, STF. No. 3, Angle bar size (100x100x10 mm) x 1380 mm</t>
  </si>
  <si>
    <t>ST. No. 10-11, STF. No. 4, Angle bar size (100x100x10 mm) x 1210 mm</t>
  </si>
  <si>
    <t>ST. No. 10-11, STF. No. 5, Angle bar size (100x100x10 mm) x 3450 mm</t>
  </si>
  <si>
    <t>ST. No. 11, H-beam size (200x200x8x12 mm) x 1840 mm</t>
  </si>
  <si>
    <t>ST. No. 11, Foundation foot, Plate size 250x250x12 mm</t>
  </si>
  <si>
    <t>Sway No. 11, Foundation foot, Plate size 300x300x12 mm</t>
  </si>
  <si>
    <t>ST. No. 11-12, STF. No. 1, Angle bar size (100x100x10 mm) x 3630 mm</t>
  </si>
  <si>
    <t>ST. No. 11-12, STF. No. 4, 5, Angle bar size (100x100x10 mm) x 3650 mm, 2 pcs</t>
  </si>
  <si>
    <t>ST. No. 12, H-beam size (200x200x8x12 mm) x 3600 mm</t>
  </si>
  <si>
    <t>ST. No. 12, Foundation foot, Plate size 250x250x12 mm</t>
  </si>
  <si>
    <t>Sway No. 12, Foundation foot, Plate size 300x300x12 mm</t>
  </si>
  <si>
    <t>ST. No. 12-13, STF. No. 2, Angle bar size (100x100x10 mm) x 700 mm</t>
  </si>
  <si>
    <t>ST. No. 12-13, STF. No. 3, Angle bar size (100x100x10 mm) x 720 mm</t>
  </si>
  <si>
    <t>ST. No. 12-13, STF. No. 4, Angle bar size (100x100x10 mm) x 710 mm</t>
  </si>
  <si>
    <t>ST. No. 12-13, STF. No. 1, 5, Angle bar size (100x100x10 mm) x 3620 mm, 2 pcs</t>
  </si>
  <si>
    <t>ST. No. 13, H-beam size (200x200x8x12 mm) x 3600 mm</t>
  </si>
  <si>
    <t>ST. No. 13, Foundation foot, Plate size 250x250x12 mm</t>
  </si>
  <si>
    <t>ST. No. 14, H-beam size (200x200x8x12 mm) x 3600 mm</t>
  </si>
  <si>
    <t>ST. No. 14, Foundation foot, Plate size 250x250x12 mm</t>
  </si>
  <si>
    <t>Sway No. 13, H-beam size (200x200x8x12 mm) x 3100 mm</t>
  </si>
  <si>
    <t>Sway No. 13, Foundation foot, Plate size 300x300x12 mm</t>
  </si>
  <si>
    <t>Sway No. 14, H-beam size (200x200x8x12 mm) x 3130 mm</t>
  </si>
  <si>
    <t>Sway No. 14, Foundation foot, Plate size 300x300x12 mm</t>
  </si>
  <si>
    <t>ST. No. 14-15, STF. No. 1, Angle bar size (100x100x10 mm) x 2710 mm</t>
  </si>
  <si>
    <t>ST. No. 14-15, STF. No. 2, 5, Angle bar size (100x100x10 mm) x 1100 mm, 2 pcs</t>
  </si>
  <si>
    <t>ST. No. 14-15, STF. No. 3, 4, Angle bar size (100x100x10 mm) x 1120 mm, 2 pcs</t>
  </si>
  <si>
    <t>ST. No. 15, H-beam size (200x200x8x12 mm) x 1030 mm</t>
  </si>
  <si>
    <t>ST. No. 15, Foundation foot, Plate size 250x250x12 mm</t>
  </si>
  <si>
    <t>Sway No. 15, H-beam size (200x200x8x12 mm) x 3110 mm</t>
  </si>
  <si>
    <t>Sway No. 15, Foundation foot, Plate size 300x300x12 mm</t>
  </si>
  <si>
    <t>ST. No. 15-16, STF. No. 1, Angle bar size (100x100x10 mm) x 3650 mm</t>
  </si>
  <si>
    <t>ST. No. 16, H-beam size (200x200x8x12 mm) x 980 mm</t>
  </si>
  <si>
    <t>ST. No. 16, Foundation foot, Plate size 250x250x12 mm</t>
  </si>
  <si>
    <t>Sway No. 16, Foundation foot, Plate size 300x300x12 mm</t>
  </si>
  <si>
    <t>ST. No. 16-17, STF. No. 2-5, Angle bar size (100x100x10 mm) x 360 mm, 4 pcs</t>
  </si>
  <si>
    <t>ST. No. 16-17, STF. No. 1, Angle bar size (100x100x10 mm) x 3630 mm</t>
  </si>
  <si>
    <t>ST. No. 17, Foundation foot, Plate size 250x250x12 mm</t>
  </si>
  <si>
    <t>Sway No. 17, H-beam size (200x200x8x12 mm) x 3120 mm</t>
  </si>
  <si>
    <t>Sway No. 17, Foundation foot, Plate size 300x300x12 mm</t>
  </si>
  <si>
    <t>ST. No. 17-18, STF. No. 1, Angle bar size (100x100x10 mm) x 3650 mm</t>
  </si>
  <si>
    <t>ST. No. 17-18, STF. No. 2-5, Angle bar size (100x100x10 mm) x 720 mm, 4 pcs</t>
  </si>
  <si>
    <t>ST. No. 18, Foundation foot, Plate size 250x250x12 mm</t>
  </si>
  <si>
    <t>Sway No. 18, H-beam size (200x200x8x12 mm) x 3130 mm</t>
  </si>
  <si>
    <t>Sway No. 18, Foundation foot, Plate size 300x300x12 mm</t>
  </si>
  <si>
    <t>ST. No. 18-19, STF. No. 1, Angle bar size (100x100x10 mm) x 3640 mm</t>
  </si>
  <si>
    <t>ST. No. 18-19, STF. No. 3, Angle bar size (100x100x10 mm) x 730 mm</t>
  </si>
  <si>
    <t>ST. No. 18-19, STF. No. 4, Angle bar size (100x100x10 mm) x 710 mm</t>
  </si>
  <si>
    <t>ST. No. 18-19, STF. No. 2, 5, Angle bar size (100x100x10 mm) x 720 mm, 2 pcs</t>
  </si>
  <si>
    <t>ST. No. 19, Foundation foot, Plate size 250x250x12 mm</t>
  </si>
  <si>
    <t>Sway No. 19, H-beam size (200x200x8x12 mm) x 3120 mm</t>
  </si>
  <si>
    <t>Sway No. 19, Foundation foot, Plate size 300x300x12 mm</t>
  </si>
  <si>
    <t>ST. No. 19-20, STF. No. 4, Angle bar size (100x100x10 mm) x 3620 mm</t>
  </si>
  <si>
    <t>ST. No. 19-20, STF. No. 5, Angle bar size (100x100x10 mm) x 3610 mm</t>
  </si>
  <si>
    <t>ST. No. 19-20, STF. No. 1-3, Angle bar size (100x100x10 mm) x 3600 mm, 3 pcs</t>
  </si>
  <si>
    <t>ST. No. 20, H-beam size (200x200x8x12 mm) x 3550 mm</t>
  </si>
  <si>
    <t>ST. No. 20, Foundation foot, Plate size 250x250x12 mm</t>
  </si>
  <si>
    <t>Sway No. 20, H-beam size (200x200x8x12 mm) x 3040 mm</t>
  </si>
  <si>
    <t>Sway No. 20, Foundation foot, Plate size 300x300x12 mm</t>
  </si>
  <si>
    <t>ST. No. 20-21, STF. No. 1-5, Angle bar size (100x100x10 mm) x 3640 mm, 5 pcs</t>
  </si>
  <si>
    <t>ST. No. 21, H-beam size (200x200x8x12 mm) x 3560 mm</t>
  </si>
  <si>
    <t>ST. No. 21, Foundation foot, Plate size 250x250x12 mm</t>
  </si>
  <si>
    <t>Sway No. 21, H-beam size (200x200x8x12 mm) x 3100 mm</t>
  </si>
  <si>
    <t>Sway No. 21, Foundation foot, Plate size 300x300x12 mm</t>
  </si>
  <si>
    <t>ST. No. 21-22, STF. No. 1-5, Angle bar size (100x100x10 mm) x 3640 mm, 5 pcs</t>
  </si>
  <si>
    <t>ST. No. 22, H-beam size (200x200x8x12 mm) x 1210 mm</t>
  </si>
  <si>
    <t>ST. No. 22, Foundation foot, Plate size 250x250x12 mm</t>
  </si>
  <si>
    <t>Sway No. 22, H-beam size (200x200x8x12 mm) x 1210 mm</t>
  </si>
  <si>
    <t>Sway No. 22, Foundation foot, Plate size 300x300x12 mm</t>
  </si>
  <si>
    <t>ST. No. 22-23, STF. No. 1-5, Angle bar size (100x100x10 mm) x 2820 mm, 5 pcs</t>
  </si>
  <si>
    <t>ST. No. 0-13, STF. No. 6, Angle bar size (150x150x12 mm) x 47590 mm</t>
  </si>
  <si>
    <t>ST. No. 14-end, STF. No. 6, Angle bar size (150x150x12 mm) x 29530 mm</t>
  </si>
  <si>
    <t>ST. No. 1-22, Doubling STF., Angle bar size (100x100x10 mm) x 150 mm, 10 pcs</t>
  </si>
  <si>
    <t>ST. No. 1-22, Doubling STF., Angle bar size (150x150x12 mm) x 200 mm, 9 pcs</t>
  </si>
  <si>
    <t>ST. No. 1-22, Bracket, Plate size 250x140x10 mm, 60 pcs</t>
  </si>
  <si>
    <t>ST. and Sway Doubling, Plate size 300x180x10 mm, 8 pcs</t>
  </si>
  <si>
    <t>Bongkar dan pasang kembali Sway No. 6, 8, 9, 10, 11, 12, 16, H-beam size (200x200x8x12 mm) x 3100 mm, 7 pcs (material lama)</t>
  </si>
  <si>
    <t>ST. No. 0-1, STF. No. 1-5, Angle bar size (100x100x10 mm) x 3650 mm, 5 pcs</t>
  </si>
  <si>
    <t>ST. No. 0-1, STF. No. 6, Angle bar size (150x150x12 mm) x 3650 mm</t>
  </si>
  <si>
    <t>ST. No. 0-1, Doubling STF. No. 1, Angle bar size (100x100x10 mm) x 140 mm</t>
  </si>
  <si>
    <t>ST. No. 0-1, Doubling STF. No. 2, Angle bar size (100x100x10 mm) x 200 mm</t>
  </si>
  <si>
    <t>ST. No. 0-1, Doubling STF. No. 3, Angle bar size (100x100x10 mm) x 180 mm</t>
  </si>
  <si>
    <t>ST. No. 1-2, STF. No. 1-5, Angle bar size (100x100x10 mm) x 3640 mm, 5 pcs</t>
  </si>
  <si>
    <t>ST. No. 1-2, STF. No. 6, Angle bar size (150x150x12 mm) x 3640 mm</t>
  </si>
  <si>
    <t>ST. No. 1-2, Doubling STF. No. 2, Angle bar size (100x100x10 mm) x 200 mm</t>
  </si>
  <si>
    <t>ST. No. 2-3, STF. No. 1, 2, 3,4, 5, Angle bar size (100x100x10 mm) x 3630 mm, 5 pcs</t>
  </si>
  <si>
    <t>ST. No. 2-3, STF. No. 6, Angle bar size (150x150x12 mm) x 3630 mm</t>
  </si>
  <si>
    <t>ST. No. 2-3, Doubling STF. No. 2, Angle bar size (100x100x10 mm) x 200 mm</t>
  </si>
  <si>
    <t>ST. No. 2-3, Doubling STF. No. 3, Angle bar size (100x100x10 mm) x 160 mm</t>
  </si>
  <si>
    <t>ST. No. 2-3, Doubling STF. No. 4, Angle bar size (100x100x10 mm) x 150 mm</t>
  </si>
  <si>
    <t>ST. No. 2-3, Bracket STF. No. 4, Plate size 260x150x8 mm</t>
  </si>
  <si>
    <t>ST. No. 2-3, Bracket STF. No. 4, Plate size 260x170x8 mm</t>
  </si>
  <si>
    <t>ST. No. 3, H-beam size (200x200x8x12 mm) x 2250 mm</t>
  </si>
  <si>
    <t>ST. No. 3, Doubling, Plate size 300x180x10 mm</t>
  </si>
  <si>
    <t>ST. No. 3-4, STF. No. 1, 5, Angle bar size (100x100x10 mm) x 3650 mm, 2 pcs</t>
  </si>
  <si>
    <t>ST. No. 3-4, STF. No. 2, Angle bar size (100x100x10 mm) x 1830 mm</t>
  </si>
  <si>
    <t>ST. No. 3-4, STF. No. 6, Angle bar size (150x150x12 mm) x 3650 mm</t>
  </si>
  <si>
    <t>ST. No. 3-4, Doubling STF. No. 2, Angle bar size (100x100x10 mm) x 200 mm, 2 pcs</t>
  </si>
  <si>
    <t>ST. No. 3-4, Bracket STF. No. 2, Plate size 250x150x10 mm</t>
  </si>
  <si>
    <t>ST. No. 3-4, Doubling STF. No. 3, Angle bar size (100x100x10 mm) x 200 mm, 2 pcs</t>
  </si>
  <si>
    <t>ST. No. 3-4, Bracket STF. No. 3, Plate size 250x160x10 mm</t>
  </si>
  <si>
    <t>ST. No. 3-4, Doubling STF. No. 4, Angle bar size (100x100x10 mm) x 200 mm, 2 pcs</t>
  </si>
  <si>
    <t>ST. No. 3-4, Bracket STF. No. 4, Plate size 250x160x10 mm</t>
  </si>
  <si>
    <t>ST. No. 3-4, Bracket STF. No. 5, Plate size 250x160x10 mm</t>
  </si>
  <si>
    <t>ST. No. 3-4, Doubling STF. No. 6, Angle bar size (150x150x12 mm) x 200 mm, 3 pcs</t>
  </si>
  <si>
    <t>ST. No. 4-5, STF. No. 1, 5, Angle bar size (100x100x10 mm) x 3630 mm, 2 pcs</t>
  </si>
  <si>
    <t>ST. No. 4-5, STF. No. 6, Angle bar size (150x150x12 mm) x 3630 mm</t>
  </si>
  <si>
    <t>ST. No. 4-5, Doubling STF. No. 1, Angle bar size (100x100x10 mm) x 200 mm</t>
  </si>
  <si>
    <t>ST. No. 4-5, Bracket STF. No. 2, Plate size 250x150x10 mm, 2 pcs</t>
  </si>
  <si>
    <t>ST. No. 4-5, Bracket STF. No. 3, Plate size 250x150x10 mm, 2 pcs</t>
  </si>
  <si>
    <t>ST. No. 4-5, Bracket STF. No. 4, Plate size 250x150x10 mm, 2 pcs</t>
  </si>
  <si>
    <t>ST. No. 4-5, Doubling STF. No. 5, Angle bar size (100x100x10 mm) x 200 mm</t>
  </si>
  <si>
    <t>Sway No. 5, Foundation foot, Plate size 250x250x12 mm</t>
  </si>
  <si>
    <t>ST. No. 5-6, STF. No. 1, 2, 3, 4, 5, Angle bar size (100x100x10 mm) x 3630 mm, 5 pcs</t>
  </si>
  <si>
    <t>ST. No. 5-6, STF. No. 6, Angle bar size (150x150x12 mm) x 3630 mm</t>
  </si>
  <si>
    <t>ST. No. 5-6, Doubling STF. No. 2, Angle bar size (100x100x10 mm) x 200 mm, 2 pcs</t>
  </si>
  <si>
    <t>ST. No. 5-6, Doubling STF. No. 2, Angle bar size (100x100x10 mm) x 160 mm</t>
  </si>
  <si>
    <t>ST. No. 5-6, Bracket STF. No. 2, Plate size 250x150x8 mm</t>
  </si>
  <si>
    <t>ST. No. 5-6, Doubling STF. No. 3, Angle bar size (100x100x10 mm) x 150 mm</t>
  </si>
  <si>
    <t>ST. No. 5-6, Doubling STF. No. 4, Angle bar size (100x100x10 mm) x 200 mm, 2 pcs</t>
  </si>
  <si>
    <t>ST. No. 5-6, Doubling STF. No. 5, Angle bar size (100x100x10 mm) x 250 mm, 2 pcs</t>
  </si>
  <si>
    <t>ST. No. 5-6, Doubling STF. No. 6, Angle bar size (150x150x12 mm) x 200 mm</t>
  </si>
  <si>
    <t>Sway No. 6, Foundation foot, Plate size 250x250x12 mm</t>
  </si>
  <si>
    <t>ST. No. 6-7, STF. No. 1, 2, 3, 4, 5, Angle bar size (100x100x10 mm) x 3640 mm, 5 pcs</t>
  </si>
  <si>
    <t>ST. No. 6-7, STF. No. 6, Angle bar size (150x150x12 mm) x 3640 mm</t>
  </si>
  <si>
    <t>ST. No. 6-7, Doubling STF. No. 6, Angle bar size (150x150x12 mm) x 200 mm</t>
  </si>
  <si>
    <t>ST. No. 7, Doubling, Plate size 360x180x10 mm</t>
  </si>
  <si>
    <t>Sway No. 7, Foundation foot, Plate size 250x250x12 mm</t>
  </si>
  <si>
    <t>ST. No. 7-8, STF. No. 1, 2, 3, 4, 5, Angle bar size (100x100x10 mm) x 3630 mm, 5 pcs</t>
  </si>
  <si>
    <t>ST. No. 7-8, STF. No. 6, Angle bar size (150x150x12 mm) x 3630 mm</t>
  </si>
  <si>
    <t>ST. No. 7-8, Doubling STF. No. 1, Angle bar size (100x100x10 mm) x 200 mm</t>
  </si>
  <si>
    <t>ST. No. 7-8, Doubling STF. No. 5, Angle bar size (100x100x10 mm) x 200 mm</t>
  </si>
  <si>
    <t>ST. No. 7-8, Doubling STF. No. 6, Angle bar size (150x150x12 mm) x 300 mm</t>
  </si>
  <si>
    <t>Sway No. 8, H-beam size (200x200x8x12 mm) x 3100 mm</t>
  </si>
  <si>
    <t>Sway No. 8, Foundation foot, Plate size 250x250x12 mm</t>
  </si>
  <si>
    <t>ST. No. 8-9, STF. No. 1, 2, 3, 4, 5, Angle bar size (100x100x10 mm) x 3650 mm, 5 pcs</t>
  </si>
  <si>
    <t>ST. No. 8-9, STF. No. 6, Angle bar size (150x150x12 mm) x 3650 mm</t>
  </si>
  <si>
    <t>ST. No. 8-9, Doubling STF. No. 2, Angle bar size (100x100x10 mm) x 180 mm</t>
  </si>
  <si>
    <t>ST. No. 8-9, Doubling STF. No. 6, Angle bar size (150x150x12 mm) x 150 mm</t>
  </si>
  <si>
    <t>ST. No. 8-9, Doubling STF. No. 6, Angle bar size (150x150x12 mm) x 300 mm</t>
  </si>
  <si>
    <t>ST. No. 9, Doubling, Plate size 360x180x10 mm</t>
  </si>
  <si>
    <t>Sway No. 9, H-beam size (200x200x8x12 mm) x 3100 mm (material lama bongkar pasang)</t>
  </si>
  <si>
    <t>Sway No. 9, Foundation foot, Plate size 250x250x12 mm</t>
  </si>
  <si>
    <t>ST. No. 9-10, STF. No. 1, 2, 3, Angle bar size (100x100x10 mm) x 3700 mm, 3 pcs</t>
  </si>
  <si>
    <t>ST. No. 9-10, STF. No. 4, Angle bar size (100x100x10 mm) x 3650 mm</t>
  </si>
  <si>
    <t>ST. No. 9-10, STF. No. 6, Angle bar size (150x150x12 mm) x 3700 mm</t>
  </si>
  <si>
    <t>ST. No. 9-10, Bracket STF. No. 1, Plate size 250x150x10 mm</t>
  </si>
  <si>
    <t>ST. No. 9-10, Doubling STF. No. 2, Angle bar size (100x100x10 mm) x 210 mm</t>
  </si>
  <si>
    <t>ST. No. 9-10, Doubling STF. No. 3, Angle bar size (100x100x10 mm) x 160 mm</t>
  </si>
  <si>
    <t>ST. No. 9-10, Doubling STF. No. 3, Angle bar size (100x100x10 mm) x 210 mm</t>
  </si>
  <si>
    <t>ST. No. 9-10, Doubling STF. No. 4, Angle bar size (100x100x10 mm) x 270 mm</t>
  </si>
  <si>
    <t>ST. No. 9-10, Bracket STF. No. 4, Plate size 250x150x10 mm</t>
  </si>
  <si>
    <t>ST. No. 9-10, Doubling STF. No. 5, Angle bar size (100x100x10 mm) x 200 mm</t>
  </si>
  <si>
    <t>ST. No. 9-10, Doubling STF. No. 5, Angle bar size (100x100x10 mm) x 150 mm</t>
  </si>
  <si>
    <t>ST. No. 9-10, Bracket STF. No. 5, Plate size 250x150x10 mm</t>
  </si>
  <si>
    <t>ST. No. 9-10, Doubling STF. No. 6, Angle bar size (150x150x12 mm) x 200 mm, 2 pcs</t>
  </si>
  <si>
    <t>ST. No. 9-10, Doubling STF. No. 6, Angle bar size (150x150x12 mm) x 300 mm</t>
  </si>
  <si>
    <t>Sway. No. 10, H-beam size (200x200x8x12 mm) x 3100 mm</t>
  </si>
  <si>
    <t>Sway No. 10, Foundation foot, Plate size 250x250x12 mm</t>
  </si>
  <si>
    <t>ST. No. 10-11, STF. No. 1, 2, 5, Angle bar size (100x100x10 mm) x 3630 mm, 3 pcs</t>
  </si>
  <si>
    <t>ST. No. 10-11, STF. No. 3, Angle bar size (100x100x10 mm) x 1090 mm</t>
  </si>
  <si>
    <t>ST. No. 10-11, STF. No. 4, Angle bar size (100x100x10 mm) x 1050 mm</t>
  </si>
  <si>
    <t>ST. No. 10-11, STF. No. 6, Angle bar size (150x150x12 mm) x 3630 mm</t>
  </si>
  <si>
    <t>ST. No. 10-11, Doubling STF. No. 3, Angle bar size (100x100x10 mm) x 200 mm, 2 pcs</t>
  </si>
  <si>
    <t>ST. No. 11, H-beam size (200x200x8x12 mm) x 3600 mm</t>
  </si>
  <si>
    <t>Sway. No. 11, H-beam size (200x200x8x12 mm) x 3100 mm</t>
  </si>
  <si>
    <t>Sway No. 11, Foundation foot, Plate size 250x250x12 mm</t>
  </si>
  <si>
    <t>ST. No. 11-12, STF. No. 1, 2, 5, Angle bar size (100x100x10 mm) x 3660 mm, 3 pcs</t>
  </si>
  <si>
    <t>ST. No. 11-12, STF. No. 3, Angle bar size (100x100x10 mm) x 650 mm</t>
  </si>
  <si>
    <t>ST. No. 11-12, STF. No. 4, Angle bar size (100x100x10 mm) x 3530 mm</t>
  </si>
  <si>
    <t>ST. No. 11-12, STF. No. 6, Angle bar size (150x150x12 mm) x 3660 mm</t>
  </si>
  <si>
    <t>ST. No. 11-12, Bracket STF. No. 3, Plate size 250x130x10 mm</t>
  </si>
  <si>
    <t>ST. No. 11-12, Bracket STF. No. 4, Plate size 250x130x10 mm</t>
  </si>
  <si>
    <t>ST. No. 11-12, Doubling STF. No. 6, Angle bar size (150x150x12 mm) x 300 mm</t>
  </si>
  <si>
    <t>Sway. No. 12, H-beam size (200x200x8x12 mm) x 3100 mm</t>
  </si>
  <si>
    <t>Sway No. 12, Foundation foot, Plate size 250x250x12 mm</t>
  </si>
  <si>
    <t>ST. No. 12-13, STF. No. 1, 2, 5, Angle bar size (100x100x10 mm) x 3630 mm, 3 pcs</t>
  </si>
  <si>
    <t>ST. No. 12-13, STF. No. 3, Angle bar size (100x100x10 mm) x 660 mm</t>
  </si>
  <si>
    <t>ST. No. 12-13, STF. No. 4, Angle bar size (100x100x10 mm) x 3410 mm</t>
  </si>
  <si>
    <t>ST. No. 12-13, STF. No. 6, Angle bar size (150x150x12 mm) x 3630 mm</t>
  </si>
  <si>
    <t>ST. No. 12-13, Doubling STF. No. 2, Angle bar size (100x100x10 mm) x 160 mm</t>
  </si>
  <si>
    <t>ST. No. 12-13, Doubling STF. No. 6, Angle bar size (150x150x12 mm) x 200 mm</t>
  </si>
  <si>
    <t>Sway. No. 13, H-beam size (200x200x8x12 mm) x 3100 mm</t>
  </si>
  <si>
    <t>Sway No. 13, Foundation foot, Plate size 250x250x12 mm</t>
  </si>
  <si>
    <t>Sway. No. 14, H-beam size (200x200x8x12 mm) x 3100 mm</t>
  </si>
  <si>
    <t>Sway No. 14, Foundation foot, Plate size 250x250x12 mm</t>
  </si>
  <si>
    <t>ST. No. 14-15, STF. No. 1-5, Angle bar size (100x100x10 mm) x 2730 mm, 5 pcs</t>
  </si>
  <si>
    <t>ST. No. 14-15, STF. No. 6, Angle bar size (150x150x12 mm) x 2730 mm</t>
  </si>
  <si>
    <t>ST. No. 15, H-beam size (200x200x8x12 mm) x 3600 mm</t>
  </si>
  <si>
    <t>Sway. No. 15, H-beam size (200x200x8x12 mm) x 3100 mm</t>
  </si>
  <si>
    <t>Sway No. 15, Foundation foot, Plate size 250x250x12 mm</t>
  </si>
  <si>
    <t>ST. No. 15-16, STF. No. 1, 3, 4, 5, Angle bar size (100x100x10 mm) x 3630 mm, 4 pcs</t>
  </si>
  <si>
    <t>ST. No. 15-16, STF. No. 2, Angle bar size (100x100x10 mm) x 1580 mm</t>
  </si>
  <si>
    <t>ST. No. 15-16, STF. No. 6, Angle bar size (150x150x12 mm) x 3630 mm</t>
  </si>
  <si>
    <t>ST. No. 15-16, Doubling STF. No. 6, Angle bar size (150x150x12 mm) x 200 mm</t>
  </si>
  <si>
    <t>Sway. No. 16, H-beam size (200x200x8x12 mm) x 3100 mm</t>
  </si>
  <si>
    <t>Sway No. 16, Foundation foot, Plate size 250x250x12 mm</t>
  </si>
  <si>
    <t>ST. No. 16-17, STF. No. 1, 2, 4, 5, Angle bar size (100x100x10 mm) x 3650 mm, 4 pcs</t>
  </si>
  <si>
    <t>ST. No. 16-17, STF. No. 3, Angle bar size (100x100x10 mm) x 720 mm</t>
  </si>
  <si>
    <t>ST. No. 16-17, STF. No. 6, Angle bar size (150x150x12 mm) x 3650 mm</t>
  </si>
  <si>
    <t>Sway. No. 17, H-beam size (200x200x8x12 mm) x 3100 mm</t>
  </si>
  <si>
    <t>Sway No. 17, Foundation foot, Plate size 250x250x12 mm</t>
  </si>
  <si>
    <t>ST. No. 17-18, STF. No. 1, Angle bar size (120x120x10 mm) x 3740 mm</t>
  </si>
  <si>
    <t>ST. No. 17-18, STF. No. 2, Angle bar size (100x100x10 mm) x 860 mm</t>
  </si>
  <si>
    <t>ST. No. 17-18, STF. No. 3, Angle bar size (100x100x10 mm) x 920 mm</t>
  </si>
  <si>
    <t>ST. No. 17-18, STF. No. 4, Angle bar size (100x100x10 mm) x 890 mm</t>
  </si>
  <si>
    <t>ST. No. 17-18, STF. No. 5, Angle bar size (100x100x10 mm) x 3740 mm</t>
  </si>
  <si>
    <t>ST. No. 17-18, STF. No. 6, Angle bar size (150x150x12 mm) x 3740 mm</t>
  </si>
  <si>
    <t>ST. No. 17-18, Doubling STF. No. 6, Angle bar size (100x100x10 mm) x 200 mm</t>
  </si>
  <si>
    <t>ST. No. 18, H-beam size (200x200x8x12 mm) x 3600 mm (material lama bongkar pasang)</t>
  </si>
  <si>
    <t>Sway. No. 18, H-beam size (200x200x8x12 mm) x 3100 mm  (material lama bongkar pasang)</t>
  </si>
  <si>
    <t>Sway No. 18, Foundation foot, Plate size 250x250x12 mm</t>
  </si>
  <si>
    <t>ST. No. 18-19, STF. No. 1, Angle bar size (100x100x10 mm) x 3630 mm</t>
  </si>
  <si>
    <t>ST. No. 18-19, STF. No. 2, Angle bar size (100x100x10 mm) x 690 mm</t>
  </si>
  <si>
    <t>ST. No. 18-19, STF. No. 3, Angle bar size (100x100x10 mm) x 670 mm</t>
  </si>
  <si>
    <t>ST. No. 18-19, STF. No. 4, Angle bar size (100x100x10 mm) x 700 mm</t>
  </si>
  <si>
    <t>ST. No. 18-19, STF. No. 6, Angle bar size (150x150x12 mm) x 3630 mm</t>
  </si>
  <si>
    <t>ST. No. 18-19, Doubling STF. No. 3, Angle bar size (100x100x10 mm) x 200 mm</t>
  </si>
  <si>
    <t>ST. No. 19, H-beam size (200x200x8x12 mm) x 3600 mm (material lama bongkar pasang)</t>
  </si>
  <si>
    <t>ST. No. 19, Doubling, Plate size 190x120x10 mm</t>
  </si>
  <si>
    <t>Sway. No. 19, H-beam size (200x200x8x12 mm) x 3100 mm</t>
  </si>
  <si>
    <t>Sway No. 19, Foundation foot, Plate size 250x250x12 mm</t>
  </si>
  <si>
    <t>ST. No. 19-20, STF. No. 1-5, Angle bar size (100x100x10 mm) x 3560 mm</t>
  </si>
  <si>
    <t>ST. No. 19-20, STF. No. 6, Angle bar size (150x150x12 mm) x 3560 mm</t>
  </si>
  <si>
    <t>ST. No. 19-20, Doubling STF. No. 6, Angle bar size (100x100x10 mm) x 200 mm</t>
  </si>
  <si>
    <t>Sway. No. 20, H-beam size (200x200x8x12 mm) x 3100 mm</t>
  </si>
  <si>
    <t>Sway No. 20, Foundation foot, Plate size 250x250x12 mm</t>
  </si>
  <si>
    <t>ST. No. 20-21, STF. No. 1-5, Angle bar size (100x100x10 mm) x 3640 mm</t>
  </si>
  <si>
    <t>ST. No. 20-21, STF. No. 6, Angle bar size (150x150x12 mm) x 3640 mm</t>
  </si>
  <si>
    <t>ST. No. 21, H-beam size (200x200x8x12 mm) x 3600 mm</t>
  </si>
  <si>
    <t>Sway. No. 21, H-beam size (200x200x8x12 mm) x 3100 mm</t>
  </si>
  <si>
    <t>Sway No. 21, Foundation foot, Plate size 250x250x12 mm</t>
  </si>
  <si>
    <t>ST. No. 21-22, STF. No. 1, 4, 5, Angle bar size (100x100x10 mm) x 2900 mm</t>
  </si>
  <si>
    <t>ST. No. 21-22, STF. No. 2, Angle bar size (100x100x10 mm) x 120 mm</t>
  </si>
  <si>
    <t>ST. No. 21-22, STF. No. 3, Angle bar size (100x100x10 mm) x 120 mm</t>
  </si>
  <si>
    <t>ST. No. 21-22, STF. No. 6, Angle bar size (150x150x12 mm) x 2900 mm</t>
  </si>
  <si>
    <t>ST. No. 21-22, Doubling STF. No. 3, Angle bar size (100x100x10 mm) x 200 mm</t>
  </si>
  <si>
    <t>ST. No. 22, Doubling, Plate size 200x150x10 mm</t>
  </si>
  <si>
    <t>ST. No. 22-end, STF. No. 1, 4, Angle bar size (100x100x10 mm) x 2820 mm</t>
  </si>
  <si>
    <t>ST. No. 22-end, STF. No. 2, Angle bar size (100x100x10 mm) x 350 mm</t>
  </si>
  <si>
    <t>ST. No. 22-end, STF. No. 3, Angle bar size (100x100x10 mm) x 520 mm</t>
  </si>
  <si>
    <t>ST. No. 22-end, STF. No. 6, Angle bar size (150x150x12 mm) x 2820 mm</t>
  </si>
  <si>
    <t>ST. No. 1, H-beam size (200x200x8x12 mm) x 980 mm</t>
  </si>
  <si>
    <t>Sway No. 1, H-beam size (200x200x8x12 mm) x 570 mm</t>
  </si>
  <si>
    <t>ST. No. 1-2, STF. No. 1, Angle bar size (100x100x10 mm) x 3640 mm</t>
  </si>
  <si>
    <t>ST. No. 1-2, STF. No. 2, Angle bar size (100x100x10 mm) x 1520 mm</t>
  </si>
  <si>
    <t>ST. No. 1-2, STF. No. 3, Angle bar size (100x100x10 mm) x 3450 mm</t>
  </si>
  <si>
    <t>ST. No. 1-2, STF. No. 4&amp;5, Angle bar size (100x100x10 mm) x 3440 mm, 2 pcs</t>
  </si>
  <si>
    <t>Sway No. 2, H-beam size (200x200x8x12 mm) x 530 mm</t>
  </si>
  <si>
    <t>ST. No. 2-3, STF. No. 1, Angle bar size (100x100x10 mm) x 3650 mm</t>
  </si>
  <si>
    <t>ST. No. 2-3, STF. No. 2-5, Angle bar size (100x100x10 mm) x 3460 mm, 4 pcs</t>
  </si>
  <si>
    <t>ST. No. 3, H-beam size (200x200x8x12 mm) x 1120 mm</t>
  </si>
  <si>
    <t>Sway No. 3, H-beam size (200x200x8x12 mm) x 590 mm</t>
  </si>
  <si>
    <t>ST. No. 3-4, STF. No. 1, Angle bar size (100x100x10 mm) x 3530 mm</t>
  </si>
  <si>
    <t>ST. No. 3-4, STF. No. 2-5, Angle bar size (100x100x10 mm) x 3420 mm, 4 pcs</t>
  </si>
  <si>
    <t>ST. No. 4, H-beam size (200x200x8x12 mm) x 1110 mm</t>
  </si>
  <si>
    <t>Sway No. 4, H-beam size (200x200x8x12 mm) x 1120 mm</t>
  </si>
  <si>
    <t>ST. No. 4-5, STF. No. 1-5, Angle bar size (100x100x10 mm) x 3650 mm, 5 pcs</t>
  </si>
  <si>
    <t>ST. No. 5, H-beam size (200x200x8x12 mm) x 980 mm</t>
  </si>
  <si>
    <t>ST. No. 5-6, STF. No. 1-5, Angle bar size (100x100x10 mm) x 3610 mm, 5 pcs</t>
  </si>
  <si>
    <t>ST. No. 6, H-beam size (200x200x8x12 mm) x 1360 mm</t>
  </si>
  <si>
    <t>Sway No. 6, H-beam size (200x200x8x12 mm) x 1120 mm</t>
  </si>
  <si>
    <t>ST. No. 6-7, STF. No. 1-5, Angle bar size (100x100x10 mm) x 3640 mm, 5 pcs</t>
  </si>
  <si>
    <t>ST. No. 7, H-beam size (200x200x8x12 mm) x 3630 mm</t>
  </si>
  <si>
    <t>Sway No. 7, H-beam size (200x200x8x12 mm) x 500 mm</t>
  </si>
  <si>
    <t>ST. No. 1-7, STF. No. 6, Angle bar size (150x150x12 mm) x 21870 mm</t>
  </si>
  <si>
    <t>ST. No. 1-7, Doubling, Plate size 300x170x10 mm, 10 pcs</t>
  </si>
  <si>
    <t>Sway. No. 1-7, Doubling, Plate size 280x170x10 mm, 4 pcs</t>
  </si>
  <si>
    <t>ST. No. 1-7, Doubling STF., Angle bar size (100x100x10 mm) x 160 mm, 4 pcs</t>
  </si>
  <si>
    <t>ST. No. 1-7, Doubling STF., Angle bar size (100x100x10 mm) x 200 mm</t>
  </si>
  <si>
    <t>ST. No. 1-7, Doubling STF., Angle bar size (150x150x12 mm) x 300 mm</t>
  </si>
  <si>
    <t>ST. No. 1-7, Bracket, Plate size 250x160x10 mm, 24 pcs</t>
  </si>
  <si>
    <t>ST. No. 1, H-beam size (200x200x8x12 mm) x 720 mm</t>
  </si>
  <si>
    <t>ST. No. 1, Foundation foot, Plate size 300x300x12 mm</t>
  </si>
  <si>
    <t>Sway No. 1, H-beam size (200x200x8x12 mm) x 660 mm</t>
  </si>
  <si>
    <t>Sway No. 1, Doubling, Plate size 280x150x10 mm</t>
  </si>
  <si>
    <t>Sway No. 1, Foundation foot, Plate size 300x300x12 mm</t>
  </si>
  <si>
    <t>ST. No. 1-2, STF. No. 1, 3, 4, 5, Angle bar size (100x100x10 mm) x 3050 mm, 4 pcs</t>
  </si>
  <si>
    <t>ST. No. 2-3, STF. No. 1, 3, 4, 5, Angle bar size (100x100x10 mm) x 3050 mm, 4 pcs</t>
  </si>
  <si>
    <t>ST. No. 3-4, STF. No. 1-5, Angle bar size (100x100x10 mm) x 650 mm, 5 pcs</t>
  </si>
  <si>
    <t>ST. No. 4, H-beam size (200x200x8x12 mm) x 3620 mm</t>
  </si>
  <si>
    <t>ST. No. 4, Foundation foot, Plate size 300x300x12 mm</t>
  </si>
  <si>
    <t>Sway No. 4, H-beam size (200x200x8x12 mm) x 3160 mm</t>
  </si>
  <si>
    <t>Sway No. 4, Doubling, Plate size 280x150x10 mm</t>
  </si>
  <si>
    <t>Sway No. 4, Foundation foot, Plate size 300x300x12 mm</t>
  </si>
  <si>
    <t>ST. No. 1-4, STF. No. 6, Angle bar size (150x150x12 mm) x 6920 mm</t>
  </si>
  <si>
    <t>ST. No. 1-4, Doubling STF. No 6, Angle bar size (100x100x10 mm) x 200 mm</t>
  </si>
  <si>
    <t>ST. No. 1, H-beam size (200x200x8x12 mm) x 450 mm</t>
  </si>
  <si>
    <t>ST. No. 1-2, STF. No. 1, Angle bar size (100x100x10 mm) x 2270 mm</t>
  </si>
  <si>
    <t>ST. No. 1-2, STF. No. 1 carling, Angle bar size (100x100x10 mm) x 1200 mm</t>
  </si>
  <si>
    <t>ST. No. 2-3, STF. No. 1, Angle bar size (100x100x10 mm) x 3030 mm</t>
  </si>
  <si>
    <t>ST. No. 3-4, STF. No. 1-3, Angle bar size (100x100x10 mm) x 650 mm, 3 pcs</t>
  </si>
  <si>
    <t>Sway No. 4, H-beam size (200x200x8x12 mm) x 3130 mm</t>
  </si>
  <si>
    <t>ST. No. 1-4, STF. No. 6, Angle bar size (150x150x12 mm) x 6780 mm</t>
  </si>
  <si>
    <t xml:space="preserve">ST. No. 0-1, STF. No. 1/2-6, Plate size 450x2740x8 mm </t>
  </si>
  <si>
    <t xml:space="preserve">ST. No. 0-1, STF. No. 3/4-6, Plate size 3880x1530x8 mm </t>
  </si>
  <si>
    <t xml:space="preserve">ST. No. 0-1, STF. No. 0-1/2, Plate size 1370x900x10 mm </t>
  </si>
  <si>
    <t xml:space="preserve">ST. No. 1-2, STF. No. 0-1/2, Plate size 6100x900x10 mm </t>
  </si>
  <si>
    <t xml:space="preserve">ST. No. 2-3, STF. No. 0-1/2, Plate size 3740x900x10 mm </t>
  </si>
  <si>
    <t xml:space="preserve">ST. No. 2-3, STF. No. 1/2-2/3, Plate size 2000x760x8 mm </t>
  </si>
  <si>
    <t xml:space="preserve">ST. No. 2-3, STF. No. 1/2-4/5, Plate size 1980x770x8 mm </t>
  </si>
  <si>
    <t xml:space="preserve">ST. No. 3-4, STF. No. 0-1/2, Plate size 2250x900x10 mm </t>
  </si>
  <si>
    <t xml:space="preserve">ST. No. 3-4, STF. No. 1/2-4/5, Plate size 1980x300x8 mm </t>
  </si>
  <si>
    <t xml:space="preserve">ST. No. 1-5, STF. No. 0-1/2, Plate size 6020x900x10 mm </t>
  </si>
  <si>
    <t xml:space="preserve">ST. No. 1-5, STF. No. 1/2-2/3, Plate size 1150x1000x8 mm </t>
  </si>
  <si>
    <t xml:space="preserve">ST. No. 5-6, STF. No. 0-1/2, Plate size 6020x900x10 mm </t>
  </si>
  <si>
    <t xml:space="preserve">ST. No. 7-8, STF. No. 0-1/2, Plate size 4350x900x10 mm </t>
  </si>
  <si>
    <t xml:space="preserve">ST. No. 8-9, STF. No. 0-1/2, Plate size 6020x900x10 mm </t>
  </si>
  <si>
    <t xml:space="preserve">ST. No. 0-10, STF. No. 4/5-6, Plate size 32270x770x8 mm </t>
  </si>
  <si>
    <t xml:space="preserve">ST. No. 9-10, STF. No. 0-1/2, Plate size 870x890x10 mm </t>
  </si>
  <si>
    <t xml:space="preserve">ST. No. 9-10, STF. No. 0-1/2, Plate size 300x900x10 mm </t>
  </si>
  <si>
    <t xml:space="preserve">ST. No. 9-10, STF. No. 1/2-6, Plate size 300x2740x8 mm </t>
  </si>
  <si>
    <t xml:space="preserve">ST. No. 10-11, STF. No. 0-1/2, Plate size 4880x900x10 mm </t>
  </si>
  <si>
    <t xml:space="preserve">ST. No. 10-11, STF. No. 1/2-2/3, Plate size 1800x540x8 mm </t>
  </si>
  <si>
    <t xml:space="preserve">ST. No. 10-13, STF. No. 4/5-6, Plate size 10710x740x8 mm </t>
  </si>
  <si>
    <t xml:space="preserve">ST. No. 12-13, STF. No. 0-1/2, Plate size 5830x900x10 mm </t>
  </si>
  <si>
    <t xml:space="preserve">ST. No. 12-13, STF. No. 0-1/2, Plate size 2020x590x10 mm </t>
  </si>
  <si>
    <t xml:space="preserve">ST. No. 11-12, STF. No. 1/2-2/3, Plate size 1650x500x8 mm </t>
  </si>
  <si>
    <t xml:space="preserve">ST. No. 11-12, STF. No. 3-4, Plate size 300x300x8 mm </t>
  </si>
  <si>
    <t xml:space="preserve">ST. No. 14-15, STF. No. 0-1/2, Plate size 2500x900x10 mm </t>
  </si>
  <si>
    <t xml:space="preserve">ST. No. 14-15, STF. No. 1/2-6, Plate size 1020x2740x10 mm </t>
  </si>
  <si>
    <t xml:space="preserve">ST. No. 14-15, STF. No. 5-6, Plate size 1700x500x10 mm </t>
  </si>
  <si>
    <t xml:space="preserve">ST. No. 15-16, STF. No. 0-1/2, Plate size 2950x900x10 mm </t>
  </si>
  <si>
    <t xml:space="preserve">ST. No. 16-17, STF. No. 0-1/2, Plate size 6020x900x10 mm </t>
  </si>
  <si>
    <t xml:space="preserve">ST. No. 17-18, STF. No. 5-6, Plate size 1170x390x8 mm </t>
  </si>
  <si>
    <t xml:space="preserve">ST. No. 18-19, STF. No. 0-1/2, Plate size 6010x900x10 mm </t>
  </si>
  <si>
    <t xml:space="preserve">ST. No. 18-19, STF. No. 1/2-2/3, Plate size 3900x600x8 mm </t>
  </si>
  <si>
    <t xml:space="preserve">ST. No. 18-19, STF. No. 2-3, Plate size 260x240x8 mm </t>
  </si>
  <si>
    <t xml:space="preserve">ST. No. 19-20, STF. No. 0-1/2, Plate size 1420x900x10 mm </t>
  </si>
  <si>
    <t xml:space="preserve">ST. No. 19-20, STF. No. 1/2-6, Plate size 1420x2700x8 mm </t>
  </si>
  <si>
    <t xml:space="preserve">ST. No. 20-21, STF. No. 0-1/2, Plate size 6000x900x10 mm </t>
  </si>
  <si>
    <t xml:space="preserve">ST. No. 20-21, STF. No. 1/2-4/5, Plate size 6000x1800x8 mm </t>
  </si>
  <si>
    <t xml:space="preserve">ST. No. 20-21, STF. No. 4/5-6, Plate size 6000x900x8 mm </t>
  </si>
  <si>
    <t xml:space="preserve">ST. No. 21-End, STF. No. 0-1/2, Plate size 5720x900x10 mm </t>
  </si>
  <si>
    <t xml:space="preserve">ST. No. 21-End, STF. No. 1/2-4/5, Plate size 5720x1800x8 mm </t>
  </si>
  <si>
    <t xml:space="preserve">ST. No. 21-End, STF. No. 4/5-6, Plate size 5720x900x8 mm </t>
  </si>
  <si>
    <t xml:space="preserve">ST. No. 0-1, STF. No. 0-1/2, Plate size 6010x900x10 mm </t>
  </si>
  <si>
    <t xml:space="preserve">ST. No. 0-1, STF. No. 1/2-2/3, Plate size 1720x580x8 mm </t>
  </si>
  <si>
    <t xml:space="preserve">ST. No. 0-1, STF. No. 1/2-3/4, Plate size 1800x1350x8 mm </t>
  </si>
  <si>
    <t xml:space="preserve">ST. No. 0-5/6, STF. No. 4/5-6, Plate size 20240x770x8 mm </t>
  </si>
  <si>
    <t xml:space="preserve">ST. No. 1-2, STF. No. 1/2-2/3, Plate size 3900x480x8 mm </t>
  </si>
  <si>
    <t xml:space="preserve">ST. No. 2-3, STF. No. 0-1/2, Plate size 5120x900x10 mm </t>
  </si>
  <si>
    <t xml:space="preserve">ST. No. 2-3, STF. No. 1/2-3/4, Plate size 3650x1330x8 mm </t>
  </si>
  <si>
    <t xml:space="preserve">ST. No. 3-4, STF. No. 0-1/2, Plate size 3090x900x10 mm </t>
  </si>
  <si>
    <t xml:space="preserve">ST. No. 3-4, STF. No. 1/2-2/3, Plate size 1930x500x8 mm </t>
  </si>
  <si>
    <t xml:space="preserve">ST. No. 3-4, STF. No. 2/3-4/5, Plate size 1480x400x8 mm </t>
  </si>
  <si>
    <t xml:space="preserve">ST. No. 4-5, STF. No. 0-1/2, Plate size 6030x900x10 mm </t>
  </si>
  <si>
    <t xml:space="preserve">ST. No. 4-5, STF. No. 1/2-2/3, Plate size 800x600x8 mm </t>
  </si>
  <si>
    <t xml:space="preserve">ST. No. 5-6, STF. No. 1/2-2/3, Plate size 1200x500x8 mm </t>
  </si>
  <si>
    <t xml:space="preserve">ST. No. 5/6-9, STF. No. 4/5-6, Plate size 12770x760x8 mm </t>
  </si>
  <si>
    <t xml:space="preserve">ST. No. 6-7, STF. No. 0-1/2, Plate size 5900x900x10 mm </t>
  </si>
  <si>
    <t xml:space="preserve">ST. No. 7-8, STF. No. 0-1/2, Plate size 6020x900x10 mm </t>
  </si>
  <si>
    <t xml:space="preserve">ST. No. 8-9, STF. No. 1/2-2/3, Plate size 1230x610x8 mm </t>
  </si>
  <si>
    <t xml:space="preserve">ST. No. 8-9, STF. No. 3-4, Plate size 300x310x8 mm </t>
  </si>
  <si>
    <t xml:space="preserve">ST. No. 8-9, STF. No. 1/2-4/5, Plate size 1990x750x8 mm </t>
  </si>
  <si>
    <t xml:space="preserve">ST. No. 9-10, STF. No. 1/2-6, Plate size 2740x700x8 mm </t>
  </si>
  <si>
    <t xml:space="preserve">ST. No. 9-10, STF. No. 1/2-4/5, Plate size 1880x760x8 mm </t>
  </si>
  <si>
    <t xml:space="preserve">ST. No. 9-10, STF. No. 0-1/2, Plate size 2900x900x10 mm </t>
  </si>
  <si>
    <t xml:space="preserve">ST. No. 9-10, STF. No. 0-1/2, Plate size 600x900x10 mm </t>
  </si>
  <si>
    <t xml:space="preserve">ST. No. 9-10, STF. No. 1/2-2/3, Plate size 2480x600x8 mm </t>
  </si>
  <si>
    <t xml:space="preserve">ST. No. 9-10, STF. No. 5/6-6, Plate size 750x1850x8 mm </t>
  </si>
  <si>
    <t xml:space="preserve">ST. No. 9-13, STF. No. 4/5-6, Plate size 12070x900x8 mm </t>
  </si>
  <si>
    <t xml:space="preserve">ST. No. 10-11, STF. No. 0-1/2, Plate size 5980x900x10 mm </t>
  </si>
  <si>
    <t xml:space="preserve">ST. No. 10-11, STF. No. 2/3-3/4, Plate size 400x480x8 mm </t>
  </si>
  <si>
    <t xml:space="preserve">ST. No. 10-11, STF. No. 1/2-2/3, Plate size 590x2900x8 mm </t>
  </si>
  <si>
    <t xml:space="preserve">ST. No. 10-11, STF. No. 2/3-3/4, Plate size 1360x790x8 mm </t>
  </si>
  <si>
    <t xml:space="preserve">ST. No. 10-11, STF. No. 1/2-4/5, Plate size 750x1860x8 mm </t>
  </si>
  <si>
    <t xml:space="preserve">ST. No. 11-12, STF. No. 0-1/2, Plate size 6000x900x10 mm </t>
  </si>
  <si>
    <t xml:space="preserve">ST. No. 11-12, STF. No. 1/2-2/3, Plate size 3440x600x8 mm </t>
  </si>
  <si>
    <t xml:space="preserve">ST. No. 12-13, STF. No. 1/2-2/3, Plate size 3610x750x8 mm </t>
  </si>
  <si>
    <t xml:space="preserve">ST. No. 12-13, STF. No. 2/3-3/4, Plate size 1150x680x8 mm </t>
  </si>
  <si>
    <t xml:space="preserve">ST. No. 14-15, STF. No. 0-1/2, Plate size 6020x900x10 mm </t>
  </si>
  <si>
    <t xml:space="preserve">ST. No. 14-15, STF. No. 1/2-2/3, Plate size 4000x500x8 mm </t>
  </si>
  <si>
    <t xml:space="preserve">ST. No. 14-18, STF. No. 4/5-6, Plate size 13540x760x8 mm </t>
  </si>
  <si>
    <t xml:space="preserve">ST. No. 16-17, STF. No. 0-1/2, Plate size 2720x900x10 mm </t>
  </si>
  <si>
    <t xml:space="preserve">ST. No. 16-17, STF. No. 1/2-2/3, Plate size 4610x500x8 mm </t>
  </si>
  <si>
    <t xml:space="preserve">ST. No. 17-18, STF. No. 0-1/2, Plate size 3300x900x10 mm </t>
  </si>
  <si>
    <t xml:space="preserve">ST. No. 17-18, STF. No. 0-1/2, Plate size 920x900x10 mm </t>
  </si>
  <si>
    <t xml:space="preserve">ST. No. 17-18, STF. No. 2/3-6, Plate size 2240x300x8 mm </t>
  </si>
  <si>
    <t xml:space="preserve">ST. No. 18-19, STF. No. 0-1/2, Plate size 6000x900x10 mm </t>
  </si>
  <si>
    <t xml:space="preserve">ST. No. 18-19, STF. No. 1/2-2/3, Plate size 4400x500x8 mm </t>
  </si>
  <si>
    <t xml:space="preserve">ST. No. 18-21, STF. No. 4/5-6, Plate size 11140x760x8 mm </t>
  </si>
  <si>
    <t xml:space="preserve">ST. No. 19-20, STF. No. 1/2-3/4, Plate size 2100x1150x8 mm </t>
  </si>
  <si>
    <t xml:space="preserve">ST. No. 19-20, STF. No. 1/2-2/3, Plate size 1160x760x8 mm </t>
  </si>
  <si>
    <t xml:space="preserve">ST. No. 20-21, STF. No. 0-1/2, Plate size 6020x900x10 mm </t>
  </si>
  <si>
    <t xml:space="preserve">ST. No. 20-21, STF. No. 1/2-2/3, Plate size 1630x1000x8 mm </t>
  </si>
  <si>
    <t xml:space="preserve">ST. No. 21-22, STF. No. 0-1/2, Plate size 5570x900x10 mm </t>
  </si>
  <si>
    <t xml:space="preserve">ST. No. 21-22, STF. No. 1/2-2/3, Plate size 820x760x8 mm </t>
  </si>
  <si>
    <t xml:space="preserve">ST. No. 21-22, STF. No. 2/3-3/4, Plate size 600x450x8 mm </t>
  </si>
  <si>
    <t xml:space="preserve">ST. No. 21-22, STF. No. 1/2-6, Plate size 300x2800x8 mm </t>
  </si>
  <si>
    <t xml:space="preserve">ST. No. 0-1, STF. No. 0-1/2, Plate size 4790x900x10 mm </t>
  </si>
  <si>
    <t xml:space="preserve">ST. No. 1-2, STF. No. 0-1/2, Plate size 5970x900x10 mm </t>
  </si>
  <si>
    <t xml:space="preserve">ST. No. 1-2, STF. No. 5/6, Plate size 870x580x10 mm </t>
  </si>
  <si>
    <t xml:space="preserve">ST. No. 3-4, STF. No. 0-1/2, Plate size 7130x900x10 mm </t>
  </si>
  <si>
    <t xml:space="preserve">ST. No. 5-end, STF. No. 0-1/2, Plate size 3800x900x10 mm </t>
  </si>
  <si>
    <t xml:space="preserve">ST. No. 1-3, STF. No. 0-1/2, Plate size 5850x910x10 mm </t>
  </si>
  <si>
    <t xml:space="preserve">ST. No. 1-2, STF. No. 4/5-6, Plate size 950x870x8 mm </t>
  </si>
  <si>
    <t xml:space="preserve">ST. No. 1-2, STF. No. 5-6, Plate size 250x700x8 mm </t>
  </si>
  <si>
    <t xml:space="preserve">ST. No. 3-4, STF. No. 0-1/2, Plate size 1070x910x10 mm </t>
  </si>
  <si>
    <t xml:space="preserve">ST. No. 5-6, STF. No. 0-1/2, Plate size 2480x910x10 mm </t>
  </si>
  <si>
    <t xml:space="preserve">ST. No. 5-6, STF. No. 2/3-4/5, Plate size 1350x420x8 mm </t>
  </si>
  <si>
    <t xml:space="preserve">ST. No. 6-7, STF. No. 0-1/2, Plate size 2470x910x10 mm </t>
  </si>
  <si>
    <t xml:space="preserve">ST. No. 7-8, STF. No. 0-1/2, Plate size 680x900x10 mm </t>
  </si>
  <si>
    <t xml:space="preserve">ST. No. 7-8, STF. No. 0-1/2, Plate size 770x900x10 mm </t>
  </si>
  <si>
    <t xml:space="preserve">ST. No. 7-8, STF. No. 0-1/2, Plate size 530x900x10 mm </t>
  </si>
  <si>
    <t>Sideboard Plate AP (Pelurusan)</t>
  </si>
  <si>
    <t xml:space="preserve">ST. No. 1-2, Plate size 3780x2740x8mm </t>
  </si>
  <si>
    <t xml:space="preserve">ST. No. 2-3, Plate size 2400x3410x8 mm </t>
  </si>
  <si>
    <t xml:space="preserve">ST. No. 2-4, Plate size 3650x2800x8 mm </t>
  </si>
  <si>
    <t xml:space="preserve">ST. No. 4-5, Plate size 3450x2500x8 mm </t>
  </si>
  <si>
    <t xml:space="preserve">ST. No. 5-6, Plate size 3400x2750x8 mm </t>
  </si>
  <si>
    <t xml:space="preserve">ST. No. 6-7, Plate size 3550x2400x8 mm </t>
  </si>
  <si>
    <t>Sideboard Plate PS (Pelurusan)</t>
  </si>
  <si>
    <t xml:space="preserve">ST. No. 0-1, Plate size 1900x2000x8mm </t>
  </si>
  <si>
    <t xml:space="preserve">ST. No. 1-2, Plate size 3900x1500x8mm </t>
  </si>
  <si>
    <t xml:space="preserve">ST. No. 3-4, Plate size 3300x2000x8 mm </t>
  </si>
  <si>
    <t xml:space="preserve">ST. No. 4-6, Plate size 3400x2000x8 mm </t>
  </si>
  <si>
    <t xml:space="preserve">ST. No. 6-7, Plate size 3450x2000x8 mm </t>
  </si>
  <si>
    <t xml:space="preserve">ST. No.7-8, Plate size 3650x2000x8 mm </t>
  </si>
  <si>
    <t xml:space="preserve">ST. No. 8-9, Plate size 3000x1600x8 mm </t>
  </si>
  <si>
    <t xml:space="preserve">ST. No. 9-10, Plate size 2500x1400x8 mm </t>
  </si>
  <si>
    <t xml:space="preserve">ST. No. 19-20, Plate size 1700x800x8 mm </t>
  </si>
  <si>
    <t xml:space="preserve">ST. No. 20-21, Plate size 3000x1000x8 mm </t>
  </si>
  <si>
    <t>Sideboard Plate SB (Pelurusan)</t>
  </si>
  <si>
    <t xml:space="preserve">ST. No. 0-1, Plate size 3000x1000x8mm </t>
  </si>
  <si>
    <t xml:space="preserve">ST. No. 1-2, Plate size 3400x1900x8mm </t>
  </si>
  <si>
    <t xml:space="preserve">ST. No. 2-3, Plate size 1500x1000x8 mm </t>
  </si>
  <si>
    <t xml:space="preserve">ST. No. 8-9, Plate size 3400x1000x8 mm </t>
  </si>
  <si>
    <t xml:space="preserve">ST. No. 9-10, Plate size 3400x500x8 mm </t>
  </si>
  <si>
    <t xml:space="preserve">ST. No. 10-11, Plate size 3200x1600x8 mm </t>
  </si>
  <si>
    <t>Sideboard Plate FP (Pelurusan)</t>
  </si>
  <si>
    <t xml:space="preserve">ST. No. 1-2, Plate size 2900x2500x8mm </t>
  </si>
  <si>
    <t xml:space="preserve">ST. No. 2-3, Plate size 3000x2800x8 mm </t>
  </si>
  <si>
    <t>Longitudinal stiffener, Angle bar size (150x150x12 mm) x 4460 mm, @3 pcs</t>
  </si>
  <si>
    <t>Vertikal stiffener, Angle bar size (150x150x12 mm) x 1180 mm, @6 pcs</t>
  </si>
  <si>
    <t>Portable sidedoor plate, Plate size 4780x1200x8 mm, @1 pcs</t>
  </si>
  <si>
    <t>Bracket Diamond, Plate size 300x300x10 mm, @4 pcs</t>
  </si>
  <si>
    <t>Half Bracket Diamond, Plate size 300x150x10 mm, @10 pcs</t>
  </si>
  <si>
    <t>Pad eye, Plate size 200x100x10 mm, @2 pcs</t>
  </si>
  <si>
    <t>Bracket, Plate size 150x150x10 mm, @4 pcs</t>
  </si>
  <si>
    <t>ST. Safety, H-beam size (200x200x8x12 mm) x 3600 mm</t>
  </si>
  <si>
    <t>ST. Safety, Foundation foot, Plate size 250x250x12 mm</t>
  </si>
  <si>
    <t>Sway safety, H-beam size (200x200x8x12 mm) x 2370 mm</t>
  </si>
  <si>
    <t>Sway safety, Foundation foot, Plate size 250x250x12 mm</t>
  </si>
  <si>
    <t>Longitudinal stiffener, Angle bar size (150x150x12 mm) x 4690 mm, @3 pcs</t>
  </si>
  <si>
    <t>Portable sidedoor plate, Plate size 4700x1210x8 mm, @1 pcs</t>
  </si>
  <si>
    <t>Control mini door FP</t>
  </si>
  <si>
    <t>Cover, Plate size 950x550x8 mm</t>
  </si>
  <si>
    <t>Lis luar, Plate strip size (1,5" x 8 mm) x 3060 mm</t>
  </si>
  <si>
    <t>Diagonal stiffener, Plate strip size (1,5" x 8 mm) x 810 mm, 2 pcs</t>
  </si>
  <si>
    <t>Lis penekan, Plate strip size (2" x 8 mm) x 2800 mm</t>
  </si>
  <si>
    <t>Engsel, Plate size 230x60x10 mm, 2 pcs</t>
  </si>
  <si>
    <t>Engsel, Plate size 160x60x10 mm, 4 pcs</t>
  </si>
  <si>
    <t>Lock, Plate size 330x50x10 mm</t>
  </si>
  <si>
    <t>Lock, Roundbar size 3/4" x 300 mm</t>
  </si>
  <si>
    <t>Handle, Roundbar size 3/4" x 300 mm</t>
  </si>
  <si>
    <t>Engsel, B/N size 5/8" x 2,5"</t>
  </si>
  <si>
    <t>Bolder</t>
  </si>
  <si>
    <t>Fabrication double bolder No.1 PS</t>
  </si>
  <si>
    <t>Bongkar pasang pipa lama</t>
  </si>
  <si>
    <t>Lengan bolder, Roundbar uk. 2" x 450 mm</t>
  </si>
  <si>
    <t>Rumah bolder (Top), Plate size 1090x420x12 mm</t>
  </si>
  <si>
    <t>Rumah bolder (Side), Plate size 1090x130x12 mm, 2 pcs</t>
  </si>
  <si>
    <t>Rumah bolder (Side), Plate size 490x130x12 mm, 2 pcs</t>
  </si>
  <si>
    <t>Doubling, 1150x480x12 mm</t>
  </si>
  <si>
    <t>Fabrication double bolder No.2 PS</t>
  </si>
  <si>
    <t>Fabrication double bolder No.3 PS</t>
  </si>
  <si>
    <t>Pipe size 10" sch 80 x 600 mm, 2 pcs</t>
  </si>
  <si>
    <t>Lengan bolder, Roundbar uk. 2" x 450 mm, 2 pcs</t>
  </si>
  <si>
    <t>Top bolder, Plate size 280x280x12 mm, 2 pcs</t>
  </si>
  <si>
    <t>Rumah bolder (Top), Plate size 1090x410x12 mm</t>
  </si>
  <si>
    <t>Rumah bolder (Side), Plate size 1090x120x12 mm, 2 pcs</t>
  </si>
  <si>
    <t>Rumah bolder (Side), Plate size 410x120x12 mm, 2 pcs</t>
  </si>
  <si>
    <t>Doubling, 1200x540x12 mm</t>
  </si>
  <si>
    <t>Fabrication double bolder No.4 PS</t>
  </si>
  <si>
    <t>Fabrication double bolder No.1 SB</t>
  </si>
  <si>
    <t>Rumah bolder (Top), Plate size 910x400x12 mm</t>
  </si>
  <si>
    <t>Rumah bolder (Side), Plate size 940x130x12 mm, 2 pcs</t>
  </si>
  <si>
    <t>Doubling, 1000x500x12 mm</t>
  </si>
  <si>
    <t>Fabrication double bolder No.2 SB</t>
  </si>
  <si>
    <t>Rumah bolder (Side), Plate size 940x120x12 mm, 2 pcs</t>
  </si>
  <si>
    <t>Rumah bolder (Side), Plate size 420x120x12 mm, 2 pcs</t>
  </si>
  <si>
    <t>Fabrication double bolder No.3 SB</t>
  </si>
  <si>
    <t>Fabrication double bolder No.4 SB</t>
  </si>
  <si>
    <t>Rekondisi single bolder No. 1 PS</t>
  </si>
  <si>
    <t>Rumah bolder (Top), Plate size 400x400x12 mm</t>
  </si>
  <si>
    <t>Rumah bolder (Side), Plate size 400x130x12 mm, 4 pcs</t>
  </si>
  <si>
    <t>Doubling, 500x500x12 mm</t>
  </si>
  <si>
    <t>Bongkar dan pasang pipa lama</t>
  </si>
  <si>
    <t>Rekondisi single bolder No. 2 PS</t>
  </si>
  <si>
    <t>Rekondisi single bolder No. 3 PS</t>
  </si>
  <si>
    <t>Rekondisi single bolder No. 1 SB</t>
  </si>
  <si>
    <t>Rumah bolder (Top), Plate size 470x410x12 mm</t>
  </si>
  <si>
    <t>Rumah bolder (Side), Plate size 430x130x12 mm, 2 pcs</t>
  </si>
  <si>
    <t>Rumah bolder (Side), Plate size 420x130x12 mm, 2 pcs</t>
  </si>
  <si>
    <t>Doubling, 540x540x12 mm</t>
  </si>
  <si>
    <t>Rekondisi single bolder No. 2 SB</t>
  </si>
  <si>
    <t>Rekondisi single bolder No. 3 SB</t>
  </si>
  <si>
    <t>Rumah bolder (Side), Plate size 390x130x12 mm, 2 pcs</t>
  </si>
  <si>
    <t>Rekondisi single bolder AP</t>
  </si>
  <si>
    <t>Rumah bolder (Top), Plate size 420x430x12 mm</t>
  </si>
  <si>
    <t>Rumah bolder (Side), Plate size 430x130x12 mm, 4 pcs</t>
  </si>
  <si>
    <t>Doubling, 510x510x12 mm</t>
  </si>
  <si>
    <t>Rekondisi single bolder FP</t>
  </si>
  <si>
    <t>Top bolder, Plate size 250x250x12 mm</t>
  </si>
  <si>
    <t>Rumah bolder (Side), Plate size 410x120x12 mm, 4 pcs</t>
  </si>
  <si>
    <t>Lengan bolder, Roundbar uk. 2" x 500 mm</t>
  </si>
  <si>
    <t>Side, Plate size 3000x2280x8 mm, 4 pcs</t>
  </si>
  <si>
    <t>Bottom, Plate size 3000x3010x12 mm</t>
  </si>
  <si>
    <t>Vertikal STF, Angle bar size (80x80x8 mm) x 1770 mm</t>
  </si>
  <si>
    <t>Vertikal STF, Angle bar size (80x80x8 mm) x 2150 mm, 15 pcs</t>
  </si>
  <si>
    <t>Vertikal, H-beam size (200x200x8x12 mm) x 2250 mm</t>
  </si>
  <si>
    <t>Horizontal STF, Angle bar size (80x80x8 mm) x 560 mm, 8 pcs</t>
  </si>
  <si>
    <t>Top STF, Angle bar size (80x80x8 mm) x 2930 mm, 4 pcs</t>
  </si>
  <si>
    <t>Ventilasi, Plate strip size. (2" x 8 mm) x 2000 mm, 2 pcs</t>
  </si>
  <si>
    <t>Ventilasi, Plate strip size. (2" x 8 mm) x 500 mm, 8 pcs</t>
  </si>
  <si>
    <t>Kanopi, Plate size. 860x210x8 mm</t>
  </si>
  <si>
    <t>Cover, Plate size. 1680x690x8 mm</t>
  </si>
  <si>
    <t>Outer lis, Plate strip size. (1 1/2" x 8 mm) x 4800 mm</t>
  </si>
  <si>
    <t>Inner lis, Plate strip size (1" x 8 mm) x 4400 mm</t>
  </si>
  <si>
    <t>Diagonal STF, Plate strip size. (2" x 8 mm) x 600 mm, 2 pcs</t>
  </si>
  <si>
    <t>Presser lis, Plate strip size (1" x 8 mm) x 4560 mm</t>
  </si>
  <si>
    <t>Lock, Plate size 200x70x12 mm</t>
  </si>
  <si>
    <t>Lock, Plate size 100x70x10 mm</t>
  </si>
  <si>
    <t>Hinge, Plate size 180x60x12 mm, 2 pcs</t>
  </si>
  <si>
    <t>Hinge, Plate size 110x60x12 mm, 4 pcs</t>
  </si>
  <si>
    <t>Square bar size (3/4" x 3/4")  x  1100 mm</t>
  </si>
  <si>
    <t>Lower, Plate size 200x120x8 mm</t>
  </si>
  <si>
    <t>Side, Plate size 210x70x8 mm, 2 pcs</t>
  </si>
  <si>
    <t>Side, Plate size 100x70x8 mm, 2 pcs</t>
  </si>
  <si>
    <t>Bracket, Plate size 200x150x10 mm, 3 pcs</t>
  </si>
  <si>
    <t>Bracket, Plate size 120x120x10 mm</t>
  </si>
  <si>
    <t>Doubling, Plate size 100x100x10 mm</t>
  </si>
  <si>
    <t>Exhaust</t>
  </si>
  <si>
    <t>Joint</t>
  </si>
  <si>
    <r>
      <t xml:space="preserve">TANGKI - TANGKI </t>
    </r>
    <r>
      <rPr>
        <b/>
        <i/>
        <sz val="11"/>
        <rFont val="Arial"/>
        <family val="2"/>
      </rPr>
      <t>(Supplai Material by Owner)</t>
    </r>
  </si>
  <si>
    <t>REPLATIING</t>
  </si>
  <si>
    <t xml:space="preserve">Plate(ABS) size 1870x300x12 mm </t>
  </si>
  <si>
    <t>Upper chine, Roundbar size 2" x 2470 mm</t>
  </si>
  <si>
    <t>Fr. 5/6-41/42, Lajur F PS</t>
  </si>
  <si>
    <t xml:space="preserve">Plate(ABS) size 66740x800x12 mm </t>
  </si>
  <si>
    <t>Lower chine, Roundbar size 2" x 2900 mm</t>
  </si>
  <si>
    <t>Fr. 41/42-42/43, Lajur F PS</t>
  </si>
  <si>
    <t xml:space="preserve">Plate(ABS) size 3670x810x12 mm </t>
  </si>
  <si>
    <t>Fr. 43/44-43/46, Lajur F PS</t>
  </si>
  <si>
    <t xml:space="preserve">Plate(ABS) size 2380x840x12 mm </t>
  </si>
  <si>
    <t>Lower chine, Roundbar size 2" x 2510 mm</t>
  </si>
  <si>
    <t xml:space="preserve">Plate(ABS) size 1630x300x12 mm </t>
  </si>
  <si>
    <t>Upper chine, Roundbar size 2" x 1610 mm</t>
  </si>
  <si>
    <t xml:space="preserve">Plate(ABS) size 1520x500x12 mm </t>
  </si>
  <si>
    <t>Lower chine, Roundbar size 2" x 1370 mm</t>
  </si>
  <si>
    <t>Fr. 41-47, Lajur F SB</t>
  </si>
  <si>
    <t xml:space="preserve">Plate(ABS) size 6000x810x12 mm </t>
  </si>
  <si>
    <t xml:space="preserve">Plate(ABS) size 4410x850x12 mm </t>
  </si>
  <si>
    <t xml:space="preserve">Plate(ABS) size 6100x1840x12 mm </t>
  </si>
  <si>
    <t xml:space="preserve">Plate(ABS) size 6100x610x12 mm </t>
  </si>
  <si>
    <t xml:space="preserve">Lajur G, Plate(ABS) size 6100x1830x12 mm </t>
  </si>
  <si>
    <t xml:space="preserve">Lajur G, Plate(ABS) size 1850x1840x12 mm </t>
  </si>
  <si>
    <t xml:space="preserve">Lajur G, Plate(ABS) size 2380x560x12 mm </t>
  </si>
  <si>
    <t xml:space="preserve">Lajur G, Plate(ABS) size 3730x440x12 mm </t>
  </si>
  <si>
    <t xml:space="preserve">Lajur H, Plate(ABS) size 6100x1830x12 mm </t>
  </si>
  <si>
    <t xml:space="preserve">Lajur H, Plate(ABS) size 1850x1840x12 mm </t>
  </si>
  <si>
    <t xml:space="preserve">Lajur I, Plate(ABS) size 6100x1240x12 mm </t>
  </si>
  <si>
    <t xml:space="preserve">Lajur I, Plate(ABS) size 1500x1240x12 mm </t>
  </si>
  <si>
    <t>Fr. 8/9-10/11, Lajur H/I SB</t>
  </si>
  <si>
    <t xml:space="preserve">Plate(ABS) size 2500x1780x12 mm </t>
  </si>
  <si>
    <t xml:space="preserve">Plate(ABS) size 2880x620x12 mm </t>
  </si>
  <si>
    <t xml:space="preserve">Plate(ABS) size 6150x1840x12 mm </t>
  </si>
  <si>
    <t>Fr. 42/43-45/46, Lajur G, H, I SB</t>
  </si>
  <si>
    <t xml:space="preserve">Lajur G, Plate(ABS) size 3270x620x12 mm </t>
  </si>
  <si>
    <t xml:space="preserve">Lajur H, Plate(ABS) size 6020x1830x12 mm </t>
  </si>
  <si>
    <t xml:space="preserve">Lajur I, Plate(ABS) size 5920x1210x12 mm </t>
  </si>
  <si>
    <t>Fr. 44/45-45/46, Lajur G</t>
  </si>
  <si>
    <t xml:space="preserve">Plate(ABS) size 2770x1840x12 mm </t>
  </si>
  <si>
    <t xml:space="preserve">Plate(ABS) size 2770x350x12 mm </t>
  </si>
  <si>
    <t>Fr. 47/48-48/49, Lajur H/I SB</t>
  </si>
  <si>
    <t xml:space="preserve">Lajur H, Plate(ABS) size 2920x1830x12 mm </t>
  </si>
  <si>
    <t xml:space="preserve">Lajur I, Plate(ABS) size 2600x1310x12 mm </t>
  </si>
  <si>
    <t>Fr. 37/38 Lajur H</t>
  </si>
  <si>
    <t xml:space="preserve">Plate(ABS) size 1610x1200x12 mm </t>
  </si>
  <si>
    <t xml:space="preserve">Plate(ABS) size 2380x1230x12 mm </t>
  </si>
  <si>
    <t xml:space="preserve">Plate(ABS) size 3320x1810x12 mm </t>
  </si>
  <si>
    <t xml:space="preserve">Plate(ABS) size 3060x1620x12 mm </t>
  </si>
  <si>
    <t>Transverse bottom, Angle bar size (150x150x12 mm) x 410 mm</t>
  </si>
  <si>
    <t>Transverse bottom, Angle bar size (150x150x12 mm) x 810 mm</t>
  </si>
  <si>
    <t>Ordinary chine, Angle bar unequal size (400x100x10 mm) x 1330 mm</t>
  </si>
  <si>
    <t>Ordinary chine, Web side, Plate size 1420x430x10 mm</t>
  </si>
  <si>
    <t>Ordinary chine, Face side, Plate size 1300x100x10 mm</t>
  </si>
  <si>
    <t>Web frame, Angle bar unequal size (500x100x10 mm) x 3970 mm</t>
  </si>
  <si>
    <t>Web frame, Angle bar unequal size (500x100x10 mm) x 2030 mm</t>
  </si>
  <si>
    <t>Vertikal side shell, Angle bar size (150x150x12 mm) x 820 mm</t>
  </si>
  <si>
    <t>Vertikal side shell, Angle bar size (150x150x12 mm) x 2090 mm</t>
  </si>
  <si>
    <t>Vertikal side shell, Angle bar size (150x150x12 mm) x 2210 mm</t>
  </si>
  <si>
    <t>Vertikal side shell, Angle bar size (150x150x12 mm) x 2500 mm</t>
  </si>
  <si>
    <t>Vertikal side shell, Angle bar size (150x150x12 mm) x 2800 mm</t>
  </si>
  <si>
    <t>Vertikal side shell, Angle bar size (150x150x12 mm) x 4000 mm</t>
  </si>
  <si>
    <t>Vertikal side shell, Angle bar size (150x150x12 mm) x 4010 mm</t>
  </si>
  <si>
    <t>Stringer, Angle bar unequal size (500x100x10 mm) x 1780 mm</t>
  </si>
  <si>
    <t>Stringer, Angle bar unequal size (500x100x10 mm) x 2000 mm</t>
  </si>
  <si>
    <t>Stringer, Web side, Plate size 2100x320x10 mm</t>
  </si>
  <si>
    <t>Internal tank 3 PS</t>
  </si>
  <si>
    <t>Trans bottom, Angle bar unequal size (500x100x10 mm) x 670 mm</t>
  </si>
  <si>
    <t>Web chine, Angle bar unequal size (500x100x10 mm) x 1150 mm</t>
  </si>
  <si>
    <t>Web frame, Angle bar unequal size (500x100x10 mm) x 2360 mm</t>
  </si>
  <si>
    <t>Longitudinal side shell, Angle bar size (150x150x12 mm) x 3500 mm</t>
  </si>
  <si>
    <t>Longitudinal side shell, Angle bar size (150x150x12 mm) x 5830 mm</t>
  </si>
  <si>
    <t>Longitudinal side shell, Angle bar size (150x150x12 mm) x 6030 mm</t>
  </si>
  <si>
    <t>Bracket longitudinal sideshell to TBHD, Angle bar unequal size (400x100x10 mm) x 600</t>
  </si>
  <si>
    <t>Collar, Plate size 200x100x10 mm, 3 pcs</t>
  </si>
  <si>
    <t>Internal tank 5 PS</t>
  </si>
  <si>
    <t>Web frame, Angle bar unequal size (500x100x10 mm) x 1850 mm</t>
  </si>
  <si>
    <t>Longitudinal side shell, Angle bar size (150x150x12 mm) x 2770 mm</t>
  </si>
  <si>
    <t>Collar, Plate size 190x100x10 mm</t>
  </si>
  <si>
    <t>Web frame, Angle bar unequal size (500x100x10 mm) x 1020 mm</t>
  </si>
  <si>
    <t>Web frame, Angle bar unequal size (500x100x10 mm) x 1350 mm</t>
  </si>
  <si>
    <t>Ordinary frame, Angle bar size (150x150x12 mm) x 1600 mm</t>
  </si>
  <si>
    <t>Ordinary frame, Angle bar unequal size (500x100x10 mm) x 1500 mm</t>
  </si>
  <si>
    <t>Transverse deck, Angle bar unequal size (500x100x10 mm) x 580 mm</t>
  </si>
  <si>
    <t>Transverse girder, Angle bar unequal size (500x100x10 mm) x 1200 mm</t>
  </si>
  <si>
    <t>Transverse girder, Angle bar unequal size (500x100x10 mm) x 1250 mm</t>
  </si>
  <si>
    <t>Transverse girder, Angle bar unequal size (500x100x10 mm) x 1450 mm</t>
  </si>
  <si>
    <t>Longitudinal deck, Angle bar size (150x150x12 mm) x 300 mm, 2 pcs</t>
  </si>
  <si>
    <t>Internal tank 2 SB</t>
  </si>
  <si>
    <t>Web frame, Angle bar unequal size (500x100x10 mm) x 1000 mm</t>
  </si>
  <si>
    <t>Web frame, Angle bar unequal size (500x100x10 mm) x 4950 mm</t>
  </si>
  <si>
    <t>Web frame, Angle bar unequal size (500x100x10 mm) x 5170 mm</t>
  </si>
  <si>
    <t>Ordinary chine, Angle bar unequal size (350x100x10 mm) x 450 mm</t>
  </si>
  <si>
    <t>Ordinary chine, Angle bar unequal size (350x100x10 mm) x 720 mm</t>
  </si>
  <si>
    <t>Ordinary frame, Angle bar size (150x150x12 mm) x 1580 mm</t>
  </si>
  <si>
    <t>Ordinary frame, Angle bar size (150x150x12 mm) x 2260 mm</t>
  </si>
  <si>
    <t>Ordinary frame, Angle bar size (150x150x12 mm) x 3630 mm</t>
  </si>
  <si>
    <t>Ordinary frame, Angle bar size (150x150x12 mm) x 3720 mm</t>
  </si>
  <si>
    <t>Ordinary frame, Angle bar size (150x150x12 mm) x 3870 mm</t>
  </si>
  <si>
    <t>Ordinary frame, Angle bar size (150x150x12 mm) x 3950 mm</t>
  </si>
  <si>
    <t>Ordinary frame, Angle bar size (150x150x12 mm) x 4060 mm</t>
  </si>
  <si>
    <t>Ordinary frame, Angle bar size (150x150x12 mm) x 4200 mm</t>
  </si>
  <si>
    <t>Ordinary frame, Angle bar unequal size (500x100x10 mm) x 1540 mm, 2 pcs</t>
  </si>
  <si>
    <t>Stringer, Angle bar unequal size (500x100x10 mm) x 1600 mm</t>
  </si>
  <si>
    <t>Stringer, Angle bar unequal size (500x100x10 mm) x 2020 mm</t>
  </si>
  <si>
    <t>Deck beam, Angle bar unequal size (500x100x10 mm) x 550 mm</t>
  </si>
  <si>
    <t>Deck beam, Angle bar unequal size (500x100x10 mm) x 530 mm</t>
  </si>
  <si>
    <t>Transverse deck, Angle bar size (150x150x12 mm) x 940 mm</t>
  </si>
  <si>
    <t>Bracket ordinary frame to STF. TBHD, plate size 780x270x10 mm, 5 pcs</t>
  </si>
  <si>
    <t>Internal tank 3 SB</t>
  </si>
  <si>
    <t>Longitudinal side shell, Angle bar unequal size (150x150x12 mm) x 1460 mm</t>
  </si>
  <si>
    <t>Longitudinal bottom, Angle bar unequal size (150x150x12 mm) x 2690 mm, 2 pcs</t>
  </si>
  <si>
    <t>Longitudinal side shell, Angle bar unequal size (150x150x12 mm) x 1150 mm</t>
  </si>
  <si>
    <t>Bracket longitudinal side shell to web frame, Plate size 400x300x10 mm</t>
  </si>
  <si>
    <t>Bracket corner, Plate size 1140x580x10 mm</t>
  </si>
  <si>
    <t>Collar, Plate size 180x90x10 mm</t>
  </si>
  <si>
    <t>Internal pocket anchor</t>
  </si>
  <si>
    <t>Transverse bottom, Angle bar unequal size (500x100x10 mm) x 1790 mm</t>
  </si>
  <si>
    <t>Transverse bottom, Angle bar size (120x120x10 mm) x 1660 mm, 2 pcs</t>
  </si>
  <si>
    <t>Bracket, Angle bar unequal size (350x100x10 mm) x 550 mm, 2 pcs</t>
  </si>
  <si>
    <t>Bracket, Plate size 400x370x12 mm, 4 pcs</t>
  </si>
  <si>
    <t>Internal tank 1 PS</t>
  </si>
  <si>
    <t>Ordinary frame, Angle bar size (150x150x12 mm) x 3250</t>
  </si>
  <si>
    <t>Ordinary frame, Angle bar size (150x150x12 mm) x 3300</t>
  </si>
  <si>
    <t>Draft mark AP PS</t>
  </si>
  <si>
    <t>Number 2,  Plate size 170x90x10 mm</t>
  </si>
  <si>
    <t>Number 4,  Plate size 150x100x10 mm</t>
  </si>
  <si>
    <t>Number 6,  Plate size 120x90x10 mm</t>
  </si>
  <si>
    <t>Draft mark CT PS</t>
  </si>
  <si>
    <t>Number 2, 4, 6, 8, 2, 4, 6, 8, 2, 2, 4, Plate size 100x90x10 mm, 11 pcs</t>
  </si>
  <si>
    <t>Number 1, Plate size 100x25x10 mm</t>
  </si>
  <si>
    <t>Letter M, Plate size 100x90x10 mm, 2 pcs</t>
  </si>
  <si>
    <t>Number 6, 8, 2, 4, 6, 8, 2, 2, 4, 6, 8, 3, 2, 4, 6, 8, 4, 2, 4, 6, 8, 5, 2, 4, 5, Plate size 100x90x10 mm, 25 pcs</t>
  </si>
  <si>
    <t>Number 2, 4,  Plate size 175x90x10 mm, 2 pcs</t>
  </si>
  <si>
    <t>Letter M, Plate size 100x90x10 mm, 6 pcs</t>
  </si>
  <si>
    <t>Deck line, Plate size 300x25x8 mm</t>
  </si>
  <si>
    <t>Plimsol , Plate size 80x80x8 mm</t>
  </si>
  <si>
    <t>Tanda selar</t>
  </si>
  <si>
    <t>Base, Plate size 1700x370x10 mm</t>
  </si>
  <si>
    <t>Latter G,T,3,4,4,6,N,3,5,9,5,P,P,2,0,B,2,5,4,L, Plate size 120x100x10 mm</t>
  </si>
  <si>
    <t>Latter o,o,m, Plate size 70x70x10 mm</t>
  </si>
  <si>
    <t>Latter 1,1,/,/,1, Plate size 120x60x10 mm</t>
  </si>
  <si>
    <t>Nama PS/SB</t>
  </si>
  <si>
    <t>Latter P,S,P,M,3, Plate size 450x350x8 mm</t>
  </si>
  <si>
    <t>Doubling, Plate size 170x80x12 mm, @1 pcs</t>
  </si>
  <si>
    <t>JR. Rev. 02 Additional Work req by OS (08/10/24)</t>
  </si>
  <si>
    <t>Fender</t>
  </si>
  <si>
    <t>Fender PS</t>
  </si>
  <si>
    <t>Angle bar unequal size (500x100x10 mm) x 87250 mm</t>
  </si>
  <si>
    <t>Fender SB</t>
  </si>
  <si>
    <t>Angle bar unequal size (500x100x10 mm) x 86900 mm</t>
  </si>
  <si>
    <t>Fender AP</t>
  </si>
  <si>
    <t>Angle bar unequal size (500x100x10 mm) x 24020 mm</t>
  </si>
  <si>
    <t>Manhole tank 2 CT</t>
  </si>
  <si>
    <t>Manhole tank 3 CT</t>
  </si>
  <si>
    <t>Manhole tank 4 CT</t>
  </si>
  <si>
    <t>Manhole tank 5 CT</t>
  </si>
  <si>
    <t>Manhole tank 6 CT</t>
  </si>
  <si>
    <t>Manhole tank 7 CT</t>
  </si>
  <si>
    <t>Manhole tank 8 CT</t>
  </si>
  <si>
    <t>Manhole tank 9 CT</t>
  </si>
  <si>
    <t>Manhole tank 10 CT</t>
  </si>
  <si>
    <t>Pad eye bracket, Plate size. 550x300x25 mm, @2 pcs</t>
  </si>
  <si>
    <t>Pad eye bracket, Plate size. 250x300x25 mm, @1 pcs</t>
  </si>
  <si>
    <t>Pen, Roundbar size 3" x 550 mm, @1 pcs</t>
  </si>
  <si>
    <t>Handle, Plate size 340x60x12 mm, @1 pcs</t>
  </si>
  <si>
    <t>Lock, Plate size 160x60x12 mm, @1 pcs</t>
  </si>
  <si>
    <t>Doubling, Plate size 550x600x25 mm, @1 pcs</t>
  </si>
  <si>
    <t>Ring, Plate size 160x160x12 mm, @2 pcs</t>
  </si>
  <si>
    <t>Safety towing PS &amp; SB</t>
  </si>
  <si>
    <t>Safety, Roundbar size 2" x 1300 mm, @1 pcs</t>
  </si>
  <si>
    <t>Bracket, Plate size 300x200x10 mm, @4 pcs</t>
  </si>
  <si>
    <t>Base plate, Plate size 90x90x10 mm, @2 pcs</t>
  </si>
  <si>
    <t>Bongkar bullwark PS &amp; SB</t>
  </si>
  <si>
    <t>Fr. 0/1-3/4, Lajur A-G PS</t>
  </si>
  <si>
    <t xml:space="preserve">Lajur A, Plate (ABS) size 6100x1160x12 mm </t>
  </si>
  <si>
    <t xml:space="preserve">Lajur E, Plate (ABS) size 6100x1830x12 mm </t>
  </si>
  <si>
    <t xml:space="preserve">Lajur F, Plate (ABS) size 6100x1830x12 mm </t>
  </si>
  <si>
    <t xml:space="preserve">Lajur G, Plate (ABS) size 6100x1530x12 mm </t>
  </si>
  <si>
    <t>Fr. 0/1-3/4, Lajur A-G SB</t>
  </si>
  <si>
    <t>Fr. 3/4-7/8, Lajur A-G PS</t>
  </si>
  <si>
    <t xml:space="preserve">Lajur A, Plate (ABS) size 6100x1100x12 mm </t>
  </si>
  <si>
    <t>Fr. 3/4-7/8, Lajur A-G SB</t>
  </si>
  <si>
    <t xml:space="preserve">Lajur A, Plate (ABS) size 5910x1830x12 mm </t>
  </si>
  <si>
    <t xml:space="preserve">Lajur B, Plate (ABS) size 5910x1830x12 mm </t>
  </si>
  <si>
    <t xml:space="preserve">Lajur C, Plate (ABS) size 5910x1830x12 mm </t>
  </si>
  <si>
    <t xml:space="preserve">Lajur D, Plate (ABS) size 5910x1830x12 mm </t>
  </si>
  <si>
    <t xml:space="preserve">Lajur E, Plate (ABS) size 5840x1830x12 mm </t>
  </si>
  <si>
    <t xml:space="preserve">Lajur F, Plate (ABS) size 5840x1830x12 mm </t>
  </si>
  <si>
    <t xml:space="preserve">Lajur G, Plate (ABS) size 5900x1530x12 mm </t>
  </si>
  <si>
    <t>Fr. 7/8-9/10, Lajur A-G PS</t>
  </si>
  <si>
    <t>Fr. 7/8-9/10, Lajur A-G SB</t>
  </si>
  <si>
    <t>Fr. 9/10-13/14, Lajur A-G PS</t>
  </si>
  <si>
    <t>Fr. 9/10-13/14, Lajur A-G SB</t>
  </si>
  <si>
    <t>Fr. 13/14-16/17, Lajur A, B, D, E, F, G PS</t>
  </si>
  <si>
    <t xml:space="preserve">Lajur G, Plate (ABS) size 6080x1530x12 mm </t>
  </si>
  <si>
    <t>Fr. 13/14-14/15, Lajur C PS</t>
  </si>
  <si>
    <t xml:space="preserve">Lajur C, Plate (ABS) size 1140x1830x12 mm </t>
  </si>
  <si>
    <t>Fr. 15/16-17/18, Lajur C PS</t>
  </si>
  <si>
    <t>Fr. 16/17-19/20, Lajur A-G SB</t>
  </si>
  <si>
    <t>Fr. 16/17-19/20, Lajur A, B, D, E, F, G PS</t>
  </si>
  <si>
    <t>Fr. 17/18-21/22, Lajur C PS</t>
  </si>
  <si>
    <t>Fr. 20/21-23/24, Lajur A-G SB</t>
  </si>
  <si>
    <t>Fr. 20/21-23/24, Lajur A-G PS</t>
  </si>
  <si>
    <t xml:space="preserve">Lajur C, Plate (ABS) size 3510x1830x12 mm </t>
  </si>
  <si>
    <t xml:space="preserve">Lajur D, Plate (ABS) size 5620x1830x12 mm </t>
  </si>
  <si>
    <t xml:space="preserve">Lajur D, Plate (ABS) size 500x1830x12 mm </t>
  </si>
  <si>
    <t xml:space="preserve">Lajur E, Plate (ABS) size 5620x1830x12 mm </t>
  </si>
  <si>
    <t xml:space="preserve">Lajur E, Plate (ABS) size 500x1830x12 mm </t>
  </si>
  <si>
    <t>Fr. 23/24-26/27, Lajur A-G SB</t>
  </si>
  <si>
    <t>Fr. 23/24-26/27, Lajur A-G PS</t>
  </si>
  <si>
    <t>Fr. 26/27-30/31, Lajur A-G SB</t>
  </si>
  <si>
    <t xml:space="preserve">Lajur A, Plate (ABS) size 5920x1830x12 mm </t>
  </si>
  <si>
    <t xml:space="preserve">Lajur B, Plate (ABS) size 5920x1830x12 mm </t>
  </si>
  <si>
    <t xml:space="preserve">Lajur C, Plate (ABS) size 5920x1830x12 mm </t>
  </si>
  <si>
    <t xml:space="preserve">Lajur D, Plate (ABS) size 5920x1830x12 mm </t>
  </si>
  <si>
    <t>Fr. 26/27-30/31, Lajur A-G PS</t>
  </si>
  <si>
    <t>Fr. 30/31-33/34, Lajur A-G SB</t>
  </si>
  <si>
    <t xml:space="preserve">Lajur A, Plate (ABS) size 6330x1830x12 mm </t>
  </si>
  <si>
    <t xml:space="preserve">Lajur B, Plate (ABS) size 6330x1830x12 mm </t>
  </si>
  <si>
    <t xml:space="preserve">Lajur C, Plate (ABS) size 6330x1830x12 mm </t>
  </si>
  <si>
    <t xml:space="preserve">Lajur D, Plate (ABS) size 6330x1830x12 mm </t>
  </si>
  <si>
    <t xml:space="preserve">Lajur E, Plate (ABS) size 6100x1840x12 mm </t>
  </si>
  <si>
    <t xml:space="preserve">Lajur F, Plate (ABS) size 6100x1840x12 mm </t>
  </si>
  <si>
    <t>Fr. 30/31-33/34, Lajur A-G PS</t>
  </si>
  <si>
    <t>Fr. 33/34-36/37, Lajur A-G SB</t>
  </si>
  <si>
    <t xml:space="preserve">Lajur G, Plate (ABS) size 6100x1520x12 mm </t>
  </si>
  <si>
    <t>Fr. 33/34-36/37, Lajur A-G PS</t>
  </si>
  <si>
    <t>Fr. 36/37-40/41, Lajur A-G SB</t>
  </si>
  <si>
    <t>Fr. 36/37-40/41, Lajur A-G PS</t>
  </si>
  <si>
    <t xml:space="preserve">Lajur B, Plate (ABS) size 6100x1840x12 mm </t>
  </si>
  <si>
    <t xml:space="preserve">Lajur C, Plate (ABS) size 6100x1840x12 mm </t>
  </si>
  <si>
    <t xml:space="preserve">Lajur D, Plate (ABS) size 6100x1840x12 mm </t>
  </si>
  <si>
    <t xml:space="preserve">Lajur F, Plate (ABS) size 6080x1830x12 mm </t>
  </si>
  <si>
    <t>Fr. 40/41-43/44, Lajur A-G SB</t>
  </si>
  <si>
    <t>Fr. 40/41-43/44, Lajur A-G PS</t>
  </si>
  <si>
    <t xml:space="preserve">Lajur B, Plate (ABS) size 5990x1840x12 mm </t>
  </si>
  <si>
    <t xml:space="preserve">Lajur C, Plate (ABS) size 5990x1840x12 mm </t>
  </si>
  <si>
    <t xml:space="preserve">Lajur D, Plate (ABS) size 5990x1840x12 mm </t>
  </si>
  <si>
    <t xml:space="preserve">Lajur E, Plate (ABS) size 5990x1840x12 mm </t>
  </si>
  <si>
    <t xml:space="preserve">Lajur F, Plate (ABS) size 6050x1830x12 mm </t>
  </si>
  <si>
    <t>Fr. 43/44-47, Lajur A-G SB</t>
  </si>
  <si>
    <t xml:space="preserve">Lajur A, Plate (ABS) size 6100x1840x12 mm </t>
  </si>
  <si>
    <t xml:space="preserve">Lajur B, Plate (ABS) size 4600x1840x12 mm </t>
  </si>
  <si>
    <t xml:space="preserve">Lajur C, Plate (ABS) size 4600x1840x12 mm </t>
  </si>
  <si>
    <t xml:space="preserve">Lajur D, Plate (ABS) size 4600x1840x12 mm </t>
  </si>
  <si>
    <t xml:space="preserve">Lajur G, Plate (ABS) size 5120x1480x12 mm </t>
  </si>
  <si>
    <t>ae</t>
  </si>
  <si>
    <t>Fr. 43/44-47, Lajur A-G PS</t>
  </si>
  <si>
    <t xml:space="preserve">Lajur E, Plate (ABS) size 4600x1100x12 mm </t>
  </si>
  <si>
    <t xml:space="preserve">Lajur F, Plate (ABS) size 6050x1850x12 mm </t>
  </si>
  <si>
    <t>af</t>
  </si>
  <si>
    <t>Fr. 47/48-49/50, Lajur A SB</t>
  </si>
  <si>
    <t xml:space="preserve">Plate (ABS) size 3060x1840x12 mm </t>
  </si>
  <si>
    <t>ag</t>
  </si>
  <si>
    <t>Fr. 47/48-49/50, Lajur A PS</t>
  </si>
  <si>
    <t>ah</t>
  </si>
  <si>
    <t>Fr. 47-49/50, Lajur B SB</t>
  </si>
  <si>
    <t xml:space="preserve">Plate (ABS) size 4580x740x12 mm </t>
  </si>
  <si>
    <t>Pipa sounding tank 1 PS</t>
  </si>
  <si>
    <t>Pipe Size 1,5" sch 40</t>
  </si>
  <si>
    <t xml:space="preserve">Long nipple Size 1,5" sch 40 </t>
  </si>
  <si>
    <t>Dope size 1,5"</t>
  </si>
  <si>
    <t>Doubling, Plate size 130x130x10 mm</t>
  </si>
  <si>
    <t>Pipa sounding tank 2 PS</t>
  </si>
  <si>
    <t>Pipa sounding tank 3 PS</t>
  </si>
  <si>
    <t>Doubling, Plate size 120x120x10 mm</t>
  </si>
  <si>
    <t>Pipa sounding tank 4 PS</t>
  </si>
  <si>
    <t>Pipa sounding tank 5 PS</t>
  </si>
  <si>
    <t>Doubling, Plate size 110x110x10 mm</t>
  </si>
  <si>
    <t>Pipa sounding tank 6 PS</t>
  </si>
  <si>
    <t>Pipa sounding tank 7 PS</t>
  </si>
  <si>
    <t>Pipa sounding tank 8 PS</t>
  </si>
  <si>
    <t>Pipa sounding tank 10 PS</t>
  </si>
  <si>
    <t>Pipa sounding tank 1 SB</t>
  </si>
  <si>
    <t>Pipa sounding tank 2 SB</t>
  </si>
  <si>
    <t>Pipa sounding tank 3 SB</t>
  </si>
  <si>
    <t>Pipa sounding tank 4 SB</t>
  </si>
  <si>
    <t>Pipa sounding tank 5 SB</t>
  </si>
  <si>
    <t>Bracket, Plate size 300x120x10 mm</t>
  </si>
  <si>
    <t>Pipa sounding tank 6 SB</t>
  </si>
  <si>
    <t>Pipa sounding tank 7 SB</t>
  </si>
  <si>
    <t>Pipa sounding tank 8 SB</t>
  </si>
  <si>
    <t>Pipa sounding tank 9 SB</t>
  </si>
  <si>
    <t>Pipa sounding tank 10 SB</t>
  </si>
  <si>
    <t>Bracket, Plate size 200x120x10 mm</t>
  </si>
  <si>
    <t>Pipa sounding tank 1 CT</t>
  </si>
  <si>
    <t>Fr. 4/5-5/6, Lajur C SB</t>
  </si>
  <si>
    <t xml:space="preserve">Plate (ABS) size 1350x1780x12 mm </t>
  </si>
  <si>
    <t xml:space="preserve">Lajur E, Plate (ABS) size 6100x1360x12 mm </t>
  </si>
  <si>
    <t xml:space="preserve">Lajur A PS/A SB, Plate (ABS) size 6100x1830x12 mm </t>
  </si>
  <si>
    <t>Fr. 14/15-17/18, Lajur B/C SB (Access blasting)</t>
  </si>
  <si>
    <t>Fr. 33/34-37/38, Lajur C SB (Access blasting)</t>
  </si>
  <si>
    <t xml:space="preserve">Plate (ABS) size 6100x1840x12 mm </t>
  </si>
  <si>
    <t xml:space="preserve">Plate (ABS) size 1100x1840x12 mm </t>
  </si>
  <si>
    <t>Fr. 42/43-46/47, Lajur A SB</t>
  </si>
  <si>
    <t>Fr. 42/43-46/47, Lajur A/B SB</t>
  </si>
  <si>
    <t>Fr. 45/46-46/47, Lajur C SB</t>
  </si>
  <si>
    <t xml:space="preserve">Plate (ABS) size 3070x1840x12 mm </t>
  </si>
  <si>
    <t>Fr. 33/34-37/38, Lajur B/C PS (Access blasting)</t>
  </si>
  <si>
    <t>Fr. 42/43-46/47, Lajur A PS</t>
  </si>
  <si>
    <t>Fr. 42/43-46/47, Lajur A/B PS</t>
  </si>
  <si>
    <t xml:space="preserve">Plate (ABS) size 2770x1840x12 mm </t>
  </si>
  <si>
    <t xml:space="preserve">Plate (ABS) size 4450x800x12 mm </t>
  </si>
  <si>
    <t>Fr. 42/43-46/47, Lajur B PS</t>
  </si>
  <si>
    <t xml:space="preserve">Plate (ABS) size 2770x580x12 mm </t>
  </si>
  <si>
    <t>Anchor pocket</t>
  </si>
  <si>
    <t xml:space="preserve">Plate(ABS) size 2570x1770x12 mm </t>
  </si>
  <si>
    <t>Fr. 23/24 Lajur E SB</t>
  </si>
  <si>
    <t xml:space="preserve">Plate (ABS) size 1830x750x12 mm </t>
  </si>
  <si>
    <t>Skeg</t>
  </si>
  <si>
    <t>Skeg PS</t>
  </si>
  <si>
    <t xml:space="preserve">Bottom, Plate (ABS) size 1030x290x12 mm </t>
  </si>
  <si>
    <t xml:space="preserve">Diagonal, Plate (ABS) size 450x270x12 mm </t>
  </si>
  <si>
    <t>Stantion, H-beam size (200x200x8x12) x 1500 mm, 8 pcs</t>
  </si>
  <si>
    <t>Transverse STF, H-beam size (200x200x8x12) x 2790 mm, 2 pcs</t>
  </si>
  <si>
    <t>Longitudinal STF, Angle bar size (100x100x10 mm) x 1380 mm, 3 pcs</t>
  </si>
  <si>
    <t>Horizontal STF, Angle bar size (100x100x10 mm) x 1290 mm, 6 pcs</t>
  </si>
  <si>
    <t>Horizontal STF, Angle bar size (100x100x10 mm) x 1190 mm, 8 pcs</t>
  </si>
  <si>
    <t>Side plate, Plate size 3000x1500x8 mm, 2 pcs</t>
  </si>
  <si>
    <t>Side plate, Plate size 2970x1500x8 mm, 2 pcs</t>
  </si>
  <si>
    <t>Base plate, Plate size 3000x3010x12 mm</t>
  </si>
  <si>
    <t>Bracket stantion, Plate size  300x300x12 mm, 7 pcs</t>
  </si>
  <si>
    <t>Bracket stantion, Plate size 400x350x12 mm, 5 pcs</t>
  </si>
  <si>
    <t>Pad eye, Plate size 200x190x25 mm</t>
  </si>
  <si>
    <t>Transverse foundation, H-Beam size (200x200x8x12 mm) x 6150</t>
  </si>
  <si>
    <t>Stantion, Angle bar size (120x120x10 mm) x 1600 mm</t>
  </si>
  <si>
    <t>Transverse ladder foundation, Angle bar size (100x100x10 mm) x 1000 mm, 3 pcs</t>
  </si>
  <si>
    <t>Longitudinal ladder foundation, Angle bar size (120x120x10 mm) x 1230 mm, 2 pcs</t>
  </si>
  <si>
    <t>Stepladder, Plate grating size 550x210</t>
  </si>
  <si>
    <t xml:space="preserve">Railing, Pipe size 1 1/4" sch 40 </t>
  </si>
  <si>
    <t>Doubling stantion, 200x200x10 mm, 3 pcs</t>
  </si>
  <si>
    <t xml:space="preserve">Stepladder to top winch house, Squere bar size (3/4" x 3/4") x 550 mm, 6 pcs </t>
  </si>
  <si>
    <t>Hand Rail, Roundbar size 3/4" x 890 mm, 2 pcs</t>
  </si>
  <si>
    <t>Plate stepladder, Plate size 1270x900x10 mm</t>
  </si>
  <si>
    <t>Cover, Plat uk. 950x550x8 mm</t>
  </si>
  <si>
    <t>Outer lis, Plat strip uk.. (1 1/2" x 8 mm) x 3040 mm</t>
  </si>
  <si>
    <t>Inner lis, Plat strip uk. (2" x 8 mm) x 2680 mm</t>
  </si>
  <si>
    <t>Diagonal STF, Plat strip uk.. (1 1/2" x 8 mm) x 810 mm, 2 pcs</t>
  </si>
  <si>
    <t>Presser lis, Plat strip uk. (2" x 8 mm) x 2800 mm</t>
  </si>
  <si>
    <t>Handle, Roundbar uk. 3/4" x 320 mm</t>
  </si>
  <si>
    <t>Lock, Plat uk. 110x50x12 mm</t>
  </si>
  <si>
    <t>Hinge, Plat uk. 100x60x12 mm, 4 pcs</t>
  </si>
  <si>
    <t>Hinge, Plat uk. 230x60x12 mm, 2 pcs</t>
  </si>
  <si>
    <t>Peluncuran, H-Beam size (300x300x10x15 mm) x 2700 mm</t>
  </si>
  <si>
    <t>Stantion, H-Beam size (200x200x8x12 mm) x 1100 mm</t>
  </si>
  <si>
    <t>Bracket, Plate size 400x350x12 mm, 2 pcs</t>
  </si>
  <si>
    <t>Bracket, Plate size 300x250x12 mm, 2 pcs</t>
  </si>
  <si>
    <t>Bracket, Plate size 900x850x12 mm</t>
  </si>
  <si>
    <t>Bracket, Plate size 1400x1000x12 mm</t>
  </si>
  <si>
    <t>Bracket, Plate size 1400x1320x12 mm</t>
  </si>
  <si>
    <t>Bracket, Plate size 1530x1530x12 mm</t>
  </si>
  <si>
    <t>Safety roundbar, Roundbar size 2" x 1650 mm</t>
  </si>
  <si>
    <t>Safety roundbar, Roundbar size 2" x 1500 mm</t>
  </si>
  <si>
    <t>Bosh roller, Bosh kuningan size ID 2" OD 3" P 100 mm</t>
  </si>
  <si>
    <t>Pen Roundbar, Roundbar size 2" x 450 mm</t>
  </si>
  <si>
    <t>Doubling stantion, Plate size 0370x370x12 mm</t>
  </si>
  <si>
    <t>Doubling, Plate size 600x400x12 mm, 2 pcs</t>
  </si>
  <si>
    <t>Top plate, Plate size 400x290x12 mm</t>
  </si>
  <si>
    <t>Top plate, Plate size 250x290x12 mm</t>
  </si>
  <si>
    <t>Plate pen, Plate size 170x170x12 mm, 2 pcs</t>
  </si>
  <si>
    <t>Stopper chain</t>
  </si>
  <si>
    <t>Plate size 380x280x25 mm, 3 pcs</t>
  </si>
  <si>
    <t>Plate size 350x70x25 mm, 2 pcs</t>
  </si>
  <si>
    <t>Handle, Roundbar uk. 3/4" x 270 mm</t>
  </si>
  <si>
    <t>Penambahan B/N manhole (wo terakhir)</t>
  </si>
  <si>
    <t>Pipa size 12" sch. 80 (halved) x 4800 mm, 2 pcs</t>
  </si>
  <si>
    <t>Step, Roundbar ulir size 3/4" x 450 mm, 15 pcs</t>
  </si>
  <si>
    <t>Cover pipe top and bottom, Plate size 320x230x10 mm, 4 pcs</t>
  </si>
  <si>
    <t>Doubler, Plate size 4400x400x10 mm, 2 pcs</t>
  </si>
  <si>
    <t>Safety Railing, Bracket, Plate size 250x200x12 mm, 4 pcs</t>
  </si>
  <si>
    <t>Safety Railing, Doubling, Plate size 80x80x12 mm, 4 pcs</t>
  </si>
  <si>
    <t>JR. Rev. 10 Additonal work req by OS (25/01/25)</t>
  </si>
  <si>
    <t xml:space="preserve">TANGKI-TANGKI </t>
  </si>
  <si>
    <t>tank</t>
  </si>
  <si>
    <t xml:space="preserve">Sedot air dalam tangki </t>
  </si>
  <si>
    <t>Sewa tempat sandar selama perbaikan</t>
  </si>
  <si>
    <t>REPLATING SOEKAWATI</t>
  </si>
  <si>
    <t>ST, H-beam size (200x200x8x12 mm) x 3600 mm</t>
  </si>
  <si>
    <t>B/N size 3/4"x2", 2 pcs</t>
  </si>
  <si>
    <t>Cover, Pipa size 2" sch. 40, 980 mm</t>
  </si>
  <si>
    <t>Studbolt (SS) size 3/4", 200 mm</t>
  </si>
  <si>
    <t>Nut size 3/4", 1 pcs</t>
  </si>
  <si>
    <t>Mata kunci shock size 28 mm, 1 pcs</t>
  </si>
  <si>
    <t>Pipe size 2" sch 40, 1300 mm</t>
  </si>
  <si>
    <t>Pipa size 2" sch 40, 1730 mm</t>
  </si>
  <si>
    <t>Elbow size 2" sch 40, 3 pcs</t>
  </si>
  <si>
    <t>Flange custom size 100x80x10 mm, 1 pcs</t>
  </si>
  <si>
    <t>Supply flexible exhaust size 2" (flange to flange bebas), 1pcs</t>
  </si>
  <si>
    <t>Packing api size 130x130x3.2 mm, 1 pcs</t>
  </si>
  <si>
    <t>B/N size 14x45 mm, 4 pcs</t>
  </si>
  <si>
    <t>Naik dan turunkan daprah PS &amp; SB, 22 pcs</t>
  </si>
  <si>
    <t>Spurling pipe, Pipe size 10" sch 80, 540 mm</t>
  </si>
  <si>
    <t>Safety Railing, Pipe size 1,5" sch. 80, 5600 mm</t>
  </si>
  <si>
    <t>Buka dan tutup manhole tank 1 -10 SB, Akibat pengecekan class lightship survey</t>
  </si>
  <si>
    <t>Buka dan tutup manhole tank 1-10 PS, Akibat pengecekan class lightship survey</t>
  </si>
  <si>
    <t>Buka dan tutup manhole tank 1-10 CT, Akibat pengecekan class lightship survey</t>
  </si>
  <si>
    <t>BG. PSPM 21 &amp; TB. BERAU 21</t>
  </si>
  <si>
    <t>Naik dan Turunkan Rampdoor baru dan rampdoor lama</t>
  </si>
  <si>
    <t>Kalibrasi Tangki BBM TB. BERAU 21, 4 tangki</t>
  </si>
  <si>
    <t xml:space="preserve">Grand Total   </t>
  </si>
  <si>
    <t>Total Replating Plat ABS</t>
  </si>
  <si>
    <t>Total Replating Plat A</t>
  </si>
  <si>
    <t>Total Replating Material Lama</t>
  </si>
  <si>
    <t>Total Replating</t>
  </si>
  <si>
    <t>Total Replating Internal Tangki</t>
  </si>
  <si>
    <t>Kg</t>
  </si>
  <si>
    <t>LAIN - LAIN</t>
  </si>
  <si>
    <t>Bracket stantion to deck beam, Plate size 500x400x8 mm, 4 pcs</t>
  </si>
  <si>
    <t>Bracket web frame to deck beam, Plate size 500x400x8 mm, 4 pcs</t>
  </si>
  <si>
    <t>Bracket web LBHD to deck beam, Plate size 500x400x8 mm, 4 pcs</t>
  </si>
  <si>
    <t>Internal tank 2 CT</t>
  </si>
  <si>
    <t>Balikpapan, 03 Maret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</si>
</sst>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_-&quot;IDR&quot;* #,##0_-;\-&quot;IDR&quot;* #,##0_-;_-&quot;IDR&quot;* &quot;-&quot;_-;_-@_-"/>
    <numFmt numFmtId="165" formatCode="_([$IDR]\ * #,##0_);_([$IDR]\ * \(#,##0\);_([$IDR]\ * &quot;-&quot;??_);_(@_)"/>
    <numFmt numFmtId="166" formatCode="_(&quot;IDR&quot;* #,##0_);_(&quot;IDR&quot;* \(#,##0\);_(&quot;IDR&quot;* &quot;-&quot;_);_(@_)"/>
    <numFmt numFmtId="167" formatCode="_-[$IDR]\ * #,##0.00_-;\-[$IDR]\ * #,##0.00_-;_-[$IDR]\ * &quot;-&quot;??_-;_-@_-"/>
  </numFmts>
  <fonts count="23" x14ac:knownFonts="1">
    <font>
      <sz val="12"/>
      <color theme="1"/>
      <name val="Calibri"/>
      <family val="2"/>
      <scheme val="minor"/>
    </font>
    <font>
      <sz val="12"/>
      <color theme="1"/>
      <name val="Calibri"/>
      <family val="2"/>
      <scheme val="minor"/>
    </font>
    <font>
      <sz val="11"/>
      <color theme="1"/>
      <name val="Arial"/>
      <family val="2"/>
    </font>
    <font>
      <i/>
      <sz val="11"/>
      <color theme="1"/>
      <name val="Arial"/>
      <family val="2"/>
    </font>
    <font>
      <u/>
      <sz val="12"/>
      <color theme="10"/>
      <name val="Calibri"/>
      <family val="2"/>
      <scheme val="minor"/>
    </font>
    <font>
      <u/>
      <sz val="12"/>
      <color theme="11"/>
      <name val="Calibri"/>
      <family val="2"/>
      <scheme val="minor"/>
    </font>
    <font>
      <sz val="11"/>
      <color rgb="FF222222"/>
      <name val="Arial"/>
      <family val="2"/>
    </font>
    <font>
      <sz val="11"/>
      <name val="Arial"/>
      <family val="2"/>
    </font>
    <font>
      <sz val="11"/>
      <color rgb="FF000000"/>
      <name val="Arial"/>
      <family val="2"/>
    </font>
    <font>
      <u/>
      <sz val="11"/>
      <color theme="1"/>
      <name val="Arial"/>
      <family val="2"/>
    </font>
    <font>
      <b/>
      <sz val="14"/>
      <color theme="1"/>
      <name val="Arial"/>
      <family val="2"/>
    </font>
    <font>
      <b/>
      <u/>
      <sz val="11"/>
      <color theme="1"/>
      <name val="Arial"/>
      <family val="2"/>
    </font>
    <font>
      <b/>
      <sz val="11"/>
      <color rgb="FF000000"/>
      <name val="Arial"/>
      <family val="2"/>
    </font>
    <font>
      <b/>
      <sz val="11"/>
      <name val="Arial"/>
      <family val="2"/>
    </font>
    <font>
      <sz val="12"/>
      <color rgb="FFFF0000"/>
      <name val="Calibri"/>
      <family val="2"/>
      <scheme val="minor"/>
    </font>
    <font>
      <sz val="11"/>
      <color theme="0"/>
      <name val="Arial"/>
      <family val="2"/>
    </font>
    <font>
      <b/>
      <sz val="11"/>
      <color theme="0"/>
      <name val="Arial"/>
      <family val="2"/>
    </font>
    <font>
      <sz val="12"/>
      <name val="Arial"/>
      <family val="2"/>
    </font>
    <font>
      <b/>
      <i/>
      <sz val="11"/>
      <name val="Arial"/>
      <family val="2"/>
    </font>
    <font>
      <b/>
      <u/>
      <sz val="11"/>
      <name val="Arial"/>
      <family val="2"/>
    </font>
    <font>
      <b/>
      <sz val="11"/>
      <name val="Calibri"/>
      <family val="2"/>
      <scheme val="minor"/>
    </font>
    <font>
      <sz val="11"/>
      <name val="Calibri"/>
      <family val="2"/>
      <scheme val="minor"/>
    </font>
    <font>
      <sz val="8"/>
      <name val="Arial"/>
      <family val="2"/>
    </font>
  </fonts>
  <fills count="7">
    <fill>
      <patternFill patternType="none"/>
    </fill>
    <fill>
      <patternFill patternType="gray125"/>
    </fill>
    <fill>
      <patternFill patternType="solid">
        <fgColor theme="0"/>
        <bgColor indexed="64"/>
      </patternFill>
    </fill>
    <fill>
      <patternFill patternType="solid">
        <fgColor rgb="FFFFFFFF"/>
        <bgColor rgb="FF000000"/>
      </patternFill>
    </fill>
    <fill>
      <patternFill patternType="solid">
        <fgColor theme="0"/>
        <bgColor rgb="FF000000"/>
      </patternFill>
    </fill>
    <fill>
      <patternFill patternType="solid">
        <fgColor rgb="FFFFFF00"/>
        <bgColor rgb="FF000000"/>
      </patternFill>
    </fill>
    <fill>
      <patternFill patternType="solid">
        <fgColor theme="0"/>
        <bgColor theme="0"/>
      </patternFill>
    </fill>
  </fills>
  <borders count="18">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indexed="64"/>
      </top>
      <bottom style="thin">
        <color auto="1"/>
      </bottom>
      <diagonal/>
    </border>
    <border>
      <left/>
      <right style="thin">
        <color rgb="FF000000"/>
      </right>
      <top/>
      <bottom/>
      <diagonal/>
    </border>
    <border>
      <left style="thin">
        <color rgb="FF000000"/>
      </left>
      <right/>
      <top/>
      <bottom/>
      <diagonal/>
    </border>
  </borders>
  <cellStyleXfs count="127">
    <xf numFmtId="0" fontId="0" fillId="0" borderId="0"/>
    <xf numFmtId="164" fontId="1" fillId="0" borderId="0" applyFon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cellStyleXfs>
  <cellXfs count="242">
    <xf numFmtId="0" fontId="0" fillId="0" borderId="0" xfId="0"/>
    <xf numFmtId="0" fontId="2" fillId="2" borderId="3" xfId="0" applyFont="1" applyFill="1" applyBorder="1"/>
    <xf numFmtId="0" fontId="2" fillId="2" borderId="8" xfId="0" applyFont="1" applyFill="1" applyBorder="1"/>
    <xf numFmtId="0" fontId="2" fillId="2" borderId="13" xfId="0" applyFont="1" applyFill="1" applyBorder="1"/>
    <xf numFmtId="0" fontId="2" fillId="2" borderId="14" xfId="0" applyFont="1" applyFill="1" applyBorder="1"/>
    <xf numFmtId="0" fontId="3" fillId="2" borderId="0" xfId="0" applyFont="1" applyFill="1"/>
    <xf numFmtId="0" fontId="6" fillId="0" borderId="0" xfId="0" applyFont="1"/>
    <xf numFmtId="164" fontId="2" fillId="2" borderId="1" xfId="1" applyFont="1" applyFill="1" applyBorder="1"/>
    <xf numFmtId="0" fontId="8" fillId="2" borderId="13" xfId="0" quotePrefix="1" applyFont="1" applyFill="1" applyBorder="1" applyAlignment="1">
      <alignment horizontal="left" vertical="center"/>
    </xf>
    <xf numFmtId="0" fontId="8" fillId="2" borderId="14" xfId="0" quotePrefix="1" applyFont="1" applyFill="1" applyBorder="1" applyAlignment="1">
      <alignment horizontal="center" vertical="center"/>
    </xf>
    <xf numFmtId="0" fontId="8" fillId="2" borderId="15" xfId="0" quotePrefix="1" applyFont="1" applyFill="1" applyBorder="1" applyAlignment="1">
      <alignment horizontal="center" vertical="center"/>
    </xf>
    <xf numFmtId="0" fontId="2" fillId="2" borderId="15" xfId="0" applyFont="1" applyFill="1" applyBorder="1" applyAlignment="1">
      <alignment horizontal="right"/>
    </xf>
    <xf numFmtId="0" fontId="2" fillId="2" borderId="15" xfId="0" applyFont="1" applyFill="1" applyBorder="1"/>
    <xf numFmtId="0" fontId="3" fillId="2" borderId="1" xfId="0" applyFont="1" applyFill="1" applyBorder="1" applyAlignment="1">
      <alignment horizontal="center"/>
    </xf>
    <xf numFmtId="0" fontId="0" fillId="2" borderId="6" xfId="0" applyFill="1" applyBorder="1"/>
    <xf numFmtId="0" fontId="10" fillId="2" borderId="0" xfId="0" applyFont="1" applyFill="1"/>
    <xf numFmtId="0" fontId="2" fillId="2" borderId="0" xfId="0" applyFont="1" applyFill="1"/>
    <xf numFmtId="0" fontId="2" fillId="2" borderId="4" xfId="0" applyFont="1" applyFill="1" applyBorder="1"/>
    <xf numFmtId="0" fontId="11" fillId="2" borderId="0" xfId="0" applyFont="1" applyFill="1"/>
    <xf numFmtId="0" fontId="2" fillId="2" borderId="9" xfId="0" applyFont="1" applyFill="1" applyBorder="1"/>
    <xf numFmtId="0" fontId="2" fillId="2" borderId="6" xfId="0" applyFont="1" applyFill="1" applyBorder="1"/>
    <xf numFmtId="0" fontId="2" fillId="2" borderId="6" xfId="0" applyFont="1" applyFill="1" applyBorder="1" applyAlignment="1">
      <alignment horizontal="center"/>
    </xf>
    <xf numFmtId="0" fontId="2" fillId="2" borderId="0" xfId="0" applyFont="1" applyFill="1" applyAlignment="1">
      <alignment horizontal="center"/>
    </xf>
    <xf numFmtId="0" fontId="8" fillId="4" borderId="0" xfId="0" applyFont="1" applyFill="1"/>
    <xf numFmtId="0" fontId="8" fillId="4" borderId="0" xfId="0" applyFont="1" applyFill="1" applyAlignment="1">
      <alignment horizontal="center"/>
    </xf>
    <xf numFmtId="0" fontId="8" fillId="4" borderId="5" xfId="0" applyFont="1" applyFill="1" applyBorder="1" applyAlignment="1">
      <alignment horizontal="left"/>
    </xf>
    <xf numFmtId="165" fontId="8" fillId="4" borderId="11" xfId="0" applyNumberFormat="1" applyFont="1" applyFill="1" applyBorder="1" applyAlignment="1">
      <alignment vertical="center"/>
    </xf>
    <xf numFmtId="0" fontId="7" fillId="2" borderId="6" xfId="0" applyFont="1" applyFill="1" applyBorder="1"/>
    <xf numFmtId="0" fontId="10" fillId="2" borderId="0" xfId="0" applyFont="1" applyFill="1" applyAlignment="1">
      <alignment horizontal="left"/>
    </xf>
    <xf numFmtId="0" fontId="3" fillId="2" borderId="0" xfId="0" applyFont="1" applyFill="1" applyAlignment="1">
      <alignment horizontal="left"/>
    </xf>
    <xf numFmtId="0" fontId="0" fillId="0" borderId="0" xfId="0" applyAlignment="1">
      <alignment vertical="center"/>
    </xf>
    <xf numFmtId="0" fontId="0" fillId="2" borderId="0" xfId="0" applyFill="1"/>
    <xf numFmtId="0" fontId="3" fillId="2" borderId="15" xfId="0" applyFont="1" applyFill="1" applyBorder="1" applyAlignment="1">
      <alignment horizontal="center"/>
    </xf>
    <xf numFmtId="164" fontId="3" fillId="2" borderId="1" xfId="1" applyFont="1" applyFill="1" applyBorder="1" applyAlignment="1">
      <alignment horizontal="center"/>
    </xf>
    <xf numFmtId="0" fontId="2" fillId="2" borderId="2" xfId="0" applyFont="1" applyFill="1" applyBorder="1" applyAlignment="1">
      <alignment horizontal="left"/>
    </xf>
    <xf numFmtId="0" fontId="3" fillId="2" borderId="3" xfId="0" applyFont="1" applyFill="1" applyBorder="1"/>
    <xf numFmtId="20" fontId="8" fillId="4" borderId="5" xfId="0" applyNumberFormat="1" applyFont="1" applyFill="1" applyBorder="1" applyAlignment="1">
      <alignment horizontal="left"/>
    </xf>
    <xf numFmtId="0" fontId="9" fillId="2" borderId="0" xfId="0" applyFont="1" applyFill="1"/>
    <xf numFmtId="0" fontId="3" fillId="2" borderId="8" xfId="0" applyFont="1" applyFill="1" applyBorder="1"/>
    <xf numFmtId="0" fontId="7" fillId="2" borderId="10" xfId="0" applyFont="1" applyFill="1" applyBorder="1"/>
    <xf numFmtId="0" fontId="7" fillId="2" borderId="11" xfId="0" applyFont="1" applyFill="1" applyBorder="1"/>
    <xf numFmtId="0" fontId="2" fillId="2" borderId="5" xfId="0" applyFont="1" applyFill="1" applyBorder="1" applyAlignment="1">
      <alignment horizontal="left"/>
    </xf>
    <xf numFmtId="164" fontId="2" fillId="2" borderId="11" xfId="1" applyFont="1" applyFill="1" applyBorder="1"/>
    <xf numFmtId="0" fontId="8" fillId="2" borderId="5" xfId="0" quotePrefix="1" applyFont="1" applyFill="1" applyBorder="1" applyAlignment="1">
      <alignment horizontal="left" vertical="center"/>
    </xf>
    <xf numFmtId="0" fontId="8" fillId="2" borderId="0" xfId="0" quotePrefix="1" applyFont="1" applyFill="1" applyAlignment="1">
      <alignment horizontal="center" vertical="center"/>
    </xf>
    <xf numFmtId="0" fontId="8" fillId="2" borderId="6" xfId="0" quotePrefix="1" applyFont="1" applyFill="1" applyBorder="1" applyAlignment="1">
      <alignment horizontal="center" vertical="center"/>
    </xf>
    <xf numFmtId="165" fontId="8" fillId="3" borderId="11" xfId="0" applyNumberFormat="1" applyFont="1" applyFill="1" applyBorder="1" applyAlignment="1">
      <alignment vertical="center"/>
    </xf>
    <xf numFmtId="165" fontId="8" fillId="4" borderId="0" xfId="0" applyNumberFormat="1" applyFont="1" applyFill="1" applyAlignment="1">
      <alignment vertical="center"/>
    </xf>
    <xf numFmtId="164" fontId="2" fillId="2" borderId="6" xfId="1" applyFont="1" applyFill="1" applyBorder="1"/>
    <xf numFmtId="0" fontId="7" fillId="2" borderId="6" xfId="0" applyFont="1" applyFill="1" applyBorder="1" applyAlignment="1">
      <alignment vertical="center"/>
    </xf>
    <xf numFmtId="0" fontId="12" fillId="2" borderId="5" xfId="0" quotePrefix="1" applyFont="1" applyFill="1" applyBorder="1" applyAlignment="1">
      <alignment horizontal="left" vertical="center"/>
    </xf>
    <xf numFmtId="0" fontId="2" fillId="2" borderId="0" xfId="0" applyFont="1" applyFill="1" applyAlignment="1">
      <alignment horizontal="center" vertical="center"/>
    </xf>
    <xf numFmtId="0" fontId="2" fillId="2" borderId="6" xfId="0" applyFont="1" applyFill="1" applyBorder="1" applyAlignment="1">
      <alignment horizontal="center" vertical="center"/>
    </xf>
    <xf numFmtId="0" fontId="2" fillId="2" borderId="11" xfId="0" applyFont="1" applyFill="1" applyBorder="1"/>
    <xf numFmtId="0" fontId="2" fillId="2" borderId="5" xfId="0" applyFont="1" applyFill="1" applyBorder="1" applyAlignment="1">
      <alignment horizontal="center"/>
    </xf>
    <xf numFmtId="164" fontId="8" fillId="4" borderId="11" xfId="1" applyFont="1" applyFill="1" applyBorder="1" applyAlignment="1">
      <alignment vertical="center"/>
    </xf>
    <xf numFmtId="0" fontId="8" fillId="4" borderId="6" xfId="0" applyFont="1" applyFill="1" applyBorder="1" applyAlignment="1">
      <alignment vertical="center"/>
    </xf>
    <xf numFmtId="165" fontId="8" fillId="3" borderId="0" xfId="0" applyNumberFormat="1" applyFont="1" applyFill="1" applyAlignment="1">
      <alignment vertical="center"/>
    </xf>
    <xf numFmtId="0" fontId="2" fillId="2" borderId="5" xfId="0" applyFont="1" applyFill="1" applyBorder="1" applyAlignment="1">
      <alignment horizontal="left" vertical="center"/>
    </xf>
    <xf numFmtId="166" fontId="8" fillId="3" borderId="6" xfId="0" applyNumberFormat="1" applyFont="1" applyFill="1" applyBorder="1"/>
    <xf numFmtId="0" fontId="7" fillId="4" borderId="6" xfId="0" applyFont="1" applyFill="1" applyBorder="1" applyAlignment="1">
      <alignment vertical="center"/>
    </xf>
    <xf numFmtId="165" fontId="8" fillId="4" borderId="6" xfId="0" applyNumberFormat="1" applyFont="1" applyFill="1" applyBorder="1" applyAlignment="1">
      <alignment vertical="center"/>
    </xf>
    <xf numFmtId="0" fontId="7" fillId="4" borderId="6" xfId="0" applyFont="1" applyFill="1" applyBorder="1" applyAlignment="1">
      <alignment horizontal="center"/>
    </xf>
    <xf numFmtId="0" fontId="7" fillId="4" borderId="0" xfId="0" applyFont="1" applyFill="1"/>
    <xf numFmtId="0" fontId="7" fillId="4" borderId="0" xfId="0" quotePrefix="1" applyFont="1" applyFill="1"/>
    <xf numFmtId="0" fontId="7" fillId="4" borderId="6" xfId="0" applyFont="1" applyFill="1" applyBorder="1"/>
    <xf numFmtId="0" fontId="13" fillId="4" borderId="6" xfId="0" applyFont="1" applyFill="1" applyBorder="1" applyAlignment="1">
      <alignment horizontal="center"/>
    </xf>
    <xf numFmtId="0" fontId="13" fillId="4" borderId="0" xfId="0" applyFont="1" applyFill="1"/>
    <xf numFmtId="0" fontId="8" fillId="4" borderId="6" xfId="0" applyFont="1" applyFill="1" applyBorder="1"/>
    <xf numFmtId="0" fontId="7" fillId="2" borderId="6" xfId="0" applyFont="1" applyFill="1" applyBorder="1" applyAlignment="1">
      <alignment horizontal="center"/>
    </xf>
    <xf numFmtId="0" fontId="7" fillId="2" borderId="5" xfId="0" applyFont="1" applyFill="1" applyBorder="1" applyAlignment="1">
      <alignment horizontal="center"/>
    </xf>
    <xf numFmtId="0" fontId="7" fillId="2" borderId="0" xfId="0" applyFont="1" applyFill="1"/>
    <xf numFmtId="2" fontId="7" fillId="2" borderId="5" xfId="0" applyNumberFormat="1" applyFont="1" applyFill="1" applyBorder="1"/>
    <xf numFmtId="166" fontId="8" fillId="4" borderId="6" xfId="0" applyNumberFormat="1" applyFont="1" applyFill="1" applyBorder="1"/>
    <xf numFmtId="164" fontId="8" fillId="4" borderId="0" xfId="1" applyFont="1" applyFill="1" applyBorder="1" applyAlignment="1">
      <alignment vertical="center"/>
    </xf>
    <xf numFmtId="0" fontId="13" fillId="5" borderId="0" xfId="0" applyFont="1" applyFill="1"/>
    <xf numFmtId="0" fontId="13" fillId="5" borderId="0" xfId="0" quotePrefix="1" applyFont="1" applyFill="1"/>
    <xf numFmtId="0" fontId="13" fillId="5" borderId="6" xfId="0" applyFont="1" applyFill="1" applyBorder="1"/>
    <xf numFmtId="164" fontId="8" fillId="3" borderId="11" xfId="1" applyFont="1" applyFill="1" applyBorder="1" applyAlignment="1">
      <alignment vertical="center"/>
    </xf>
    <xf numFmtId="2" fontId="2" fillId="2" borderId="0" xfId="0" applyNumberFormat="1" applyFont="1" applyFill="1"/>
    <xf numFmtId="2" fontId="7" fillId="2" borderId="0" xfId="0" applyNumberFormat="1" applyFont="1" applyFill="1"/>
    <xf numFmtId="164" fontId="8" fillId="3" borderId="6" xfId="1" applyFont="1" applyFill="1" applyBorder="1" applyAlignment="1">
      <alignment vertical="center"/>
    </xf>
    <xf numFmtId="166" fontId="8" fillId="3" borderId="0" xfId="0" applyNumberFormat="1" applyFont="1" applyFill="1"/>
    <xf numFmtId="164" fontId="8" fillId="3" borderId="0" xfId="1" applyFont="1" applyFill="1" applyBorder="1" applyAlignment="1">
      <alignment vertical="center"/>
    </xf>
    <xf numFmtId="0" fontId="13" fillId="2" borderId="0" xfId="0" applyFont="1" applyFill="1" applyAlignment="1">
      <alignment horizontal="center" vertical="center"/>
    </xf>
    <xf numFmtId="0" fontId="2" fillId="2" borderId="6" xfId="114" applyFont="1" applyFill="1" applyBorder="1"/>
    <xf numFmtId="0" fontId="7" fillId="2" borderId="5" xfId="0" applyFont="1" applyFill="1" applyBorder="1" applyAlignment="1">
      <alignment horizontal="left" vertical="center"/>
    </xf>
    <xf numFmtId="0" fontId="7" fillId="2" borderId="0" xfId="0" quotePrefix="1" applyFont="1" applyFill="1" applyAlignment="1">
      <alignment horizontal="center" vertical="center"/>
    </xf>
    <xf numFmtId="0" fontId="7" fillId="2" borderId="0" xfId="0" applyFont="1" applyFill="1" applyAlignment="1">
      <alignment horizontal="center"/>
    </xf>
    <xf numFmtId="0" fontId="7" fillId="2" borderId="0" xfId="0" applyFont="1" applyFill="1" applyAlignment="1">
      <alignment horizontal="center" vertical="center"/>
    </xf>
    <xf numFmtId="0" fontId="13" fillId="4" borderId="5" xfId="0" applyFont="1" applyFill="1" applyBorder="1" applyAlignment="1">
      <alignment horizontal="left"/>
    </xf>
    <xf numFmtId="0" fontId="7" fillId="4" borderId="5" xfId="0" applyFont="1" applyFill="1" applyBorder="1" applyAlignment="1">
      <alignment horizontal="left"/>
    </xf>
    <xf numFmtId="166" fontId="8" fillId="4" borderId="0" xfId="0" applyNumberFormat="1" applyFont="1" applyFill="1"/>
    <xf numFmtId="0" fontId="7" fillId="3" borderId="6" xfId="0" applyFont="1" applyFill="1" applyBorder="1"/>
    <xf numFmtId="166" fontId="8" fillId="3" borderId="11" xfId="0" applyNumberFormat="1" applyFont="1" applyFill="1" applyBorder="1"/>
    <xf numFmtId="0" fontId="7" fillId="3" borderId="6" xfId="0" applyFont="1" applyFill="1" applyBorder="1" applyAlignment="1">
      <alignment vertical="center"/>
    </xf>
    <xf numFmtId="0" fontId="2" fillId="6" borderId="0" xfId="0" applyFont="1" applyFill="1"/>
    <xf numFmtId="2" fontId="2" fillId="6" borderId="0" xfId="0" applyNumberFormat="1" applyFont="1" applyFill="1"/>
    <xf numFmtId="0" fontId="2" fillId="6" borderId="6" xfId="0" applyFont="1" applyFill="1" applyBorder="1"/>
    <xf numFmtId="164" fontId="8" fillId="4" borderId="6" xfId="1" applyFont="1" applyFill="1" applyBorder="1" applyAlignment="1">
      <alignment vertical="center"/>
    </xf>
    <xf numFmtId="1" fontId="2" fillId="2" borderId="0" xfId="0" applyNumberFormat="1" applyFont="1" applyFill="1" applyAlignment="1">
      <alignment vertical="center"/>
    </xf>
    <xf numFmtId="0" fontId="8" fillId="2" borderId="6" xfId="0" applyFont="1" applyFill="1" applyBorder="1" applyAlignment="1">
      <alignment vertical="center"/>
    </xf>
    <xf numFmtId="0" fontId="7" fillId="2" borderId="6" xfId="0" applyFont="1" applyFill="1" applyBorder="1" applyAlignment="1">
      <alignment horizontal="left"/>
    </xf>
    <xf numFmtId="1" fontId="2" fillId="6" borderId="0" xfId="0" applyNumberFormat="1" applyFont="1" applyFill="1"/>
    <xf numFmtId="1" fontId="8" fillId="2" borderId="0" xfId="0" applyNumberFormat="1" applyFont="1" applyFill="1"/>
    <xf numFmtId="0" fontId="2" fillId="2" borderId="0" xfId="0" applyFont="1" applyFill="1" applyAlignment="1">
      <alignment vertical="center"/>
    </xf>
    <xf numFmtId="0" fontId="2" fillId="2" borderId="6" xfId="0" applyFont="1" applyFill="1" applyBorder="1" applyAlignment="1">
      <alignment vertical="center"/>
    </xf>
    <xf numFmtId="1" fontId="2" fillId="2" borderId="0" xfId="118" applyNumberFormat="1" applyFont="1" applyFill="1" applyAlignment="1">
      <alignment vertical="center"/>
    </xf>
    <xf numFmtId="0" fontId="2" fillId="2" borderId="6" xfId="118" applyFont="1" applyFill="1" applyBorder="1" applyAlignment="1">
      <alignment vertical="center"/>
    </xf>
    <xf numFmtId="0" fontId="7" fillId="4" borderId="0" xfId="113" applyFont="1" applyFill="1"/>
    <xf numFmtId="1" fontId="7" fillId="4" borderId="5" xfId="113" applyNumberFormat="1" applyFont="1" applyFill="1" applyBorder="1"/>
    <xf numFmtId="0" fontId="7" fillId="4" borderId="6" xfId="113" applyFont="1" applyFill="1" applyBorder="1"/>
    <xf numFmtId="1" fontId="7" fillId="4" borderId="5" xfId="0" applyNumberFormat="1" applyFont="1" applyFill="1" applyBorder="1"/>
    <xf numFmtId="2" fontId="7" fillId="4" borderId="5" xfId="0" applyNumberFormat="1" applyFont="1" applyFill="1" applyBorder="1"/>
    <xf numFmtId="2" fontId="7" fillId="4" borderId="5" xfId="113" applyNumberFormat="1" applyFont="1" applyFill="1" applyBorder="1"/>
    <xf numFmtId="0" fontId="7" fillId="2" borderId="5" xfId="0" applyFont="1" applyFill="1" applyBorder="1" applyAlignment="1">
      <alignment horizontal="left"/>
    </xf>
    <xf numFmtId="2" fontId="2" fillId="2" borderId="0" xfId="0" applyNumberFormat="1" applyFont="1" applyFill="1" applyAlignment="1">
      <alignment vertical="center"/>
    </xf>
    <xf numFmtId="0" fontId="14" fillId="0" borderId="0" xfId="0" applyFont="1"/>
    <xf numFmtId="0" fontId="14" fillId="2" borderId="0" xfId="0" applyFont="1" applyFill="1"/>
    <xf numFmtId="0" fontId="7" fillId="4" borderId="0" xfId="0" applyFont="1" applyFill="1" applyAlignment="1">
      <alignment horizontal="center" vertical="center"/>
    </xf>
    <xf numFmtId="0" fontId="7" fillId="0" borderId="5" xfId="0" applyFont="1" applyBorder="1" applyAlignment="1">
      <alignment horizontal="left"/>
    </xf>
    <xf numFmtId="165" fontId="8" fillId="2" borderId="0" xfId="0" applyNumberFormat="1" applyFont="1" applyFill="1" applyAlignment="1">
      <alignment vertical="center"/>
    </xf>
    <xf numFmtId="0" fontId="13" fillId="2" borderId="5" xfId="114" quotePrefix="1" applyFont="1" applyFill="1" applyBorder="1" applyAlignment="1">
      <alignment horizontal="center" vertical="center"/>
    </xf>
    <xf numFmtId="0" fontId="7" fillId="2" borderId="0" xfId="114" quotePrefix="1" applyFont="1" applyFill="1" applyAlignment="1">
      <alignment horizontal="center" vertical="center"/>
    </xf>
    <xf numFmtId="0" fontId="7" fillId="2" borderId="0" xfId="0" applyFont="1" applyFill="1" applyAlignment="1">
      <alignment vertical="center"/>
    </xf>
    <xf numFmtId="1" fontId="7" fillId="2" borderId="0" xfId="0" applyNumberFormat="1" applyFont="1" applyFill="1"/>
    <xf numFmtId="0" fontId="7" fillId="2" borderId="16" xfId="0" applyFont="1" applyFill="1" applyBorder="1" applyAlignment="1">
      <alignment vertical="center"/>
    </xf>
    <xf numFmtId="164" fontId="8" fillId="4" borderId="6" xfId="1" applyFont="1" applyFill="1" applyBorder="1"/>
    <xf numFmtId="0" fontId="13" fillId="2" borderId="0" xfId="0" applyFont="1" applyFill="1"/>
    <xf numFmtId="0" fontId="7" fillId="2" borderId="0" xfId="0" quotePrefix="1" applyFont="1" applyFill="1"/>
    <xf numFmtId="0" fontId="7" fillId="2" borderId="6" xfId="0" applyFont="1" applyFill="1" applyBorder="1" applyAlignment="1">
      <alignment horizontal="center" vertical="center"/>
    </xf>
    <xf numFmtId="0" fontId="7" fillId="6" borderId="16" xfId="0" applyFont="1" applyFill="1" applyBorder="1" applyAlignment="1">
      <alignment horizontal="center" vertical="center"/>
    </xf>
    <xf numFmtId="0" fontId="7" fillId="6" borderId="0" xfId="0" applyFont="1" applyFill="1"/>
    <xf numFmtId="0" fontId="15" fillId="2" borderId="5" xfId="0" applyFont="1" applyFill="1" applyBorder="1" applyAlignment="1">
      <alignment horizontal="left" vertical="center"/>
    </xf>
    <xf numFmtId="0" fontId="15" fillId="2" borderId="0" xfId="0" applyFont="1" applyFill="1" applyAlignment="1">
      <alignment horizontal="center" vertical="center"/>
    </xf>
    <xf numFmtId="0" fontId="13" fillId="2" borderId="0" xfId="0" applyFont="1" applyFill="1" applyAlignment="1">
      <alignment vertical="center"/>
    </xf>
    <xf numFmtId="0" fontId="2" fillId="2" borderId="5" xfId="0" applyFont="1" applyFill="1" applyBorder="1" applyAlignment="1">
      <alignment horizontal="center" vertical="center"/>
    </xf>
    <xf numFmtId="0" fontId="7" fillId="4" borderId="6" xfId="0" applyFont="1" applyFill="1" applyBorder="1" applyAlignment="1">
      <alignment horizontal="center" vertical="center"/>
    </xf>
    <xf numFmtId="0" fontId="13" fillId="4" borderId="0" xfId="0" applyFont="1" applyFill="1" applyAlignment="1">
      <alignment vertical="center"/>
    </xf>
    <xf numFmtId="2" fontId="7" fillId="2" borderId="0" xfId="0" applyNumberFormat="1" applyFont="1" applyFill="1" applyAlignment="1">
      <alignment vertical="center"/>
    </xf>
    <xf numFmtId="0" fontId="7" fillId="2" borderId="5" xfId="0" applyFont="1" applyFill="1" applyBorder="1" applyAlignment="1">
      <alignment horizontal="center" vertical="center"/>
    </xf>
    <xf numFmtId="0" fontId="7" fillId="2" borderId="6" xfId="0" applyFont="1" applyFill="1" applyBorder="1" applyAlignment="1">
      <alignment horizontal="left" vertical="center"/>
    </xf>
    <xf numFmtId="0" fontId="16" fillId="2" borderId="5" xfId="0" quotePrefix="1" applyFont="1" applyFill="1" applyBorder="1" applyAlignment="1">
      <alignment horizontal="left" vertical="center"/>
    </xf>
    <xf numFmtId="0" fontId="15" fillId="2" borderId="0" xfId="0" quotePrefix="1" applyFont="1" applyFill="1" applyAlignment="1">
      <alignment horizontal="center" vertical="center"/>
    </xf>
    <xf numFmtId="0" fontId="15" fillId="2" borderId="5" xfId="0" quotePrefix="1" applyFont="1" applyFill="1" applyBorder="1" applyAlignment="1">
      <alignment horizontal="left" vertical="center"/>
    </xf>
    <xf numFmtId="0" fontId="15" fillId="2" borderId="5" xfId="0" applyFont="1" applyFill="1" applyBorder="1" applyAlignment="1">
      <alignment horizontal="center" vertical="center"/>
    </xf>
    <xf numFmtId="0" fontId="16" fillId="2" borderId="0" xfId="0" quotePrefix="1" applyFont="1" applyFill="1" applyAlignment="1">
      <alignment horizontal="center" vertical="center"/>
    </xf>
    <xf numFmtId="0" fontId="13" fillId="2" borderId="5" xfId="0" applyFont="1" applyFill="1" applyBorder="1" applyAlignment="1">
      <alignment horizontal="left" vertical="center"/>
    </xf>
    <xf numFmtId="0" fontId="13" fillId="2" borderId="5" xfId="0" quotePrefix="1" applyFont="1" applyFill="1" applyBorder="1" applyAlignment="1">
      <alignment horizontal="left" vertical="center"/>
    </xf>
    <xf numFmtId="1" fontId="7" fillId="2" borderId="0" xfId="0" applyNumberFormat="1" applyFont="1" applyFill="1" applyAlignment="1">
      <alignment vertical="center"/>
    </xf>
    <xf numFmtId="0" fontId="7" fillId="2" borderId="5" xfId="0" quotePrefix="1" applyFont="1" applyFill="1" applyBorder="1" applyAlignment="1">
      <alignment horizontal="left" vertical="center"/>
    </xf>
    <xf numFmtId="0" fontId="7" fillId="2" borderId="11" xfId="114" applyFont="1" applyFill="1" applyBorder="1" applyAlignment="1">
      <alignment vertical="center"/>
    </xf>
    <xf numFmtId="0" fontId="7" fillId="4" borderId="6" xfId="114" applyFont="1" applyFill="1" applyBorder="1" applyAlignment="1">
      <alignment vertical="center"/>
    </xf>
    <xf numFmtId="0" fontId="17" fillId="2" borderId="0" xfId="114" applyFont="1" applyFill="1" applyAlignment="1">
      <alignment vertical="center"/>
    </xf>
    <xf numFmtId="0" fontId="13" fillId="2" borderId="0" xfId="0" quotePrefix="1" applyFont="1" applyFill="1" applyAlignment="1">
      <alignment horizontal="center" vertical="center"/>
    </xf>
    <xf numFmtId="0" fontId="13" fillId="2" borderId="6" xfId="0" quotePrefix="1" applyFont="1" applyFill="1" applyBorder="1" applyAlignment="1">
      <alignment horizontal="center" vertical="center"/>
    </xf>
    <xf numFmtId="0" fontId="13" fillId="2" borderId="6" xfId="0" applyFont="1" applyFill="1" applyBorder="1"/>
    <xf numFmtId="0" fontId="7" fillId="4" borderId="0" xfId="0" applyFont="1" applyFill="1" applyAlignment="1">
      <alignment horizontal="center"/>
    </xf>
    <xf numFmtId="0" fontId="13" fillId="2" borderId="5" xfId="0" applyFont="1" applyFill="1" applyBorder="1" applyAlignment="1">
      <alignment horizontal="center"/>
    </xf>
    <xf numFmtId="0" fontId="13" fillId="2" borderId="0" xfId="0" applyFont="1" applyFill="1" applyAlignment="1">
      <alignment horizontal="center"/>
    </xf>
    <xf numFmtId="0" fontId="13" fillId="2" borderId="5" xfId="0" applyFont="1" applyFill="1" applyBorder="1"/>
    <xf numFmtId="1" fontId="7" fillId="2" borderId="5" xfId="0" applyNumberFormat="1" applyFont="1" applyFill="1" applyBorder="1" applyAlignment="1">
      <alignment vertical="center"/>
    </xf>
    <xf numFmtId="0" fontId="13" fillId="2" borderId="5" xfId="0" applyFont="1" applyFill="1" applyBorder="1" applyAlignment="1">
      <alignment horizontal="left"/>
    </xf>
    <xf numFmtId="0" fontId="13" fillId="2" borderId="6" xfId="0" applyFont="1" applyFill="1" applyBorder="1" applyAlignment="1">
      <alignment horizontal="center"/>
    </xf>
    <xf numFmtId="0" fontId="13" fillId="2" borderId="0" xfId="0" applyFont="1" applyFill="1" applyAlignment="1">
      <alignment horizontal="left"/>
    </xf>
    <xf numFmtId="0" fontId="13" fillId="2" borderId="5" xfId="112" applyFont="1" applyFill="1" applyBorder="1" applyAlignment="1">
      <alignment horizontal="left" vertical="center"/>
    </xf>
    <xf numFmtId="0" fontId="13" fillId="2" borderId="0" xfId="112" applyFont="1" applyFill="1" applyAlignment="1">
      <alignment horizontal="center" vertical="center"/>
    </xf>
    <xf numFmtId="0" fontId="13" fillId="2" borderId="5" xfId="112" applyFont="1" applyFill="1" applyBorder="1"/>
    <xf numFmtId="0" fontId="13" fillId="2" borderId="0" xfId="112" applyFont="1" applyFill="1"/>
    <xf numFmtId="0" fontId="13" fillId="2" borderId="6" xfId="112" applyFont="1" applyFill="1" applyBorder="1"/>
    <xf numFmtId="0" fontId="7" fillId="2" borderId="0" xfId="112" applyFont="1" applyFill="1"/>
    <xf numFmtId="0" fontId="7" fillId="2" borderId="6" xfId="112" applyFont="1" applyFill="1" applyBorder="1"/>
    <xf numFmtId="0" fontId="17" fillId="2" borderId="5" xfId="114" applyFont="1" applyFill="1" applyBorder="1" applyAlignment="1">
      <alignment vertical="center"/>
    </xf>
    <xf numFmtId="0" fontId="17" fillId="2" borderId="6" xfId="114" applyFont="1" applyFill="1" applyBorder="1" applyAlignment="1">
      <alignment vertical="center"/>
    </xf>
    <xf numFmtId="0" fontId="7" fillId="3" borderId="5" xfId="0" applyFont="1" applyFill="1" applyBorder="1"/>
    <xf numFmtId="0" fontId="7" fillId="3" borderId="0" xfId="0" applyFont="1" applyFill="1"/>
    <xf numFmtId="0" fontId="7" fillId="2" borderId="0" xfId="0" quotePrefix="1" applyFont="1" applyFill="1" applyAlignment="1">
      <alignment horizontal="left" vertical="center"/>
    </xf>
    <xf numFmtId="0" fontId="17" fillId="2" borderId="0" xfId="114" applyFont="1" applyFill="1"/>
    <xf numFmtId="0" fontId="17" fillId="2" borderId="0" xfId="114" applyFont="1" applyFill="1" applyAlignment="1">
      <alignment horizontal="center" vertical="center"/>
    </xf>
    <xf numFmtId="0" fontId="7" fillId="2" borderId="6" xfId="114" applyFont="1" applyFill="1" applyBorder="1"/>
    <xf numFmtId="0" fontId="7" fillId="2" borderId="5" xfId="114" applyFont="1" applyFill="1" applyBorder="1" applyAlignment="1">
      <alignment horizontal="right"/>
    </xf>
    <xf numFmtId="0" fontId="13" fillId="2" borderId="5" xfId="0" quotePrefix="1" applyFont="1" applyFill="1" applyBorder="1" applyAlignment="1">
      <alignment horizontal="center" vertical="center"/>
    </xf>
    <xf numFmtId="0" fontId="19" fillId="6" borderId="0" xfId="0" applyFont="1" applyFill="1"/>
    <xf numFmtId="0" fontId="7" fillId="6" borderId="16" xfId="0" applyFont="1" applyFill="1" applyBorder="1"/>
    <xf numFmtId="2" fontId="7" fillId="6" borderId="0" xfId="0" applyNumberFormat="1" applyFont="1" applyFill="1"/>
    <xf numFmtId="0" fontId="7" fillId="6" borderId="6" xfId="0" applyFont="1" applyFill="1" applyBorder="1"/>
    <xf numFmtId="0" fontId="13" fillId="6" borderId="0" xfId="0" applyFont="1" applyFill="1"/>
    <xf numFmtId="1" fontId="7" fillId="6" borderId="0" xfId="0" applyNumberFormat="1" applyFont="1" applyFill="1"/>
    <xf numFmtId="0" fontId="7" fillId="2" borderId="6" xfId="114" applyFont="1" applyFill="1" applyBorder="1" applyAlignment="1">
      <alignment horizontal="center"/>
    </xf>
    <xf numFmtId="0" fontId="7" fillId="2" borderId="0" xfId="114" applyFont="1" applyFill="1" applyAlignment="1">
      <alignment vertical="center"/>
    </xf>
    <xf numFmtId="0" fontId="7" fillId="4" borderId="5" xfId="0" applyFont="1" applyFill="1" applyBorder="1" applyAlignment="1">
      <alignment horizontal="center" vertical="center"/>
    </xf>
    <xf numFmtId="0" fontId="7" fillId="4" borderId="0" xfId="0" quotePrefix="1" applyFont="1" applyFill="1" applyAlignment="1">
      <alignment vertical="center"/>
    </xf>
    <xf numFmtId="0" fontId="7" fillId="4" borderId="5" xfId="0" applyFont="1" applyFill="1" applyBorder="1" applyAlignment="1">
      <alignment vertical="center"/>
    </xf>
    <xf numFmtId="0" fontId="13" fillId="2" borderId="6" xfId="0" applyFont="1" applyFill="1" applyBorder="1" applyAlignment="1">
      <alignment horizontal="center" vertical="center"/>
    </xf>
    <xf numFmtId="0" fontId="7" fillId="0" borderId="0" xfId="0" quotePrefix="1" applyFont="1" applyAlignment="1">
      <alignment horizontal="center" vertical="center"/>
    </xf>
    <xf numFmtId="0" fontId="7" fillId="6" borderId="17" xfId="0" applyFont="1" applyFill="1" applyBorder="1" applyAlignment="1">
      <alignment horizontal="left" vertical="center"/>
    </xf>
    <xf numFmtId="0" fontId="7" fillId="6" borderId="0" xfId="0" applyFont="1" applyFill="1" applyAlignment="1">
      <alignment horizontal="center" vertical="center"/>
    </xf>
    <xf numFmtId="0" fontId="7" fillId="6" borderId="16" xfId="0" applyFont="1" applyFill="1" applyBorder="1" applyAlignment="1">
      <alignment horizontal="center"/>
    </xf>
    <xf numFmtId="0" fontId="13" fillId="6" borderId="17" xfId="0" applyFont="1" applyFill="1" applyBorder="1" applyAlignment="1">
      <alignment horizontal="left"/>
    </xf>
    <xf numFmtId="0" fontId="7" fillId="6" borderId="0" xfId="0" applyFont="1" applyFill="1" applyAlignment="1">
      <alignment horizontal="center"/>
    </xf>
    <xf numFmtId="0" fontId="17" fillId="2" borderId="6" xfId="114" applyFont="1" applyFill="1" applyBorder="1"/>
    <xf numFmtId="0" fontId="20" fillId="2" borderId="0" xfId="0" applyFont="1" applyFill="1"/>
    <xf numFmtId="0" fontId="13" fillId="6" borderId="17" xfId="114" applyFont="1" applyFill="1" applyBorder="1" applyAlignment="1">
      <alignment horizontal="left" vertical="center"/>
    </xf>
    <xf numFmtId="0" fontId="7" fillId="6" borderId="0" xfId="114" applyFont="1" applyFill="1" applyAlignment="1">
      <alignment horizontal="center" vertical="center"/>
    </xf>
    <xf numFmtId="0" fontId="21" fillId="2" borderId="5" xfId="0" applyFont="1" applyFill="1" applyBorder="1" applyAlignment="1">
      <alignment vertical="center"/>
    </xf>
    <xf numFmtId="0" fontId="21" fillId="2" borderId="0" xfId="0" applyFont="1" applyFill="1" applyAlignment="1">
      <alignment vertical="center"/>
    </xf>
    <xf numFmtId="0" fontId="13" fillId="2" borderId="6" xfId="0" applyFont="1" applyFill="1" applyBorder="1" applyAlignment="1">
      <alignment vertical="center"/>
    </xf>
    <xf numFmtId="0" fontId="13" fillId="2" borderId="5" xfId="0" applyFont="1" applyFill="1" applyBorder="1" applyAlignment="1">
      <alignment horizontal="center" vertical="center"/>
    </xf>
    <xf numFmtId="0" fontId="13" fillId="2" borderId="0" xfId="0" applyFont="1" applyFill="1" applyAlignment="1">
      <alignment horizontal="left" vertical="center"/>
    </xf>
    <xf numFmtId="2" fontId="7" fillId="6" borderId="0" xfId="0" applyNumberFormat="1" applyFont="1" applyFill="1" applyAlignment="1">
      <alignment vertical="center"/>
    </xf>
    <xf numFmtId="0" fontId="7" fillId="6" borderId="0" xfId="0" applyFont="1" applyFill="1" applyAlignment="1">
      <alignment vertical="center"/>
    </xf>
    <xf numFmtId="0" fontId="13" fillId="4" borderId="5" xfId="0" applyFont="1" applyFill="1" applyBorder="1" applyAlignment="1">
      <alignment horizontal="left" vertical="center"/>
    </xf>
    <xf numFmtId="0" fontId="7" fillId="4" borderId="5" xfId="0" applyFont="1" applyFill="1" applyBorder="1" applyAlignment="1">
      <alignment horizontal="left" vertical="center"/>
    </xf>
    <xf numFmtId="0" fontId="13" fillId="6" borderId="0" xfId="0" applyFont="1" applyFill="1" applyAlignment="1">
      <alignment vertical="center"/>
    </xf>
    <xf numFmtId="0" fontId="7" fillId="6" borderId="16" xfId="0" applyFont="1" applyFill="1" applyBorder="1" applyAlignment="1">
      <alignment vertical="center"/>
    </xf>
    <xf numFmtId="0" fontId="2" fillId="2" borderId="11" xfId="0" applyFont="1" applyFill="1" applyBorder="1" applyAlignment="1">
      <alignment horizontal="center" vertical="center"/>
    </xf>
    <xf numFmtId="0" fontId="22" fillId="2" borderId="6" xfId="0" applyFont="1" applyFill="1" applyBorder="1"/>
    <xf numFmtId="164" fontId="2" fillId="2" borderId="15" xfId="1" applyFont="1" applyFill="1" applyBorder="1"/>
    <xf numFmtId="2" fontId="13" fillId="2" borderId="0" xfId="0" applyNumberFormat="1" applyFont="1" applyFill="1"/>
    <xf numFmtId="0" fontId="13" fillId="4" borderId="6" xfId="0" applyFont="1" applyFill="1" applyBorder="1" applyAlignment="1">
      <alignment vertical="center"/>
    </xf>
    <xf numFmtId="0" fontId="13" fillId="2" borderId="6" xfId="0" applyFont="1" applyFill="1" applyBorder="1" applyAlignment="1">
      <alignment horizontal="right"/>
    </xf>
    <xf numFmtId="164" fontId="0" fillId="0" borderId="0" xfId="0" applyNumberFormat="1"/>
    <xf numFmtId="165" fontId="0" fillId="2" borderId="0" xfId="0" applyNumberFormat="1" applyFill="1"/>
    <xf numFmtId="167" fontId="0" fillId="2" borderId="0" xfId="0" applyNumberFormat="1" applyFill="1"/>
    <xf numFmtId="9" fontId="0" fillId="2" borderId="0" xfId="0" applyNumberFormat="1" applyFill="1"/>
    <xf numFmtId="0" fontId="2" fillId="2" borderId="10" xfId="0" applyFont="1" applyFill="1" applyBorder="1" applyAlignment="1">
      <alignment horizontal="center" vertical="center"/>
    </xf>
    <xf numFmtId="0" fontId="2" fillId="2" borderId="12" xfId="0" applyFont="1" applyFill="1" applyBorder="1" applyAlignment="1">
      <alignment horizontal="center" vertical="center"/>
    </xf>
    <xf numFmtId="0" fontId="2" fillId="2" borderId="0" xfId="0" applyFont="1" applyFill="1" applyAlignment="1">
      <alignment horizontal="center" vertical="center"/>
    </xf>
    <xf numFmtId="0" fontId="2" fillId="2" borderId="6" xfId="0" applyFont="1" applyFill="1" applyBorder="1" applyAlignment="1">
      <alignment horizontal="center" vertical="center"/>
    </xf>
    <xf numFmtId="0" fontId="9" fillId="2" borderId="0" xfId="0" applyFont="1" applyFill="1" applyAlignment="1">
      <alignment horizontal="center"/>
    </xf>
    <xf numFmtId="0" fontId="9" fillId="2" borderId="6" xfId="0" applyFont="1" applyFill="1" applyBorder="1" applyAlignment="1">
      <alignment horizontal="center"/>
    </xf>
    <xf numFmtId="0" fontId="2" fillId="2" borderId="0" xfId="0" applyFont="1" applyFill="1" applyAlignment="1">
      <alignment horizontal="center" vertical="top"/>
    </xf>
    <xf numFmtId="0" fontId="2" fillId="2" borderId="6" xfId="0" applyFont="1" applyFill="1" applyBorder="1" applyAlignment="1">
      <alignment horizontal="center" vertical="top"/>
    </xf>
    <xf numFmtId="0" fontId="7" fillId="2" borderId="7" xfId="0" applyFont="1" applyFill="1" applyBorder="1" applyAlignment="1">
      <alignment horizontal="center" vertical="center"/>
    </xf>
    <xf numFmtId="0" fontId="7" fillId="2" borderId="8" xfId="0" applyFont="1" applyFill="1" applyBorder="1" applyAlignment="1">
      <alignment horizontal="center" vertical="center"/>
    </xf>
    <xf numFmtId="49" fontId="2" fillId="2" borderId="0" xfId="0" quotePrefix="1" applyNumberFormat="1" applyFont="1" applyFill="1" applyAlignment="1">
      <alignment horizontal="left"/>
    </xf>
    <xf numFmtId="0" fontId="2" fillId="2" borderId="2" xfId="0" applyFont="1" applyFill="1" applyBorder="1" applyAlignment="1">
      <alignment horizontal="center" vertical="center"/>
    </xf>
    <xf numFmtId="0" fontId="2" fillId="2" borderId="3" xfId="0" applyFont="1" applyFill="1" applyBorder="1" applyAlignment="1">
      <alignment horizontal="center" vertical="center"/>
    </xf>
    <xf numFmtId="0" fontId="2" fillId="2" borderId="4" xfId="0" applyFont="1" applyFill="1" applyBorder="1" applyAlignment="1">
      <alignment horizontal="center" vertical="center"/>
    </xf>
    <xf numFmtId="0" fontId="2" fillId="2" borderId="7" xfId="0" applyFont="1" applyFill="1" applyBorder="1" applyAlignment="1">
      <alignment horizontal="center" vertical="center"/>
    </xf>
    <xf numFmtId="0" fontId="2" fillId="2" borderId="8" xfId="0" applyFont="1" applyFill="1" applyBorder="1" applyAlignment="1">
      <alignment horizontal="center" vertical="center"/>
    </xf>
    <xf numFmtId="0" fontId="2" fillId="2" borderId="9" xfId="0" applyFont="1" applyFill="1" applyBorder="1" applyAlignment="1">
      <alignment horizontal="center" vertical="center"/>
    </xf>
  </cellXfs>
  <cellStyles count="127">
    <cellStyle name="Currency [0]" xfId="1" builtinId="7"/>
    <cellStyle name="Followed Hyperlink" xfId="3" builtinId="9" hidden="1"/>
    <cellStyle name="Followed Hyperlink" xfId="5" builtinId="9" hidden="1"/>
    <cellStyle name="Followed Hyperlink" xfId="7" builtinId="9" hidden="1"/>
    <cellStyle name="Followed Hyperlink" xfId="9" builtinId="9" hidden="1"/>
    <cellStyle name="Followed Hyperlink" xfId="11" builtinId="9" hidden="1"/>
    <cellStyle name="Followed Hyperlink" xfId="13" builtinId="9" hidden="1"/>
    <cellStyle name="Followed Hyperlink" xfId="15" builtinId="9" hidden="1"/>
    <cellStyle name="Followed Hyperlink" xfId="17" builtinId="9" hidden="1"/>
    <cellStyle name="Followed Hyperlink" xfId="19" builtinId="9" hidden="1"/>
    <cellStyle name="Followed Hyperlink" xfId="21" builtinId="9" hidden="1"/>
    <cellStyle name="Followed Hyperlink" xfId="23" builtinId="9" hidden="1"/>
    <cellStyle name="Followed Hyperlink" xfId="25" builtinId="9" hidden="1"/>
    <cellStyle name="Followed Hyperlink" xfId="27" builtinId="9" hidden="1"/>
    <cellStyle name="Followed Hyperlink" xfId="29" builtinId="9" hidden="1"/>
    <cellStyle name="Followed Hyperlink" xfId="31" builtinId="9" hidden="1"/>
    <cellStyle name="Followed Hyperlink" xfId="33" builtinId="9" hidden="1"/>
    <cellStyle name="Followed Hyperlink" xfId="35" builtinId="9" hidden="1"/>
    <cellStyle name="Followed Hyperlink" xfId="37" builtinId="9" hidden="1"/>
    <cellStyle name="Followed Hyperlink" xfId="39" builtinId="9" hidden="1"/>
    <cellStyle name="Followed Hyperlink" xfId="41" builtinId="9" hidden="1"/>
    <cellStyle name="Followed Hyperlink" xfId="43" builtinId="9" hidden="1"/>
    <cellStyle name="Followed Hyperlink" xfId="45" builtinId="9" hidden="1"/>
    <cellStyle name="Followed Hyperlink" xfId="47" builtinId="9" hidden="1"/>
    <cellStyle name="Followed Hyperlink" xfId="49" builtinId="9" hidden="1"/>
    <cellStyle name="Followed Hyperlink" xfId="51" builtinId="9" hidden="1"/>
    <cellStyle name="Followed Hyperlink" xfId="53" builtinId="9" hidden="1"/>
    <cellStyle name="Followed Hyperlink" xfId="55" builtinId="9" hidden="1"/>
    <cellStyle name="Followed Hyperlink" xfId="57" builtinId="9" hidden="1"/>
    <cellStyle name="Followed Hyperlink" xfId="59" builtinId="9" hidden="1"/>
    <cellStyle name="Followed Hyperlink" xfId="61" builtinId="9" hidden="1"/>
    <cellStyle name="Followed Hyperlink" xfId="63" builtinId="9" hidden="1"/>
    <cellStyle name="Followed Hyperlink" xfId="65" builtinId="9" hidden="1"/>
    <cellStyle name="Followed Hyperlink" xfId="67" builtinId="9" hidden="1"/>
    <cellStyle name="Followed Hyperlink" xfId="69" builtinId="9" hidden="1"/>
    <cellStyle name="Followed Hyperlink" xfId="71" builtinId="9" hidden="1"/>
    <cellStyle name="Followed Hyperlink" xfId="73" builtinId="9" hidden="1"/>
    <cellStyle name="Followed Hyperlink" xfId="75" builtinId="9" hidden="1"/>
    <cellStyle name="Followed Hyperlink" xfId="77" builtinId="9" hidden="1"/>
    <cellStyle name="Followed Hyperlink" xfId="79" builtinId="9" hidden="1"/>
    <cellStyle name="Followed Hyperlink" xfId="81" builtinId="9" hidden="1"/>
    <cellStyle name="Followed Hyperlink" xfId="83" builtinId="9" hidden="1"/>
    <cellStyle name="Followed Hyperlink" xfId="85" builtinId="9" hidden="1"/>
    <cellStyle name="Followed Hyperlink" xfId="87" builtinId="9" hidden="1"/>
    <cellStyle name="Followed Hyperlink" xfId="89" builtinId="9" hidden="1"/>
    <cellStyle name="Followed Hyperlink" xfId="91" builtinId="9" hidden="1"/>
    <cellStyle name="Followed Hyperlink" xfId="93" builtinId="9" hidden="1"/>
    <cellStyle name="Followed Hyperlink" xfId="95" builtinId="9" hidden="1"/>
    <cellStyle name="Followed Hyperlink" xfId="97" builtinId="9" hidden="1"/>
    <cellStyle name="Followed Hyperlink" xfId="99" builtinId="9" hidden="1"/>
    <cellStyle name="Followed Hyperlink" xfId="101" builtinId="9" hidden="1"/>
    <cellStyle name="Followed Hyperlink" xfId="103" builtinId="9" hidden="1"/>
    <cellStyle name="Followed Hyperlink" xfId="105" builtinId="9" hidden="1"/>
    <cellStyle name="Followed Hyperlink" xfId="107" builtinId="9" hidden="1"/>
    <cellStyle name="Followed Hyperlink" xfId="109" builtinId="9" hidden="1"/>
    <cellStyle name="Followed Hyperlink" xfId="111" builtinId="9" hidden="1"/>
    <cellStyle name="Hyperlink" xfId="2" builtinId="8" hidden="1"/>
    <cellStyle name="Hyperlink" xfId="4" builtinId="8" hidden="1"/>
    <cellStyle name="Hyperlink" xfId="6" builtinId="8" hidden="1"/>
    <cellStyle name="Hyperlink" xfId="8" builtinId="8" hidden="1"/>
    <cellStyle name="Hyperlink" xfId="10" builtinId="8" hidden="1"/>
    <cellStyle name="Hyperlink" xfId="12" builtinId="8" hidden="1"/>
    <cellStyle name="Hyperlink" xfId="14" builtinId="8" hidden="1"/>
    <cellStyle name="Hyperlink" xfId="16" builtinId="8" hidden="1"/>
    <cellStyle name="Hyperlink" xfId="18" builtinId="8" hidden="1"/>
    <cellStyle name="Hyperlink" xfId="20" builtinId="8" hidden="1"/>
    <cellStyle name="Hyperlink" xfId="22" builtinId="8" hidden="1"/>
    <cellStyle name="Hyperlink" xfId="24" builtinId="8" hidden="1"/>
    <cellStyle name="Hyperlink" xfId="26" builtinId="8" hidden="1"/>
    <cellStyle name="Hyperlink" xfId="28" builtinId="8" hidden="1"/>
    <cellStyle name="Hyperlink" xfId="30" builtinId="8" hidden="1"/>
    <cellStyle name="Hyperlink" xfId="32" builtinId="8" hidden="1"/>
    <cellStyle name="Hyperlink" xfId="34" builtinId="8" hidden="1"/>
    <cellStyle name="Hyperlink" xfId="36" builtinId="8" hidden="1"/>
    <cellStyle name="Hyperlink" xfId="38" builtinId="8" hidden="1"/>
    <cellStyle name="Hyperlink" xfId="40" builtinId="8" hidden="1"/>
    <cellStyle name="Hyperlink" xfId="42" builtinId="8" hidden="1"/>
    <cellStyle name="Hyperlink" xfId="44" builtinId="8" hidden="1"/>
    <cellStyle name="Hyperlink" xfId="46" builtinId="8" hidden="1"/>
    <cellStyle name="Hyperlink" xfId="48" builtinId="8" hidden="1"/>
    <cellStyle name="Hyperlink" xfId="50" builtinId="8" hidden="1"/>
    <cellStyle name="Hyperlink" xfId="52" builtinId="8" hidden="1"/>
    <cellStyle name="Hyperlink" xfId="54" builtinId="8" hidden="1"/>
    <cellStyle name="Hyperlink" xfId="56" builtinId="8" hidden="1"/>
    <cellStyle name="Hyperlink" xfId="58" builtinId="8" hidden="1"/>
    <cellStyle name="Hyperlink" xfId="60" builtinId="8" hidden="1"/>
    <cellStyle name="Hyperlink" xfId="62" builtinId="8" hidden="1"/>
    <cellStyle name="Hyperlink" xfId="64" builtinId="8" hidden="1"/>
    <cellStyle name="Hyperlink" xfId="66" builtinId="8" hidden="1"/>
    <cellStyle name="Hyperlink" xfId="68" builtinId="8" hidden="1"/>
    <cellStyle name="Hyperlink" xfId="70" builtinId="8" hidden="1"/>
    <cellStyle name="Hyperlink" xfId="72" builtinId="8" hidden="1"/>
    <cellStyle name="Hyperlink" xfId="74" builtinId="8" hidden="1"/>
    <cellStyle name="Hyperlink" xfId="76" builtinId="8" hidden="1"/>
    <cellStyle name="Hyperlink" xfId="78" builtinId="8" hidden="1"/>
    <cellStyle name="Hyperlink" xfId="80" builtinId="8" hidden="1"/>
    <cellStyle name="Hyperlink" xfId="82" builtinId="8" hidden="1"/>
    <cellStyle name="Hyperlink" xfId="84" builtinId="8" hidden="1"/>
    <cellStyle name="Hyperlink" xfId="86" builtinId="8" hidden="1"/>
    <cellStyle name="Hyperlink" xfId="88" builtinId="8" hidden="1"/>
    <cellStyle name="Hyperlink" xfId="90" builtinId="8" hidden="1"/>
    <cellStyle name="Hyperlink" xfId="92" builtinId="8" hidden="1"/>
    <cellStyle name="Hyperlink" xfId="94" builtinId="8" hidden="1"/>
    <cellStyle name="Hyperlink" xfId="96" builtinId="8" hidden="1"/>
    <cellStyle name="Hyperlink" xfId="98" builtinId="8" hidden="1"/>
    <cellStyle name="Hyperlink" xfId="100" builtinId="8" hidden="1"/>
    <cellStyle name="Hyperlink" xfId="102" builtinId="8" hidden="1"/>
    <cellStyle name="Hyperlink" xfId="104" builtinId="8" hidden="1"/>
    <cellStyle name="Hyperlink" xfId="106" builtinId="8" hidden="1"/>
    <cellStyle name="Hyperlink" xfId="108" builtinId="8" hidden="1"/>
    <cellStyle name="Hyperlink" xfId="110" builtinId="8" hidden="1"/>
    <cellStyle name="Normal" xfId="0" builtinId="0"/>
    <cellStyle name="Normal 2" xfId="112" xr:uid="{00000000-0005-0000-0000-000070000000}"/>
    <cellStyle name="Normal 2 2" xfId="116" xr:uid="{00000000-0005-0000-0000-000071000000}"/>
    <cellStyle name="Normal 2 2 2" xfId="123" xr:uid="{00000000-0005-0000-0000-000072000000}"/>
    <cellStyle name="Normal 2 2 3" xfId="121" xr:uid="{00000000-0005-0000-0000-000073000000}"/>
    <cellStyle name="Normal 2 2 7" xfId="119" xr:uid="{00000000-0005-0000-0000-000074000000}"/>
    <cellStyle name="Normal 3" xfId="115" xr:uid="{00000000-0005-0000-0000-000075000000}"/>
    <cellStyle name="Normal 3 2" xfId="125" xr:uid="{00000000-0005-0000-0000-000076000000}"/>
    <cellStyle name="Normal 4 2 2 2" xfId="117" xr:uid="{00000000-0005-0000-0000-000077000000}"/>
    <cellStyle name="Normal 5 2 2" xfId="118" xr:uid="{00000000-0005-0000-0000-000078000000}"/>
    <cellStyle name="Normal 5 3" xfId="124" xr:uid="{00000000-0005-0000-0000-000079000000}"/>
    <cellStyle name="Normal 6" xfId="113" xr:uid="{00000000-0005-0000-0000-00007A000000}"/>
    <cellStyle name="Normal 6 2" xfId="126" xr:uid="{00000000-0005-0000-0000-00007B000000}"/>
    <cellStyle name="Normal 6 3" xfId="120" xr:uid="{00000000-0005-0000-0000-00007C000000}"/>
    <cellStyle name="Normal 7 2" xfId="114" xr:uid="{00000000-0005-0000-0000-00007D000000}"/>
    <cellStyle name="Normal 8" xfId="122" xr:uid="{00000000-0005-0000-0000-00007E000000}"/>
  </cellStyles>
  <dxfs count="84">
    <dxf>
      <font>
        <b/>
        <i val="0"/>
        <strike val="0"/>
        <color rgb="FF000000"/>
      </font>
    </dxf>
    <dxf>
      <font>
        <b/>
        <i val="0"/>
        <strike val="0"/>
        <color rgb="FF000000"/>
      </font>
    </dxf>
    <dxf>
      <font>
        <b/>
        <i val="0"/>
        <strike val="0"/>
        <color rgb="FF000000"/>
      </font>
    </dxf>
    <dxf>
      <font>
        <b/>
        <i val="0"/>
        <strike val="0"/>
        <color rgb="FF000000"/>
      </font>
    </dxf>
    <dxf>
      <font>
        <b/>
        <i val="0"/>
        <strike val="0"/>
        <color rgb="FF000000"/>
      </font>
    </dxf>
    <dxf>
      <font>
        <b/>
        <i val="0"/>
        <strike val="0"/>
        <color rgb="FF000000"/>
      </font>
    </dxf>
    <dxf>
      <font>
        <b/>
        <i val="0"/>
        <strike val="0"/>
        <color rgb="FF000000"/>
      </font>
    </dxf>
    <dxf>
      <font>
        <b/>
        <i val="0"/>
        <strike val="0"/>
        <color rgb="FF000000"/>
      </font>
    </dxf>
    <dxf>
      <font>
        <b/>
        <i val="0"/>
        <strike val="0"/>
        <color rgb="FF000000"/>
      </font>
    </dxf>
    <dxf>
      <font>
        <b/>
        <i val="0"/>
        <strike val="0"/>
        <color rgb="FF000000"/>
      </font>
    </dxf>
    <dxf>
      <font>
        <b/>
        <i val="0"/>
        <strike val="0"/>
        <color rgb="FF000000"/>
      </font>
    </dxf>
    <dxf>
      <font>
        <b/>
        <i val="0"/>
        <strike val="0"/>
        <color rgb="FF000000"/>
      </font>
    </dxf>
    <dxf>
      <font>
        <b/>
        <i val="0"/>
        <strike val="0"/>
        <color rgb="FF000000"/>
      </font>
    </dxf>
    <dxf>
      <font>
        <b/>
        <i val="0"/>
        <strike val="0"/>
        <color rgb="FF000000"/>
      </font>
    </dxf>
    <dxf>
      <font>
        <b/>
        <i val="0"/>
        <strike val="0"/>
        <color rgb="FF000000"/>
      </font>
    </dxf>
    <dxf>
      <font>
        <b/>
        <i val="0"/>
        <strike val="0"/>
        <color rgb="FF000000"/>
      </font>
    </dxf>
    <dxf>
      <font>
        <b/>
        <i val="0"/>
        <strike val="0"/>
        <color rgb="FF000000"/>
      </font>
    </dxf>
    <dxf>
      <font>
        <b/>
        <i val="0"/>
        <strike val="0"/>
        <color rgb="FF000000"/>
      </font>
    </dxf>
    <dxf>
      <font>
        <b/>
        <i val="0"/>
        <strike val="0"/>
        <color rgb="FF000000"/>
      </font>
    </dxf>
    <dxf>
      <font>
        <b/>
        <i val="0"/>
        <strike val="0"/>
        <color rgb="FF000000"/>
      </font>
    </dxf>
    <dxf>
      <font>
        <b/>
        <i val="0"/>
        <strike val="0"/>
        <color rgb="FF000000"/>
      </font>
    </dxf>
    <dxf>
      <font>
        <b/>
        <i val="0"/>
        <strike val="0"/>
        <color rgb="FF000000"/>
      </font>
    </dxf>
    <dxf>
      <font>
        <b/>
        <i val="0"/>
        <strike val="0"/>
        <color rgb="FF000000"/>
      </font>
    </dxf>
    <dxf>
      <font>
        <b/>
        <i val="0"/>
        <strike val="0"/>
        <color rgb="FF000000"/>
      </font>
    </dxf>
    <dxf>
      <font>
        <b/>
        <i val="0"/>
        <strike val="0"/>
        <color rgb="FF000000"/>
      </font>
    </dxf>
    <dxf>
      <font>
        <b/>
        <i val="0"/>
        <strike val="0"/>
        <color rgb="FF000000"/>
      </font>
    </dxf>
    <dxf>
      <font>
        <b/>
        <i val="0"/>
        <strike val="0"/>
        <color rgb="FF000000"/>
      </font>
    </dxf>
    <dxf>
      <font>
        <b/>
        <i val="0"/>
        <strike val="0"/>
        <color rgb="FF000000"/>
      </font>
    </dxf>
    <dxf>
      <font>
        <b/>
        <i val="0"/>
        <strike val="0"/>
        <color rgb="FF000000"/>
      </font>
    </dxf>
    <dxf>
      <font>
        <b/>
        <i val="0"/>
        <strike val="0"/>
        <color rgb="FF000000"/>
      </font>
    </dxf>
    <dxf>
      <font>
        <b/>
        <i val="0"/>
        <strike val="0"/>
        <color rgb="FF000000"/>
      </font>
    </dxf>
    <dxf>
      <font>
        <b/>
        <i val="0"/>
        <strike val="0"/>
        <color rgb="FF000000"/>
      </font>
    </dxf>
    <dxf>
      <font>
        <b/>
        <i val="0"/>
        <strike val="0"/>
        <color rgb="FF000000"/>
      </font>
    </dxf>
    <dxf>
      <font>
        <b/>
        <i val="0"/>
        <strike val="0"/>
        <color rgb="FF000000"/>
      </font>
    </dxf>
    <dxf>
      <font>
        <b/>
        <i val="0"/>
        <strike val="0"/>
        <color rgb="FF000000"/>
      </font>
    </dxf>
    <dxf>
      <font>
        <b/>
        <i val="0"/>
        <strike val="0"/>
        <color rgb="FF000000"/>
      </font>
    </dxf>
    <dxf>
      <font>
        <b/>
        <i val="0"/>
        <strike val="0"/>
        <color rgb="FF000000"/>
      </font>
    </dxf>
    <dxf>
      <font>
        <b/>
        <i val="0"/>
        <strike val="0"/>
        <color rgb="FF000000"/>
      </font>
    </dxf>
    <dxf>
      <font>
        <b/>
        <i val="0"/>
        <strike val="0"/>
        <color rgb="FF000000"/>
      </font>
    </dxf>
    <dxf>
      <font>
        <b/>
        <i val="0"/>
        <strike val="0"/>
        <color rgb="FF000000"/>
      </font>
    </dxf>
    <dxf>
      <font>
        <b/>
        <i val="0"/>
        <strike val="0"/>
        <color rgb="FF000000"/>
      </font>
    </dxf>
    <dxf>
      <font>
        <b/>
        <i val="0"/>
        <strike val="0"/>
        <color rgb="FF000000"/>
      </font>
    </dxf>
    <dxf>
      <font>
        <b/>
        <i val="0"/>
        <strike val="0"/>
        <color rgb="FF000000"/>
      </font>
    </dxf>
    <dxf>
      <font>
        <b/>
        <i val="0"/>
        <strike val="0"/>
        <color rgb="FF000000"/>
      </font>
    </dxf>
    <dxf>
      <font>
        <b/>
        <i val="0"/>
        <strike val="0"/>
        <color rgb="FF000000"/>
      </font>
    </dxf>
    <dxf>
      <font>
        <b/>
        <i val="0"/>
        <strike val="0"/>
        <color rgb="FF000000"/>
      </font>
    </dxf>
    <dxf>
      <font>
        <b/>
        <i val="0"/>
        <strike val="0"/>
        <color rgb="FF000000"/>
      </font>
    </dxf>
    <dxf>
      <font>
        <b/>
        <i val="0"/>
        <strike val="0"/>
        <color rgb="FF000000"/>
      </font>
    </dxf>
    <dxf>
      <font>
        <b/>
        <i val="0"/>
        <strike val="0"/>
        <color rgb="FF000000"/>
      </font>
    </dxf>
    <dxf>
      <font>
        <b/>
        <i val="0"/>
        <strike val="0"/>
        <color rgb="FF000000"/>
      </font>
    </dxf>
    <dxf>
      <font>
        <b/>
        <i val="0"/>
        <strike val="0"/>
        <color rgb="FF000000"/>
      </font>
    </dxf>
    <dxf>
      <font>
        <b/>
        <i val="0"/>
        <strike val="0"/>
        <color rgb="FF000000"/>
      </font>
    </dxf>
    <dxf>
      <font>
        <b/>
        <i val="0"/>
        <strike val="0"/>
        <color rgb="FF000000"/>
      </font>
    </dxf>
    <dxf>
      <font>
        <b/>
        <i val="0"/>
        <strike val="0"/>
        <color rgb="FF000000"/>
      </font>
    </dxf>
    <dxf>
      <font>
        <b/>
        <i val="0"/>
        <strike val="0"/>
        <color rgb="FF000000"/>
      </font>
    </dxf>
    <dxf>
      <font>
        <b/>
        <i val="0"/>
        <strike val="0"/>
        <color rgb="FF000000"/>
      </font>
    </dxf>
    <dxf>
      <font>
        <b/>
        <i val="0"/>
        <strike val="0"/>
        <color rgb="FF000000"/>
      </font>
    </dxf>
    <dxf>
      <font>
        <b/>
        <i val="0"/>
        <strike val="0"/>
        <color rgb="FF000000"/>
      </font>
    </dxf>
    <dxf>
      <font>
        <b/>
        <i val="0"/>
        <strike val="0"/>
        <color rgb="FF000000"/>
      </font>
    </dxf>
    <dxf>
      <font>
        <b/>
        <i val="0"/>
        <strike val="0"/>
        <color rgb="FF000000"/>
      </font>
    </dxf>
    <dxf>
      <font>
        <b/>
        <i val="0"/>
        <strike val="0"/>
        <color rgb="FF000000"/>
      </font>
    </dxf>
    <dxf>
      <font>
        <b/>
        <i val="0"/>
        <strike val="0"/>
        <color rgb="FF000000"/>
      </font>
    </dxf>
    <dxf>
      <font>
        <b/>
        <i val="0"/>
        <strike val="0"/>
        <color rgb="FF000000"/>
      </font>
    </dxf>
    <dxf>
      <font>
        <b/>
        <i val="0"/>
        <strike val="0"/>
        <color rgb="FF000000"/>
      </font>
    </dxf>
    <dxf>
      <font>
        <b/>
        <i val="0"/>
        <strike val="0"/>
        <color rgb="FF000000"/>
      </font>
    </dxf>
    <dxf>
      <font>
        <b/>
        <i val="0"/>
        <strike val="0"/>
        <color rgb="FF000000"/>
      </font>
    </dxf>
    <dxf>
      <font>
        <b/>
        <i val="0"/>
        <strike val="0"/>
        <color rgb="FF000000"/>
      </font>
    </dxf>
    <dxf>
      <font>
        <b/>
        <i val="0"/>
        <strike val="0"/>
        <color rgb="FF000000"/>
      </font>
    </dxf>
    <dxf>
      <font>
        <b/>
        <i val="0"/>
        <strike val="0"/>
        <color rgb="FF000000"/>
      </font>
    </dxf>
    <dxf>
      <font>
        <b/>
        <i val="0"/>
        <strike val="0"/>
        <color rgb="FF000000"/>
      </font>
    </dxf>
    <dxf>
      <font>
        <b/>
        <i val="0"/>
        <strike val="0"/>
        <color rgb="FF000000"/>
      </font>
    </dxf>
    <dxf>
      <font>
        <b/>
        <i val="0"/>
        <strike val="0"/>
        <color rgb="FF000000"/>
      </font>
    </dxf>
    <dxf>
      <font>
        <b/>
        <i val="0"/>
        <strike val="0"/>
        <color rgb="FF000000"/>
      </font>
    </dxf>
    <dxf>
      <font>
        <b/>
        <i val="0"/>
        <strike val="0"/>
        <color rgb="FF000000"/>
      </font>
    </dxf>
    <dxf>
      <font>
        <b/>
        <i val="0"/>
        <strike val="0"/>
        <color rgb="FF000000"/>
      </font>
    </dxf>
    <dxf>
      <font>
        <b/>
        <i val="0"/>
        <strike val="0"/>
        <color rgb="FF000000"/>
      </font>
    </dxf>
    <dxf>
      <font>
        <b/>
        <i val="0"/>
        <strike val="0"/>
        <color rgb="FF000000"/>
      </font>
    </dxf>
    <dxf>
      <font>
        <b/>
        <i val="0"/>
        <strike val="0"/>
        <color rgb="FF000000"/>
      </font>
    </dxf>
    <dxf>
      <font>
        <b/>
        <i val="0"/>
        <strike val="0"/>
        <color rgb="FF000000"/>
      </font>
    </dxf>
    <dxf>
      <font>
        <b/>
        <i val="0"/>
        <strike val="0"/>
        <color rgb="FF000000"/>
      </font>
    </dxf>
    <dxf>
      <font>
        <b/>
        <i val="0"/>
        <strike val="0"/>
        <color rgb="FF000000"/>
      </font>
    </dxf>
    <dxf>
      <font>
        <b/>
        <i val="0"/>
        <strike val="0"/>
        <color rgb="FF000000"/>
      </font>
    </dxf>
    <dxf>
      <font>
        <b/>
        <i val="0"/>
        <strike val="0"/>
        <color rgb="FF000000"/>
      </font>
    </dxf>
    <dxf>
      <font>
        <b/>
        <i val="0"/>
        <strike val="0"/>
        <color rgb="FF000000"/>
      </font>
    </dxf>
  </dxfs>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E55ED9-3092-486E-BE5D-473C74179367}">
  <sheetPr>
    <tabColor theme="3" tint="0.39997558519241921"/>
  </sheetPr>
  <dimension ref="B7:P2297"/>
  <sheetViews>
    <sheetView showGridLines="0" tabSelected="1" view="pageBreakPreview" topLeftCell="B2272" zoomScale="70" zoomScaleSheetLayoutView="70" workbookViewId="0">
      <selection activeCell="K11" sqref="K11"/>
    </sheetView>
  </sheetViews>
  <sheetFormatPr defaultColWidth="11" defaultRowHeight="15.5" x14ac:dyDescent="0.35"/>
  <cols>
    <col min="2" max="4" width="1.83203125" style="16" customWidth="1"/>
    <col min="5" max="5" width="3.08203125" style="16" customWidth="1"/>
    <col min="6" max="6" width="2.83203125" style="16" customWidth="1"/>
    <col min="7" max="7" width="70.58203125" style="16" customWidth="1"/>
    <col min="8" max="8" width="9.5" style="16" customWidth="1"/>
    <col min="9" max="9" width="6.33203125" style="16" customWidth="1"/>
    <col min="10" max="10" width="16" style="16" customWidth="1"/>
    <col min="11" max="11" width="18.83203125" style="16" customWidth="1"/>
    <col min="12" max="12" width="20.5" style="16" customWidth="1"/>
    <col min="13" max="13" width="18.4140625" bestFit="1" customWidth="1"/>
  </cols>
  <sheetData>
    <row r="7" spans="2:12" ht="15" customHeight="1" x14ac:dyDescent="0.35"/>
    <row r="8" spans="2:12" ht="18" x14ac:dyDescent="0.4">
      <c r="B8" s="28" t="s">
        <v>15</v>
      </c>
      <c r="C8" s="15"/>
      <c r="D8" s="15"/>
    </row>
    <row r="9" spans="2:12" x14ac:dyDescent="0.35">
      <c r="B9" s="29" t="s">
        <v>16</v>
      </c>
      <c r="C9" s="5"/>
      <c r="D9" s="5"/>
      <c r="E9" s="5"/>
      <c r="F9" s="5"/>
      <c r="G9" s="5"/>
    </row>
    <row r="10" spans="2:12" x14ac:dyDescent="0.35">
      <c r="H10" s="18"/>
      <c r="I10" s="18"/>
      <c r="J10" s="18" t="s">
        <v>19</v>
      </c>
      <c r="L10" s="18"/>
    </row>
    <row r="11" spans="2:12" x14ac:dyDescent="0.35">
      <c r="B11" s="16" t="s">
        <v>0</v>
      </c>
      <c r="F11" s="16" t="s">
        <v>230</v>
      </c>
      <c r="J11" s="16" t="s">
        <v>20</v>
      </c>
    </row>
    <row r="12" spans="2:12" x14ac:dyDescent="0.35">
      <c r="B12" s="16" t="s">
        <v>25</v>
      </c>
      <c r="F12" s="16" t="s">
        <v>17</v>
      </c>
      <c r="J12" s="16" t="s">
        <v>21</v>
      </c>
      <c r="K12" s="16" t="s">
        <v>231</v>
      </c>
    </row>
    <row r="13" spans="2:12" x14ac:dyDescent="0.35">
      <c r="B13" s="16" t="s">
        <v>4</v>
      </c>
      <c r="J13" s="16" t="s">
        <v>22</v>
      </c>
      <c r="K13" s="16" t="s">
        <v>232</v>
      </c>
    </row>
    <row r="14" spans="2:12" x14ac:dyDescent="0.35">
      <c r="B14" s="16" t="s">
        <v>5</v>
      </c>
      <c r="J14" s="16" t="s">
        <v>23</v>
      </c>
      <c r="K14" s="16" t="s">
        <v>233</v>
      </c>
    </row>
    <row r="15" spans="2:12" x14ac:dyDescent="0.35">
      <c r="F15" s="235"/>
      <c r="G15" s="235"/>
      <c r="J15" s="16" t="s">
        <v>24</v>
      </c>
      <c r="K15" s="16" t="s">
        <v>234</v>
      </c>
    </row>
    <row r="16" spans="2:12" x14ac:dyDescent="0.35">
      <c r="F16" s="6"/>
    </row>
    <row r="18" spans="2:12" s="30" customFormat="1" ht="15" customHeight="1" x14ac:dyDescent="0.35">
      <c r="B18" s="236" t="s">
        <v>0</v>
      </c>
      <c r="C18" s="237"/>
      <c r="D18" s="238"/>
      <c r="E18" s="236" t="s">
        <v>1</v>
      </c>
      <c r="F18" s="237"/>
      <c r="G18" s="238"/>
      <c r="H18" s="236" t="s">
        <v>2</v>
      </c>
      <c r="I18" s="238"/>
      <c r="J18" s="225" t="s">
        <v>3</v>
      </c>
      <c r="K18" s="225" t="s">
        <v>13</v>
      </c>
      <c r="L18" s="225" t="s">
        <v>14</v>
      </c>
    </row>
    <row r="19" spans="2:12" s="30" customFormat="1" ht="15" customHeight="1" x14ac:dyDescent="0.35">
      <c r="B19" s="239"/>
      <c r="C19" s="240"/>
      <c r="D19" s="241"/>
      <c r="E19" s="239"/>
      <c r="F19" s="240"/>
      <c r="G19" s="241"/>
      <c r="H19" s="239"/>
      <c r="I19" s="241"/>
      <c r="J19" s="226"/>
      <c r="K19" s="226"/>
      <c r="L19" s="226"/>
    </row>
    <row r="20" spans="2:12" s="30" customFormat="1" ht="15" customHeight="1" x14ac:dyDescent="0.35">
      <c r="B20" s="136"/>
      <c r="C20" s="51"/>
      <c r="D20" s="52"/>
      <c r="E20" s="51"/>
      <c r="F20" s="51"/>
      <c r="G20" s="52"/>
      <c r="H20" s="51"/>
      <c r="I20" s="51"/>
      <c r="J20" s="215"/>
      <c r="K20" s="215"/>
      <c r="L20" s="215"/>
    </row>
    <row r="21" spans="2:12" x14ac:dyDescent="0.35">
      <c r="B21" s="148" t="s">
        <v>28</v>
      </c>
      <c r="C21" s="154"/>
      <c r="D21" s="155"/>
      <c r="E21" s="128" t="s">
        <v>10</v>
      </c>
      <c r="F21" s="128"/>
      <c r="G21" s="156"/>
      <c r="H21" s="71"/>
      <c r="I21" s="71"/>
      <c r="J21" s="42"/>
      <c r="K21" s="42"/>
      <c r="L21" s="53"/>
    </row>
    <row r="22" spans="2:12" s="31" customFormat="1" x14ac:dyDescent="0.35">
      <c r="B22" s="86"/>
      <c r="C22" s="89"/>
      <c r="D22" s="88" t="s">
        <v>29</v>
      </c>
      <c r="E22" s="70"/>
      <c r="F22" s="71" t="s">
        <v>30</v>
      </c>
      <c r="G22" s="27"/>
      <c r="H22" s="71">
        <v>1</v>
      </c>
      <c r="I22" s="27" t="s">
        <v>31</v>
      </c>
      <c r="J22" s="55">
        <v>25000000</v>
      </c>
      <c r="K22" s="55">
        <f>J22*H22</f>
        <v>25000000</v>
      </c>
      <c r="L22" s="42"/>
    </row>
    <row r="23" spans="2:12" s="31" customFormat="1" x14ac:dyDescent="0.35">
      <c r="B23" s="86"/>
      <c r="C23" s="89"/>
      <c r="D23" s="88" t="s">
        <v>32</v>
      </c>
      <c r="E23" s="70"/>
      <c r="F23" s="71" t="s">
        <v>33</v>
      </c>
      <c r="G23" s="27"/>
      <c r="H23" s="71">
        <v>1</v>
      </c>
      <c r="I23" s="27" t="s">
        <v>31</v>
      </c>
      <c r="J23" s="55">
        <v>7500000</v>
      </c>
      <c r="K23" s="55">
        <f t="shared" ref="K23:K55" si="0">J23*H23</f>
        <v>7500000</v>
      </c>
      <c r="L23" s="42"/>
    </row>
    <row r="24" spans="2:12" s="31" customFormat="1" x14ac:dyDescent="0.35">
      <c r="B24" s="86"/>
      <c r="C24" s="89"/>
      <c r="D24" s="88" t="s">
        <v>34</v>
      </c>
      <c r="E24" s="70"/>
      <c r="F24" s="71" t="s">
        <v>35</v>
      </c>
      <c r="G24" s="27"/>
      <c r="H24" s="71">
        <v>1</v>
      </c>
      <c r="I24" s="27" t="s">
        <v>31</v>
      </c>
      <c r="J24" s="55">
        <v>6000000</v>
      </c>
      <c r="K24" s="55">
        <f t="shared" si="0"/>
        <v>6000000</v>
      </c>
      <c r="L24" s="42"/>
    </row>
    <row r="25" spans="2:12" s="31" customFormat="1" x14ac:dyDescent="0.35">
      <c r="B25" s="86"/>
      <c r="C25" s="89"/>
      <c r="D25" s="88" t="s">
        <v>36</v>
      </c>
      <c r="E25" s="70"/>
      <c r="F25" s="71" t="s">
        <v>296</v>
      </c>
      <c r="G25" s="27"/>
      <c r="H25" s="71">
        <f>77+51</f>
        <v>128</v>
      </c>
      <c r="I25" s="49" t="s">
        <v>37</v>
      </c>
      <c r="J25" s="55">
        <v>1750000</v>
      </c>
      <c r="K25" s="55">
        <f t="shared" si="0"/>
        <v>224000000</v>
      </c>
      <c r="L25" s="42"/>
    </row>
    <row r="26" spans="2:12" s="31" customFormat="1" x14ac:dyDescent="0.35">
      <c r="B26" s="86"/>
      <c r="C26" s="89"/>
      <c r="D26" s="88" t="s">
        <v>38</v>
      </c>
      <c r="E26" s="70"/>
      <c r="F26" s="71" t="s">
        <v>297</v>
      </c>
      <c r="G26" s="27"/>
      <c r="H26" s="71">
        <v>13</v>
      </c>
      <c r="I26" s="27" t="s">
        <v>37</v>
      </c>
      <c r="J26" s="55">
        <v>450000</v>
      </c>
      <c r="K26" s="55">
        <f t="shared" si="0"/>
        <v>5850000</v>
      </c>
      <c r="L26" s="42"/>
    </row>
    <row r="27" spans="2:12" s="31" customFormat="1" x14ac:dyDescent="0.35">
      <c r="B27" s="91"/>
      <c r="C27" s="157"/>
      <c r="D27" s="88" t="s">
        <v>39</v>
      </c>
      <c r="E27" s="70"/>
      <c r="F27" s="71" t="s">
        <v>40</v>
      </c>
      <c r="G27" s="27"/>
      <c r="H27" s="71">
        <v>1</v>
      </c>
      <c r="I27" s="27" t="s">
        <v>31</v>
      </c>
      <c r="J27" s="55">
        <v>2000000</v>
      </c>
      <c r="K27" s="55">
        <f t="shared" si="0"/>
        <v>2000000</v>
      </c>
      <c r="L27" s="42"/>
    </row>
    <row r="28" spans="2:12" s="31" customFormat="1" x14ac:dyDescent="0.35">
      <c r="B28" s="91"/>
      <c r="C28" s="157"/>
      <c r="D28" s="88" t="s">
        <v>41</v>
      </c>
      <c r="E28" s="70"/>
      <c r="F28" s="71" t="s">
        <v>42</v>
      </c>
      <c r="G28" s="27"/>
      <c r="H28" s="71">
        <v>1</v>
      </c>
      <c r="I28" s="27" t="s">
        <v>31</v>
      </c>
      <c r="J28" s="55">
        <v>12500000</v>
      </c>
      <c r="K28" s="55">
        <f t="shared" si="0"/>
        <v>12500000</v>
      </c>
      <c r="L28" s="42"/>
    </row>
    <row r="29" spans="2:12" x14ac:dyDescent="0.35">
      <c r="B29" s="147" t="s">
        <v>45</v>
      </c>
      <c r="C29" s="84"/>
      <c r="D29" s="84"/>
      <c r="E29" s="160" t="s">
        <v>298</v>
      </c>
      <c r="F29" s="128"/>
      <c r="G29" s="156"/>
      <c r="H29" s="71"/>
      <c r="I29" s="27"/>
      <c r="J29" s="46"/>
      <c r="K29" s="57"/>
      <c r="L29" s="42"/>
    </row>
    <row r="30" spans="2:12" s="31" customFormat="1" x14ac:dyDescent="0.35">
      <c r="B30" s="86"/>
      <c r="C30" s="89"/>
      <c r="D30" s="88" t="s">
        <v>29</v>
      </c>
      <c r="E30" s="70"/>
      <c r="F30" s="71" t="s">
        <v>46</v>
      </c>
      <c r="G30" s="27"/>
      <c r="H30" s="161">
        <v>2754</v>
      </c>
      <c r="I30" s="60" t="s">
        <v>47</v>
      </c>
      <c r="J30" s="55">
        <v>7000</v>
      </c>
      <c r="K30" s="55">
        <f t="shared" si="0"/>
        <v>19278000</v>
      </c>
      <c r="L30" s="42"/>
    </row>
    <row r="31" spans="2:12" s="31" customFormat="1" x14ac:dyDescent="0.35">
      <c r="B31" s="86"/>
      <c r="C31" s="89"/>
      <c r="D31" s="88" t="s">
        <v>32</v>
      </c>
      <c r="E31" s="70"/>
      <c r="F31" s="71" t="s">
        <v>48</v>
      </c>
      <c r="G31" s="27"/>
      <c r="H31" s="71">
        <v>2754</v>
      </c>
      <c r="I31" s="60" t="s">
        <v>47</v>
      </c>
      <c r="J31" s="55">
        <v>65000</v>
      </c>
      <c r="K31" s="55">
        <f t="shared" si="0"/>
        <v>179010000</v>
      </c>
      <c r="L31" s="42"/>
    </row>
    <row r="32" spans="2:12" s="31" customFormat="1" x14ac:dyDescent="0.35">
      <c r="B32" s="86"/>
      <c r="C32" s="89"/>
      <c r="D32" s="88" t="s">
        <v>34</v>
      </c>
      <c r="E32" s="70"/>
      <c r="F32" s="71" t="s">
        <v>49</v>
      </c>
      <c r="G32" s="27"/>
      <c r="H32" s="71">
        <v>1597</v>
      </c>
      <c r="I32" s="60" t="s">
        <v>47</v>
      </c>
      <c r="J32" s="55">
        <v>65000</v>
      </c>
      <c r="K32" s="55">
        <f t="shared" si="0"/>
        <v>103805000</v>
      </c>
      <c r="L32" s="42"/>
    </row>
    <row r="33" spans="2:12" s="31" customFormat="1" x14ac:dyDescent="0.35">
      <c r="B33" s="86"/>
      <c r="C33" s="89"/>
      <c r="D33" s="88" t="s">
        <v>36</v>
      </c>
      <c r="E33" s="70"/>
      <c r="F33" s="71" t="s">
        <v>299</v>
      </c>
      <c r="G33" s="27"/>
      <c r="H33" s="71">
        <f>H31+H32</f>
        <v>4351</v>
      </c>
      <c r="I33" s="60" t="s">
        <v>47</v>
      </c>
      <c r="J33" s="55">
        <v>6500</v>
      </c>
      <c r="K33" s="55">
        <f t="shared" si="0"/>
        <v>28281500</v>
      </c>
      <c r="L33" s="42"/>
    </row>
    <row r="34" spans="2:12" s="31" customFormat="1" x14ac:dyDescent="0.35">
      <c r="B34" s="86"/>
      <c r="C34" s="89"/>
      <c r="D34" s="88" t="s">
        <v>38</v>
      </c>
      <c r="E34" s="70"/>
      <c r="F34" s="71" t="s">
        <v>50</v>
      </c>
      <c r="G34" s="27"/>
      <c r="H34" s="71">
        <v>670</v>
      </c>
      <c r="I34" s="60" t="s">
        <v>47</v>
      </c>
      <c r="J34" s="55">
        <v>65000</v>
      </c>
      <c r="K34" s="55">
        <f t="shared" si="0"/>
        <v>43550000</v>
      </c>
      <c r="L34" s="42"/>
    </row>
    <row r="35" spans="2:12" s="31" customFormat="1" x14ac:dyDescent="0.35">
      <c r="B35" s="86"/>
      <c r="C35" s="89"/>
      <c r="D35" s="88" t="s">
        <v>39</v>
      </c>
      <c r="E35" s="70"/>
      <c r="F35" s="71" t="s">
        <v>51</v>
      </c>
      <c r="G35" s="27"/>
      <c r="H35" s="71">
        <v>1880</v>
      </c>
      <c r="I35" s="60" t="s">
        <v>47</v>
      </c>
      <c r="J35" s="55">
        <v>65000</v>
      </c>
      <c r="K35" s="55">
        <f t="shared" si="0"/>
        <v>122200000</v>
      </c>
      <c r="L35" s="42"/>
    </row>
    <row r="36" spans="2:12" s="31" customFormat="1" x14ac:dyDescent="0.35">
      <c r="B36" s="86"/>
      <c r="C36" s="89"/>
      <c r="D36" s="88" t="s">
        <v>43</v>
      </c>
      <c r="E36" s="70"/>
      <c r="F36" s="71" t="s">
        <v>52</v>
      </c>
      <c r="G36" s="27"/>
      <c r="H36" s="71">
        <v>122</v>
      </c>
      <c r="I36" s="60" t="s">
        <v>47</v>
      </c>
      <c r="J36" s="55">
        <v>65000</v>
      </c>
      <c r="K36" s="55">
        <f t="shared" si="0"/>
        <v>7930000</v>
      </c>
      <c r="L36" s="42"/>
    </row>
    <row r="37" spans="2:12" s="31" customFormat="1" x14ac:dyDescent="0.35">
      <c r="B37" s="90"/>
      <c r="C37" s="157"/>
      <c r="D37" s="88" t="s">
        <v>44</v>
      </c>
      <c r="E37" s="70"/>
      <c r="F37" s="71" t="s">
        <v>53</v>
      </c>
      <c r="G37" s="27"/>
      <c r="H37" s="71">
        <f>H30</f>
        <v>2754</v>
      </c>
      <c r="I37" s="60" t="s">
        <v>47</v>
      </c>
      <c r="J37" s="55">
        <v>22500</v>
      </c>
      <c r="K37" s="55">
        <f t="shared" si="0"/>
        <v>61965000</v>
      </c>
      <c r="L37" s="42"/>
    </row>
    <row r="38" spans="2:12" s="31" customFormat="1" x14ac:dyDescent="0.35">
      <c r="B38" s="91"/>
      <c r="C38" s="157"/>
      <c r="D38" s="88" t="s">
        <v>54</v>
      </c>
      <c r="E38" s="70"/>
      <c r="F38" s="71" t="s">
        <v>55</v>
      </c>
      <c r="G38" s="27"/>
      <c r="H38" s="71">
        <f>H32</f>
        <v>1597</v>
      </c>
      <c r="I38" s="60" t="s">
        <v>47</v>
      </c>
      <c r="J38" s="55">
        <v>15000</v>
      </c>
      <c r="K38" s="55">
        <f t="shared" si="0"/>
        <v>23955000</v>
      </c>
      <c r="L38" s="42"/>
    </row>
    <row r="39" spans="2:12" s="31" customFormat="1" x14ac:dyDescent="0.35">
      <c r="B39" s="162"/>
      <c r="C39" s="88"/>
      <c r="D39" s="88" t="s">
        <v>56</v>
      </c>
      <c r="E39" s="70"/>
      <c r="F39" s="71" t="s">
        <v>57</v>
      </c>
      <c r="G39" s="27"/>
      <c r="H39" s="71">
        <f>H34</f>
        <v>670</v>
      </c>
      <c r="I39" s="60" t="s">
        <v>47</v>
      </c>
      <c r="J39" s="55">
        <v>15000</v>
      </c>
      <c r="K39" s="55">
        <f t="shared" si="0"/>
        <v>10050000</v>
      </c>
      <c r="L39" s="42"/>
    </row>
    <row r="40" spans="2:12" s="31" customFormat="1" x14ac:dyDescent="0.35">
      <c r="B40" s="115"/>
      <c r="C40" s="159"/>
      <c r="D40" s="88" t="s">
        <v>58</v>
      </c>
      <c r="E40" s="70"/>
      <c r="F40" s="71" t="s">
        <v>59</v>
      </c>
      <c r="G40" s="27"/>
      <c r="H40" s="71">
        <f>H35</f>
        <v>1880</v>
      </c>
      <c r="I40" s="60" t="s">
        <v>47</v>
      </c>
      <c r="J40" s="55">
        <v>15000</v>
      </c>
      <c r="K40" s="55">
        <f t="shared" si="0"/>
        <v>28200000</v>
      </c>
      <c r="L40" s="42"/>
    </row>
    <row r="41" spans="2:12" s="31" customFormat="1" x14ac:dyDescent="0.35">
      <c r="B41" s="162"/>
      <c r="C41" s="88"/>
      <c r="D41" s="88" t="s">
        <v>60</v>
      </c>
      <c r="E41" s="70"/>
      <c r="F41" s="71" t="s">
        <v>61</v>
      </c>
      <c r="G41" s="27"/>
      <c r="H41" s="71">
        <f>H36</f>
        <v>122</v>
      </c>
      <c r="I41" s="60" t="s">
        <v>47</v>
      </c>
      <c r="J41" s="55">
        <v>15000</v>
      </c>
      <c r="K41" s="55">
        <f t="shared" si="0"/>
        <v>1830000</v>
      </c>
      <c r="L41" s="42"/>
    </row>
    <row r="42" spans="2:12" s="31" customFormat="1" x14ac:dyDescent="0.35">
      <c r="B42" s="162"/>
      <c r="C42" s="88"/>
      <c r="D42" s="88" t="s">
        <v>62</v>
      </c>
      <c r="E42" s="70"/>
      <c r="F42" s="71" t="s">
        <v>63</v>
      </c>
      <c r="G42" s="27"/>
      <c r="H42" s="71">
        <v>55</v>
      </c>
      <c r="I42" s="60" t="s">
        <v>64</v>
      </c>
      <c r="J42" s="55">
        <v>100000</v>
      </c>
      <c r="K42" s="55">
        <f t="shared" si="0"/>
        <v>5500000</v>
      </c>
      <c r="L42" s="42"/>
    </row>
    <row r="43" spans="2:12" s="31" customFormat="1" x14ac:dyDescent="0.35">
      <c r="B43" s="162"/>
      <c r="C43" s="159"/>
      <c r="D43" s="88" t="s">
        <v>65</v>
      </c>
      <c r="E43" s="70"/>
      <c r="F43" s="71" t="s">
        <v>66</v>
      </c>
      <c r="G43" s="27"/>
      <c r="H43" s="71">
        <v>1</v>
      </c>
      <c r="I43" s="60" t="s">
        <v>31</v>
      </c>
      <c r="J43" s="55">
        <v>1200000</v>
      </c>
      <c r="K43" s="55">
        <f t="shared" si="0"/>
        <v>1200000</v>
      </c>
      <c r="L43" s="42"/>
    </row>
    <row r="44" spans="2:12" s="31" customFormat="1" x14ac:dyDescent="0.35">
      <c r="B44" s="162"/>
      <c r="C44" s="88"/>
      <c r="D44" s="88" t="s">
        <v>67</v>
      </c>
      <c r="E44" s="162"/>
      <c r="F44" s="71" t="s">
        <v>68</v>
      </c>
      <c r="G44" s="27"/>
      <c r="H44" s="71">
        <v>1</v>
      </c>
      <c r="I44" s="60" t="s">
        <v>31</v>
      </c>
      <c r="J44" s="55">
        <v>30500000</v>
      </c>
      <c r="K44" s="55">
        <f t="shared" si="0"/>
        <v>30500000</v>
      </c>
      <c r="L44" s="42"/>
    </row>
    <row r="45" spans="2:12" x14ac:dyDescent="0.35">
      <c r="B45" s="158" t="s">
        <v>120</v>
      </c>
      <c r="C45" s="159"/>
      <c r="D45" s="163"/>
      <c r="E45" s="164" t="s">
        <v>70</v>
      </c>
      <c r="F45" s="128"/>
      <c r="G45" s="156"/>
      <c r="H45" s="71"/>
      <c r="I45" s="95"/>
      <c r="J45" s="59"/>
      <c r="K45" s="59"/>
      <c r="L45" s="42"/>
    </row>
    <row r="46" spans="2:12" s="31" customFormat="1" x14ac:dyDescent="0.35">
      <c r="B46" s="70"/>
      <c r="C46" s="88"/>
      <c r="D46" s="69" t="s">
        <v>29</v>
      </c>
      <c r="E46" s="71"/>
      <c r="F46" s="71" t="s">
        <v>71</v>
      </c>
      <c r="G46" s="27"/>
      <c r="H46" s="71">
        <v>30</v>
      </c>
      <c r="I46" s="27" t="s">
        <v>72</v>
      </c>
      <c r="J46" s="48">
        <v>200000</v>
      </c>
      <c r="K46" s="55">
        <f t="shared" si="0"/>
        <v>6000000</v>
      </c>
      <c r="L46" s="42"/>
    </row>
    <row r="47" spans="2:12" s="31" customFormat="1" x14ac:dyDescent="0.35">
      <c r="B47" s="70"/>
      <c r="C47" s="88"/>
      <c r="D47" s="69" t="s">
        <v>32</v>
      </c>
      <c r="E47" s="88"/>
      <c r="F47" s="71" t="s">
        <v>73</v>
      </c>
      <c r="G47" s="27"/>
      <c r="H47" s="71">
        <v>30</v>
      </c>
      <c r="I47" s="60" t="s">
        <v>72</v>
      </c>
      <c r="J47" s="48">
        <v>185000</v>
      </c>
      <c r="K47" s="55">
        <f t="shared" si="0"/>
        <v>5550000</v>
      </c>
      <c r="L47" s="42"/>
    </row>
    <row r="48" spans="2:12" s="31" customFormat="1" x14ac:dyDescent="0.35">
      <c r="B48" s="70"/>
      <c r="C48" s="88"/>
      <c r="D48" s="69" t="s">
        <v>34</v>
      </c>
      <c r="E48" s="71"/>
      <c r="F48" s="71" t="s">
        <v>74</v>
      </c>
      <c r="G48" s="27"/>
      <c r="H48" s="71">
        <v>30</v>
      </c>
      <c r="I48" s="60" t="s">
        <v>72</v>
      </c>
      <c r="J48" s="61">
        <v>220000</v>
      </c>
      <c r="K48" s="55">
        <f t="shared" si="0"/>
        <v>6600000</v>
      </c>
      <c r="L48" s="42"/>
    </row>
    <row r="49" spans="2:12" s="31" customFormat="1" x14ac:dyDescent="0.35">
      <c r="B49" s="70"/>
      <c r="C49" s="88"/>
      <c r="D49" s="69" t="s">
        <v>36</v>
      </c>
      <c r="E49" s="88"/>
      <c r="F49" s="71" t="s">
        <v>75</v>
      </c>
      <c r="G49" s="27"/>
      <c r="H49" s="71">
        <v>30</v>
      </c>
      <c r="I49" s="60" t="s">
        <v>76</v>
      </c>
      <c r="J49" s="48">
        <v>250000</v>
      </c>
      <c r="K49" s="55">
        <f t="shared" si="0"/>
        <v>7500000</v>
      </c>
      <c r="L49" s="42"/>
    </row>
    <row r="50" spans="2:12" s="31" customFormat="1" x14ac:dyDescent="0.35">
      <c r="B50" s="70"/>
      <c r="C50" s="88"/>
      <c r="D50" s="62" t="s">
        <v>38</v>
      </c>
      <c r="E50" s="63"/>
      <c r="F50" s="64" t="s">
        <v>77</v>
      </c>
      <c r="G50" s="65"/>
      <c r="H50" s="112">
        <v>30</v>
      </c>
      <c r="I50" s="60" t="s">
        <v>76</v>
      </c>
      <c r="J50" s="48">
        <v>1700000</v>
      </c>
      <c r="K50" s="55">
        <f t="shared" si="0"/>
        <v>51000000</v>
      </c>
      <c r="L50" s="42"/>
    </row>
    <row r="51" spans="2:12" s="31" customFormat="1" x14ac:dyDescent="0.35">
      <c r="B51" s="70"/>
      <c r="C51" s="88"/>
      <c r="D51" s="62" t="s">
        <v>39</v>
      </c>
      <c r="E51" s="63"/>
      <c r="F51" s="64" t="s">
        <v>78</v>
      </c>
      <c r="G51" s="65"/>
      <c r="H51" s="112">
        <v>30</v>
      </c>
      <c r="I51" s="60" t="s">
        <v>76</v>
      </c>
      <c r="J51" s="48">
        <v>4750000</v>
      </c>
      <c r="K51" s="55">
        <f t="shared" si="0"/>
        <v>142500000</v>
      </c>
      <c r="L51" s="42"/>
    </row>
    <row r="52" spans="2:12" s="31" customFormat="1" x14ac:dyDescent="0.35">
      <c r="B52" s="148" t="s">
        <v>69</v>
      </c>
      <c r="C52" s="154"/>
      <c r="D52" s="66"/>
      <c r="E52" s="67" t="s">
        <v>80</v>
      </c>
      <c r="F52" s="64"/>
      <c r="G52" s="65"/>
      <c r="H52" s="113"/>
      <c r="I52" s="65"/>
      <c r="J52" s="26"/>
      <c r="K52" s="47"/>
      <c r="L52" s="42"/>
    </row>
    <row r="53" spans="2:12" s="31" customFormat="1" x14ac:dyDescent="0.35">
      <c r="B53" s="150"/>
      <c r="C53" s="87"/>
      <c r="D53" s="62" t="s">
        <v>29</v>
      </c>
      <c r="E53" s="63"/>
      <c r="F53" s="64" t="s">
        <v>81</v>
      </c>
      <c r="G53" s="65"/>
      <c r="H53" s="63">
        <v>1</v>
      </c>
      <c r="I53" s="65" t="s">
        <v>82</v>
      </c>
      <c r="J53" s="48">
        <v>2000000</v>
      </c>
      <c r="K53" s="55">
        <f t="shared" si="0"/>
        <v>2000000</v>
      </c>
      <c r="L53" s="42"/>
    </row>
    <row r="54" spans="2:12" s="31" customFormat="1" x14ac:dyDescent="0.35">
      <c r="B54" s="165" t="s">
        <v>79</v>
      </c>
      <c r="C54" s="166"/>
      <c r="D54" s="166"/>
      <c r="E54" s="167" t="s">
        <v>12</v>
      </c>
      <c r="F54" s="168"/>
      <c r="G54" s="169"/>
      <c r="H54" s="170"/>
      <c r="I54" s="171"/>
      <c r="J54" s="46"/>
      <c r="K54" s="57"/>
      <c r="L54" s="42"/>
    </row>
    <row r="55" spans="2:12" s="31" customFormat="1" x14ac:dyDescent="0.35">
      <c r="B55" s="86"/>
      <c r="C55" s="89"/>
      <c r="D55" s="88" t="s">
        <v>29</v>
      </c>
      <c r="E55" s="70"/>
      <c r="F55" s="71" t="s">
        <v>83</v>
      </c>
      <c r="G55" s="27"/>
      <c r="H55" s="71">
        <v>3</v>
      </c>
      <c r="I55" s="60" t="s">
        <v>84</v>
      </c>
      <c r="J55" s="55">
        <v>1500000</v>
      </c>
      <c r="K55" s="55">
        <f t="shared" si="0"/>
        <v>4500000</v>
      </c>
      <c r="L55" s="42"/>
    </row>
    <row r="56" spans="2:12" s="31" customFormat="1" x14ac:dyDescent="0.35">
      <c r="B56" s="54"/>
      <c r="C56" s="51"/>
      <c r="D56" s="69"/>
      <c r="E56" s="70"/>
      <c r="F56" s="71"/>
      <c r="G56" s="71"/>
      <c r="H56" s="72"/>
      <c r="I56" s="60"/>
      <c r="J56" s="73"/>
      <c r="K56" s="74"/>
      <c r="L56" s="42"/>
    </row>
    <row r="57" spans="2:12" s="31" customFormat="1" x14ac:dyDescent="0.35">
      <c r="B57" s="148"/>
      <c r="C57" s="154"/>
      <c r="D57" s="66"/>
      <c r="E57" s="75" t="s">
        <v>85</v>
      </c>
      <c r="F57" s="76"/>
      <c r="G57" s="77"/>
      <c r="H57" s="172"/>
      <c r="I57" s="173"/>
      <c r="J57" s="78"/>
      <c r="K57" s="78"/>
      <c r="L57" s="42"/>
    </row>
    <row r="58" spans="2:12" s="31" customFormat="1" x14ac:dyDescent="0.35">
      <c r="B58" s="148" t="s">
        <v>28</v>
      </c>
      <c r="C58" s="87"/>
      <c r="D58" s="62"/>
      <c r="E58" s="67" t="s">
        <v>86</v>
      </c>
      <c r="F58" s="64"/>
      <c r="G58" s="65"/>
      <c r="H58" s="174"/>
      <c r="I58" s="93"/>
      <c r="J58" s="78"/>
      <c r="K58" s="78"/>
      <c r="L58" s="42"/>
    </row>
    <row r="59" spans="2:12" s="31" customFormat="1" x14ac:dyDescent="0.35">
      <c r="B59" s="148"/>
      <c r="C59" s="87" t="s">
        <v>87</v>
      </c>
      <c r="D59" s="62"/>
      <c r="E59" s="67"/>
      <c r="F59" s="64" t="s">
        <v>88</v>
      </c>
      <c r="G59" s="65"/>
      <c r="H59" s="175"/>
      <c r="I59" s="93"/>
      <c r="J59" s="78"/>
      <c r="K59" s="78"/>
      <c r="L59" s="42"/>
    </row>
    <row r="60" spans="2:12" s="31" customFormat="1" x14ac:dyDescent="0.35">
      <c r="B60" s="86"/>
      <c r="C60" s="89"/>
      <c r="D60" s="69" t="s">
        <v>29</v>
      </c>
      <c r="E60" s="70"/>
      <c r="F60" s="71" t="s">
        <v>89</v>
      </c>
      <c r="G60" s="27"/>
      <c r="H60" s="80"/>
      <c r="I60" s="60"/>
      <c r="J60" s="78"/>
      <c r="K60" s="78"/>
      <c r="L60" s="42"/>
    </row>
    <row r="61" spans="2:12" s="31" customFormat="1" x14ac:dyDescent="0.35">
      <c r="B61" s="86"/>
      <c r="C61" s="89"/>
      <c r="D61" s="69"/>
      <c r="E61" s="70"/>
      <c r="F61" s="71" t="s">
        <v>90</v>
      </c>
      <c r="G61" s="27" t="s">
        <v>300</v>
      </c>
      <c r="H61" s="80">
        <f>0.2*10*7.85*1.09*1.2</f>
        <v>20.535599999999999</v>
      </c>
      <c r="I61" s="60" t="s">
        <v>91</v>
      </c>
      <c r="J61" s="78">
        <v>28500</v>
      </c>
      <c r="K61" s="78"/>
      <c r="L61" s="42">
        <f>J61*H61</f>
        <v>585264.6</v>
      </c>
    </row>
    <row r="62" spans="2:12" s="31" customFormat="1" x14ac:dyDescent="0.35">
      <c r="B62" s="86"/>
      <c r="C62" s="89"/>
      <c r="D62" s="69"/>
      <c r="E62" s="70"/>
      <c r="F62" s="71" t="s">
        <v>90</v>
      </c>
      <c r="G62" s="27" t="s">
        <v>301</v>
      </c>
      <c r="H62" s="80">
        <f>0.2*10*7.85*3.66*1.2*4</f>
        <v>275.81759999999997</v>
      </c>
      <c r="I62" s="60" t="s">
        <v>91</v>
      </c>
      <c r="J62" s="78">
        <v>28500</v>
      </c>
      <c r="K62" s="78"/>
      <c r="L62" s="42">
        <f t="shared" ref="L62:L68" si="1">J62*H62</f>
        <v>7860801.5999999987</v>
      </c>
    </row>
    <row r="63" spans="2:12" s="31" customFormat="1" x14ac:dyDescent="0.35">
      <c r="B63" s="70"/>
      <c r="C63" s="84"/>
      <c r="D63" s="69"/>
      <c r="E63" s="70"/>
      <c r="F63" s="71" t="s">
        <v>90</v>
      </c>
      <c r="G63" s="27" t="s">
        <v>92</v>
      </c>
      <c r="H63" s="80">
        <f>49.9*3.6*1.2</f>
        <v>215.56799999999998</v>
      </c>
      <c r="I63" s="60" t="s">
        <v>91</v>
      </c>
      <c r="J63" s="78">
        <v>28500</v>
      </c>
      <c r="K63" s="78"/>
      <c r="L63" s="42">
        <f t="shared" si="1"/>
        <v>6143687.9999999991</v>
      </c>
    </row>
    <row r="64" spans="2:12" s="31" customFormat="1" x14ac:dyDescent="0.35">
      <c r="B64" s="70"/>
      <c r="C64" s="87"/>
      <c r="D64" s="62"/>
      <c r="E64" s="70"/>
      <c r="F64" s="71" t="s">
        <v>90</v>
      </c>
      <c r="G64" s="27" t="s">
        <v>302</v>
      </c>
      <c r="H64" s="80">
        <f>0.25*0.25*12*7.85*1.2</f>
        <v>7.0649999999999986</v>
      </c>
      <c r="I64" s="60" t="s">
        <v>91</v>
      </c>
      <c r="J64" s="78">
        <v>28500</v>
      </c>
      <c r="K64" s="78"/>
      <c r="L64" s="42">
        <f t="shared" si="1"/>
        <v>201352.49999999997</v>
      </c>
    </row>
    <row r="65" spans="2:16" s="31" customFormat="1" x14ac:dyDescent="0.35">
      <c r="B65" s="70"/>
      <c r="C65" s="87"/>
      <c r="D65" s="62"/>
      <c r="E65" s="70"/>
      <c r="F65" s="71" t="s">
        <v>90</v>
      </c>
      <c r="G65" s="27" t="s">
        <v>93</v>
      </c>
      <c r="H65" s="80">
        <f>49.9*3.1*1.2</f>
        <v>185.62799999999999</v>
      </c>
      <c r="I65" s="60" t="s">
        <v>91</v>
      </c>
      <c r="J65" s="78">
        <v>28500</v>
      </c>
      <c r="K65" s="78"/>
      <c r="L65" s="42">
        <f t="shared" si="1"/>
        <v>5290398</v>
      </c>
    </row>
    <row r="66" spans="2:16" x14ac:dyDescent="0.35">
      <c r="B66" s="70"/>
      <c r="C66" s="87"/>
      <c r="D66" s="62"/>
      <c r="E66" s="70"/>
      <c r="F66" s="71" t="s">
        <v>90</v>
      </c>
      <c r="G66" s="27" t="s">
        <v>303</v>
      </c>
      <c r="H66" s="80">
        <f>0.25*0.25*12*7.85*1.2</f>
        <v>7.0649999999999986</v>
      </c>
      <c r="I66" s="60" t="s">
        <v>91</v>
      </c>
      <c r="J66" s="78">
        <v>28500</v>
      </c>
      <c r="K66" s="59"/>
      <c r="L66" s="42">
        <f t="shared" si="1"/>
        <v>201352.49999999997</v>
      </c>
    </row>
    <row r="67" spans="2:16" s="31" customFormat="1" x14ac:dyDescent="0.35">
      <c r="B67" s="86"/>
      <c r="C67" s="89"/>
      <c r="D67" s="69"/>
      <c r="E67" s="70"/>
      <c r="F67" s="71" t="s">
        <v>90</v>
      </c>
      <c r="G67" s="27" t="s">
        <v>304</v>
      </c>
      <c r="H67" s="80">
        <f>0.2*10*7.85*1.09*1.2</f>
        <v>20.535599999999999</v>
      </c>
      <c r="I67" s="60" t="s">
        <v>91</v>
      </c>
      <c r="J67" s="78">
        <v>28500</v>
      </c>
      <c r="K67" s="59"/>
      <c r="L67" s="42">
        <f t="shared" si="1"/>
        <v>585264.6</v>
      </c>
    </row>
    <row r="68" spans="2:16" s="31" customFormat="1" x14ac:dyDescent="0.35">
      <c r="B68" s="86"/>
      <c r="C68" s="89"/>
      <c r="D68" s="69"/>
      <c r="E68" s="70"/>
      <c r="F68" s="71" t="s">
        <v>90</v>
      </c>
      <c r="G68" s="27" t="s">
        <v>305</v>
      </c>
      <c r="H68" s="80">
        <f>0.2*10*7.85*0.84*1.2</f>
        <v>15.825599999999998</v>
      </c>
      <c r="I68" s="60" t="s">
        <v>91</v>
      </c>
      <c r="J68" s="78">
        <v>28500</v>
      </c>
      <c r="K68" s="81"/>
      <c r="L68" s="42">
        <f t="shared" si="1"/>
        <v>451029.59999999992</v>
      </c>
    </row>
    <row r="69" spans="2:16" s="31" customFormat="1" x14ac:dyDescent="0.35">
      <c r="B69" s="86"/>
      <c r="C69" s="89"/>
      <c r="D69" s="69"/>
      <c r="E69" s="70"/>
      <c r="F69" s="71"/>
      <c r="G69" s="27"/>
      <c r="H69" s="80"/>
      <c r="I69" s="60"/>
      <c r="J69" s="78"/>
      <c r="K69" s="83"/>
      <c r="L69" s="42"/>
    </row>
    <row r="70" spans="2:16" s="31" customFormat="1" x14ac:dyDescent="0.35">
      <c r="B70" s="86"/>
      <c r="C70" s="89"/>
      <c r="D70" s="69"/>
      <c r="E70" s="70"/>
      <c r="F70" s="71"/>
      <c r="G70" s="27"/>
      <c r="H70" s="80"/>
      <c r="I70" s="60"/>
      <c r="J70" s="78"/>
      <c r="K70" s="83"/>
      <c r="L70" s="42"/>
    </row>
    <row r="71" spans="2:16" x14ac:dyDescent="0.35">
      <c r="B71" s="58"/>
      <c r="C71" s="51"/>
      <c r="D71" s="69"/>
      <c r="E71" s="70"/>
      <c r="F71" s="71"/>
      <c r="G71" s="27"/>
      <c r="H71" s="80"/>
      <c r="I71" s="60"/>
      <c r="J71" s="78"/>
      <c r="K71" s="57"/>
      <c r="L71" s="42"/>
    </row>
    <row r="72" spans="2:16" x14ac:dyDescent="0.35">
      <c r="B72" s="43"/>
      <c r="C72" s="44"/>
      <c r="D72" s="21"/>
      <c r="G72" s="20"/>
      <c r="I72" s="20"/>
      <c r="J72" s="46"/>
      <c r="K72" s="26"/>
      <c r="L72" s="48"/>
    </row>
    <row r="73" spans="2:16" x14ac:dyDescent="0.35">
      <c r="B73" s="8"/>
      <c r="C73" s="9"/>
      <c r="D73" s="10"/>
      <c r="E73" s="4"/>
      <c r="F73" s="4"/>
      <c r="G73" s="4"/>
      <c r="H73" s="1"/>
      <c r="I73" s="1"/>
      <c r="J73" s="11" t="s">
        <v>8</v>
      </c>
      <c r="K73" s="7">
        <f>SUM(K21:K72)</f>
        <v>1175754500</v>
      </c>
      <c r="L73" s="7">
        <f>SUM(L21:L72)</f>
        <v>21319151.400000002</v>
      </c>
      <c r="M73" s="31"/>
      <c r="N73" s="31"/>
      <c r="O73" s="31"/>
      <c r="P73" s="14"/>
    </row>
    <row r="74" spans="2:16" x14ac:dyDescent="0.35">
      <c r="B74" s="8"/>
      <c r="C74" s="9"/>
      <c r="D74" s="9"/>
      <c r="E74" s="4"/>
      <c r="F74" s="4"/>
      <c r="G74" s="4"/>
      <c r="H74" s="1"/>
      <c r="I74" s="1"/>
      <c r="J74" s="11"/>
      <c r="K74" s="32" t="s">
        <v>13</v>
      </c>
      <c r="L74" s="33" t="s">
        <v>14</v>
      </c>
      <c r="M74" s="31"/>
      <c r="N74" s="31"/>
      <c r="O74" s="31"/>
      <c r="P74" s="14"/>
    </row>
    <row r="75" spans="2:16" x14ac:dyDescent="0.35">
      <c r="B75" s="3" t="s">
        <v>9</v>
      </c>
      <c r="C75" s="4"/>
      <c r="D75" s="4"/>
      <c r="E75" s="4"/>
      <c r="F75" s="4"/>
      <c r="G75" s="4"/>
      <c r="H75" s="1"/>
      <c r="I75" s="1"/>
      <c r="J75" s="12"/>
      <c r="K75" s="12"/>
      <c r="L75" s="13"/>
      <c r="M75" s="31"/>
      <c r="N75" s="31"/>
      <c r="O75" s="31"/>
      <c r="P75" s="14"/>
    </row>
    <row r="76" spans="2:16" x14ac:dyDescent="0.35">
      <c r="B76" s="34"/>
      <c r="C76" s="1"/>
      <c r="D76" s="1"/>
      <c r="E76" s="35"/>
      <c r="F76" s="35"/>
      <c r="G76" s="35"/>
      <c r="H76" s="1"/>
      <c r="I76" s="1"/>
      <c r="J76" s="1"/>
      <c r="K76" s="1"/>
      <c r="L76" s="17"/>
    </row>
    <row r="77" spans="2:16" x14ac:dyDescent="0.35">
      <c r="B77" s="25" t="s">
        <v>6</v>
      </c>
      <c r="C77" s="24"/>
      <c r="D77" s="24"/>
      <c r="E77" s="23"/>
      <c r="F77" s="23"/>
      <c r="G77" s="5"/>
      <c r="K77" s="227" t="s">
        <v>1292</v>
      </c>
      <c r="L77" s="228"/>
    </row>
    <row r="78" spans="2:16" x14ac:dyDescent="0.35">
      <c r="B78" s="25">
        <v>1</v>
      </c>
      <c r="C78" s="24"/>
      <c r="D78" s="24"/>
      <c r="E78" s="23" t="s">
        <v>7</v>
      </c>
      <c r="F78" s="23"/>
      <c r="G78" s="5"/>
      <c r="K78" s="227" t="s">
        <v>18</v>
      </c>
      <c r="L78" s="228"/>
    </row>
    <row r="79" spans="2:16" x14ac:dyDescent="0.35">
      <c r="B79" s="36"/>
      <c r="C79" s="24"/>
      <c r="D79" s="24"/>
      <c r="E79" s="23"/>
      <c r="F79" s="23"/>
      <c r="G79" s="5"/>
      <c r="J79" s="22"/>
      <c r="K79" s="22"/>
      <c r="L79" s="21"/>
    </row>
    <row r="80" spans="2:16" x14ac:dyDescent="0.35">
      <c r="B80" s="25"/>
      <c r="C80" s="24"/>
      <c r="D80" s="24"/>
      <c r="E80" s="23"/>
      <c r="F80" s="23"/>
      <c r="G80" s="5"/>
      <c r="L80" s="20"/>
    </row>
    <row r="81" spans="2:12" x14ac:dyDescent="0.35">
      <c r="B81" s="41"/>
      <c r="E81" s="5"/>
      <c r="F81" s="5"/>
      <c r="G81" s="5"/>
      <c r="L81" s="20"/>
    </row>
    <row r="82" spans="2:12" x14ac:dyDescent="0.35">
      <c r="B82" s="41"/>
      <c r="E82" s="5"/>
      <c r="F82" s="5"/>
      <c r="G82" s="5"/>
      <c r="L82" s="20"/>
    </row>
    <row r="83" spans="2:12" x14ac:dyDescent="0.35">
      <c r="B83" s="41"/>
      <c r="E83" s="5"/>
      <c r="F83" s="5"/>
      <c r="G83" s="5"/>
      <c r="L83" s="20"/>
    </row>
    <row r="84" spans="2:12" x14ac:dyDescent="0.35">
      <c r="B84" s="41"/>
      <c r="E84" s="5"/>
      <c r="F84" s="5"/>
      <c r="G84" s="5"/>
      <c r="J84" s="37"/>
      <c r="K84" s="229" t="s">
        <v>26</v>
      </c>
      <c r="L84" s="230"/>
    </row>
    <row r="85" spans="2:12" x14ac:dyDescent="0.35">
      <c r="B85" s="41"/>
      <c r="K85" s="231" t="s">
        <v>27</v>
      </c>
      <c r="L85" s="232"/>
    </row>
    <row r="86" spans="2:12" x14ac:dyDescent="0.35">
      <c r="B86" s="233"/>
      <c r="C86" s="234"/>
      <c r="D86" s="234"/>
      <c r="E86" s="38"/>
      <c r="F86" s="38"/>
      <c r="G86" s="38"/>
      <c r="H86" s="2"/>
      <c r="I86" s="2"/>
      <c r="J86" s="2"/>
      <c r="K86" s="2"/>
      <c r="L86" s="19"/>
    </row>
    <row r="87" spans="2:12" x14ac:dyDescent="0.35">
      <c r="B87" s="43"/>
      <c r="C87" s="44"/>
      <c r="D87" s="45"/>
      <c r="G87" s="20"/>
      <c r="H87" s="1"/>
      <c r="I87" s="1"/>
      <c r="J87" s="39"/>
      <c r="K87" s="27"/>
      <c r="L87" s="40"/>
    </row>
    <row r="88" spans="2:12" x14ac:dyDescent="0.35">
      <c r="B88" s="86"/>
      <c r="C88" s="89"/>
      <c r="D88" s="69"/>
      <c r="E88" s="70"/>
      <c r="F88" s="71" t="s">
        <v>90</v>
      </c>
      <c r="G88" s="27" t="s">
        <v>306</v>
      </c>
      <c r="H88" s="80">
        <f>0.2*10*7.85*3.64*1.2*3</f>
        <v>205.73279999999997</v>
      </c>
      <c r="I88" s="60" t="s">
        <v>91</v>
      </c>
      <c r="J88" s="78">
        <v>28500</v>
      </c>
      <c r="K88" s="57"/>
      <c r="L88" s="42">
        <f t="shared" ref="L88:L137" si="2">J88*H88</f>
        <v>5863384.7999999989</v>
      </c>
    </row>
    <row r="89" spans="2:12" x14ac:dyDescent="0.35">
      <c r="B89" s="70"/>
      <c r="C89" s="84"/>
      <c r="D89" s="69"/>
      <c r="E89" s="70"/>
      <c r="F89" s="71" t="s">
        <v>90</v>
      </c>
      <c r="G89" s="27" t="s">
        <v>99</v>
      </c>
      <c r="H89" s="80">
        <f>49.9*3.6*1.2</f>
        <v>215.56799999999998</v>
      </c>
      <c r="I89" s="60" t="s">
        <v>91</v>
      </c>
      <c r="J89" s="78">
        <v>28500</v>
      </c>
      <c r="K89" s="59"/>
      <c r="L89" s="42">
        <f t="shared" si="2"/>
        <v>6143687.9999999991</v>
      </c>
    </row>
    <row r="90" spans="2:12" x14ac:dyDescent="0.35">
      <c r="B90" s="70"/>
      <c r="C90" s="87"/>
      <c r="D90" s="62"/>
      <c r="E90" s="70"/>
      <c r="F90" s="71" t="s">
        <v>90</v>
      </c>
      <c r="G90" s="27" t="s">
        <v>307</v>
      </c>
      <c r="H90" s="80">
        <f>0.25*0.25*12*7.85*1.2</f>
        <v>7.0649999999999986</v>
      </c>
      <c r="I90" s="60" t="s">
        <v>91</v>
      </c>
      <c r="J90" s="78">
        <v>28500</v>
      </c>
      <c r="K90" s="82"/>
      <c r="L90" s="42">
        <f t="shared" si="2"/>
        <v>201352.49999999997</v>
      </c>
    </row>
    <row r="91" spans="2:12" x14ac:dyDescent="0.35">
      <c r="B91" s="70"/>
      <c r="C91" s="87"/>
      <c r="D91" s="62"/>
      <c r="E91" s="70"/>
      <c r="F91" s="71" t="s">
        <v>90</v>
      </c>
      <c r="G91" s="27" t="s">
        <v>95</v>
      </c>
      <c r="H91" s="80">
        <f>49.9*3.1*1.2</f>
        <v>185.62799999999999</v>
      </c>
      <c r="I91" s="60" t="s">
        <v>91</v>
      </c>
      <c r="J91" s="78">
        <v>28500</v>
      </c>
      <c r="K91" s="59"/>
      <c r="L91" s="42">
        <f t="shared" si="2"/>
        <v>5290398</v>
      </c>
    </row>
    <row r="92" spans="2:12" x14ac:dyDescent="0.35">
      <c r="B92" s="70"/>
      <c r="C92" s="87"/>
      <c r="D92" s="62"/>
      <c r="E92" s="70"/>
      <c r="F92" s="71" t="s">
        <v>90</v>
      </c>
      <c r="G92" s="27" t="s">
        <v>308</v>
      </c>
      <c r="H92" s="80">
        <f>0.25*0.25*12*7.85*1.2</f>
        <v>7.0649999999999986</v>
      </c>
      <c r="I92" s="60" t="s">
        <v>91</v>
      </c>
      <c r="J92" s="78">
        <v>28500</v>
      </c>
      <c r="K92" s="78"/>
      <c r="L92" s="42">
        <f t="shared" si="2"/>
        <v>201352.49999999997</v>
      </c>
    </row>
    <row r="93" spans="2:12" x14ac:dyDescent="0.35">
      <c r="B93" s="86"/>
      <c r="C93" s="89"/>
      <c r="D93" s="69"/>
      <c r="E93" s="70"/>
      <c r="F93" s="71" t="s">
        <v>90</v>
      </c>
      <c r="G93" s="27" t="s">
        <v>309</v>
      </c>
      <c r="H93" s="80">
        <f>0.2*10*7.85*1.19*1.2</f>
        <v>22.419599999999999</v>
      </c>
      <c r="I93" s="60" t="s">
        <v>91</v>
      </c>
      <c r="J93" s="78">
        <v>28500</v>
      </c>
      <c r="K93" s="78"/>
      <c r="L93" s="42">
        <f t="shared" si="2"/>
        <v>638958.6</v>
      </c>
    </row>
    <row r="94" spans="2:12" x14ac:dyDescent="0.35">
      <c r="B94" s="86"/>
      <c r="C94" s="89"/>
      <c r="D94" s="69"/>
      <c r="E94" s="70"/>
      <c r="F94" s="71" t="s">
        <v>90</v>
      </c>
      <c r="G94" s="27" t="s">
        <v>310</v>
      </c>
      <c r="H94" s="80">
        <f>0.2*10*7.85*1.17*1.2</f>
        <v>22.0428</v>
      </c>
      <c r="I94" s="60" t="s">
        <v>91</v>
      </c>
      <c r="J94" s="78">
        <v>28500</v>
      </c>
      <c r="K94" s="57"/>
      <c r="L94" s="42">
        <f t="shared" si="2"/>
        <v>628219.80000000005</v>
      </c>
    </row>
    <row r="95" spans="2:12" x14ac:dyDescent="0.35">
      <c r="B95" s="86"/>
      <c r="C95" s="89"/>
      <c r="D95" s="69"/>
      <c r="E95" s="70"/>
      <c r="F95" s="71" t="s">
        <v>90</v>
      </c>
      <c r="G95" s="27" t="s">
        <v>311</v>
      </c>
      <c r="H95" s="80">
        <f>0.2*10*7.85*3.65*1.2*3</f>
        <v>206.29799999999997</v>
      </c>
      <c r="I95" s="60" t="s">
        <v>91</v>
      </c>
      <c r="J95" s="78">
        <v>28500</v>
      </c>
      <c r="K95" s="57"/>
      <c r="L95" s="42">
        <f t="shared" si="2"/>
        <v>5879492.9999999991</v>
      </c>
    </row>
    <row r="96" spans="2:12" x14ac:dyDescent="0.35">
      <c r="B96" s="70"/>
      <c r="C96" s="84"/>
      <c r="D96" s="69"/>
      <c r="E96" s="70"/>
      <c r="F96" s="71" t="s">
        <v>90</v>
      </c>
      <c r="G96" s="27" t="s">
        <v>100</v>
      </c>
      <c r="H96" s="80">
        <f>49.9*3.6*1.2</f>
        <v>215.56799999999998</v>
      </c>
      <c r="I96" s="60" t="s">
        <v>91</v>
      </c>
      <c r="J96" s="78">
        <v>28500</v>
      </c>
      <c r="K96" s="78"/>
      <c r="L96" s="42">
        <f t="shared" si="2"/>
        <v>6143687.9999999991</v>
      </c>
    </row>
    <row r="97" spans="2:12" x14ac:dyDescent="0.35">
      <c r="B97" s="70"/>
      <c r="C97" s="87"/>
      <c r="D97" s="62"/>
      <c r="E97" s="70"/>
      <c r="F97" s="71" t="s">
        <v>90</v>
      </c>
      <c r="G97" s="27" t="s">
        <v>312</v>
      </c>
      <c r="H97" s="80">
        <f>0.25*0.25*12*7.85*1.2</f>
        <v>7.0649999999999986</v>
      </c>
      <c r="I97" s="60" t="s">
        <v>91</v>
      </c>
      <c r="J97" s="78">
        <v>28500</v>
      </c>
      <c r="K97" s="78"/>
      <c r="L97" s="42">
        <f t="shared" si="2"/>
        <v>201352.49999999997</v>
      </c>
    </row>
    <row r="98" spans="2:12" x14ac:dyDescent="0.35">
      <c r="B98" s="70"/>
      <c r="C98" s="87"/>
      <c r="D98" s="62"/>
      <c r="E98" s="70"/>
      <c r="F98" s="71" t="s">
        <v>90</v>
      </c>
      <c r="G98" s="27" t="s">
        <v>96</v>
      </c>
      <c r="H98" s="80">
        <f>49.9*3.1*1.2</f>
        <v>185.62799999999999</v>
      </c>
      <c r="I98" s="60" t="s">
        <v>91</v>
      </c>
      <c r="J98" s="78">
        <v>28500</v>
      </c>
      <c r="K98" s="57"/>
      <c r="L98" s="42">
        <f t="shared" si="2"/>
        <v>5290398</v>
      </c>
    </row>
    <row r="99" spans="2:12" x14ac:dyDescent="0.35">
      <c r="B99" s="70"/>
      <c r="C99" s="87"/>
      <c r="D99" s="62"/>
      <c r="E99" s="70"/>
      <c r="F99" s="71" t="s">
        <v>90</v>
      </c>
      <c r="G99" s="27" t="s">
        <v>313</v>
      </c>
      <c r="H99" s="80">
        <f>0.25*0.25*12*7.85*1.2</f>
        <v>7.0649999999999986</v>
      </c>
      <c r="I99" s="60" t="s">
        <v>91</v>
      </c>
      <c r="J99" s="78">
        <v>28500</v>
      </c>
      <c r="K99" s="78"/>
      <c r="L99" s="42">
        <f t="shared" si="2"/>
        <v>201352.49999999997</v>
      </c>
    </row>
    <row r="100" spans="2:12" x14ac:dyDescent="0.35">
      <c r="B100" s="86"/>
      <c r="C100" s="89"/>
      <c r="D100" s="69"/>
      <c r="E100" s="70"/>
      <c r="F100" s="71" t="s">
        <v>90</v>
      </c>
      <c r="G100" s="27" t="s">
        <v>314</v>
      </c>
      <c r="H100" s="80">
        <f>0.2*10*7.85*3.64*1.2*2</f>
        <v>137.15519999999998</v>
      </c>
      <c r="I100" s="60" t="s">
        <v>91</v>
      </c>
      <c r="J100" s="78">
        <v>28500</v>
      </c>
      <c r="K100" s="83"/>
      <c r="L100" s="42">
        <f t="shared" si="2"/>
        <v>3908923.1999999993</v>
      </c>
    </row>
    <row r="101" spans="2:12" x14ac:dyDescent="0.35">
      <c r="B101" s="70"/>
      <c r="C101" s="84"/>
      <c r="D101" s="69"/>
      <c r="E101" s="70"/>
      <c r="F101" s="71" t="s">
        <v>90</v>
      </c>
      <c r="G101" s="27" t="s">
        <v>101</v>
      </c>
      <c r="H101" s="80">
        <f>49.9*3.6*1.2</f>
        <v>215.56799999999998</v>
      </c>
      <c r="I101" s="60" t="s">
        <v>91</v>
      </c>
      <c r="J101" s="78">
        <v>28500</v>
      </c>
      <c r="K101" s="83"/>
      <c r="L101" s="42">
        <f t="shared" si="2"/>
        <v>6143687.9999999991</v>
      </c>
    </row>
    <row r="102" spans="2:12" x14ac:dyDescent="0.35">
      <c r="B102" s="70"/>
      <c r="C102" s="87"/>
      <c r="D102" s="62"/>
      <c r="E102" s="70"/>
      <c r="F102" s="71" t="s">
        <v>90</v>
      </c>
      <c r="G102" s="27" t="s">
        <v>315</v>
      </c>
      <c r="H102" s="80">
        <f>0.25*0.25*12*7.85*1.2</f>
        <v>7.0649999999999986</v>
      </c>
      <c r="I102" s="60" t="s">
        <v>91</v>
      </c>
      <c r="J102" s="78">
        <v>28500</v>
      </c>
      <c r="K102" s="83"/>
      <c r="L102" s="42">
        <f t="shared" si="2"/>
        <v>201352.49999999997</v>
      </c>
    </row>
    <row r="103" spans="2:12" x14ac:dyDescent="0.35">
      <c r="B103" s="70"/>
      <c r="C103" s="87"/>
      <c r="D103" s="62"/>
      <c r="E103" s="70"/>
      <c r="F103" s="71" t="s">
        <v>90</v>
      </c>
      <c r="G103" s="27" t="s">
        <v>102</v>
      </c>
      <c r="H103" s="80">
        <f>49.9*3.1*1.2</f>
        <v>185.62799999999999</v>
      </c>
      <c r="I103" s="60" t="s">
        <v>91</v>
      </c>
      <c r="J103" s="78">
        <v>28500</v>
      </c>
      <c r="K103" s="83"/>
      <c r="L103" s="42">
        <f t="shared" si="2"/>
        <v>5290398</v>
      </c>
    </row>
    <row r="104" spans="2:12" x14ac:dyDescent="0.35">
      <c r="B104" s="70"/>
      <c r="C104" s="87"/>
      <c r="D104" s="62"/>
      <c r="E104" s="70"/>
      <c r="F104" s="71" t="s">
        <v>90</v>
      </c>
      <c r="G104" s="27" t="s">
        <v>316</v>
      </c>
      <c r="H104" s="80">
        <f>0.25*0.25*12*7.85*1.2</f>
        <v>7.0649999999999986</v>
      </c>
      <c r="I104" s="60" t="s">
        <v>91</v>
      </c>
      <c r="J104" s="78">
        <v>28500</v>
      </c>
      <c r="K104" s="83"/>
      <c r="L104" s="42">
        <f t="shared" si="2"/>
        <v>201352.49999999997</v>
      </c>
    </row>
    <row r="105" spans="2:12" x14ac:dyDescent="0.35">
      <c r="B105" s="86"/>
      <c r="C105" s="89"/>
      <c r="D105" s="69"/>
      <c r="E105" s="70"/>
      <c r="F105" s="71" t="s">
        <v>90</v>
      </c>
      <c r="G105" s="27" t="s">
        <v>317</v>
      </c>
      <c r="H105" s="80">
        <f>0.2*10*7.85*3.65*1.2</f>
        <v>68.765999999999991</v>
      </c>
      <c r="I105" s="60" t="s">
        <v>91</v>
      </c>
      <c r="J105" s="78">
        <v>28500</v>
      </c>
      <c r="K105" s="83"/>
      <c r="L105" s="42">
        <f t="shared" si="2"/>
        <v>1959830.9999999998</v>
      </c>
    </row>
    <row r="106" spans="2:12" x14ac:dyDescent="0.35">
      <c r="B106" s="86"/>
      <c r="C106" s="89"/>
      <c r="D106" s="69"/>
      <c r="E106" s="70"/>
      <c r="F106" s="71" t="s">
        <v>90</v>
      </c>
      <c r="G106" s="27" t="s">
        <v>318</v>
      </c>
      <c r="H106" s="80">
        <f>0.2*10*7.85*3.63*1.2</f>
        <v>68.389199999999988</v>
      </c>
      <c r="I106" s="60" t="s">
        <v>91</v>
      </c>
      <c r="J106" s="78">
        <v>28500</v>
      </c>
      <c r="K106" s="83"/>
      <c r="L106" s="42">
        <f t="shared" si="2"/>
        <v>1949092.1999999997</v>
      </c>
    </row>
    <row r="107" spans="2:12" x14ac:dyDescent="0.35">
      <c r="B107" s="70"/>
      <c r="C107" s="84"/>
      <c r="D107" s="69"/>
      <c r="E107" s="70"/>
      <c r="F107" s="71" t="s">
        <v>90</v>
      </c>
      <c r="G107" s="27" t="s">
        <v>319</v>
      </c>
      <c r="H107" s="80">
        <f>49.9*3.6*1.2</f>
        <v>215.56799999999998</v>
      </c>
      <c r="I107" s="60" t="s">
        <v>91</v>
      </c>
      <c r="J107" s="78">
        <v>28500</v>
      </c>
      <c r="K107" s="57"/>
      <c r="L107" s="42">
        <f t="shared" si="2"/>
        <v>6143687.9999999991</v>
      </c>
    </row>
    <row r="108" spans="2:12" x14ac:dyDescent="0.35">
      <c r="B108" s="70"/>
      <c r="C108" s="87"/>
      <c r="D108" s="62"/>
      <c r="E108" s="70"/>
      <c r="F108" s="71" t="s">
        <v>90</v>
      </c>
      <c r="G108" s="27" t="s">
        <v>320</v>
      </c>
      <c r="H108" s="80">
        <f>0.25*0.25*12*7.85*1.2</f>
        <v>7.0649999999999986</v>
      </c>
      <c r="I108" s="60" t="s">
        <v>91</v>
      </c>
      <c r="J108" s="78">
        <v>28500</v>
      </c>
      <c r="K108" s="59"/>
      <c r="L108" s="42">
        <f t="shared" si="2"/>
        <v>201352.49999999997</v>
      </c>
    </row>
    <row r="109" spans="2:12" x14ac:dyDescent="0.35">
      <c r="B109" s="70"/>
      <c r="C109" s="87"/>
      <c r="D109" s="62"/>
      <c r="E109" s="70"/>
      <c r="F109" s="71" t="s">
        <v>90</v>
      </c>
      <c r="G109" s="27" t="s">
        <v>103</v>
      </c>
      <c r="H109" s="80">
        <f>49.9*3.1*1.2</f>
        <v>185.62799999999999</v>
      </c>
      <c r="I109" s="60" t="s">
        <v>91</v>
      </c>
      <c r="J109" s="78">
        <v>28500</v>
      </c>
      <c r="K109" s="57"/>
      <c r="L109" s="42">
        <f t="shared" si="2"/>
        <v>5290398</v>
      </c>
    </row>
    <row r="110" spans="2:12" x14ac:dyDescent="0.35">
      <c r="B110" s="70"/>
      <c r="C110" s="87"/>
      <c r="D110" s="62"/>
      <c r="E110" s="70"/>
      <c r="F110" s="71" t="s">
        <v>90</v>
      </c>
      <c r="G110" s="27" t="s">
        <v>321</v>
      </c>
      <c r="H110" s="80">
        <f>0.3*0.3*12*7.85*1.2</f>
        <v>10.173599999999999</v>
      </c>
      <c r="I110" s="60" t="s">
        <v>91</v>
      </c>
      <c r="J110" s="78">
        <v>28500</v>
      </c>
      <c r="K110" s="57"/>
      <c r="L110" s="42">
        <f t="shared" si="2"/>
        <v>289947.59999999998</v>
      </c>
    </row>
    <row r="111" spans="2:12" x14ac:dyDescent="0.35">
      <c r="B111" s="86"/>
      <c r="C111" s="89"/>
      <c r="D111" s="69"/>
      <c r="E111" s="70"/>
      <c r="F111" s="71" t="s">
        <v>90</v>
      </c>
      <c r="G111" s="27" t="s">
        <v>322</v>
      </c>
      <c r="H111" s="80">
        <f>0.2*10*7.85*3.66*1.2</f>
        <v>68.954399999999993</v>
      </c>
      <c r="I111" s="60" t="s">
        <v>91</v>
      </c>
      <c r="J111" s="78">
        <v>28500</v>
      </c>
      <c r="K111" s="57"/>
      <c r="L111" s="42">
        <f t="shared" si="2"/>
        <v>1965200.3999999997</v>
      </c>
    </row>
    <row r="112" spans="2:12" x14ac:dyDescent="0.35">
      <c r="B112" s="86"/>
      <c r="C112" s="89"/>
      <c r="D112" s="69"/>
      <c r="E112" s="70"/>
      <c r="F112" s="71" t="s">
        <v>90</v>
      </c>
      <c r="G112" s="27" t="s">
        <v>323</v>
      </c>
      <c r="H112" s="80">
        <f>0.2*10*7.85*3.65*1.2</f>
        <v>68.765999999999991</v>
      </c>
      <c r="I112" s="60" t="s">
        <v>91</v>
      </c>
      <c r="J112" s="78">
        <v>28500</v>
      </c>
      <c r="K112" s="57"/>
      <c r="L112" s="42">
        <f t="shared" si="2"/>
        <v>1959830.9999999998</v>
      </c>
    </row>
    <row r="113" spans="2:12" x14ac:dyDescent="0.35">
      <c r="B113" s="70"/>
      <c r="C113" s="84"/>
      <c r="D113" s="69"/>
      <c r="E113" s="70"/>
      <c r="F113" s="71" t="s">
        <v>90</v>
      </c>
      <c r="G113" s="27" t="s">
        <v>324</v>
      </c>
      <c r="H113" s="80">
        <f>49.9*3.6*1.2</f>
        <v>215.56799999999998</v>
      </c>
      <c r="I113" s="60" t="s">
        <v>91</v>
      </c>
      <c r="J113" s="78">
        <v>28500</v>
      </c>
      <c r="K113" s="57"/>
      <c r="L113" s="42">
        <f t="shared" si="2"/>
        <v>6143687.9999999991</v>
      </c>
    </row>
    <row r="114" spans="2:12" x14ac:dyDescent="0.35">
      <c r="B114" s="70"/>
      <c r="C114" s="87"/>
      <c r="D114" s="62"/>
      <c r="E114" s="70"/>
      <c r="F114" s="71" t="s">
        <v>90</v>
      </c>
      <c r="G114" s="27" t="s">
        <v>325</v>
      </c>
      <c r="H114" s="80">
        <f>0.25*0.25*12*7.85*1.2</f>
        <v>7.0649999999999986</v>
      </c>
      <c r="I114" s="60" t="s">
        <v>91</v>
      </c>
      <c r="J114" s="78">
        <v>28500</v>
      </c>
      <c r="K114" s="57"/>
      <c r="L114" s="42">
        <f t="shared" si="2"/>
        <v>201352.49999999997</v>
      </c>
    </row>
    <row r="115" spans="2:12" x14ac:dyDescent="0.35">
      <c r="B115" s="70"/>
      <c r="C115" s="87"/>
      <c r="D115" s="62"/>
      <c r="E115" s="70"/>
      <c r="F115" s="71" t="s">
        <v>90</v>
      </c>
      <c r="G115" s="27" t="s">
        <v>326</v>
      </c>
      <c r="H115" s="80">
        <f>0.3*0.3*12*7.85*1.2</f>
        <v>10.173599999999999</v>
      </c>
      <c r="I115" s="60" t="s">
        <v>91</v>
      </c>
      <c r="J115" s="78">
        <v>28500</v>
      </c>
      <c r="K115" s="57"/>
      <c r="L115" s="42">
        <f t="shared" si="2"/>
        <v>289947.59999999998</v>
      </c>
    </row>
    <row r="116" spans="2:12" x14ac:dyDescent="0.35">
      <c r="B116" s="86"/>
      <c r="C116" s="89"/>
      <c r="D116" s="69"/>
      <c r="E116" s="70"/>
      <c r="F116" s="71" t="s">
        <v>90</v>
      </c>
      <c r="G116" s="27" t="s">
        <v>327</v>
      </c>
      <c r="H116" s="80">
        <f>0.2*10*7.85*3.45*1.2</f>
        <v>64.99799999999999</v>
      </c>
      <c r="I116" s="60" t="s">
        <v>91</v>
      </c>
      <c r="J116" s="78">
        <v>28500</v>
      </c>
      <c r="K116" s="57"/>
      <c r="L116" s="42">
        <f t="shared" si="2"/>
        <v>1852442.9999999998</v>
      </c>
    </row>
    <row r="117" spans="2:12" x14ac:dyDescent="0.35">
      <c r="B117" s="86"/>
      <c r="C117" s="89"/>
      <c r="D117" s="69"/>
      <c r="E117" s="70"/>
      <c r="F117" s="71" t="s">
        <v>90</v>
      </c>
      <c r="G117" s="27" t="s">
        <v>328</v>
      </c>
      <c r="H117" s="80">
        <f>0.2*10*7.85*3.48*1.2</f>
        <v>65.563199999999995</v>
      </c>
      <c r="I117" s="60" t="s">
        <v>91</v>
      </c>
      <c r="J117" s="78">
        <v>28500</v>
      </c>
      <c r="K117" s="57"/>
      <c r="L117" s="42">
        <f t="shared" si="2"/>
        <v>1868551.2</v>
      </c>
    </row>
    <row r="118" spans="2:12" x14ac:dyDescent="0.35">
      <c r="B118" s="70"/>
      <c r="C118" s="84"/>
      <c r="D118" s="69"/>
      <c r="E118" s="70"/>
      <c r="F118" s="71" t="s">
        <v>90</v>
      </c>
      <c r="G118" s="27" t="s">
        <v>329</v>
      </c>
      <c r="H118" s="80">
        <f>49.9*3.6*1.2</f>
        <v>215.56799999999998</v>
      </c>
      <c r="I118" s="60" t="s">
        <v>91</v>
      </c>
      <c r="J118" s="78">
        <v>28500</v>
      </c>
      <c r="K118" s="57"/>
      <c r="L118" s="42">
        <f t="shared" si="2"/>
        <v>6143687.9999999991</v>
      </c>
    </row>
    <row r="119" spans="2:12" x14ac:dyDescent="0.35">
      <c r="B119" s="70"/>
      <c r="C119" s="87"/>
      <c r="D119" s="62"/>
      <c r="E119" s="70"/>
      <c r="F119" s="71" t="s">
        <v>90</v>
      </c>
      <c r="G119" s="27" t="s">
        <v>330</v>
      </c>
      <c r="H119" s="80">
        <f>0.25*0.25*12*7.85*1.2</f>
        <v>7.0649999999999986</v>
      </c>
      <c r="I119" s="60" t="s">
        <v>91</v>
      </c>
      <c r="J119" s="78">
        <v>28500</v>
      </c>
      <c r="K119" s="57"/>
      <c r="L119" s="42">
        <f t="shared" si="2"/>
        <v>201352.49999999997</v>
      </c>
    </row>
    <row r="120" spans="2:12" x14ac:dyDescent="0.35">
      <c r="B120" s="70"/>
      <c r="C120" s="87"/>
      <c r="D120" s="62"/>
      <c r="E120" s="70"/>
      <c r="F120" s="71" t="s">
        <v>90</v>
      </c>
      <c r="G120" s="27" t="s">
        <v>331</v>
      </c>
      <c r="H120" s="80">
        <f>49.9*3.1*1.2</f>
        <v>185.62799999999999</v>
      </c>
      <c r="I120" s="60" t="s">
        <v>91</v>
      </c>
      <c r="J120" s="78">
        <v>28500</v>
      </c>
      <c r="K120" s="57"/>
      <c r="L120" s="42">
        <f t="shared" si="2"/>
        <v>5290398</v>
      </c>
    </row>
    <row r="121" spans="2:12" x14ac:dyDescent="0.35">
      <c r="B121" s="70"/>
      <c r="C121" s="87"/>
      <c r="D121" s="62"/>
      <c r="E121" s="70"/>
      <c r="F121" s="71" t="s">
        <v>90</v>
      </c>
      <c r="G121" s="27" t="s">
        <v>332</v>
      </c>
      <c r="H121" s="80">
        <f>0.3*0.3*12*7.85*1.2</f>
        <v>10.173599999999999</v>
      </c>
      <c r="I121" s="60" t="s">
        <v>91</v>
      </c>
      <c r="J121" s="78">
        <v>28500</v>
      </c>
      <c r="K121" s="57"/>
      <c r="L121" s="42">
        <f t="shared" si="2"/>
        <v>289947.59999999998</v>
      </c>
    </row>
    <row r="122" spans="2:12" x14ac:dyDescent="0.35">
      <c r="B122" s="86"/>
      <c r="C122" s="89"/>
      <c r="D122" s="69"/>
      <c r="E122" s="70"/>
      <c r="F122" s="71" t="s">
        <v>90</v>
      </c>
      <c r="G122" s="27" t="s">
        <v>333</v>
      </c>
      <c r="H122" s="80">
        <f>0.2*10*7.85*3.64*1.2*2</f>
        <v>137.15519999999998</v>
      </c>
      <c r="I122" s="60" t="s">
        <v>91</v>
      </c>
      <c r="J122" s="78">
        <v>28500</v>
      </c>
      <c r="K122" s="57"/>
      <c r="L122" s="42">
        <f t="shared" si="2"/>
        <v>3908923.1999999993</v>
      </c>
    </row>
    <row r="123" spans="2:12" x14ac:dyDescent="0.35">
      <c r="B123" s="70"/>
      <c r="C123" s="84"/>
      <c r="D123" s="69"/>
      <c r="E123" s="70"/>
      <c r="F123" s="71" t="s">
        <v>90</v>
      </c>
      <c r="G123" s="27" t="s">
        <v>334</v>
      </c>
      <c r="H123" s="80">
        <f>49.9*3.6*1.2</f>
        <v>215.56799999999998</v>
      </c>
      <c r="I123" s="60" t="s">
        <v>91</v>
      </c>
      <c r="J123" s="78">
        <v>28500</v>
      </c>
      <c r="K123" s="57"/>
      <c r="L123" s="42">
        <f t="shared" si="2"/>
        <v>6143687.9999999991</v>
      </c>
    </row>
    <row r="124" spans="2:12" x14ac:dyDescent="0.35">
      <c r="B124" s="70"/>
      <c r="C124" s="87"/>
      <c r="D124" s="62"/>
      <c r="E124" s="70"/>
      <c r="F124" s="71" t="s">
        <v>90</v>
      </c>
      <c r="G124" s="27" t="s">
        <v>335</v>
      </c>
      <c r="H124" s="80">
        <f>0.25*0.25*12*7.85*1.2</f>
        <v>7.0649999999999986</v>
      </c>
      <c r="I124" s="60" t="s">
        <v>91</v>
      </c>
      <c r="J124" s="78">
        <v>28500</v>
      </c>
      <c r="K124" s="57"/>
      <c r="L124" s="42">
        <f t="shared" si="2"/>
        <v>201352.49999999997</v>
      </c>
    </row>
    <row r="125" spans="2:12" x14ac:dyDescent="0.35">
      <c r="B125" s="70"/>
      <c r="C125" s="87"/>
      <c r="D125" s="62"/>
      <c r="E125" s="70"/>
      <c r="F125" s="71" t="s">
        <v>90</v>
      </c>
      <c r="G125" s="27" t="s">
        <v>336</v>
      </c>
      <c r="H125" s="80">
        <f>0.3*0.3*12*7.85*1.2</f>
        <v>10.173599999999999</v>
      </c>
      <c r="I125" s="60" t="s">
        <v>91</v>
      </c>
      <c r="J125" s="78">
        <v>28500</v>
      </c>
      <c r="K125" s="57"/>
      <c r="L125" s="42">
        <f t="shared" si="2"/>
        <v>289947.59999999998</v>
      </c>
    </row>
    <row r="126" spans="2:12" x14ac:dyDescent="0.35">
      <c r="B126" s="86"/>
      <c r="C126" s="89"/>
      <c r="D126" s="69"/>
      <c r="E126" s="70"/>
      <c r="F126" s="71" t="s">
        <v>90</v>
      </c>
      <c r="G126" s="27" t="s">
        <v>337</v>
      </c>
      <c r="H126" s="80">
        <f>0.2*10*7.85*3.65*1.2*2</f>
        <v>137.53199999999998</v>
      </c>
      <c r="I126" s="60" t="s">
        <v>91</v>
      </c>
      <c r="J126" s="78">
        <v>28500</v>
      </c>
      <c r="K126" s="57"/>
      <c r="L126" s="42">
        <f t="shared" si="2"/>
        <v>3919661.9999999995</v>
      </c>
    </row>
    <row r="127" spans="2:12" x14ac:dyDescent="0.35">
      <c r="B127" s="70"/>
      <c r="C127" s="84"/>
      <c r="D127" s="69"/>
      <c r="E127" s="70"/>
      <c r="F127" s="71" t="s">
        <v>90</v>
      </c>
      <c r="G127" s="27" t="s">
        <v>338</v>
      </c>
      <c r="H127" s="80">
        <f>49.9*3.6*1.2</f>
        <v>215.56799999999998</v>
      </c>
      <c r="I127" s="60" t="s">
        <v>91</v>
      </c>
      <c r="J127" s="78">
        <v>28500</v>
      </c>
      <c r="K127" s="57"/>
      <c r="L127" s="42">
        <f t="shared" si="2"/>
        <v>6143687.9999999991</v>
      </c>
    </row>
    <row r="128" spans="2:12" x14ac:dyDescent="0.35">
      <c r="B128" s="70"/>
      <c r="C128" s="87"/>
      <c r="D128" s="62"/>
      <c r="E128" s="70"/>
      <c r="F128" s="71" t="s">
        <v>90</v>
      </c>
      <c r="G128" s="27" t="s">
        <v>339</v>
      </c>
      <c r="H128" s="80">
        <f>0.25*0.25*12*7.85*1.2</f>
        <v>7.0649999999999986</v>
      </c>
      <c r="I128" s="60" t="s">
        <v>91</v>
      </c>
      <c r="J128" s="78">
        <v>28500</v>
      </c>
      <c r="K128" s="57"/>
      <c r="L128" s="42">
        <f t="shared" si="2"/>
        <v>201352.49999999997</v>
      </c>
    </row>
    <row r="129" spans="2:12" x14ac:dyDescent="0.35">
      <c r="B129" s="70"/>
      <c r="C129" s="87"/>
      <c r="D129" s="62"/>
      <c r="E129" s="70"/>
      <c r="F129" s="71" t="s">
        <v>90</v>
      </c>
      <c r="G129" s="27" t="s">
        <v>340</v>
      </c>
      <c r="H129" s="80">
        <f>0.3*0.3*12*7.85*1.2</f>
        <v>10.173599999999999</v>
      </c>
      <c r="I129" s="60" t="s">
        <v>91</v>
      </c>
      <c r="J129" s="78">
        <v>28500</v>
      </c>
      <c r="K129" s="57"/>
      <c r="L129" s="42">
        <f t="shared" si="2"/>
        <v>289947.59999999998</v>
      </c>
    </row>
    <row r="130" spans="2:12" x14ac:dyDescent="0.35">
      <c r="B130" s="86"/>
      <c r="C130" s="89"/>
      <c r="D130" s="69"/>
      <c r="E130" s="70"/>
      <c r="F130" s="71" t="s">
        <v>90</v>
      </c>
      <c r="G130" s="27" t="s">
        <v>341</v>
      </c>
      <c r="H130" s="80">
        <f>0.2*10*7.85*3.65*1.2</f>
        <v>68.765999999999991</v>
      </c>
      <c r="I130" s="60" t="s">
        <v>91</v>
      </c>
      <c r="J130" s="78">
        <v>28500</v>
      </c>
      <c r="K130" s="57"/>
      <c r="L130" s="42">
        <f t="shared" si="2"/>
        <v>1959830.9999999998</v>
      </c>
    </row>
    <row r="131" spans="2:12" x14ac:dyDescent="0.35">
      <c r="B131" s="86"/>
      <c r="C131" s="89"/>
      <c r="D131" s="69"/>
      <c r="E131" s="70"/>
      <c r="F131" s="71" t="s">
        <v>90</v>
      </c>
      <c r="G131" s="27" t="s">
        <v>342</v>
      </c>
      <c r="H131" s="80">
        <f>0.2*10*7.85*3.63*1.2</f>
        <v>68.389199999999988</v>
      </c>
      <c r="I131" s="60" t="s">
        <v>91</v>
      </c>
      <c r="J131" s="78">
        <v>28500</v>
      </c>
      <c r="K131" s="57"/>
      <c r="L131" s="42">
        <f t="shared" si="2"/>
        <v>1949092.1999999997</v>
      </c>
    </row>
    <row r="132" spans="2:12" x14ac:dyDescent="0.35">
      <c r="B132" s="70"/>
      <c r="C132" s="84"/>
      <c r="D132" s="69"/>
      <c r="E132" s="70"/>
      <c r="F132" s="71" t="s">
        <v>90</v>
      </c>
      <c r="G132" s="27" t="s">
        <v>343</v>
      </c>
      <c r="H132" s="80">
        <f>49.9*3.6*1.2</f>
        <v>215.56799999999998</v>
      </c>
      <c r="I132" s="60" t="s">
        <v>91</v>
      </c>
      <c r="J132" s="78">
        <v>28500</v>
      </c>
      <c r="K132" s="57"/>
      <c r="L132" s="42">
        <f t="shared" si="2"/>
        <v>6143687.9999999991</v>
      </c>
    </row>
    <row r="133" spans="2:12" x14ac:dyDescent="0.35">
      <c r="B133" s="70"/>
      <c r="C133" s="87"/>
      <c r="D133" s="62"/>
      <c r="E133" s="70"/>
      <c r="F133" s="71" t="s">
        <v>90</v>
      </c>
      <c r="G133" s="27" t="s">
        <v>344</v>
      </c>
      <c r="H133" s="80">
        <f>0.25*0.25*12*7.85*1.2</f>
        <v>7.0649999999999986</v>
      </c>
      <c r="I133" s="60" t="s">
        <v>91</v>
      </c>
      <c r="J133" s="78">
        <v>28500</v>
      </c>
      <c r="K133" s="57"/>
      <c r="L133" s="42">
        <f t="shared" si="2"/>
        <v>201352.49999999997</v>
      </c>
    </row>
    <row r="134" spans="2:12" x14ac:dyDescent="0.35">
      <c r="B134" s="70"/>
      <c r="C134" s="87"/>
      <c r="D134" s="62"/>
      <c r="E134" s="70"/>
      <c r="F134" s="71" t="s">
        <v>90</v>
      </c>
      <c r="G134" s="27" t="s">
        <v>345</v>
      </c>
      <c r="H134" s="80">
        <f>0.3*0.3*12*7.85*1.2</f>
        <v>10.173599999999999</v>
      </c>
      <c r="I134" s="60" t="s">
        <v>91</v>
      </c>
      <c r="J134" s="78">
        <v>28500</v>
      </c>
      <c r="K134" s="57"/>
      <c r="L134" s="42">
        <f t="shared" si="2"/>
        <v>289947.59999999998</v>
      </c>
    </row>
    <row r="135" spans="2:12" x14ac:dyDescent="0.35">
      <c r="B135" s="86"/>
      <c r="C135" s="89"/>
      <c r="D135" s="69"/>
      <c r="E135" s="70"/>
      <c r="F135" s="71" t="s">
        <v>90</v>
      </c>
      <c r="G135" s="27" t="s">
        <v>346</v>
      </c>
      <c r="H135" s="80">
        <f>0.2*10*7.85*3.44*1.2</f>
        <v>64.809599999999989</v>
      </c>
      <c r="I135" s="60" t="s">
        <v>91</v>
      </c>
      <c r="J135" s="78">
        <v>28500</v>
      </c>
      <c r="K135" s="57"/>
      <c r="L135" s="42">
        <f t="shared" si="2"/>
        <v>1847073.5999999996</v>
      </c>
    </row>
    <row r="136" spans="2:12" x14ac:dyDescent="0.35">
      <c r="B136" s="86"/>
      <c r="C136" s="89"/>
      <c r="D136" s="69"/>
      <c r="E136" s="70"/>
      <c r="F136" s="71" t="s">
        <v>90</v>
      </c>
      <c r="G136" s="27" t="s">
        <v>347</v>
      </c>
      <c r="H136" s="80">
        <f>0.2*10*7.85*1.38*1.2</f>
        <v>25.999199999999995</v>
      </c>
      <c r="I136" s="60" t="s">
        <v>91</v>
      </c>
      <c r="J136" s="78">
        <v>28500</v>
      </c>
      <c r="K136" s="57"/>
      <c r="L136" s="42">
        <f t="shared" si="2"/>
        <v>740977.19999999984</v>
      </c>
    </row>
    <row r="137" spans="2:12" x14ac:dyDescent="0.35">
      <c r="B137" s="86"/>
      <c r="C137" s="89"/>
      <c r="D137" s="69"/>
      <c r="E137" s="70"/>
      <c r="F137" s="71" t="s">
        <v>90</v>
      </c>
      <c r="G137" s="27" t="s">
        <v>348</v>
      </c>
      <c r="H137" s="80">
        <f>0.2*10*7.85*1.21*1.2</f>
        <v>22.796399999999998</v>
      </c>
      <c r="I137" s="60" t="s">
        <v>91</v>
      </c>
      <c r="J137" s="78">
        <v>28500</v>
      </c>
      <c r="K137" s="57"/>
      <c r="L137" s="42">
        <f t="shared" si="2"/>
        <v>649697.39999999991</v>
      </c>
    </row>
    <row r="138" spans="2:12" x14ac:dyDescent="0.35">
      <c r="B138" s="50"/>
      <c r="C138" s="44"/>
      <c r="D138" s="85"/>
      <c r="E138" s="70"/>
      <c r="F138" s="71"/>
      <c r="G138" s="27"/>
      <c r="H138" s="80"/>
      <c r="I138" s="60"/>
      <c r="J138" s="78"/>
      <c r="K138" s="57"/>
      <c r="L138" s="42"/>
    </row>
    <row r="139" spans="2:12" x14ac:dyDescent="0.35">
      <c r="B139" s="43"/>
      <c r="C139" s="44"/>
      <c r="D139" s="21"/>
      <c r="G139" s="20"/>
      <c r="I139" s="20"/>
      <c r="J139" s="46"/>
      <c r="K139" s="26"/>
      <c r="L139" s="48"/>
    </row>
    <row r="140" spans="2:12" x14ac:dyDescent="0.35">
      <c r="B140" s="8"/>
      <c r="C140" s="9"/>
      <c r="D140" s="10"/>
      <c r="E140" s="4"/>
      <c r="F140" s="4"/>
      <c r="G140" s="4"/>
      <c r="H140" s="1"/>
      <c r="I140" s="1"/>
      <c r="J140" s="11" t="s">
        <v>8</v>
      </c>
      <c r="K140" s="7">
        <f>SUM(K87:K139)</f>
        <v>0</v>
      </c>
      <c r="L140" s="7">
        <f>SUM(L87:L139)</f>
        <v>129350282.39999999</v>
      </c>
    </row>
    <row r="141" spans="2:12" x14ac:dyDescent="0.35">
      <c r="B141" s="8"/>
      <c r="C141" s="9"/>
      <c r="D141" s="9"/>
      <c r="E141" s="4"/>
      <c r="F141" s="4"/>
      <c r="G141" s="4"/>
      <c r="H141" s="1"/>
      <c r="I141" s="1"/>
      <c r="J141" s="11"/>
      <c r="K141" s="32" t="s">
        <v>13</v>
      </c>
      <c r="L141" s="33" t="s">
        <v>14</v>
      </c>
    </row>
    <row r="142" spans="2:12" x14ac:dyDescent="0.35">
      <c r="B142" s="3" t="s">
        <v>9</v>
      </c>
      <c r="C142" s="4"/>
      <c r="D142" s="4"/>
      <c r="E142" s="4"/>
      <c r="F142" s="4"/>
      <c r="G142" s="4"/>
      <c r="H142" s="1"/>
      <c r="I142" s="1"/>
      <c r="J142" s="12"/>
      <c r="K142" s="12"/>
      <c r="L142" s="13"/>
    </row>
    <row r="143" spans="2:12" x14ac:dyDescent="0.35">
      <c r="B143" s="34"/>
      <c r="C143" s="1"/>
      <c r="D143" s="1"/>
      <c r="E143" s="35"/>
      <c r="F143" s="35"/>
      <c r="G143" s="35"/>
      <c r="H143" s="1"/>
      <c r="I143" s="1"/>
      <c r="J143" s="1"/>
      <c r="K143" s="1"/>
      <c r="L143" s="17"/>
    </row>
    <row r="144" spans="2:12" x14ac:dyDescent="0.35">
      <c r="B144" s="25" t="s">
        <v>6</v>
      </c>
      <c r="C144" s="24"/>
      <c r="D144" s="24"/>
      <c r="E144" s="23"/>
      <c r="F144" s="23"/>
      <c r="G144" s="5"/>
      <c r="K144" s="227" t="s">
        <v>1292</v>
      </c>
      <c r="L144" s="228"/>
    </row>
    <row r="145" spans="2:12" x14ac:dyDescent="0.35">
      <c r="B145" s="25">
        <v>1</v>
      </c>
      <c r="C145" s="24"/>
      <c r="D145" s="24"/>
      <c r="E145" s="23" t="s">
        <v>7</v>
      </c>
      <c r="F145" s="23"/>
      <c r="G145" s="5"/>
      <c r="K145" s="227" t="s">
        <v>18</v>
      </c>
      <c r="L145" s="228"/>
    </row>
    <row r="146" spans="2:12" x14ac:dyDescent="0.35">
      <c r="B146" s="36"/>
      <c r="C146" s="24"/>
      <c r="D146" s="24"/>
      <c r="E146" s="23"/>
      <c r="F146" s="23"/>
      <c r="G146" s="5"/>
      <c r="J146" s="22"/>
      <c r="K146" s="22"/>
      <c r="L146" s="21"/>
    </row>
    <row r="147" spans="2:12" x14ac:dyDescent="0.35">
      <c r="B147" s="25"/>
      <c r="C147" s="24"/>
      <c r="D147" s="24"/>
      <c r="E147" s="23"/>
      <c r="F147" s="23"/>
      <c r="G147" s="5"/>
      <c r="L147" s="20"/>
    </row>
    <row r="148" spans="2:12" x14ac:dyDescent="0.35">
      <c r="B148" s="41"/>
      <c r="E148" s="5"/>
      <c r="F148" s="5"/>
      <c r="G148" s="5"/>
      <c r="L148" s="20"/>
    </row>
    <row r="149" spans="2:12" x14ac:dyDescent="0.35">
      <c r="B149" s="41"/>
      <c r="E149" s="5"/>
      <c r="F149" s="5"/>
      <c r="G149" s="5"/>
      <c r="L149" s="20"/>
    </row>
    <row r="150" spans="2:12" x14ac:dyDescent="0.35">
      <c r="B150" s="41"/>
      <c r="E150" s="5"/>
      <c r="F150" s="5"/>
      <c r="G150" s="5"/>
      <c r="L150" s="20"/>
    </row>
    <row r="151" spans="2:12" x14ac:dyDescent="0.35">
      <c r="B151" s="41"/>
      <c r="E151" s="5"/>
      <c r="F151" s="5"/>
      <c r="G151" s="5"/>
      <c r="J151" s="37"/>
      <c r="K151" s="229" t="s">
        <v>26</v>
      </c>
      <c r="L151" s="230"/>
    </row>
    <row r="152" spans="2:12" x14ac:dyDescent="0.35">
      <c r="B152" s="41"/>
      <c r="K152" s="231" t="s">
        <v>27</v>
      </c>
      <c r="L152" s="232"/>
    </row>
    <row r="153" spans="2:12" x14ac:dyDescent="0.35">
      <c r="B153" s="233"/>
      <c r="C153" s="234"/>
      <c r="D153" s="234"/>
      <c r="E153" s="38"/>
      <c r="F153" s="38"/>
      <c r="G153" s="38"/>
      <c r="H153" s="2"/>
      <c r="I153" s="2"/>
      <c r="J153" s="2"/>
      <c r="K153" s="2"/>
      <c r="L153" s="19"/>
    </row>
    <row r="154" spans="2:12" x14ac:dyDescent="0.35">
      <c r="B154" s="43"/>
      <c r="C154" s="44"/>
      <c r="D154" s="45"/>
      <c r="G154" s="20"/>
      <c r="H154" s="1"/>
      <c r="I154" s="1"/>
      <c r="J154" s="39"/>
      <c r="K154" s="27"/>
      <c r="L154" s="40"/>
    </row>
    <row r="155" spans="2:12" x14ac:dyDescent="0.35">
      <c r="B155" s="86"/>
      <c r="C155" s="89"/>
      <c r="D155" s="69"/>
      <c r="E155" s="70"/>
      <c r="F155" s="71" t="s">
        <v>90</v>
      </c>
      <c r="G155" s="27" t="s">
        <v>349</v>
      </c>
      <c r="H155" s="80">
        <f>0.2*10*7.85*3.45*1.2</f>
        <v>64.99799999999999</v>
      </c>
      <c r="I155" s="60" t="s">
        <v>91</v>
      </c>
      <c r="J155" s="78">
        <v>28500</v>
      </c>
      <c r="K155" s="57"/>
      <c r="L155" s="42">
        <f t="shared" ref="L155:L204" si="3">J155*H155</f>
        <v>1852442.9999999998</v>
      </c>
    </row>
    <row r="156" spans="2:12" x14ac:dyDescent="0.35">
      <c r="B156" s="70"/>
      <c r="C156" s="84"/>
      <c r="D156" s="69"/>
      <c r="E156" s="70"/>
      <c r="F156" s="71" t="s">
        <v>90</v>
      </c>
      <c r="G156" s="27" t="s">
        <v>350</v>
      </c>
      <c r="H156" s="80">
        <f>49.9*1.84*1.2</f>
        <v>110.17919999999999</v>
      </c>
      <c r="I156" s="60" t="s">
        <v>91</v>
      </c>
      <c r="J156" s="78">
        <v>28500</v>
      </c>
      <c r="K156" s="57"/>
      <c r="L156" s="42">
        <f t="shared" si="3"/>
        <v>3140107.1999999997</v>
      </c>
    </row>
    <row r="157" spans="2:12" x14ac:dyDescent="0.35">
      <c r="B157" s="70"/>
      <c r="C157" s="87"/>
      <c r="D157" s="62"/>
      <c r="E157" s="70"/>
      <c r="F157" s="71" t="s">
        <v>90</v>
      </c>
      <c r="G157" s="27" t="s">
        <v>351</v>
      </c>
      <c r="H157" s="80">
        <f>0.25*0.25*12*7.85*1.2</f>
        <v>7.0649999999999986</v>
      </c>
      <c r="I157" s="60" t="s">
        <v>91</v>
      </c>
      <c r="J157" s="78">
        <v>28500</v>
      </c>
      <c r="K157" s="57"/>
      <c r="L157" s="42">
        <f t="shared" si="3"/>
        <v>201352.49999999997</v>
      </c>
    </row>
    <row r="158" spans="2:12" x14ac:dyDescent="0.35">
      <c r="B158" s="70"/>
      <c r="C158" s="87"/>
      <c r="D158" s="62"/>
      <c r="E158" s="70"/>
      <c r="F158" s="71" t="s">
        <v>90</v>
      </c>
      <c r="G158" s="27" t="s">
        <v>352</v>
      </c>
      <c r="H158" s="80">
        <f>0.3*0.3*12*7.85*1.2</f>
        <v>10.173599999999999</v>
      </c>
      <c r="I158" s="60" t="s">
        <v>91</v>
      </c>
      <c r="J158" s="78">
        <v>28500</v>
      </c>
      <c r="K158" s="57"/>
      <c r="L158" s="42">
        <f t="shared" si="3"/>
        <v>289947.59999999998</v>
      </c>
    </row>
    <row r="159" spans="2:12" x14ac:dyDescent="0.35">
      <c r="B159" s="86"/>
      <c r="C159" s="89"/>
      <c r="D159" s="69"/>
      <c r="E159" s="70"/>
      <c r="F159" s="71" t="s">
        <v>90</v>
      </c>
      <c r="G159" s="27" t="s">
        <v>353</v>
      </c>
      <c r="H159" s="80">
        <f>0.2*10*7.85*3.63*1.2</f>
        <v>68.389199999999988</v>
      </c>
      <c r="I159" s="60" t="s">
        <v>91</v>
      </c>
      <c r="J159" s="78">
        <v>28500</v>
      </c>
      <c r="K159" s="57"/>
      <c r="L159" s="42">
        <f t="shared" si="3"/>
        <v>1949092.1999999997</v>
      </c>
    </row>
    <row r="160" spans="2:12" x14ac:dyDescent="0.35">
      <c r="B160" s="86"/>
      <c r="C160" s="89"/>
      <c r="D160" s="69"/>
      <c r="E160" s="70"/>
      <c r="F160" s="71" t="s">
        <v>90</v>
      </c>
      <c r="G160" s="27" t="s">
        <v>354</v>
      </c>
      <c r="H160" s="80">
        <f>0.2*10*7.85*3.65*1.2*2</f>
        <v>137.53199999999998</v>
      </c>
      <c r="I160" s="60" t="s">
        <v>91</v>
      </c>
      <c r="J160" s="78">
        <v>28500</v>
      </c>
      <c r="K160" s="57"/>
      <c r="L160" s="42">
        <f t="shared" si="3"/>
        <v>3919661.9999999995</v>
      </c>
    </row>
    <row r="161" spans="2:12" x14ac:dyDescent="0.35">
      <c r="B161" s="70"/>
      <c r="C161" s="84"/>
      <c r="D161" s="69"/>
      <c r="E161" s="70"/>
      <c r="F161" s="71" t="s">
        <v>90</v>
      </c>
      <c r="G161" s="27" t="s">
        <v>355</v>
      </c>
      <c r="H161" s="80">
        <f>49.9*3.6*1.2</f>
        <v>215.56799999999998</v>
      </c>
      <c r="I161" s="60" t="s">
        <v>91</v>
      </c>
      <c r="J161" s="78">
        <v>28500</v>
      </c>
      <c r="K161" s="57"/>
      <c r="L161" s="42">
        <f t="shared" si="3"/>
        <v>6143687.9999999991</v>
      </c>
    </row>
    <row r="162" spans="2:12" x14ac:dyDescent="0.35">
      <c r="B162" s="70"/>
      <c r="C162" s="87"/>
      <c r="D162" s="62"/>
      <c r="E162" s="70"/>
      <c r="F162" s="71" t="s">
        <v>90</v>
      </c>
      <c r="G162" s="27" t="s">
        <v>356</v>
      </c>
      <c r="H162" s="80">
        <f>0.25*0.25*12*7.85*1.2</f>
        <v>7.0649999999999986</v>
      </c>
      <c r="I162" s="60" t="s">
        <v>91</v>
      </c>
      <c r="J162" s="78">
        <v>28500</v>
      </c>
      <c r="K162" s="57"/>
      <c r="L162" s="42">
        <f t="shared" si="3"/>
        <v>201352.49999999997</v>
      </c>
    </row>
    <row r="163" spans="2:12" x14ac:dyDescent="0.35">
      <c r="B163" s="70"/>
      <c r="C163" s="87"/>
      <c r="D163" s="62"/>
      <c r="E163" s="70"/>
      <c r="F163" s="71" t="s">
        <v>90</v>
      </c>
      <c r="G163" s="27" t="s">
        <v>357</v>
      </c>
      <c r="H163" s="80">
        <f>0.3*0.3*12*7.85*1.2</f>
        <v>10.173599999999999</v>
      </c>
      <c r="I163" s="60" t="s">
        <v>91</v>
      </c>
      <c r="J163" s="78">
        <v>28500</v>
      </c>
      <c r="K163" s="57"/>
      <c r="L163" s="42">
        <f t="shared" si="3"/>
        <v>289947.59999999998</v>
      </c>
    </row>
    <row r="164" spans="2:12" x14ac:dyDescent="0.35">
      <c r="B164" s="86"/>
      <c r="C164" s="89"/>
      <c r="D164" s="69"/>
      <c r="E164" s="70"/>
      <c r="F164" s="71" t="s">
        <v>90</v>
      </c>
      <c r="G164" s="27" t="s">
        <v>358</v>
      </c>
      <c r="H164" s="80">
        <f>0.2*10*7.85*0.7*1.2</f>
        <v>13.187999999999997</v>
      </c>
      <c r="I164" s="60" t="s">
        <v>91</v>
      </c>
      <c r="J164" s="78">
        <v>28500</v>
      </c>
      <c r="K164" s="57"/>
      <c r="L164" s="42">
        <f t="shared" si="3"/>
        <v>375857.99999999994</v>
      </c>
    </row>
    <row r="165" spans="2:12" x14ac:dyDescent="0.35">
      <c r="B165" s="86"/>
      <c r="C165" s="89"/>
      <c r="D165" s="69"/>
      <c r="E165" s="70"/>
      <c r="F165" s="71" t="s">
        <v>90</v>
      </c>
      <c r="G165" s="27" t="s">
        <v>359</v>
      </c>
      <c r="H165" s="80">
        <f>0.2*10*7.85*0.72*1.2</f>
        <v>13.564799999999998</v>
      </c>
      <c r="I165" s="60" t="s">
        <v>91</v>
      </c>
      <c r="J165" s="78">
        <v>28500</v>
      </c>
      <c r="K165" s="57"/>
      <c r="L165" s="42">
        <f t="shared" si="3"/>
        <v>386596.79999999993</v>
      </c>
    </row>
    <row r="166" spans="2:12" x14ac:dyDescent="0.35">
      <c r="B166" s="86"/>
      <c r="C166" s="89"/>
      <c r="D166" s="69"/>
      <c r="E166" s="70"/>
      <c r="F166" s="71" t="s">
        <v>90</v>
      </c>
      <c r="G166" s="27" t="s">
        <v>360</v>
      </c>
      <c r="H166" s="80">
        <f>0.2*10*7.85*0.71*1.2</f>
        <v>13.376399999999999</v>
      </c>
      <c r="I166" s="60" t="s">
        <v>91</v>
      </c>
      <c r="J166" s="78">
        <v>28500</v>
      </c>
      <c r="K166" s="57"/>
      <c r="L166" s="42">
        <f t="shared" si="3"/>
        <v>381227.39999999997</v>
      </c>
    </row>
    <row r="167" spans="2:12" x14ac:dyDescent="0.35">
      <c r="B167" s="86"/>
      <c r="C167" s="89"/>
      <c r="D167" s="69"/>
      <c r="E167" s="70"/>
      <c r="F167" s="71" t="s">
        <v>90</v>
      </c>
      <c r="G167" s="27" t="s">
        <v>361</v>
      </c>
      <c r="H167" s="80">
        <f>0.2*10*7.85*3.62*1.2*2</f>
        <v>136.40159999999997</v>
      </c>
      <c r="I167" s="60" t="s">
        <v>91</v>
      </c>
      <c r="J167" s="78">
        <v>28500</v>
      </c>
      <c r="K167" s="57"/>
      <c r="L167" s="42">
        <f t="shared" si="3"/>
        <v>3887445.5999999992</v>
      </c>
    </row>
    <row r="168" spans="2:12" x14ac:dyDescent="0.35">
      <c r="B168" s="70"/>
      <c r="C168" s="84"/>
      <c r="D168" s="69"/>
      <c r="E168" s="70"/>
      <c r="F168" s="71" t="s">
        <v>90</v>
      </c>
      <c r="G168" s="27" t="s">
        <v>362</v>
      </c>
      <c r="H168" s="80">
        <f>49.9*3.6*1.2</f>
        <v>215.56799999999998</v>
      </c>
      <c r="I168" s="60" t="s">
        <v>91</v>
      </c>
      <c r="J168" s="78">
        <v>28500</v>
      </c>
      <c r="K168" s="57"/>
      <c r="L168" s="42">
        <f t="shared" si="3"/>
        <v>6143687.9999999991</v>
      </c>
    </row>
    <row r="169" spans="2:12" x14ac:dyDescent="0.35">
      <c r="B169" s="70"/>
      <c r="C169" s="87"/>
      <c r="D169" s="62"/>
      <c r="E169" s="70"/>
      <c r="F169" s="71" t="s">
        <v>90</v>
      </c>
      <c r="G169" s="27" t="s">
        <v>363</v>
      </c>
      <c r="H169" s="80">
        <f>0.25*0.25*12*7.85*1.2</f>
        <v>7.0649999999999986</v>
      </c>
      <c r="I169" s="60" t="s">
        <v>91</v>
      </c>
      <c r="J169" s="78">
        <v>28500</v>
      </c>
      <c r="K169" s="57"/>
      <c r="L169" s="42">
        <f t="shared" si="3"/>
        <v>201352.49999999997</v>
      </c>
    </row>
    <row r="170" spans="2:12" x14ac:dyDescent="0.35">
      <c r="B170" s="70"/>
      <c r="C170" s="84"/>
      <c r="D170" s="69"/>
      <c r="E170" s="70"/>
      <c r="F170" s="71" t="s">
        <v>90</v>
      </c>
      <c r="G170" s="27" t="s">
        <v>364</v>
      </c>
      <c r="H170" s="80">
        <f>49.9*3.6*1.2</f>
        <v>215.56799999999998</v>
      </c>
      <c r="I170" s="60" t="s">
        <v>91</v>
      </c>
      <c r="J170" s="78">
        <v>28500</v>
      </c>
      <c r="K170" s="57"/>
      <c r="L170" s="42">
        <f t="shared" si="3"/>
        <v>6143687.9999999991</v>
      </c>
    </row>
    <row r="171" spans="2:12" x14ac:dyDescent="0.35">
      <c r="B171" s="70"/>
      <c r="C171" s="87"/>
      <c r="D171" s="62"/>
      <c r="E171" s="70"/>
      <c r="F171" s="71" t="s">
        <v>90</v>
      </c>
      <c r="G171" s="27" t="s">
        <v>365</v>
      </c>
      <c r="H171" s="80">
        <f>0.25*0.25*12*7.85*1.2</f>
        <v>7.0649999999999986</v>
      </c>
      <c r="I171" s="60" t="s">
        <v>91</v>
      </c>
      <c r="J171" s="78">
        <v>28500</v>
      </c>
      <c r="K171" s="57"/>
      <c r="L171" s="42">
        <f t="shared" si="3"/>
        <v>201352.49999999997</v>
      </c>
    </row>
    <row r="172" spans="2:12" x14ac:dyDescent="0.35">
      <c r="B172" s="70"/>
      <c r="C172" s="87"/>
      <c r="D172" s="62"/>
      <c r="E172" s="70"/>
      <c r="F172" s="71" t="s">
        <v>90</v>
      </c>
      <c r="G172" s="27" t="s">
        <v>366</v>
      </c>
      <c r="H172" s="80">
        <f>49.9*3.1*1.2</f>
        <v>185.62799999999999</v>
      </c>
      <c r="I172" s="60" t="s">
        <v>91</v>
      </c>
      <c r="J172" s="78">
        <v>28500</v>
      </c>
      <c r="K172" s="57"/>
      <c r="L172" s="42">
        <f t="shared" si="3"/>
        <v>5290398</v>
      </c>
    </row>
    <row r="173" spans="2:12" x14ac:dyDescent="0.35">
      <c r="B173" s="70"/>
      <c r="C173" s="87"/>
      <c r="D173" s="62"/>
      <c r="E173" s="70"/>
      <c r="F173" s="71" t="s">
        <v>90</v>
      </c>
      <c r="G173" s="27" t="s">
        <v>367</v>
      </c>
      <c r="H173" s="80">
        <f>0.3*0.3*12*7.85*1.2</f>
        <v>10.173599999999999</v>
      </c>
      <c r="I173" s="60" t="s">
        <v>91</v>
      </c>
      <c r="J173" s="78">
        <v>28500</v>
      </c>
      <c r="K173" s="57"/>
      <c r="L173" s="42">
        <f t="shared" si="3"/>
        <v>289947.59999999998</v>
      </c>
    </row>
    <row r="174" spans="2:12" x14ac:dyDescent="0.35">
      <c r="B174" s="70"/>
      <c r="C174" s="87"/>
      <c r="D174" s="62"/>
      <c r="E174" s="70"/>
      <c r="F174" s="71" t="s">
        <v>90</v>
      </c>
      <c r="G174" s="27" t="s">
        <v>368</v>
      </c>
      <c r="H174" s="80">
        <f>49.9*3.13*1.2</f>
        <v>187.42439999999996</v>
      </c>
      <c r="I174" s="60" t="s">
        <v>91</v>
      </c>
      <c r="J174" s="78">
        <v>28500</v>
      </c>
      <c r="K174" s="57"/>
      <c r="L174" s="42">
        <f t="shared" si="3"/>
        <v>5341595.3999999985</v>
      </c>
    </row>
    <row r="175" spans="2:12" x14ac:dyDescent="0.35">
      <c r="B175" s="70"/>
      <c r="C175" s="87"/>
      <c r="D175" s="62"/>
      <c r="E175" s="70"/>
      <c r="F175" s="71" t="s">
        <v>90</v>
      </c>
      <c r="G175" s="27" t="s">
        <v>369</v>
      </c>
      <c r="H175" s="80">
        <f>0.3*0.3*12*7.85*1.2</f>
        <v>10.173599999999999</v>
      </c>
      <c r="I175" s="60" t="s">
        <v>91</v>
      </c>
      <c r="J175" s="78">
        <v>28500</v>
      </c>
      <c r="K175" s="57"/>
      <c r="L175" s="42">
        <f t="shared" si="3"/>
        <v>289947.59999999998</v>
      </c>
    </row>
    <row r="176" spans="2:12" x14ac:dyDescent="0.35">
      <c r="B176" s="86"/>
      <c r="C176" s="89"/>
      <c r="D176" s="69"/>
      <c r="E176" s="70"/>
      <c r="F176" s="71" t="s">
        <v>90</v>
      </c>
      <c r="G176" s="27" t="s">
        <v>370</v>
      </c>
      <c r="H176" s="80">
        <f>0.2*10*7.85*2.71*1.2</f>
        <v>51.056399999999996</v>
      </c>
      <c r="I176" s="60" t="s">
        <v>91</v>
      </c>
      <c r="J176" s="78">
        <v>28500</v>
      </c>
      <c r="K176" s="57"/>
      <c r="L176" s="42">
        <f t="shared" si="3"/>
        <v>1455107.4</v>
      </c>
    </row>
    <row r="177" spans="2:12" x14ac:dyDescent="0.35">
      <c r="B177" s="86"/>
      <c r="C177" s="89"/>
      <c r="D177" s="69"/>
      <c r="E177" s="70"/>
      <c r="F177" s="71" t="s">
        <v>90</v>
      </c>
      <c r="G177" s="27" t="s">
        <v>371</v>
      </c>
      <c r="H177" s="80">
        <f>0.2*10*7.85*1.1*1.2*2</f>
        <v>41.448</v>
      </c>
      <c r="I177" s="60" t="s">
        <v>91</v>
      </c>
      <c r="J177" s="78">
        <v>28500</v>
      </c>
      <c r="K177" s="57"/>
      <c r="L177" s="42">
        <f t="shared" si="3"/>
        <v>1181268</v>
      </c>
    </row>
    <row r="178" spans="2:12" x14ac:dyDescent="0.35">
      <c r="B178" s="86"/>
      <c r="C178" s="89"/>
      <c r="D178" s="69"/>
      <c r="E178" s="70"/>
      <c r="F178" s="71" t="s">
        <v>90</v>
      </c>
      <c r="G178" s="27" t="s">
        <v>372</v>
      </c>
      <c r="H178" s="80">
        <f>0.2*10*7.85*1.12*1.2*2</f>
        <v>42.201599999999999</v>
      </c>
      <c r="I178" s="60" t="s">
        <v>91</v>
      </c>
      <c r="J178" s="78">
        <v>28500</v>
      </c>
      <c r="K178" s="57"/>
      <c r="L178" s="42">
        <f t="shared" si="3"/>
        <v>1202745.5999999999</v>
      </c>
    </row>
    <row r="179" spans="2:12" x14ac:dyDescent="0.35">
      <c r="B179" s="70"/>
      <c r="C179" s="84"/>
      <c r="D179" s="69"/>
      <c r="E179" s="70"/>
      <c r="F179" s="71" t="s">
        <v>90</v>
      </c>
      <c r="G179" s="27" t="s">
        <v>373</v>
      </c>
      <c r="H179" s="80">
        <f>49.9*1.03*1.2</f>
        <v>61.676399999999994</v>
      </c>
      <c r="I179" s="60" t="s">
        <v>91</v>
      </c>
      <c r="J179" s="78">
        <v>28500</v>
      </c>
      <c r="K179" s="57"/>
      <c r="L179" s="42">
        <f t="shared" si="3"/>
        <v>1757777.4</v>
      </c>
    </row>
    <row r="180" spans="2:12" x14ac:dyDescent="0.35">
      <c r="B180" s="70"/>
      <c r="C180" s="87"/>
      <c r="D180" s="62"/>
      <c r="E180" s="70"/>
      <c r="F180" s="71" t="s">
        <v>90</v>
      </c>
      <c r="G180" s="27" t="s">
        <v>374</v>
      </c>
      <c r="H180" s="80">
        <f>0.25*0.25*12*7.85*1.2</f>
        <v>7.0649999999999986</v>
      </c>
      <c r="I180" s="60" t="s">
        <v>91</v>
      </c>
      <c r="J180" s="78">
        <v>28500</v>
      </c>
      <c r="K180" s="57"/>
      <c r="L180" s="42">
        <f t="shared" si="3"/>
        <v>201352.49999999997</v>
      </c>
    </row>
    <row r="181" spans="2:12" x14ac:dyDescent="0.35">
      <c r="B181" s="70"/>
      <c r="C181" s="87"/>
      <c r="D181" s="62"/>
      <c r="E181" s="70"/>
      <c r="F181" s="71" t="s">
        <v>90</v>
      </c>
      <c r="G181" s="27" t="s">
        <v>375</v>
      </c>
      <c r="H181" s="80">
        <f>49.9*3.11*1.2</f>
        <v>186.2268</v>
      </c>
      <c r="I181" s="60" t="s">
        <v>91</v>
      </c>
      <c r="J181" s="78">
        <v>28500</v>
      </c>
      <c r="K181" s="57"/>
      <c r="L181" s="42">
        <f t="shared" si="3"/>
        <v>5307463.8</v>
      </c>
    </row>
    <row r="182" spans="2:12" x14ac:dyDescent="0.35">
      <c r="B182" s="70"/>
      <c r="C182" s="87"/>
      <c r="D182" s="62"/>
      <c r="E182" s="70"/>
      <c r="F182" s="71" t="s">
        <v>90</v>
      </c>
      <c r="G182" s="27" t="s">
        <v>376</v>
      </c>
      <c r="H182" s="80">
        <f>0.3*0.3*12*7.85*1.2</f>
        <v>10.173599999999999</v>
      </c>
      <c r="I182" s="60" t="s">
        <v>91</v>
      </c>
      <c r="J182" s="78">
        <v>28500</v>
      </c>
      <c r="K182" s="57"/>
      <c r="L182" s="42">
        <f t="shared" si="3"/>
        <v>289947.59999999998</v>
      </c>
    </row>
    <row r="183" spans="2:12" x14ac:dyDescent="0.35">
      <c r="B183" s="86"/>
      <c r="C183" s="89"/>
      <c r="D183" s="69"/>
      <c r="E183" s="70"/>
      <c r="F183" s="71" t="s">
        <v>90</v>
      </c>
      <c r="G183" s="27" t="s">
        <v>377</v>
      </c>
      <c r="H183" s="80">
        <f>0.2*10*7.85*3.65*1.2</f>
        <v>68.765999999999991</v>
      </c>
      <c r="I183" s="60" t="s">
        <v>91</v>
      </c>
      <c r="J183" s="78">
        <v>28500</v>
      </c>
      <c r="K183" s="57"/>
      <c r="L183" s="42">
        <f t="shared" si="3"/>
        <v>1959830.9999999998</v>
      </c>
    </row>
    <row r="184" spans="2:12" x14ac:dyDescent="0.35">
      <c r="B184" s="70"/>
      <c r="C184" s="84"/>
      <c r="D184" s="69"/>
      <c r="E184" s="70"/>
      <c r="F184" s="71" t="s">
        <v>90</v>
      </c>
      <c r="G184" s="27" t="s">
        <v>378</v>
      </c>
      <c r="H184" s="80">
        <f>49.9*0.98*1.2</f>
        <v>58.682400000000001</v>
      </c>
      <c r="I184" s="60" t="s">
        <v>91</v>
      </c>
      <c r="J184" s="78">
        <v>28500</v>
      </c>
      <c r="K184" s="57"/>
      <c r="L184" s="42">
        <f t="shared" si="3"/>
        <v>1672448.4000000001</v>
      </c>
    </row>
    <row r="185" spans="2:12" x14ac:dyDescent="0.35">
      <c r="B185" s="70"/>
      <c r="C185" s="87"/>
      <c r="D185" s="62"/>
      <c r="E185" s="70"/>
      <c r="F185" s="71" t="s">
        <v>90</v>
      </c>
      <c r="G185" s="27" t="s">
        <v>379</v>
      </c>
      <c r="H185" s="80">
        <f>0.25*0.25*12*7.85*1.2</f>
        <v>7.0649999999999986</v>
      </c>
      <c r="I185" s="60" t="s">
        <v>91</v>
      </c>
      <c r="J185" s="78">
        <v>28500</v>
      </c>
      <c r="K185" s="57"/>
      <c r="L185" s="42">
        <f t="shared" si="3"/>
        <v>201352.49999999997</v>
      </c>
    </row>
    <row r="186" spans="2:12" x14ac:dyDescent="0.35">
      <c r="B186" s="70"/>
      <c r="C186" s="87"/>
      <c r="D186" s="62"/>
      <c r="E186" s="70"/>
      <c r="F186" s="71" t="s">
        <v>90</v>
      </c>
      <c r="G186" s="27" t="s">
        <v>380</v>
      </c>
      <c r="H186" s="80">
        <f>0.3*0.3*12*7.85*1.2</f>
        <v>10.173599999999999</v>
      </c>
      <c r="I186" s="60" t="s">
        <v>91</v>
      </c>
      <c r="J186" s="78">
        <v>28500</v>
      </c>
      <c r="K186" s="57"/>
      <c r="L186" s="42">
        <f t="shared" si="3"/>
        <v>289947.59999999998</v>
      </c>
    </row>
    <row r="187" spans="2:12" x14ac:dyDescent="0.35">
      <c r="B187" s="86"/>
      <c r="C187" s="89"/>
      <c r="D187" s="69"/>
      <c r="E187" s="70"/>
      <c r="F187" s="71" t="s">
        <v>90</v>
      </c>
      <c r="G187" s="27" t="s">
        <v>381</v>
      </c>
      <c r="H187" s="80">
        <f>0.2*10*7.85*0.36*1.2*4</f>
        <v>27.129599999999996</v>
      </c>
      <c r="I187" s="60" t="s">
        <v>91</v>
      </c>
      <c r="J187" s="78">
        <v>28500</v>
      </c>
      <c r="K187" s="57"/>
      <c r="L187" s="42">
        <f t="shared" si="3"/>
        <v>773193.59999999986</v>
      </c>
    </row>
    <row r="188" spans="2:12" x14ac:dyDescent="0.35">
      <c r="B188" s="86"/>
      <c r="C188" s="89"/>
      <c r="D188" s="69"/>
      <c r="E188" s="70"/>
      <c r="F188" s="71" t="s">
        <v>90</v>
      </c>
      <c r="G188" s="27" t="s">
        <v>382</v>
      </c>
      <c r="H188" s="80">
        <f>0.2*10*7.85*3.63*1.2</f>
        <v>68.389199999999988</v>
      </c>
      <c r="I188" s="60" t="s">
        <v>91</v>
      </c>
      <c r="J188" s="78">
        <v>28500</v>
      </c>
      <c r="K188" s="57"/>
      <c r="L188" s="42">
        <f t="shared" si="3"/>
        <v>1949092.1999999997</v>
      </c>
    </row>
    <row r="189" spans="2:12" x14ac:dyDescent="0.35">
      <c r="B189" s="70"/>
      <c r="C189" s="84"/>
      <c r="D189" s="69"/>
      <c r="E189" s="70"/>
      <c r="F189" s="71" t="s">
        <v>90</v>
      </c>
      <c r="G189" s="27" t="s">
        <v>226</v>
      </c>
      <c r="H189" s="80">
        <f>49.9*3.6*1.2</f>
        <v>215.56799999999998</v>
      </c>
      <c r="I189" s="60" t="s">
        <v>91</v>
      </c>
      <c r="J189" s="78">
        <v>28500</v>
      </c>
      <c r="K189" s="57"/>
      <c r="L189" s="42">
        <f t="shared" si="3"/>
        <v>6143687.9999999991</v>
      </c>
    </row>
    <row r="190" spans="2:12" x14ac:dyDescent="0.35">
      <c r="B190" s="70"/>
      <c r="C190" s="87"/>
      <c r="D190" s="62"/>
      <c r="E190" s="70"/>
      <c r="F190" s="71" t="s">
        <v>90</v>
      </c>
      <c r="G190" s="27" t="s">
        <v>383</v>
      </c>
      <c r="H190" s="80">
        <f>0.25*0.25*12*7.85*1.2</f>
        <v>7.0649999999999986</v>
      </c>
      <c r="I190" s="60" t="s">
        <v>91</v>
      </c>
      <c r="J190" s="78">
        <v>28500</v>
      </c>
      <c r="K190" s="57"/>
      <c r="L190" s="42">
        <f t="shared" si="3"/>
        <v>201352.49999999997</v>
      </c>
    </row>
    <row r="191" spans="2:12" x14ac:dyDescent="0.35">
      <c r="B191" s="70"/>
      <c r="C191" s="87"/>
      <c r="D191" s="62"/>
      <c r="E191" s="70"/>
      <c r="F191" s="71" t="s">
        <v>90</v>
      </c>
      <c r="G191" s="27" t="s">
        <v>384</v>
      </c>
      <c r="H191" s="80">
        <f>49.9*3.12*1.2</f>
        <v>186.82559999999998</v>
      </c>
      <c r="I191" s="60" t="s">
        <v>91</v>
      </c>
      <c r="J191" s="78">
        <v>28500</v>
      </c>
      <c r="K191" s="57"/>
      <c r="L191" s="42">
        <f t="shared" si="3"/>
        <v>5324529.5999999996</v>
      </c>
    </row>
    <row r="192" spans="2:12" x14ac:dyDescent="0.35">
      <c r="B192" s="70"/>
      <c r="C192" s="87"/>
      <c r="D192" s="62"/>
      <c r="E192" s="70"/>
      <c r="F192" s="71" t="s">
        <v>90</v>
      </c>
      <c r="G192" s="27" t="s">
        <v>385</v>
      </c>
      <c r="H192" s="80">
        <f>0.3*0.3*12*7.85*1.2</f>
        <v>10.173599999999999</v>
      </c>
      <c r="I192" s="60" t="s">
        <v>91</v>
      </c>
      <c r="J192" s="78">
        <v>28500</v>
      </c>
      <c r="K192" s="55"/>
      <c r="L192" s="42">
        <f t="shared" si="3"/>
        <v>289947.59999999998</v>
      </c>
    </row>
    <row r="193" spans="2:12" x14ac:dyDescent="0.35">
      <c r="B193" s="86"/>
      <c r="C193" s="89"/>
      <c r="D193" s="69"/>
      <c r="E193" s="70"/>
      <c r="F193" s="71" t="s">
        <v>90</v>
      </c>
      <c r="G193" s="27" t="s">
        <v>386</v>
      </c>
      <c r="H193" s="80">
        <f>0.2*10*7.85*3.65*1.2</f>
        <v>68.765999999999991</v>
      </c>
      <c r="I193" s="60" t="s">
        <v>91</v>
      </c>
      <c r="J193" s="78">
        <v>28500</v>
      </c>
      <c r="K193" s="57"/>
      <c r="L193" s="42">
        <f t="shared" si="3"/>
        <v>1959830.9999999998</v>
      </c>
    </row>
    <row r="194" spans="2:12" x14ac:dyDescent="0.35">
      <c r="B194" s="86"/>
      <c r="C194" s="89"/>
      <c r="D194" s="69"/>
      <c r="E194" s="70"/>
      <c r="F194" s="71" t="s">
        <v>90</v>
      </c>
      <c r="G194" s="27" t="s">
        <v>387</v>
      </c>
      <c r="H194" s="80">
        <f>0.2*10*7.85*0.72*1.2*4</f>
        <v>54.259199999999993</v>
      </c>
      <c r="I194" s="60" t="s">
        <v>91</v>
      </c>
      <c r="J194" s="78">
        <v>28500</v>
      </c>
      <c r="K194" s="57"/>
      <c r="L194" s="42">
        <f t="shared" si="3"/>
        <v>1546387.1999999997</v>
      </c>
    </row>
    <row r="195" spans="2:12" x14ac:dyDescent="0.35">
      <c r="B195" s="70"/>
      <c r="C195" s="84"/>
      <c r="D195" s="69"/>
      <c r="E195" s="70"/>
      <c r="F195" s="71" t="s">
        <v>90</v>
      </c>
      <c r="G195" s="27" t="s">
        <v>213</v>
      </c>
      <c r="H195" s="80">
        <f>49.9*3.6*1.2</f>
        <v>215.56799999999998</v>
      </c>
      <c r="I195" s="60" t="s">
        <v>91</v>
      </c>
      <c r="J195" s="78">
        <v>28500</v>
      </c>
      <c r="K195" s="57"/>
      <c r="L195" s="42">
        <f t="shared" si="3"/>
        <v>6143687.9999999991</v>
      </c>
    </row>
    <row r="196" spans="2:12" x14ac:dyDescent="0.35">
      <c r="B196" s="70"/>
      <c r="C196" s="87"/>
      <c r="D196" s="62"/>
      <c r="E196" s="70"/>
      <c r="F196" s="71" t="s">
        <v>90</v>
      </c>
      <c r="G196" s="27" t="s">
        <v>388</v>
      </c>
      <c r="H196" s="80">
        <f>0.25*0.25*12*7.85*1.2</f>
        <v>7.0649999999999986</v>
      </c>
      <c r="I196" s="60" t="s">
        <v>91</v>
      </c>
      <c r="J196" s="78">
        <v>28500</v>
      </c>
      <c r="K196" s="57"/>
      <c r="L196" s="42">
        <f t="shared" si="3"/>
        <v>201352.49999999997</v>
      </c>
    </row>
    <row r="197" spans="2:12" x14ac:dyDescent="0.35">
      <c r="B197" s="70"/>
      <c r="C197" s="87"/>
      <c r="D197" s="62"/>
      <c r="E197" s="70"/>
      <c r="F197" s="71" t="s">
        <v>90</v>
      </c>
      <c r="G197" s="27" t="s">
        <v>389</v>
      </c>
      <c r="H197" s="80">
        <f>49.9*3.13*1.2</f>
        <v>187.42439999999996</v>
      </c>
      <c r="I197" s="60" t="s">
        <v>91</v>
      </c>
      <c r="J197" s="78">
        <v>28500</v>
      </c>
      <c r="K197" s="57"/>
      <c r="L197" s="42">
        <f t="shared" si="3"/>
        <v>5341595.3999999985</v>
      </c>
    </row>
    <row r="198" spans="2:12" x14ac:dyDescent="0.35">
      <c r="B198" s="70"/>
      <c r="C198" s="87"/>
      <c r="D198" s="62"/>
      <c r="E198" s="70"/>
      <c r="F198" s="71" t="s">
        <v>90</v>
      </c>
      <c r="G198" s="27" t="s">
        <v>390</v>
      </c>
      <c r="H198" s="80">
        <f>0.3*0.3*12*7.85*1.2</f>
        <v>10.173599999999999</v>
      </c>
      <c r="I198" s="60" t="s">
        <v>91</v>
      </c>
      <c r="J198" s="78">
        <v>28500</v>
      </c>
      <c r="K198" s="92"/>
      <c r="L198" s="42">
        <f t="shared" si="3"/>
        <v>289947.59999999998</v>
      </c>
    </row>
    <row r="199" spans="2:12" x14ac:dyDescent="0.35">
      <c r="B199" s="86"/>
      <c r="C199" s="89"/>
      <c r="D199" s="69"/>
      <c r="E199" s="70"/>
      <c r="F199" s="71" t="s">
        <v>90</v>
      </c>
      <c r="G199" s="27" t="s">
        <v>391</v>
      </c>
      <c r="H199" s="80">
        <f>0.2*10*7.85*3.64*1.2</f>
        <v>68.57759999999999</v>
      </c>
      <c r="I199" s="60" t="s">
        <v>91</v>
      </c>
      <c r="J199" s="78">
        <v>28500</v>
      </c>
      <c r="K199" s="57"/>
      <c r="L199" s="42">
        <f t="shared" si="3"/>
        <v>1954461.5999999996</v>
      </c>
    </row>
    <row r="200" spans="2:12" x14ac:dyDescent="0.35">
      <c r="B200" s="86"/>
      <c r="C200" s="89"/>
      <c r="D200" s="69"/>
      <c r="E200" s="70"/>
      <c r="F200" s="71" t="s">
        <v>90</v>
      </c>
      <c r="G200" s="27" t="s">
        <v>392</v>
      </c>
      <c r="H200" s="80">
        <f>0.2*10*7.85*0.73*1.2</f>
        <v>13.753199999999998</v>
      </c>
      <c r="I200" s="60" t="s">
        <v>91</v>
      </c>
      <c r="J200" s="78">
        <v>28500</v>
      </c>
      <c r="K200" s="57"/>
      <c r="L200" s="42">
        <f t="shared" si="3"/>
        <v>391966.19999999995</v>
      </c>
    </row>
    <row r="201" spans="2:12" x14ac:dyDescent="0.35">
      <c r="B201" s="86"/>
      <c r="C201" s="89"/>
      <c r="D201" s="69"/>
      <c r="E201" s="70"/>
      <c r="F201" s="71" t="s">
        <v>90</v>
      </c>
      <c r="G201" s="27" t="s">
        <v>393</v>
      </c>
      <c r="H201" s="80">
        <f>0.2*10*7.85*0.71*1.2</f>
        <v>13.376399999999999</v>
      </c>
      <c r="I201" s="60" t="s">
        <v>91</v>
      </c>
      <c r="J201" s="78">
        <v>28500</v>
      </c>
      <c r="K201" s="57"/>
      <c r="L201" s="42">
        <f t="shared" si="3"/>
        <v>381227.39999999997</v>
      </c>
    </row>
    <row r="202" spans="2:12" x14ac:dyDescent="0.35">
      <c r="B202" s="86"/>
      <c r="C202" s="89"/>
      <c r="D202" s="69"/>
      <c r="E202" s="70"/>
      <c r="F202" s="71" t="s">
        <v>90</v>
      </c>
      <c r="G202" s="27" t="s">
        <v>394</v>
      </c>
      <c r="H202" s="80">
        <f>0.2*10*7.85*0.72*1.2*2</f>
        <v>27.129599999999996</v>
      </c>
      <c r="I202" s="60" t="s">
        <v>91</v>
      </c>
      <c r="J202" s="78">
        <v>28500</v>
      </c>
      <c r="K202" s="57"/>
      <c r="L202" s="42">
        <f t="shared" si="3"/>
        <v>773193.59999999986</v>
      </c>
    </row>
    <row r="203" spans="2:12" x14ac:dyDescent="0.35">
      <c r="B203" s="70"/>
      <c r="C203" s="84"/>
      <c r="D203" s="69"/>
      <c r="E203" s="70"/>
      <c r="F203" s="71" t="s">
        <v>90</v>
      </c>
      <c r="G203" s="27" t="s">
        <v>214</v>
      </c>
      <c r="H203" s="80">
        <f>49.9*3.6*1.2</f>
        <v>215.56799999999998</v>
      </c>
      <c r="I203" s="60" t="s">
        <v>91</v>
      </c>
      <c r="J203" s="78">
        <v>28500</v>
      </c>
      <c r="K203" s="57"/>
      <c r="L203" s="42">
        <f t="shared" si="3"/>
        <v>6143687.9999999991</v>
      </c>
    </row>
    <row r="204" spans="2:12" x14ac:dyDescent="0.35">
      <c r="B204" s="70"/>
      <c r="C204" s="87"/>
      <c r="D204" s="62"/>
      <c r="E204" s="70"/>
      <c r="F204" s="71" t="s">
        <v>90</v>
      </c>
      <c r="G204" s="27" t="s">
        <v>395</v>
      </c>
      <c r="H204" s="80">
        <f>0.25*0.25*12*7.85*1.2</f>
        <v>7.0649999999999986</v>
      </c>
      <c r="I204" s="60" t="s">
        <v>91</v>
      </c>
      <c r="J204" s="78">
        <v>28500</v>
      </c>
      <c r="K204" s="26"/>
      <c r="L204" s="42">
        <f t="shared" si="3"/>
        <v>201352.49999999997</v>
      </c>
    </row>
    <row r="205" spans="2:12" x14ac:dyDescent="0.35">
      <c r="B205" s="43"/>
      <c r="C205" s="44"/>
      <c r="D205" s="21"/>
      <c r="G205" s="20"/>
      <c r="I205" s="20"/>
      <c r="J205" s="46"/>
      <c r="K205" s="26"/>
      <c r="L205" s="48"/>
    </row>
    <row r="206" spans="2:12" x14ac:dyDescent="0.35">
      <c r="B206" s="43"/>
      <c r="C206" s="44"/>
      <c r="D206" s="21"/>
      <c r="G206" s="20"/>
      <c r="I206" s="20"/>
      <c r="J206" s="46"/>
      <c r="K206" s="26"/>
      <c r="L206" s="48"/>
    </row>
    <row r="207" spans="2:12" x14ac:dyDescent="0.35">
      <c r="B207" s="8"/>
      <c r="C207" s="9"/>
      <c r="D207" s="10"/>
      <c r="E207" s="4"/>
      <c r="F207" s="4"/>
      <c r="G207" s="4"/>
      <c r="H207" s="1"/>
      <c r="I207" s="1"/>
      <c r="J207" s="11" t="s">
        <v>8</v>
      </c>
      <c r="K207" s="7">
        <f>SUM(K154:K206)</f>
        <v>0</v>
      </c>
      <c r="L207" s="7">
        <f>SUM(L154:L206)</f>
        <v>102450426.29999997</v>
      </c>
    </row>
    <row r="208" spans="2:12" x14ac:dyDescent="0.35">
      <c r="B208" s="8"/>
      <c r="C208" s="9"/>
      <c r="D208" s="9"/>
      <c r="E208" s="4"/>
      <c r="F208" s="4"/>
      <c r="G208" s="4"/>
      <c r="H208" s="1"/>
      <c r="I208" s="1"/>
      <c r="J208" s="11"/>
      <c r="K208" s="32" t="s">
        <v>13</v>
      </c>
      <c r="L208" s="33" t="s">
        <v>14</v>
      </c>
    </row>
    <row r="209" spans="2:12" x14ac:dyDescent="0.35">
      <c r="B209" s="3" t="s">
        <v>9</v>
      </c>
      <c r="C209" s="4"/>
      <c r="D209" s="4"/>
      <c r="E209" s="4"/>
      <c r="F209" s="4"/>
      <c r="G209" s="4"/>
      <c r="H209" s="1"/>
      <c r="I209" s="1"/>
      <c r="J209" s="12"/>
      <c r="K209" s="12"/>
      <c r="L209" s="13"/>
    </row>
    <row r="210" spans="2:12" x14ac:dyDescent="0.35">
      <c r="B210" s="34"/>
      <c r="C210" s="1"/>
      <c r="D210" s="1"/>
      <c r="E210" s="35"/>
      <c r="F210" s="35"/>
      <c r="G210" s="35"/>
      <c r="H210" s="1"/>
      <c r="I210" s="1"/>
      <c r="J210" s="1"/>
      <c r="K210" s="1"/>
      <c r="L210" s="17"/>
    </row>
    <row r="211" spans="2:12" x14ac:dyDescent="0.35">
      <c r="B211" s="25" t="s">
        <v>6</v>
      </c>
      <c r="C211" s="24"/>
      <c r="D211" s="24"/>
      <c r="E211" s="23"/>
      <c r="F211" s="23"/>
      <c r="G211" s="5"/>
      <c r="K211" s="227" t="s">
        <v>1292</v>
      </c>
      <c r="L211" s="228"/>
    </row>
    <row r="212" spans="2:12" x14ac:dyDescent="0.35">
      <c r="B212" s="25">
        <v>1</v>
      </c>
      <c r="C212" s="24"/>
      <c r="D212" s="24"/>
      <c r="E212" s="23" t="s">
        <v>7</v>
      </c>
      <c r="F212" s="23"/>
      <c r="G212" s="5"/>
      <c r="K212" s="227" t="s">
        <v>18</v>
      </c>
      <c r="L212" s="228"/>
    </row>
    <row r="213" spans="2:12" x14ac:dyDescent="0.35">
      <c r="B213" s="36"/>
      <c r="C213" s="24"/>
      <c r="D213" s="24"/>
      <c r="E213" s="23"/>
      <c r="F213" s="23"/>
      <c r="G213" s="5"/>
      <c r="J213" s="22"/>
      <c r="K213" s="22"/>
      <c r="L213" s="21"/>
    </row>
    <row r="214" spans="2:12" x14ac:dyDescent="0.35">
      <c r="B214" s="25"/>
      <c r="C214" s="24"/>
      <c r="D214" s="24"/>
      <c r="E214" s="23"/>
      <c r="F214" s="23"/>
      <c r="G214" s="5"/>
      <c r="L214" s="20"/>
    </row>
    <row r="215" spans="2:12" x14ac:dyDescent="0.35">
      <c r="B215" s="41"/>
      <c r="E215" s="5"/>
      <c r="F215" s="5"/>
      <c r="G215" s="5"/>
      <c r="L215" s="20"/>
    </row>
    <row r="216" spans="2:12" x14ac:dyDescent="0.35">
      <c r="B216" s="41"/>
      <c r="E216" s="5"/>
      <c r="F216" s="5"/>
      <c r="G216" s="5"/>
      <c r="L216" s="20"/>
    </row>
    <row r="217" spans="2:12" x14ac:dyDescent="0.35">
      <c r="B217" s="41"/>
      <c r="E217" s="5"/>
      <c r="F217" s="5"/>
      <c r="G217" s="5"/>
      <c r="L217" s="20"/>
    </row>
    <row r="218" spans="2:12" x14ac:dyDescent="0.35">
      <c r="B218" s="41"/>
      <c r="E218" s="5"/>
      <c r="F218" s="5"/>
      <c r="G218" s="5"/>
      <c r="J218" s="37"/>
      <c r="K218" s="229" t="s">
        <v>26</v>
      </c>
      <c r="L218" s="230"/>
    </row>
    <row r="219" spans="2:12" x14ac:dyDescent="0.35">
      <c r="B219" s="41"/>
      <c r="K219" s="231" t="s">
        <v>27</v>
      </c>
      <c r="L219" s="232"/>
    </row>
    <row r="220" spans="2:12" x14ac:dyDescent="0.35">
      <c r="B220" s="233"/>
      <c r="C220" s="234"/>
      <c r="D220" s="234"/>
      <c r="E220" s="38"/>
      <c r="F220" s="38"/>
      <c r="G220" s="38"/>
      <c r="H220" s="2"/>
      <c r="I220" s="2"/>
      <c r="J220" s="2"/>
      <c r="K220" s="2"/>
      <c r="L220" s="19"/>
    </row>
    <row r="221" spans="2:12" x14ac:dyDescent="0.35">
      <c r="B221" s="43"/>
      <c r="C221" s="44"/>
      <c r="D221" s="45"/>
      <c r="G221" s="20"/>
      <c r="H221" s="1"/>
      <c r="I221" s="1"/>
      <c r="J221" s="39"/>
      <c r="K221" s="27"/>
      <c r="L221" s="40"/>
    </row>
    <row r="222" spans="2:12" x14ac:dyDescent="0.35">
      <c r="B222" s="70"/>
      <c r="C222" s="87"/>
      <c r="D222" s="62"/>
      <c r="E222" s="70"/>
      <c r="F222" s="71" t="s">
        <v>90</v>
      </c>
      <c r="G222" s="27" t="s">
        <v>396</v>
      </c>
      <c r="H222" s="80">
        <f>49.9*3.12*1.2</f>
        <v>186.82559999999998</v>
      </c>
      <c r="I222" s="60" t="s">
        <v>91</v>
      </c>
      <c r="J222" s="78">
        <v>28500</v>
      </c>
      <c r="K222" s="78"/>
      <c r="L222" s="42">
        <f t="shared" ref="L222:L247" si="4">J222*H222</f>
        <v>5324529.5999999996</v>
      </c>
    </row>
    <row r="223" spans="2:12" x14ac:dyDescent="0.35">
      <c r="B223" s="70"/>
      <c r="C223" s="87"/>
      <c r="D223" s="62"/>
      <c r="E223" s="70"/>
      <c r="F223" s="71" t="s">
        <v>90</v>
      </c>
      <c r="G223" s="27" t="s">
        <v>397</v>
      </c>
      <c r="H223" s="80">
        <f>0.3*0.3*12*7.85*1.2</f>
        <v>10.173599999999999</v>
      </c>
      <c r="I223" s="60" t="s">
        <v>91</v>
      </c>
      <c r="J223" s="78">
        <v>28500</v>
      </c>
      <c r="K223" s="57"/>
      <c r="L223" s="42">
        <f t="shared" si="4"/>
        <v>289947.59999999998</v>
      </c>
    </row>
    <row r="224" spans="2:12" x14ac:dyDescent="0.35">
      <c r="B224" s="86"/>
      <c r="C224" s="89"/>
      <c r="D224" s="69"/>
      <c r="E224" s="70"/>
      <c r="F224" s="71" t="s">
        <v>90</v>
      </c>
      <c r="G224" s="27" t="s">
        <v>398</v>
      </c>
      <c r="H224" s="80">
        <f>0.2*10*7.85*3.62*1.2</f>
        <v>68.200799999999987</v>
      </c>
      <c r="I224" s="60" t="s">
        <v>91</v>
      </c>
      <c r="J224" s="78">
        <v>28500</v>
      </c>
      <c r="K224" s="57"/>
      <c r="L224" s="42">
        <f t="shared" si="4"/>
        <v>1943722.7999999996</v>
      </c>
    </row>
    <row r="225" spans="2:12" x14ac:dyDescent="0.35">
      <c r="B225" s="86"/>
      <c r="C225" s="89"/>
      <c r="D225" s="69"/>
      <c r="E225" s="70"/>
      <c r="F225" s="71" t="s">
        <v>90</v>
      </c>
      <c r="G225" s="27" t="s">
        <v>399</v>
      </c>
      <c r="H225" s="80">
        <f>0.2*10*7.85*3.61*1.2</f>
        <v>68.012399999999985</v>
      </c>
      <c r="I225" s="60" t="s">
        <v>91</v>
      </c>
      <c r="J225" s="78">
        <v>28500</v>
      </c>
      <c r="K225" s="57"/>
      <c r="L225" s="42">
        <f t="shared" si="4"/>
        <v>1938353.3999999997</v>
      </c>
    </row>
    <row r="226" spans="2:12" x14ac:dyDescent="0.35">
      <c r="B226" s="86"/>
      <c r="C226" s="89"/>
      <c r="D226" s="69"/>
      <c r="E226" s="70"/>
      <c r="F226" s="71" t="s">
        <v>90</v>
      </c>
      <c r="G226" s="27" t="s">
        <v>400</v>
      </c>
      <c r="H226" s="80">
        <f>0.2*10*7.85*3.6*1.2*3</f>
        <v>203.47199999999998</v>
      </c>
      <c r="I226" s="60" t="s">
        <v>91</v>
      </c>
      <c r="J226" s="78">
        <v>28500</v>
      </c>
      <c r="K226" s="57"/>
      <c r="L226" s="42">
        <f t="shared" si="4"/>
        <v>5798951.9999999991</v>
      </c>
    </row>
    <row r="227" spans="2:12" x14ac:dyDescent="0.35">
      <c r="B227" s="70"/>
      <c r="C227" s="84"/>
      <c r="D227" s="69"/>
      <c r="E227" s="70"/>
      <c r="F227" s="71" t="s">
        <v>90</v>
      </c>
      <c r="G227" s="27" t="s">
        <v>401</v>
      </c>
      <c r="H227" s="80">
        <f>49.9*3.55*1.2</f>
        <v>212.57399999999998</v>
      </c>
      <c r="I227" s="60" t="s">
        <v>91</v>
      </c>
      <c r="J227" s="78">
        <v>28500</v>
      </c>
      <c r="K227" s="83"/>
      <c r="L227" s="42">
        <f t="shared" si="4"/>
        <v>6058359</v>
      </c>
    </row>
    <row r="228" spans="2:12" x14ac:dyDescent="0.35">
      <c r="B228" s="70"/>
      <c r="C228" s="87"/>
      <c r="D228" s="62"/>
      <c r="E228" s="70"/>
      <c r="F228" s="71" t="s">
        <v>90</v>
      </c>
      <c r="G228" s="27" t="s">
        <v>402</v>
      </c>
      <c r="H228" s="80">
        <f>0.25*0.25*12*7.85*1.2</f>
        <v>7.0649999999999986</v>
      </c>
      <c r="I228" s="60" t="s">
        <v>91</v>
      </c>
      <c r="J228" s="78">
        <v>28500</v>
      </c>
      <c r="K228" s="57"/>
      <c r="L228" s="42">
        <f t="shared" si="4"/>
        <v>201352.49999999997</v>
      </c>
    </row>
    <row r="229" spans="2:12" x14ac:dyDescent="0.35">
      <c r="B229" s="70"/>
      <c r="C229" s="87"/>
      <c r="D229" s="62"/>
      <c r="E229" s="70"/>
      <c r="F229" s="71" t="s">
        <v>90</v>
      </c>
      <c r="G229" s="27" t="s">
        <v>403</v>
      </c>
      <c r="H229" s="80">
        <f>49.9*3.04*1.2</f>
        <v>182.0352</v>
      </c>
      <c r="I229" s="60" t="s">
        <v>91</v>
      </c>
      <c r="J229" s="78">
        <v>28500</v>
      </c>
      <c r="K229" s="57"/>
      <c r="L229" s="42">
        <f t="shared" si="4"/>
        <v>5188003.2</v>
      </c>
    </row>
    <row r="230" spans="2:12" x14ac:dyDescent="0.35">
      <c r="B230" s="70"/>
      <c r="C230" s="87"/>
      <c r="D230" s="62"/>
      <c r="E230" s="70"/>
      <c r="F230" s="71" t="s">
        <v>90</v>
      </c>
      <c r="G230" s="27" t="s">
        <v>404</v>
      </c>
      <c r="H230" s="80">
        <f>0.3*0.3*12*7.85*1.2</f>
        <v>10.173599999999999</v>
      </c>
      <c r="I230" s="60" t="s">
        <v>91</v>
      </c>
      <c r="J230" s="78">
        <v>28500</v>
      </c>
      <c r="K230" s="57"/>
      <c r="L230" s="42">
        <f t="shared" si="4"/>
        <v>289947.59999999998</v>
      </c>
    </row>
    <row r="231" spans="2:12" s="31" customFormat="1" x14ac:dyDescent="0.35">
      <c r="B231" s="86"/>
      <c r="C231" s="89"/>
      <c r="D231" s="69"/>
      <c r="E231" s="70"/>
      <c r="F231" s="71" t="s">
        <v>90</v>
      </c>
      <c r="G231" s="27" t="s">
        <v>405</v>
      </c>
      <c r="H231" s="80">
        <f>0.2*10*7.85*3.64*1.2*5</f>
        <v>342.88799999999992</v>
      </c>
      <c r="I231" s="60" t="s">
        <v>91</v>
      </c>
      <c r="J231" s="78">
        <v>28500</v>
      </c>
      <c r="K231" s="57"/>
      <c r="L231" s="42">
        <f t="shared" si="4"/>
        <v>9772307.9999999981</v>
      </c>
    </row>
    <row r="232" spans="2:12" s="31" customFormat="1" x14ac:dyDescent="0.35">
      <c r="B232" s="70"/>
      <c r="C232" s="84"/>
      <c r="D232" s="69"/>
      <c r="E232" s="70"/>
      <c r="F232" s="71" t="s">
        <v>90</v>
      </c>
      <c r="G232" s="27" t="s">
        <v>406</v>
      </c>
      <c r="H232" s="80">
        <f>49.9*3.56*1.2</f>
        <v>213.1728</v>
      </c>
      <c r="I232" s="60" t="s">
        <v>91</v>
      </c>
      <c r="J232" s="78">
        <v>28500</v>
      </c>
      <c r="K232" s="57"/>
      <c r="L232" s="42">
        <f t="shared" si="4"/>
        <v>6075424.7999999998</v>
      </c>
    </row>
    <row r="233" spans="2:12" s="31" customFormat="1" x14ac:dyDescent="0.35">
      <c r="B233" s="70"/>
      <c r="C233" s="87"/>
      <c r="D233" s="62"/>
      <c r="E233" s="70"/>
      <c r="F233" s="71" t="s">
        <v>90</v>
      </c>
      <c r="G233" s="27" t="s">
        <v>407</v>
      </c>
      <c r="H233" s="80">
        <f>0.25*0.25*12*7.85*1.2</f>
        <v>7.0649999999999986</v>
      </c>
      <c r="I233" s="60" t="s">
        <v>91</v>
      </c>
      <c r="J233" s="78">
        <v>28500</v>
      </c>
      <c r="K233" s="57"/>
      <c r="L233" s="42">
        <f t="shared" si="4"/>
        <v>201352.49999999997</v>
      </c>
    </row>
    <row r="234" spans="2:12" s="31" customFormat="1" x14ac:dyDescent="0.35">
      <c r="B234" s="70"/>
      <c r="C234" s="87"/>
      <c r="D234" s="62"/>
      <c r="E234" s="70"/>
      <c r="F234" s="71" t="s">
        <v>90</v>
      </c>
      <c r="G234" s="27" t="s">
        <v>408</v>
      </c>
      <c r="H234" s="80">
        <f>49.9*3.1*1.2</f>
        <v>185.62799999999999</v>
      </c>
      <c r="I234" s="60" t="s">
        <v>91</v>
      </c>
      <c r="J234" s="78">
        <v>28500</v>
      </c>
      <c r="K234" s="57"/>
      <c r="L234" s="42">
        <f t="shared" si="4"/>
        <v>5290398</v>
      </c>
    </row>
    <row r="235" spans="2:12" s="31" customFormat="1" x14ac:dyDescent="0.35">
      <c r="B235" s="70"/>
      <c r="C235" s="87"/>
      <c r="D235" s="62"/>
      <c r="E235" s="70"/>
      <c r="F235" s="71" t="s">
        <v>90</v>
      </c>
      <c r="G235" s="27" t="s">
        <v>409</v>
      </c>
      <c r="H235" s="80">
        <f>0.3*0.3*12*7.85*1.2</f>
        <v>10.173599999999999</v>
      </c>
      <c r="I235" s="60" t="s">
        <v>91</v>
      </c>
      <c r="J235" s="78">
        <v>28500</v>
      </c>
      <c r="K235" s="57"/>
      <c r="L235" s="42">
        <f t="shared" si="4"/>
        <v>289947.59999999998</v>
      </c>
    </row>
    <row r="236" spans="2:12" s="31" customFormat="1" x14ac:dyDescent="0.35">
      <c r="B236" s="86"/>
      <c r="C236" s="89"/>
      <c r="D236" s="69"/>
      <c r="E236" s="70"/>
      <c r="F236" s="71" t="s">
        <v>90</v>
      </c>
      <c r="G236" s="27" t="s">
        <v>410</v>
      </c>
      <c r="H236" s="80">
        <f>0.2*10*7.85*3.64*1.2*5</f>
        <v>342.88799999999992</v>
      </c>
      <c r="I236" s="60" t="s">
        <v>91</v>
      </c>
      <c r="J236" s="78">
        <v>28500</v>
      </c>
      <c r="K236" s="57"/>
      <c r="L236" s="42">
        <f t="shared" si="4"/>
        <v>9772307.9999999981</v>
      </c>
    </row>
    <row r="237" spans="2:12" s="31" customFormat="1" x14ac:dyDescent="0.35">
      <c r="B237" s="70"/>
      <c r="C237" s="84"/>
      <c r="D237" s="69"/>
      <c r="E237" s="70"/>
      <c r="F237" s="71" t="s">
        <v>90</v>
      </c>
      <c r="G237" s="27" t="s">
        <v>411</v>
      </c>
      <c r="H237" s="80">
        <f>49.9*1.21*1.2</f>
        <v>72.454799999999992</v>
      </c>
      <c r="I237" s="60" t="s">
        <v>91</v>
      </c>
      <c r="J237" s="78">
        <v>28500</v>
      </c>
      <c r="K237" s="57"/>
      <c r="L237" s="42">
        <f t="shared" si="4"/>
        <v>2064961.7999999998</v>
      </c>
    </row>
    <row r="238" spans="2:12" s="31" customFormat="1" x14ac:dyDescent="0.35">
      <c r="B238" s="70"/>
      <c r="C238" s="87"/>
      <c r="D238" s="62"/>
      <c r="E238" s="70"/>
      <c r="F238" s="71" t="s">
        <v>90</v>
      </c>
      <c r="G238" s="27" t="s">
        <v>412</v>
      </c>
      <c r="H238" s="80">
        <f>0.25*0.25*12*7.85*1.2</f>
        <v>7.0649999999999986</v>
      </c>
      <c r="I238" s="60" t="s">
        <v>91</v>
      </c>
      <c r="J238" s="78">
        <v>28500</v>
      </c>
      <c r="K238" s="57"/>
      <c r="L238" s="42">
        <f t="shared" si="4"/>
        <v>201352.49999999997</v>
      </c>
    </row>
    <row r="239" spans="2:12" s="31" customFormat="1" x14ac:dyDescent="0.35">
      <c r="B239" s="70"/>
      <c r="C239" s="87"/>
      <c r="D239" s="62"/>
      <c r="E239" s="70"/>
      <c r="F239" s="71" t="s">
        <v>90</v>
      </c>
      <c r="G239" s="27" t="s">
        <v>413</v>
      </c>
      <c r="H239" s="80">
        <f>49.9*1.21*1.2</f>
        <v>72.454799999999992</v>
      </c>
      <c r="I239" s="60" t="s">
        <v>91</v>
      </c>
      <c r="J239" s="78">
        <v>28500</v>
      </c>
      <c r="K239" s="57"/>
      <c r="L239" s="42">
        <f t="shared" si="4"/>
        <v>2064961.7999999998</v>
      </c>
    </row>
    <row r="240" spans="2:12" s="31" customFormat="1" x14ac:dyDescent="0.35">
      <c r="B240" s="70"/>
      <c r="C240" s="87"/>
      <c r="D240" s="62"/>
      <c r="E240" s="70"/>
      <c r="F240" s="71" t="s">
        <v>90</v>
      </c>
      <c r="G240" s="27" t="s">
        <v>414</v>
      </c>
      <c r="H240" s="80">
        <f>0.3*0.3*12*7.85*1.2</f>
        <v>10.173599999999999</v>
      </c>
      <c r="I240" s="60" t="s">
        <v>91</v>
      </c>
      <c r="J240" s="78">
        <v>28500</v>
      </c>
      <c r="K240" s="57"/>
      <c r="L240" s="42">
        <f t="shared" si="4"/>
        <v>289947.59999999998</v>
      </c>
    </row>
    <row r="241" spans="2:12" s="31" customFormat="1" x14ac:dyDescent="0.35">
      <c r="B241" s="86"/>
      <c r="C241" s="89"/>
      <c r="D241" s="69"/>
      <c r="E241" s="70"/>
      <c r="F241" s="71" t="s">
        <v>90</v>
      </c>
      <c r="G241" s="27" t="s">
        <v>415</v>
      </c>
      <c r="H241" s="80">
        <f>0.2*10*7.85*2.82*1.2*5</f>
        <v>265.64399999999995</v>
      </c>
      <c r="I241" s="60" t="s">
        <v>91</v>
      </c>
      <c r="J241" s="78">
        <v>28500</v>
      </c>
      <c r="K241" s="57"/>
      <c r="L241" s="42">
        <f t="shared" si="4"/>
        <v>7570853.9999999981</v>
      </c>
    </row>
    <row r="242" spans="2:12" x14ac:dyDescent="0.35">
      <c r="B242" s="70"/>
      <c r="C242" s="88"/>
      <c r="D242" s="69"/>
      <c r="E242" s="70"/>
      <c r="F242" s="71" t="s">
        <v>90</v>
      </c>
      <c r="G242" s="27" t="s">
        <v>416</v>
      </c>
      <c r="H242" s="80">
        <f>0.3*12*7.85*47.59*1.2</f>
        <v>1613.8720799999999</v>
      </c>
      <c r="I242" s="60" t="s">
        <v>91</v>
      </c>
      <c r="J242" s="78">
        <v>28500</v>
      </c>
      <c r="K242" s="57"/>
      <c r="L242" s="42">
        <f t="shared" si="4"/>
        <v>45995354.279999994</v>
      </c>
    </row>
    <row r="243" spans="2:12" x14ac:dyDescent="0.35">
      <c r="B243" s="70"/>
      <c r="C243" s="88"/>
      <c r="D243" s="69"/>
      <c r="E243" s="70"/>
      <c r="F243" s="71" t="s">
        <v>90</v>
      </c>
      <c r="G243" s="27" t="s">
        <v>417</v>
      </c>
      <c r="H243" s="80">
        <f>0.3*12*7.85*29.53*1.2</f>
        <v>1001.4213599999998</v>
      </c>
      <c r="I243" s="60" t="s">
        <v>91</v>
      </c>
      <c r="J243" s="78">
        <v>28500</v>
      </c>
      <c r="K243" s="57"/>
      <c r="L243" s="42">
        <f t="shared" si="4"/>
        <v>28540508.759999994</v>
      </c>
    </row>
    <row r="244" spans="2:12" x14ac:dyDescent="0.35">
      <c r="B244" s="70"/>
      <c r="C244" s="84"/>
      <c r="D244" s="69"/>
      <c r="E244" s="70"/>
      <c r="F244" s="71" t="s">
        <v>90</v>
      </c>
      <c r="G244" s="27" t="s">
        <v>418</v>
      </c>
      <c r="H244" s="80">
        <f>0.2*10*7.85*0.15*1.2*10</f>
        <v>28.26</v>
      </c>
      <c r="I244" s="60" t="s">
        <v>91</v>
      </c>
      <c r="J244" s="78">
        <v>28500</v>
      </c>
      <c r="K244" s="57"/>
      <c r="L244" s="42">
        <f t="shared" si="4"/>
        <v>805410</v>
      </c>
    </row>
    <row r="245" spans="2:12" x14ac:dyDescent="0.35">
      <c r="B245" s="70"/>
      <c r="C245" s="84"/>
      <c r="D245" s="69"/>
      <c r="E245" s="70"/>
      <c r="F245" s="71" t="s">
        <v>90</v>
      </c>
      <c r="G245" s="27" t="s">
        <v>419</v>
      </c>
      <c r="H245" s="80">
        <f>0.3*12*7.85*0.2*1.2*9</f>
        <v>61.041599999999988</v>
      </c>
      <c r="I245" s="60" t="s">
        <v>91</v>
      </c>
      <c r="J245" s="78">
        <v>28500</v>
      </c>
      <c r="K245" s="57"/>
      <c r="L245" s="42">
        <f t="shared" si="4"/>
        <v>1739685.5999999996</v>
      </c>
    </row>
    <row r="246" spans="2:12" x14ac:dyDescent="0.35">
      <c r="B246" s="70"/>
      <c r="C246" s="84"/>
      <c r="D246" s="69"/>
      <c r="E246" s="70"/>
      <c r="F246" s="71" t="s">
        <v>90</v>
      </c>
      <c r="G246" s="27" t="s">
        <v>420</v>
      </c>
      <c r="H246" s="80">
        <f>0.25*0.14*10*7.85*1.2*60</f>
        <v>197.82000000000002</v>
      </c>
      <c r="I246" s="60" t="s">
        <v>91</v>
      </c>
      <c r="J246" s="78">
        <v>28500</v>
      </c>
      <c r="K246" s="78"/>
      <c r="L246" s="42">
        <f t="shared" si="4"/>
        <v>5637870.0000000009</v>
      </c>
    </row>
    <row r="247" spans="2:12" x14ac:dyDescent="0.35">
      <c r="B247" s="70"/>
      <c r="C247" s="87"/>
      <c r="D247" s="62"/>
      <c r="E247" s="70"/>
      <c r="F247" s="71" t="s">
        <v>90</v>
      </c>
      <c r="G247" s="27" t="s">
        <v>421</v>
      </c>
      <c r="H247" s="80">
        <f>0.3*0.18*10*7.85*1.2*8</f>
        <v>40.694399999999995</v>
      </c>
      <c r="I247" s="60" t="s">
        <v>91</v>
      </c>
      <c r="J247" s="78">
        <v>28500</v>
      </c>
      <c r="K247" s="78"/>
      <c r="L247" s="42">
        <f t="shared" si="4"/>
        <v>1159790.3999999999</v>
      </c>
    </row>
    <row r="248" spans="2:12" x14ac:dyDescent="0.35">
      <c r="B248" s="70"/>
      <c r="C248" s="87"/>
      <c r="D248" s="62"/>
      <c r="E248" s="70"/>
      <c r="F248" s="71" t="s">
        <v>90</v>
      </c>
      <c r="G248" s="216" t="s">
        <v>422</v>
      </c>
      <c r="H248" s="80">
        <f>49.9*3.1*1.2*7</f>
        <v>1299.396</v>
      </c>
      <c r="I248" s="60" t="s">
        <v>91</v>
      </c>
      <c r="J248" s="78">
        <v>15000</v>
      </c>
      <c r="K248" s="78">
        <f>J248*H248</f>
        <v>19490940</v>
      </c>
      <c r="L248" s="42"/>
    </row>
    <row r="249" spans="2:12" x14ac:dyDescent="0.35">
      <c r="B249" s="148"/>
      <c r="C249" s="87"/>
      <c r="D249" s="69" t="s">
        <v>32</v>
      </c>
      <c r="E249" s="70"/>
      <c r="F249" s="71" t="s">
        <v>98</v>
      </c>
      <c r="G249" s="27"/>
      <c r="H249" s="80"/>
      <c r="I249" s="60"/>
      <c r="J249" s="78"/>
      <c r="K249" s="78"/>
      <c r="L249" s="42"/>
    </row>
    <row r="250" spans="2:12" x14ac:dyDescent="0.35">
      <c r="B250" s="148"/>
      <c r="C250" s="87"/>
      <c r="D250" s="69"/>
      <c r="E250" s="70"/>
      <c r="F250" s="71" t="s">
        <v>90</v>
      </c>
      <c r="G250" s="27" t="s">
        <v>423</v>
      </c>
      <c r="H250" s="80">
        <f>0.2*10*7.85*3.65*1.2*5</f>
        <v>343.82999999999993</v>
      </c>
      <c r="I250" s="60" t="s">
        <v>91</v>
      </c>
      <c r="J250" s="78">
        <v>28500</v>
      </c>
      <c r="K250" s="78"/>
      <c r="L250" s="42">
        <f t="shared" ref="L250:L271" si="5">J250*H250</f>
        <v>9799154.9999999981</v>
      </c>
    </row>
    <row r="251" spans="2:12" x14ac:dyDescent="0.35">
      <c r="B251" s="148"/>
      <c r="C251" s="87"/>
      <c r="D251" s="69"/>
      <c r="E251" s="70"/>
      <c r="F251" s="71" t="s">
        <v>90</v>
      </c>
      <c r="G251" s="27" t="s">
        <v>424</v>
      </c>
      <c r="H251" s="80">
        <f>0.3*12*7.85*3.65*1.2</f>
        <v>123.77879999999996</v>
      </c>
      <c r="I251" s="60" t="s">
        <v>91</v>
      </c>
      <c r="J251" s="78">
        <v>28500</v>
      </c>
      <c r="K251" s="78"/>
      <c r="L251" s="42">
        <f t="shared" si="5"/>
        <v>3527695.7999999989</v>
      </c>
    </row>
    <row r="252" spans="2:12" x14ac:dyDescent="0.35">
      <c r="B252" s="148"/>
      <c r="C252" s="87"/>
      <c r="D252" s="69"/>
      <c r="E252" s="70"/>
      <c r="F252" s="71" t="s">
        <v>90</v>
      </c>
      <c r="G252" s="27" t="s">
        <v>425</v>
      </c>
      <c r="H252" s="80">
        <f>0.2*10*7.85*0.14*1.2</f>
        <v>2.6375999999999999</v>
      </c>
      <c r="I252" s="60" t="s">
        <v>91</v>
      </c>
      <c r="J252" s="78">
        <v>28500</v>
      </c>
      <c r="K252" s="78"/>
      <c r="L252" s="42">
        <f t="shared" si="5"/>
        <v>75171.599999999991</v>
      </c>
    </row>
    <row r="253" spans="2:12" x14ac:dyDescent="0.35">
      <c r="B253" s="148"/>
      <c r="C253" s="87"/>
      <c r="D253" s="69"/>
      <c r="E253" s="70"/>
      <c r="F253" s="71" t="s">
        <v>90</v>
      </c>
      <c r="G253" s="27" t="s">
        <v>426</v>
      </c>
      <c r="H253" s="80">
        <f>0.2*10*7.85*0.2*1.2</f>
        <v>3.7679999999999998</v>
      </c>
      <c r="I253" s="60" t="s">
        <v>91</v>
      </c>
      <c r="J253" s="78">
        <v>28500</v>
      </c>
      <c r="K253" s="78"/>
      <c r="L253" s="42">
        <f t="shared" si="5"/>
        <v>107388</v>
      </c>
    </row>
    <row r="254" spans="2:12" x14ac:dyDescent="0.35">
      <c r="B254" s="148"/>
      <c r="C254" s="87"/>
      <c r="D254" s="69"/>
      <c r="E254" s="70"/>
      <c r="F254" s="71" t="s">
        <v>90</v>
      </c>
      <c r="G254" s="27" t="s">
        <v>427</v>
      </c>
      <c r="H254" s="80">
        <f>0.2*10*7.85*0.18*1.2</f>
        <v>3.3911999999999995</v>
      </c>
      <c r="I254" s="60" t="s">
        <v>91</v>
      </c>
      <c r="J254" s="78">
        <v>28500</v>
      </c>
      <c r="K254" s="78"/>
      <c r="L254" s="42">
        <f t="shared" si="5"/>
        <v>96649.199999999983</v>
      </c>
    </row>
    <row r="255" spans="2:12" x14ac:dyDescent="0.35">
      <c r="B255" s="70"/>
      <c r="C255" s="84"/>
      <c r="D255" s="69"/>
      <c r="E255" s="70"/>
      <c r="F255" s="71" t="s">
        <v>90</v>
      </c>
      <c r="G255" s="27" t="s">
        <v>92</v>
      </c>
      <c r="H255" s="80">
        <f>49.9*3.6*1.2</f>
        <v>215.56799999999998</v>
      </c>
      <c r="I255" s="60" t="s">
        <v>91</v>
      </c>
      <c r="J255" s="78">
        <v>28500</v>
      </c>
      <c r="K255" s="59"/>
      <c r="L255" s="42">
        <f t="shared" si="5"/>
        <v>6143687.9999999991</v>
      </c>
    </row>
    <row r="256" spans="2:12" x14ac:dyDescent="0.35">
      <c r="B256" s="70"/>
      <c r="C256" s="87"/>
      <c r="D256" s="62"/>
      <c r="E256" s="70"/>
      <c r="F256" s="71" t="s">
        <v>90</v>
      </c>
      <c r="G256" s="27" t="s">
        <v>302</v>
      </c>
      <c r="H256" s="80">
        <f>0.25*0.25*12*7.85*1.2</f>
        <v>7.0649999999999986</v>
      </c>
      <c r="I256" s="60" t="s">
        <v>91</v>
      </c>
      <c r="J256" s="78">
        <v>28500</v>
      </c>
      <c r="K256" s="78"/>
      <c r="L256" s="42">
        <f t="shared" si="5"/>
        <v>201352.49999999997</v>
      </c>
    </row>
    <row r="257" spans="2:12" x14ac:dyDescent="0.35">
      <c r="B257" s="70"/>
      <c r="C257" s="87"/>
      <c r="D257" s="62"/>
      <c r="E257" s="70"/>
      <c r="F257" s="71" t="s">
        <v>90</v>
      </c>
      <c r="G257" s="27" t="s">
        <v>93</v>
      </c>
      <c r="H257" s="80">
        <f>49.9*3.1*1.2</f>
        <v>185.62799999999999</v>
      </c>
      <c r="I257" s="60" t="s">
        <v>91</v>
      </c>
      <c r="J257" s="78">
        <v>28500</v>
      </c>
      <c r="K257" s="78"/>
      <c r="L257" s="42">
        <f t="shared" si="5"/>
        <v>5290398</v>
      </c>
    </row>
    <row r="258" spans="2:12" x14ac:dyDescent="0.35">
      <c r="B258" s="70"/>
      <c r="C258" s="87"/>
      <c r="D258" s="62"/>
      <c r="E258" s="70"/>
      <c r="F258" s="71" t="s">
        <v>90</v>
      </c>
      <c r="G258" s="27" t="s">
        <v>303</v>
      </c>
      <c r="H258" s="80">
        <f>0.25*0.25*12*7.85*1.2</f>
        <v>7.0649999999999986</v>
      </c>
      <c r="I258" s="60" t="s">
        <v>91</v>
      </c>
      <c r="J258" s="78">
        <v>28500</v>
      </c>
      <c r="K258" s="78"/>
      <c r="L258" s="42">
        <f t="shared" si="5"/>
        <v>201352.49999999997</v>
      </c>
    </row>
    <row r="259" spans="2:12" x14ac:dyDescent="0.35">
      <c r="B259" s="148"/>
      <c r="C259" s="87"/>
      <c r="D259" s="69"/>
      <c r="E259" s="70"/>
      <c r="F259" s="71" t="s">
        <v>90</v>
      </c>
      <c r="G259" s="27" t="s">
        <v>428</v>
      </c>
      <c r="H259" s="80">
        <f>0.2*10*7.85*3.64*1.2*5</f>
        <v>342.88799999999992</v>
      </c>
      <c r="I259" s="60" t="s">
        <v>91</v>
      </c>
      <c r="J259" s="78">
        <v>28500</v>
      </c>
      <c r="K259" s="78"/>
      <c r="L259" s="42">
        <f t="shared" si="5"/>
        <v>9772307.9999999981</v>
      </c>
    </row>
    <row r="260" spans="2:12" x14ac:dyDescent="0.35">
      <c r="B260" s="148"/>
      <c r="C260" s="87"/>
      <c r="D260" s="69"/>
      <c r="E260" s="70"/>
      <c r="F260" s="71" t="s">
        <v>90</v>
      </c>
      <c r="G260" s="27" t="s">
        <v>429</v>
      </c>
      <c r="H260" s="80">
        <f>0.3*12*7.85*3.64*1.2</f>
        <v>123.43967999999998</v>
      </c>
      <c r="I260" s="60" t="s">
        <v>91</v>
      </c>
      <c r="J260" s="78">
        <v>28500</v>
      </c>
      <c r="K260" s="78"/>
      <c r="L260" s="42">
        <f t="shared" si="5"/>
        <v>3518030.8799999994</v>
      </c>
    </row>
    <row r="261" spans="2:12" x14ac:dyDescent="0.35">
      <c r="B261" s="148"/>
      <c r="C261" s="87"/>
      <c r="D261" s="69"/>
      <c r="E261" s="70"/>
      <c r="F261" s="71" t="s">
        <v>90</v>
      </c>
      <c r="G261" s="27" t="s">
        <v>430</v>
      </c>
      <c r="H261" s="80">
        <f>0.2*10*7.85*0.2*1.2</f>
        <v>3.7679999999999998</v>
      </c>
      <c r="I261" s="60" t="s">
        <v>91</v>
      </c>
      <c r="J261" s="78">
        <v>28500</v>
      </c>
      <c r="K261" s="78"/>
      <c r="L261" s="42">
        <f t="shared" si="5"/>
        <v>107388</v>
      </c>
    </row>
    <row r="262" spans="2:12" x14ac:dyDescent="0.35">
      <c r="B262" s="70"/>
      <c r="C262" s="84"/>
      <c r="D262" s="69"/>
      <c r="E262" s="70"/>
      <c r="F262" s="71" t="s">
        <v>90</v>
      </c>
      <c r="G262" s="27" t="s">
        <v>99</v>
      </c>
      <c r="H262" s="80">
        <f>49.9*3.6*1.2</f>
        <v>215.56799999999998</v>
      </c>
      <c r="I262" s="60" t="s">
        <v>91</v>
      </c>
      <c r="J262" s="78">
        <v>28500</v>
      </c>
      <c r="K262" s="78"/>
      <c r="L262" s="42">
        <f t="shared" si="5"/>
        <v>6143687.9999999991</v>
      </c>
    </row>
    <row r="263" spans="2:12" x14ac:dyDescent="0.35">
      <c r="B263" s="70"/>
      <c r="C263" s="87"/>
      <c r="D263" s="62"/>
      <c r="E263" s="70"/>
      <c r="F263" s="71" t="s">
        <v>90</v>
      </c>
      <c r="G263" s="27" t="s">
        <v>307</v>
      </c>
      <c r="H263" s="80">
        <f>0.25*0.25*12*7.85*1.2</f>
        <v>7.0649999999999986</v>
      </c>
      <c r="I263" s="60" t="s">
        <v>91</v>
      </c>
      <c r="J263" s="78">
        <v>28500</v>
      </c>
      <c r="K263" s="83"/>
      <c r="L263" s="42">
        <f t="shared" si="5"/>
        <v>201352.49999999997</v>
      </c>
    </row>
    <row r="264" spans="2:12" x14ac:dyDescent="0.35">
      <c r="B264" s="70"/>
      <c r="C264" s="87"/>
      <c r="D264" s="62"/>
      <c r="E264" s="70"/>
      <c r="F264" s="71" t="s">
        <v>90</v>
      </c>
      <c r="G264" s="27" t="s">
        <v>95</v>
      </c>
      <c r="H264" s="80">
        <f>49.9*3.1*1.2</f>
        <v>185.62799999999999</v>
      </c>
      <c r="I264" s="60" t="s">
        <v>91</v>
      </c>
      <c r="J264" s="78">
        <v>28500</v>
      </c>
      <c r="K264" s="57"/>
      <c r="L264" s="42">
        <f t="shared" si="5"/>
        <v>5290398</v>
      </c>
    </row>
    <row r="265" spans="2:12" x14ac:dyDescent="0.35">
      <c r="B265" s="70"/>
      <c r="C265" s="87"/>
      <c r="D265" s="62"/>
      <c r="E265" s="70"/>
      <c r="F265" s="71" t="s">
        <v>90</v>
      </c>
      <c r="G265" s="27" t="s">
        <v>308</v>
      </c>
      <c r="H265" s="80">
        <f>0.25*0.25*12*7.85*1.2</f>
        <v>7.0649999999999986</v>
      </c>
      <c r="I265" s="60" t="s">
        <v>91</v>
      </c>
      <c r="J265" s="78">
        <v>28500</v>
      </c>
      <c r="K265" s="47"/>
      <c r="L265" s="42">
        <f t="shared" si="5"/>
        <v>201352.49999999997</v>
      </c>
    </row>
    <row r="266" spans="2:12" x14ac:dyDescent="0.35">
      <c r="B266" s="148"/>
      <c r="C266" s="87"/>
      <c r="D266" s="69"/>
      <c r="E266" s="70"/>
      <c r="F266" s="71" t="s">
        <v>90</v>
      </c>
      <c r="G266" s="27" t="s">
        <v>431</v>
      </c>
      <c r="H266" s="80">
        <f>0.2*10*7.85*3.63*1.2*5</f>
        <v>341.94599999999991</v>
      </c>
      <c r="I266" s="60" t="s">
        <v>91</v>
      </c>
      <c r="J266" s="78">
        <v>28500</v>
      </c>
      <c r="K266" s="47"/>
      <c r="L266" s="42">
        <f t="shared" si="5"/>
        <v>9745460.9999999981</v>
      </c>
    </row>
    <row r="267" spans="2:12" x14ac:dyDescent="0.35">
      <c r="B267" s="148"/>
      <c r="C267" s="87"/>
      <c r="D267" s="69"/>
      <c r="E267" s="70"/>
      <c r="F267" s="71" t="s">
        <v>90</v>
      </c>
      <c r="G267" s="27" t="s">
        <v>432</v>
      </c>
      <c r="H267" s="80">
        <f>0.3*12*7.85*3.63*1.2</f>
        <v>123.10055999999997</v>
      </c>
      <c r="I267" s="60" t="s">
        <v>91</v>
      </c>
      <c r="J267" s="78">
        <v>28500</v>
      </c>
      <c r="K267" s="47"/>
      <c r="L267" s="42">
        <f t="shared" si="5"/>
        <v>3508365.959999999</v>
      </c>
    </row>
    <row r="268" spans="2:12" x14ac:dyDescent="0.35">
      <c r="B268" s="148"/>
      <c r="C268" s="87"/>
      <c r="D268" s="69"/>
      <c r="E268" s="70"/>
      <c r="F268" s="71" t="s">
        <v>90</v>
      </c>
      <c r="G268" s="27" t="s">
        <v>433</v>
      </c>
      <c r="H268" s="80">
        <f>0.2*10*7.85*0.2*1.2</f>
        <v>3.7679999999999998</v>
      </c>
      <c r="I268" s="60" t="s">
        <v>91</v>
      </c>
      <c r="J268" s="78">
        <v>28500</v>
      </c>
      <c r="K268" s="47"/>
      <c r="L268" s="42">
        <f t="shared" si="5"/>
        <v>107388</v>
      </c>
    </row>
    <row r="269" spans="2:12" x14ac:dyDescent="0.35">
      <c r="B269" s="148"/>
      <c r="C269" s="87"/>
      <c r="D269" s="69"/>
      <c r="E269" s="70"/>
      <c r="F269" s="71" t="s">
        <v>90</v>
      </c>
      <c r="G269" s="27" t="s">
        <v>434</v>
      </c>
      <c r="H269" s="80">
        <f>0.2*10*7.85*0.16*1.2</f>
        <v>3.0143999999999997</v>
      </c>
      <c r="I269" s="60" t="s">
        <v>91</v>
      </c>
      <c r="J269" s="78">
        <v>28500</v>
      </c>
      <c r="K269" s="47"/>
      <c r="L269" s="42">
        <f t="shared" si="5"/>
        <v>85910.399999999994</v>
      </c>
    </row>
    <row r="270" spans="2:12" x14ac:dyDescent="0.35">
      <c r="B270" s="148"/>
      <c r="C270" s="87"/>
      <c r="D270" s="69"/>
      <c r="E270" s="70"/>
      <c r="F270" s="71" t="s">
        <v>90</v>
      </c>
      <c r="G270" s="27" t="s">
        <v>435</v>
      </c>
      <c r="H270" s="80">
        <f>0.2*10*7.85*0.15*1.2</f>
        <v>2.8260000000000001</v>
      </c>
      <c r="I270" s="60" t="s">
        <v>91</v>
      </c>
      <c r="J270" s="78">
        <v>28500</v>
      </c>
      <c r="K270" s="47"/>
      <c r="L270" s="42">
        <f t="shared" si="5"/>
        <v>80541</v>
      </c>
    </row>
    <row r="271" spans="2:12" x14ac:dyDescent="0.35">
      <c r="B271" s="148"/>
      <c r="C271" s="87"/>
      <c r="D271" s="69"/>
      <c r="E271" s="70"/>
      <c r="F271" s="71" t="s">
        <v>90</v>
      </c>
      <c r="G271" s="27" t="s">
        <v>436</v>
      </c>
      <c r="H271" s="80">
        <f>0.26*0.15*8*7.85*1.2</f>
        <v>2.9390399999999999</v>
      </c>
      <c r="I271" s="60" t="s">
        <v>91</v>
      </c>
      <c r="J271" s="78">
        <v>28500</v>
      </c>
      <c r="K271" s="26"/>
      <c r="L271" s="42">
        <f t="shared" si="5"/>
        <v>83762.64</v>
      </c>
    </row>
    <row r="272" spans="2:12" x14ac:dyDescent="0.35">
      <c r="B272" s="43"/>
      <c r="C272" s="44"/>
      <c r="D272" s="21"/>
      <c r="G272" s="20"/>
      <c r="I272" s="20"/>
      <c r="J272" s="46"/>
      <c r="K272" s="26"/>
      <c r="L272" s="48"/>
    </row>
    <row r="273" spans="2:12" x14ac:dyDescent="0.35">
      <c r="B273" s="43"/>
      <c r="C273" s="44"/>
      <c r="D273" s="21"/>
      <c r="G273" s="20"/>
      <c r="I273" s="20"/>
      <c r="J273" s="46"/>
      <c r="K273" s="26"/>
      <c r="L273" s="48"/>
    </row>
    <row r="274" spans="2:12" x14ac:dyDescent="0.35">
      <c r="B274" s="8"/>
      <c r="C274" s="9"/>
      <c r="D274" s="10"/>
      <c r="E274" s="4"/>
      <c r="F274" s="4"/>
      <c r="G274" s="4"/>
      <c r="H274" s="1"/>
      <c r="I274" s="1"/>
      <c r="J274" s="11" t="s">
        <v>8</v>
      </c>
      <c r="K274" s="7">
        <f>SUM(K221:K273)</f>
        <v>19490940</v>
      </c>
      <c r="L274" s="7">
        <f>SUM(L221:L273)</f>
        <v>218794400.81999996</v>
      </c>
    </row>
    <row r="275" spans="2:12" x14ac:dyDescent="0.35">
      <c r="B275" s="8"/>
      <c r="C275" s="9"/>
      <c r="D275" s="9"/>
      <c r="E275" s="4"/>
      <c r="F275" s="4"/>
      <c r="G275" s="4"/>
      <c r="H275" s="1"/>
      <c r="I275" s="1"/>
      <c r="J275" s="11"/>
      <c r="K275" s="32" t="s">
        <v>13</v>
      </c>
      <c r="L275" s="33" t="s">
        <v>14</v>
      </c>
    </row>
    <row r="276" spans="2:12" x14ac:dyDescent="0.35">
      <c r="B276" s="3" t="s">
        <v>9</v>
      </c>
      <c r="C276" s="4"/>
      <c r="D276" s="4"/>
      <c r="E276" s="4"/>
      <c r="F276" s="4"/>
      <c r="G276" s="4"/>
      <c r="H276" s="1"/>
      <c r="I276" s="1"/>
      <c r="J276" s="12"/>
      <c r="K276" s="12"/>
      <c r="L276" s="13"/>
    </row>
    <row r="277" spans="2:12" x14ac:dyDescent="0.35">
      <c r="B277" s="34"/>
      <c r="C277" s="1"/>
      <c r="D277" s="1"/>
      <c r="E277" s="35"/>
      <c r="F277" s="35"/>
      <c r="G277" s="35"/>
      <c r="H277" s="1"/>
      <c r="I277" s="1"/>
      <c r="J277" s="1"/>
      <c r="K277" s="1"/>
      <c r="L277" s="17"/>
    </row>
    <row r="278" spans="2:12" x14ac:dyDescent="0.35">
      <c r="B278" s="25" t="s">
        <v>6</v>
      </c>
      <c r="C278" s="24"/>
      <c r="D278" s="24"/>
      <c r="E278" s="23"/>
      <c r="F278" s="23"/>
      <c r="G278" s="5"/>
      <c r="K278" s="227" t="s">
        <v>1292</v>
      </c>
      <c r="L278" s="228"/>
    </row>
    <row r="279" spans="2:12" x14ac:dyDescent="0.35">
      <c r="B279" s="25">
        <v>1</v>
      </c>
      <c r="C279" s="24"/>
      <c r="D279" s="24"/>
      <c r="E279" s="23" t="s">
        <v>7</v>
      </c>
      <c r="F279" s="23"/>
      <c r="G279" s="5"/>
      <c r="K279" s="227" t="s">
        <v>18</v>
      </c>
      <c r="L279" s="228"/>
    </row>
    <row r="280" spans="2:12" x14ac:dyDescent="0.35">
      <c r="B280" s="36"/>
      <c r="C280" s="24"/>
      <c r="D280" s="24"/>
      <c r="E280" s="23"/>
      <c r="F280" s="23"/>
      <c r="G280" s="5"/>
      <c r="J280" s="22"/>
      <c r="K280" s="22"/>
      <c r="L280" s="21"/>
    </row>
    <row r="281" spans="2:12" x14ac:dyDescent="0.35">
      <c r="B281" s="25"/>
      <c r="C281" s="24"/>
      <c r="D281" s="24"/>
      <c r="E281" s="23"/>
      <c r="F281" s="23"/>
      <c r="G281" s="5"/>
      <c r="L281" s="20"/>
    </row>
    <row r="282" spans="2:12" x14ac:dyDescent="0.35">
      <c r="B282" s="41"/>
      <c r="E282" s="5"/>
      <c r="F282" s="5"/>
      <c r="G282" s="5"/>
      <c r="L282" s="20"/>
    </row>
    <row r="283" spans="2:12" x14ac:dyDescent="0.35">
      <c r="B283" s="41"/>
      <c r="E283" s="5"/>
      <c r="F283" s="5"/>
      <c r="G283" s="5"/>
      <c r="L283" s="20"/>
    </row>
    <row r="284" spans="2:12" x14ac:dyDescent="0.35">
      <c r="B284" s="41"/>
      <c r="E284" s="5"/>
      <c r="F284" s="5"/>
      <c r="G284" s="5"/>
      <c r="L284" s="20"/>
    </row>
    <row r="285" spans="2:12" x14ac:dyDescent="0.35">
      <c r="B285" s="41"/>
      <c r="E285" s="5"/>
      <c r="F285" s="5"/>
      <c r="G285" s="5"/>
      <c r="J285" s="37"/>
      <c r="K285" s="229" t="s">
        <v>26</v>
      </c>
      <c r="L285" s="230"/>
    </row>
    <row r="286" spans="2:12" x14ac:dyDescent="0.35">
      <c r="B286" s="41"/>
      <c r="K286" s="231" t="s">
        <v>27</v>
      </c>
      <c r="L286" s="232"/>
    </row>
    <row r="287" spans="2:12" x14ac:dyDescent="0.35">
      <c r="B287" s="233"/>
      <c r="C287" s="234"/>
      <c r="D287" s="234"/>
      <c r="E287" s="38"/>
      <c r="F287" s="38"/>
      <c r="G287" s="38"/>
      <c r="H287" s="2"/>
      <c r="I287" s="2"/>
      <c r="J287" s="2"/>
      <c r="K287" s="2"/>
      <c r="L287" s="19"/>
    </row>
    <row r="288" spans="2:12" x14ac:dyDescent="0.35">
      <c r="B288" s="43"/>
      <c r="C288" s="44"/>
      <c r="D288" s="45"/>
      <c r="G288" s="20"/>
      <c r="H288" s="1"/>
      <c r="I288" s="1"/>
      <c r="J288" s="39"/>
      <c r="K288" s="27"/>
      <c r="L288" s="40"/>
    </row>
    <row r="289" spans="2:12" x14ac:dyDescent="0.35">
      <c r="B289" s="148"/>
      <c r="C289" s="87"/>
      <c r="D289" s="69"/>
      <c r="E289" s="70"/>
      <c r="F289" s="71" t="s">
        <v>90</v>
      </c>
      <c r="G289" s="27" t="s">
        <v>437</v>
      </c>
      <c r="H289" s="80">
        <f>0.26*0.17*8*7.85*1.2</f>
        <v>3.3309120000000001</v>
      </c>
      <c r="I289" s="60" t="s">
        <v>91</v>
      </c>
      <c r="J289" s="78">
        <v>28500</v>
      </c>
      <c r="K289" s="47"/>
      <c r="L289" s="42">
        <f t="shared" ref="L289:L338" si="6">J289*H289</f>
        <v>94930.991999999998</v>
      </c>
    </row>
    <row r="290" spans="2:12" x14ac:dyDescent="0.35">
      <c r="B290" s="70"/>
      <c r="C290" s="84"/>
      <c r="D290" s="69"/>
      <c r="E290" s="70"/>
      <c r="F290" s="71" t="s">
        <v>90</v>
      </c>
      <c r="G290" s="27" t="s">
        <v>438</v>
      </c>
      <c r="H290" s="80">
        <f>49.9*2.25*1.2</f>
        <v>134.72999999999999</v>
      </c>
      <c r="I290" s="60" t="s">
        <v>91</v>
      </c>
      <c r="J290" s="78">
        <v>28500</v>
      </c>
      <c r="K290" s="47"/>
      <c r="L290" s="42">
        <f t="shared" si="6"/>
        <v>3839804.9999999995</v>
      </c>
    </row>
    <row r="291" spans="2:12" x14ac:dyDescent="0.35">
      <c r="B291" s="70"/>
      <c r="C291" s="87"/>
      <c r="D291" s="62"/>
      <c r="E291" s="70"/>
      <c r="F291" s="71" t="s">
        <v>90</v>
      </c>
      <c r="G291" s="27" t="s">
        <v>312</v>
      </c>
      <c r="H291" s="80">
        <f>0.25*0.25*12*7.85*1.2</f>
        <v>7.0649999999999986</v>
      </c>
      <c r="I291" s="60" t="s">
        <v>91</v>
      </c>
      <c r="J291" s="78">
        <v>28500</v>
      </c>
      <c r="K291" s="47"/>
      <c r="L291" s="42">
        <f t="shared" si="6"/>
        <v>201352.49999999997</v>
      </c>
    </row>
    <row r="292" spans="2:12" x14ac:dyDescent="0.35">
      <c r="B292" s="70"/>
      <c r="C292" s="87"/>
      <c r="D292" s="62"/>
      <c r="E292" s="70"/>
      <c r="F292" s="71" t="s">
        <v>90</v>
      </c>
      <c r="G292" s="27" t="s">
        <v>439</v>
      </c>
      <c r="H292" s="80">
        <f>0.3*0.18*10*7.85*1.2</f>
        <v>5.0867999999999993</v>
      </c>
      <c r="I292" s="60" t="s">
        <v>91</v>
      </c>
      <c r="J292" s="78">
        <v>28500</v>
      </c>
      <c r="K292" s="47"/>
      <c r="L292" s="42">
        <f t="shared" si="6"/>
        <v>144973.79999999999</v>
      </c>
    </row>
    <row r="293" spans="2:12" x14ac:dyDescent="0.35">
      <c r="B293" s="70"/>
      <c r="C293" s="87"/>
      <c r="D293" s="62"/>
      <c r="E293" s="70"/>
      <c r="F293" s="71" t="s">
        <v>90</v>
      </c>
      <c r="G293" s="27" t="s">
        <v>96</v>
      </c>
      <c r="H293" s="80">
        <f>49.9*3.1*1.2</f>
        <v>185.62799999999999</v>
      </c>
      <c r="I293" s="60" t="s">
        <v>91</v>
      </c>
      <c r="J293" s="78">
        <v>28500</v>
      </c>
      <c r="K293" s="47"/>
      <c r="L293" s="42">
        <f t="shared" si="6"/>
        <v>5290398</v>
      </c>
    </row>
    <row r="294" spans="2:12" x14ac:dyDescent="0.35">
      <c r="B294" s="70"/>
      <c r="C294" s="87"/>
      <c r="D294" s="62"/>
      <c r="E294" s="70"/>
      <c r="F294" s="71" t="s">
        <v>90</v>
      </c>
      <c r="G294" s="27" t="s">
        <v>313</v>
      </c>
      <c r="H294" s="80">
        <f>0.25*0.25*12*7.85*1.2</f>
        <v>7.0649999999999986</v>
      </c>
      <c r="I294" s="60" t="s">
        <v>91</v>
      </c>
      <c r="J294" s="78">
        <v>28500</v>
      </c>
      <c r="K294" s="47"/>
      <c r="L294" s="42">
        <f t="shared" si="6"/>
        <v>201352.49999999997</v>
      </c>
    </row>
    <row r="295" spans="2:12" x14ac:dyDescent="0.35">
      <c r="B295" s="148"/>
      <c r="C295" s="87"/>
      <c r="D295" s="69"/>
      <c r="E295" s="70"/>
      <c r="F295" s="71" t="s">
        <v>90</v>
      </c>
      <c r="G295" s="27" t="s">
        <v>440</v>
      </c>
      <c r="H295" s="80">
        <f>0.2*10*7.85*3.65*1.2*2</f>
        <v>137.53199999999998</v>
      </c>
      <c r="I295" s="60" t="s">
        <v>91</v>
      </c>
      <c r="J295" s="78">
        <v>28500</v>
      </c>
      <c r="K295" s="55"/>
      <c r="L295" s="42">
        <f t="shared" si="6"/>
        <v>3919661.9999999995</v>
      </c>
    </row>
    <row r="296" spans="2:12" x14ac:dyDescent="0.35">
      <c r="B296" s="148"/>
      <c r="C296" s="87"/>
      <c r="D296" s="69"/>
      <c r="E296" s="70"/>
      <c r="F296" s="71" t="s">
        <v>90</v>
      </c>
      <c r="G296" s="27" t="s">
        <v>441</v>
      </c>
      <c r="H296" s="80">
        <f>0.2*10*7.85*1.83*1.2</f>
        <v>34.477199999999996</v>
      </c>
      <c r="I296" s="60" t="s">
        <v>91</v>
      </c>
      <c r="J296" s="78">
        <v>28500</v>
      </c>
      <c r="K296" s="47"/>
      <c r="L296" s="42">
        <f t="shared" si="6"/>
        <v>982600.19999999984</v>
      </c>
    </row>
    <row r="297" spans="2:12" x14ac:dyDescent="0.35">
      <c r="B297" s="148"/>
      <c r="C297" s="87"/>
      <c r="D297" s="69"/>
      <c r="E297" s="70"/>
      <c r="F297" s="71" t="s">
        <v>90</v>
      </c>
      <c r="G297" s="27" t="s">
        <v>442</v>
      </c>
      <c r="H297" s="80">
        <f>0.3*12*7.85*3.65*1.2</f>
        <v>123.77879999999996</v>
      </c>
      <c r="I297" s="60" t="s">
        <v>91</v>
      </c>
      <c r="J297" s="78">
        <v>28500</v>
      </c>
      <c r="K297" s="55"/>
      <c r="L297" s="42">
        <f t="shared" si="6"/>
        <v>3527695.7999999989</v>
      </c>
    </row>
    <row r="298" spans="2:12" x14ac:dyDescent="0.35">
      <c r="B298" s="148"/>
      <c r="C298" s="87"/>
      <c r="D298" s="69"/>
      <c r="E298" s="70"/>
      <c r="F298" s="71" t="s">
        <v>90</v>
      </c>
      <c r="G298" s="27" t="s">
        <v>443</v>
      </c>
      <c r="H298" s="80">
        <f>0.2*10*7.85*0.2*1.2*2</f>
        <v>7.5359999999999996</v>
      </c>
      <c r="I298" s="60" t="s">
        <v>91</v>
      </c>
      <c r="J298" s="78">
        <v>28500</v>
      </c>
      <c r="K298" s="55"/>
      <c r="L298" s="42">
        <f t="shared" si="6"/>
        <v>214776</v>
      </c>
    </row>
    <row r="299" spans="2:12" x14ac:dyDescent="0.35">
      <c r="B299" s="148"/>
      <c r="C299" s="87"/>
      <c r="D299" s="69"/>
      <c r="E299" s="70"/>
      <c r="F299" s="71" t="s">
        <v>90</v>
      </c>
      <c r="G299" s="27" t="s">
        <v>444</v>
      </c>
      <c r="H299" s="80">
        <f>0.25*0.15*10*7.85*1.2</f>
        <v>3.5324999999999993</v>
      </c>
      <c r="I299" s="60" t="s">
        <v>91</v>
      </c>
      <c r="J299" s="78">
        <v>28500</v>
      </c>
      <c r="K299" s="55"/>
      <c r="L299" s="42">
        <f t="shared" si="6"/>
        <v>100676.24999999999</v>
      </c>
    </row>
    <row r="300" spans="2:12" x14ac:dyDescent="0.35">
      <c r="B300" s="148"/>
      <c r="C300" s="87"/>
      <c r="D300" s="69"/>
      <c r="E300" s="70"/>
      <c r="F300" s="71" t="s">
        <v>90</v>
      </c>
      <c r="G300" s="27" t="s">
        <v>445</v>
      </c>
      <c r="H300" s="80">
        <f>0.2*10*7.85*0.2*1.2*2</f>
        <v>7.5359999999999996</v>
      </c>
      <c r="I300" s="60" t="s">
        <v>91</v>
      </c>
      <c r="J300" s="78">
        <v>28500</v>
      </c>
      <c r="K300" s="55"/>
      <c r="L300" s="42">
        <f t="shared" si="6"/>
        <v>214776</v>
      </c>
    </row>
    <row r="301" spans="2:12" x14ac:dyDescent="0.35">
      <c r="B301" s="148"/>
      <c r="C301" s="87"/>
      <c r="D301" s="69"/>
      <c r="E301" s="70"/>
      <c r="F301" s="71" t="s">
        <v>90</v>
      </c>
      <c r="G301" s="27" t="s">
        <v>446</v>
      </c>
      <c r="H301" s="80">
        <f>0.25*0.16*10*7.85*1.2</f>
        <v>3.7679999999999998</v>
      </c>
      <c r="I301" s="60" t="s">
        <v>91</v>
      </c>
      <c r="J301" s="78">
        <v>28500</v>
      </c>
      <c r="K301" s="55"/>
      <c r="L301" s="42">
        <f t="shared" si="6"/>
        <v>107388</v>
      </c>
    </row>
    <row r="302" spans="2:12" x14ac:dyDescent="0.35">
      <c r="B302" s="148"/>
      <c r="C302" s="87"/>
      <c r="D302" s="69"/>
      <c r="E302" s="70"/>
      <c r="F302" s="71" t="s">
        <v>90</v>
      </c>
      <c r="G302" s="27" t="s">
        <v>447</v>
      </c>
      <c r="H302" s="80">
        <f>0.2*10*7.85*0.2*1.2*2</f>
        <v>7.5359999999999996</v>
      </c>
      <c r="I302" s="60" t="s">
        <v>91</v>
      </c>
      <c r="J302" s="78">
        <v>28500</v>
      </c>
      <c r="K302" s="47"/>
      <c r="L302" s="42">
        <f t="shared" si="6"/>
        <v>214776</v>
      </c>
    </row>
    <row r="303" spans="2:12" x14ac:dyDescent="0.35">
      <c r="B303" s="148"/>
      <c r="C303" s="87"/>
      <c r="D303" s="69"/>
      <c r="E303" s="70"/>
      <c r="F303" s="71" t="s">
        <v>90</v>
      </c>
      <c r="G303" s="27" t="s">
        <v>448</v>
      </c>
      <c r="H303" s="80">
        <f>0.25*0.16*10*7.85*1.2</f>
        <v>3.7679999999999998</v>
      </c>
      <c r="I303" s="60" t="s">
        <v>91</v>
      </c>
      <c r="J303" s="78">
        <v>28500</v>
      </c>
      <c r="K303" s="55"/>
      <c r="L303" s="42">
        <f t="shared" si="6"/>
        <v>107388</v>
      </c>
    </row>
    <row r="304" spans="2:12" s="31" customFormat="1" x14ac:dyDescent="0.35">
      <c r="B304" s="148"/>
      <c r="C304" s="87"/>
      <c r="D304" s="69"/>
      <c r="E304" s="70"/>
      <c r="F304" s="71" t="s">
        <v>90</v>
      </c>
      <c r="G304" s="27" t="s">
        <v>449</v>
      </c>
      <c r="H304" s="80">
        <f>0.25*0.16*10*7.85*1.2</f>
        <v>3.7679999999999998</v>
      </c>
      <c r="I304" s="60" t="s">
        <v>91</v>
      </c>
      <c r="J304" s="78">
        <v>28500</v>
      </c>
      <c r="K304" s="55"/>
      <c r="L304" s="42">
        <f t="shared" si="6"/>
        <v>107388</v>
      </c>
    </row>
    <row r="305" spans="2:12" s="31" customFormat="1" x14ac:dyDescent="0.35">
      <c r="B305" s="148"/>
      <c r="C305" s="87"/>
      <c r="D305" s="69"/>
      <c r="E305" s="70"/>
      <c r="F305" s="71" t="s">
        <v>90</v>
      </c>
      <c r="G305" s="27" t="s">
        <v>450</v>
      </c>
      <c r="H305" s="80">
        <f>0.3*12*7.85*0.2*1.2*3</f>
        <v>20.347199999999997</v>
      </c>
      <c r="I305" s="60" t="s">
        <v>91</v>
      </c>
      <c r="J305" s="78">
        <v>28500</v>
      </c>
      <c r="K305" s="55"/>
      <c r="L305" s="42">
        <f t="shared" si="6"/>
        <v>579895.19999999995</v>
      </c>
    </row>
    <row r="306" spans="2:12" s="31" customFormat="1" x14ac:dyDescent="0.35">
      <c r="B306" s="70"/>
      <c r="C306" s="84"/>
      <c r="D306" s="69"/>
      <c r="E306" s="70"/>
      <c r="F306" s="71" t="s">
        <v>90</v>
      </c>
      <c r="G306" s="27" t="s">
        <v>101</v>
      </c>
      <c r="H306" s="80">
        <f>49.9*3.6*1.2</f>
        <v>215.56799999999998</v>
      </c>
      <c r="I306" s="60" t="s">
        <v>91</v>
      </c>
      <c r="J306" s="78">
        <v>28500</v>
      </c>
      <c r="K306" s="73"/>
      <c r="L306" s="42">
        <f t="shared" si="6"/>
        <v>6143687.9999999991</v>
      </c>
    </row>
    <row r="307" spans="2:12" s="31" customFormat="1" x14ac:dyDescent="0.35">
      <c r="B307" s="70"/>
      <c r="C307" s="87"/>
      <c r="D307" s="62"/>
      <c r="E307" s="70"/>
      <c r="F307" s="71" t="s">
        <v>90</v>
      </c>
      <c r="G307" s="27" t="s">
        <v>315</v>
      </c>
      <c r="H307" s="80">
        <f>0.25*0.25*12*7.85*1.2</f>
        <v>7.0649999999999986</v>
      </c>
      <c r="I307" s="60" t="s">
        <v>91</v>
      </c>
      <c r="J307" s="78">
        <v>28500</v>
      </c>
      <c r="K307" s="73"/>
      <c r="L307" s="42">
        <f t="shared" si="6"/>
        <v>201352.49999999997</v>
      </c>
    </row>
    <row r="308" spans="2:12" s="31" customFormat="1" x14ac:dyDescent="0.35">
      <c r="B308" s="70"/>
      <c r="C308" s="87"/>
      <c r="D308" s="62"/>
      <c r="E308" s="70"/>
      <c r="F308" s="71" t="s">
        <v>90</v>
      </c>
      <c r="G308" s="27" t="s">
        <v>102</v>
      </c>
      <c r="H308" s="80">
        <f>49.9*3.1*1.2</f>
        <v>185.62799999999999</v>
      </c>
      <c r="I308" s="60" t="s">
        <v>91</v>
      </c>
      <c r="J308" s="78">
        <v>28500</v>
      </c>
      <c r="K308" s="99"/>
      <c r="L308" s="42">
        <f t="shared" si="6"/>
        <v>5290398</v>
      </c>
    </row>
    <row r="309" spans="2:12" s="31" customFormat="1" x14ac:dyDescent="0.35">
      <c r="B309" s="70"/>
      <c r="C309" s="87"/>
      <c r="D309" s="62"/>
      <c r="E309" s="70"/>
      <c r="F309" s="71" t="s">
        <v>90</v>
      </c>
      <c r="G309" s="27" t="s">
        <v>316</v>
      </c>
      <c r="H309" s="80">
        <f>0.25*0.25*12*7.85*1.2</f>
        <v>7.0649999999999986</v>
      </c>
      <c r="I309" s="60" t="s">
        <v>91</v>
      </c>
      <c r="J309" s="78">
        <v>28500</v>
      </c>
      <c r="K309" s="47"/>
      <c r="L309" s="42">
        <f t="shared" si="6"/>
        <v>201352.49999999997</v>
      </c>
    </row>
    <row r="310" spans="2:12" s="31" customFormat="1" x14ac:dyDescent="0.35">
      <c r="B310" s="148"/>
      <c r="C310" s="87"/>
      <c r="D310" s="69"/>
      <c r="E310" s="70"/>
      <c r="F310" s="71" t="s">
        <v>90</v>
      </c>
      <c r="G310" s="27" t="s">
        <v>451</v>
      </c>
      <c r="H310" s="80">
        <f>0.2*10*7.85*3.63*1.2*2</f>
        <v>136.77839999999998</v>
      </c>
      <c r="I310" s="60" t="s">
        <v>91</v>
      </c>
      <c r="J310" s="78">
        <v>28500</v>
      </c>
      <c r="K310" s="47"/>
      <c r="L310" s="42">
        <f t="shared" si="6"/>
        <v>3898184.3999999994</v>
      </c>
    </row>
    <row r="311" spans="2:12" s="31" customFormat="1" x14ac:dyDescent="0.35">
      <c r="B311" s="148"/>
      <c r="C311" s="87"/>
      <c r="D311" s="69"/>
      <c r="E311" s="70"/>
      <c r="F311" s="71" t="s">
        <v>90</v>
      </c>
      <c r="G311" s="27" t="s">
        <v>452</v>
      </c>
      <c r="H311" s="80">
        <f>0.3*12*7.85*3.63*1.2</f>
        <v>123.10055999999997</v>
      </c>
      <c r="I311" s="60" t="s">
        <v>91</v>
      </c>
      <c r="J311" s="78">
        <v>28500</v>
      </c>
      <c r="K311" s="82"/>
      <c r="L311" s="42">
        <f t="shared" si="6"/>
        <v>3508365.959999999</v>
      </c>
    </row>
    <row r="312" spans="2:12" s="31" customFormat="1" x14ac:dyDescent="0.35">
      <c r="B312" s="148"/>
      <c r="C312" s="87"/>
      <c r="D312" s="69"/>
      <c r="E312" s="70"/>
      <c r="F312" s="71" t="s">
        <v>90</v>
      </c>
      <c r="G312" s="27" t="s">
        <v>453</v>
      </c>
      <c r="H312" s="80">
        <f>0.2*10*7.85*0.2*1.2</f>
        <v>3.7679999999999998</v>
      </c>
      <c r="I312" s="60" t="s">
        <v>91</v>
      </c>
      <c r="J312" s="78">
        <v>28500</v>
      </c>
      <c r="K312" s="59"/>
      <c r="L312" s="42">
        <f t="shared" si="6"/>
        <v>107388</v>
      </c>
    </row>
    <row r="313" spans="2:12" s="31" customFormat="1" x14ac:dyDescent="0.35">
      <c r="B313" s="148"/>
      <c r="C313" s="87"/>
      <c r="D313" s="69"/>
      <c r="E313" s="70"/>
      <c r="F313" s="71" t="s">
        <v>90</v>
      </c>
      <c r="G313" s="27" t="s">
        <v>454</v>
      </c>
      <c r="H313" s="80">
        <f>0.25*0.15*10*7.85*1.2*2</f>
        <v>7.0649999999999986</v>
      </c>
      <c r="I313" s="60" t="s">
        <v>91</v>
      </c>
      <c r="J313" s="78">
        <v>28500</v>
      </c>
      <c r="K313" s="78"/>
      <c r="L313" s="42">
        <f t="shared" si="6"/>
        <v>201352.49999999997</v>
      </c>
    </row>
    <row r="314" spans="2:12" s="31" customFormat="1" x14ac:dyDescent="0.35">
      <c r="B314" s="148"/>
      <c r="C314" s="87"/>
      <c r="D314" s="69"/>
      <c r="E314" s="70"/>
      <c r="F314" s="71" t="s">
        <v>90</v>
      </c>
      <c r="G314" s="27" t="s">
        <v>455</v>
      </c>
      <c r="H314" s="80">
        <f>0.25*0.15*10*7.85*1.2*2</f>
        <v>7.0649999999999986</v>
      </c>
      <c r="I314" s="60" t="s">
        <v>91</v>
      </c>
      <c r="J314" s="78">
        <v>28500</v>
      </c>
      <c r="K314" s="78"/>
      <c r="L314" s="42">
        <f t="shared" si="6"/>
        <v>201352.49999999997</v>
      </c>
    </row>
    <row r="315" spans="2:12" s="31" customFormat="1" x14ac:dyDescent="0.35">
      <c r="B315" s="148"/>
      <c r="C315" s="87"/>
      <c r="D315" s="69"/>
      <c r="E315" s="70"/>
      <c r="F315" s="71" t="s">
        <v>90</v>
      </c>
      <c r="G315" s="27" t="s">
        <v>456</v>
      </c>
      <c r="H315" s="80">
        <f>0.25*0.15*10*7.85*1.2*2</f>
        <v>7.0649999999999986</v>
      </c>
      <c r="I315" s="60" t="s">
        <v>91</v>
      </c>
      <c r="J315" s="78">
        <v>28500</v>
      </c>
      <c r="K315" s="57"/>
      <c r="L315" s="42">
        <f t="shared" si="6"/>
        <v>201352.49999999997</v>
      </c>
    </row>
    <row r="316" spans="2:12" s="31" customFormat="1" x14ac:dyDescent="0.35">
      <c r="B316" s="148"/>
      <c r="C316" s="87"/>
      <c r="D316" s="69"/>
      <c r="E316" s="70"/>
      <c r="F316" s="71" t="s">
        <v>90</v>
      </c>
      <c r="G316" s="27" t="s">
        <v>457</v>
      </c>
      <c r="H316" s="80">
        <f>0.2*10*7.85*0.2*1.2</f>
        <v>3.7679999999999998</v>
      </c>
      <c r="I316" s="60" t="s">
        <v>91</v>
      </c>
      <c r="J316" s="78">
        <v>28500</v>
      </c>
      <c r="K316" s="78"/>
      <c r="L316" s="42">
        <f t="shared" si="6"/>
        <v>107388</v>
      </c>
    </row>
    <row r="317" spans="2:12" s="31" customFormat="1" x14ac:dyDescent="0.35">
      <c r="B317" s="70"/>
      <c r="C317" s="84"/>
      <c r="D317" s="69"/>
      <c r="E317" s="70"/>
      <c r="F317" s="71" t="s">
        <v>90</v>
      </c>
      <c r="G317" s="27" t="s">
        <v>319</v>
      </c>
      <c r="H317" s="80">
        <f>49.9*3.6*1.2</f>
        <v>215.56799999999998</v>
      </c>
      <c r="I317" s="60" t="s">
        <v>91</v>
      </c>
      <c r="J317" s="78">
        <v>28500</v>
      </c>
      <c r="K317" s="55"/>
      <c r="L317" s="42">
        <f t="shared" si="6"/>
        <v>6143687.9999999991</v>
      </c>
    </row>
    <row r="318" spans="2:12" s="31" customFormat="1" x14ac:dyDescent="0.35">
      <c r="B318" s="70"/>
      <c r="C318" s="87"/>
      <c r="D318" s="62"/>
      <c r="E318" s="70"/>
      <c r="F318" s="71" t="s">
        <v>90</v>
      </c>
      <c r="G318" s="27" t="s">
        <v>320</v>
      </c>
      <c r="H318" s="80">
        <f>0.25*0.25*12*7.85*1.2</f>
        <v>7.0649999999999986</v>
      </c>
      <c r="I318" s="60" t="s">
        <v>91</v>
      </c>
      <c r="J318" s="78">
        <v>28500</v>
      </c>
      <c r="K318" s="47"/>
      <c r="L318" s="42">
        <f t="shared" si="6"/>
        <v>201352.49999999997</v>
      </c>
    </row>
    <row r="319" spans="2:12" s="31" customFormat="1" x14ac:dyDescent="0.35">
      <c r="B319" s="70"/>
      <c r="C319" s="87"/>
      <c r="D319" s="62"/>
      <c r="E319" s="70"/>
      <c r="F319" s="71" t="s">
        <v>90</v>
      </c>
      <c r="G319" s="27" t="s">
        <v>103</v>
      </c>
      <c r="H319" s="80">
        <f>49.9*3.1*1.2</f>
        <v>185.62799999999999</v>
      </c>
      <c r="I319" s="60" t="s">
        <v>91</v>
      </c>
      <c r="J319" s="78">
        <v>28500</v>
      </c>
      <c r="K319" s="55"/>
      <c r="L319" s="42">
        <f t="shared" si="6"/>
        <v>5290398</v>
      </c>
    </row>
    <row r="320" spans="2:12" s="31" customFormat="1" x14ac:dyDescent="0.35">
      <c r="B320" s="70"/>
      <c r="C320" s="87"/>
      <c r="D320" s="62"/>
      <c r="E320" s="70"/>
      <c r="F320" s="71" t="s">
        <v>90</v>
      </c>
      <c r="G320" s="27" t="s">
        <v>458</v>
      </c>
      <c r="H320" s="80">
        <f>0.25*0.25*12*7.85*1.2</f>
        <v>7.0649999999999986</v>
      </c>
      <c r="I320" s="60" t="s">
        <v>91</v>
      </c>
      <c r="J320" s="78">
        <v>28500</v>
      </c>
      <c r="K320" s="74"/>
      <c r="L320" s="42">
        <f t="shared" si="6"/>
        <v>201352.49999999997</v>
      </c>
    </row>
    <row r="321" spans="2:12" s="31" customFormat="1" x14ac:dyDescent="0.35">
      <c r="B321" s="148"/>
      <c r="C321" s="87"/>
      <c r="D321" s="69"/>
      <c r="E321" s="70"/>
      <c r="F321" s="71" t="s">
        <v>90</v>
      </c>
      <c r="G321" s="27" t="s">
        <v>459</v>
      </c>
      <c r="H321" s="80">
        <f>0.2*10*7.85*3.63*1.2*5</f>
        <v>341.94599999999991</v>
      </c>
      <c r="I321" s="60" t="s">
        <v>91</v>
      </c>
      <c r="J321" s="78">
        <v>28500</v>
      </c>
      <c r="K321" s="74"/>
      <c r="L321" s="42">
        <f t="shared" si="6"/>
        <v>9745460.9999999981</v>
      </c>
    </row>
    <row r="322" spans="2:12" s="31" customFormat="1" x14ac:dyDescent="0.35">
      <c r="B322" s="148"/>
      <c r="C322" s="87"/>
      <c r="D322" s="69"/>
      <c r="E322" s="70"/>
      <c r="F322" s="71" t="s">
        <v>90</v>
      </c>
      <c r="G322" s="27" t="s">
        <v>460</v>
      </c>
      <c r="H322" s="80">
        <f>0.3*12*7.85*3.63*1.2</f>
        <v>123.10055999999997</v>
      </c>
      <c r="I322" s="60" t="s">
        <v>91</v>
      </c>
      <c r="J322" s="78">
        <v>28500</v>
      </c>
      <c r="K322" s="74"/>
      <c r="L322" s="42">
        <f t="shared" si="6"/>
        <v>3508365.959999999</v>
      </c>
    </row>
    <row r="323" spans="2:12" s="31" customFormat="1" x14ac:dyDescent="0.35">
      <c r="B323" s="148"/>
      <c r="C323" s="87"/>
      <c r="D323" s="69"/>
      <c r="E323" s="70"/>
      <c r="F323" s="71" t="s">
        <v>90</v>
      </c>
      <c r="G323" s="27" t="s">
        <v>461</v>
      </c>
      <c r="H323" s="80">
        <f>0.2*10*7.85*0.2*1.2*2</f>
        <v>7.5359999999999996</v>
      </c>
      <c r="I323" s="60" t="s">
        <v>91</v>
      </c>
      <c r="J323" s="78">
        <v>28500</v>
      </c>
      <c r="K323" s="74"/>
      <c r="L323" s="42">
        <f t="shared" si="6"/>
        <v>214776</v>
      </c>
    </row>
    <row r="324" spans="2:12" s="31" customFormat="1" x14ac:dyDescent="0.35">
      <c r="B324" s="148"/>
      <c r="C324" s="87"/>
      <c r="D324" s="69"/>
      <c r="E324" s="70"/>
      <c r="F324" s="71" t="s">
        <v>90</v>
      </c>
      <c r="G324" s="27" t="s">
        <v>462</v>
      </c>
      <c r="H324" s="80">
        <f>0.2*10*7.85*0.16*1.2</f>
        <v>3.0143999999999997</v>
      </c>
      <c r="I324" s="60" t="s">
        <v>91</v>
      </c>
      <c r="J324" s="78">
        <v>28500</v>
      </c>
      <c r="K324" s="74"/>
      <c r="L324" s="42">
        <f t="shared" si="6"/>
        <v>85910.399999999994</v>
      </c>
    </row>
    <row r="325" spans="2:12" s="31" customFormat="1" x14ac:dyDescent="0.35">
      <c r="B325" s="148"/>
      <c r="C325" s="87"/>
      <c r="D325" s="69"/>
      <c r="E325" s="70"/>
      <c r="F325" s="71" t="s">
        <v>90</v>
      </c>
      <c r="G325" s="27" t="s">
        <v>463</v>
      </c>
      <c r="H325" s="80">
        <f>0.25*0.15*8*7.85*1.2</f>
        <v>2.8260000000000001</v>
      </c>
      <c r="I325" s="60" t="s">
        <v>91</v>
      </c>
      <c r="J325" s="78">
        <v>28500</v>
      </c>
      <c r="K325" s="74"/>
      <c r="L325" s="42">
        <f t="shared" si="6"/>
        <v>80541</v>
      </c>
    </row>
    <row r="326" spans="2:12" s="31" customFormat="1" x14ac:dyDescent="0.35">
      <c r="B326" s="148"/>
      <c r="C326" s="87"/>
      <c r="D326" s="69"/>
      <c r="E326" s="70"/>
      <c r="F326" s="71" t="s">
        <v>90</v>
      </c>
      <c r="G326" s="27" t="s">
        <v>464</v>
      </c>
      <c r="H326" s="80">
        <f>0.2*10*7.85*0.15*1.2</f>
        <v>2.8260000000000001</v>
      </c>
      <c r="I326" s="60" t="s">
        <v>91</v>
      </c>
      <c r="J326" s="78">
        <v>28500</v>
      </c>
      <c r="K326" s="47"/>
      <c r="L326" s="42">
        <f t="shared" si="6"/>
        <v>80541</v>
      </c>
    </row>
    <row r="327" spans="2:12" s="31" customFormat="1" x14ac:dyDescent="0.35">
      <c r="B327" s="148"/>
      <c r="C327" s="87"/>
      <c r="D327" s="69"/>
      <c r="E327" s="70"/>
      <c r="F327" s="71" t="s">
        <v>90</v>
      </c>
      <c r="G327" s="27" t="s">
        <v>465</v>
      </c>
      <c r="H327" s="80">
        <f>0.2*10*7.85*0.2*1.2*2</f>
        <v>7.5359999999999996</v>
      </c>
      <c r="I327" s="60" t="s">
        <v>91</v>
      </c>
      <c r="J327" s="78">
        <v>28500</v>
      </c>
      <c r="K327" s="47"/>
      <c r="L327" s="42">
        <f t="shared" si="6"/>
        <v>214776</v>
      </c>
    </row>
    <row r="328" spans="2:12" s="31" customFormat="1" x14ac:dyDescent="0.35">
      <c r="B328" s="148"/>
      <c r="C328" s="87"/>
      <c r="D328" s="69"/>
      <c r="E328" s="70"/>
      <c r="F328" s="71" t="s">
        <v>90</v>
      </c>
      <c r="G328" s="27" t="s">
        <v>466</v>
      </c>
      <c r="H328" s="80">
        <f>0.2*10*7.85*0.25*1.2*2</f>
        <v>9.42</v>
      </c>
      <c r="I328" s="60" t="s">
        <v>91</v>
      </c>
      <c r="J328" s="78">
        <v>28500</v>
      </c>
      <c r="K328" s="73"/>
      <c r="L328" s="42">
        <f t="shared" si="6"/>
        <v>268470</v>
      </c>
    </row>
    <row r="329" spans="2:12" s="31" customFormat="1" x14ac:dyDescent="0.35">
      <c r="B329" s="148"/>
      <c r="C329" s="87"/>
      <c r="D329" s="69"/>
      <c r="E329" s="70"/>
      <c r="F329" s="71" t="s">
        <v>90</v>
      </c>
      <c r="G329" s="27" t="s">
        <v>467</v>
      </c>
      <c r="H329" s="80">
        <f>0.3*12*7.85*0.2*1.2</f>
        <v>6.7823999999999991</v>
      </c>
      <c r="I329" s="60" t="s">
        <v>91</v>
      </c>
      <c r="J329" s="78">
        <v>28500</v>
      </c>
      <c r="K329" s="47"/>
      <c r="L329" s="42">
        <f t="shared" si="6"/>
        <v>193298.39999999997</v>
      </c>
    </row>
    <row r="330" spans="2:12" s="31" customFormat="1" x14ac:dyDescent="0.35">
      <c r="B330" s="70"/>
      <c r="C330" s="84"/>
      <c r="D330" s="69"/>
      <c r="E330" s="70"/>
      <c r="F330" s="71" t="s">
        <v>90</v>
      </c>
      <c r="G330" s="27" t="s">
        <v>324</v>
      </c>
      <c r="H330" s="80">
        <f>49.9*3.6*1.2</f>
        <v>215.56799999999998</v>
      </c>
      <c r="I330" s="60" t="s">
        <v>91</v>
      </c>
      <c r="J330" s="78">
        <v>28500</v>
      </c>
      <c r="K330" s="47"/>
      <c r="L330" s="42">
        <f t="shared" si="6"/>
        <v>6143687.9999999991</v>
      </c>
    </row>
    <row r="331" spans="2:12" s="31" customFormat="1" x14ac:dyDescent="0.35">
      <c r="B331" s="70"/>
      <c r="C331" s="87"/>
      <c r="D331" s="62"/>
      <c r="E331" s="70"/>
      <c r="F331" s="71" t="s">
        <v>90</v>
      </c>
      <c r="G331" s="27" t="s">
        <v>325</v>
      </c>
      <c r="H331" s="80">
        <f>0.25*0.25*12*7.85*1.2</f>
        <v>7.0649999999999986</v>
      </c>
      <c r="I331" s="60" t="s">
        <v>91</v>
      </c>
      <c r="J331" s="78">
        <v>28500</v>
      </c>
      <c r="K331" s="47"/>
      <c r="L331" s="42">
        <f t="shared" si="6"/>
        <v>201352.49999999997</v>
      </c>
    </row>
    <row r="332" spans="2:12" s="31" customFormat="1" x14ac:dyDescent="0.35">
      <c r="B332" s="70"/>
      <c r="C332" s="87"/>
      <c r="D332" s="62"/>
      <c r="E332" s="70"/>
      <c r="F332" s="71" t="s">
        <v>90</v>
      </c>
      <c r="G332" s="27" t="s">
        <v>104</v>
      </c>
      <c r="H332" s="80">
        <f>49.9*3.1*1.2</f>
        <v>185.62799999999999</v>
      </c>
      <c r="I332" s="60" t="s">
        <v>91</v>
      </c>
      <c r="J332" s="78">
        <v>28500</v>
      </c>
      <c r="K332" s="47"/>
      <c r="L332" s="42">
        <f t="shared" si="6"/>
        <v>5290398</v>
      </c>
    </row>
    <row r="333" spans="2:12" s="31" customFormat="1" x14ac:dyDescent="0.35">
      <c r="B333" s="70"/>
      <c r="C333" s="87"/>
      <c r="D333" s="62"/>
      <c r="E333" s="70"/>
      <c r="F333" s="71" t="s">
        <v>90</v>
      </c>
      <c r="G333" s="27" t="s">
        <v>468</v>
      </c>
      <c r="H333" s="80">
        <f>0.25*0.25*12*7.85*1.2</f>
        <v>7.0649999999999986</v>
      </c>
      <c r="I333" s="60" t="s">
        <v>91</v>
      </c>
      <c r="J333" s="78">
        <v>28500</v>
      </c>
      <c r="K333" s="47"/>
      <c r="L333" s="42">
        <f t="shared" si="6"/>
        <v>201352.49999999997</v>
      </c>
    </row>
    <row r="334" spans="2:12" x14ac:dyDescent="0.35">
      <c r="B334" s="148"/>
      <c r="C334" s="87"/>
      <c r="D334" s="69"/>
      <c r="E334" s="70"/>
      <c r="F334" s="71" t="s">
        <v>90</v>
      </c>
      <c r="G334" s="27" t="s">
        <v>469</v>
      </c>
      <c r="H334" s="80">
        <f>0.2*10*7.85*3.64*1.2*5</f>
        <v>342.88799999999992</v>
      </c>
      <c r="I334" s="60" t="s">
        <v>91</v>
      </c>
      <c r="J334" s="78">
        <v>28500</v>
      </c>
      <c r="K334" s="47"/>
      <c r="L334" s="42">
        <f t="shared" si="6"/>
        <v>9772307.9999999981</v>
      </c>
    </row>
    <row r="335" spans="2:12" x14ac:dyDescent="0.35">
      <c r="B335" s="148"/>
      <c r="C335" s="87"/>
      <c r="D335" s="69"/>
      <c r="E335" s="70"/>
      <c r="F335" s="71" t="s">
        <v>90</v>
      </c>
      <c r="G335" s="27" t="s">
        <v>470</v>
      </c>
      <c r="H335" s="80">
        <f>0.3*12*7.85*3.64*1.2</f>
        <v>123.43967999999998</v>
      </c>
      <c r="I335" s="60" t="s">
        <v>91</v>
      </c>
      <c r="J335" s="78">
        <v>28500</v>
      </c>
      <c r="K335" s="47"/>
      <c r="L335" s="42">
        <f t="shared" si="6"/>
        <v>3518030.8799999994</v>
      </c>
    </row>
    <row r="336" spans="2:12" x14ac:dyDescent="0.35">
      <c r="B336" s="148"/>
      <c r="C336" s="87"/>
      <c r="D336" s="69"/>
      <c r="E336" s="70"/>
      <c r="F336" s="71" t="s">
        <v>90</v>
      </c>
      <c r="G336" s="27" t="s">
        <v>471</v>
      </c>
      <c r="H336" s="80">
        <f>0.3*12*7.85*0.2*1.2</f>
        <v>6.7823999999999991</v>
      </c>
      <c r="I336" s="60" t="s">
        <v>91</v>
      </c>
      <c r="J336" s="78">
        <v>28500</v>
      </c>
      <c r="K336" s="47"/>
      <c r="L336" s="42">
        <f t="shared" si="6"/>
        <v>193298.39999999997</v>
      </c>
    </row>
    <row r="337" spans="2:12" x14ac:dyDescent="0.35">
      <c r="B337" s="70"/>
      <c r="C337" s="84"/>
      <c r="D337" s="69"/>
      <c r="E337" s="70"/>
      <c r="F337" s="71" t="s">
        <v>90</v>
      </c>
      <c r="G337" s="27" t="s">
        <v>329</v>
      </c>
      <c r="H337" s="80">
        <f>49.9*3.6*1.2</f>
        <v>215.56799999999998</v>
      </c>
      <c r="I337" s="60" t="s">
        <v>91</v>
      </c>
      <c r="J337" s="78">
        <v>28500</v>
      </c>
      <c r="K337" s="47"/>
      <c r="L337" s="42">
        <f t="shared" si="6"/>
        <v>6143687.9999999991</v>
      </c>
    </row>
    <row r="338" spans="2:12" x14ac:dyDescent="0.35">
      <c r="B338" s="70"/>
      <c r="C338" s="87"/>
      <c r="D338" s="62"/>
      <c r="E338" s="70"/>
      <c r="F338" s="71" t="s">
        <v>90</v>
      </c>
      <c r="G338" s="27" t="s">
        <v>330</v>
      </c>
      <c r="H338" s="80">
        <f>0.25*0.25*12*7.85*1.2</f>
        <v>7.0649999999999986</v>
      </c>
      <c r="I338" s="60" t="s">
        <v>91</v>
      </c>
      <c r="J338" s="78">
        <v>28500</v>
      </c>
      <c r="K338" s="47"/>
      <c r="L338" s="42">
        <f t="shared" si="6"/>
        <v>201352.49999999997</v>
      </c>
    </row>
    <row r="339" spans="2:12" x14ac:dyDescent="0.35">
      <c r="B339" s="43"/>
      <c r="C339" s="44"/>
      <c r="D339" s="21"/>
      <c r="G339" s="20"/>
      <c r="I339" s="20"/>
      <c r="J339" s="46"/>
      <c r="K339" s="26"/>
      <c r="L339" s="48"/>
    </row>
    <row r="340" spans="2:12" x14ac:dyDescent="0.35">
      <c r="B340" s="43"/>
      <c r="C340" s="44"/>
      <c r="D340" s="21"/>
      <c r="G340" s="20"/>
      <c r="I340" s="20"/>
      <c r="J340" s="46"/>
      <c r="K340" s="26"/>
      <c r="L340" s="48"/>
    </row>
    <row r="341" spans="2:12" x14ac:dyDescent="0.35">
      <c r="B341" s="8"/>
      <c r="C341" s="9"/>
      <c r="D341" s="10"/>
      <c r="E341" s="4"/>
      <c r="F341" s="4"/>
      <c r="G341" s="4"/>
      <c r="H341" s="1"/>
      <c r="I341" s="1"/>
      <c r="J341" s="11" t="s">
        <v>8</v>
      </c>
      <c r="K341" s="7">
        <f>SUM(K288:K340)</f>
        <v>0</v>
      </c>
      <c r="L341" s="7">
        <f>SUM(L288:L340)</f>
        <v>97806408.64199999</v>
      </c>
    </row>
    <row r="342" spans="2:12" x14ac:dyDescent="0.35">
      <c r="B342" s="8"/>
      <c r="C342" s="9"/>
      <c r="D342" s="9"/>
      <c r="E342" s="4"/>
      <c r="F342" s="4"/>
      <c r="G342" s="4"/>
      <c r="H342" s="1"/>
      <c r="I342" s="1"/>
      <c r="J342" s="11"/>
      <c r="K342" s="32" t="s">
        <v>13</v>
      </c>
      <c r="L342" s="33" t="s">
        <v>14</v>
      </c>
    </row>
    <row r="343" spans="2:12" x14ac:dyDescent="0.35">
      <c r="B343" s="3" t="s">
        <v>9</v>
      </c>
      <c r="C343" s="4"/>
      <c r="D343" s="4"/>
      <c r="E343" s="4"/>
      <c r="F343" s="4"/>
      <c r="G343" s="4"/>
      <c r="H343" s="1"/>
      <c r="I343" s="1"/>
      <c r="J343" s="12"/>
      <c r="K343" s="12"/>
      <c r="L343" s="13"/>
    </row>
    <row r="344" spans="2:12" x14ac:dyDescent="0.35">
      <c r="B344" s="34"/>
      <c r="C344" s="1"/>
      <c r="D344" s="1"/>
      <c r="E344" s="35"/>
      <c r="F344" s="35"/>
      <c r="G344" s="35"/>
      <c r="H344" s="1"/>
      <c r="I344" s="1"/>
      <c r="J344" s="1"/>
      <c r="K344" s="1"/>
      <c r="L344" s="17"/>
    </row>
    <row r="345" spans="2:12" x14ac:dyDescent="0.35">
      <c r="B345" s="25" t="s">
        <v>6</v>
      </c>
      <c r="C345" s="24"/>
      <c r="D345" s="24"/>
      <c r="E345" s="23"/>
      <c r="F345" s="23"/>
      <c r="G345" s="5"/>
      <c r="K345" s="227" t="s">
        <v>1292</v>
      </c>
      <c r="L345" s="228"/>
    </row>
    <row r="346" spans="2:12" x14ac:dyDescent="0.35">
      <c r="B346" s="25">
        <v>1</v>
      </c>
      <c r="C346" s="24"/>
      <c r="D346" s="24"/>
      <c r="E346" s="23" t="s">
        <v>7</v>
      </c>
      <c r="F346" s="23"/>
      <c r="G346" s="5"/>
      <c r="K346" s="227" t="s">
        <v>18</v>
      </c>
      <c r="L346" s="228"/>
    </row>
    <row r="347" spans="2:12" x14ac:dyDescent="0.35">
      <c r="B347" s="36"/>
      <c r="C347" s="24"/>
      <c r="D347" s="24"/>
      <c r="E347" s="23"/>
      <c r="F347" s="23"/>
      <c r="G347" s="5"/>
      <c r="J347" s="22"/>
      <c r="K347" s="22"/>
      <c r="L347" s="21"/>
    </row>
    <row r="348" spans="2:12" x14ac:dyDescent="0.35">
      <c r="B348" s="25"/>
      <c r="C348" s="24"/>
      <c r="D348" s="24"/>
      <c r="E348" s="23"/>
      <c r="F348" s="23"/>
      <c r="G348" s="5"/>
      <c r="L348" s="20"/>
    </row>
    <row r="349" spans="2:12" x14ac:dyDescent="0.35">
      <c r="B349" s="41"/>
      <c r="E349" s="5"/>
      <c r="F349" s="5"/>
      <c r="G349" s="5"/>
      <c r="L349" s="20"/>
    </row>
    <row r="350" spans="2:12" x14ac:dyDescent="0.35">
      <c r="B350" s="41"/>
      <c r="E350" s="5"/>
      <c r="F350" s="5"/>
      <c r="G350" s="5"/>
      <c r="L350" s="20"/>
    </row>
    <row r="351" spans="2:12" x14ac:dyDescent="0.35">
      <c r="B351" s="41"/>
      <c r="E351" s="5"/>
      <c r="F351" s="5"/>
      <c r="G351" s="5"/>
      <c r="L351" s="20"/>
    </row>
    <row r="352" spans="2:12" x14ac:dyDescent="0.35">
      <c r="B352" s="41"/>
      <c r="E352" s="5"/>
      <c r="F352" s="5"/>
      <c r="G352" s="5"/>
      <c r="J352" s="37"/>
      <c r="K352" s="229" t="s">
        <v>26</v>
      </c>
      <c r="L352" s="230"/>
    </row>
    <row r="353" spans="2:12" x14ac:dyDescent="0.35">
      <c r="B353" s="41"/>
      <c r="K353" s="231" t="s">
        <v>27</v>
      </c>
      <c r="L353" s="232"/>
    </row>
    <row r="354" spans="2:12" x14ac:dyDescent="0.35">
      <c r="B354" s="233"/>
      <c r="C354" s="234"/>
      <c r="D354" s="234"/>
      <c r="E354" s="38"/>
      <c r="F354" s="38"/>
      <c r="G354" s="38"/>
      <c r="H354" s="2"/>
      <c r="I354" s="2"/>
      <c r="J354" s="2"/>
      <c r="K354" s="2"/>
      <c r="L354" s="19"/>
    </row>
    <row r="355" spans="2:12" x14ac:dyDescent="0.35">
      <c r="B355" s="43"/>
      <c r="C355" s="44"/>
      <c r="D355" s="45"/>
      <c r="G355" s="20"/>
      <c r="H355" s="1"/>
      <c r="I355" s="1"/>
      <c r="J355" s="39"/>
      <c r="K355" s="27"/>
      <c r="L355" s="40"/>
    </row>
    <row r="356" spans="2:12" x14ac:dyDescent="0.35">
      <c r="B356" s="70"/>
      <c r="C356" s="87"/>
      <c r="D356" s="62"/>
      <c r="E356" s="70"/>
      <c r="F356" s="71" t="s">
        <v>90</v>
      </c>
      <c r="G356" s="27" t="s">
        <v>472</v>
      </c>
      <c r="H356" s="80">
        <f>0.36*0.18*10*7.85*1.2</f>
        <v>6.1041599999999994</v>
      </c>
      <c r="I356" s="60" t="s">
        <v>91</v>
      </c>
      <c r="J356" s="78">
        <v>28500</v>
      </c>
      <c r="K356" s="47"/>
      <c r="L356" s="42">
        <f t="shared" ref="L356:L405" si="7">J356*H356</f>
        <v>173968.55999999997</v>
      </c>
    </row>
    <row r="357" spans="2:12" s="31" customFormat="1" x14ac:dyDescent="0.35">
      <c r="B357" s="70"/>
      <c r="C357" s="87"/>
      <c r="D357" s="62"/>
      <c r="E357" s="70"/>
      <c r="F357" s="71" t="s">
        <v>90</v>
      </c>
      <c r="G357" s="27" t="s">
        <v>331</v>
      </c>
      <c r="H357" s="80">
        <f>49.9*3.1*1.2</f>
        <v>185.62799999999999</v>
      </c>
      <c r="I357" s="60" t="s">
        <v>91</v>
      </c>
      <c r="J357" s="78">
        <v>28500</v>
      </c>
      <c r="K357" s="47"/>
      <c r="L357" s="42">
        <f t="shared" si="7"/>
        <v>5290398</v>
      </c>
    </row>
    <row r="358" spans="2:12" s="31" customFormat="1" x14ac:dyDescent="0.35">
      <c r="B358" s="70"/>
      <c r="C358" s="87"/>
      <c r="D358" s="62"/>
      <c r="E358" s="70"/>
      <c r="F358" s="71" t="s">
        <v>90</v>
      </c>
      <c r="G358" s="27" t="s">
        <v>473</v>
      </c>
      <c r="H358" s="80">
        <f>0.25*0.25*12*7.85*1.2</f>
        <v>7.0649999999999986</v>
      </c>
      <c r="I358" s="60" t="s">
        <v>91</v>
      </c>
      <c r="J358" s="78">
        <v>28500</v>
      </c>
      <c r="K358" s="47"/>
      <c r="L358" s="42">
        <f t="shared" si="7"/>
        <v>201352.49999999997</v>
      </c>
    </row>
    <row r="359" spans="2:12" s="31" customFormat="1" x14ac:dyDescent="0.35">
      <c r="B359" s="148"/>
      <c r="C359" s="87"/>
      <c r="D359" s="69"/>
      <c r="E359" s="70"/>
      <c r="F359" s="71" t="s">
        <v>90</v>
      </c>
      <c r="G359" s="27" t="s">
        <v>474</v>
      </c>
      <c r="H359" s="80">
        <f>0.2*10*7.85*3.63*1.2*5</f>
        <v>341.94599999999991</v>
      </c>
      <c r="I359" s="60" t="s">
        <v>91</v>
      </c>
      <c r="J359" s="78">
        <v>28500</v>
      </c>
      <c r="K359" s="47"/>
      <c r="L359" s="42">
        <f t="shared" si="7"/>
        <v>9745460.9999999981</v>
      </c>
    </row>
    <row r="360" spans="2:12" s="31" customFormat="1" x14ac:dyDescent="0.35">
      <c r="B360" s="148"/>
      <c r="C360" s="87"/>
      <c r="D360" s="69"/>
      <c r="E360" s="70"/>
      <c r="F360" s="71" t="s">
        <v>90</v>
      </c>
      <c r="G360" s="27" t="s">
        <v>475</v>
      </c>
      <c r="H360" s="80">
        <f>0.3*12*7.85*3.63*1.2</f>
        <v>123.10055999999997</v>
      </c>
      <c r="I360" s="60" t="s">
        <v>91</v>
      </c>
      <c r="J360" s="78">
        <v>28500</v>
      </c>
      <c r="K360" s="55"/>
      <c r="L360" s="42">
        <f t="shared" si="7"/>
        <v>3508365.959999999</v>
      </c>
    </row>
    <row r="361" spans="2:12" s="31" customFormat="1" x14ac:dyDescent="0.35">
      <c r="B361" s="148"/>
      <c r="C361" s="87"/>
      <c r="D361" s="69"/>
      <c r="E361" s="70"/>
      <c r="F361" s="71" t="s">
        <v>90</v>
      </c>
      <c r="G361" s="27" t="s">
        <v>476</v>
      </c>
      <c r="H361" s="80">
        <f>0.2*10*7.85*0.2*1.2</f>
        <v>3.7679999999999998</v>
      </c>
      <c r="I361" s="60" t="s">
        <v>91</v>
      </c>
      <c r="J361" s="78">
        <v>28500</v>
      </c>
      <c r="K361" s="55"/>
      <c r="L361" s="42">
        <f t="shared" si="7"/>
        <v>107388</v>
      </c>
    </row>
    <row r="362" spans="2:12" s="31" customFormat="1" x14ac:dyDescent="0.35">
      <c r="B362" s="148"/>
      <c r="C362" s="87"/>
      <c r="D362" s="69"/>
      <c r="E362" s="70"/>
      <c r="F362" s="71" t="s">
        <v>90</v>
      </c>
      <c r="G362" s="27" t="s">
        <v>477</v>
      </c>
      <c r="H362" s="80">
        <f>0.2*10*7.85*0.2*1.2</f>
        <v>3.7679999999999998</v>
      </c>
      <c r="I362" s="60" t="s">
        <v>91</v>
      </c>
      <c r="J362" s="78">
        <v>28500</v>
      </c>
      <c r="K362" s="55"/>
      <c r="L362" s="42">
        <f t="shared" si="7"/>
        <v>107388</v>
      </c>
    </row>
    <row r="363" spans="2:12" s="31" customFormat="1" x14ac:dyDescent="0.35">
      <c r="B363" s="148"/>
      <c r="C363" s="87"/>
      <c r="D363" s="69"/>
      <c r="E363" s="70"/>
      <c r="F363" s="71" t="s">
        <v>90</v>
      </c>
      <c r="G363" s="27" t="s">
        <v>478</v>
      </c>
      <c r="H363" s="80">
        <f>0.3*12*7.85*0.3*1.2</f>
        <v>10.173599999999997</v>
      </c>
      <c r="I363" s="60" t="s">
        <v>91</v>
      </c>
      <c r="J363" s="78">
        <v>28500</v>
      </c>
      <c r="K363" s="55"/>
      <c r="L363" s="42">
        <f t="shared" si="7"/>
        <v>289947.59999999992</v>
      </c>
    </row>
    <row r="364" spans="2:12" s="31" customFormat="1" x14ac:dyDescent="0.35">
      <c r="B364" s="70"/>
      <c r="C364" s="84"/>
      <c r="D364" s="69"/>
      <c r="E364" s="70"/>
      <c r="F364" s="71" t="s">
        <v>90</v>
      </c>
      <c r="G364" s="27" t="s">
        <v>334</v>
      </c>
      <c r="H364" s="80">
        <f>49.9*3.6*1.2</f>
        <v>215.56799999999998</v>
      </c>
      <c r="I364" s="60" t="s">
        <v>91</v>
      </c>
      <c r="J364" s="78">
        <v>28500</v>
      </c>
      <c r="K364" s="55"/>
      <c r="L364" s="42">
        <f t="shared" si="7"/>
        <v>6143687.9999999991</v>
      </c>
    </row>
    <row r="365" spans="2:12" s="31" customFormat="1" x14ac:dyDescent="0.35">
      <c r="B365" s="70"/>
      <c r="C365" s="87"/>
      <c r="D365" s="62"/>
      <c r="E365" s="70"/>
      <c r="F365" s="71" t="s">
        <v>90</v>
      </c>
      <c r="G365" s="27" t="s">
        <v>335</v>
      </c>
      <c r="H365" s="80">
        <f>0.25*0.25*12*7.85*1.2</f>
        <v>7.0649999999999986</v>
      </c>
      <c r="I365" s="60" t="s">
        <v>91</v>
      </c>
      <c r="J365" s="78">
        <v>28500</v>
      </c>
      <c r="K365" s="55"/>
      <c r="L365" s="42">
        <f t="shared" si="7"/>
        <v>201352.49999999997</v>
      </c>
    </row>
    <row r="366" spans="2:12" s="31" customFormat="1" x14ac:dyDescent="0.35">
      <c r="B366" s="70"/>
      <c r="C366" s="87"/>
      <c r="D366" s="62"/>
      <c r="E366" s="70"/>
      <c r="F366" s="71" t="s">
        <v>90</v>
      </c>
      <c r="G366" s="27" t="s">
        <v>479</v>
      </c>
      <c r="H366" s="80">
        <f>49.9*3.1*1.2</f>
        <v>185.62799999999999</v>
      </c>
      <c r="I366" s="60" t="s">
        <v>91</v>
      </c>
      <c r="J366" s="78">
        <v>28500</v>
      </c>
      <c r="K366" s="55"/>
      <c r="L366" s="42">
        <f t="shared" si="7"/>
        <v>5290398</v>
      </c>
    </row>
    <row r="367" spans="2:12" s="31" customFormat="1" x14ac:dyDescent="0.35">
      <c r="B367" s="70"/>
      <c r="C367" s="87"/>
      <c r="D367" s="62"/>
      <c r="E367" s="70"/>
      <c r="F367" s="71" t="s">
        <v>90</v>
      </c>
      <c r="G367" s="27" t="s">
        <v>480</v>
      </c>
      <c r="H367" s="80">
        <f>0.25*0.25*12*7.85*1.2</f>
        <v>7.0649999999999986</v>
      </c>
      <c r="I367" s="60" t="s">
        <v>91</v>
      </c>
      <c r="J367" s="78">
        <v>28500</v>
      </c>
      <c r="K367" s="47"/>
      <c r="L367" s="42">
        <f t="shared" si="7"/>
        <v>201352.49999999997</v>
      </c>
    </row>
    <row r="368" spans="2:12" s="31" customFormat="1" x14ac:dyDescent="0.35">
      <c r="B368" s="148"/>
      <c r="C368" s="87"/>
      <c r="D368" s="69"/>
      <c r="E368" s="70"/>
      <c r="F368" s="71" t="s">
        <v>90</v>
      </c>
      <c r="G368" s="27" t="s">
        <v>481</v>
      </c>
      <c r="H368" s="80">
        <f>0.2*10*7.85*3.65*1.2*5</f>
        <v>343.82999999999993</v>
      </c>
      <c r="I368" s="60" t="s">
        <v>91</v>
      </c>
      <c r="J368" s="78">
        <v>28500</v>
      </c>
      <c r="K368" s="73"/>
      <c r="L368" s="42">
        <f t="shared" si="7"/>
        <v>9799154.9999999981</v>
      </c>
    </row>
    <row r="369" spans="2:12" s="31" customFormat="1" x14ac:dyDescent="0.35">
      <c r="B369" s="148"/>
      <c r="C369" s="87"/>
      <c r="D369" s="69"/>
      <c r="E369" s="70"/>
      <c r="F369" s="71" t="s">
        <v>90</v>
      </c>
      <c r="G369" s="27" t="s">
        <v>482</v>
      </c>
      <c r="H369" s="80">
        <f>0.3*12*7.85*3.65*1.2</f>
        <v>123.77879999999996</v>
      </c>
      <c r="I369" s="60" t="s">
        <v>91</v>
      </c>
      <c r="J369" s="78">
        <v>28500</v>
      </c>
      <c r="K369" s="99"/>
      <c r="L369" s="42">
        <f t="shared" si="7"/>
        <v>3527695.7999999989</v>
      </c>
    </row>
    <row r="370" spans="2:12" s="31" customFormat="1" x14ac:dyDescent="0.35">
      <c r="B370" s="148"/>
      <c r="C370" s="87"/>
      <c r="D370" s="69"/>
      <c r="E370" s="70"/>
      <c r="F370" s="71" t="s">
        <v>90</v>
      </c>
      <c r="G370" s="27" t="s">
        <v>483</v>
      </c>
      <c r="H370" s="80">
        <f>0.2*10*7.85*0.18*1.2</f>
        <v>3.3911999999999995</v>
      </c>
      <c r="I370" s="60" t="s">
        <v>91</v>
      </c>
      <c r="J370" s="78">
        <v>28500</v>
      </c>
      <c r="K370" s="57"/>
      <c r="L370" s="42">
        <f t="shared" si="7"/>
        <v>96649.199999999983</v>
      </c>
    </row>
    <row r="371" spans="2:12" s="31" customFormat="1" x14ac:dyDescent="0.35">
      <c r="B371" s="148"/>
      <c r="C371" s="87"/>
      <c r="D371" s="69"/>
      <c r="E371" s="70"/>
      <c r="F371" s="71" t="s">
        <v>90</v>
      </c>
      <c r="G371" s="27" t="s">
        <v>484</v>
      </c>
      <c r="H371" s="80">
        <f>0.3*12*7.85*0.15*1.2</f>
        <v>5.0867999999999984</v>
      </c>
      <c r="I371" s="60" t="s">
        <v>91</v>
      </c>
      <c r="J371" s="78">
        <v>28500</v>
      </c>
      <c r="K371" s="59"/>
      <c r="L371" s="42">
        <f t="shared" si="7"/>
        <v>144973.79999999996</v>
      </c>
    </row>
    <row r="372" spans="2:12" s="31" customFormat="1" x14ac:dyDescent="0.35">
      <c r="B372" s="148"/>
      <c r="C372" s="87"/>
      <c r="D372" s="69"/>
      <c r="E372" s="70"/>
      <c r="F372" s="71" t="s">
        <v>90</v>
      </c>
      <c r="G372" s="27" t="s">
        <v>485</v>
      </c>
      <c r="H372" s="80">
        <f>0.3*12*7.85*0.3*1.2</f>
        <v>10.173599999999997</v>
      </c>
      <c r="I372" s="60" t="s">
        <v>91</v>
      </c>
      <c r="J372" s="78">
        <v>28500</v>
      </c>
      <c r="K372" s="82"/>
      <c r="L372" s="42">
        <f t="shared" si="7"/>
        <v>289947.59999999992</v>
      </c>
    </row>
    <row r="373" spans="2:12" s="31" customFormat="1" x14ac:dyDescent="0.35">
      <c r="B373" s="70"/>
      <c r="C373" s="84"/>
      <c r="D373" s="69"/>
      <c r="E373" s="70"/>
      <c r="F373" s="71" t="s">
        <v>90</v>
      </c>
      <c r="G373" s="27" t="s">
        <v>338</v>
      </c>
      <c r="H373" s="80">
        <f>49.9*3.6*1.2</f>
        <v>215.56799999999998</v>
      </c>
      <c r="I373" s="60" t="s">
        <v>91</v>
      </c>
      <c r="J373" s="78">
        <v>28500</v>
      </c>
      <c r="K373" s="59"/>
      <c r="L373" s="42">
        <f t="shared" si="7"/>
        <v>6143687.9999999991</v>
      </c>
    </row>
    <row r="374" spans="2:12" x14ac:dyDescent="0.35">
      <c r="B374" s="70"/>
      <c r="C374" s="87"/>
      <c r="D374" s="62"/>
      <c r="E374" s="70"/>
      <c r="F374" s="71" t="s">
        <v>90</v>
      </c>
      <c r="G374" s="27" t="s">
        <v>339</v>
      </c>
      <c r="H374" s="80">
        <f>0.25*0.25*12*7.85*1.2</f>
        <v>7.0649999999999986</v>
      </c>
      <c r="I374" s="60" t="s">
        <v>91</v>
      </c>
      <c r="J374" s="78">
        <v>28500</v>
      </c>
      <c r="K374" s="78"/>
      <c r="L374" s="42">
        <f t="shared" si="7"/>
        <v>201352.49999999997</v>
      </c>
    </row>
    <row r="375" spans="2:12" s="31" customFormat="1" x14ac:dyDescent="0.35">
      <c r="B375" s="70"/>
      <c r="C375" s="87"/>
      <c r="D375" s="62"/>
      <c r="E375" s="70"/>
      <c r="F375" s="71" t="s">
        <v>90</v>
      </c>
      <c r="G375" s="27" t="s">
        <v>486</v>
      </c>
      <c r="H375" s="80">
        <f>0.36*0.18*10*7.85*1.2</f>
        <v>6.1041599999999994</v>
      </c>
      <c r="I375" s="60" t="s">
        <v>91</v>
      </c>
      <c r="J375" s="78">
        <v>28500</v>
      </c>
      <c r="K375" s="47"/>
      <c r="L375" s="42">
        <f t="shared" si="7"/>
        <v>173968.55999999997</v>
      </c>
    </row>
    <row r="376" spans="2:12" s="31" customFormat="1" x14ac:dyDescent="0.35">
      <c r="B376" s="70"/>
      <c r="C376" s="87"/>
      <c r="D376" s="62"/>
      <c r="E376" s="70"/>
      <c r="F376" s="71" t="s">
        <v>90</v>
      </c>
      <c r="G376" s="27" t="s">
        <v>487</v>
      </c>
      <c r="H376" s="80">
        <f>49.9*3.1*1.2</f>
        <v>185.62799999999999</v>
      </c>
      <c r="I376" s="60" t="s">
        <v>91</v>
      </c>
      <c r="J376" s="46">
        <v>15000</v>
      </c>
      <c r="K376" s="57">
        <f>J376*H376</f>
        <v>2784420</v>
      </c>
      <c r="L376" s="42"/>
    </row>
    <row r="377" spans="2:12" s="31" customFormat="1" x14ac:dyDescent="0.35">
      <c r="B377" s="70"/>
      <c r="C377" s="87"/>
      <c r="D377" s="62"/>
      <c r="E377" s="70"/>
      <c r="F377" s="71" t="s">
        <v>90</v>
      </c>
      <c r="G377" s="27" t="s">
        <v>488</v>
      </c>
      <c r="H377" s="80">
        <f>0.25*0.25*12*7.85*1.2</f>
        <v>7.0649999999999986</v>
      </c>
      <c r="I377" s="60" t="s">
        <v>91</v>
      </c>
      <c r="J377" s="78">
        <v>28500</v>
      </c>
      <c r="K377" s="78"/>
      <c r="L377" s="42">
        <f t="shared" si="7"/>
        <v>201352.49999999997</v>
      </c>
    </row>
    <row r="378" spans="2:12" s="31" customFormat="1" x14ac:dyDescent="0.35">
      <c r="B378" s="148"/>
      <c r="C378" s="87"/>
      <c r="D378" s="69"/>
      <c r="E378" s="70"/>
      <c r="F378" s="71" t="s">
        <v>90</v>
      </c>
      <c r="G378" s="27" t="s">
        <v>489</v>
      </c>
      <c r="H378" s="80">
        <f>0.2*10*7.85*3.7*1.2*3</f>
        <v>209.124</v>
      </c>
      <c r="I378" s="60" t="s">
        <v>91</v>
      </c>
      <c r="J378" s="78">
        <v>28500</v>
      </c>
      <c r="K378" s="78"/>
      <c r="L378" s="42">
        <f t="shared" si="7"/>
        <v>5960034</v>
      </c>
    </row>
    <row r="379" spans="2:12" s="31" customFormat="1" x14ac:dyDescent="0.35">
      <c r="B379" s="148"/>
      <c r="C379" s="87"/>
      <c r="D379" s="69"/>
      <c r="E379" s="70"/>
      <c r="F379" s="71" t="s">
        <v>90</v>
      </c>
      <c r="G379" s="27" t="s">
        <v>490</v>
      </c>
      <c r="H379" s="80">
        <f>0.2*10*7.85*3.65*1.2</f>
        <v>68.765999999999991</v>
      </c>
      <c r="I379" s="60" t="s">
        <v>91</v>
      </c>
      <c r="J379" s="78">
        <v>28500</v>
      </c>
      <c r="K379" s="57"/>
      <c r="L379" s="42">
        <f t="shared" si="7"/>
        <v>1959830.9999999998</v>
      </c>
    </row>
    <row r="380" spans="2:12" s="31" customFormat="1" x14ac:dyDescent="0.35">
      <c r="B380" s="148"/>
      <c r="C380" s="87"/>
      <c r="D380" s="69"/>
      <c r="E380" s="70"/>
      <c r="F380" s="71" t="s">
        <v>90</v>
      </c>
      <c r="G380" s="27" t="s">
        <v>97</v>
      </c>
      <c r="H380" s="80">
        <f>0.2*10*7.85*3.6*1.2</f>
        <v>67.823999999999998</v>
      </c>
      <c r="I380" s="60" t="s">
        <v>91</v>
      </c>
      <c r="J380" s="78">
        <v>28500</v>
      </c>
      <c r="K380" s="78"/>
      <c r="L380" s="42">
        <f t="shared" si="7"/>
        <v>1932984</v>
      </c>
    </row>
    <row r="381" spans="2:12" s="31" customFormat="1" x14ac:dyDescent="0.35">
      <c r="B381" s="148"/>
      <c r="C381" s="87"/>
      <c r="D381" s="69"/>
      <c r="E381" s="70"/>
      <c r="F381" s="71" t="s">
        <v>90</v>
      </c>
      <c r="G381" s="27" t="s">
        <v>491</v>
      </c>
      <c r="H381" s="80">
        <f>0.3*12*7.85*3.7*1.2</f>
        <v>125.47439999999997</v>
      </c>
      <c r="I381" s="60" t="s">
        <v>91</v>
      </c>
      <c r="J381" s="78">
        <v>28500</v>
      </c>
      <c r="K381" s="83"/>
      <c r="L381" s="42">
        <f t="shared" si="7"/>
        <v>3576020.3999999994</v>
      </c>
    </row>
    <row r="382" spans="2:12" s="31" customFormat="1" x14ac:dyDescent="0.35">
      <c r="B382" s="148"/>
      <c r="C382" s="87"/>
      <c r="D382" s="69"/>
      <c r="E382" s="70"/>
      <c r="F382" s="71" t="s">
        <v>90</v>
      </c>
      <c r="G382" s="27" t="s">
        <v>492</v>
      </c>
      <c r="H382" s="80">
        <f>0.25*0.15*10*7.85*1.2</f>
        <v>3.5324999999999993</v>
      </c>
      <c r="I382" s="60" t="s">
        <v>91</v>
      </c>
      <c r="J382" s="78">
        <v>28500</v>
      </c>
      <c r="K382" s="83"/>
      <c r="L382" s="42">
        <f t="shared" si="7"/>
        <v>100676.24999999999</v>
      </c>
    </row>
    <row r="383" spans="2:12" s="31" customFormat="1" x14ac:dyDescent="0.35">
      <c r="B383" s="148"/>
      <c r="C383" s="87"/>
      <c r="D383" s="69"/>
      <c r="E383" s="70"/>
      <c r="F383" s="71" t="s">
        <v>90</v>
      </c>
      <c r="G383" s="27" t="s">
        <v>493</v>
      </c>
      <c r="H383" s="80">
        <f>0.2*10*7.85*0.21*1.2</f>
        <v>3.9563999999999995</v>
      </c>
      <c r="I383" s="60" t="s">
        <v>91</v>
      </c>
      <c r="J383" s="78">
        <v>28500</v>
      </c>
      <c r="K383" s="83"/>
      <c r="L383" s="42">
        <f t="shared" si="7"/>
        <v>112757.39999999998</v>
      </c>
    </row>
    <row r="384" spans="2:12" s="31" customFormat="1" x14ac:dyDescent="0.35">
      <c r="B384" s="148"/>
      <c r="C384" s="87"/>
      <c r="D384" s="69"/>
      <c r="E384" s="70"/>
      <c r="F384" s="71" t="s">
        <v>90</v>
      </c>
      <c r="G384" s="27" t="s">
        <v>494</v>
      </c>
      <c r="H384" s="80">
        <f>0.2*10*7.85*0.16*1.2</f>
        <v>3.0143999999999997</v>
      </c>
      <c r="I384" s="60" t="s">
        <v>91</v>
      </c>
      <c r="J384" s="78">
        <v>28500</v>
      </c>
      <c r="K384" s="74"/>
      <c r="L384" s="42">
        <f t="shared" si="7"/>
        <v>85910.399999999994</v>
      </c>
    </row>
    <row r="385" spans="2:12" s="31" customFormat="1" x14ac:dyDescent="0.35">
      <c r="B385" s="148"/>
      <c r="C385" s="87"/>
      <c r="D385" s="69"/>
      <c r="E385" s="70"/>
      <c r="F385" s="71" t="s">
        <v>90</v>
      </c>
      <c r="G385" s="27" t="s">
        <v>495</v>
      </c>
      <c r="H385" s="80">
        <f>0.2*10*7.85*0.21*1.2</f>
        <v>3.9563999999999995</v>
      </c>
      <c r="I385" s="60" t="s">
        <v>91</v>
      </c>
      <c r="J385" s="78">
        <v>28500</v>
      </c>
      <c r="K385" s="74"/>
      <c r="L385" s="42">
        <f t="shared" si="7"/>
        <v>112757.39999999998</v>
      </c>
    </row>
    <row r="386" spans="2:12" s="31" customFormat="1" x14ac:dyDescent="0.35">
      <c r="B386" s="148"/>
      <c r="C386" s="87"/>
      <c r="D386" s="69"/>
      <c r="E386" s="70"/>
      <c r="F386" s="71" t="s">
        <v>90</v>
      </c>
      <c r="G386" s="27" t="s">
        <v>496</v>
      </c>
      <c r="H386" s="80">
        <f>0.2*10*7.85*0.27*1.2</f>
        <v>5.0867999999999993</v>
      </c>
      <c r="I386" s="60" t="s">
        <v>91</v>
      </c>
      <c r="J386" s="78">
        <v>28500</v>
      </c>
      <c r="K386" s="74"/>
      <c r="L386" s="42">
        <f t="shared" si="7"/>
        <v>144973.79999999999</v>
      </c>
    </row>
    <row r="387" spans="2:12" s="31" customFormat="1" x14ac:dyDescent="0.35">
      <c r="B387" s="148"/>
      <c r="C387" s="87"/>
      <c r="D387" s="69"/>
      <c r="E387" s="70"/>
      <c r="F387" s="71" t="s">
        <v>90</v>
      </c>
      <c r="G387" s="27" t="s">
        <v>497</v>
      </c>
      <c r="H387" s="80">
        <f>0.25*0.15*10*7.85*1.2</f>
        <v>3.5324999999999993</v>
      </c>
      <c r="I387" s="60" t="s">
        <v>91</v>
      </c>
      <c r="J387" s="78">
        <v>28500</v>
      </c>
      <c r="K387" s="74"/>
      <c r="L387" s="42">
        <f t="shared" si="7"/>
        <v>100676.24999999999</v>
      </c>
    </row>
    <row r="388" spans="2:12" s="31" customFormat="1" x14ac:dyDescent="0.35">
      <c r="B388" s="148"/>
      <c r="C388" s="87"/>
      <c r="D388" s="69"/>
      <c r="E388" s="70"/>
      <c r="F388" s="71" t="s">
        <v>90</v>
      </c>
      <c r="G388" s="27" t="s">
        <v>498</v>
      </c>
      <c r="H388" s="80">
        <f>0.2*10*7.85*0.2*1.2</f>
        <v>3.7679999999999998</v>
      </c>
      <c r="I388" s="60" t="s">
        <v>91</v>
      </c>
      <c r="J388" s="78">
        <v>28500</v>
      </c>
      <c r="K388" s="47"/>
      <c r="L388" s="42">
        <f t="shared" si="7"/>
        <v>107388</v>
      </c>
    </row>
    <row r="389" spans="2:12" s="31" customFormat="1" x14ac:dyDescent="0.35">
      <c r="B389" s="148"/>
      <c r="C389" s="87"/>
      <c r="D389" s="69"/>
      <c r="E389" s="70"/>
      <c r="F389" s="71" t="s">
        <v>90</v>
      </c>
      <c r="G389" s="27" t="s">
        <v>499</v>
      </c>
      <c r="H389" s="80">
        <f>0.2*10*7.85*0.15*1.2</f>
        <v>2.8260000000000001</v>
      </c>
      <c r="I389" s="60" t="s">
        <v>91</v>
      </c>
      <c r="J389" s="78">
        <v>28500</v>
      </c>
      <c r="K389" s="73"/>
      <c r="L389" s="42">
        <f t="shared" si="7"/>
        <v>80541</v>
      </c>
    </row>
    <row r="390" spans="2:12" s="31" customFormat="1" x14ac:dyDescent="0.35">
      <c r="B390" s="148"/>
      <c r="C390" s="87"/>
      <c r="D390" s="69"/>
      <c r="E390" s="70"/>
      <c r="F390" s="71" t="s">
        <v>90</v>
      </c>
      <c r="G390" s="27" t="s">
        <v>500</v>
      </c>
      <c r="H390" s="80">
        <f>0.25*0.15*10*7.85*1.2</f>
        <v>3.5324999999999993</v>
      </c>
      <c r="I390" s="60" t="s">
        <v>91</v>
      </c>
      <c r="J390" s="78">
        <v>28500</v>
      </c>
      <c r="K390" s="73"/>
      <c r="L390" s="42">
        <f t="shared" si="7"/>
        <v>100676.24999999999</v>
      </c>
    </row>
    <row r="391" spans="2:12" s="31" customFormat="1" x14ac:dyDescent="0.35">
      <c r="B391" s="148"/>
      <c r="C391" s="87"/>
      <c r="D391" s="69"/>
      <c r="E391" s="70"/>
      <c r="F391" s="71" t="s">
        <v>90</v>
      </c>
      <c r="G391" s="27" t="s">
        <v>501</v>
      </c>
      <c r="H391" s="80">
        <f>0.3*12*7.85*0.2*1.2*2</f>
        <v>13.564799999999998</v>
      </c>
      <c r="I391" s="60" t="s">
        <v>91</v>
      </c>
      <c r="J391" s="78">
        <v>28500</v>
      </c>
      <c r="K391" s="47"/>
      <c r="L391" s="42">
        <f t="shared" si="7"/>
        <v>386596.79999999993</v>
      </c>
    </row>
    <row r="392" spans="2:12" s="31" customFormat="1" x14ac:dyDescent="0.35">
      <c r="B392" s="148"/>
      <c r="C392" s="87"/>
      <c r="D392" s="69"/>
      <c r="E392" s="70"/>
      <c r="F392" s="71" t="s">
        <v>90</v>
      </c>
      <c r="G392" s="27" t="s">
        <v>502</v>
      </c>
      <c r="H392" s="80">
        <f>0.3*12*7.85*0.3*1.2</f>
        <v>10.173599999999997</v>
      </c>
      <c r="I392" s="60" t="s">
        <v>91</v>
      </c>
      <c r="J392" s="78">
        <v>28500</v>
      </c>
      <c r="K392" s="47"/>
      <c r="L392" s="42">
        <f t="shared" si="7"/>
        <v>289947.59999999992</v>
      </c>
    </row>
    <row r="393" spans="2:12" s="31" customFormat="1" x14ac:dyDescent="0.35">
      <c r="B393" s="70"/>
      <c r="C393" s="84"/>
      <c r="D393" s="69"/>
      <c r="E393" s="70"/>
      <c r="F393" s="71" t="s">
        <v>90</v>
      </c>
      <c r="G393" s="27" t="s">
        <v>343</v>
      </c>
      <c r="H393" s="80">
        <f>49.9*3.6*1.2</f>
        <v>215.56799999999998</v>
      </c>
      <c r="I393" s="60" t="s">
        <v>91</v>
      </c>
      <c r="J393" s="78">
        <v>28500</v>
      </c>
      <c r="K393" s="47"/>
      <c r="L393" s="42">
        <f t="shared" si="7"/>
        <v>6143687.9999999991</v>
      </c>
    </row>
    <row r="394" spans="2:12" x14ac:dyDescent="0.35">
      <c r="B394" s="70"/>
      <c r="C394" s="87"/>
      <c r="D394" s="62"/>
      <c r="E394" s="70"/>
      <c r="F394" s="71" t="s">
        <v>90</v>
      </c>
      <c r="G394" s="27" t="s">
        <v>344</v>
      </c>
      <c r="H394" s="80">
        <f>0.25*0.25*12*7.85*1.2</f>
        <v>7.0649999999999986</v>
      </c>
      <c r="I394" s="60" t="s">
        <v>91</v>
      </c>
      <c r="J394" s="78">
        <v>28500</v>
      </c>
      <c r="K394" s="47"/>
      <c r="L394" s="42">
        <f t="shared" si="7"/>
        <v>201352.49999999997</v>
      </c>
    </row>
    <row r="395" spans="2:12" x14ac:dyDescent="0.35">
      <c r="B395" s="70"/>
      <c r="C395" s="84"/>
      <c r="D395" s="69"/>
      <c r="E395" s="70"/>
      <c r="F395" s="71" t="s">
        <v>90</v>
      </c>
      <c r="G395" s="27" t="s">
        <v>503</v>
      </c>
      <c r="H395" s="80">
        <f>49.9*3.1*1.2</f>
        <v>185.62799999999999</v>
      </c>
      <c r="I395" s="60" t="s">
        <v>91</v>
      </c>
      <c r="J395" s="78">
        <v>28500</v>
      </c>
      <c r="K395" s="47"/>
      <c r="L395" s="42">
        <f t="shared" si="7"/>
        <v>5290398</v>
      </c>
    </row>
    <row r="396" spans="2:12" x14ac:dyDescent="0.35">
      <c r="B396" s="70"/>
      <c r="C396" s="87"/>
      <c r="D396" s="62"/>
      <c r="E396" s="70"/>
      <c r="F396" s="71" t="s">
        <v>90</v>
      </c>
      <c r="G396" s="27" t="s">
        <v>504</v>
      </c>
      <c r="H396" s="80">
        <f>0.25*0.25*12*7.85*1.2</f>
        <v>7.0649999999999986</v>
      </c>
      <c r="I396" s="60" t="s">
        <v>91</v>
      </c>
      <c r="J396" s="78">
        <v>28500</v>
      </c>
      <c r="K396" s="47"/>
      <c r="L396" s="42">
        <f t="shared" si="7"/>
        <v>201352.49999999997</v>
      </c>
    </row>
    <row r="397" spans="2:12" x14ac:dyDescent="0.35">
      <c r="B397" s="148"/>
      <c r="C397" s="87"/>
      <c r="D397" s="69"/>
      <c r="E397" s="70"/>
      <c r="F397" s="71" t="s">
        <v>90</v>
      </c>
      <c r="G397" s="27" t="s">
        <v>505</v>
      </c>
      <c r="H397" s="80">
        <f>0.2*10*7.85*3.63*1.2*3</f>
        <v>205.16759999999996</v>
      </c>
      <c r="I397" s="60" t="s">
        <v>91</v>
      </c>
      <c r="J397" s="78">
        <v>28500</v>
      </c>
      <c r="K397" s="47"/>
      <c r="L397" s="42">
        <f t="shared" si="7"/>
        <v>5847276.5999999987</v>
      </c>
    </row>
    <row r="398" spans="2:12" x14ac:dyDescent="0.35">
      <c r="B398" s="148"/>
      <c r="C398" s="87"/>
      <c r="D398" s="69"/>
      <c r="E398" s="70"/>
      <c r="F398" s="71" t="s">
        <v>90</v>
      </c>
      <c r="G398" s="27" t="s">
        <v>506</v>
      </c>
      <c r="H398" s="80">
        <f>0.2*10*7.85*1.09*1.2</f>
        <v>20.535599999999999</v>
      </c>
      <c r="I398" s="60" t="s">
        <v>91</v>
      </c>
      <c r="J398" s="78">
        <v>28500</v>
      </c>
      <c r="K398" s="47"/>
      <c r="L398" s="42">
        <f t="shared" si="7"/>
        <v>585264.6</v>
      </c>
    </row>
    <row r="399" spans="2:12" s="31" customFormat="1" x14ac:dyDescent="0.35">
      <c r="B399" s="148"/>
      <c r="C399" s="87"/>
      <c r="D399" s="69"/>
      <c r="E399" s="70"/>
      <c r="F399" s="71" t="s">
        <v>90</v>
      </c>
      <c r="G399" s="27" t="s">
        <v>507</v>
      </c>
      <c r="H399" s="80">
        <f>0.2*10*7.85*1.05*1.2</f>
        <v>19.782</v>
      </c>
      <c r="I399" s="60" t="s">
        <v>91</v>
      </c>
      <c r="J399" s="78">
        <v>28500</v>
      </c>
      <c r="K399" s="47"/>
      <c r="L399" s="42">
        <f t="shared" si="7"/>
        <v>563787</v>
      </c>
    </row>
    <row r="400" spans="2:12" x14ac:dyDescent="0.35">
      <c r="B400" s="148"/>
      <c r="C400" s="87"/>
      <c r="D400" s="69"/>
      <c r="E400" s="70"/>
      <c r="F400" s="71" t="s">
        <v>90</v>
      </c>
      <c r="G400" s="27" t="s">
        <v>508</v>
      </c>
      <c r="H400" s="80">
        <f>0.3*12*7.85*3.63*1.2</f>
        <v>123.10055999999997</v>
      </c>
      <c r="I400" s="60" t="s">
        <v>91</v>
      </c>
      <c r="J400" s="78">
        <v>28500</v>
      </c>
      <c r="K400" s="47"/>
      <c r="L400" s="42">
        <f t="shared" si="7"/>
        <v>3508365.959999999</v>
      </c>
    </row>
    <row r="401" spans="2:12" x14ac:dyDescent="0.35">
      <c r="B401" s="148"/>
      <c r="C401" s="87"/>
      <c r="D401" s="69"/>
      <c r="E401" s="70"/>
      <c r="F401" s="71" t="s">
        <v>90</v>
      </c>
      <c r="G401" s="27" t="s">
        <v>509</v>
      </c>
      <c r="H401" s="80">
        <f>0.2*10*7.85*0.2*1.2*2</f>
        <v>7.5359999999999996</v>
      </c>
      <c r="I401" s="60" t="s">
        <v>91</v>
      </c>
      <c r="J401" s="78">
        <v>28500</v>
      </c>
      <c r="K401" s="47"/>
      <c r="L401" s="42">
        <f t="shared" si="7"/>
        <v>214776</v>
      </c>
    </row>
    <row r="402" spans="2:12" x14ac:dyDescent="0.35">
      <c r="B402" s="70"/>
      <c r="C402" s="84"/>
      <c r="D402" s="69"/>
      <c r="E402" s="70"/>
      <c r="F402" s="71" t="s">
        <v>90</v>
      </c>
      <c r="G402" s="27" t="s">
        <v>510</v>
      </c>
      <c r="H402" s="80">
        <f>49.9*3.6*1.2</f>
        <v>215.56799999999998</v>
      </c>
      <c r="I402" s="60" t="s">
        <v>91</v>
      </c>
      <c r="J402" s="78">
        <v>28500</v>
      </c>
      <c r="K402" s="47"/>
      <c r="L402" s="42">
        <f t="shared" si="7"/>
        <v>6143687.9999999991</v>
      </c>
    </row>
    <row r="403" spans="2:12" x14ac:dyDescent="0.35">
      <c r="B403" s="70"/>
      <c r="C403" s="87"/>
      <c r="D403" s="62"/>
      <c r="E403" s="70"/>
      <c r="F403" s="71" t="s">
        <v>90</v>
      </c>
      <c r="G403" s="27" t="s">
        <v>351</v>
      </c>
      <c r="H403" s="80">
        <f>0.25*0.25*12*7.85*1.2</f>
        <v>7.0649999999999986</v>
      </c>
      <c r="I403" s="60" t="s">
        <v>91</v>
      </c>
      <c r="J403" s="78">
        <v>28500</v>
      </c>
      <c r="K403" s="47"/>
      <c r="L403" s="42">
        <f t="shared" si="7"/>
        <v>201352.49999999997</v>
      </c>
    </row>
    <row r="404" spans="2:12" x14ac:dyDescent="0.35">
      <c r="B404" s="70"/>
      <c r="C404" s="84"/>
      <c r="D404" s="69"/>
      <c r="E404" s="70"/>
      <c r="F404" s="71" t="s">
        <v>90</v>
      </c>
      <c r="G404" s="27" t="s">
        <v>511</v>
      </c>
      <c r="H404" s="80">
        <f>49.9*3.1*1.2</f>
        <v>185.62799999999999</v>
      </c>
      <c r="I404" s="60" t="s">
        <v>91</v>
      </c>
      <c r="J404" s="78">
        <v>28500</v>
      </c>
      <c r="K404" s="47"/>
      <c r="L404" s="42">
        <f t="shared" si="7"/>
        <v>5290398</v>
      </c>
    </row>
    <row r="405" spans="2:12" x14ac:dyDescent="0.35">
      <c r="B405" s="70"/>
      <c r="C405" s="87"/>
      <c r="D405" s="62"/>
      <c r="E405" s="70"/>
      <c r="F405" s="71" t="s">
        <v>90</v>
      </c>
      <c r="G405" s="27" t="s">
        <v>512</v>
      </c>
      <c r="H405" s="80">
        <f>0.25*0.25*12*7.85*1.2</f>
        <v>7.0649999999999986</v>
      </c>
      <c r="I405" s="60" t="s">
        <v>91</v>
      </c>
      <c r="J405" s="78">
        <v>28500</v>
      </c>
      <c r="K405" s="55"/>
      <c r="L405" s="42">
        <f t="shared" si="7"/>
        <v>201352.49999999997</v>
      </c>
    </row>
    <row r="406" spans="2:12" x14ac:dyDescent="0.35">
      <c r="B406" s="43"/>
      <c r="C406" s="44"/>
      <c r="D406" s="21"/>
      <c r="G406" s="20"/>
      <c r="I406" s="20"/>
      <c r="J406" s="46"/>
      <c r="K406" s="26"/>
      <c r="L406" s="48"/>
    </row>
    <row r="407" spans="2:12" x14ac:dyDescent="0.35">
      <c r="B407" s="43"/>
      <c r="C407" s="44"/>
      <c r="D407" s="21"/>
      <c r="G407" s="20"/>
      <c r="I407" s="20"/>
      <c r="J407" s="46"/>
      <c r="K407" s="26"/>
      <c r="L407" s="48"/>
    </row>
    <row r="408" spans="2:12" x14ac:dyDescent="0.35">
      <c r="B408" s="8"/>
      <c r="C408" s="9"/>
      <c r="D408" s="10"/>
      <c r="E408" s="4"/>
      <c r="F408" s="4"/>
      <c r="G408" s="4"/>
      <c r="H408" s="1"/>
      <c r="I408" s="1"/>
      <c r="J408" s="11" t="s">
        <v>8</v>
      </c>
      <c r="K408" s="7">
        <f>SUM(K355:K407)</f>
        <v>2784420</v>
      </c>
      <c r="L408" s="7">
        <f>SUM(L355:L407)</f>
        <v>101284666.28999996</v>
      </c>
    </row>
    <row r="409" spans="2:12" x14ac:dyDescent="0.35">
      <c r="B409" s="8"/>
      <c r="C409" s="9"/>
      <c r="D409" s="9"/>
      <c r="E409" s="4"/>
      <c r="F409" s="4"/>
      <c r="G409" s="4"/>
      <c r="H409" s="1"/>
      <c r="I409" s="1"/>
      <c r="J409" s="11"/>
      <c r="K409" s="32" t="s">
        <v>13</v>
      </c>
      <c r="L409" s="33" t="s">
        <v>14</v>
      </c>
    </row>
    <row r="410" spans="2:12" x14ac:dyDescent="0.35">
      <c r="B410" s="3" t="s">
        <v>9</v>
      </c>
      <c r="C410" s="4"/>
      <c r="D410" s="4"/>
      <c r="E410" s="4"/>
      <c r="F410" s="4"/>
      <c r="G410" s="4"/>
      <c r="H410" s="1"/>
      <c r="I410" s="1"/>
      <c r="J410" s="12"/>
      <c r="K410" s="12"/>
      <c r="L410" s="13"/>
    </row>
    <row r="411" spans="2:12" x14ac:dyDescent="0.35">
      <c r="B411" s="34"/>
      <c r="C411" s="1"/>
      <c r="D411" s="1"/>
      <c r="E411" s="35"/>
      <c r="F411" s="35"/>
      <c r="G411" s="35"/>
      <c r="H411" s="1"/>
      <c r="I411" s="1"/>
      <c r="J411" s="1"/>
      <c r="K411" s="1"/>
      <c r="L411" s="17"/>
    </row>
    <row r="412" spans="2:12" x14ac:dyDescent="0.35">
      <c r="B412" s="25" t="s">
        <v>6</v>
      </c>
      <c r="C412" s="24"/>
      <c r="D412" s="24"/>
      <c r="E412" s="23"/>
      <c r="F412" s="23"/>
      <c r="G412" s="5"/>
      <c r="K412" s="227" t="s">
        <v>1292</v>
      </c>
      <c r="L412" s="228"/>
    </row>
    <row r="413" spans="2:12" x14ac:dyDescent="0.35">
      <c r="B413" s="25">
        <v>1</v>
      </c>
      <c r="C413" s="24"/>
      <c r="D413" s="24"/>
      <c r="E413" s="23" t="s">
        <v>7</v>
      </c>
      <c r="F413" s="23"/>
      <c r="G413" s="5"/>
      <c r="K413" s="227" t="s">
        <v>18</v>
      </c>
      <c r="L413" s="228"/>
    </row>
    <row r="414" spans="2:12" x14ac:dyDescent="0.35">
      <c r="B414" s="36"/>
      <c r="C414" s="24"/>
      <c r="D414" s="24"/>
      <c r="E414" s="23"/>
      <c r="F414" s="23"/>
      <c r="G414" s="5"/>
      <c r="J414" s="22"/>
      <c r="K414" s="22"/>
      <c r="L414" s="21"/>
    </row>
    <row r="415" spans="2:12" x14ac:dyDescent="0.35">
      <c r="B415" s="25"/>
      <c r="C415" s="24"/>
      <c r="D415" s="24"/>
      <c r="E415" s="23"/>
      <c r="F415" s="23"/>
      <c r="G415" s="5"/>
      <c r="L415" s="20"/>
    </row>
    <row r="416" spans="2:12" x14ac:dyDescent="0.35">
      <c r="B416" s="41"/>
      <c r="E416" s="5"/>
      <c r="F416" s="5"/>
      <c r="G416" s="5"/>
      <c r="L416" s="20"/>
    </row>
    <row r="417" spans="2:12" x14ac:dyDescent="0.35">
      <c r="B417" s="41"/>
      <c r="E417" s="5"/>
      <c r="F417" s="5"/>
      <c r="G417" s="5"/>
      <c r="L417" s="20"/>
    </row>
    <row r="418" spans="2:12" x14ac:dyDescent="0.35">
      <c r="B418" s="41"/>
      <c r="E418" s="5"/>
      <c r="F418" s="5"/>
      <c r="G418" s="5"/>
      <c r="L418" s="20"/>
    </row>
    <row r="419" spans="2:12" x14ac:dyDescent="0.35">
      <c r="B419" s="41"/>
      <c r="E419" s="5"/>
      <c r="F419" s="5"/>
      <c r="G419" s="5"/>
      <c r="J419" s="37"/>
      <c r="K419" s="229" t="s">
        <v>26</v>
      </c>
      <c r="L419" s="230"/>
    </row>
    <row r="420" spans="2:12" x14ac:dyDescent="0.35">
      <c r="B420" s="41"/>
      <c r="K420" s="231" t="s">
        <v>27</v>
      </c>
      <c r="L420" s="232"/>
    </row>
    <row r="421" spans="2:12" x14ac:dyDescent="0.35">
      <c r="B421" s="233"/>
      <c r="C421" s="234"/>
      <c r="D421" s="234"/>
      <c r="E421" s="38"/>
      <c r="F421" s="38"/>
      <c r="G421" s="38"/>
      <c r="H421" s="2"/>
      <c r="I421" s="2"/>
      <c r="J421" s="2"/>
      <c r="K421" s="2"/>
      <c r="L421" s="19"/>
    </row>
    <row r="422" spans="2:12" x14ac:dyDescent="0.35">
      <c r="B422" s="43"/>
      <c r="C422" s="44"/>
      <c r="D422" s="45"/>
      <c r="G422" s="20"/>
      <c r="H422" s="1"/>
      <c r="I422" s="1"/>
      <c r="J422" s="39"/>
      <c r="K422" s="27"/>
      <c r="L422" s="40"/>
    </row>
    <row r="423" spans="2:12" x14ac:dyDescent="0.35">
      <c r="B423" s="148"/>
      <c r="C423" s="87"/>
      <c r="D423" s="69"/>
      <c r="E423" s="70"/>
      <c r="F423" s="71" t="s">
        <v>90</v>
      </c>
      <c r="G423" s="27" t="s">
        <v>513</v>
      </c>
      <c r="H423" s="80">
        <f>0.2*10*7.85*3.66*1.2*3</f>
        <v>206.86319999999998</v>
      </c>
      <c r="I423" s="60" t="s">
        <v>91</v>
      </c>
      <c r="J423" s="78">
        <v>28500</v>
      </c>
      <c r="K423" s="55"/>
      <c r="L423" s="42">
        <f t="shared" ref="L423:L472" si="8">J423*H423</f>
        <v>5895601.1999999993</v>
      </c>
    </row>
    <row r="424" spans="2:12" x14ac:dyDescent="0.35">
      <c r="B424" s="148"/>
      <c r="C424" s="87"/>
      <c r="D424" s="69"/>
      <c r="E424" s="70"/>
      <c r="F424" s="71" t="s">
        <v>90</v>
      </c>
      <c r="G424" s="27" t="s">
        <v>514</v>
      </c>
      <c r="H424" s="80">
        <f>0.2*10*7.85*0.65*1.2</f>
        <v>12.246</v>
      </c>
      <c r="I424" s="60" t="s">
        <v>91</v>
      </c>
      <c r="J424" s="78">
        <v>28500</v>
      </c>
      <c r="K424" s="55"/>
      <c r="L424" s="42">
        <f t="shared" si="8"/>
        <v>349011</v>
      </c>
    </row>
    <row r="425" spans="2:12" s="31" customFormat="1" x14ac:dyDescent="0.35">
      <c r="B425" s="148"/>
      <c r="C425" s="87"/>
      <c r="D425" s="69"/>
      <c r="E425" s="70"/>
      <c r="F425" s="71" t="s">
        <v>90</v>
      </c>
      <c r="G425" s="27" t="s">
        <v>515</v>
      </c>
      <c r="H425" s="80">
        <f>0.2*10*7.85*3.53*1.2</f>
        <v>66.505199999999988</v>
      </c>
      <c r="I425" s="60" t="s">
        <v>91</v>
      </c>
      <c r="J425" s="78">
        <v>28500</v>
      </c>
      <c r="K425" s="55"/>
      <c r="L425" s="42">
        <f t="shared" si="8"/>
        <v>1895398.1999999997</v>
      </c>
    </row>
    <row r="426" spans="2:12" s="31" customFormat="1" x14ac:dyDescent="0.35">
      <c r="B426" s="148"/>
      <c r="C426" s="87"/>
      <c r="D426" s="69"/>
      <c r="E426" s="70"/>
      <c r="F426" s="71" t="s">
        <v>90</v>
      </c>
      <c r="G426" s="27" t="s">
        <v>516</v>
      </c>
      <c r="H426" s="80">
        <f>0.3*12*7.85*3.66*1.2</f>
        <v>124.11791999999998</v>
      </c>
      <c r="I426" s="60" t="s">
        <v>91</v>
      </c>
      <c r="J426" s="78">
        <v>28500</v>
      </c>
      <c r="K426" s="55"/>
      <c r="L426" s="42">
        <f t="shared" si="8"/>
        <v>3537360.7199999997</v>
      </c>
    </row>
    <row r="427" spans="2:12" s="31" customFormat="1" x14ac:dyDescent="0.35">
      <c r="B427" s="148"/>
      <c r="C427" s="87"/>
      <c r="D427" s="69"/>
      <c r="E427" s="70"/>
      <c r="F427" s="71" t="s">
        <v>90</v>
      </c>
      <c r="G427" s="27" t="s">
        <v>517</v>
      </c>
      <c r="H427" s="80">
        <f>0.25*0.13*10*7.85*1.2</f>
        <v>3.0615000000000001</v>
      </c>
      <c r="I427" s="60" t="s">
        <v>91</v>
      </c>
      <c r="J427" s="78">
        <v>28500</v>
      </c>
      <c r="K427" s="78"/>
      <c r="L427" s="42">
        <f t="shared" si="8"/>
        <v>87252.75</v>
      </c>
    </row>
    <row r="428" spans="2:12" s="31" customFormat="1" x14ac:dyDescent="0.35">
      <c r="B428" s="148"/>
      <c r="C428" s="87"/>
      <c r="D428" s="69"/>
      <c r="E428" s="70"/>
      <c r="F428" s="71" t="s">
        <v>90</v>
      </c>
      <c r="G428" s="27" t="s">
        <v>518</v>
      </c>
      <c r="H428" s="80">
        <f>0.25*0.13*10*7.85*1.2</f>
        <v>3.0615000000000001</v>
      </c>
      <c r="I428" s="60" t="s">
        <v>91</v>
      </c>
      <c r="J428" s="78">
        <v>28500</v>
      </c>
      <c r="K428" s="78"/>
      <c r="L428" s="42">
        <f t="shared" si="8"/>
        <v>87252.75</v>
      </c>
    </row>
    <row r="429" spans="2:12" s="31" customFormat="1" x14ac:dyDescent="0.35">
      <c r="B429" s="70"/>
      <c r="C429" s="84"/>
      <c r="D429" s="69"/>
      <c r="E429" s="70"/>
      <c r="F429" s="71" t="s">
        <v>90</v>
      </c>
      <c r="G429" s="27" t="s">
        <v>519</v>
      </c>
      <c r="H429" s="80">
        <f>0.3*12*7.85*0.3*1.2</f>
        <v>10.173599999999997</v>
      </c>
      <c r="I429" s="60" t="s">
        <v>91</v>
      </c>
      <c r="J429" s="78">
        <v>28500</v>
      </c>
      <c r="K429" s="59"/>
      <c r="L429" s="42">
        <f t="shared" si="8"/>
        <v>289947.59999999992</v>
      </c>
    </row>
    <row r="430" spans="2:12" s="31" customFormat="1" x14ac:dyDescent="0.35">
      <c r="B430" s="70"/>
      <c r="C430" s="84"/>
      <c r="D430" s="69"/>
      <c r="E430" s="70"/>
      <c r="F430" s="71" t="s">
        <v>90</v>
      </c>
      <c r="G430" s="27" t="s">
        <v>355</v>
      </c>
      <c r="H430" s="80">
        <f>49.9*3.6*1.2</f>
        <v>215.56799999999998</v>
      </c>
      <c r="I430" s="60" t="s">
        <v>91</v>
      </c>
      <c r="J430" s="78">
        <v>28500</v>
      </c>
      <c r="K430" s="59"/>
      <c r="L430" s="42">
        <f t="shared" si="8"/>
        <v>6143687.9999999991</v>
      </c>
    </row>
    <row r="431" spans="2:12" s="31" customFormat="1" x14ac:dyDescent="0.35">
      <c r="B431" s="70"/>
      <c r="C431" s="87"/>
      <c r="D431" s="62"/>
      <c r="E431" s="70"/>
      <c r="F431" s="71" t="s">
        <v>90</v>
      </c>
      <c r="G431" s="27" t="s">
        <v>356</v>
      </c>
      <c r="H431" s="80">
        <f>0.25*0.25*12*7.85*1.2</f>
        <v>7.0649999999999986</v>
      </c>
      <c r="I431" s="60" t="s">
        <v>91</v>
      </c>
      <c r="J431" s="78">
        <v>28500</v>
      </c>
      <c r="K431" s="81"/>
      <c r="L431" s="42">
        <f t="shared" si="8"/>
        <v>201352.49999999997</v>
      </c>
    </row>
    <row r="432" spans="2:12" s="31" customFormat="1" x14ac:dyDescent="0.35">
      <c r="B432" s="70"/>
      <c r="C432" s="84"/>
      <c r="D432" s="69"/>
      <c r="E432" s="70"/>
      <c r="F432" s="71" t="s">
        <v>90</v>
      </c>
      <c r="G432" s="27" t="s">
        <v>520</v>
      </c>
      <c r="H432" s="80">
        <f>49.9*3.1*1.2</f>
        <v>185.62799999999999</v>
      </c>
      <c r="I432" s="60" t="s">
        <v>91</v>
      </c>
      <c r="J432" s="78">
        <v>28500</v>
      </c>
      <c r="K432" s="57"/>
      <c r="L432" s="42">
        <f t="shared" si="8"/>
        <v>5290398</v>
      </c>
    </row>
    <row r="433" spans="2:12" s="31" customFormat="1" x14ac:dyDescent="0.35">
      <c r="B433" s="70"/>
      <c r="C433" s="87"/>
      <c r="D433" s="62"/>
      <c r="E433" s="70"/>
      <c r="F433" s="71" t="s">
        <v>90</v>
      </c>
      <c r="G433" s="27" t="s">
        <v>521</v>
      </c>
      <c r="H433" s="80">
        <f>0.25*0.25*12*7.85*1.2</f>
        <v>7.0649999999999986</v>
      </c>
      <c r="I433" s="60" t="s">
        <v>91</v>
      </c>
      <c r="J433" s="78">
        <v>28500</v>
      </c>
      <c r="K433" s="78"/>
      <c r="L433" s="42">
        <f t="shared" si="8"/>
        <v>201352.49999999997</v>
      </c>
    </row>
    <row r="434" spans="2:12" s="31" customFormat="1" x14ac:dyDescent="0.35">
      <c r="B434" s="148"/>
      <c r="C434" s="87"/>
      <c r="D434" s="69"/>
      <c r="E434" s="70"/>
      <c r="F434" s="71" t="s">
        <v>90</v>
      </c>
      <c r="G434" s="27" t="s">
        <v>522</v>
      </c>
      <c r="H434" s="80">
        <f>0.2*10*7.85*3.63*1.2*3</f>
        <v>205.16759999999996</v>
      </c>
      <c r="I434" s="60" t="s">
        <v>91</v>
      </c>
      <c r="J434" s="78">
        <v>28500</v>
      </c>
      <c r="K434" s="57"/>
      <c r="L434" s="42">
        <f t="shared" si="8"/>
        <v>5847276.5999999987</v>
      </c>
    </row>
    <row r="435" spans="2:12" s="31" customFormat="1" x14ac:dyDescent="0.35">
      <c r="B435" s="148"/>
      <c r="C435" s="87"/>
      <c r="D435" s="69"/>
      <c r="E435" s="70"/>
      <c r="F435" s="71" t="s">
        <v>90</v>
      </c>
      <c r="G435" s="27" t="s">
        <v>523</v>
      </c>
      <c r="H435" s="80">
        <f>0.2*10*7.85*0.66*1.2</f>
        <v>12.4344</v>
      </c>
      <c r="I435" s="60" t="s">
        <v>91</v>
      </c>
      <c r="J435" s="78">
        <v>28500</v>
      </c>
      <c r="K435" s="78"/>
      <c r="L435" s="42">
        <f t="shared" si="8"/>
        <v>354380.4</v>
      </c>
    </row>
    <row r="436" spans="2:12" s="31" customFormat="1" x14ac:dyDescent="0.35">
      <c r="B436" s="148"/>
      <c r="C436" s="87"/>
      <c r="D436" s="69"/>
      <c r="E436" s="70"/>
      <c r="F436" s="71" t="s">
        <v>90</v>
      </c>
      <c r="G436" s="27" t="s">
        <v>524</v>
      </c>
      <c r="H436" s="80">
        <f>0.2*10*7.85*3.41*1.2</f>
        <v>64.244399999999999</v>
      </c>
      <c r="I436" s="60" t="s">
        <v>91</v>
      </c>
      <c r="J436" s="78">
        <v>28500</v>
      </c>
      <c r="K436" s="83"/>
      <c r="L436" s="42">
        <f t="shared" si="8"/>
        <v>1830965.4</v>
      </c>
    </row>
    <row r="437" spans="2:12" s="31" customFormat="1" x14ac:dyDescent="0.35">
      <c r="B437" s="148"/>
      <c r="C437" s="87"/>
      <c r="D437" s="69"/>
      <c r="E437" s="70"/>
      <c r="F437" s="71" t="s">
        <v>90</v>
      </c>
      <c r="G437" s="27" t="s">
        <v>525</v>
      </c>
      <c r="H437" s="80">
        <f>0.3*12*7.85*3.63*1.2</f>
        <v>123.10055999999997</v>
      </c>
      <c r="I437" s="60" t="s">
        <v>91</v>
      </c>
      <c r="J437" s="78">
        <v>28500</v>
      </c>
      <c r="K437" s="83"/>
      <c r="L437" s="42">
        <f t="shared" si="8"/>
        <v>3508365.959999999</v>
      </c>
    </row>
    <row r="438" spans="2:12" s="31" customFormat="1" x14ac:dyDescent="0.35">
      <c r="B438" s="70"/>
      <c r="C438" s="84"/>
      <c r="D438" s="69"/>
      <c r="E438" s="70"/>
      <c r="F438" s="71" t="s">
        <v>90</v>
      </c>
      <c r="G438" s="27" t="s">
        <v>526</v>
      </c>
      <c r="H438" s="80">
        <f>0.2*10*7.85*0.16*1.2</f>
        <v>3.0143999999999997</v>
      </c>
      <c r="I438" s="60" t="s">
        <v>91</v>
      </c>
      <c r="J438" s="78">
        <v>28500</v>
      </c>
      <c r="K438" s="83"/>
      <c r="L438" s="42">
        <f t="shared" si="8"/>
        <v>85910.399999999994</v>
      </c>
    </row>
    <row r="439" spans="2:12" s="31" customFormat="1" x14ac:dyDescent="0.35">
      <c r="B439" s="70"/>
      <c r="C439" s="84"/>
      <c r="D439" s="69"/>
      <c r="E439" s="70"/>
      <c r="F439" s="71" t="s">
        <v>90</v>
      </c>
      <c r="G439" s="27" t="s">
        <v>527</v>
      </c>
      <c r="H439" s="80">
        <f>0.3*12*7.85*0.2*1.2</f>
        <v>6.7823999999999991</v>
      </c>
      <c r="I439" s="60" t="s">
        <v>91</v>
      </c>
      <c r="J439" s="78">
        <v>28500</v>
      </c>
      <c r="K439" s="83"/>
      <c r="L439" s="42">
        <f t="shared" si="8"/>
        <v>193298.39999999997</v>
      </c>
    </row>
    <row r="440" spans="2:12" s="31" customFormat="1" x14ac:dyDescent="0.35">
      <c r="B440" s="70"/>
      <c r="C440" s="84"/>
      <c r="D440" s="69"/>
      <c r="E440" s="70"/>
      <c r="F440" s="71" t="s">
        <v>90</v>
      </c>
      <c r="G440" s="27" t="s">
        <v>362</v>
      </c>
      <c r="H440" s="80">
        <f>49.9*3.6*1.2</f>
        <v>215.56799999999998</v>
      </c>
      <c r="I440" s="60" t="s">
        <v>91</v>
      </c>
      <c r="J440" s="78">
        <v>28500</v>
      </c>
      <c r="K440" s="83"/>
      <c r="L440" s="42">
        <f t="shared" si="8"/>
        <v>6143687.9999999991</v>
      </c>
    </row>
    <row r="441" spans="2:12" s="31" customFormat="1" x14ac:dyDescent="0.35">
      <c r="B441" s="70"/>
      <c r="C441" s="87"/>
      <c r="D441" s="62"/>
      <c r="E441" s="70"/>
      <c r="F441" s="71" t="s">
        <v>90</v>
      </c>
      <c r="G441" s="27" t="s">
        <v>363</v>
      </c>
      <c r="H441" s="80">
        <f>0.25*0.25*12*7.85*1.2</f>
        <v>7.0649999999999986</v>
      </c>
      <c r="I441" s="60" t="s">
        <v>91</v>
      </c>
      <c r="J441" s="78">
        <v>28500</v>
      </c>
      <c r="K441" s="47"/>
      <c r="L441" s="42">
        <f t="shared" si="8"/>
        <v>201352.49999999997</v>
      </c>
    </row>
    <row r="442" spans="2:12" s="31" customFormat="1" x14ac:dyDescent="0.35">
      <c r="B442" s="70"/>
      <c r="C442" s="84"/>
      <c r="D442" s="69"/>
      <c r="E442" s="70"/>
      <c r="F442" s="71" t="s">
        <v>90</v>
      </c>
      <c r="G442" s="27" t="s">
        <v>528</v>
      </c>
      <c r="H442" s="80">
        <f>49.9*3.1*1.2</f>
        <v>185.62799999999999</v>
      </c>
      <c r="I442" s="60" t="s">
        <v>91</v>
      </c>
      <c r="J442" s="78">
        <v>28500</v>
      </c>
      <c r="K442" s="47"/>
      <c r="L442" s="42">
        <f t="shared" si="8"/>
        <v>5290398</v>
      </c>
    </row>
    <row r="443" spans="2:12" s="31" customFormat="1" x14ac:dyDescent="0.35">
      <c r="B443" s="70"/>
      <c r="C443" s="87"/>
      <c r="D443" s="62"/>
      <c r="E443" s="70"/>
      <c r="F443" s="71" t="s">
        <v>90</v>
      </c>
      <c r="G443" s="27" t="s">
        <v>529</v>
      </c>
      <c r="H443" s="80">
        <f>0.25*0.25*12*7.85*1.2</f>
        <v>7.0649999999999986</v>
      </c>
      <c r="I443" s="60" t="s">
        <v>91</v>
      </c>
      <c r="J443" s="78">
        <v>28500</v>
      </c>
      <c r="K443" s="47"/>
      <c r="L443" s="42">
        <f t="shared" si="8"/>
        <v>201352.49999999997</v>
      </c>
    </row>
    <row r="444" spans="2:12" s="31" customFormat="1" x14ac:dyDescent="0.35">
      <c r="B444" s="70"/>
      <c r="C444" s="84"/>
      <c r="D444" s="69"/>
      <c r="E444" s="70"/>
      <c r="F444" s="71" t="s">
        <v>90</v>
      </c>
      <c r="G444" s="27" t="s">
        <v>364</v>
      </c>
      <c r="H444" s="80">
        <f>49.9*3.6*1.2</f>
        <v>215.56799999999998</v>
      </c>
      <c r="I444" s="60" t="s">
        <v>91</v>
      </c>
      <c r="J444" s="78">
        <v>28500</v>
      </c>
      <c r="K444" s="47"/>
      <c r="L444" s="42">
        <f t="shared" si="8"/>
        <v>6143687.9999999991</v>
      </c>
    </row>
    <row r="445" spans="2:12" s="31" customFormat="1" x14ac:dyDescent="0.35">
      <c r="B445" s="70"/>
      <c r="C445" s="87"/>
      <c r="D445" s="62"/>
      <c r="E445" s="70"/>
      <c r="F445" s="71" t="s">
        <v>90</v>
      </c>
      <c r="G445" s="27" t="s">
        <v>365</v>
      </c>
      <c r="H445" s="80">
        <f>0.25*0.25*12*7.85*1.2</f>
        <v>7.0649999999999986</v>
      </c>
      <c r="I445" s="60" t="s">
        <v>91</v>
      </c>
      <c r="J445" s="78">
        <v>28500</v>
      </c>
      <c r="K445" s="47"/>
      <c r="L445" s="42">
        <f t="shared" si="8"/>
        <v>201352.49999999997</v>
      </c>
    </row>
    <row r="446" spans="2:12" s="31" customFormat="1" x14ac:dyDescent="0.35">
      <c r="B446" s="70"/>
      <c r="C446" s="84"/>
      <c r="D446" s="69"/>
      <c r="E446" s="70"/>
      <c r="F446" s="71" t="s">
        <v>90</v>
      </c>
      <c r="G446" s="27" t="s">
        <v>530</v>
      </c>
      <c r="H446" s="80">
        <f>49.9*3.1*1.2</f>
        <v>185.62799999999999</v>
      </c>
      <c r="I446" s="60" t="s">
        <v>91</v>
      </c>
      <c r="J446" s="78">
        <v>28500</v>
      </c>
      <c r="K446" s="47"/>
      <c r="L446" s="42">
        <f t="shared" si="8"/>
        <v>5290398</v>
      </c>
    </row>
    <row r="447" spans="2:12" s="31" customFormat="1" x14ac:dyDescent="0.35">
      <c r="B447" s="70"/>
      <c r="C447" s="87"/>
      <c r="D447" s="62"/>
      <c r="E447" s="70"/>
      <c r="F447" s="71" t="s">
        <v>90</v>
      </c>
      <c r="G447" s="27" t="s">
        <v>531</v>
      </c>
      <c r="H447" s="80">
        <f>0.25*0.25*12*7.85*1.2</f>
        <v>7.0649999999999986</v>
      </c>
      <c r="I447" s="60" t="s">
        <v>91</v>
      </c>
      <c r="J447" s="78">
        <v>28500</v>
      </c>
      <c r="K447" s="47"/>
      <c r="L447" s="42">
        <f t="shared" si="8"/>
        <v>201352.49999999997</v>
      </c>
    </row>
    <row r="448" spans="2:12" s="31" customFormat="1" x14ac:dyDescent="0.35">
      <c r="B448" s="148"/>
      <c r="C448" s="87"/>
      <c r="D448" s="69"/>
      <c r="E448" s="70"/>
      <c r="F448" s="71" t="s">
        <v>90</v>
      </c>
      <c r="G448" s="27" t="s">
        <v>532</v>
      </c>
      <c r="H448" s="80">
        <f>0.2*10*7.85*2.73*1.2*5</f>
        <v>257.16599999999994</v>
      </c>
      <c r="I448" s="60" t="s">
        <v>91</v>
      </c>
      <c r="J448" s="78">
        <v>28500</v>
      </c>
      <c r="K448" s="47"/>
      <c r="L448" s="42">
        <f t="shared" si="8"/>
        <v>7329230.9999999981</v>
      </c>
    </row>
    <row r="449" spans="2:12" s="31" customFormat="1" x14ac:dyDescent="0.35">
      <c r="B449" s="148"/>
      <c r="C449" s="87"/>
      <c r="D449" s="69"/>
      <c r="E449" s="70"/>
      <c r="F449" s="71" t="s">
        <v>90</v>
      </c>
      <c r="G449" s="27" t="s">
        <v>533</v>
      </c>
      <c r="H449" s="80">
        <f>0.3*12*7.85*2.73*1.2</f>
        <v>92.579759999999979</v>
      </c>
      <c r="I449" s="60" t="s">
        <v>91</v>
      </c>
      <c r="J449" s="78">
        <v>28500</v>
      </c>
      <c r="K449" s="47"/>
      <c r="L449" s="42">
        <f t="shared" si="8"/>
        <v>2638523.1599999992</v>
      </c>
    </row>
    <row r="450" spans="2:12" s="31" customFormat="1" x14ac:dyDescent="0.35">
      <c r="B450" s="70"/>
      <c r="C450" s="84"/>
      <c r="D450" s="69"/>
      <c r="E450" s="70"/>
      <c r="F450" s="71" t="s">
        <v>90</v>
      </c>
      <c r="G450" s="27" t="s">
        <v>534</v>
      </c>
      <c r="H450" s="80">
        <f>49.9*3.6*1.2</f>
        <v>215.56799999999998</v>
      </c>
      <c r="I450" s="60" t="s">
        <v>91</v>
      </c>
      <c r="J450" s="78">
        <v>28500</v>
      </c>
      <c r="K450" s="47"/>
      <c r="L450" s="42">
        <f t="shared" si="8"/>
        <v>6143687.9999999991</v>
      </c>
    </row>
    <row r="451" spans="2:12" s="31" customFormat="1" x14ac:dyDescent="0.35">
      <c r="B451" s="70"/>
      <c r="C451" s="87"/>
      <c r="D451" s="62"/>
      <c r="E451" s="70"/>
      <c r="F451" s="71" t="s">
        <v>90</v>
      </c>
      <c r="G451" s="27" t="s">
        <v>374</v>
      </c>
      <c r="H451" s="80">
        <f>0.25*0.25*12*7.85*1.2</f>
        <v>7.0649999999999986</v>
      </c>
      <c r="I451" s="60" t="s">
        <v>91</v>
      </c>
      <c r="J451" s="78">
        <v>28500</v>
      </c>
      <c r="K451" s="47"/>
      <c r="L451" s="42">
        <f t="shared" si="8"/>
        <v>201352.49999999997</v>
      </c>
    </row>
    <row r="452" spans="2:12" x14ac:dyDescent="0.35">
      <c r="B452" s="70"/>
      <c r="C452" s="84"/>
      <c r="D452" s="69"/>
      <c r="E452" s="70"/>
      <c r="F452" s="71" t="s">
        <v>90</v>
      </c>
      <c r="G452" s="27" t="s">
        <v>535</v>
      </c>
      <c r="H452" s="80">
        <f>49.9*3.1*1.2</f>
        <v>185.62799999999999</v>
      </c>
      <c r="I452" s="60" t="s">
        <v>91</v>
      </c>
      <c r="J452" s="78">
        <v>28500</v>
      </c>
      <c r="K452" s="55"/>
      <c r="L452" s="42">
        <f t="shared" si="8"/>
        <v>5290398</v>
      </c>
    </row>
    <row r="453" spans="2:12" x14ac:dyDescent="0.35">
      <c r="B453" s="70"/>
      <c r="C453" s="87"/>
      <c r="D453" s="62"/>
      <c r="E453" s="70"/>
      <c r="F453" s="71" t="s">
        <v>90</v>
      </c>
      <c r="G453" s="27" t="s">
        <v>536</v>
      </c>
      <c r="H453" s="80">
        <f>0.25*0.25*12*7.85*1.2</f>
        <v>7.0649999999999986</v>
      </c>
      <c r="I453" s="60" t="s">
        <v>91</v>
      </c>
      <c r="J453" s="78">
        <v>28500</v>
      </c>
      <c r="K453" s="55"/>
      <c r="L453" s="42">
        <f t="shared" si="8"/>
        <v>201352.49999999997</v>
      </c>
    </row>
    <row r="454" spans="2:12" x14ac:dyDescent="0.35">
      <c r="B454" s="148"/>
      <c r="C454" s="87"/>
      <c r="D454" s="69"/>
      <c r="E454" s="70"/>
      <c r="F454" s="71" t="s">
        <v>90</v>
      </c>
      <c r="G454" s="27" t="s">
        <v>537</v>
      </c>
      <c r="H454" s="80">
        <f>0.2*10*7.85*3.63*1.2*4</f>
        <v>273.55679999999995</v>
      </c>
      <c r="I454" s="60" t="s">
        <v>91</v>
      </c>
      <c r="J454" s="78">
        <v>28500</v>
      </c>
      <c r="K454" s="55"/>
      <c r="L454" s="42">
        <f t="shared" si="8"/>
        <v>7796368.7999999989</v>
      </c>
    </row>
    <row r="455" spans="2:12" x14ac:dyDescent="0.35">
      <c r="B455" s="148"/>
      <c r="C455" s="87"/>
      <c r="D455" s="69"/>
      <c r="E455" s="70"/>
      <c r="F455" s="71" t="s">
        <v>90</v>
      </c>
      <c r="G455" s="27" t="s">
        <v>538</v>
      </c>
      <c r="H455" s="80">
        <f>0.2*10*7.85*1.58*1.2</f>
        <v>29.767199999999999</v>
      </c>
      <c r="I455" s="60" t="s">
        <v>91</v>
      </c>
      <c r="J455" s="78">
        <v>28500</v>
      </c>
      <c r="K455" s="55"/>
      <c r="L455" s="42">
        <f t="shared" si="8"/>
        <v>848365.2</v>
      </c>
    </row>
    <row r="456" spans="2:12" x14ac:dyDescent="0.35">
      <c r="B456" s="148"/>
      <c r="C456" s="87"/>
      <c r="D456" s="69"/>
      <c r="E456" s="70"/>
      <c r="F456" s="71" t="s">
        <v>90</v>
      </c>
      <c r="G456" s="27" t="s">
        <v>539</v>
      </c>
      <c r="H456" s="80">
        <f>0.3*12*7.85*3.63*1.2</f>
        <v>123.10055999999997</v>
      </c>
      <c r="I456" s="60" t="s">
        <v>91</v>
      </c>
      <c r="J456" s="78">
        <v>28500</v>
      </c>
      <c r="K456" s="59"/>
      <c r="L456" s="42">
        <f t="shared" si="8"/>
        <v>3508365.959999999</v>
      </c>
    </row>
    <row r="457" spans="2:12" x14ac:dyDescent="0.35">
      <c r="B457" s="70"/>
      <c r="C457" s="84"/>
      <c r="D457" s="69"/>
      <c r="E457" s="70"/>
      <c r="F457" s="71" t="s">
        <v>90</v>
      </c>
      <c r="G457" s="27" t="s">
        <v>540</v>
      </c>
      <c r="H457" s="80">
        <f>0.3*12*7.85*0.2*1.2</f>
        <v>6.7823999999999991</v>
      </c>
      <c r="I457" s="60" t="s">
        <v>91</v>
      </c>
      <c r="J457" s="78">
        <v>28500</v>
      </c>
      <c r="K457" s="59"/>
      <c r="L457" s="42">
        <f t="shared" si="8"/>
        <v>193298.39999999997</v>
      </c>
    </row>
    <row r="458" spans="2:12" x14ac:dyDescent="0.35">
      <c r="B458" s="70"/>
      <c r="C458" s="84"/>
      <c r="D458" s="69"/>
      <c r="E458" s="70"/>
      <c r="F458" s="71" t="s">
        <v>90</v>
      </c>
      <c r="G458" s="27" t="s">
        <v>225</v>
      </c>
      <c r="H458" s="80">
        <f>49.9*3.6*1.2</f>
        <v>215.56799999999998</v>
      </c>
      <c r="I458" s="60" t="s">
        <v>91</v>
      </c>
      <c r="J458" s="78">
        <v>28500</v>
      </c>
      <c r="K458" s="55"/>
      <c r="L458" s="42">
        <f t="shared" si="8"/>
        <v>6143687.9999999991</v>
      </c>
    </row>
    <row r="459" spans="2:12" x14ac:dyDescent="0.35">
      <c r="B459" s="70"/>
      <c r="C459" s="87"/>
      <c r="D459" s="62"/>
      <c r="E459" s="70"/>
      <c r="F459" s="71" t="s">
        <v>90</v>
      </c>
      <c r="G459" s="27" t="s">
        <v>379</v>
      </c>
      <c r="H459" s="80">
        <f>0.25*0.25*12*7.85*1.2</f>
        <v>7.0649999999999986</v>
      </c>
      <c r="I459" s="60" t="s">
        <v>91</v>
      </c>
      <c r="J459" s="78">
        <v>28500</v>
      </c>
      <c r="K459" s="55"/>
      <c r="L459" s="42">
        <f t="shared" si="8"/>
        <v>201352.49999999997</v>
      </c>
    </row>
    <row r="460" spans="2:12" x14ac:dyDescent="0.35">
      <c r="B460" s="70"/>
      <c r="C460" s="84"/>
      <c r="D460" s="69"/>
      <c r="E460" s="70"/>
      <c r="F460" s="71" t="s">
        <v>90</v>
      </c>
      <c r="G460" s="27" t="s">
        <v>541</v>
      </c>
      <c r="H460" s="80">
        <f>49.9*3.1*1.2</f>
        <v>185.62799999999999</v>
      </c>
      <c r="I460" s="60" t="s">
        <v>91</v>
      </c>
      <c r="J460" s="78">
        <v>28500</v>
      </c>
      <c r="K460" s="55"/>
      <c r="L460" s="42">
        <f t="shared" si="8"/>
        <v>5290398</v>
      </c>
    </row>
    <row r="461" spans="2:12" x14ac:dyDescent="0.35">
      <c r="B461" s="70"/>
      <c r="C461" s="87"/>
      <c r="D461" s="62"/>
      <c r="E461" s="70"/>
      <c r="F461" s="71" t="s">
        <v>90</v>
      </c>
      <c r="G461" s="27" t="s">
        <v>542</v>
      </c>
      <c r="H461" s="80">
        <f>0.25*0.25*12*7.85*1.2</f>
        <v>7.0649999999999986</v>
      </c>
      <c r="I461" s="60" t="s">
        <v>91</v>
      </c>
      <c r="J461" s="78">
        <v>28500</v>
      </c>
      <c r="K461" s="59"/>
      <c r="L461" s="42">
        <f t="shared" si="8"/>
        <v>201352.49999999997</v>
      </c>
    </row>
    <row r="462" spans="2:12" x14ac:dyDescent="0.35">
      <c r="B462" s="148"/>
      <c r="C462" s="87"/>
      <c r="D462" s="69"/>
      <c r="E462" s="70"/>
      <c r="F462" s="71" t="s">
        <v>90</v>
      </c>
      <c r="G462" s="27" t="s">
        <v>543</v>
      </c>
      <c r="H462" s="80">
        <f>0.2*10*7.85*3.65*1.2*4</f>
        <v>275.06399999999996</v>
      </c>
      <c r="I462" s="60" t="s">
        <v>91</v>
      </c>
      <c r="J462" s="78">
        <v>28500</v>
      </c>
      <c r="K462" s="55"/>
      <c r="L462" s="42">
        <f t="shared" si="8"/>
        <v>7839323.9999999991</v>
      </c>
    </row>
    <row r="463" spans="2:12" x14ac:dyDescent="0.35">
      <c r="B463" s="148"/>
      <c r="C463" s="87"/>
      <c r="D463" s="69"/>
      <c r="E463" s="70"/>
      <c r="F463" s="71" t="s">
        <v>90</v>
      </c>
      <c r="G463" s="27" t="s">
        <v>544</v>
      </c>
      <c r="H463" s="80">
        <f>0.2*10*7.85*0.72*1.2</f>
        <v>13.564799999999998</v>
      </c>
      <c r="I463" s="60" t="s">
        <v>91</v>
      </c>
      <c r="J463" s="78">
        <v>28500</v>
      </c>
      <c r="K463" s="48"/>
      <c r="L463" s="42">
        <f t="shared" si="8"/>
        <v>386596.79999999993</v>
      </c>
    </row>
    <row r="464" spans="2:12" s="117" customFormat="1" x14ac:dyDescent="0.35">
      <c r="B464" s="148"/>
      <c r="C464" s="87"/>
      <c r="D464" s="69"/>
      <c r="E464" s="70"/>
      <c r="F464" s="71" t="s">
        <v>90</v>
      </c>
      <c r="G464" s="27" t="s">
        <v>545</v>
      </c>
      <c r="H464" s="80">
        <f>0.3*12*7.85*3.65*1.2</f>
        <v>123.77879999999996</v>
      </c>
      <c r="I464" s="60" t="s">
        <v>91</v>
      </c>
      <c r="J464" s="78">
        <v>28500</v>
      </c>
      <c r="K464" s="47"/>
      <c r="L464" s="42">
        <f t="shared" si="8"/>
        <v>3527695.7999999989</v>
      </c>
    </row>
    <row r="465" spans="2:12" s="118" customFormat="1" x14ac:dyDescent="0.35">
      <c r="B465" s="70"/>
      <c r="C465" s="84"/>
      <c r="D465" s="69"/>
      <c r="E465" s="70"/>
      <c r="F465" s="71" t="s">
        <v>90</v>
      </c>
      <c r="G465" s="27" t="s">
        <v>226</v>
      </c>
      <c r="H465" s="80">
        <f>49.9*3.6*1.2</f>
        <v>215.56799999999998</v>
      </c>
      <c r="I465" s="60" t="s">
        <v>91</v>
      </c>
      <c r="J465" s="78">
        <v>28500</v>
      </c>
      <c r="K465" s="55"/>
      <c r="L465" s="42">
        <f t="shared" si="8"/>
        <v>6143687.9999999991</v>
      </c>
    </row>
    <row r="466" spans="2:12" s="118" customFormat="1" x14ac:dyDescent="0.35">
      <c r="B466" s="70"/>
      <c r="C466" s="87"/>
      <c r="D466" s="62"/>
      <c r="E466" s="70"/>
      <c r="F466" s="71" t="s">
        <v>90</v>
      </c>
      <c r="G466" s="27" t="s">
        <v>383</v>
      </c>
      <c r="H466" s="80">
        <f>0.25*0.25*12*7.85*1.2</f>
        <v>7.0649999999999986</v>
      </c>
      <c r="I466" s="60" t="s">
        <v>91</v>
      </c>
      <c r="J466" s="78">
        <v>28500</v>
      </c>
      <c r="K466" s="55"/>
      <c r="L466" s="42">
        <f t="shared" si="8"/>
        <v>201352.49999999997</v>
      </c>
    </row>
    <row r="467" spans="2:12" s="118" customFormat="1" x14ac:dyDescent="0.35">
      <c r="B467" s="70"/>
      <c r="C467" s="84"/>
      <c r="D467" s="69"/>
      <c r="E467" s="70"/>
      <c r="F467" s="71" t="s">
        <v>90</v>
      </c>
      <c r="G467" s="27" t="s">
        <v>546</v>
      </c>
      <c r="H467" s="80">
        <f>49.9*3.1*1.2</f>
        <v>185.62799999999999</v>
      </c>
      <c r="I467" s="60" t="s">
        <v>91</v>
      </c>
      <c r="J467" s="78">
        <v>28500</v>
      </c>
      <c r="K467" s="47"/>
      <c r="L467" s="42">
        <f t="shared" si="8"/>
        <v>5290398</v>
      </c>
    </row>
    <row r="468" spans="2:12" s="31" customFormat="1" x14ac:dyDescent="0.35">
      <c r="B468" s="70"/>
      <c r="C468" s="87"/>
      <c r="D468" s="62"/>
      <c r="E468" s="70"/>
      <c r="F468" s="71" t="s">
        <v>90</v>
      </c>
      <c r="G468" s="27" t="s">
        <v>547</v>
      </c>
      <c r="H468" s="80">
        <f>0.25*0.25*12*7.85*1.2</f>
        <v>7.0649999999999986</v>
      </c>
      <c r="I468" s="60" t="s">
        <v>91</v>
      </c>
      <c r="J468" s="78">
        <v>28500</v>
      </c>
      <c r="K468" s="55"/>
      <c r="L468" s="42">
        <f t="shared" si="8"/>
        <v>201352.49999999997</v>
      </c>
    </row>
    <row r="469" spans="2:12" s="31" customFormat="1" x14ac:dyDescent="0.35">
      <c r="B469" s="148"/>
      <c r="C469" s="87"/>
      <c r="D469" s="69"/>
      <c r="E469" s="70"/>
      <c r="F469" s="71" t="s">
        <v>90</v>
      </c>
      <c r="G469" s="27" t="s">
        <v>548</v>
      </c>
      <c r="H469" s="80">
        <f>0.24*10*7.85*3.74*1.2</f>
        <v>84.553920000000005</v>
      </c>
      <c r="I469" s="60" t="s">
        <v>91</v>
      </c>
      <c r="J469" s="78">
        <v>28500</v>
      </c>
      <c r="K469" s="55"/>
      <c r="L469" s="42">
        <f t="shared" si="8"/>
        <v>2409786.7200000002</v>
      </c>
    </row>
    <row r="470" spans="2:12" s="31" customFormat="1" x14ac:dyDescent="0.35">
      <c r="B470" s="148"/>
      <c r="C470" s="87"/>
      <c r="D470" s="69"/>
      <c r="E470" s="70"/>
      <c r="F470" s="71" t="s">
        <v>90</v>
      </c>
      <c r="G470" s="27" t="s">
        <v>549</v>
      </c>
      <c r="H470" s="80">
        <f>0.2*10*7.85*0.86*1.2</f>
        <v>16.202399999999997</v>
      </c>
      <c r="I470" s="60" t="s">
        <v>91</v>
      </c>
      <c r="J470" s="78">
        <v>28500</v>
      </c>
      <c r="K470" s="47"/>
      <c r="L470" s="42">
        <f t="shared" si="8"/>
        <v>461768.39999999991</v>
      </c>
    </row>
    <row r="471" spans="2:12" x14ac:dyDescent="0.35">
      <c r="B471" s="148"/>
      <c r="C471" s="87"/>
      <c r="D471" s="69"/>
      <c r="E471" s="70"/>
      <c r="F471" s="71" t="s">
        <v>90</v>
      </c>
      <c r="G471" s="27" t="s">
        <v>550</v>
      </c>
      <c r="H471" s="80">
        <f>0.2*10*7.85*0.92*1.2</f>
        <v>17.332799999999999</v>
      </c>
      <c r="I471" s="60" t="s">
        <v>91</v>
      </c>
      <c r="J471" s="78">
        <v>28500</v>
      </c>
      <c r="K471" s="47"/>
      <c r="L471" s="42">
        <f t="shared" si="8"/>
        <v>493984.8</v>
      </c>
    </row>
    <row r="472" spans="2:12" x14ac:dyDescent="0.35">
      <c r="B472" s="148"/>
      <c r="C472" s="87"/>
      <c r="D472" s="69"/>
      <c r="E472" s="70"/>
      <c r="F472" s="71" t="s">
        <v>90</v>
      </c>
      <c r="G472" s="27" t="s">
        <v>551</v>
      </c>
      <c r="H472" s="80">
        <f>0.2*10*7.85*0.89*1.2</f>
        <v>16.767599999999998</v>
      </c>
      <c r="I472" s="60" t="s">
        <v>91</v>
      </c>
      <c r="J472" s="78">
        <v>28500</v>
      </c>
      <c r="K472" s="74"/>
      <c r="L472" s="42">
        <f t="shared" si="8"/>
        <v>477876.59999999992</v>
      </c>
    </row>
    <row r="473" spans="2:12" x14ac:dyDescent="0.35">
      <c r="B473" s="91"/>
      <c r="C473" s="119"/>
      <c r="D473" s="52"/>
      <c r="E473" s="51"/>
      <c r="F473" s="105"/>
      <c r="G473" s="106"/>
      <c r="H473" s="79"/>
      <c r="I473" s="20"/>
      <c r="J473" s="26"/>
      <c r="K473" s="47"/>
      <c r="L473" s="42"/>
    </row>
    <row r="474" spans="2:12" x14ac:dyDescent="0.35">
      <c r="B474" s="43"/>
      <c r="C474" s="44"/>
      <c r="D474" s="21"/>
      <c r="G474" s="20"/>
      <c r="I474" s="20"/>
      <c r="J474" s="46"/>
      <c r="K474" s="26"/>
      <c r="L474" s="48"/>
    </row>
    <row r="475" spans="2:12" x14ac:dyDescent="0.35">
      <c r="B475" s="8"/>
      <c r="C475" s="9"/>
      <c r="D475" s="10"/>
      <c r="E475" s="4"/>
      <c r="F475" s="4"/>
      <c r="G475" s="4"/>
      <c r="H475" s="1"/>
      <c r="I475" s="1"/>
      <c r="J475" s="11" t="s">
        <v>8</v>
      </c>
      <c r="K475" s="7">
        <f>SUM(K422:K474)</f>
        <v>0</v>
      </c>
      <c r="L475" s="7">
        <f>SUM(L422:L474)</f>
        <v>132893953.01999998</v>
      </c>
    </row>
    <row r="476" spans="2:12" x14ac:dyDescent="0.35">
      <c r="B476" s="8"/>
      <c r="C476" s="9"/>
      <c r="D476" s="9"/>
      <c r="E476" s="4"/>
      <c r="F476" s="4"/>
      <c r="G476" s="4"/>
      <c r="H476" s="1"/>
      <c r="I476" s="1"/>
      <c r="J476" s="11"/>
      <c r="K476" s="32" t="s">
        <v>13</v>
      </c>
      <c r="L476" s="33" t="s">
        <v>14</v>
      </c>
    </row>
    <row r="477" spans="2:12" x14ac:dyDescent="0.35">
      <c r="B477" s="3" t="s">
        <v>9</v>
      </c>
      <c r="C477" s="4"/>
      <c r="D477" s="4"/>
      <c r="E477" s="4"/>
      <c r="F477" s="4"/>
      <c r="G477" s="4"/>
      <c r="H477" s="1"/>
      <c r="I477" s="1"/>
      <c r="J477" s="12"/>
      <c r="K477" s="12"/>
      <c r="L477" s="13"/>
    </row>
    <row r="478" spans="2:12" x14ac:dyDescent="0.35">
      <c r="B478" s="34"/>
      <c r="C478" s="1"/>
      <c r="D478" s="1"/>
      <c r="E478" s="35"/>
      <c r="F478" s="35"/>
      <c r="G478" s="35"/>
      <c r="H478" s="1"/>
      <c r="I478" s="1"/>
      <c r="J478" s="1"/>
      <c r="K478" s="1"/>
      <c r="L478" s="17"/>
    </row>
    <row r="479" spans="2:12" x14ac:dyDescent="0.35">
      <c r="B479" s="25" t="s">
        <v>6</v>
      </c>
      <c r="C479" s="24"/>
      <c r="D479" s="24"/>
      <c r="E479" s="23"/>
      <c r="F479" s="23"/>
      <c r="G479" s="5"/>
      <c r="K479" s="227" t="s">
        <v>1292</v>
      </c>
      <c r="L479" s="228"/>
    </row>
    <row r="480" spans="2:12" x14ac:dyDescent="0.35">
      <c r="B480" s="25">
        <v>1</v>
      </c>
      <c r="C480" s="24"/>
      <c r="D480" s="24"/>
      <c r="E480" s="23" t="s">
        <v>7</v>
      </c>
      <c r="F480" s="23"/>
      <c r="G480" s="5"/>
      <c r="K480" s="227" t="s">
        <v>18</v>
      </c>
      <c r="L480" s="228"/>
    </row>
    <row r="481" spans="2:12" x14ac:dyDescent="0.35">
      <c r="B481" s="36"/>
      <c r="C481" s="24"/>
      <c r="D481" s="24"/>
      <c r="E481" s="23"/>
      <c r="F481" s="23"/>
      <c r="G481" s="5"/>
      <c r="J481" s="22"/>
      <c r="K481" s="22"/>
      <c r="L481" s="21"/>
    </row>
    <row r="482" spans="2:12" x14ac:dyDescent="0.35">
      <c r="B482" s="25"/>
      <c r="C482" s="24"/>
      <c r="D482" s="24"/>
      <c r="E482" s="23"/>
      <c r="F482" s="23"/>
      <c r="G482" s="5"/>
      <c r="L482" s="20"/>
    </row>
    <row r="483" spans="2:12" x14ac:dyDescent="0.35">
      <c r="B483" s="41"/>
      <c r="E483" s="5"/>
      <c r="F483" s="5"/>
      <c r="G483" s="5"/>
      <c r="L483" s="20"/>
    </row>
    <row r="484" spans="2:12" x14ac:dyDescent="0.35">
      <c r="B484" s="41"/>
      <c r="E484" s="5"/>
      <c r="F484" s="5"/>
      <c r="G484" s="5"/>
      <c r="L484" s="20"/>
    </row>
    <row r="485" spans="2:12" x14ac:dyDescent="0.35">
      <c r="B485" s="41"/>
      <c r="E485" s="5"/>
      <c r="F485" s="5"/>
      <c r="G485" s="5"/>
      <c r="L485" s="20"/>
    </row>
    <row r="486" spans="2:12" x14ac:dyDescent="0.35">
      <c r="B486" s="41"/>
      <c r="E486" s="5"/>
      <c r="F486" s="5"/>
      <c r="G486" s="5"/>
      <c r="J486" s="37"/>
      <c r="K486" s="229" t="s">
        <v>26</v>
      </c>
      <c r="L486" s="230"/>
    </row>
    <row r="487" spans="2:12" x14ac:dyDescent="0.35">
      <c r="B487" s="41"/>
      <c r="K487" s="231" t="s">
        <v>27</v>
      </c>
      <c r="L487" s="232"/>
    </row>
    <row r="488" spans="2:12" x14ac:dyDescent="0.35">
      <c r="B488" s="233"/>
      <c r="C488" s="234"/>
      <c r="D488" s="234"/>
      <c r="E488" s="38"/>
      <c r="F488" s="38"/>
      <c r="G488" s="38"/>
      <c r="H488" s="2"/>
      <c r="I488" s="2"/>
      <c r="J488" s="2"/>
      <c r="K488" s="2"/>
      <c r="L488" s="19"/>
    </row>
    <row r="489" spans="2:12" x14ac:dyDescent="0.35">
      <c r="B489" s="43"/>
      <c r="C489" s="44"/>
      <c r="D489" s="45"/>
      <c r="G489" s="20"/>
      <c r="H489" s="1"/>
      <c r="I489" s="1"/>
      <c r="J489" s="39"/>
      <c r="K489" s="27"/>
      <c r="L489" s="40"/>
    </row>
    <row r="490" spans="2:12" x14ac:dyDescent="0.35">
      <c r="B490" s="148"/>
      <c r="C490" s="87"/>
      <c r="D490" s="69"/>
      <c r="E490" s="70"/>
      <c r="F490" s="71" t="s">
        <v>90</v>
      </c>
      <c r="G490" s="27" t="s">
        <v>552</v>
      </c>
      <c r="H490" s="80">
        <f>0.2*10*7.85*3.74*1.2</f>
        <v>70.461600000000004</v>
      </c>
      <c r="I490" s="60" t="s">
        <v>91</v>
      </c>
      <c r="J490" s="78">
        <v>28500</v>
      </c>
      <c r="K490" s="74"/>
      <c r="L490" s="42">
        <f t="shared" ref="L490:L492" si="9">J490*H490</f>
        <v>2008155.6</v>
      </c>
    </row>
    <row r="491" spans="2:12" x14ac:dyDescent="0.35">
      <c r="B491" s="148"/>
      <c r="C491" s="87"/>
      <c r="D491" s="69"/>
      <c r="E491" s="70"/>
      <c r="F491" s="71" t="s">
        <v>90</v>
      </c>
      <c r="G491" s="27" t="s">
        <v>553</v>
      </c>
      <c r="H491" s="80">
        <f>0.3*12*7.85*3.74*1.2</f>
        <v>126.83087999999998</v>
      </c>
      <c r="I491" s="60" t="s">
        <v>91</v>
      </c>
      <c r="J491" s="78">
        <v>28500</v>
      </c>
      <c r="K491" s="47"/>
      <c r="L491" s="42">
        <f t="shared" si="9"/>
        <v>3614680.0799999996</v>
      </c>
    </row>
    <row r="492" spans="2:12" x14ac:dyDescent="0.35">
      <c r="B492" s="70"/>
      <c r="C492" s="84"/>
      <c r="D492" s="69"/>
      <c r="E492" s="70"/>
      <c r="F492" s="71" t="s">
        <v>90</v>
      </c>
      <c r="G492" s="27" t="s">
        <v>554</v>
      </c>
      <c r="H492" s="80">
        <f>0.2*12*7.85*0.2*1.2</f>
        <v>4.5216000000000003</v>
      </c>
      <c r="I492" s="60" t="s">
        <v>91</v>
      </c>
      <c r="J492" s="78">
        <v>28500</v>
      </c>
      <c r="K492" s="74"/>
      <c r="L492" s="42">
        <f t="shared" si="9"/>
        <v>128865.60000000001</v>
      </c>
    </row>
    <row r="493" spans="2:12" x14ac:dyDescent="0.35">
      <c r="B493" s="70"/>
      <c r="C493" s="84"/>
      <c r="D493" s="69"/>
      <c r="E493" s="70"/>
      <c r="F493" s="71" t="s">
        <v>90</v>
      </c>
      <c r="G493" s="27" t="s">
        <v>555</v>
      </c>
      <c r="H493" s="80">
        <f>49.9*3.6*1.2</f>
        <v>215.56799999999998</v>
      </c>
      <c r="I493" s="60" t="s">
        <v>91</v>
      </c>
      <c r="J493" s="26">
        <v>15000</v>
      </c>
      <c r="K493" s="57">
        <f>J493*H493</f>
        <v>3233519.9999999995</v>
      </c>
      <c r="L493" s="42"/>
    </row>
    <row r="494" spans="2:12" x14ac:dyDescent="0.35">
      <c r="B494" s="70"/>
      <c r="C494" s="87"/>
      <c r="D494" s="62"/>
      <c r="E494" s="70"/>
      <c r="F494" s="71" t="s">
        <v>90</v>
      </c>
      <c r="G494" s="27" t="s">
        <v>388</v>
      </c>
      <c r="H494" s="80">
        <f>0.25*0.25*12*7.85*1.2</f>
        <v>7.0649999999999986</v>
      </c>
      <c r="I494" s="60" t="s">
        <v>91</v>
      </c>
      <c r="J494" s="78">
        <v>28500</v>
      </c>
      <c r="K494" s="47"/>
      <c r="L494" s="42">
        <f t="shared" ref="L494" si="10">J494*H494</f>
        <v>201352.49999999997</v>
      </c>
    </row>
    <row r="495" spans="2:12" x14ac:dyDescent="0.35">
      <c r="B495" s="70"/>
      <c r="C495" s="84"/>
      <c r="D495" s="69"/>
      <c r="E495" s="70"/>
      <c r="F495" s="71" t="s">
        <v>90</v>
      </c>
      <c r="G495" s="27" t="s">
        <v>556</v>
      </c>
      <c r="H495" s="80">
        <f>49.9*3.1*1.2</f>
        <v>185.62799999999999</v>
      </c>
      <c r="I495" s="60" t="s">
        <v>91</v>
      </c>
      <c r="J495" s="48">
        <v>15000</v>
      </c>
      <c r="K495" s="57">
        <f>J495*H495</f>
        <v>2784420</v>
      </c>
      <c r="L495" s="42"/>
    </row>
    <row r="496" spans="2:12" x14ac:dyDescent="0.35">
      <c r="B496" s="70"/>
      <c r="C496" s="87"/>
      <c r="D496" s="62"/>
      <c r="E496" s="70"/>
      <c r="F496" s="71" t="s">
        <v>90</v>
      </c>
      <c r="G496" s="27" t="s">
        <v>557</v>
      </c>
      <c r="H496" s="80">
        <f>0.25*0.25*12*7.85*1.2</f>
        <v>7.0649999999999986</v>
      </c>
      <c r="I496" s="60" t="s">
        <v>91</v>
      </c>
      <c r="J496" s="78">
        <v>28500</v>
      </c>
      <c r="K496" s="47"/>
      <c r="L496" s="42">
        <f t="shared" ref="L496:L539" si="11">J496*H496</f>
        <v>201352.49999999997</v>
      </c>
    </row>
    <row r="497" spans="2:12" x14ac:dyDescent="0.35">
      <c r="B497" s="148"/>
      <c r="C497" s="87"/>
      <c r="D497" s="69"/>
      <c r="E497" s="70"/>
      <c r="F497" s="71" t="s">
        <v>90</v>
      </c>
      <c r="G497" s="27" t="s">
        <v>558</v>
      </c>
      <c r="H497" s="80">
        <f>0.2*10*7.85*3.63*1.2</f>
        <v>68.389199999999988</v>
      </c>
      <c r="I497" s="60" t="s">
        <v>91</v>
      </c>
      <c r="J497" s="78">
        <v>28500</v>
      </c>
      <c r="K497" s="47"/>
      <c r="L497" s="42">
        <f t="shared" si="11"/>
        <v>1949092.1999999997</v>
      </c>
    </row>
    <row r="498" spans="2:12" x14ac:dyDescent="0.35">
      <c r="B498" s="148"/>
      <c r="C498" s="87"/>
      <c r="D498" s="69"/>
      <c r="E498" s="70"/>
      <c r="F498" s="71" t="s">
        <v>90</v>
      </c>
      <c r="G498" s="27" t="s">
        <v>559</v>
      </c>
      <c r="H498" s="80">
        <f>0.2*10*7.85*0.69*1.2</f>
        <v>12.999599999999997</v>
      </c>
      <c r="I498" s="60" t="s">
        <v>91</v>
      </c>
      <c r="J498" s="78">
        <v>28500</v>
      </c>
      <c r="K498" s="73"/>
      <c r="L498" s="42">
        <f t="shared" si="11"/>
        <v>370488.59999999992</v>
      </c>
    </row>
    <row r="499" spans="2:12" x14ac:dyDescent="0.35">
      <c r="B499" s="148"/>
      <c r="C499" s="87"/>
      <c r="D499" s="69"/>
      <c r="E499" s="70"/>
      <c r="F499" s="71" t="s">
        <v>90</v>
      </c>
      <c r="G499" s="27" t="s">
        <v>560</v>
      </c>
      <c r="H499" s="80">
        <f>0.2*10*7.85*0.67*1.2</f>
        <v>12.6228</v>
      </c>
      <c r="I499" s="60" t="s">
        <v>91</v>
      </c>
      <c r="J499" s="78">
        <v>28500</v>
      </c>
      <c r="K499" s="47"/>
      <c r="L499" s="42">
        <f t="shared" si="11"/>
        <v>359749.8</v>
      </c>
    </row>
    <row r="500" spans="2:12" x14ac:dyDescent="0.35">
      <c r="B500" s="148"/>
      <c r="C500" s="87"/>
      <c r="D500" s="69"/>
      <c r="E500" s="70"/>
      <c r="F500" s="71" t="s">
        <v>90</v>
      </c>
      <c r="G500" s="27" t="s">
        <v>561</v>
      </c>
      <c r="H500" s="80">
        <f>0.2*10*7.85*0.7*1.2</f>
        <v>13.187999999999997</v>
      </c>
      <c r="I500" s="60" t="s">
        <v>91</v>
      </c>
      <c r="J500" s="78">
        <v>28500</v>
      </c>
      <c r="K500" s="47"/>
      <c r="L500" s="42">
        <f t="shared" si="11"/>
        <v>375857.99999999994</v>
      </c>
    </row>
    <row r="501" spans="2:12" x14ac:dyDescent="0.35">
      <c r="B501" s="148"/>
      <c r="C501" s="87"/>
      <c r="D501" s="69"/>
      <c r="E501" s="70"/>
      <c r="F501" s="71" t="s">
        <v>90</v>
      </c>
      <c r="G501" s="27" t="s">
        <v>562</v>
      </c>
      <c r="H501" s="80">
        <f>0.3*12*7.85*3.63*1.2</f>
        <v>123.10055999999997</v>
      </c>
      <c r="I501" s="60" t="s">
        <v>91</v>
      </c>
      <c r="J501" s="78">
        <v>28500</v>
      </c>
      <c r="K501" s="47"/>
      <c r="L501" s="42">
        <f t="shared" si="11"/>
        <v>3508365.959999999</v>
      </c>
    </row>
    <row r="502" spans="2:12" x14ac:dyDescent="0.35">
      <c r="B502" s="70"/>
      <c r="C502" s="84"/>
      <c r="D502" s="69"/>
      <c r="E502" s="70"/>
      <c r="F502" s="71" t="s">
        <v>90</v>
      </c>
      <c r="G502" s="27" t="s">
        <v>563</v>
      </c>
      <c r="H502" s="80">
        <f>0.2*12*7.85*0.2*1.2</f>
        <v>4.5216000000000003</v>
      </c>
      <c r="I502" s="60" t="s">
        <v>91</v>
      </c>
      <c r="J502" s="78">
        <v>28500</v>
      </c>
      <c r="K502" s="47"/>
      <c r="L502" s="42">
        <f t="shared" si="11"/>
        <v>128865.60000000001</v>
      </c>
    </row>
    <row r="503" spans="2:12" x14ac:dyDescent="0.35">
      <c r="B503" s="70"/>
      <c r="C503" s="84"/>
      <c r="D503" s="69"/>
      <c r="E503" s="70"/>
      <c r="F503" s="71" t="s">
        <v>90</v>
      </c>
      <c r="G503" s="27" t="s">
        <v>564</v>
      </c>
      <c r="H503" s="80">
        <f>49.9*3.6*1.2</f>
        <v>215.56799999999998</v>
      </c>
      <c r="I503" s="60" t="s">
        <v>91</v>
      </c>
      <c r="J503" s="78">
        <v>28500</v>
      </c>
      <c r="K503" s="47"/>
      <c r="L503" s="42">
        <f t="shared" si="11"/>
        <v>6143687.9999999991</v>
      </c>
    </row>
    <row r="504" spans="2:12" x14ac:dyDescent="0.35">
      <c r="B504" s="70"/>
      <c r="C504" s="87"/>
      <c r="D504" s="62"/>
      <c r="E504" s="70"/>
      <c r="F504" s="71" t="s">
        <v>90</v>
      </c>
      <c r="G504" s="27" t="s">
        <v>395</v>
      </c>
      <c r="H504" s="80">
        <f>0.25*0.25*12*7.85*1.2</f>
        <v>7.0649999999999986</v>
      </c>
      <c r="I504" s="60" t="s">
        <v>91</v>
      </c>
      <c r="J504" s="78">
        <v>28500</v>
      </c>
      <c r="K504" s="47"/>
      <c r="L504" s="42">
        <f t="shared" si="11"/>
        <v>201352.49999999997</v>
      </c>
    </row>
    <row r="505" spans="2:12" x14ac:dyDescent="0.35">
      <c r="B505" s="70"/>
      <c r="C505" s="87"/>
      <c r="D505" s="62"/>
      <c r="E505" s="70"/>
      <c r="F505" s="71" t="s">
        <v>90</v>
      </c>
      <c r="G505" s="27" t="s">
        <v>565</v>
      </c>
      <c r="H505" s="80">
        <f>0.19*0.12*10*7.85*1.2</f>
        <v>2.1477599999999999</v>
      </c>
      <c r="I505" s="60" t="s">
        <v>91</v>
      </c>
      <c r="J505" s="78">
        <v>28500</v>
      </c>
      <c r="K505" s="47"/>
      <c r="L505" s="42">
        <f t="shared" si="11"/>
        <v>61211.159999999996</v>
      </c>
    </row>
    <row r="506" spans="2:12" x14ac:dyDescent="0.35">
      <c r="B506" s="70"/>
      <c r="C506" s="84"/>
      <c r="D506" s="69"/>
      <c r="E506" s="70"/>
      <c r="F506" s="71" t="s">
        <v>90</v>
      </c>
      <c r="G506" s="27" t="s">
        <v>566</v>
      </c>
      <c r="H506" s="80">
        <f>49.9*3.1*1.2</f>
        <v>185.62799999999999</v>
      </c>
      <c r="I506" s="60" t="s">
        <v>91</v>
      </c>
      <c r="J506" s="78">
        <v>28500</v>
      </c>
      <c r="K506" s="47"/>
      <c r="L506" s="42">
        <f t="shared" si="11"/>
        <v>5290398</v>
      </c>
    </row>
    <row r="507" spans="2:12" x14ac:dyDescent="0.35">
      <c r="B507" s="70"/>
      <c r="C507" s="87"/>
      <c r="D507" s="62"/>
      <c r="E507" s="70"/>
      <c r="F507" s="71" t="s">
        <v>90</v>
      </c>
      <c r="G507" s="27" t="s">
        <v>567</v>
      </c>
      <c r="H507" s="80">
        <f>0.25*0.25*12*7.85*1.2</f>
        <v>7.0649999999999986</v>
      </c>
      <c r="I507" s="60" t="s">
        <v>91</v>
      </c>
      <c r="J507" s="78">
        <v>28500</v>
      </c>
      <c r="K507" s="73"/>
      <c r="L507" s="42">
        <f t="shared" si="11"/>
        <v>201352.49999999997</v>
      </c>
    </row>
    <row r="508" spans="2:12" x14ac:dyDescent="0.35">
      <c r="B508" s="148"/>
      <c r="C508" s="87"/>
      <c r="D508" s="69"/>
      <c r="E508" s="70"/>
      <c r="F508" s="71" t="s">
        <v>90</v>
      </c>
      <c r="G508" s="27" t="s">
        <v>568</v>
      </c>
      <c r="H508" s="80">
        <f>0.2*10*7.85*3.56*1.2*5</f>
        <v>335.35199999999998</v>
      </c>
      <c r="I508" s="60" t="s">
        <v>91</v>
      </c>
      <c r="J508" s="78">
        <v>28500</v>
      </c>
      <c r="K508" s="47"/>
      <c r="L508" s="42">
        <f t="shared" si="11"/>
        <v>9557532</v>
      </c>
    </row>
    <row r="509" spans="2:12" s="31" customFormat="1" x14ac:dyDescent="0.35">
      <c r="B509" s="148"/>
      <c r="C509" s="87"/>
      <c r="D509" s="69"/>
      <c r="E509" s="70"/>
      <c r="F509" s="71" t="s">
        <v>90</v>
      </c>
      <c r="G509" s="27" t="s">
        <v>569</v>
      </c>
      <c r="H509" s="80">
        <f>0.3*12*7.85*3.56*1.2</f>
        <v>120.72671999999997</v>
      </c>
      <c r="I509" s="60" t="s">
        <v>91</v>
      </c>
      <c r="J509" s="78">
        <v>28500</v>
      </c>
      <c r="K509" s="73"/>
      <c r="L509" s="42">
        <f t="shared" si="11"/>
        <v>3440711.5199999991</v>
      </c>
    </row>
    <row r="510" spans="2:12" s="31" customFormat="1" x14ac:dyDescent="0.35">
      <c r="B510" s="70"/>
      <c r="C510" s="84"/>
      <c r="D510" s="69"/>
      <c r="E510" s="70"/>
      <c r="F510" s="71" t="s">
        <v>90</v>
      </c>
      <c r="G510" s="27" t="s">
        <v>570</v>
      </c>
      <c r="H510" s="80">
        <f>0.2*12*7.85*0.2*1.2</f>
        <v>4.5216000000000003</v>
      </c>
      <c r="I510" s="60" t="s">
        <v>91</v>
      </c>
      <c r="J510" s="78">
        <v>28500</v>
      </c>
      <c r="K510" s="47"/>
      <c r="L510" s="42">
        <f t="shared" si="11"/>
        <v>128865.60000000001</v>
      </c>
    </row>
    <row r="511" spans="2:12" s="31" customFormat="1" x14ac:dyDescent="0.35">
      <c r="B511" s="70"/>
      <c r="C511" s="84"/>
      <c r="D511" s="69"/>
      <c r="E511" s="70"/>
      <c r="F511" s="71" t="s">
        <v>90</v>
      </c>
      <c r="G511" s="27" t="s">
        <v>227</v>
      </c>
      <c r="H511" s="80">
        <f>49.9*3.6*1.2</f>
        <v>215.56799999999998</v>
      </c>
      <c r="I511" s="60" t="s">
        <v>91</v>
      </c>
      <c r="J511" s="78">
        <v>28500</v>
      </c>
      <c r="K511" s="47"/>
      <c r="L511" s="42">
        <f t="shared" si="11"/>
        <v>6143687.9999999991</v>
      </c>
    </row>
    <row r="512" spans="2:12" s="31" customFormat="1" x14ac:dyDescent="0.35">
      <c r="B512" s="70"/>
      <c r="C512" s="87"/>
      <c r="D512" s="62"/>
      <c r="E512" s="70"/>
      <c r="F512" s="71" t="s">
        <v>90</v>
      </c>
      <c r="G512" s="27" t="s">
        <v>402</v>
      </c>
      <c r="H512" s="80">
        <f>0.25*0.25*12*7.85*1.2</f>
        <v>7.0649999999999986</v>
      </c>
      <c r="I512" s="60" t="s">
        <v>91</v>
      </c>
      <c r="J512" s="78">
        <v>28500</v>
      </c>
      <c r="K512" s="55"/>
      <c r="L512" s="42">
        <f t="shared" si="11"/>
        <v>201352.49999999997</v>
      </c>
    </row>
    <row r="513" spans="2:12" s="31" customFormat="1" x14ac:dyDescent="0.35">
      <c r="B513" s="70"/>
      <c r="C513" s="84"/>
      <c r="D513" s="69"/>
      <c r="E513" s="70"/>
      <c r="F513" s="71" t="s">
        <v>90</v>
      </c>
      <c r="G513" s="27" t="s">
        <v>571</v>
      </c>
      <c r="H513" s="80">
        <f>49.9*3.1*1.2</f>
        <v>185.62799999999999</v>
      </c>
      <c r="I513" s="60" t="s">
        <v>91</v>
      </c>
      <c r="J513" s="78">
        <v>28500</v>
      </c>
      <c r="K513" s="47"/>
      <c r="L513" s="42">
        <f t="shared" si="11"/>
        <v>5290398</v>
      </c>
    </row>
    <row r="514" spans="2:12" s="31" customFormat="1" x14ac:dyDescent="0.35">
      <c r="B514" s="70"/>
      <c r="C514" s="87"/>
      <c r="D514" s="62"/>
      <c r="E514" s="70"/>
      <c r="F514" s="71" t="s">
        <v>90</v>
      </c>
      <c r="G514" s="27" t="s">
        <v>572</v>
      </c>
      <c r="H514" s="80">
        <f>0.25*0.25*12*7.85*1.2</f>
        <v>7.0649999999999986</v>
      </c>
      <c r="I514" s="60" t="s">
        <v>91</v>
      </c>
      <c r="J514" s="78">
        <v>28500</v>
      </c>
      <c r="K514" s="47"/>
      <c r="L514" s="42">
        <f t="shared" si="11"/>
        <v>201352.49999999997</v>
      </c>
    </row>
    <row r="515" spans="2:12" s="31" customFormat="1" x14ac:dyDescent="0.35">
      <c r="B515" s="148"/>
      <c r="C515" s="87"/>
      <c r="D515" s="69"/>
      <c r="E515" s="70"/>
      <c r="F515" s="71" t="s">
        <v>90</v>
      </c>
      <c r="G515" s="27" t="s">
        <v>573</v>
      </c>
      <c r="H515" s="80">
        <f>0.2*10*7.85*3.64*1.2*5</f>
        <v>342.88799999999992</v>
      </c>
      <c r="I515" s="60" t="s">
        <v>91</v>
      </c>
      <c r="J515" s="78">
        <v>28500</v>
      </c>
      <c r="K515" s="47"/>
      <c r="L515" s="42">
        <f t="shared" si="11"/>
        <v>9772307.9999999981</v>
      </c>
    </row>
    <row r="516" spans="2:12" s="31" customFormat="1" x14ac:dyDescent="0.35">
      <c r="B516" s="148"/>
      <c r="C516" s="87"/>
      <c r="D516" s="69"/>
      <c r="E516" s="70"/>
      <c r="F516" s="71" t="s">
        <v>90</v>
      </c>
      <c r="G516" s="27" t="s">
        <v>574</v>
      </c>
      <c r="H516" s="80">
        <f>0.3*12*7.85*3.64*1.2</f>
        <v>123.43967999999998</v>
      </c>
      <c r="I516" s="60" t="s">
        <v>91</v>
      </c>
      <c r="J516" s="78">
        <v>28500</v>
      </c>
      <c r="K516" s="47"/>
      <c r="L516" s="42">
        <f t="shared" si="11"/>
        <v>3518030.8799999994</v>
      </c>
    </row>
    <row r="517" spans="2:12" s="31" customFormat="1" x14ac:dyDescent="0.35">
      <c r="B517" s="70"/>
      <c r="C517" s="84"/>
      <c r="D517" s="69"/>
      <c r="E517" s="70"/>
      <c r="F517" s="71" t="s">
        <v>90</v>
      </c>
      <c r="G517" s="27" t="s">
        <v>575</v>
      </c>
      <c r="H517" s="80">
        <f>49.9*3.6*1.2</f>
        <v>215.56799999999998</v>
      </c>
      <c r="I517" s="60" t="s">
        <v>91</v>
      </c>
      <c r="J517" s="78">
        <v>28500</v>
      </c>
      <c r="K517" s="47"/>
      <c r="L517" s="42">
        <f t="shared" si="11"/>
        <v>6143687.9999999991</v>
      </c>
    </row>
    <row r="518" spans="2:12" s="31" customFormat="1" x14ac:dyDescent="0.35">
      <c r="B518" s="70"/>
      <c r="C518" s="87"/>
      <c r="D518" s="62"/>
      <c r="E518" s="70"/>
      <c r="F518" s="71" t="s">
        <v>90</v>
      </c>
      <c r="G518" s="27" t="s">
        <v>407</v>
      </c>
      <c r="H518" s="80">
        <f>0.25*0.25*12*7.85*1.2</f>
        <v>7.0649999999999986</v>
      </c>
      <c r="I518" s="60" t="s">
        <v>91</v>
      </c>
      <c r="J518" s="78">
        <v>28500</v>
      </c>
      <c r="K518" s="55"/>
      <c r="L518" s="42">
        <f t="shared" si="11"/>
        <v>201352.49999999997</v>
      </c>
    </row>
    <row r="519" spans="2:12" s="31" customFormat="1" x14ac:dyDescent="0.35">
      <c r="B519" s="70"/>
      <c r="C519" s="84"/>
      <c r="D519" s="69"/>
      <c r="E519" s="70"/>
      <c r="F519" s="71" t="s">
        <v>90</v>
      </c>
      <c r="G519" s="27" t="s">
        <v>576</v>
      </c>
      <c r="H519" s="80">
        <f>49.9*3.1*1.2</f>
        <v>185.62799999999999</v>
      </c>
      <c r="I519" s="60" t="s">
        <v>91</v>
      </c>
      <c r="J519" s="78">
        <v>28500</v>
      </c>
      <c r="K519" s="47"/>
      <c r="L519" s="42">
        <f t="shared" si="11"/>
        <v>5290398</v>
      </c>
    </row>
    <row r="520" spans="2:12" s="31" customFormat="1" x14ac:dyDescent="0.35">
      <c r="B520" s="70"/>
      <c r="C520" s="87"/>
      <c r="D520" s="62"/>
      <c r="E520" s="70"/>
      <c r="F520" s="71" t="s">
        <v>90</v>
      </c>
      <c r="G520" s="27" t="s">
        <v>577</v>
      </c>
      <c r="H520" s="80">
        <f>0.25*0.25*12*7.85*1.2</f>
        <v>7.0649999999999986</v>
      </c>
      <c r="I520" s="60" t="s">
        <v>91</v>
      </c>
      <c r="J520" s="78">
        <v>28500</v>
      </c>
      <c r="K520" s="47"/>
      <c r="L520" s="42">
        <f t="shared" si="11"/>
        <v>201352.49999999997</v>
      </c>
    </row>
    <row r="521" spans="2:12" s="31" customFormat="1" x14ac:dyDescent="0.35">
      <c r="B521" s="148"/>
      <c r="C521" s="87"/>
      <c r="D521" s="69"/>
      <c r="E521" s="70"/>
      <c r="F521" s="71" t="s">
        <v>90</v>
      </c>
      <c r="G521" s="27" t="s">
        <v>578</v>
      </c>
      <c r="H521" s="80">
        <f>0.2*10*7.85*2.9*1.2*3</f>
        <v>163.90799999999996</v>
      </c>
      <c r="I521" s="60" t="s">
        <v>91</v>
      </c>
      <c r="J521" s="78">
        <v>28500</v>
      </c>
      <c r="K521" s="47"/>
      <c r="L521" s="42">
        <f t="shared" si="11"/>
        <v>4671377.9999999991</v>
      </c>
    </row>
    <row r="522" spans="2:12" s="31" customFormat="1" x14ac:dyDescent="0.35">
      <c r="B522" s="148"/>
      <c r="C522" s="87"/>
      <c r="D522" s="69"/>
      <c r="E522" s="70"/>
      <c r="F522" s="71" t="s">
        <v>90</v>
      </c>
      <c r="G522" s="27" t="s">
        <v>579</v>
      </c>
      <c r="H522" s="80">
        <f>0.2*10*7.85*0.12*1.2</f>
        <v>2.2607999999999997</v>
      </c>
      <c r="I522" s="60" t="s">
        <v>91</v>
      </c>
      <c r="J522" s="78">
        <v>28500</v>
      </c>
      <c r="K522" s="121"/>
      <c r="L522" s="42">
        <f t="shared" si="11"/>
        <v>64432.799999999988</v>
      </c>
    </row>
    <row r="523" spans="2:12" s="31" customFormat="1" x14ac:dyDescent="0.35">
      <c r="B523" s="148"/>
      <c r="C523" s="87"/>
      <c r="D523" s="69"/>
      <c r="E523" s="70"/>
      <c r="F523" s="71" t="s">
        <v>90</v>
      </c>
      <c r="G523" s="27" t="s">
        <v>580</v>
      </c>
      <c r="H523" s="80">
        <f>0.2*10*7.85*0.12*1.2</f>
        <v>2.2607999999999997</v>
      </c>
      <c r="I523" s="60" t="s">
        <v>91</v>
      </c>
      <c r="J523" s="78">
        <v>28500</v>
      </c>
      <c r="K523" s="47"/>
      <c r="L523" s="42">
        <f t="shared" si="11"/>
        <v>64432.799999999988</v>
      </c>
    </row>
    <row r="524" spans="2:12" s="31" customFormat="1" x14ac:dyDescent="0.35">
      <c r="B524" s="148"/>
      <c r="C524" s="87"/>
      <c r="D524" s="69"/>
      <c r="E524" s="70"/>
      <c r="F524" s="71" t="s">
        <v>90</v>
      </c>
      <c r="G524" s="27" t="s">
        <v>581</v>
      </c>
      <c r="H524" s="80">
        <f>0.3*12*7.85*2.9*1.2</f>
        <v>98.344799999999978</v>
      </c>
      <c r="I524" s="60" t="s">
        <v>91</v>
      </c>
      <c r="J524" s="78">
        <v>28500</v>
      </c>
      <c r="K524" s="47"/>
      <c r="L524" s="42">
        <f t="shared" si="11"/>
        <v>2802826.7999999993</v>
      </c>
    </row>
    <row r="525" spans="2:12" s="31" customFormat="1" x14ac:dyDescent="0.35">
      <c r="B525" s="70"/>
      <c r="C525" s="84"/>
      <c r="D525" s="69"/>
      <c r="E525" s="70"/>
      <c r="F525" s="71" t="s">
        <v>90</v>
      </c>
      <c r="G525" s="27" t="s">
        <v>582</v>
      </c>
      <c r="H525" s="80">
        <f>0.2*12*7.85*0.2*1.2</f>
        <v>4.5216000000000003</v>
      </c>
      <c r="I525" s="60" t="s">
        <v>91</v>
      </c>
      <c r="J525" s="78">
        <v>28500</v>
      </c>
      <c r="K525" s="121"/>
      <c r="L525" s="42">
        <f t="shared" si="11"/>
        <v>128865.60000000001</v>
      </c>
    </row>
    <row r="526" spans="2:12" s="31" customFormat="1" x14ac:dyDescent="0.35">
      <c r="B526" s="70"/>
      <c r="C526" s="87"/>
      <c r="D526" s="62"/>
      <c r="E526" s="70"/>
      <c r="F526" s="71" t="s">
        <v>90</v>
      </c>
      <c r="G526" s="27" t="s">
        <v>583</v>
      </c>
      <c r="H526" s="80">
        <f>0.2*0.15*10*7.85*1.2</f>
        <v>2.8260000000000001</v>
      </c>
      <c r="I526" s="60" t="s">
        <v>91</v>
      </c>
      <c r="J526" s="78">
        <v>28500</v>
      </c>
      <c r="K526" s="47"/>
      <c r="L526" s="42">
        <f t="shared" si="11"/>
        <v>80541</v>
      </c>
    </row>
    <row r="527" spans="2:12" s="31" customFormat="1" x14ac:dyDescent="0.35">
      <c r="B527" s="148"/>
      <c r="C527" s="87"/>
      <c r="D527" s="69"/>
      <c r="E527" s="70"/>
      <c r="F527" s="71" t="s">
        <v>90</v>
      </c>
      <c r="G527" s="27" t="s">
        <v>584</v>
      </c>
      <c r="H527" s="80">
        <f>0.2*10*7.85*2.82*1.2*2</f>
        <v>106.25759999999998</v>
      </c>
      <c r="I527" s="60" t="s">
        <v>91</v>
      </c>
      <c r="J527" s="78">
        <v>28500</v>
      </c>
      <c r="K527" s="47"/>
      <c r="L527" s="42">
        <f t="shared" si="11"/>
        <v>3028341.5999999996</v>
      </c>
    </row>
    <row r="528" spans="2:12" s="31" customFormat="1" x14ac:dyDescent="0.35">
      <c r="B528" s="148"/>
      <c r="C528" s="87"/>
      <c r="D528" s="69"/>
      <c r="E528" s="70"/>
      <c r="F528" s="71" t="s">
        <v>90</v>
      </c>
      <c r="G528" s="27" t="s">
        <v>585</v>
      </c>
      <c r="H528" s="80">
        <f>0.2*10*7.85*0.35*1.2</f>
        <v>6.5939999999999985</v>
      </c>
      <c r="I528" s="60" t="s">
        <v>91</v>
      </c>
      <c r="J528" s="78">
        <v>28500</v>
      </c>
      <c r="K528" s="55"/>
      <c r="L528" s="42">
        <f t="shared" si="11"/>
        <v>187928.99999999997</v>
      </c>
    </row>
    <row r="529" spans="2:12" s="31" customFormat="1" x14ac:dyDescent="0.35">
      <c r="B529" s="148"/>
      <c r="C529" s="87"/>
      <c r="D529" s="69"/>
      <c r="E529" s="70"/>
      <c r="F529" s="71" t="s">
        <v>90</v>
      </c>
      <c r="G529" s="27" t="s">
        <v>586</v>
      </c>
      <c r="H529" s="80">
        <f>0.2*10*7.85*0.52*1.2</f>
        <v>9.7967999999999993</v>
      </c>
      <c r="I529" s="60" t="s">
        <v>91</v>
      </c>
      <c r="J529" s="78">
        <v>28500</v>
      </c>
      <c r="K529" s="47"/>
      <c r="L529" s="42">
        <f t="shared" si="11"/>
        <v>279208.8</v>
      </c>
    </row>
    <row r="530" spans="2:12" s="31" customFormat="1" x14ac:dyDescent="0.35">
      <c r="B530" s="148"/>
      <c r="C530" s="87"/>
      <c r="D530" s="69"/>
      <c r="E530" s="70"/>
      <c r="F530" s="71" t="s">
        <v>90</v>
      </c>
      <c r="G530" s="27" t="s">
        <v>587</v>
      </c>
      <c r="H530" s="80">
        <f>0.3*12*7.85*2.82*1.2</f>
        <v>95.631839999999968</v>
      </c>
      <c r="I530" s="60" t="s">
        <v>91</v>
      </c>
      <c r="J530" s="78">
        <v>28500</v>
      </c>
      <c r="K530" s="47"/>
      <c r="L530" s="42">
        <f t="shared" si="11"/>
        <v>2725507.439999999</v>
      </c>
    </row>
    <row r="531" spans="2:12" s="31" customFormat="1" x14ac:dyDescent="0.35">
      <c r="B531" s="150"/>
      <c r="C531" s="87"/>
      <c r="D531" s="69" t="s">
        <v>34</v>
      </c>
      <c r="E531" s="70"/>
      <c r="F531" s="71" t="s">
        <v>105</v>
      </c>
      <c r="G531" s="27"/>
      <c r="H531" s="80"/>
      <c r="I531" s="60"/>
      <c r="J531" s="26"/>
      <c r="K531" s="47"/>
      <c r="L531" s="42"/>
    </row>
    <row r="532" spans="2:12" s="31" customFormat="1" x14ac:dyDescent="0.35">
      <c r="B532" s="70"/>
      <c r="C532" s="84"/>
      <c r="D532" s="69"/>
      <c r="E532" s="70"/>
      <c r="F532" s="71" t="s">
        <v>90</v>
      </c>
      <c r="G532" s="27" t="s">
        <v>588</v>
      </c>
      <c r="H532" s="80">
        <f>49.9*0.98*1.2</f>
        <v>58.682400000000001</v>
      </c>
      <c r="I532" s="60" t="s">
        <v>91</v>
      </c>
      <c r="J532" s="78">
        <v>28500</v>
      </c>
      <c r="K532" s="47"/>
      <c r="L532" s="42">
        <f t="shared" si="11"/>
        <v>1672448.4000000001</v>
      </c>
    </row>
    <row r="533" spans="2:12" s="31" customFormat="1" x14ac:dyDescent="0.35">
      <c r="B533" s="70"/>
      <c r="C533" s="87"/>
      <c r="D533" s="62"/>
      <c r="E533" s="70"/>
      <c r="F533" s="71" t="s">
        <v>90</v>
      </c>
      <c r="G533" s="27" t="s">
        <v>302</v>
      </c>
      <c r="H533" s="80">
        <f>0.25*0.25*12*7.85*1.2</f>
        <v>7.0649999999999986</v>
      </c>
      <c r="I533" s="60" t="s">
        <v>91</v>
      </c>
      <c r="J533" s="78">
        <v>28500</v>
      </c>
      <c r="K533" s="47"/>
      <c r="L533" s="42">
        <f t="shared" si="11"/>
        <v>201352.49999999997</v>
      </c>
    </row>
    <row r="534" spans="2:12" x14ac:dyDescent="0.35">
      <c r="B534" s="70"/>
      <c r="C534" s="87"/>
      <c r="D534" s="62"/>
      <c r="E534" s="70"/>
      <c r="F534" s="71" t="s">
        <v>90</v>
      </c>
      <c r="G534" s="27" t="s">
        <v>589</v>
      </c>
      <c r="H534" s="80">
        <f>49.9*0.57*1.2</f>
        <v>34.131599999999999</v>
      </c>
      <c r="I534" s="60" t="s">
        <v>91</v>
      </c>
      <c r="J534" s="78">
        <v>28500</v>
      </c>
      <c r="K534" s="74"/>
      <c r="L534" s="42">
        <f t="shared" si="11"/>
        <v>972750.6</v>
      </c>
    </row>
    <row r="535" spans="2:12" x14ac:dyDescent="0.35">
      <c r="B535" s="70"/>
      <c r="C535" s="87"/>
      <c r="D535" s="62"/>
      <c r="E535" s="70"/>
      <c r="F535" s="71" t="s">
        <v>90</v>
      </c>
      <c r="G535" s="27" t="s">
        <v>303</v>
      </c>
      <c r="H535" s="80">
        <f>0.25*0.25*12*7.85*1.2</f>
        <v>7.0649999999999986</v>
      </c>
      <c r="I535" s="60" t="s">
        <v>91</v>
      </c>
      <c r="J535" s="78">
        <v>28500</v>
      </c>
      <c r="K535" s="47"/>
      <c r="L535" s="42">
        <f t="shared" si="11"/>
        <v>201352.49999999997</v>
      </c>
    </row>
    <row r="536" spans="2:12" x14ac:dyDescent="0.35">
      <c r="B536" s="176"/>
      <c r="C536" s="88"/>
      <c r="D536" s="62"/>
      <c r="E536" s="70"/>
      <c r="F536" s="71" t="s">
        <v>90</v>
      </c>
      <c r="G536" s="27" t="s">
        <v>590</v>
      </c>
      <c r="H536" s="80">
        <f>0.2*10*7.85*3.64*1.2</f>
        <v>68.57759999999999</v>
      </c>
      <c r="I536" s="60" t="s">
        <v>91</v>
      </c>
      <c r="J536" s="78">
        <v>28500</v>
      </c>
      <c r="K536" s="47"/>
      <c r="L536" s="42">
        <f t="shared" si="11"/>
        <v>1954461.5999999996</v>
      </c>
    </row>
    <row r="537" spans="2:12" x14ac:dyDescent="0.35">
      <c r="B537" s="176"/>
      <c r="C537" s="88"/>
      <c r="D537" s="62"/>
      <c r="E537" s="70"/>
      <c r="F537" s="71" t="s">
        <v>90</v>
      </c>
      <c r="G537" s="27" t="s">
        <v>591</v>
      </c>
      <c r="H537" s="80">
        <f>0.2*10*7.85*1.52*1.2</f>
        <v>28.636800000000001</v>
      </c>
      <c r="I537" s="60" t="s">
        <v>91</v>
      </c>
      <c r="J537" s="78">
        <v>28500</v>
      </c>
      <c r="K537" s="26"/>
      <c r="L537" s="42">
        <f t="shared" si="11"/>
        <v>816148.8</v>
      </c>
    </row>
    <row r="538" spans="2:12" x14ac:dyDescent="0.35">
      <c r="B538" s="176"/>
      <c r="C538" s="88"/>
      <c r="D538" s="62"/>
      <c r="E538" s="70"/>
      <c r="F538" s="71" t="s">
        <v>90</v>
      </c>
      <c r="G538" s="27" t="s">
        <v>592</v>
      </c>
      <c r="H538" s="80">
        <f>0.2*10*7.85*3.45*1.2</f>
        <v>64.99799999999999</v>
      </c>
      <c r="I538" s="60" t="s">
        <v>91</v>
      </c>
      <c r="J538" s="78">
        <v>28500</v>
      </c>
      <c r="K538" s="26"/>
      <c r="L538" s="42">
        <f t="shared" si="11"/>
        <v>1852442.9999999998</v>
      </c>
    </row>
    <row r="539" spans="2:12" x14ac:dyDescent="0.35">
      <c r="B539" s="176"/>
      <c r="C539" s="88"/>
      <c r="D539" s="62"/>
      <c r="E539" s="70"/>
      <c r="F539" s="71" t="s">
        <v>90</v>
      </c>
      <c r="G539" s="27" t="s">
        <v>593</v>
      </c>
      <c r="H539" s="80">
        <f>0.2*10*7.85*3.44*1.2*2</f>
        <v>129.61919999999998</v>
      </c>
      <c r="I539" s="60" t="s">
        <v>91</v>
      </c>
      <c r="J539" s="78">
        <v>28500</v>
      </c>
      <c r="K539" s="26"/>
      <c r="L539" s="42">
        <f t="shared" si="11"/>
        <v>3694147.1999999993</v>
      </c>
    </row>
    <row r="540" spans="2:12" x14ac:dyDescent="0.35">
      <c r="B540" s="43"/>
      <c r="C540" s="44"/>
      <c r="D540" s="21"/>
      <c r="G540" s="20"/>
      <c r="I540" s="20"/>
      <c r="J540" s="46"/>
      <c r="K540" s="26"/>
      <c r="L540" s="48"/>
    </row>
    <row r="541" spans="2:12" x14ac:dyDescent="0.35">
      <c r="B541" s="43"/>
      <c r="C541" s="44"/>
      <c r="D541" s="21"/>
      <c r="G541" s="20"/>
      <c r="I541" s="20"/>
      <c r="J541" s="46"/>
      <c r="K541" s="26"/>
      <c r="L541" s="48"/>
    </row>
    <row r="542" spans="2:12" x14ac:dyDescent="0.35">
      <c r="B542" s="8"/>
      <c r="C542" s="9"/>
      <c r="D542" s="10"/>
      <c r="E542" s="4"/>
      <c r="F542" s="4"/>
      <c r="G542" s="4"/>
      <c r="H542" s="1"/>
      <c r="I542" s="1"/>
      <c r="J542" s="11" t="s">
        <v>8</v>
      </c>
      <c r="K542" s="7">
        <f>SUM(K489:K541)</f>
        <v>6017940</v>
      </c>
      <c r="L542" s="7">
        <f>SUM(L489:L541)</f>
        <v>100234427.03999996</v>
      </c>
    </row>
    <row r="543" spans="2:12" x14ac:dyDescent="0.35">
      <c r="B543" s="8"/>
      <c r="C543" s="9"/>
      <c r="D543" s="9"/>
      <c r="E543" s="4"/>
      <c r="F543" s="4"/>
      <c r="G543" s="4"/>
      <c r="H543" s="1"/>
      <c r="I543" s="1"/>
      <c r="J543" s="11"/>
      <c r="K543" s="32" t="s">
        <v>13</v>
      </c>
      <c r="L543" s="33" t="s">
        <v>14</v>
      </c>
    </row>
    <row r="544" spans="2:12" x14ac:dyDescent="0.35">
      <c r="B544" s="3" t="s">
        <v>9</v>
      </c>
      <c r="C544" s="4"/>
      <c r="D544" s="4"/>
      <c r="E544" s="4"/>
      <c r="F544" s="4"/>
      <c r="G544" s="4"/>
      <c r="H544" s="1"/>
      <c r="I544" s="1"/>
      <c r="J544" s="12"/>
      <c r="K544" s="12"/>
      <c r="L544" s="13"/>
    </row>
    <row r="545" spans="2:12" x14ac:dyDescent="0.35">
      <c r="B545" s="34"/>
      <c r="C545" s="1"/>
      <c r="D545" s="1"/>
      <c r="E545" s="35"/>
      <c r="F545" s="35"/>
      <c r="G545" s="35"/>
      <c r="H545" s="1"/>
      <c r="I545" s="1"/>
      <c r="J545" s="1"/>
      <c r="K545" s="1"/>
      <c r="L545" s="17"/>
    </row>
    <row r="546" spans="2:12" x14ac:dyDescent="0.35">
      <c r="B546" s="25" t="s">
        <v>6</v>
      </c>
      <c r="C546" s="24"/>
      <c r="D546" s="24"/>
      <c r="E546" s="23"/>
      <c r="F546" s="23"/>
      <c r="G546" s="5"/>
      <c r="K546" s="227" t="s">
        <v>1292</v>
      </c>
      <c r="L546" s="228"/>
    </row>
    <row r="547" spans="2:12" x14ac:dyDescent="0.35">
      <c r="B547" s="25">
        <v>1</v>
      </c>
      <c r="C547" s="24"/>
      <c r="D547" s="24"/>
      <c r="E547" s="23" t="s">
        <v>7</v>
      </c>
      <c r="F547" s="23"/>
      <c r="G547" s="5"/>
      <c r="K547" s="227" t="s">
        <v>18</v>
      </c>
      <c r="L547" s="228"/>
    </row>
    <row r="548" spans="2:12" x14ac:dyDescent="0.35">
      <c r="B548" s="36"/>
      <c r="C548" s="24"/>
      <c r="D548" s="24"/>
      <c r="E548" s="23"/>
      <c r="F548" s="23"/>
      <c r="G548" s="5"/>
      <c r="J548" s="22"/>
      <c r="K548" s="22"/>
      <c r="L548" s="21"/>
    </row>
    <row r="549" spans="2:12" x14ac:dyDescent="0.35">
      <c r="B549" s="25"/>
      <c r="C549" s="24"/>
      <c r="D549" s="24"/>
      <c r="E549" s="23"/>
      <c r="F549" s="23"/>
      <c r="G549" s="5"/>
      <c r="L549" s="20"/>
    </row>
    <row r="550" spans="2:12" x14ac:dyDescent="0.35">
      <c r="B550" s="41"/>
      <c r="E550" s="5"/>
      <c r="F550" s="5"/>
      <c r="G550" s="5"/>
      <c r="L550" s="20"/>
    </row>
    <row r="551" spans="2:12" x14ac:dyDescent="0.35">
      <c r="B551" s="41"/>
      <c r="E551" s="5"/>
      <c r="F551" s="5"/>
      <c r="G551" s="5"/>
      <c r="L551" s="20"/>
    </row>
    <row r="552" spans="2:12" x14ac:dyDescent="0.35">
      <c r="B552" s="41"/>
      <c r="E552" s="5"/>
      <c r="F552" s="5"/>
      <c r="G552" s="5"/>
      <c r="L552" s="20"/>
    </row>
    <row r="553" spans="2:12" x14ac:dyDescent="0.35">
      <c r="B553" s="41"/>
      <c r="E553" s="5"/>
      <c r="F553" s="5"/>
      <c r="G553" s="5"/>
      <c r="J553" s="37"/>
      <c r="K553" s="229" t="s">
        <v>26</v>
      </c>
      <c r="L553" s="230"/>
    </row>
    <row r="554" spans="2:12" x14ac:dyDescent="0.35">
      <c r="B554" s="41"/>
      <c r="K554" s="231" t="s">
        <v>27</v>
      </c>
      <c r="L554" s="232"/>
    </row>
    <row r="555" spans="2:12" x14ac:dyDescent="0.35">
      <c r="B555" s="233"/>
      <c r="C555" s="234"/>
      <c r="D555" s="234"/>
      <c r="E555" s="38"/>
      <c r="F555" s="38"/>
      <c r="G555" s="38"/>
      <c r="H555" s="2"/>
      <c r="I555" s="2"/>
      <c r="J555" s="2"/>
      <c r="K555" s="2"/>
      <c r="L555" s="19"/>
    </row>
    <row r="556" spans="2:12" x14ac:dyDescent="0.35">
      <c r="B556" s="43"/>
      <c r="C556" s="44"/>
      <c r="D556" s="45"/>
      <c r="G556" s="20"/>
      <c r="H556" s="1"/>
      <c r="I556" s="1"/>
      <c r="J556" s="39"/>
      <c r="K556" s="27"/>
      <c r="L556" s="40"/>
    </row>
    <row r="557" spans="2:12" x14ac:dyDescent="0.35">
      <c r="B557" s="70"/>
      <c r="C557" s="84"/>
      <c r="D557" s="69"/>
      <c r="E557" s="70"/>
      <c r="F557" s="71" t="s">
        <v>90</v>
      </c>
      <c r="G557" s="27" t="s">
        <v>94</v>
      </c>
      <c r="H557" s="80">
        <f>49.9*1.2*1.2</f>
        <v>71.855999999999995</v>
      </c>
      <c r="I557" s="60" t="s">
        <v>91</v>
      </c>
      <c r="J557" s="78">
        <v>28500</v>
      </c>
      <c r="K557" s="74"/>
      <c r="L557" s="42">
        <f t="shared" ref="L557:L606" si="12">J557*H557</f>
        <v>2047895.9999999998</v>
      </c>
    </row>
    <row r="558" spans="2:12" x14ac:dyDescent="0.35">
      <c r="B558" s="70"/>
      <c r="C558" s="87"/>
      <c r="D558" s="62"/>
      <c r="E558" s="70"/>
      <c r="F558" s="71" t="s">
        <v>90</v>
      </c>
      <c r="G558" s="27" t="s">
        <v>307</v>
      </c>
      <c r="H558" s="80">
        <f>0.25*0.25*12*7.85*1.2</f>
        <v>7.0649999999999986</v>
      </c>
      <c r="I558" s="60" t="s">
        <v>91</v>
      </c>
      <c r="J558" s="78">
        <v>28500</v>
      </c>
      <c r="K558" s="74"/>
      <c r="L558" s="42">
        <f t="shared" si="12"/>
        <v>201352.49999999997</v>
      </c>
    </row>
    <row r="559" spans="2:12" x14ac:dyDescent="0.35">
      <c r="B559" s="70"/>
      <c r="C559" s="87"/>
      <c r="D559" s="62"/>
      <c r="E559" s="70"/>
      <c r="F559" s="71" t="s">
        <v>90</v>
      </c>
      <c r="G559" s="27" t="s">
        <v>594</v>
      </c>
      <c r="H559" s="80">
        <f>49.9*0.53*1.2</f>
        <v>31.736399999999996</v>
      </c>
      <c r="I559" s="60" t="s">
        <v>91</v>
      </c>
      <c r="J559" s="78">
        <v>28500</v>
      </c>
      <c r="K559" s="47"/>
      <c r="L559" s="42">
        <f t="shared" si="12"/>
        <v>904487.39999999991</v>
      </c>
    </row>
    <row r="560" spans="2:12" x14ac:dyDescent="0.35">
      <c r="B560" s="70"/>
      <c r="C560" s="87"/>
      <c r="D560" s="62"/>
      <c r="E560" s="70"/>
      <c r="F560" s="71" t="s">
        <v>90</v>
      </c>
      <c r="G560" s="27" t="s">
        <v>308</v>
      </c>
      <c r="H560" s="80">
        <f>0.25*0.25*12*7.85*1.2</f>
        <v>7.0649999999999986</v>
      </c>
      <c r="I560" s="60" t="s">
        <v>91</v>
      </c>
      <c r="J560" s="78">
        <v>28500</v>
      </c>
      <c r="K560" s="47"/>
      <c r="L560" s="42">
        <f t="shared" si="12"/>
        <v>201352.49999999997</v>
      </c>
    </row>
    <row r="561" spans="2:12" x14ac:dyDescent="0.35">
      <c r="B561" s="176"/>
      <c r="C561" s="88"/>
      <c r="D561" s="62"/>
      <c r="E561" s="70"/>
      <c r="F561" s="71" t="s">
        <v>90</v>
      </c>
      <c r="G561" s="27" t="s">
        <v>595</v>
      </c>
      <c r="H561" s="80">
        <f>0.2*10*7.85*3.65*1.2</f>
        <v>68.765999999999991</v>
      </c>
      <c r="I561" s="60" t="s">
        <v>91</v>
      </c>
      <c r="J561" s="78">
        <v>28500</v>
      </c>
      <c r="K561" s="47"/>
      <c r="L561" s="42">
        <f t="shared" si="12"/>
        <v>1959830.9999999998</v>
      </c>
    </row>
    <row r="562" spans="2:12" x14ac:dyDescent="0.35">
      <c r="B562" s="176"/>
      <c r="C562" s="88"/>
      <c r="D562" s="62"/>
      <c r="E562" s="70"/>
      <c r="F562" s="71" t="s">
        <v>90</v>
      </c>
      <c r="G562" s="27" t="s">
        <v>596</v>
      </c>
      <c r="H562" s="80">
        <f>0.2*10*7.85*3.46*1.2*4</f>
        <v>260.74559999999997</v>
      </c>
      <c r="I562" s="60" t="s">
        <v>91</v>
      </c>
      <c r="J562" s="78">
        <v>28500</v>
      </c>
      <c r="K562" s="73"/>
      <c r="L562" s="42">
        <f t="shared" si="12"/>
        <v>7431249.5999999987</v>
      </c>
    </row>
    <row r="563" spans="2:12" x14ac:dyDescent="0.35">
      <c r="B563" s="70"/>
      <c r="C563" s="84"/>
      <c r="D563" s="69"/>
      <c r="E563" s="70"/>
      <c r="F563" s="71" t="s">
        <v>90</v>
      </c>
      <c r="G563" s="27" t="s">
        <v>597</v>
      </c>
      <c r="H563" s="80">
        <f>49.9*1.12*1.2</f>
        <v>67.065600000000003</v>
      </c>
      <c r="I563" s="60" t="s">
        <v>91</v>
      </c>
      <c r="J563" s="78">
        <v>28500</v>
      </c>
      <c r="K563" s="47"/>
      <c r="L563" s="42">
        <f t="shared" si="12"/>
        <v>1911369.6</v>
      </c>
    </row>
    <row r="564" spans="2:12" x14ac:dyDescent="0.35">
      <c r="B564" s="70"/>
      <c r="C564" s="87"/>
      <c r="D564" s="62"/>
      <c r="E564" s="70"/>
      <c r="F564" s="71" t="s">
        <v>90</v>
      </c>
      <c r="G564" s="27" t="s">
        <v>312</v>
      </c>
      <c r="H564" s="80">
        <f>0.25*0.25*12*7.85*1.2</f>
        <v>7.0649999999999986</v>
      </c>
      <c r="I564" s="60" t="s">
        <v>91</v>
      </c>
      <c r="J564" s="78">
        <v>28500</v>
      </c>
      <c r="K564" s="47"/>
      <c r="L564" s="42">
        <f t="shared" si="12"/>
        <v>201352.49999999997</v>
      </c>
    </row>
    <row r="565" spans="2:12" x14ac:dyDescent="0.35">
      <c r="B565" s="70"/>
      <c r="C565" s="87"/>
      <c r="D565" s="62"/>
      <c r="E565" s="70"/>
      <c r="F565" s="71" t="s">
        <v>90</v>
      </c>
      <c r="G565" s="27" t="s">
        <v>598</v>
      </c>
      <c r="H565" s="80">
        <f>49.9*0.59*1.2</f>
        <v>35.3292</v>
      </c>
      <c r="I565" s="60" t="s">
        <v>91</v>
      </c>
      <c r="J565" s="78">
        <v>28500</v>
      </c>
      <c r="K565" s="47"/>
      <c r="L565" s="42">
        <f t="shared" si="12"/>
        <v>1006882.2</v>
      </c>
    </row>
    <row r="566" spans="2:12" x14ac:dyDescent="0.35">
      <c r="B566" s="70"/>
      <c r="C566" s="87"/>
      <c r="D566" s="62"/>
      <c r="E566" s="70"/>
      <c r="F566" s="71" t="s">
        <v>90</v>
      </c>
      <c r="G566" s="27" t="s">
        <v>313</v>
      </c>
      <c r="H566" s="80">
        <f>0.25*0.25*12*7.85*1.2</f>
        <v>7.0649999999999986</v>
      </c>
      <c r="I566" s="60" t="s">
        <v>91</v>
      </c>
      <c r="J566" s="78">
        <v>28500</v>
      </c>
      <c r="K566" s="47"/>
      <c r="L566" s="42">
        <f t="shared" si="12"/>
        <v>201352.49999999997</v>
      </c>
    </row>
    <row r="567" spans="2:12" x14ac:dyDescent="0.35">
      <c r="B567" s="176"/>
      <c r="C567" s="88"/>
      <c r="D567" s="62"/>
      <c r="E567" s="70"/>
      <c r="F567" s="71" t="s">
        <v>90</v>
      </c>
      <c r="G567" s="27" t="s">
        <v>599</v>
      </c>
      <c r="H567" s="80">
        <f>0.2*10*7.85*3.53*1.2</f>
        <v>66.505199999999988</v>
      </c>
      <c r="I567" s="60" t="s">
        <v>91</v>
      </c>
      <c r="J567" s="78">
        <v>28500</v>
      </c>
      <c r="K567" s="47"/>
      <c r="L567" s="42">
        <f t="shared" si="12"/>
        <v>1895398.1999999997</v>
      </c>
    </row>
    <row r="568" spans="2:12" x14ac:dyDescent="0.35">
      <c r="B568" s="176"/>
      <c r="C568" s="88"/>
      <c r="D568" s="62"/>
      <c r="E568" s="70"/>
      <c r="F568" s="71" t="s">
        <v>90</v>
      </c>
      <c r="G568" s="27" t="s">
        <v>600</v>
      </c>
      <c r="H568" s="80">
        <f>0.2*10*7.85*3.42*1.2*4</f>
        <v>257.73119999999994</v>
      </c>
      <c r="I568" s="60" t="s">
        <v>91</v>
      </c>
      <c r="J568" s="78">
        <v>28500</v>
      </c>
      <c r="K568" s="47"/>
      <c r="L568" s="42">
        <f t="shared" si="12"/>
        <v>7345339.1999999983</v>
      </c>
    </row>
    <row r="569" spans="2:12" x14ac:dyDescent="0.35">
      <c r="B569" s="70"/>
      <c r="C569" s="84"/>
      <c r="D569" s="69"/>
      <c r="E569" s="70"/>
      <c r="F569" s="71" t="s">
        <v>90</v>
      </c>
      <c r="G569" s="27" t="s">
        <v>601</v>
      </c>
      <c r="H569" s="80">
        <f>49.9*1.11*1.2</f>
        <v>66.466800000000006</v>
      </c>
      <c r="I569" s="60" t="s">
        <v>91</v>
      </c>
      <c r="J569" s="78">
        <v>28500</v>
      </c>
      <c r="K569" s="47"/>
      <c r="L569" s="42">
        <f t="shared" si="12"/>
        <v>1894303.8000000003</v>
      </c>
    </row>
    <row r="570" spans="2:12" x14ac:dyDescent="0.35">
      <c r="B570" s="70"/>
      <c r="C570" s="87"/>
      <c r="D570" s="62"/>
      <c r="E570" s="70"/>
      <c r="F570" s="71" t="s">
        <v>90</v>
      </c>
      <c r="G570" s="27" t="s">
        <v>315</v>
      </c>
      <c r="H570" s="80">
        <f>0.25*0.25*12*7.85*1.2</f>
        <v>7.0649999999999986</v>
      </c>
      <c r="I570" s="60" t="s">
        <v>91</v>
      </c>
      <c r="J570" s="78">
        <v>28500</v>
      </c>
      <c r="K570" s="47"/>
      <c r="L570" s="42">
        <f t="shared" si="12"/>
        <v>201352.49999999997</v>
      </c>
    </row>
    <row r="571" spans="2:12" x14ac:dyDescent="0.35">
      <c r="B571" s="70"/>
      <c r="C571" s="87"/>
      <c r="D571" s="62"/>
      <c r="E571" s="70"/>
      <c r="F571" s="71" t="s">
        <v>90</v>
      </c>
      <c r="G571" s="27" t="s">
        <v>602</v>
      </c>
      <c r="H571" s="80">
        <f>49.9*1.12*1.2</f>
        <v>67.065600000000003</v>
      </c>
      <c r="I571" s="60" t="s">
        <v>91</v>
      </c>
      <c r="J571" s="78">
        <v>28500</v>
      </c>
      <c r="K571" s="47"/>
      <c r="L571" s="42">
        <f t="shared" si="12"/>
        <v>1911369.6</v>
      </c>
    </row>
    <row r="572" spans="2:12" x14ac:dyDescent="0.35">
      <c r="B572" s="70"/>
      <c r="C572" s="87"/>
      <c r="D572" s="62"/>
      <c r="E572" s="70"/>
      <c r="F572" s="71" t="s">
        <v>90</v>
      </c>
      <c r="G572" s="27" t="s">
        <v>316</v>
      </c>
      <c r="H572" s="80">
        <f>0.25*0.25*12*7.85*1.2</f>
        <v>7.0649999999999986</v>
      </c>
      <c r="I572" s="60" t="s">
        <v>91</v>
      </c>
      <c r="J572" s="78">
        <v>28500</v>
      </c>
      <c r="K572" s="47"/>
      <c r="L572" s="42">
        <f t="shared" si="12"/>
        <v>201352.49999999997</v>
      </c>
    </row>
    <row r="573" spans="2:12" x14ac:dyDescent="0.35">
      <c r="B573" s="176"/>
      <c r="C573" s="88"/>
      <c r="D573" s="62"/>
      <c r="E573" s="70"/>
      <c r="F573" s="71" t="s">
        <v>90</v>
      </c>
      <c r="G573" s="27" t="s">
        <v>603</v>
      </c>
      <c r="H573" s="80">
        <f>0.2*10*7.85*3.65*1.2*5</f>
        <v>343.82999999999993</v>
      </c>
      <c r="I573" s="60" t="s">
        <v>91</v>
      </c>
      <c r="J573" s="78">
        <v>28500</v>
      </c>
      <c r="K573" s="47"/>
      <c r="L573" s="42">
        <f t="shared" si="12"/>
        <v>9799154.9999999981</v>
      </c>
    </row>
    <row r="574" spans="2:12" s="31" customFormat="1" x14ac:dyDescent="0.35">
      <c r="B574" s="70"/>
      <c r="C574" s="84"/>
      <c r="D574" s="69"/>
      <c r="E574" s="70"/>
      <c r="F574" s="71" t="s">
        <v>90</v>
      </c>
      <c r="G574" s="27" t="s">
        <v>604</v>
      </c>
      <c r="H574" s="80">
        <f>49.9*0.98*1.2</f>
        <v>58.682400000000001</v>
      </c>
      <c r="I574" s="60" t="s">
        <v>91</v>
      </c>
      <c r="J574" s="78">
        <v>28500</v>
      </c>
      <c r="K574" s="47"/>
      <c r="L574" s="42">
        <f t="shared" si="12"/>
        <v>1672448.4000000001</v>
      </c>
    </row>
    <row r="575" spans="2:12" s="31" customFormat="1" x14ac:dyDescent="0.35">
      <c r="B575" s="70"/>
      <c r="C575" s="87"/>
      <c r="D575" s="62"/>
      <c r="E575" s="70"/>
      <c r="F575" s="71" t="s">
        <v>90</v>
      </c>
      <c r="G575" s="27" t="s">
        <v>320</v>
      </c>
      <c r="H575" s="80">
        <f>0.25*0.25*12*7.85*1.2</f>
        <v>7.0649999999999986</v>
      </c>
      <c r="I575" s="60" t="s">
        <v>91</v>
      </c>
      <c r="J575" s="78">
        <v>28500</v>
      </c>
      <c r="K575" s="47"/>
      <c r="L575" s="42">
        <f t="shared" si="12"/>
        <v>201352.49999999997</v>
      </c>
    </row>
    <row r="576" spans="2:12" s="31" customFormat="1" x14ac:dyDescent="0.35">
      <c r="B576" s="70"/>
      <c r="C576" s="87"/>
      <c r="D576" s="62"/>
      <c r="E576" s="70"/>
      <c r="F576" s="71" t="s">
        <v>90</v>
      </c>
      <c r="G576" s="27" t="s">
        <v>458</v>
      </c>
      <c r="H576" s="80">
        <f>0.25*0.25*12*7.85*1.2</f>
        <v>7.0649999999999986</v>
      </c>
      <c r="I576" s="60" t="s">
        <v>91</v>
      </c>
      <c r="J576" s="78">
        <v>28500</v>
      </c>
      <c r="K576" s="47"/>
      <c r="L576" s="42">
        <f t="shared" si="12"/>
        <v>201352.49999999997</v>
      </c>
    </row>
    <row r="577" spans="2:12" s="31" customFormat="1" x14ac:dyDescent="0.35">
      <c r="B577" s="176"/>
      <c r="C577" s="88"/>
      <c r="D577" s="62"/>
      <c r="E577" s="70"/>
      <c r="F577" s="71" t="s">
        <v>90</v>
      </c>
      <c r="G577" s="27" t="s">
        <v>605</v>
      </c>
      <c r="H577" s="80">
        <f>0.2*10*7.85*3.61*1.2*5</f>
        <v>340.0619999999999</v>
      </c>
      <c r="I577" s="60" t="s">
        <v>91</v>
      </c>
      <c r="J577" s="78">
        <v>28500</v>
      </c>
      <c r="K577" s="47"/>
      <c r="L577" s="42">
        <f t="shared" si="12"/>
        <v>9691766.9999999963</v>
      </c>
    </row>
    <row r="578" spans="2:12" s="31" customFormat="1" x14ac:dyDescent="0.35">
      <c r="B578" s="70"/>
      <c r="C578" s="84"/>
      <c r="D578" s="69"/>
      <c r="E578" s="70"/>
      <c r="F578" s="71" t="s">
        <v>90</v>
      </c>
      <c r="G578" s="27" t="s">
        <v>606</v>
      </c>
      <c r="H578" s="80">
        <f>49.9*1.36*1.2</f>
        <v>81.436800000000005</v>
      </c>
      <c r="I578" s="60" t="s">
        <v>91</v>
      </c>
      <c r="J578" s="78">
        <v>28500</v>
      </c>
      <c r="K578" s="47"/>
      <c r="L578" s="42">
        <f t="shared" si="12"/>
        <v>2320948.8000000003</v>
      </c>
    </row>
    <row r="579" spans="2:12" s="31" customFormat="1" x14ac:dyDescent="0.35">
      <c r="B579" s="70"/>
      <c r="C579" s="87"/>
      <c r="D579" s="62"/>
      <c r="E579" s="70"/>
      <c r="F579" s="71" t="s">
        <v>90</v>
      </c>
      <c r="G579" s="27" t="s">
        <v>325</v>
      </c>
      <c r="H579" s="80">
        <f>0.25*0.25*12*7.85*1.2</f>
        <v>7.0649999999999986</v>
      </c>
      <c r="I579" s="60" t="s">
        <v>91</v>
      </c>
      <c r="J579" s="78">
        <v>28500</v>
      </c>
      <c r="K579" s="47"/>
      <c r="L579" s="42">
        <f t="shared" si="12"/>
        <v>201352.49999999997</v>
      </c>
    </row>
    <row r="580" spans="2:12" s="31" customFormat="1" x14ac:dyDescent="0.35">
      <c r="B580" s="70"/>
      <c r="C580" s="87"/>
      <c r="D580" s="62"/>
      <c r="E580" s="70"/>
      <c r="F580" s="71" t="s">
        <v>90</v>
      </c>
      <c r="G580" s="27" t="s">
        <v>607</v>
      </c>
      <c r="H580" s="80">
        <f>49.9*1.12*1.2</f>
        <v>67.065600000000003</v>
      </c>
      <c r="I580" s="60" t="s">
        <v>91</v>
      </c>
      <c r="J580" s="78">
        <v>28500</v>
      </c>
      <c r="K580" s="47"/>
      <c r="L580" s="42">
        <f t="shared" si="12"/>
        <v>1911369.6</v>
      </c>
    </row>
    <row r="581" spans="2:12" s="31" customFormat="1" x14ac:dyDescent="0.35">
      <c r="B581" s="70"/>
      <c r="C581" s="87"/>
      <c r="D581" s="62"/>
      <c r="E581" s="70"/>
      <c r="F581" s="71" t="s">
        <v>90</v>
      </c>
      <c r="G581" s="27" t="s">
        <v>468</v>
      </c>
      <c r="H581" s="80">
        <f>0.25*0.25*12*7.85*1.2</f>
        <v>7.0649999999999986</v>
      </c>
      <c r="I581" s="60" t="s">
        <v>91</v>
      </c>
      <c r="J581" s="78">
        <v>28500</v>
      </c>
      <c r="K581" s="47"/>
      <c r="L581" s="42">
        <f t="shared" si="12"/>
        <v>201352.49999999997</v>
      </c>
    </row>
    <row r="582" spans="2:12" s="31" customFormat="1" x14ac:dyDescent="0.35">
      <c r="B582" s="176"/>
      <c r="C582" s="88"/>
      <c r="D582" s="62"/>
      <c r="E582" s="70"/>
      <c r="F582" s="71" t="s">
        <v>90</v>
      </c>
      <c r="G582" s="27" t="s">
        <v>608</v>
      </c>
      <c r="H582" s="80">
        <f>0.2*10*7.85*3.64*1.2*5</f>
        <v>342.88799999999992</v>
      </c>
      <c r="I582" s="60" t="s">
        <v>91</v>
      </c>
      <c r="J582" s="78">
        <v>28500</v>
      </c>
      <c r="K582" s="47"/>
      <c r="L582" s="42">
        <f t="shared" si="12"/>
        <v>9772307.9999999981</v>
      </c>
    </row>
    <row r="583" spans="2:12" s="31" customFormat="1" x14ac:dyDescent="0.35">
      <c r="B583" s="70"/>
      <c r="C583" s="84"/>
      <c r="D583" s="69"/>
      <c r="E583" s="70"/>
      <c r="F583" s="71" t="s">
        <v>90</v>
      </c>
      <c r="G583" s="27" t="s">
        <v>609</v>
      </c>
      <c r="H583" s="80">
        <f>49.9*3.63*1.2</f>
        <v>217.36439999999999</v>
      </c>
      <c r="I583" s="60" t="s">
        <v>91</v>
      </c>
      <c r="J583" s="78">
        <v>28500</v>
      </c>
      <c r="K583" s="47"/>
      <c r="L583" s="42">
        <f t="shared" si="12"/>
        <v>6194885.3999999994</v>
      </c>
    </row>
    <row r="584" spans="2:12" s="31" customFormat="1" x14ac:dyDescent="0.35">
      <c r="B584" s="70"/>
      <c r="C584" s="87"/>
      <c r="D584" s="62"/>
      <c r="E584" s="70"/>
      <c r="F584" s="71" t="s">
        <v>90</v>
      </c>
      <c r="G584" s="27" t="s">
        <v>330</v>
      </c>
      <c r="H584" s="80">
        <f>0.25*0.25*12*7.85*1.2</f>
        <v>7.0649999999999986</v>
      </c>
      <c r="I584" s="60" t="s">
        <v>91</v>
      </c>
      <c r="J584" s="78">
        <v>28500</v>
      </c>
      <c r="K584" s="121"/>
      <c r="L584" s="42">
        <f t="shared" si="12"/>
        <v>201352.49999999997</v>
      </c>
    </row>
    <row r="585" spans="2:12" s="31" customFormat="1" x14ac:dyDescent="0.35">
      <c r="B585" s="70"/>
      <c r="C585" s="87"/>
      <c r="D585" s="62"/>
      <c r="E585" s="70"/>
      <c r="F585" s="71" t="s">
        <v>90</v>
      </c>
      <c r="G585" s="27" t="s">
        <v>610</v>
      </c>
      <c r="H585" s="80">
        <f>49.9*0.5*1.2</f>
        <v>29.939999999999998</v>
      </c>
      <c r="I585" s="60" t="s">
        <v>91</v>
      </c>
      <c r="J585" s="78">
        <v>28500</v>
      </c>
      <c r="K585" s="47"/>
      <c r="L585" s="42">
        <f t="shared" si="12"/>
        <v>853289.99999999988</v>
      </c>
    </row>
    <row r="586" spans="2:12" s="31" customFormat="1" x14ac:dyDescent="0.35">
      <c r="B586" s="70"/>
      <c r="C586" s="87"/>
      <c r="D586" s="62"/>
      <c r="E586" s="70"/>
      <c r="F586" s="71" t="s">
        <v>90</v>
      </c>
      <c r="G586" s="27" t="s">
        <v>473</v>
      </c>
      <c r="H586" s="80">
        <f>0.25*0.25*12*7.85*1.2</f>
        <v>7.0649999999999986</v>
      </c>
      <c r="I586" s="60" t="s">
        <v>91</v>
      </c>
      <c r="J586" s="78">
        <v>28500</v>
      </c>
      <c r="K586" s="47"/>
      <c r="L586" s="42">
        <f t="shared" si="12"/>
        <v>201352.49999999997</v>
      </c>
    </row>
    <row r="587" spans="2:12" s="31" customFormat="1" x14ac:dyDescent="0.35">
      <c r="B587" s="70"/>
      <c r="C587" s="88"/>
      <c r="D587" s="69"/>
      <c r="E587" s="70"/>
      <c r="F587" s="71" t="s">
        <v>90</v>
      </c>
      <c r="G587" s="27" t="s">
        <v>611</v>
      </c>
      <c r="H587" s="80">
        <f>0.3*12*7.85*21.87*1.2</f>
        <v>741.65543999999989</v>
      </c>
      <c r="I587" s="60" t="s">
        <v>91</v>
      </c>
      <c r="J587" s="78">
        <v>28500</v>
      </c>
      <c r="K587" s="47"/>
      <c r="L587" s="42">
        <f t="shared" si="12"/>
        <v>21137180.039999995</v>
      </c>
    </row>
    <row r="588" spans="2:12" s="31" customFormat="1" x14ac:dyDescent="0.35">
      <c r="B588" s="70"/>
      <c r="C588" s="87"/>
      <c r="D588" s="62"/>
      <c r="E588" s="70"/>
      <c r="F588" s="71" t="s">
        <v>90</v>
      </c>
      <c r="G588" s="27" t="s">
        <v>612</v>
      </c>
      <c r="H588" s="80">
        <f>0.3*0.17*10*7.85*1.2*10</f>
        <v>48.042000000000002</v>
      </c>
      <c r="I588" s="60" t="s">
        <v>91</v>
      </c>
      <c r="J588" s="78">
        <v>28500</v>
      </c>
      <c r="K588" s="47"/>
      <c r="L588" s="42">
        <f t="shared" si="12"/>
        <v>1369197</v>
      </c>
    </row>
    <row r="589" spans="2:12" s="31" customFormat="1" x14ac:dyDescent="0.35">
      <c r="B589" s="70"/>
      <c r="C589" s="87"/>
      <c r="D589" s="62"/>
      <c r="E589" s="70"/>
      <c r="F589" s="71" t="s">
        <v>90</v>
      </c>
      <c r="G589" s="27" t="s">
        <v>613</v>
      </c>
      <c r="H589" s="80">
        <f>0.28*0.17*10*7.85*1.2*4</f>
        <v>17.935680000000001</v>
      </c>
      <c r="I589" s="60" t="s">
        <v>91</v>
      </c>
      <c r="J589" s="78">
        <v>28500</v>
      </c>
      <c r="K589" s="47"/>
      <c r="L589" s="42">
        <f t="shared" si="12"/>
        <v>511166.88000000006</v>
      </c>
    </row>
    <row r="590" spans="2:12" s="31" customFormat="1" x14ac:dyDescent="0.35">
      <c r="B590" s="70"/>
      <c r="C590" s="84"/>
      <c r="D590" s="69"/>
      <c r="E590" s="70"/>
      <c r="F590" s="71" t="s">
        <v>90</v>
      </c>
      <c r="G590" s="27" t="s">
        <v>614</v>
      </c>
      <c r="H590" s="80">
        <f>0.2*10*7.85*0.16*1.2*4</f>
        <v>12.057599999999999</v>
      </c>
      <c r="I590" s="60" t="s">
        <v>91</v>
      </c>
      <c r="J590" s="78">
        <v>28500</v>
      </c>
      <c r="K590" s="47"/>
      <c r="L590" s="42">
        <f t="shared" si="12"/>
        <v>343641.59999999998</v>
      </c>
    </row>
    <row r="591" spans="2:12" s="31" customFormat="1" x14ac:dyDescent="0.35">
      <c r="B591" s="70"/>
      <c r="C591" s="84"/>
      <c r="D591" s="69"/>
      <c r="E591" s="70"/>
      <c r="F591" s="71" t="s">
        <v>90</v>
      </c>
      <c r="G591" s="27" t="s">
        <v>615</v>
      </c>
      <c r="H591" s="80">
        <f>0.2*10*7.85*0.2*1.2</f>
        <v>3.7679999999999998</v>
      </c>
      <c r="I591" s="60" t="s">
        <v>91</v>
      </c>
      <c r="J591" s="78">
        <v>28500</v>
      </c>
      <c r="K591" s="47"/>
      <c r="L591" s="42">
        <f t="shared" si="12"/>
        <v>107388</v>
      </c>
    </row>
    <row r="592" spans="2:12" s="31" customFormat="1" x14ac:dyDescent="0.35">
      <c r="B592" s="70"/>
      <c r="C592" s="84"/>
      <c r="D592" s="69"/>
      <c r="E592" s="70"/>
      <c r="F592" s="71" t="s">
        <v>90</v>
      </c>
      <c r="G592" s="27" t="s">
        <v>616</v>
      </c>
      <c r="H592" s="80">
        <f>0.3*12*7.85*0.3*1.2</f>
        <v>10.173599999999997</v>
      </c>
      <c r="I592" s="60" t="s">
        <v>91</v>
      </c>
      <c r="J592" s="78">
        <v>28500</v>
      </c>
      <c r="K592" s="55"/>
      <c r="L592" s="42">
        <f t="shared" si="12"/>
        <v>289947.59999999992</v>
      </c>
    </row>
    <row r="593" spans="2:12" s="31" customFormat="1" x14ac:dyDescent="0.35">
      <c r="B593" s="70"/>
      <c r="C593" s="84"/>
      <c r="D593" s="69"/>
      <c r="E593" s="70"/>
      <c r="F593" s="71" t="s">
        <v>90</v>
      </c>
      <c r="G593" s="27" t="s">
        <v>617</v>
      </c>
      <c r="H593" s="80">
        <f>0.25*0.16*10*7.85*1.2*24</f>
        <v>90.431999999999988</v>
      </c>
      <c r="I593" s="60" t="s">
        <v>91</v>
      </c>
      <c r="J593" s="78">
        <v>28500</v>
      </c>
      <c r="K593" s="47"/>
      <c r="L593" s="42">
        <f t="shared" si="12"/>
        <v>2577311.9999999995</v>
      </c>
    </row>
    <row r="594" spans="2:12" s="31" customFormat="1" x14ac:dyDescent="0.35">
      <c r="B594" s="177"/>
      <c r="C594" s="177"/>
      <c r="D594" s="69" t="s">
        <v>36</v>
      </c>
      <c r="E594" s="70"/>
      <c r="F594" s="71" t="s">
        <v>106</v>
      </c>
      <c r="G594" s="27"/>
      <c r="H594" s="80"/>
      <c r="I594" s="60"/>
      <c r="J594" s="26"/>
      <c r="K594" s="47"/>
      <c r="L594" s="42"/>
    </row>
    <row r="595" spans="2:12" s="31" customFormat="1" x14ac:dyDescent="0.35">
      <c r="B595" s="70"/>
      <c r="C595" s="84"/>
      <c r="D595" s="69"/>
      <c r="E595" s="70"/>
      <c r="F595" s="71" t="s">
        <v>90</v>
      </c>
      <c r="G595" s="27" t="s">
        <v>618</v>
      </c>
      <c r="H595" s="80">
        <f>49.9*0.72*1.2</f>
        <v>43.113599999999998</v>
      </c>
      <c r="I595" s="60" t="s">
        <v>91</v>
      </c>
      <c r="J595" s="78">
        <v>28500</v>
      </c>
      <c r="K595" s="47"/>
      <c r="L595" s="42">
        <f t="shared" si="12"/>
        <v>1228737.5999999999</v>
      </c>
    </row>
    <row r="596" spans="2:12" s="31" customFormat="1" x14ac:dyDescent="0.35">
      <c r="B596" s="70"/>
      <c r="C596" s="87"/>
      <c r="D596" s="62"/>
      <c r="E596" s="70"/>
      <c r="F596" s="71" t="s">
        <v>90</v>
      </c>
      <c r="G596" s="27" t="s">
        <v>619</v>
      </c>
      <c r="H596" s="80">
        <f>0.3*0.3*12*7.85*1.2</f>
        <v>10.173599999999999</v>
      </c>
      <c r="I596" s="60" t="s">
        <v>91</v>
      </c>
      <c r="J596" s="78">
        <v>28500</v>
      </c>
      <c r="K596" s="47"/>
      <c r="L596" s="42">
        <f t="shared" si="12"/>
        <v>289947.59999999998</v>
      </c>
    </row>
    <row r="597" spans="2:12" s="31" customFormat="1" x14ac:dyDescent="0.35">
      <c r="B597" s="70"/>
      <c r="C597" s="87"/>
      <c r="D597" s="62"/>
      <c r="E597" s="70"/>
      <c r="F597" s="71" t="s">
        <v>90</v>
      </c>
      <c r="G597" s="27" t="s">
        <v>620</v>
      </c>
      <c r="H597" s="80">
        <f>49.9*0.66*1.2</f>
        <v>39.520799999999994</v>
      </c>
      <c r="I597" s="60" t="s">
        <v>91</v>
      </c>
      <c r="J597" s="78">
        <v>28500</v>
      </c>
      <c r="K597" s="55"/>
      <c r="L597" s="42">
        <f t="shared" si="12"/>
        <v>1126342.7999999998</v>
      </c>
    </row>
    <row r="598" spans="2:12" s="31" customFormat="1" x14ac:dyDescent="0.35">
      <c r="B598" s="70"/>
      <c r="C598" s="87"/>
      <c r="D598" s="62"/>
      <c r="E598" s="70"/>
      <c r="F598" s="71" t="s">
        <v>90</v>
      </c>
      <c r="G598" s="27" t="s">
        <v>621</v>
      </c>
      <c r="H598" s="80">
        <f>0.28*0.15*10*7.85*1.2</f>
        <v>3.9563999999999999</v>
      </c>
      <c r="I598" s="60" t="s">
        <v>91</v>
      </c>
      <c r="J598" s="78">
        <v>28500</v>
      </c>
      <c r="K598" s="47"/>
      <c r="L598" s="42">
        <f t="shared" si="12"/>
        <v>112757.4</v>
      </c>
    </row>
    <row r="599" spans="2:12" s="31" customFormat="1" x14ac:dyDescent="0.35">
      <c r="B599" s="70"/>
      <c r="C599" s="87"/>
      <c r="D599" s="62"/>
      <c r="E599" s="70"/>
      <c r="F599" s="71" t="s">
        <v>90</v>
      </c>
      <c r="G599" s="27" t="s">
        <v>622</v>
      </c>
      <c r="H599" s="80">
        <f>0.3*0.3*12*7.85*1.2</f>
        <v>10.173599999999999</v>
      </c>
      <c r="I599" s="60" t="s">
        <v>91</v>
      </c>
      <c r="J599" s="78">
        <v>28500</v>
      </c>
      <c r="K599" s="47"/>
      <c r="L599" s="42">
        <f t="shared" si="12"/>
        <v>289947.59999999998</v>
      </c>
    </row>
    <row r="600" spans="2:12" x14ac:dyDescent="0.35">
      <c r="B600" s="150"/>
      <c r="C600" s="87"/>
      <c r="D600" s="69"/>
      <c r="E600" s="70"/>
      <c r="F600" s="71" t="s">
        <v>90</v>
      </c>
      <c r="G600" s="27" t="s">
        <v>623</v>
      </c>
      <c r="H600" s="80">
        <f>0.2*10*7.85*3.05*1.2*4</f>
        <v>229.84799999999998</v>
      </c>
      <c r="I600" s="60" t="s">
        <v>91</v>
      </c>
      <c r="J600" s="78">
        <v>28500</v>
      </c>
      <c r="K600" s="47"/>
      <c r="L600" s="42">
        <f t="shared" si="12"/>
        <v>6550668</v>
      </c>
    </row>
    <row r="601" spans="2:12" x14ac:dyDescent="0.35">
      <c r="B601" s="150"/>
      <c r="C601" s="87"/>
      <c r="D601" s="69"/>
      <c r="E601" s="70"/>
      <c r="F601" s="71" t="s">
        <v>90</v>
      </c>
      <c r="G601" s="27" t="s">
        <v>624</v>
      </c>
      <c r="H601" s="80">
        <f>0.2*10*7.85*3.05*1.2*4</f>
        <v>229.84799999999998</v>
      </c>
      <c r="I601" s="60" t="s">
        <v>91</v>
      </c>
      <c r="J601" s="78">
        <v>28500</v>
      </c>
      <c r="K601" s="47"/>
      <c r="L601" s="42">
        <f t="shared" si="12"/>
        <v>6550668</v>
      </c>
    </row>
    <row r="602" spans="2:12" x14ac:dyDescent="0.35">
      <c r="B602" s="150"/>
      <c r="C602" s="87"/>
      <c r="D602" s="69"/>
      <c r="E602" s="70"/>
      <c r="F602" s="71" t="s">
        <v>90</v>
      </c>
      <c r="G602" s="27" t="s">
        <v>625</v>
      </c>
      <c r="H602" s="80">
        <f>0.2*10*7.85*0.65*1.2*5</f>
        <v>61.230000000000004</v>
      </c>
      <c r="I602" s="60" t="s">
        <v>91</v>
      </c>
      <c r="J602" s="78">
        <v>28500</v>
      </c>
      <c r="K602" s="47"/>
      <c r="L602" s="42">
        <f t="shared" si="12"/>
        <v>1745055</v>
      </c>
    </row>
    <row r="603" spans="2:12" x14ac:dyDescent="0.35">
      <c r="B603" s="70"/>
      <c r="C603" s="84"/>
      <c r="D603" s="69"/>
      <c r="E603" s="70"/>
      <c r="F603" s="71" t="s">
        <v>90</v>
      </c>
      <c r="G603" s="27" t="s">
        <v>626</v>
      </c>
      <c r="H603" s="80">
        <f>49.9*3.62*1.2</f>
        <v>216.76560000000001</v>
      </c>
      <c r="I603" s="60" t="s">
        <v>91</v>
      </c>
      <c r="J603" s="78">
        <v>28500</v>
      </c>
      <c r="K603" s="47"/>
      <c r="L603" s="42">
        <f t="shared" si="12"/>
        <v>6177819.6000000006</v>
      </c>
    </row>
    <row r="604" spans="2:12" x14ac:dyDescent="0.35">
      <c r="B604" s="70"/>
      <c r="C604" s="87"/>
      <c r="D604" s="62"/>
      <c r="E604" s="70"/>
      <c r="F604" s="71" t="s">
        <v>90</v>
      </c>
      <c r="G604" s="27" t="s">
        <v>627</v>
      </c>
      <c r="H604" s="80">
        <f>0.3*0.3*12*7.85*1.2</f>
        <v>10.173599999999999</v>
      </c>
      <c r="I604" s="60" t="s">
        <v>91</v>
      </c>
      <c r="J604" s="78">
        <v>28500</v>
      </c>
      <c r="K604" s="26"/>
      <c r="L604" s="42">
        <f t="shared" si="12"/>
        <v>289947.59999999998</v>
      </c>
    </row>
    <row r="605" spans="2:12" x14ac:dyDescent="0.35">
      <c r="B605" s="70"/>
      <c r="C605" s="87"/>
      <c r="D605" s="62"/>
      <c r="E605" s="70"/>
      <c r="F605" s="71" t="s">
        <v>90</v>
      </c>
      <c r="G605" s="27" t="s">
        <v>628</v>
      </c>
      <c r="H605" s="80">
        <f>49.9*3.16*1.2</f>
        <v>189.2208</v>
      </c>
      <c r="I605" s="60" t="s">
        <v>91</v>
      </c>
      <c r="J605" s="78">
        <v>28500</v>
      </c>
      <c r="K605" s="26"/>
      <c r="L605" s="42">
        <f t="shared" si="12"/>
        <v>5392792.7999999998</v>
      </c>
    </row>
    <row r="606" spans="2:12" x14ac:dyDescent="0.35">
      <c r="B606" s="70"/>
      <c r="C606" s="87"/>
      <c r="D606" s="62"/>
      <c r="E606" s="70"/>
      <c r="F606" s="71" t="s">
        <v>90</v>
      </c>
      <c r="G606" s="27" t="s">
        <v>629</v>
      </c>
      <c r="H606" s="80">
        <f>0.28*0.15*10*7.85*1.2</f>
        <v>3.9563999999999999</v>
      </c>
      <c r="I606" s="60" t="s">
        <v>91</v>
      </c>
      <c r="J606" s="78">
        <v>28500</v>
      </c>
      <c r="K606" s="26"/>
      <c r="L606" s="42">
        <f t="shared" si="12"/>
        <v>112757.4</v>
      </c>
    </row>
    <row r="607" spans="2:12" x14ac:dyDescent="0.35">
      <c r="B607" s="43"/>
      <c r="C607" s="44"/>
      <c r="D607" s="21"/>
      <c r="G607" s="20"/>
      <c r="I607" s="20"/>
      <c r="J607" s="46"/>
      <c r="K607" s="26"/>
      <c r="L607" s="48"/>
    </row>
    <row r="608" spans="2:12" x14ac:dyDescent="0.35">
      <c r="B608" s="43"/>
      <c r="C608" s="44"/>
      <c r="D608" s="21"/>
      <c r="G608" s="20"/>
      <c r="I608" s="20"/>
      <c r="J608" s="46"/>
      <c r="K608" s="26"/>
      <c r="L608" s="48"/>
    </row>
    <row r="609" spans="2:12" x14ac:dyDescent="0.35">
      <c r="B609" s="8"/>
      <c r="C609" s="9"/>
      <c r="D609" s="10"/>
      <c r="E609" s="4"/>
      <c r="F609" s="4"/>
      <c r="G609" s="4"/>
      <c r="H609" s="1"/>
      <c r="I609" s="1"/>
      <c r="J609" s="11" t="s">
        <v>8</v>
      </c>
      <c r="K609" s="7">
        <f>SUM(K556:K608)</f>
        <v>0</v>
      </c>
      <c r="L609" s="7">
        <f>SUM(L556:L608)</f>
        <v>129143803.31999993</v>
      </c>
    </row>
    <row r="610" spans="2:12" x14ac:dyDescent="0.35">
      <c r="B610" s="8"/>
      <c r="C610" s="9"/>
      <c r="D610" s="9"/>
      <c r="E610" s="4"/>
      <c r="F610" s="4"/>
      <c r="G610" s="4"/>
      <c r="H610" s="1"/>
      <c r="I610" s="1"/>
      <c r="J610" s="11"/>
      <c r="K610" s="32" t="s">
        <v>13</v>
      </c>
      <c r="L610" s="33" t="s">
        <v>14</v>
      </c>
    </row>
    <row r="611" spans="2:12" x14ac:dyDescent="0.35">
      <c r="B611" s="3" t="s">
        <v>9</v>
      </c>
      <c r="C611" s="4"/>
      <c r="D611" s="4"/>
      <c r="E611" s="4"/>
      <c r="F611" s="4"/>
      <c r="G611" s="4"/>
      <c r="H611" s="1"/>
      <c r="I611" s="1"/>
      <c r="J611" s="12"/>
      <c r="K611" s="12"/>
      <c r="L611" s="13"/>
    </row>
    <row r="612" spans="2:12" x14ac:dyDescent="0.35">
      <c r="B612" s="34"/>
      <c r="C612" s="1"/>
      <c r="D612" s="1"/>
      <c r="E612" s="35"/>
      <c r="F612" s="35"/>
      <c r="G612" s="35"/>
      <c r="H612" s="1"/>
      <c r="I612" s="1"/>
      <c r="J612" s="1"/>
      <c r="K612" s="1"/>
      <c r="L612" s="17"/>
    </row>
    <row r="613" spans="2:12" x14ac:dyDescent="0.35">
      <c r="B613" s="25" t="s">
        <v>6</v>
      </c>
      <c r="C613" s="24"/>
      <c r="D613" s="24"/>
      <c r="E613" s="23"/>
      <c r="F613" s="23"/>
      <c r="G613" s="5"/>
      <c r="K613" s="227" t="s">
        <v>1292</v>
      </c>
      <c r="L613" s="228"/>
    </row>
    <row r="614" spans="2:12" x14ac:dyDescent="0.35">
      <c r="B614" s="25">
        <v>1</v>
      </c>
      <c r="C614" s="24"/>
      <c r="D614" s="24"/>
      <c r="E614" s="23" t="s">
        <v>7</v>
      </c>
      <c r="F614" s="23"/>
      <c r="G614" s="5"/>
      <c r="K614" s="227" t="s">
        <v>18</v>
      </c>
      <c r="L614" s="228"/>
    </row>
    <row r="615" spans="2:12" x14ac:dyDescent="0.35">
      <c r="B615" s="36"/>
      <c r="C615" s="24"/>
      <c r="D615" s="24"/>
      <c r="E615" s="23"/>
      <c r="F615" s="23"/>
      <c r="G615" s="5"/>
      <c r="J615" s="22"/>
      <c r="K615" s="22"/>
      <c r="L615" s="21"/>
    </row>
    <row r="616" spans="2:12" x14ac:dyDescent="0.35">
      <c r="B616" s="25"/>
      <c r="C616" s="24"/>
      <c r="D616" s="24"/>
      <c r="E616" s="23"/>
      <c r="F616" s="23"/>
      <c r="G616" s="5"/>
      <c r="L616" s="20"/>
    </row>
    <row r="617" spans="2:12" x14ac:dyDescent="0.35">
      <c r="B617" s="41"/>
      <c r="E617" s="5"/>
      <c r="F617" s="5"/>
      <c r="G617" s="5"/>
      <c r="L617" s="20"/>
    </row>
    <row r="618" spans="2:12" x14ac:dyDescent="0.35">
      <c r="B618" s="41"/>
      <c r="E618" s="5"/>
      <c r="F618" s="5"/>
      <c r="G618" s="5"/>
      <c r="L618" s="20"/>
    </row>
    <row r="619" spans="2:12" x14ac:dyDescent="0.35">
      <c r="B619" s="41"/>
      <c r="E619" s="5"/>
      <c r="F619" s="5"/>
      <c r="G619" s="5"/>
      <c r="L619" s="20"/>
    </row>
    <row r="620" spans="2:12" x14ac:dyDescent="0.35">
      <c r="B620" s="41"/>
      <c r="E620" s="5"/>
      <c r="F620" s="5"/>
      <c r="G620" s="5"/>
      <c r="J620" s="37"/>
      <c r="K620" s="229" t="s">
        <v>26</v>
      </c>
      <c r="L620" s="230"/>
    </row>
    <row r="621" spans="2:12" x14ac:dyDescent="0.35">
      <c r="B621" s="41"/>
      <c r="K621" s="231" t="s">
        <v>27</v>
      </c>
      <c r="L621" s="232"/>
    </row>
    <row r="622" spans="2:12" x14ac:dyDescent="0.35">
      <c r="B622" s="233"/>
      <c r="C622" s="234"/>
      <c r="D622" s="234"/>
      <c r="E622" s="38"/>
      <c r="F622" s="38"/>
      <c r="G622" s="38"/>
      <c r="H622" s="2"/>
      <c r="I622" s="2"/>
      <c r="J622" s="2"/>
      <c r="K622" s="2"/>
      <c r="L622" s="19"/>
    </row>
    <row r="623" spans="2:12" x14ac:dyDescent="0.35">
      <c r="B623" s="43"/>
      <c r="C623" s="44"/>
      <c r="D623" s="45"/>
      <c r="G623" s="20"/>
      <c r="H623" s="1"/>
      <c r="I623" s="1"/>
      <c r="J623" s="39"/>
      <c r="K623" s="27"/>
      <c r="L623" s="40"/>
    </row>
    <row r="624" spans="2:12" x14ac:dyDescent="0.35">
      <c r="B624" s="70"/>
      <c r="C624" s="87"/>
      <c r="D624" s="62"/>
      <c r="E624" s="70"/>
      <c r="F624" s="71" t="s">
        <v>90</v>
      </c>
      <c r="G624" s="27" t="s">
        <v>630</v>
      </c>
      <c r="H624" s="80">
        <f>0.3*0.3*12*7.85*1.2</f>
        <v>10.173599999999999</v>
      </c>
      <c r="I624" s="60" t="s">
        <v>91</v>
      </c>
      <c r="J624" s="78">
        <v>28500</v>
      </c>
      <c r="K624" s="74"/>
      <c r="L624" s="42">
        <f t="shared" ref="L624:L641" si="13">J624*H624</f>
        <v>289947.59999999998</v>
      </c>
    </row>
    <row r="625" spans="2:12" x14ac:dyDescent="0.35">
      <c r="B625" s="177"/>
      <c r="C625" s="177"/>
      <c r="D625" s="69"/>
      <c r="E625" s="70"/>
      <c r="F625" s="71" t="s">
        <v>90</v>
      </c>
      <c r="G625" s="27" t="s">
        <v>631</v>
      </c>
      <c r="H625" s="80">
        <f>0.3*12*7.85*6.92*1.2</f>
        <v>234.67103999999992</v>
      </c>
      <c r="I625" s="60" t="s">
        <v>91</v>
      </c>
      <c r="J625" s="78">
        <v>28500</v>
      </c>
      <c r="K625" s="47"/>
      <c r="L625" s="42">
        <f t="shared" si="13"/>
        <v>6688124.6399999978</v>
      </c>
    </row>
    <row r="626" spans="2:12" x14ac:dyDescent="0.35">
      <c r="B626" s="70"/>
      <c r="C626" s="84"/>
      <c r="D626" s="69"/>
      <c r="E626" s="70"/>
      <c r="F626" s="71" t="s">
        <v>90</v>
      </c>
      <c r="G626" s="27" t="s">
        <v>632</v>
      </c>
      <c r="H626" s="80">
        <f>0.2*10*7.85*0.2*1.2</f>
        <v>3.7679999999999998</v>
      </c>
      <c r="I626" s="60" t="s">
        <v>91</v>
      </c>
      <c r="J626" s="78">
        <v>28500</v>
      </c>
      <c r="K626" s="47"/>
      <c r="L626" s="42">
        <f t="shared" si="13"/>
        <v>107388</v>
      </c>
    </row>
    <row r="627" spans="2:12" x14ac:dyDescent="0.35">
      <c r="B627" s="177"/>
      <c r="C627" s="178"/>
      <c r="D627" s="69" t="s">
        <v>38</v>
      </c>
      <c r="E627" s="70"/>
      <c r="F627" s="71" t="s">
        <v>107</v>
      </c>
      <c r="G627" s="27"/>
      <c r="H627" s="80"/>
      <c r="I627" s="60"/>
      <c r="J627" s="26"/>
      <c r="K627" s="47"/>
      <c r="L627" s="42"/>
    </row>
    <row r="628" spans="2:12" x14ac:dyDescent="0.35">
      <c r="B628" s="70"/>
      <c r="C628" s="84"/>
      <c r="D628" s="69"/>
      <c r="E628" s="70"/>
      <c r="F628" s="71" t="s">
        <v>90</v>
      </c>
      <c r="G628" s="27" t="s">
        <v>633</v>
      </c>
      <c r="H628" s="80">
        <f>49.9*0.45*1.2</f>
        <v>26.945999999999998</v>
      </c>
      <c r="I628" s="60" t="s">
        <v>91</v>
      </c>
      <c r="J628" s="78">
        <v>28500</v>
      </c>
      <c r="K628" s="47"/>
      <c r="L628" s="42">
        <f t="shared" si="13"/>
        <v>767960.99999999988</v>
      </c>
    </row>
    <row r="629" spans="2:12" x14ac:dyDescent="0.35">
      <c r="B629" s="70"/>
      <c r="C629" s="87"/>
      <c r="D629" s="62"/>
      <c r="E629" s="70"/>
      <c r="F629" s="71" t="s">
        <v>90</v>
      </c>
      <c r="G629" s="27" t="s">
        <v>619</v>
      </c>
      <c r="H629" s="80">
        <f>0.3*0.3*12*7.85*1.2</f>
        <v>10.173599999999999</v>
      </c>
      <c r="I629" s="60" t="s">
        <v>91</v>
      </c>
      <c r="J629" s="78">
        <v>28500</v>
      </c>
      <c r="K629" s="47"/>
      <c r="L629" s="42">
        <f t="shared" si="13"/>
        <v>289947.59999999998</v>
      </c>
    </row>
    <row r="630" spans="2:12" x14ac:dyDescent="0.35">
      <c r="B630" s="70"/>
      <c r="C630" s="87"/>
      <c r="D630" s="62"/>
      <c r="E630" s="70"/>
      <c r="F630" s="71" t="s">
        <v>90</v>
      </c>
      <c r="G630" s="27" t="s">
        <v>620</v>
      </c>
      <c r="H630" s="80">
        <f>49.9*0.66*1.2</f>
        <v>39.520799999999994</v>
      </c>
      <c r="I630" s="60" t="s">
        <v>91</v>
      </c>
      <c r="J630" s="78">
        <v>28500</v>
      </c>
      <c r="K630" s="47"/>
      <c r="L630" s="42">
        <f t="shared" si="13"/>
        <v>1126342.7999999998</v>
      </c>
    </row>
    <row r="631" spans="2:12" x14ac:dyDescent="0.35">
      <c r="B631" s="70"/>
      <c r="C631" s="87"/>
      <c r="D631" s="62"/>
      <c r="E631" s="70"/>
      <c r="F631" s="71" t="s">
        <v>90</v>
      </c>
      <c r="G631" s="27" t="s">
        <v>622</v>
      </c>
      <c r="H631" s="80">
        <f>0.3*0.3*12*7.85*1.2</f>
        <v>10.173599999999999</v>
      </c>
      <c r="I631" s="60" t="s">
        <v>91</v>
      </c>
      <c r="J631" s="78">
        <v>28500</v>
      </c>
      <c r="K631" s="47"/>
      <c r="L631" s="42">
        <f t="shared" si="13"/>
        <v>289947.59999999998</v>
      </c>
    </row>
    <row r="632" spans="2:12" x14ac:dyDescent="0.35">
      <c r="B632" s="150"/>
      <c r="C632" s="87"/>
      <c r="D632" s="69"/>
      <c r="E632" s="70"/>
      <c r="F632" s="71" t="s">
        <v>90</v>
      </c>
      <c r="G632" s="27" t="s">
        <v>634</v>
      </c>
      <c r="H632" s="80">
        <f>0.2*10*7.85*2.27*1.2</f>
        <v>42.766799999999996</v>
      </c>
      <c r="I632" s="60" t="s">
        <v>91</v>
      </c>
      <c r="J632" s="78">
        <v>28500</v>
      </c>
      <c r="K632" s="47"/>
      <c r="L632" s="42">
        <f t="shared" si="13"/>
        <v>1218853.7999999998</v>
      </c>
    </row>
    <row r="633" spans="2:12" x14ac:dyDescent="0.35">
      <c r="B633" s="150"/>
      <c r="C633" s="87"/>
      <c r="D633" s="69"/>
      <c r="E633" s="70"/>
      <c r="F633" s="71" t="s">
        <v>90</v>
      </c>
      <c r="G633" s="27" t="s">
        <v>635</v>
      </c>
      <c r="H633" s="80">
        <f>0.2*10*7.85*1.2*1.2</f>
        <v>22.608000000000001</v>
      </c>
      <c r="I633" s="60" t="s">
        <v>91</v>
      </c>
      <c r="J633" s="78">
        <v>28500</v>
      </c>
      <c r="K633" s="47"/>
      <c r="L633" s="42">
        <f t="shared" si="13"/>
        <v>644328</v>
      </c>
    </row>
    <row r="634" spans="2:12" x14ac:dyDescent="0.35">
      <c r="B634" s="150"/>
      <c r="C634" s="87"/>
      <c r="D634" s="69"/>
      <c r="E634" s="70"/>
      <c r="F634" s="71" t="s">
        <v>90</v>
      </c>
      <c r="G634" s="27" t="s">
        <v>636</v>
      </c>
      <c r="H634" s="80">
        <f>0.2*10*7.85*3.03*1.2</f>
        <v>57.085199999999993</v>
      </c>
      <c r="I634" s="60" t="s">
        <v>91</v>
      </c>
      <c r="J634" s="78">
        <v>28500</v>
      </c>
      <c r="K634" s="47"/>
      <c r="L634" s="42">
        <f t="shared" si="13"/>
        <v>1626928.1999999997</v>
      </c>
    </row>
    <row r="635" spans="2:12" x14ac:dyDescent="0.35">
      <c r="B635" s="150"/>
      <c r="C635" s="87"/>
      <c r="D635" s="69"/>
      <c r="E635" s="70"/>
      <c r="F635" s="71" t="s">
        <v>90</v>
      </c>
      <c r="G635" s="27" t="s">
        <v>637</v>
      </c>
      <c r="H635" s="80">
        <f>0.2*10*7.85*0.65*1.2*3</f>
        <v>36.738</v>
      </c>
      <c r="I635" s="60" t="s">
        <v>91</v>
      </c>
      <c r="J635" s="78">
        <v>28500</v>
      </c>
      <c r="K635" s="47"/>
      <c r="L635" s="42">
        <f t="shared" si="13"/>
        <v>1047033</v>
      </c>
    </row>
    <row r="636" spans="2:12" x14ac:dyDescent="0.35">
      <c r="B636" s="70"/>
      <c r="C636" s="84"/>
      <c r="D636" s="69"/>
      <c r="E636" s="70"/>
      <c r="F636" s="71" t="s">
        <v>90</v>
      </c>
      <c r="G636" s="27" t="s">
        <v>101</v>
      </c>
      <c r="H636" s="80">
        <f>49.9*3.6*1.2</f>
        <v>215.56799999999998</v>
      </c>
      <c r="I636" s="60" t="s">
        <v>91</v>
      </c>
      <c r="J636" s="78">
        <v>28500</v>
      </c>
      <c r="K636" s="47"/>
      <c r="L636" s="42">
        <f t="shared" si="13"/>
        <v>6143687.9999999991</v>
      </c>
    </row>
    <row r="637" spans="2:12" x14ac:dyDescent="0.35">
      <c r="B637" s="70"/>
      <c r="C637" s="87"/>
      <c r="D637" s="62"/>
      <c r="E637" s="70"/>
      <c r="F637" s="71" t="s">
        <v>90</v>
      </c>
      <c r="G637" s="27" t="s">
        <v>627</v>
      </c>
      <c r="H637" s="80">
        <f>0.3*0.3*12*7.85*1.2</f>
        <v>10.173599999999999</v>
      </c>
      <c r="I637" s="60" t="s">
        <v>91</v>
      </c>
      <c r="J637" s="78">
        <v>28500</v>
      </c>
      <c r="K637" s="47"/>
      <c r="L637" s="42">
        <f t="shared" si="13"/>
        <v>289947.59999999998</v>
      </c>
    </row>
    <row r="638" spans="2:12" x14ac:dyDescent="0.35">
      <c r="B638" s="70"/>
      <c r="C638" s="87"/>
      <c r="D638" s="62"/>
      <c r="E638" s="70"/>
      <c r="F638" s="71" t="s">
        <v>90</v>
      </c>
      <c r="G638" s="27" t="s">
        <v>638</v>
      </c>
      <c r="H638" s="80">
        <f>49.9*3.13*1.2</f>
        <v>187.42439999999996</v>
      </c>
      <c r="I638" s="60" t="s">
        <v>91</v>
      </c>
      <c r="J638" s="78">
        <v>28500</v>
      </c>
      <c r="K638" s="47"/>
      <c r="L638" s="42">
        <f t="shared" si="13"/>
        <v>5341595.3999999985</v>
      </c>
    </row>
    <row r="639" spans="2:12" s="31" customFormat="1" x14ac:dyDescent="0.35">
      <c r="B639" s="70"/>
      <c r="C639" s="87"/>
      <c r="D639" s="62"/>
      <c r="E639" s="70"/>
      <c r="F639" s="71" t="s">
        <v>90</v>
      </c>
      <c r="G639" s="27" t="s">
        <v>629</v>
      </c>
      <c r="H639" s="80">
        <f>0.28*0.15*10*7.85*1.2</f>
        <v>3.9563999999999999</v>
      </c>
      <c r="I639" s="60" t="s">
        <v>91</v>
      </c>
      <c r="J639" s="78">
        <v>28500</v>
      </c>
      <c r="K639" s="55"/>
      <c r="L639" s="42">
        <f t="shared" si="13"/>
        <v>112757.4</v>
      </c>
    </row>
    <row r="640" spans="2:12" s="31" customFormat="1" x14ac:dyDescent="0.35">
      <c r="B640" s="70"/>
      <c r="C640" s="87"/>
      <c r="D640" s="62"/>
      <c r="E640" s="70"/>
      <c r="F640" s="71" t="s">
        <v>90</v>
      </c>
      <c r="G640" s="27" t="s">
        <v>630</v>
      </c>
      <c r="H640" s="80">
        <f>0.3*0.3*12*7.85*1.2</f>
        <v>10.173599999999999</v>
      </c>
      <c r="I640" s="60" t="s">
        <v>91</v>
      </c>
      <c r="J640" s="78">
        <v>28500</v>
      </c>
      <c r="K640" s="47"/>
      <c r="L640" s="42">
        <f t="shared" si="13"/>
        <v>289947.59999999998</v>
      </c>
    </row>
    <row r="641" spans="2:12" s="31" customFormat="1" x14ac:dyDescent="0.35">
      <c r="B641" s="177"/>
      <c r="C641" s="177"/>
      <c r="D641" s="69"/>
      <c r="E641" s="70"/>
      <c r="F641" s="71" t="s">
        <v>90</v>
      </c>
      <c r="G641" s="27" t="s">
        <v>639</v>
      </c>
      <c r="H641" s="80">
        <f>0.3*12*7.85*6.78*1.2</f>
        <v>229.92335999999997</v>
      </c>
      <c r="I641" s="60" t="s">
        <v>91</v>
      </c>
      <c r="J641" s="78">
        <v>28500</v>
      </c>
      <c r="K641" s="47"/>
      <c r="L641" s="42">
        <f t="shared" si="13"/>
        <v>6552815.7599999988</v>
      </c>
    </row>
    <row r="642" spans="2:12" s="31" customFormat="1" x14ac:dyDescent="0.35">
      <c r="B642" s="90"/>
      <c r="C642" s="88" t="s">
        <v>108</v>
      </c>
      <c r="D642" s="69"/>
      <c r="E642" s="164"/>
      <c r="F642" s="71" t="s">
        <v>109</v>
      </c>
      <c r="G642" s="27"/>
      <c r="H642" s="80"/>
      <c r="I642" s="60"/>
      <c r="J642" s="26"/>
      <c r="K642" s="47"/>
      <c r="L642" s="42"/>
    </row>
    <row r="643" spans="2:12" s="31" customFormat="1" x14ac:dyDescent="0.35">
      <c r="B643" s="150"/>
      <c r="C643" s="87"/>
      <c r="D643" s="69" t="s">
        <v>29</v>
      </c>
      <c r="E643" s="70"/>
      <c r="F643" s="71" t="s">
        <v>110</v>
      </c>
      <c r="G643" s="27"/>
      <c r="H643" s="80"/>
      <c r="I643" s="60"/>
      <c r="J643" s="26"/>
      <c r="K643" s="47"/>
      <c r="L643" s="42"/>
    </row>
    <row r="644" spans="2:12" s="31" customFormat="1" x14ac:dyDescent="0.35">
      <c r="B644" s="158"/>
      <c r="C644" s="87"/>
      <c r="D644" s="179"/>
      <c r="E644" s="88"/>
      <c r="F644" s="71" t="s">
        <v>90</v>
      </c>
      <c r="G644" s="27" t="s">
        <v>640</v>
      </c>
      <c r="H644" s="80">
        <f>0.45*2.74*8*7.85*1.2</f>
        <v>92.918880000000001</v>
      </c>
      <c r="I644" s="60" t="s">
        <v>91</v>
      </c>
      <c r="J644" s="78">
        <v>28500</v>
      </c>
      <c r="K644" s="47"/>
      <c r="L644" s="42">
        <f t="shared" ref="L644:L673" si="14">J644*H644</f>
        <v>2648188.08</v>
      </c>
    </row>
    <row r="645" spans="2:12" s="31" customFormat="1" x14ac:dyDescent="0.35">
      <c r="B645" s="158"/>
      <c r="C645" s="87"/>
      <c r="D645" s="179"/>
      <c r="E645" s="88"/>
      <c r="F645" s="71" t="s">
        <v>90</v>
      </c>
      <c r="G645" s="27" t="s">
        <v>641</v>
      </c>
      <c r="H645" s="80">
        <f>3.88*1.53*8*7.85</f>
        <v>372.80591999999996</v>
      </c>
      <c r="I645" s="60" t="s">
        <v>91</v>
      </c>
      <c r="J645" s="78">
        <v>28500</v>
      </c>
      <c r="K645" s="47"/>
      <c r="L645" s="42">
        <f t="shared" si="14"/>
        <v>10624968.719999999</v>
      </c>
    </row>
    <row r="646" spans="2:12" s="31" customFormat="1" x14ac:dyDescent="0.35">
      <c r="B646" s="158"/>
      <c r="C646" s="87"/>
      <c r="D646" s="179"/>
      <c r="E646" s="88"/>
      <c r="F646" s="71" t="s">
        <v>90</v>
      </c>
      <c r="G646" s="27" t="s">
        <v>642</v>
      </c>
      <c r="H646" s="80">
        <f>1.37*0.9*10*7.85</f>
        <v>96.790500000000009</v>
      </c>
      <c r="I646" s="60" t="s">
        <v>91</v>
      </c>
      <c r="J646" s="78">
        <v>28500</v>
      </c>
      <c r="K646" s="55"/>
      <c r="L646" s="42">
        <f t="shared" si="14"/>
        <v>2758529.2500000005</v>
      </c>
    </row>
    <row r="647" spans="2:12" s="31" customFormat="1" x14ac:dyDescent="0.35">
      <c r="B647" s="158"/>
      <c r="C647" s="87"/>
      <c r="D647" s="179"/>
      <c r="E647" s="88"/>
      <c r="F647" s="71" t="s">
        <v>90</v>
      </c>
      <c r="G647" s="27" t="s">
        <v>643</v>
      </c>
      <c r="H647" s="80">
        <f>6.1*0.9*10*7.85</f>
        <v>430.96500000000003</v>
      </c>
      <c r="I647" s="60" t="s">
        <v>91</v>
      </c>
      <c r="J647" s="78">
        <v>28500</v>
      </c>
      <c r="K647" s="121"/>
      <c r="L647" s="42">
        <f t="shared" si="14"/>
        <v>12282502.5</v>
      </c>
    </row>
    <row r="648" spans="2:12" s="31" customFormat="1" x14ac:dyDescent="0.35">
      <c r="B648" s="158"/>
      <c r="C648" s="87"/>
      <c r="D648" s="179"/>
      <c r="E648" s="88"/>
      <c r="F648" s="71" t="s">
        <v>90</v>
      </c>
      <c r="G648" s="27" t="s">
        <v>644</v>
      </c>
      <c r="H648" s="80">
        <f>3.74*0.9*10*7.85</f>
        <v>264.23099999999999</v>
      </c>
      <c r="I648" s="60" t="s">
        <v>91</v>
      </c>
      <c r="J648" s="78">
        <v>28500</v>
      </c>
      <c r="K648" s="121"/>
      <c r="L648" s="42">
        <f t="shared" si="14"/>
        <v>7530583.5</v>
      </c>
    </row>
    <row r="649" spans="2:12" s="31" customFormat="1" x14ac:dyDescent="0.35">
      <c r="B649" s="158"/>
      <c r="C649" s="87"/>
      <c r="D649" s="179"/>
      <c r="E649" s="88"/>
      <c r="F649" s="71" t="s">
        <v>90</v>
      </c>
      <c r="G649" s="27" t="s">
        <v>645</v>
      </c>
      <c r="H649" s="80">
        <f>2*0.76*8*7.85</f>
        <v>95.456000000000003</v>
      </c>
      <c r="I649" s="60" t="s">
        <v>91</v>
      </c>
      <c r="J649" s="78">
        <v>28500</v>
      </c>
      <c r="K649" s="47"/>
      <c r="L649" s="42">
        <f t="shared" si="14"/>
        <v>2720496</v>
      </c>
    </row>
    <row r="650" spans="2:12" s="31" customFormat="1" x14ac:dyDescent="0.35">
      <c r="B650" s="158"/>
      <c r="C650" s="87"/>
      <c r="D650" s="179"/>
      <c r="E650" s="88"/>
      <c r="F650" s="71" t="s">
        <v>90</v>
      </c>
      <c r="G650" s="27" t="s">
        <v>646</v>
      </c>
      <c r="H650" s="80">
        <f>1.98*0.77*8*7.85</f>
        <v>95.744879999999995</v>
      </c>
      <c r="I650" s="60" t="s">
        <v>91</v>
      </c>
      <c r="J650" s="78">
        <v>28500</v>
      </c>
      <c r="K650" s="121"/>
      <c r="L650" s="42">
        <f t="shared" si="14"/>
        <v>2728729.08</v>
      </c>
    </row>
    <row r="651" spans="2:12" s="31" customFormat="1" x14ac:dyDescent="0.35">
      <c r="B651" s="158"/>
      <c r="C651" s="87"/>
      <c r="D651" s="179"/>
      <c r="E651" s="88"/>
      <c r="F651" s="71" t="s">
        <v>90</v>
      </c>
      <c r="G651" s="27" t="s">
        <v>647</v>
      </c>
      <c r="H651" s="80">
        <f>2.25*0.9*10*7.85</f>
        <v>158.96250000000001</v>
      </c>
      <c r="I651" s="60" t="s">
        <v>91</v>
      </c>
      <c r="J651" s="78">
        <v>28500</v>
      </c>
      <c r="K651" s="121"/>
      <c r="L651" s="42">
        <f t="shared" si="14"/>
        <v>4530431.25</v>
      </c>
    </row>
    <row r="652" spans="2:12" s="31" customFormat="1" x14ac:dyDescent="0.35">
      <c r="B652" s="158"/>
      <c r="C652" s="87"/>
      <c r="D652" s="179"/>
      <c r="E652" s="88"/>
      <c r="F652" s="71" t="s">
        <v>90</v>
      </c>
      <c r="G652" s="27" t="s">
        <v>648</v>
      </c>
      <c r="H652" s="80">
        <f>1.98*0.3*8*7.85*1.2</f>
        <v>44.763839999999995</v>
      </c>
      <c r="I652" s="60" t="s">
        <v>91</v>
      </c>
      <c r="J652" s="78">
        <v>28500</v>
      </c>
      <c r="K652" s="47"/>
      <c r="L652" s="42">
        <f t="shared" si="14"/>
        <v>1275769.44</v>
      </c>
    </row>
    <row r="653" spans="2:12" s="31" customFormat="1" x14ac:dyDescent="0.35">
      <c r="B653" s="158"/>
      <c r="C653" s="87"/>
      <c r="D653" s="179"/>
      <c r="E653" s="88"/>
      <c r="F653" s="71" t="s">
        <v>90</v>
      </c>
      <c r="G653" s="27" t="s">
        <v>649</v>
      </c>
      <c r="H653" s="80">
        <f>6.02*0.9*10*7.85</f>
        <v>425.31299999999999</v>
      </c>
      <c r="I653" s="60" t="s">
        <v>91</v>
      </c>
      <c r="J653" s="78">
        <v>28500</v>
      </c>
      <c r="K653" s="121"/>
      <c r="L653" s="42">
        <f t="shared" si="14"/>
        <v>12121420.5</v>
      </c>
    </row>
    <row r="654" spans="2:12" s="31" customFormat="1" x14ac:dyDescent="0.35">
      <c r="B654" s="158"/>
      <c r="C654" s="87"/>
      <c r="D654" s="179"/>
      <c r="E654" s="88"/>
      <c r="F654" s="71" t="s">
        <v>90</v>
      </c>
      <c r="G654" s="27" t="s">
        <v>650</v>
      </c>
      <c r="H654" s="80">
        <f>1.15*1*8*7.85</f>
        <v>72.219999999999985</v>
      </c>
      <c r="I654" s="60" t="s">
        <v>91</v>
      </c>
      <c r="J654" s="78">
        <v>28500</v>
      </c>
      <c r="K654" s="55"/>
      <c r="L654" s="42">
        <f t="shared" si="14"/>
        <v>2058269.9999999995</v>
      </c>
    </row>
    <row r="655" spans="2:12" s="31" customFormat="1" x14ac:dyDescent="0.35">
      <c r="B655" s="158"/>
      <c r="C655" s="87"/>
      <c r="D655" s="179"/>
      <c r="E655" s="88"/>
      <c r="F655" s="71" t="s">
        <v>90</v>
      </c>
      <c r="G655" s="27" t="s">
        <v>651</v>
      </c>
      <c r="H655" s="80">
        <f>6.02*0.9*10*7.85</f>
        <v>425.31299999999999</v>
      </c>
      <c r="I655" s="60" t="s">
        <v>91</v>
      </c>
      <c r="J655" s="78">
        <v>28500</v>
      </c>
      <c r="K655" s="47"/>
      <c r="L655" s="42">
        <f t="shared" si="14"/>
        <v>12121420.5</v>
      </c>
    </row>
    <row r="656" spans="2:12" s="31" customFormat="1" x14ac:dyDescent="0.35">
      <c r="B656" s="158"/>
      <c r="C656" s="87"/>
      <c r="D656" s="179"/>
      <c r="E656" s="88"/>
      <c r="F656" s="71" t="s">
        <v>90</v>
      </c>
      <c r="G656" s="27" t="s">
        <v>652</v>
      </c>
      <c r="H656" s="80">
        <f>4.35*0.9*10*7.85</f>
        <v>307.32749999999999</v>
      </c>
      <c r="I656" s="60" t="s">
        <v>91</v>
      </c>
      <c r="J656" s="78">
        <v>28500</v>
      </c>
      <c r="K656" s="55"/>
      <c r="L656" s="42">
        <f t="shared" si="14"/>
        <v>8758833.75</v>
      </c>
    </row>
    <row r="657" spans="2:12" s="31" customFormat="1" x14ac:dyDescent="0.35">
      <c r="B657" s="158"/>
      <c r="C657" s="87"/>
      <c r="D657" s="179"/>
      <c r="E657" s="88"/>
      <c r="F657" s="71" t="s">
        <v>90</v>
      </c>
      <c r="G657" s="27" t="s">
        <v>653</v>
      </c>
      <c r="H657" s="80">
        <f>6.02*0.9*10*7.85</f>
        <v>425.31299999999999</v>
      </c>
      <c r="I657" s="60" t="s">
        <v>91</v>
      </c>
      <c r="J657" s="78">
        <v>28500</v>
      </c>
      <c r="K657" s="55"/>
      <c r="L657" s="42">
        <f t="shared" si="14"/>
        <v>12121420.5</v>
      </c>
    </row>
    <row r="658" spans="2:12" s="31" customFormat="1" x14ac:dyDescent="0.35">
      <c r="B658" s="158"/>
      <c r="C658" s="87"/>
      <c r="D658" s="179"/>
      <c r="E658" s="88"/>
      <c r="F658" s="71" t="s">
        <v>90</v>
      </c>
      <c r="G658" s="27" t="s">
        <v>654</v>
      </c>
      <c r="H658" s="80">
        <f>32.27*0.77*8*7.85</f>
        <v>1560.44812</v>
      </c>
      <c r="I658" s="60" t="s">
        <v>91</v>
      </c>
      <c r="J658" s="78">
        <v>28500</v>
      </c>
      <c r="K658" s="47"/>
      <c r="L658" s="42">
        <f t="shared" si="14"/>
        <v>44472771.420000002</v>
      </c>
    </row>
    <row r="659" spans="2:12" s="31" customFormat="1" x14ac:dyDescent="0.35">
      <c r="B659" s="158"/>
      <c r="C659" s="87"/>
      <c r="D659" s="179"/>
      <c r="E659" s="88"/>
      <c r="F659" s="71" t="s">
        <v>90</v>
      </c>
      <c r="G659" s="27" t="s">
        <v>655</v>
      </c>
      <c r="H659" s="80">
        <f>0.87*0.89*10*7.85</f>
        <v>60.782550000000001</v>
      </c>
      <c r="I659" s="60" t="s">
        <v>91</v>
      </c>
      <c r="J659" s="78">
        <v>28500</v>
      </c>
      <c r="K659" s="55"/>
      <c r="L659" s="42">
        <f t="shared" si="14"/>
        <v>1732302.675</v>
      </c>
    </row>
    <row r="660" spans="2:12" s="31" customFormat="1" x14ac:dyDescent="0.35">
      <c r="B660" s="158"/>
      <c r="C660" s="87"/>
      <c r="D660" s="179"/>
      <c r="E660" s="88"/>
      <c r="F660" s="71" t="s">
        <v>90</v>
      </c>
      <c r="G660" s="27" t="s">
        <v>656</v>
      </c>
      <c r="H660" s="80">
        <f>0.3*0.9*10*7.85*1.2</f>
        <v>25.434000000000001</v>
      </c>
      <c r="I660" s="60" t="s">
        <v>91</v>
      </c>
      <c r="J660" s="78">
        <v>28500</v>
      </c>
      <c r="K660" s="55"/>
      <c r="L660" s="42">
        <f t="shared" si="14"/>
        <v>724869</v>
      </c>
    </row>
    <row r="661" spans="2:12" s="31" customFormat="1" x14ac:dyDescent="0.35">
      <c r="B661" s="158"/>
      <c r="C661" s="87"/>
      <c r="D661" s="179"/>
      <c r="E661" s="88"/>
      <c r="F661" s="71" t="s">
        <v>90</v>
      </c>
      <c r="G661" s="27" t="s">
        <v>657</v>
      </c>
      <c r="H661" s="80">
        <f>0.3*2.74*8*7.85*1.2</f>
        <v>61.945920000000001</v>
      </c>
      <c r="I661" s="60" t="s">
        <v>91</v>
      </c>
      <c r="J661" s="78">
        <v>28500</v>
      </c>
      <c r="K661" s="47"/>
      <c r="L661" s="42">
        <f t="shared" si="14"/>
        <v>1765458.72</v>
      </c>
    </row>
    <row r="662" spans="2:12" s="31" customFormat="1" x14ac:dyDescent="0.35">
      <c r="B662" s="158"/>
      <c r="C662" s="87"/>
      <c r="D662" s="179"/>
      <c r="E662" s="88"/>
      <c r="F662" s="71" t="s">
        <v>90</v>
      </c>
      <c r="G662" s="27" t="s">
        <v>658</v>
      </c>
      <c r="H662" s="80">
        <f>4.88*0.9*10*7.85</f>
        <v>344.77199999999999</v>
      </c>
      <c r="I662" s="60" t="s">
        <v>91</v>
      </c>
      <c r="J662" s="78">
        <v>28500</v>
      </c>
      <c r="K662" s="47"/>
      <c r="L662" s="42">
        <f t="shared" si="14"/>
        <v>9826002</v>
      </c>
    </row>
    <row r="663" spans="2:12" s="31" customFormat="1" x14ac:dyDescent="0.35">
      <c r="B663" s="158"/>
      <c r="C663" s="87"/>
      <c r="D663" s="179"/>
      <c r="E663" s="88"/>
      <c r="F663" s="71" t="s">
        <v>90</v>
      </c>
      <c r="G663" s="27" t="s">
        <v>659</v>
      </c>
      <c r="H663" s="80">
        <f>1.8*0.54*8*7.85*1.2</f>
        <v>73.249920000000003</v>
      </c>
      <c r="I663" s="60" t="s">
        <v>91</v>
      </c>
      <c r="J663" s="78">
        <v>28500</v>
      </c>
      <c r="K663" s="55"/>
      <c r="L663" s="42">
        <f t="shared" si="14"/>
        <v>2087622.72</v>
      </c>
    </row>
    <row r="664" spans="2:12" s="31" customFormat="1" x14ac:dyDescent="0.35">
      <c r="B664" s="158"/>
      <c r="C664" s="87"/>
      <c r="D664" s="179"/>
      <c r="E664" s="88"/>
      <c r="F664" s="71" t="s">
        <v>90</v>
      </c>
      <c r="G664" s="27" t="s">
        <v>660</v>
      </c>
      <c r="H664" s="80">
        <f>10.71*0.74*8*7.85</f>
        <v>497.71512000000001</v>
      </c>
      <c r="I664" s="60" t="s">
        <v>91</v>
      </c>
      <c r="J664" s="78">
        <v>28500</v>
      </c>
      <c r="K664" s="47"/>
      <c r="L664" s="42">
        <f t="shared" si="14"/>
        <v>14184880.92</v>
      </c>
    </row>
    <row r="665" spans="2:12" s="31" customFormat="1" x14ac:dyDescent="0.35">
      <c r="B665" s="158"/>
      <c r="C665" s="87"/>
      <c r="D665" s="179"/>
      <c r="E665" s="88"/>
      <c r="F665" s="71" t="s">
        <v>90</v>
      </c>
      <c r="G665" s="27" t="s">
        <v>661</v>
      </c>
      <c r="H665" s="80">
        <f>5.83*0.9*10*7.85</f>
        <v>411.8895</v>
      </c>
      <c r="I665" s="60" t="s">
        <v>91</v>
      </c>
      <c r="J665" s="78">
        <v>28500</v>
      </c>
      <c r="K665" s="55"/>
      <c r="L665" s="42">
        <f t="shared" si="14"/>
        <v>11738850.75</v>
      </c>
    </row>
    <row r="666" spans="2:12" x14ac:dyDescent="0.35">
      <c r="B666" s="158"/>
      <c r="C666" s="87"/>
      <c r="D666" s="179"/>
      <c r="E666" s="88"/>
      <c r="F666" s="71" t="s">
        <v>90</v>
      </c>
      <c r="G666" s="27" t="s">
        <v>662</v>
      </c>
      <c r="H666" s="80">
        <f>2.02*0.59*10*7.85*1.2</f>
        <v>112.26755999999999</v>
      </c>
      <c r="I666" s="60" t="s">
        <v>91</v>
      </c>
      <c r="J666" s="78">
        <v>28500</v>
      </c>
      <c r="K666" s="47"/>
      <c r="L666" s="42">
        <f t="shared" si="14"/>
        <v>3199625.4599999995</v>
      </c>
    </row>
    <row r="667" spans="2:12" x14ac:dyDescent="0.35">
      <c r="B667" s="158"/>
      <c r="C667" s="87"/>
      <c r="D667" s="179"/>
      <c r="E667" s="88"/>
      <c r="F667" s="71" t="s">
        <v>90</v>
      </c>
      <c r="G667" s="27" t="s">
        <v>663</v>
      </c>
      <c r="H667" s="80">
        <f>1.65*0.5*8*7.85*1.2</f>
        <v>62.17199999999999</v>
      </c>
      <c r="I667" s="60" t="s">
        <v>91</v>
      </c>
      <c r="J667" s="78">
        <v>28500</v>
      </c>
      <c r="K667" s="55"/>
      <c r="L667" s="42">
        <f t="shared" si="14"/>
        <v>1771901.9999999998</v>
      </c>
    </row>
    <row r="668" spans="2:12" x14ac:dyDescent="0.35">
      <c r="B668" s="158"/>
      <c r="C668" s="87"/>
      <c r="D668" s="179"/>
      <c r="E668" s="88"/>
      <c r="F668" s="71" t="s">
        <v>90</v>
      </c>
      <c r="G668" s="27" t="s">
        <v>664</v>
      </c>
      <c r="H668" s="80">
        <f>0.3*0.3*8*7.85*1.2</f>
        <v>6.7823999999999991</v>
      </c>
      <c r="I668" s="60" t="s">
        <v>91</v>
      </c>
      <c r="J668" s="78">
        <v>28500</v>
      </c>
      <c r="K668" s="47"/>
      <c r="L668" s="42">
        <f t="shared" si="14"/>
        <v>193298.39999999997</v>
      </c>
    </row>
    <row r="669" spans="2:12" x14ac:dyDescent="0.35">
      <c r="B669" s="158"/>
      <c r="C669" s="87"/>
      <c r="D669" s="179"/>
      <c r="E669" s="88"/>
      <c r="F669" s="71" t="s">
        <v>90</v>
      </c>
      <c r="G669" s="27" t="s">
        <v>665</v>
      </c>
      <c r="H669" s="80">
        <f>2.5*0.9*10*7.85</f>
        <v>176.625</v>
      </c>
      <c r="I669" s="60" t="s">
        <v>91</v>
      </c>
      <c r="J669" s="78">
        <v>28500</v>
      </c>
      <c r="K669" s="55"/>
      <c r="L669" s="42">
        <f t="shared" si="14"/>
        <v>5033812.5</v>
      </c>
    </row>
    <row r="670" spans="2:12" x14ac:dyDescent="0.35">
      <c r="B670" s="158"/>
      <c r="C670" s="87"/>
      <c r="D670" s="179"/>
      <c r="E670" s="88"/>
      <c r="F670" s="71" t="s">
        <v>90</v>
      </c>
      <c r="G670" s="27" t="s">
        <v>666</v>
      </c>
      <c r="H670" s="80">
        <f>1.02*2.74*10*7.85</f>
        <v>219.39180000000002</v>
      </c>
      <c r="I670" s="60" t="s">
        <v>91</v>
      </c>
      <c r="J670" s="78">
        <v>28500</v>
      </c>
      <c r="K670" s="47"/>
      <c r="L670" s="42">
        <f t="shared" si="14"/>
        <v>6252666.3000000007</v>
      </c>
    </row>
    <row r="671" spans="2:12" x14ac:dyDescent="0.35">
      <c r="B671" s="158"/>
      <c r="C671" s="87"/>
      <c r="D671" s="179"/>
      <c r="E671" s="88"/>
      <c r="F671" s="71" t="s">
        <v>90</v>
      </c>
      <c r="G671" s="27" t="s">
        <v>667</v>
      </c>
      <c r="H671" s="80">
        <f>1.7*0.5*10*7.85*1.2</f>
        <v>80.069999999999993</v>
      </c>
      <c r="I671" s="60" t="s">
        <v>91</v>
      </c>
      <c r="J671" s="78">
        <v>28500</v>
      </c>
      <c r="K671" s="55"/>
      <c r="L671" s="42">
        <f t="shared" si="14"/>
        <v>2281995</v>
      </c>
    </row>
    <row r="672" spans="2:12" x14ac:dyDescent="0.35">
      <c r="B672" s="158"/>
      <c r="C672" s="87"/>
      <c r="D672" s="179"/>
      <c r="E672" s="88"/>
      <c r="F672" s="71" t="s">
        <v>90</v>
      </c>
      <c r="G672" s="27" t="s">
        <v>668</v>
      </c>
      <c r="H672" s="80">
        <f>2.95*0.9*10*7.85</f>
        <v>208.41750000000002</v>
      </c>
      <c r="I672" s="60" t="s">
        <v>91</v>
      </c>
      <c r="J672" s="78">
        <v>28500</v>
      </c>
      <c r="K672" s="47"/>
      <c r="L672" s="42">
        <f t="shared" si="14"/>
        <v>5939898.7500000009</v>
      </c>
    </row>
    <row r="673" spans="2:12" x14ac:dyDescent="0.35">
      <c r="B673" s="158"/>
      <c r="C673" s="87"/>
      <c r="D673" s="179"/>
      <c r="E673" s="88"/>
      <c r="F673" s="71" t="s">
        <v>90</v>
      </c>
      <c r="G673" s="27" t="s">
        <v>669</v>
      </c>
      <c r="H673" s="80">
        <f>6.02*0.9*10*7.85</f>
        <v>425.31299999999999</v>
      </c>
      <c r="I673" s="60" t="s">
        <v>91</v>
      </c>
      <c r="J673" s="78">
        <v>28500</v>
      </c>
      <c r="K673" s="55"/>
      <c r="L673" s="42">
        <f t="shared" si="14"/>
        <v>12121420.5</v>
      </c>
    </row>
    <row r="674" spans="2:12" x14ac:dyDescent="0.35">
      <c r="B674" s="43"/>
      <c r="C674" s="44"/>
      <c r="D674" s="21"/>
      <c r="G674" s="20"/>
      <c r="I674" s="20"/>
      <c r="J674" s="46"/>
      <c r="K674" s="26"/>
      <c r="L674" s="48"/>
    </row>
    <row r="675" spans="2:12" x14ac:dyDescent="0.35">
      <c r="B675" s="43"/>
      <c r="C675" s="44"/>
      <c r="D675" s="21"/>
      <c r="G675" s="20"/>
      <c r="I675" s="20"/>
      <c r="J675" s="46"/>
      <c r="K675" s="26"/>
      <c r="L675" s="48"/>
    </row>
    <row r="676" spans="2:12" x14ac:dyDescent="0.35">
      <c r="B676" s="8"/>
      <c r="C676" s="9"/>
      <c r="D676" s="10"/>
      <c r="E676" s="4"/>
      <c r="F676" s="4"/>
      <c r="G676" s="4"/>
      <c r="H676" s="1"/>
      <c r="I676" s="1"/>
      <c r="J676" s="11" t="s">
        <v>8</v>
      </c>
      <c r="K676" s="7">
        <f>SUM(K623:K675)</f>
        <v>0</v>
      </c>
      <c r="L676" s="7">
        <f>SUM(L623:L675)</f>
        <v>250436494.185</v>
      </c>
    </row>
    <row r="677" spans="2:12" x14ac:dyDescent="0.35">
      <c r="B677" s="8"/>
      <c r="C677" s="9"/>
      <c r="D677" s="9"/>
      <c r="E677" s="4"/>
      <c r="F677" s="4"/>
      <c r="G677" s="4"/>
      <c r="H677" s="1"/>
      <c r="I677" s="1"/>
      <c r="J677" s="11"/>
      <c r="K677" s="32" t="s">
        <v>13</v>
      </c>
      <c r="L677" s="33" t="s">
        <v>14</v>
      </c>
    </row>
    <row r="678" spans="2:12" x14ac:dyDescent="0.35">
      <c r="B678" s="3" t="s">
        <v>9</v>
      </c>
      <c r="C678" s="4"/>
      <c r="D678" s="4"/>
      <c r="E678" s="4"/>
      <c r="F678" s="4"/>
      <c r="G678" s="4"/>
      <c r="H678" s="1"/>
      <c r="I678" s="1"/>
      <c r="J678" s="12"/>
      <c r="K678" s="12"/>
      <c r="L678" s="13"/>
    </row>
    <row r="679" spans="2:12" x14ac:dyDescent="0.35">
      <c r="B679" s="34"/>
      <c r="C679" s="1"/>
      <c r="D679" s="1"/>
      <c r="E679" s="35"/>
      <c r="F679" s="35"/>
      <c r="G679" s="35"/>
      <c r="H679" s="1"/>
      <c r="I679" s="1"/>
      <c r="J679" s="1"/>
      <c r="K679" s="1"/>
      <c r="L679" s="17"/>
    </row>
    <row r="680" spans="2:12" x14ac:dyDescent="0.35">
      <c r="B680" s="25" t="s">
        <v>6</v>
      </c>
      <c r="C680" s="24"/>
      <c r="D680" s="24"/>
      <c r="E680" s="23"/>
      <c r="F680" s="23"/>
      <c r="G680" s="5"/>
      <c r="K680" s="227" t="s">
        <v>1292</v>
      </c>
      <c r="L680" s="228"/>
    </row>
    <row r="681" spans="2:12" x14ac:dyDescent="0.35">
      <c r="B681" s="25">
        <v>1</v>
      </c>
      <c r="C681" s="24"/>
      <c r="D681" s="24"/>
      <c r="E681" s="23" t="s">
        <v>7</v>
      </c>
      <c r="F681" s="23"/>
      <c r="G681" s="5"/>
      <c r="K681" s="227" t="s">
        <v>18</v>
      </c>
      <c r="L681" s="228"/>
    </row>
    <row r="682" spans="2:12" x14ac:dyDescent="0.35">
      <c r="B682" s="36"/>
      <c r="C682" s="24"/>
      <c r="D682" s="24"/>
      <c r="E682" s="23"/>
      <c r="F682" s="23"/>
      <c r="G682" s="5"/>
      <c r="J682" s="22"/>
      <c r="K682" s="22"/>
      <c r="L682" s="21"/>
    </row>
    <row r="683" spans="2:12" x14ac:dyDescent="0.35">
      <c r="B683" s="25"/>
      <c r="C683" s="24"/>
      <c r="D683" s="24"/>
      <c r="E683" s="23"/>
      <c r="F683" s="23"/>
      <c r="G683" s="5"/>
      <c r="L683" s="20"/>
    </row>
    <row r="684" spans="2:12" x14ac:dyDescent="0.35">
      <c r="B684" s="41"/>
      <c r="E684" s="5"/>
      <c r="F684" s="5"/>
      <c r="G684" s="5"/>
      <c r="L684" s="20"/>
    </row>
    <row r="685" spans="2:12" x14ac:dyDescent="0.35">
      <c r="B685" s="41"/>
      <c r="E685" s="5"/>
      <c r="F685" s="5"/>
      <c r="G685" s="5"/>
      <c r="L685" s="20"/>
    </row>
    <row r="686" spans="2:12" x14ac:dyDescent="0.35">
      <c r="B686" s="41"/>
      <c r="E686" s="5"/>
      <c r="F686" s="5"/>
      <c r="G686" s="5"/>
      <c r="L686" s="20"/>
    </row>
    <row r="687" spans="2:12" x14ac:dyDescent="0.35">
      <c r="B687" s="41"/>
      <c r="E687" s="5"/>
      <c r="F687" s="5"/>
      <c r="G687" s="5"/>
      <c r="J687" s="37"/>
      <c r="K687" s="229" t="s">
        <v>26</v>
      </c>
      <c r="L687" s="230"/>
    </row>
    <row r="688" spans="2:12" x14ac:dyDescent="0.35">
      <c r="B688" s="41"/>
      <c r="K688" s="231" t="s">
        <v>27</v>
      </c>
      <c r="L688" s="232"/>
    </row>
    <row r="689" spans="2:12" x14ac:dyDescent="0.35">
      <c r="B689" s="233"/>
      <c r="C689" s="234"/>
      <c r="D689" s="234"/>
      <c r="E689" s="38"/>
      <c r="F689" s="38"/>
      <c r="G689" s="38"/>
      <c r="H689" s="2"/>
      <c r="I689" s="2"/>
      <c r="J689" s="2"/>
      <c r="K689" s="2"/>
      <c r="L689" s="19"/>
    </row>
    <row r="690" spans="2:12" x14ac:dyDescent="0.35">
      <c r="B690" s="43"/>
      <c r="C690" s="44"/>
      <c r="D690" s="45"/>
      <c r="G690" s="20"/>
      <c r="H690" s="1"/>
      <c r="I690" s="1"/>
      <c r="J690" s="39"/>
      <c r="K690" s="27"/>
      <c r="L690" s="40"/>
    </row>
    <row r="691" spans="2:12" x14ac:dyDescent="0.35">
      <c r="B691" s="158"/>
      <c r="C691" s="87"/>
      <c r="D691" s="179"/>
      <c r="E691" s="88"/>
      <c r="F691" s="71" t="s">
        <v>90</v>
      </c>
      <c r="G691" s="27" t="s">
        <v>670</v>
      </c>
      <c r="H691" s="80">
        <f>1.17*0.39*8*7.85*1.2</f>
        <v>34.386767999999996</v>
      </c>
      <c r="I691" s="60" t="s">
        <v>91</v>
      </c>
      <c r="J691" s="78">
        <v>28500</v>
      </c>
      <c r="K691" s="47"/>
      <c r="L691" s="42">
        <f t="shared" ref="L691:L740" si="15">J691*H691</f>
        <v>980022.88799999992</v>
      </c>
    </row>
    <row r="692" spans="2:12" x14ac:dyDescent="0.35">
      <c r="B692" s="158"/>
      <c r="C692" s="87"/>
      <c r="D692" s="179"/>
      <c r="E692" s="88"/>
      <c r="F692" s="71" t="s">
        <v>90</v>
      </c>
      <c r="G692" s="27" t="s">
        <v>671</v>
      </c>
      <c r="H692" s="80">
        <f>6.01*0.9*10*7.85</f>
        <v>424.60649999999993</v>
      </c>
      <c r="I692" s="60" t="s">
        <v>91</v>
      </c>
      <c r="J692" s="78">
        <v>28500</v>
      </c>
      <c r="K692" s="55"/>
      <c r="L692" s="42">
        <f t="shared" si="15"/>
        <v>12101285.249999998</v>
      </c>
    </row>
    <row r="693" spans="2:12" x14ac:dyDescent="0.35">
      <c r="B693" s="158"/>
      <c r="C693" s="87"/>
      <c r="D693" s="179"/>
      <c r="E693" s="88"/>
      <c r="F693" s="71" t="s">
        <v>90</v>
      </c>
      <c r="G693" s="27" t="s">
        <v>672</v>
      </c>
      <c r="H693" s="80">
        <f>3.9*0.6*8*7.85</f>
        <v>146.952</v>
      </c>
      <c r="I693" s="60" t="s">
        <v>91</v>
      </c>
      <c r="J693" s="78">
        <v>28500</v>
      </c>
      <c r="K693" s="47"/>
      <c r="L693" s="42">
        <f t="shared" si="15"/>
        <v>4188132</v>
      </c>
    </row>
    <row r="694" spans="2:12" x14ac:dyDescent="0.35">
      <c r="B694" s="158"/>
      <c r="C694" s="87"/>
      <c r="D694" s="179"/>
      <c r="E694" s="88"/>
      <c r="F694" s="71" t="s">
        <v>90</v>
      </c>
      <c r="G694" s="27" t="s">
        <v>673</v>
      </c>
      <c r="H694" s="80">
        <f>0.26*0.24*8*7.85*1.2</f>
        <v>4.7024639999999991</v>
      </c>
      <c r="I694" s="60" t="s">
        <v>91</v>
      </c>
      <c r="J694" s="78">
        <v>28500</v>
      </c>
      <c r="K694" s="55"/>
      <c r="L694" s="42">
        <f t="shared" si="15"/>
        <v>134020.22399999999</v>
      </c>
    </row>
    <row r="695" spans="2:12" x14ac:dyDescent="0.35">
      <c r="B695" s="158"/>
      <c r="C695" s="87"/>
      <c r="D695" s="179"/>
      <c r="E695" s="88"/>
      <c r="F695" s="71" t="s">
        <v>90</v>
      </c>
      <c r="G695" s="27" t="s">
        <v>674</v>
      </c>
      <c r="H695" s="80">
        <f>1.42*0.9*10*7.85</f>
        <v>100.32300000000001</v>
      </c>
      <c r="I695" s="60" t="s">
        <v>91</v>
      </c>
      <c r="J695" s="78">
        <v>28500</v>
      </c>
      <c r="K695" s="47"/>
      <c r="L695" s="42">
        <f t="shared" si="15"/>
        <v>2859205.5</v>
      </c>
    </row>
    <row r="696" spans="2:12" x14ac:dyDescent="0.35">
      <c r="B696" s="158"/>
      <c r="C696" s="87"/>
      <c r="D696" s="179"/>
      <c r="E696" s="88"/>
      <c r="F696" s="71" t="s">
        <v>90</v>
      </c>
      <c r="G696" s="27" t="s">
        <v>675</v>
      </c>
      <c r="H696" s="80">
        <f>1.42*2.7*8*7.85</f>
        <v>240.77519999999998</v>
      </c>
      <c r="I696" s="60" t="s">
        <v>91</v>
      </c>
      <c r="J696" s="78">
        <v>28500</v>
      </c>
      <c r="K696" s="55"/>
      <c r="L696" s="42">
        <f t="shared" si="15"/>
        <v>6862093.1999999993</v>
      </c>
    </row>
    <row r="697" spans="2:12" x14ac:dyDescent="0.35">
      <c r="B697" s="158"/>
      <c r="C697" s="87"/>
      <c r="D697" s="179"/>
      <c r="E697" s="88"/>
      <c r="F697" s="71" t="s">
        <v>90</v>
      </c>
      <c r="G697" s="27" t="s">
        <v>676</v>
      </c>
      <c r="H697" s="80">
        <f>6*0.9*10*7.85</f>
        <v>423.9</v>
      </c>
      <c r="I697" s="60" t="s">
        <v>91</v>
      </c>
      <c r="J697" s="78">
        <v>28500</v>
      </c>
      <c r="K697" s="47"/>
      <c r="L697" s="42">
        <f t="shared" si="15"/>
        <v>12081150</v>
      </c>
    </row>
    <row r="698" spans="2:12" x14ac:dyDescent="0.35">
      <c r="B698" s="158"/>
      <c r="C698" s="87"/>
      <c r="D698" s="179"/>
      <c r="E698" s="88"/>
      <c r="F698" s="71" t="s">
        <v>90</v>
      </c>
      <c r="G698" s="27" t="s">
        <v>677</v>
      </c>
      <c r="H698" s="80">
        <f>6*1.8*8*7.85</f>
        <v>678.24</v>
      </c>
      <c r="I698" s="60" t="s">
        <v>91</v>
      </c>
      <c r="J698" s="78">
        <v>28500</v>
      </c>
      <c r="K698" s="55"/>
      <c r="L698" s="42">
        <f t="shared" si="15"/>
        <v>19329840</v>
      </c>
    </row>
    <row r="699" spans="2:12" x14ac:dyDescent="0.35">
      <c r="B699" s="158"/>
      <c r="C699" s="87"/>
      <c r="D699" s="179"/>
      <c r="E699" s="88"/>
      <c r="F699" s="71" t="s">
        <v>90</v>
      </c>
      <c r="G699" s="27" t="s">
        <v>678</v>
      </c>
      <c r="H699" s="80">
        <f>6*0.9*8*7.85</f>
        <v>339.12</v>
      </c>
      <c r="I699" s="60" t="s">
        <v>91</v>
      </c>
      <c r="J699" s="78">
        <v>28500</v>
      </c>
      <c r="K699" s="47"/>
      <c r="L699" s="42">
        <f t="shared" si="15"/>
        <v>9664920</v>
      </c>
    </row>
    <row r="700" spans="2:12" x14ac:dyDescent="0.35">
      <c r="B700" s="158"/>
      <c r="C700" s="87"/>
      <c r="D700" s="179"/>
      <c r="E700" s="88"/>
      <c r="F700" s="71" t="s">
        <v>90</v>
      </c>
      <c r="G700" s="27" t="s">
        <v>679</v>
      </c>
      <c r="H700" s="80">
        <f>5.72*0.9*10*7.85</f>
        <v>404.11799999999994</v>
      </c>
      <c r="I700" s="60" t="s">
        <v>91</v>
      </c>
      <c r="J700" s="78">
        <v>28500</v>
      </c>
      <c r="K700" s="55"/>
      <c r="L700" s="42">
        <f t="shared" si="15"/>
        <v>11517362.999999998</v>
      </c>
    </row>
    <row r="701" spans="2:12" s="31" customFormat="1" x14ac:dyDescent="0.35">
      <c r="B701" s="158"/>
      <c r="C701" s="87"/>
      <c r="D701" s="179"/>
      <c r="E701" s="88"/>
      <c r="F701" s="71" t="s">
        <v>90</v>
      </c>
      <c r="G701" s="27" t="s">
        <v>680</v>
      </c>
      <c r="H701" s="80">
        <f>5.72*1.8*8*7.85</f>
        <v>646.58879999999988</v>
      </c>
      <c r="I701" s="60" t="s">
        <v>91</v>
      </c>
      <c r="J701" s="78">
        <v>28500</v>
      </c>
      <c r="K701" s="127"/>
      <c r="L701" s="42">
        <f t="shared" si="15"/>
        <v>18427780.799999997</v>
      </c>
    </row>
    <row r="702" spans="2:12" s="31" customFormat="1" x14ac:dyDescent="0.35">
      <c r="B702" s="158"/>
      <c r="C702" s="87"/>
      <c r="D702" s="179"/>
      <c r="E702" s="88"/>
      <c r="F702" s="71" t="s">
        <v>90</v>
      </c>
      <c r="G702" s="27" t="s">
        <v>681</v>
      </c>
      <c r="H702" s="80">
        <f>5.72*0.9*8*7.85</f>
        <v>323.29439999999994</v>
      </c>
      <c r="I702" s="60" t="s">
        <v>91</v>
      </c>
      <c r="J702" s="78">
        <v>28500</v>
      </c>
      <c r="K702" s="55"/>
      <c r="L702" s="42">
        <f t="shared" si="15"/>
        <v>9213890.3999999985</v>
      </c>
    </row>
    <row r="703" spans="2:12" x14ac:dyDescent="0.35">
      <c r="B703" s="162"/>
      <c r="C703" s="89"/>
      <c r="D703" s="69" t="s">
        <v>32</v>
      </c>
      <c r="E703" s="70"/>
      <c r="F703" s="71" t="s">
        <v>111</v>
      </c>
      <c r="G703" s="27"/>
      <c r="H703" s="80"/>
      <c r="I703" s="60"/>
      <c r="J703" s="26"/>
      <c r="K703" s="47"/>
      <c r="L703" s="42"/>
    </row>
    <row r="704" spans="2:12" s="31" customFormat="1" x14ac:dyDescent="0.35">
      <c r="B704" s="162"/>
      <c r="C704" s="89"/>
      <c r="D704" s="179"/>
      <c r="E704" s="88"/>
      <c r="F704" s="71" t="s">
        <v>90</v>
      </c>
      <c r="G704" s="27" t="s">
        <v>682</v>
      </c>
      <c r="H704" s="80">
        <f>6.01*0.9*10*7.85</f>
        <v>424.60649999999993</v>
      </c>
      <c r="I704" s="60" t="s">
        <v>91</v>
      </c>
      <c r="J704" s="78">
        <v>28500</v>
      </c>
      <c r="K704" s="55"/>
      <c r="L704" s="42">
        <f t="shared" si="15"/>
        <v>12101285.249999998</v>
      </c>
    </row>
    <row r="705" spans="2:12" s="31" customFormat="1" x14ac:dyDescent="0.35">
      <c r="B705" s="162"/>
      <c r="C705" s="89"/>
      <c r="D705" s="179"/>
      <c r="E705" s="88"/>
      <c r="F705" s="71" t="s">
        <v>90</v>
      </c>
      <c r="G705" s="27" t="s">
        <v>683</v>
      </c>
      <c r="H705" s="80">
        <f>1.72*0.58*8*7.85*1.2</f>
        <v>75.179135999999986</v>
      </c>
      <c r="I705" s="60" t="s">
        <v>91</v>
      </c>
      <c r="J705" s="78">
        <v>28500</v>
      </c>
      <c r="K705" s="55"/>
      <c r="L705" s="42">
        <f t="shared" si="15"/>
        <v>2142605.3759999997</v>
      </c>
    </row>
    <row r="706" spans="2:12" s="31" customFormat="1" x14ac:dyDescent="0.35">
      <c r="B706" s="162"/>
      <c r="C706" s="89"/>
      <c r="D706" s="179"/>
      <c r="E706" s="88"/>
      <c r="F706" s="71" t="s">
        <v>90</v>
      </c>
      <c r="G706" s="27" t="s">
        <v>684</v>
      </c>
      <c r="H706" s="80">
        <f>1.8*1.35*8*7.85</f>
        <v>152.60400000000001</v>
      </c>
      <c r="I706" s="60" t="s">
        <v>91</v>
      </c>
      <c r="J706" s="78">
        <v>28500</v>
      </c>
      <c r="K706" s="55"/>
      <c r="L706" s="42">
        <f t="shared" si="15"/>
        <v>4349214</v>
      </c>
    </row>
    <row r="707" spans="2:12" s="31" customFormat="1" x14ac:dyDescent="0.35">
      <c r="B707" s="162"/>
      <c r="C707" s="89"/>
      <c r="D707" s="179"/>
      <c r="E707" s="88"/>
      <c r="F707" s="71" t="s">
        <v>90</v>
      </c>
      <c r="G707" s="27" t="s">
        <v>685</v>
      </c>
      <c r="H707" s="80">
        <f>20.24*0.77*8*7.85</f>
        <v>978.72543999999994</v>
      </c>
      <c r="I707" s="60" t="s">
        <v>91</v>
      </c>
      <c r="J707" s="78">
        <v>28500</v>
      </c>
      <c r="K707" s="55"/>
      <c r="L707" s="42">
        <f t="shared" si="15"/>
        <v>27893675.039999999</v>
      </c>
    </row>
    <row r="708" spans="2:12" s="31" customFormat="1" x14ac:dyDescent="0.35">
      <c r="B708" s="162"/>
      <c r="C708" s="89"/>
      <c r="D708" s="179"/>
      <c r="E708" s="88"/>
      <c r="F708" s="71" t="s">
        <v>90</v>
      </c>
      <c r="G708" s="27" t="s">
        <v>686</v>
      </c>
      <c r="H708" s="80">
        <f>3.9*0.48*8*7.85*1.2</f>
        <v>141.07391999999999</v>
      </c>
      <c r="I708" s="60" t="s">
        <v>91</v>
      </c>
      <c r="J708" s="78">
        <v>28500</v>
      </c>
      <c r="K708" s="55"/>
      <c r="L708" s="42">
        <f t="shared" si="15"/>
        <v>4020606.7199999997</v>
      </c>
    </row>
    <row r="709" spans="2:12" s="31" customFormat="1" x14ac:dyDescent="0.35">
      <c r="B709" s="162"/>
      <c r="C709" s="89"/>
      <c r="D709" s="179"/>
      <c r="E709" s="88"/>
      <c r="F709" s="71" t="s">
        <v>90</v>
      </c>
      <c r="G709" s="27" t="s">
        <v>687</v>
      </c>
      <c r="H709" s="80">
        <f>5.12*0.9*10*7.85</f>
        <v>361.72800000000001</v>
      </c>
      <c r="I709" s="60" t="s">
        <v>91</v>
      </c>
      <c r="J709" s="78">
        <v>28500</v>
      </c>
      <c r="K709" s="55"/>
      <c r="L709" s="42">
        <f t="shared" si="15"/>
        <v>10309248</v>
      </c>
    </row>
    <row r="710" spans="2:12" s="31" customFormat="1" x14ac:dyDescent="0.35">
      <c r="B710" s="162"/>
      <c r="C710" s="89"/>
      <c r="D710" s="179"/>
      <c r="E710" s="88"/>
      <c r="F710" s="71" t="s">
        <v>90</v>
      </c>
      <c r="G710" s="27" t="s">
        <v>688</v>
      </c>
      <c r="H710" s="80">
        <f>3.65*1.33*8*7.85</f>
        <v>304.86259999999999</v>
      </c>
      <c r="I710" s="60" t="s">
        <v>91</v>
      </c>
      <c r="J710" s="78">
        <v>28500</v>
      </c>
      <c r="K710" s="55"/>
      <c r="L710" s="42">
        <f t="shared" si="15"/>
        <v>8688584.0999999996</v>
      </c>
    </row>
    <row r="711" spans="2:12" s="31" customFormat="1" x14ac:dyDescent="0.35">
      <c r="B711" s="162"/>
      <c r="C711" s="89"/>
      <c r="D711" s="179"/>
      <c r="E711" s="88"/>
      <c r="F711" s="71" t="s">
        <v>90</v>
      </c>
      <c r="G711" s="27" t="s">
        <v>689</v>
      </c>
      <c r="H711" s="80">
        <f>3.09*0.9*10*7.85</f>
        <v>218.30850000000001</v>
      </c>
      <c r="I711" s="60" t="s">
        <v>91</v>
      </c>
      <c r="J711" s="78">
        <v>28500</v>
      </c>
      <c r="K711" s="73"/>
      <c r="L711" s="42">
        <f t="shared" si="15"/>
        <v>6221792.25</v>
      </c>
    </row>
    <row r="712" spans="2:12" s="31" customFormat="1" x14ac:dyDescent="0.35">
      <c r="B712" s="162"/>
      <c r="C712" s="89"/>
      <c r="D712" s="179"/>
      <c r="E712" s="88"/>
      <c r="F712" s="71" t="s">
        <v>90</v>
      </c>
      <c r="G712" s="27" t="s">
        <v>690</v>
      </c>
      <c r="H712" s="80">
        <f>1.93*0.5*8*7.85*1.2</f>
        <v>72.722399999999993</v>
      </c>
      <c r="I712" s="60" t="s">
        <v>91</v>
      </c>
      <c r="J712" s="78">
        <v>28500</v>
      </c>
      <c r="K712" s="55"/>
      <c r="L712" s="42">
        <f t="shared" si="15"/>
        <v>2072588.4</v>
      </c>
    </row>
    <row r="713" spans="2:12" s="31" customFormat="1" x14ac:dyDescent="0.35">
      <c r="B713" s="162"/>
      <c r="C713" s="89"/>
      <c r="D713" s="179"/>
      <c r="E713" s="88"/>
      <c r="F713" s="71" t="s">
        <v>90</v>
      </c>
      <c r="G713" s="27" t="s">
        <v>691</v>
      </c>
      <c r="H713" s="80">
        <f>1.48*0.4*8*7.85*1.2</f>
        <v>44.613119999999995</v>
      </c>
      <c r="I713" s="60" t="s">
        <v>91</v>
      </c>
      <c r="J713" s="78">
        <v>28500</v>
      </c>
      <c r="K713" s="99"/>
      <c r="L713" s="42">
        <f t="shared" si="15"/>
        <v>1271473.92</v>
      </c>
    </row>
    <row r="714" spans="2:12" s="31" customFormat="1" x14ac:dyDescent="0.35">
      <c r="B714" s="162"/>
      <c r="C714" s="89"/>
      <c r="D714" s="179"/>
      <c r="E714" s="88"/>
      <c r="F714" s="71" t="s">
        <v>90</v>
      </c>
      <c r="G714" s="27" t="s">
        <v>692</v>
      </c>
      <c r="H714" s="80">
        <f>6.03*0.9*10*7.85</f>
        <v>426.01949999999999</v>
      </c>
      <c r="I714" s="60" t="s">
        <v>91</v>
      </c>
      <c r="J714" s="78">
        <v>28500</v>
      </c>
      <c r="K714" s="55"/>
      <c r="L714" s="42">
        <f t="shared" si="15"/>
        <v>12141555.75</v>
      </c>
    </row>
    <row r="715" spans="2:12" s="31" customFormat="1" x14ac:dyDescent="0.35">
      <c r="B715" s="162"/>
      <c r="C715" s="89"/>
      <c r="D715" s="179"/>
      <c r="E715" s="88"/>
      <c r="F715" s="71" t="s">
        <v>90</v>
      </c>
      <c r="G715" s="27" t="s">
        <v>693</v>
      </c>
      <c r="H715" s="80">
        <f>0.8*0.6*8*7.85</f>
        <v>30.143999999999998</v>
      </c>
      <c r="I715" s="60" t="s">
        <v>91</v>
      </c>
      <c r="J715" s="78">
        <v>28500</v>
      </c>
      <c r="K715" s="73"/>
      <c r="L715" s="42">
        <f t="shared" si="15"/>
        <v>859104</v>
      </c>
    </row>
    <row r="716" spans="2:12" s="31" customFormat="1" x14ac:dyDescent="0.35">
      <c r="B716" s="162"/>
      <c r="C716" s="89"/>
      <c r="D716" s="179"/>
      <c r="E716" s="88"/>
      <c r="F716" s="71" t="s">
        <v>90</v>
      </c>
      <c r="G716" s="27" t="s">
        <v>694</v>
      </c>
      <c r="H716" s="80">
        <f>1.2*0.5*8*7.85*1.2</f>
        <v>45.216000000000001</v>
      </c>
      <c r="I716" s="60" t="s">
        <v>91</v>
      </c>
      <c r="J716" s="78">
        <v>28500</v>
      </c>
      <c r="K716" s="55"/>
      <c r="L716" s="42">
        <f t="shared" si="15"/>
        <v>1288656</v>
      </c>
    </row>
    <row r="717" spans="2:12" s="31" customFormat="1" x14ac:dyDescent="0.35">
      <c r="B717" s="162"/>
      <c r="C717" s="89"/>
      <c r="D717" s="179"/>
      <c r="E717" s="88"/>
      <c r="F717" s="71" t="s">
        <v>90</v>
      </c>
      <c r="G717" s="27" t="s">
        <v>695</v>
      </c>
      <c r="H717" s="80">
        <f>12.77*0.76*8*7.85</f>
        <v>609.48655999999994</v>
      </c>
      <c r="I717" s="60" t="s">
        <v>91</v>
      </c>
      <c r="J717" s="78">
        <v>28500</v>
      </c>
      <c r="K717" s="92"/>
      <c r="L717" s="42">
        <f t="shared" si="15"/>
        <v>17370366.959999997</v>
      </c>
    </row>
    <row r="718" spans="2:12" s="31" customFormat="1" x14ac:dyDescent="0.35">
      <c r="B718" s="162"/>
      <c r="C718" s="89"/>
      <c r="D718" s="179"/>
      <c r="E718" s="88"/>
      <c r="F718" s="71" t="s">
        <v>90</v>
      </c>
      <c r="G718" s="27" t="s">
        <v>696</v>
      </c>
      <c r="H718" s="80">
        <f>5.9*0.9*10*7.85</f>
        <v>416.83500000000004</v>
      </c>
      <c r="I718" s="60" t="s">
        <v>91</v>
      </c>
      <c r="J718" s="78">
        <v>28500</v>
      </c>
      <c r="K718" s="55"/>
      <c r="L718" s="42">
        <f t="shared" si="15"/>
        <v>11879797.500000002</v>
      </c>
    </row>
    <row r="719" spans="2:12" s="31" customFormat="1" x14ac:dyDescent="0.35">
      <c r="B719" s="162"/>
      <c r="C719" s="89"/>
      <c r="D719" s="179"/>
      <c r="E719" s="88"/>
      <c r="F719" s="71" t="s">
        <v>90</v>
      </c>
      <c r="G719" s="27" t="s">
        <v>697</v>
      </c>
      <c r="H719" s="80">
        <f>6.02*0.9*10*7.85</f>
        <v>425.31299999999999</v>
      </c>
      <c r="I719" s="60" t="s">
        <v>91</v>
      </c>
      <c r="J719" s="78">
        <v>28500</v>
      </c>
      <c r="K719" s="47"/>
      <c r="L719" s="42">
        <f t="shared" si="15"/>
        <v>12121420.5</v>
      </c>
    </row>
    <row r="720" spans="2:12" s="31" customFormat="1" x14ac:dyDescent="0.35">
      <c r="B720" s="162"/>
      <c r="C720" s="89"/>
      <c r="D720" s="179"/>
      <c r="E720" s="88"/>
      <c r="F720" s="71" t="s">
        <v>90</v>
      </c>
      <c r="G720" s="27" t="s">
        <v>698</v>
      </c>
      <c r="H720" s="80">
        <f>1.23*0.61*8*7.85</f>
        <v>47.118839999999999</v>
      </c>
      <c r="I720" s="60" t="s">
        <v>91</v>
      </c>
      <c r="J720" s="78">
        <v>28500</v>
      </c>
      <c r="K720" s="55"/>
      <c r="L720" s="42">
        <f t="shared" si="15"/>
        <v>1342886.94</v>
      </c>
    </row>
    <row r="721" spans="2:12" s="31" customFormat="1" x14ac:dyDescent="0.35">
      <c r="B721" s="162"/>
      <c r="C721" s="89"/>
      <c r="D721" s="179"/>
      <c r="E721" s="88"/>
      <c r="F721" s="71" t="s">
        <v>90</v>
      </c>
      <c r="G721" s="27" t="s">
        <v>699</v>
      </c>
      <c r="H721" s="80">
        <f>0.3*0.31*8*7.85*1.2</f>
        <v>7.0084799999999996</v>
      </c>
      <c r="I721" s="60" t="s">
        <v>91</v>
      </c>
      <c r="J721" s="78">
        <v>28500</v>
      </c>
      <c r="K721" s="55"/>
      <c r="L721" s="42">
        <f t="shared" si="15"/>
        <v>199741.68</v>
      </c>
    </row>
    <row r="722" spans="2:12" s="31" customFormat="1" x14ac:dyDescent="0.35">
      <c r="B722" s="162"/>
      <c r="C722" s="89"/>
      <c r="D722" s="179"/>
      <c r="E722" s="88"/>
      <c r="F722" s="71" t="s">
        <v>90</v>
      </c>
      <c r="G722" s="27" t="s">
        <v>700</v>
      </c>
      <c r="H722" s="80">
        <f>1.99*0.75*8*7.85</f>
        <v>93.728999999999985</v>
      </c>
      <c r="I722" s="60" t="s">
        <v>91</v>
      </c>
      <c r="J722" s="78">
        <v>28500</v>
      </c>
      <c r="K722" s="47"/>
      <c r="L722" s="42">
        <f t="shared" si="15"/>
        <v>2671276.4999999995</v>
      </c>
    </row>
    <row r="723" spans="2:12" s="31" customFormat="1" x14ac:dyDescent="0.35">
      <c r="B723" s="162"/>
      <c r="C723" s="89"/>
      <c r="D723" s="179"/>
      <c r="E723" s="88"/>
      <c r="F723" s="71" t="s">
        <v>90</v>
      </c>
      <c r="G723" s="27" t="s">
        <v>701</v>
      </c>
      <c r="H723" s="80">
        <f>2.74*0.7*8*7.85</f>
        <v>120.45039999999999</v>
      </c>
      <c r="I723" s="60" t="s">
        <v>91</v>
      </c>
      <c r="J723" s="78">
        <v>28500</v>
      </c>
      <c r="K723" s="47"/>
      <c r="L723" s="42">
        <f t="shared" si="15"/>
        <v>3432836.3999999994</v>
      </c>
    </row>
    <row r="724" spans="2:12" s="31" customFormat="1" x14ac:dyDescent="0.35">
      <c r="B724" s="162"/>
      <c r="C724" s="89"/>
      <c r="D724" s="179"/>
      <c r="E724" s="88"/>
      <c r="F724" s="71" t="s">
        <v>90</v>
      </c>
      <c r="G724" s="27" t="s">
        <v>702</v>
      </c>
      <c r="H724" s="80">
        <f>1.88*0.76*8*7.85</f>
        <v>89.728639999999984</v>
      </c>
      <c r="I724" s="60" t="s">
        <v>91</v>
      </c>
      <c r="J724" s="78">
        <v>28500</v>
      </c>
      <c r="K724" s="55"/>
      <c r="L724" s="42">
        <f t="shared" si="15"/>
        <v>2557266.2399999998</v>
      </c>
    </row>
    <row r="725" spans="2:12" s="31" customFormat="1" x14ac:dyDescent="0.35">
      <c r="B725" s="162"/>
      <c r="C725" s="89"/>
      <c r="D725" s="179"/>
      <c r="E725" s="88"/>
      <c r="F725" s="71" t="s">
        <v>90</v>
      </c>
      <c r="G725" s="27" t="s">
        <v>703</v>
      </c>
      <c r="H725" s="80">
        <f>2.9*0.9*10*7.85</f>
        <v>204.88499999999996</v>
      </c>
      <c r="I725" s="60" t="s">
        <v>91</v>
      </c>
      <c r="J725" s="78">
        <v>28500</v>
      </c>
      <c r="K725" s="47"/>
      <c r="L725" s="42">
        <f t="shared" si="15"/>
        <v>5839222.4999999991</v>
      </c>
    </row>
    <row r="726" spans="2:12" s="31" customFormat="1" x14ac:dyDescent="0.35">
      <c r="B726" s="162"/>
      <c r="C726" s="89"/>
      <c r="D726" s="179"/>
      <c r="E726" s="88"/>
      <c r="F726" s="71" t="s">
        <v>90</v>
      </c>
      <c r="G726" s="27" t="s">
        <v>704</v>
      </c>
      <c r="H726" s="80">
        <f>0.6*0.9*10*7.85</f>
        <v>42.39</v>
      </c>
      <c r="I726" s="60" t="s">
        <v>91</v>
      </c>
      <c r="J726" s="78">
        <v>28500</v>
      </c>
      <c r="K726" s="47"/>
      <c r="L726" s="42">
        <f t="shared" si="15"/>
        <v>1208115</v>
      </c>
    </row>
    <row r="727" spans="2:12" x14ac:dyDescent="0.35">
      <c r="B727" s="162"/>
      <c r="C727" s="89"/>
      <c r="D727" s="179"/>
      <c r="E727" s="88"/>
      <c r="F727" s="71" t="s">
        <v>90</v>
      </c>
      <c r="G727" s="27" t="s">
        <v>705</v>
      </c>
      <c r="H727" s="80">
        <f>2.46*0.6*8*7.85</f>
        <v>92.692799999999991</v>
      </c>
      <c r="I727" s="60" t="s">
        <v>91</v>
      </c>
      <c r="J727" s="78">
        <v>28500</v>
      </c>
      <c r="K727" s="47"/>
      <c r="L727" s="42">
        <f t="shared" si="15"/>
        <v>2641744.7999999998</v>
      </c>
    </row>
    <row r="728" spans="2:12" x14ac:dyDescent="0.35">
      <c r="B728" s="162"/>
      <c r="C728" s="89"/>
      <c r="D728" s="179"/>
      <c r="E728" s="88"/>
      <c r="F728" s="71" t="s">
        <v>90</v>
      </c>
      <c r="G728" s="27" t="s">
        <v>706</v>
      </c>
      <c r="H728" s="80">
        <f>0.75*1.85*8*7.85</f>
        <v>87.135000000000005</v>
      </c>
      <c r="I728" s="60" t="s">
        <v>91</v>
      </c>
      <c r="J728" s="78">
        <v>28500</v>
      </c>
      <c r="K728" s="47"/>
      <c r="L728" s="42">
        <f t="shared" si="15"/>
        <v>2483347.5</v>
      </c>
    </row>
    <row r="729" spans="2:12" x14ac:dyDescent="0.35">
      <c r="B729" s="162"/>
      <c r="C729" s="89"/>
      <c r="D729" s="179"/>
      <c r="E729" s="88"/>
      <c r="F729" s="71" t="s">
        <v>90</v>
      </c>
      <c r="G729" s="27" t="s">
        <v>707</v>
      </c>
      <c r="H729" s="80">
        <f>12.07*0.9*8*7.85</f>
        <v>682.19640000000004</v>
      </c>
      <c r="I729" s="60" t="s">
        <v>91</v>
      </c>
      <c r="J729" s="78">
        <v>28500</v>
      </c>
      <c r="K729" s="26"/>
      <c r="L729" s="42">
        <f t="shared" si="15"/>
        <v>19442597.400000002</v>
      </c>
    </row>
    <row r="730" spans="2:12" x14ac:dyDescent="0.35">
      <c r="B730" s="162"/>
      <c r="C730" s="89"/>
      <c r="D730" s="179"/>
      <c r="E730" s="88"/>
      <c r="F730" s="71" t="s">
        <v>90</v>
      </c>
      <c r="G730" s="27" t="s">
        <v>708</v>
      </c>
      <c r="H730" s="80">
        <f>5.98*0.9*10*7.85</f>
        <v>422.48700000000002</v>
      </c>
      <c r="I730" s="60" t="s">
        <v>91</v>
      </c>
      <c r="J730" s="78">
        <v>28500</v>
      </c>
      <c r="K730" s="47"/>
      <c r="L730" s="42">
        <f t="shared" si="15"/>
        <v>12040879.5</v>
      </c>
    </row>
    <row r="731" spans="2:12" x14ac:dyDescent="0.35">
      <c r="B731" s="162"/>
      <c r="C731" s="89"/>
      <c r="D731" s="179"/>
      <c r="E731" s="88"/>
      <c r="F731" s="71" t="s">
        <v>90</v>
      </c>
      <c r="G731" s="27" t="s">
        <v>709</v>
      </c>
      <c r="H731" s="80">
        <f>0.4*0.48*8*7.85*1.2</f>
        <v>14.469119999999998</v>
      </c>
      <c r="I731" s="60" t="s">
        <v>91</v>
      </c>
      <c r="J731" s="78">
        <v>28500</v>
      </c>
      <c r="K731" s="47"/>
      <c r="L731" s="42">
        <f t="shared" si="15"/>
        <v>412369.91999999998</v>
      </c>
    </row>
    <row r="732" spans="2:12" x14ac:dyDescent="0.35">
      <c r="B732" s="162"/>
      <c r="C732" s="89"/>
      <c r="D732" s="179"/>
      <c r="E732" s="88"/>
      <c r="F732" s="71" t="s">
        <v>90</v>
      </c>
      <c r="G732" s="27" t="s">
        <v>710</v>
      </c>
      <c r="H732" s="80">
        <f>0.59*2.9*8*7.85*1.2</f>
        <v>128.94095999999999</v>
      </c>
      <c r="I732" s="60" t="s">
        <v>91</v>
      </c>
      <c r="J732" s="78">
        <v>28500</v>
      </c>
      <c r="K732" s="47"/>
      <c r="L732" s="42">
        <f t="shared" si="15"/>
        <v>3674817.36</v>
      </c>
    </row>
    <row r="733" spans="2:12" x14ac:dyDescent="0.35">
      <c r="B733" s="162"/>
      <c r="C733" s="89"/>
      <c r="D733" s="179"/>
      <c r="E733" s="88"/>
      <c r="F733" s="71" t="s">
        <v>90</v>
      </c>
      <c r="G733" s="27" t="s">
        <v>711</v>
      </c>
      <c r="H733" s="80">
        <f>1.36*0.79*8*7.85</f>
        <v>67.472319999999996</v>
      </c>
      <c r="I733" s="60" t="s">
        <v>91</v>
      </c>
      <c r="J733" s="78">
        <v>28500</v>
      </c>
      <c r="K733" s="47"/>
      <c r="L733" s="42">
        <f t="shared" si="15"/>
        <v>1922961.1199999999</v>
      </c>
    </row>
    <row r="734" spans="2:12" x14ac:dyDescent="0.35">
      <c r="B734" s="162"/>
      <c r="C734" s="89"/>
      <c r="D734" s="179"/>
      <c r="E734" s="88"/>
      <c r="F734" s="71" t="s">
        <v>90</v>
      </c>
      <c r="G734" s="27" t="s">
        <v>712</v>
      </c>
      <c r="H734" s="80">
        <f>0.75*1.86*8*7.85</f>
        <v>87.605999999999995</v>
      </c>
      <c r="I734" s="60" t="s">
        <v>91</v>
      </c>
      <c r="J734" s="78">
        <v>28500</v>
      </c>
      <c r="K734" s="47"/>
      <c r="L734" s="42">
        <f t="shared" si="15"/>
        <v>2496771</v>
      </c>
    </row>
    <row r="735" spans="2:12" x14ac:dyDescent="0.35">
      <c r="B735" s="162"/>
      <c r="C735" s="89"/>
      <c r="D735" s="179"/>
      <c r="E735" s="88"/>
      <c r="F735" s="71" t="s">
        <v>90</v>
      </c>
      <c r="G735" s="27" t="s">
        <v>713</v>
      </c>
      <c r="H735" s="80">
        <f>6*0.9*10*7.85</f>
        <v>423.9</v>
      </c>
      <c r="I735" s="60" t="s">
        <v>91</v>
      </c>
      <c r="J735" s="78">
        <v>28500</v>
      </c>
      <c r="K735" s="47"/>
      <c r="L735" s="42">
        <f t="shared" si="15"/>
        <v>12081150</v>
      </c>
    </row>
    <row r="736" spans="2:12" x14ac:dyDescent="0.35">
      <c r="B736" s="162"/>
      <c r="C736" s="89"/>
      <c r="D736" s="179"/>
      <c r="E736" s="88"/>
      <c r="F736" s="71" t="s">
        <v>90</v>
      </c>
      <c r="G736" s="27" t="s">
        <v>714</v>
      </c>
      <c r="H736" s="80">
        <f>3.44*0.6*8*7.85*1.2</f>
        <v>155.54303999999999</v>
      </c>
      <c r="I736" s="60" t="s">
        <v>91</v>
      </c>
      <c r="J736" s="78">
        <v>28500</v>
      </c>
      <c r="K736" s="47"/>
      <c r="L736" s="42">
        <f t="shared" si="15"/>
        <v>4432976.6399999997</v>
      </c>
    </row>
    <row r="737" spans="2:12" x14ac:dyDescent="0.35">
      <c r="B737" s="162"/>
      <c r="C737" s="89"/>
      <c r="D737" s="179"/>
      <c r="E737" s="88"/>
      <c r="F737" s="71" t="s">
        <v>90</v>
      </c>
      <c r="G737" s="27" t="s">
        <v>715</v>
      </c>
      <c r="H737" s="80">
        <f>3.61*0.75*8*7.85*1.2</f>
        <v>204.03720000000001</v>
      </c>
      <c r="I737" s="60" t="s">
        <v>91</v>
      </c>
      <c r="J737" s="78">
        <v>28500</v>
      </c>
      <c r="K737" s="47"/>
      <c r="L737" s="42">
        <f t="shared" si="15"/>
        <v>5815060.2000000002</v>
      </c>
    </row>
    <row r="738" spans="2:12" x14ac:dyDescent="0.35">
      <c r="B738" s="162"/>
      <c r="C738" s="89"/>
      <c r="D738" s="179"/>
      <c r="E738" s="88"/>
      <c r="F738" s="71" t="s">
        <v>90</v>
      </c>
      <c r="G738" s="27" t="s">
        <v>716</v>
      </c>
      <c r="H738" s="80">
        <f>1.15*0.68*8*7.85</f>
        <v>49.1096</v>
      </c>
      <c r="I738" s="60" t="s">
        <v>91</v>
      </c>
      <c r="J738" s="78">
        <v>28500</v>
      </c>
      <c r="K738" s="47"/>
      <c r="L738" s="42">
        <f t="shared" si="15"/>
        <v>1399623.6</v>
      </c>
    </row>
    <row r="739" spans="2:12" x14ac:dyDescent="0.35">
      <c r="B739" s="162"/>
      <c r="C739" s="89"/>
      <c r="D739" s="179"/>
      <c r="E739" s="88"/>
      <c r="F739" s="71" t="s">
        <v>90</v>
      </c>
      <c r="G739" s="27" t="s">
        <v>717</v>
      </c>
      <c r="H739" s="80">
        <f>6.02*0.9*10*7.85</f>
        <v>425.31299999999999</v>
      </c>
      <c r="I739" s="60" t="s">
        <v>91</v>
      </c>
      <c r="J739" s="78">
        <v>28500</v>
      </c>
      <c r="K739" s="47"/>
      <c r="L739" s="42">
        <f t="shared" si="15"/>
        <v>12121420.5</v>
      </c>
    </row>
    <row r="740" spans="2:12" x14ac:dyDescent="0.35">
      <c r="B740" s="162"/>
      <c r="C740" s="89"/>
      <c r="D740" s="179"/>
      <c r="E740" s="88"/>
      <c r="F740" s="71" t="s">
        <v>90</v>
      </c>
      <c r="G740" s="27" t="s">
        <v>718</v>
      </c>
      <c r="H740" s="80">
        <f>4*0.5*8*7.85*1.2</f>
        <v>150.72</v>
      </c>
      <c r="I740" s="60" t="s">
        <v>91</v>
      </c>
      <c r="J740" s="78">
        <v>28500</v>
      </c>
      <c r="K740" s="47"/>
      <c r="L740" s="42">
        <f t="shared" si="15"/>
        <v>4295520</v>
      </c>
    </row>
    <row r="741" spans="2:12" x14ac:dyDescent="0.35">
      <c r="B741" s="91"/>
      <c r="C741" s="119"/>
      <c r="D741" s="21"/>
      <c r="F741" s="71"/>
      <c r="G741" s="27"/>
      <c r="H741" s="80"/>
      <c r="I741" s="60"/>
      <c r="J741" s="26"/>
      <c r="K741" s="47"/>
      <c r="L741" s="42"/>
    </row>
    <row r="742" spans="2:12" x14ac:dyDescent="0.35">
      <c r="B742" s="43"/>
      <c r="C742" s="44"/>
      <c r="D742" s="21"/>
      <c r="G742" s="20"/>
      <c r="I742" s="20"/>
      <c r="J742" s="46"/>
      <c r="K742" s="26"/>
      <c r="L742" s="48"/>
    </row>
    <row r="743" spans="2:12" x14ac:dyDescent="0.35">
      <c r="B743" s="8"/>
      <c r="C743" s="9"/>
      <c r="D743" s="10"/>
      <c r="E743" s="4"/>
      <c r="F743" s="4"/>
      <c r="G743" s="4"/>
      <c r="H743" s="1"/>
      <c r="I743" s="1"/>
      <c r="J743" s="11" t="s">
        <v>8</v>
      </c>
      <c r="K743" s="7">
        <f>SUM(K690:K742)</f>
        <v>0</v>
      </c>
      <c r="L743" s="7">
        <f>SUM(L690:L742)</f>
        <v>344604261.82800007</v>
      </c>
    </row>
    <row r="744" spans="2:12" x14ac:dyDescent="0.35">
      <c r="B744" s="8"/>
      <c r="C744" s="9"/>
      <c r="D744" s="9"/>
      <c r="E744" s="4"/>
      <c r="F744" s="4"/>
      <c r="G744" s="4"/>
      <c r="H744" s="1"/>
      <c r="I744" s="1"/>
      <c r="J744" s="11"/>
      <c r="K744" s="32" t="s">
        <v>13</v>
      </c>
      <c r="L744" s="33" t="s">
        <v>14</v>
      </c>
    </row>
    <row r="745" spans="2:12" x14ac:dyDescent="0.35">
      <c r="B745" s="3" t="s">
        <v>9</v>
      </c>
      <c r="C745" s="4"/>
      <c r="D745" s="4"/>
      <c r="E745" s="4"/>
      <c r="F745" s="4"/>
      <c r="G745" s="4"/>
      <c r="H745" s="1"/>
      <c r="I745" s="1"/>
      <c r="J745" s="12"/>
      <c r="K745" s="12"/>
      <c r="L745" s="13"/>
    </row>
    <row r="746" spans="2:12" x14ac:dyDescent="0.35">
      <c r="B746" s="34"/>
      <c r="C746" s="1"/>
      <c r="D746" s="1"/>
      <c r="E746" s="35"/>
      <c r="F746" s="35"/>
      <c r="G746" s="35"/>
      <c r="H746" s="1"/>
      <c r="I746" s="1"/>
      <c r="J746" s="1"/>
      <c r="K746" s="1"/>
      <c r="L746" s="17"/>
    </row>
    <row r="747" spans="2:12" x14ac:dyDescent="0.35">
      <c r="B747" s="25" t="s">
        <v>6</v>
      </c>
      <c r="C747" s="24"/>
      <c r="D747" s="24"/>
      <c r="E747" s="23"/>
      <c r="F747" s="23"/>
      <c r="G747" s="5"/>
      <c r="K747" s="227" t="s">
        <v>1292</v>
      </c>
      <c r="L747" s="228"/>
    </row>
    <row r="748" spans="2:12" x14ac:dyDescent="0.35">
      <c r="B748" s="25">
        <v>1</v>
      </c>
      <c r="C748" s="24"/>
      <c r="D748" s="24"/>
      <c r="E748" s="23" t="s">
        <v>7</v>
      </c>
      <c r="F748" s="23"/>
      <c r="G748" s="5"/>
      <c r="K748" s="227" t="s">
        <v>18</v>
      </c>
      <c r="L748" s="228"/>
    </row>
    <row r="749" spans="2:12" x14ac:dyDescent="0.35">
      <c r="B749" s="36"/>
      <c r="C749" s="24"/>
      <c r="D749" s="24"/>
      <c r="E749" s="23"/>
      <c r="F749" s="23"/>
      <c r="G749" s="5"/>
      <c r="J749" s="22"/>
      <c r="K749" s="22"/>
      <c r="L749" s="21"/>
    </row>
    <row r="750" spans="2:12" x14ac:dyDescent="0.35">
      <c r="B750" s="25"/>
      <c r="C750" s="24"/>
      <c r="D750" s="24"/>
      <c r="E750" s="23"/>
      <c r="F750" s="23"/>
      <c r="G750" s="5"/>
      <c r="L750" s="20"/>
    </row>
    <row r="751" spans="2:12" x14ac:dyDescent="0.35">
      <c r="B751" s="41"/>
      <c r="E751" s="5"/>
      <c r="F751" s="5"/>
      <c r="G751" s="5"/>
      <c r="L751" s="20"/>
    </row>
    <row r="752" spans="2:12" x14ac:dyDescent="0.35">
      <c r="B752" s="41"/>
      <c r="E752" s="5"/>
      <c r="F752" s="5"/>
      <c r="G752" s="5"/>
      <c r="L752" s="20"/>
    </row>
    <row r="753" spans="2:12" x14ac:dyDescent="0.35">
      <c r="B753" s="41"/>
      <c r="E753" s="5"/>
      <c r="F753" s="5"/>
      <c r="G753" s="5"/>
      <c r="L753" s="20"/>
    </row>
    <row r="754" spans="2:12" x14ac:dyDescent="0.35">
      <c r="B754" s="41"/>
      <c r="E754" s="5"/>
      <c r="F754" s="5"/>
      <c r="G754" s="5"/>
      <c r="J754" s="37"/>
      <c r="K754" s="229" t="s">
        <v>26</v>
      </c>
      <c r="L754" s="230"/>
    </row>
    <row r="755" spans="2:12" x14ac:dyDescent="0.35">
      <c r="B755" s="41"/>
      <c r="K755" s="231" t="s">
        <v>27</v>
      </c>
      <c r="L755" s="232"/>
    </row>
    <row r="756" spans="2:12" x14ac:dyDescent="0.35">
      <c r="B756" s="233"/>
      <c r="C756" s="234"/>
      <c r="D756" s="234"/>
      <c r="E756" s="38"/>
      <c r="F756" s="38"/>
      <c r="G756" s="38"/>
      <c r="H756" s="2"/>
      <c r="I756" s="2"/>
      <c r="J756" s="2"/>
      <c r="K756" s="2"/>
      <c r="L756" s="19"/>
    </row>
    <row r="757" spans="2:12" x14ac:dyDescent="0.35">
      <c r="B757" s="43"/>
      <c r="C757" s="44"/>
      <c r="D757" s="45"/>
      <c r="G757" s="20"/>
      <c r="H757" s="1"/>
      <c r="I757" s="1"/>
      <c r="J757" s="39"/>
      <c r="K757" s="27"/>
      <c r="L757" s="40"/>
    </row>
    <row r="758" spans="2:12" x14ac:dyDescent="0.35">
      <c r="B758" s="162"/>
      <c r="C758" s="89"/>
      <c r="D758" s="179"/>
      <c r="E758" s="88"/>
      <c r="F758" s="71" t="s">
        <v>90</v>
      </c>
      <c r="G758" s="27" t="s">
        <v>719</v>
      </c>
      <c r="H758" s="80">
        <f>13.54*0.76*8*7.85</f>
        <v>646.23712</v>
      </c>
      <c r="I758" s="60" t="s">
        <v>91</v>
      </c>
      <c r="J758" s="78">
        <v>28500</v>
      </c>
      <c r="K758" s="47"/>
      <c r="L758" s="42">
        <f t="shared" ref="L758:L792" si="16">J758*H758</f>
        <v>18417757.920000002</v>
      </c>
    </row>
    <row r="759" spans="2:12" x14ac:dyDescent="0.35">
      <c r="B759" s="162"/>
      <c r="C759" s="89"/>
      <c r="D759" s="179"/>
      <c r="E759" s="88"/>
      <c r="F759" s="71" t="s">
        <v>90</v>
      </c>
      <c r="G759" s="27" t="s">
        <v>720</v>
      </c>
      <c r="H759" s="80">
        <f>2.72*0.9*10*7.85</f>
        <v>192.16800000000003</v>
      </c>
      <c r="I759" s="60" t="s">
        <v>91</v>
      </c>
      <c r="J759" s="78">
        <v>28500</v>
      </c>
      <c r="K759" s="47"/>
      <c r="L759" s="42">
        <f t="shared" si="16"/>
        <v>5476788.0000000009</v>
      </c>
    </row>
    <row r="760" spans="2:12" x14ac:dyDescent="0.35">
      <c r="B760" s="162"/>
      <c r="C760" s="89"/>
      <c r="D760" s="179"/>
      <c r="E760" s="88"/>
      <c r="F760" s="71" t="s">
        <v>90</v>
      </c>
      <c r="G760" s="27" t="s">
        <v>721</v>
      </c>
      <c r="H760" s="80">
        <f>4.61*0.5*8*7.85*1.2</f>
        <v>173.70479999999998</v>
      </c>
      <c r="I760" s="60" t="s">
        <v>91</v>
      </c>
      <c r="J760" s="78">
        <v>28500</v>
      </c>
      <c r="K760" s="47"/>
      <c r="L760" s="42">
        <f t="shared" si="16"/>
        <v>4950586.8</v>
      </c>
    </row>
    <row r="761" spans="2:12" s="31" customFormat="1" x14ac:dyDescent="0.35">
      <c r="B761" s="162"/>
      <c r="C761" s="89"/>
      <c r="D761" s="179"/>
      <c r="E761" s="88"/>
      <c r="F761" s="71" t="s">
        <v>90</v>
      </c>
      <c r="G761" s="27" t="s">
        <v>722</v>
      </c>
      <c r="H761" s="80">
        <f>3.3*0.9*10*7.85</f>
        <v>233.14499999999995</v>
      </c>
      <c r="I761" s="60" t="s">
        <v>91</v>
      </c>
      <c r="J761" s="78">
        <v>28500</v>
      </c>
      <c r="K761" s="47"/>
      <c r="L761" s="42">
        <f t="shared" si="16"/>
        <v>6644632.4999999991</v>
      </c>
    </row>
    <row r="762" spans="2:12" s="31" customFormat="1" x14ac:dyDescent="0.35">
      <c r="B762" s="162"/>
      <c r="C762" s="89"/>
      <c r="D762" s="179"/>
      <c r="E762" s="88"/>
      <c r="F762" s="71" t="s">
        <v>90</v>
      </c>
      <c r="G762" s="27" t="s">
        <v>723</v>
      </c>
      <c r="H762" s="80">
        <f>0.92*0.9*10*7.85</f>
        <v>64.998000000000005</v>
      </c>
      <c r="I762" s="60" t="s">
        <v>91</v>
      </c>
      <c r="J762" s="78">
        <v>28500</v>
      </c>
      <c r="K762" s="47"/>
      <c r="L762" s="42">
        <f t="shared" si="16"/>
        <v>1852443.0000000002</v>
      </c>
    </row>
    <row r="763" spans="2:12" s="31" customFormat="1" x14ac:dyDescent="0.35">
      <c r="B763" s="162"/>
      <c r="C763" s="89"/>
      <c r="D763" s="179"/>
      <c r="E763" s="88"/>
      <c r="F763" s="71" t="s">
        <v>90</v>
      </c>
      <c r="G763" s="27" t="s">
        <v>724</v>
      </c>
      <c r="H763" s="80">
        <f>2.24*0.3*8*7.85*1.2</f>
        <v>50.641919999999999</v>
      </c>
      <c r="I763" s="60" t="s">
        <v>91</v>
      </c>
      <c r="J763" s="78">
        <v>28500</v>
      </c>
      <c r="K763" s="47"/>
      <c r="L763" s="42">
        <f t="shared" si="16"/>
        <v>1443294.72</v>
      </c>
    </row>
    <row r="764" spans="2:12" s="31" customFormat="1" x14ac:dyDescent="0.35">
      <c r="B764" s="162"/>
      <c r="C764" s="89"/>
      <c r="D764" s="179"/>
      <c r="E764" s="88"/>
      <c r="F764" s="71" t="s">
        <v>90</v>
      </c>
      <c r="G764" s="27" t="s">
        <v>725</v>
      </c>
      <c r="H764" s="80">
        <f>6*0.9*10*7.85</f>
        <v>423.9</v>
      </c>
      <c r="I764" s="60" t="s">
        <v>91</v>
      </c>
      <c r="J764" s="78">
        <v>28500</v>
      </c>
      <c r="K764" s="47"/>
      <c r="L764" s="42">
        <f t="shared" si="16"/>
        <v>12081150</v>
      </c>
    </row>
    <row r="765" spans="2:12" s="31" customFormat="1" x14ac:dyDescent="0.35">
      <c r="B765" s="162"/>
      <c r="C765" s="89"/>
      <c r="D765" s="179"/>
      <c r="E765" s="88"/>
      <c r="F765" s="71" t="s">
        <v>90</v>
      </c>
      <c r="G765" s="27" t="s">
        <v>726</v>
      </c>
      <c r="H765" s="80">
        <f>4.4*0.5*8*7.85*1.2</f>
        <v>165.792</v>
      </c>
      <c r="I765" s="60" t="s">
        <v>91</v>
      </c>
      <c r="J765" s="78">
        <v>28500</v>
      </c>
      <c r="K765" s="47"/>
      <c r="L765" s="42">
        <f t="shared" si="16"/>
        <v>4725072</v>
      </c>
    </row>
    <row r="766" spans="2:12" s="31" customFormat="1" x14ac:dyDescent="0.35">
      <c r="B766" s="162"/>
      <c r="C766" s="89"/>
      <c r="D766" s="179"/>
      <c r="E766" s="88"/>
      <c r="F766" s="71" t="s">
        <v>90</v>
      </c>
      <c r="G766" s="27" t="s">
        <v>727</v>
      </c>
      <c r="H766" s="80">
        <f>11.14*0.76*8*7.85</f>
        <v>531.68992000000003</v>
      </c>
      <c r="I766" s="60" t="s">
        <v>91</v>
      </c>
      <c r="J766" s="78">
        <v>28500</v>
      </c>
      <c r="K766" s="47"/>
      <c r="L766" s="42">
        <f t="shared" si="16"/>
        <v>15153162.720000001</v>
      </c>
    </row>
    <row r="767" spans="2:12" s="31" customFormat="1" x14ac:dyDescent="0.35">
      <c r="B767" s="162"/>
      <c r="C767" s="89"/>
      <c r="D767" s="179"/>
      <c r="E767" s="88"/>
      <c r="F767" s="71" t="s">
        <v>90</v>
      </c>
      <c r="G767" s="27" t="s">
        <v>728</v>
      </c>
      <c r="H767" s="80">
        <f>2.1*1.15*8*7.85</f>
        <v>151.66200000000001</v>
      </c>
      <c r="I767" s="60" t="s">
        <v>91</v>
      </c>
      <c r="J767" s="78">
        <v>28500</v>
      </c>
      <c r="K767" s="47"/>
      <c r="L767" s="42">
        <f t="shared" si="16"/>
        <v>4322367</v>
      </c>
    </row>
    <row r="768" spans="2:12" s="31" customFormat="1" x14ac:dyDescent="0.35">
      <c r="B768" s="162"/>
      <c r="C768" s="89"/>
      <c r="D768" s="179"/>
      <c r="E768" s="88"/>
      <c r="F768" s="71" t="s">
        <v>90</v>
      </c>
      <c r="G768" s="27" t="s">
        <v>729</v>
      </c>
      <c r="H768" s="80">
        <f>1.16*0.76*8*7.85</f>
        <v>55.364479999999993</v>
      </c>
      <c r="I768" s="60" t="s">
        <v>91</v>
      </c>
      <c r="J768" s="78">
        <v>28500</v>
      </c>
      <c r="K768" s="47"/>
      <c r="L768" s="42">
        <f t="shared" si="16"/>
        <v>1577887.6799999997</v>
      </c>
    </row>
    <row r="769" spans="2:12" s="31" customFormat="1" x14ac:dyDescent="0.35">
      <c r="B769" s="162"/>
      <c r="C769" s="89"/>
      <c r="D769" s="179"/>
      <c r="E769" s="88"/>
      <c r="F769" s="71" t="s">
        <v>90</v>
      </c>
      <c r="G769" s="27" t="s">
        <v>730</v>
      </c>
      <c r="H769" s="80">
        <f>6.02*0.9*10*7.85</f>
        <v>425.31299999999999</v>
      </c>
      <c r="I769" s="60" t="s">
        <v>91</v>
      </c>
      <c r="J769" s="78">
        <v>28500</v>
      </c>
      <c r="K769" s="47"/>
      <c r="L769" s="42">
        <f t="shared" si="16"/>
        <v>12121420.5</v>
      </c>
    </row>
    <row r="770" spans="2:12" s="31" customFormat="1" x14ac:dyDescent="0.35">
      <c r="B770" s="162"/>
      <c r="C770" s="89"/>
      <c r="D770" s="179"/>
      <c r="E770" s="88"/>
      <c r="F770" s="71" t="s">
        <v>90</v>
      </c>
      <c r="G770" s="27" t="s">
        <v>731</v>
      </c>
      <c r="H770" s="80">
        <f>1.63*1*8*7.85</f>
        <v>102.36399999999999</v>
      </c>
      <c r="I770" s="60" t="s">
        <v>91</v>
      </c>
      <c r="J770" s="78">
        <v>28500</v>
      </c>
      <c r="K770" s="47"/>
      <c r="L770" s="42">
        <f t="shared" si="16"/>
        <v>2917373.9999999995</v>
      </c>
    </row>
    <row r="771" spans="2:12" s="31" customFormat="1" x14ac:dyDescent="0.35">
      <c r="B771" s="162"/>
      <c r="C771" s="89"/>
      <c r="D771" s="179"/>
      <c r="E771" s="88"/>
      <c r="F771" s="71" t="s">
        <v>90</v>
      </c>
      <c r="G771" s="27" t="s">
        <v>732</v>
      </c>
      <c r="H771" s="80">
        <f>5.57*0.9*10*7.85</f>
        <v>393.52050000000008</v>
      </c>
      <c r="I771" s="60" t="s">
        <v>91</v>
      </c>
      <c r="J771" s="78">
        <v>28500</v>
      </c>
      <c r="K771" s="47"/>
      <c r="L771" s="42">
        <f t="shared" si="16"/>
        <v>11215334.250000002</v>
      </c>
    </row>
    <row r="772" spans="2:12" s="31" customFormat="1" x14ac:dyDescent="0.35">
      <c r="B772" s="162"/>
      <c r="C772" s="89"/>
      <c r="D772" s="179"/>
      <c r="E772" s="88"/>
      <c r="F772" s="71" t="s">
        <v>90</v>
      </c>
      <c r="G772" s="27" t="s">
        <v>733</v>
      </c>
      <c r="H772" s="80">
        <f>0.82*0.76*8*7.85</f>
        <v>39.136959999999995</v>
      </c>
      <c r="I772" s="60" t="s">
        <v>91</v>
      </c>
      <c r="J772" s="78">
        <v>28500</v>
      </c>
      <c r="K772" s="59"/>
      <c r="L772" s="42">
        <f t="shared" si="16"/>
        <v>1115403.3599999999</v>
      </c>
    </row>
    <row r="773" spans="2:12" s="31" customFormat="1" x14ac:dyDescent="0.35">
      <c r="B773" s="162"/>
      <c r="C773" s="89"/>
      <c r="D773" s="179"/>
      <c r="E773" s="88"/>
      <c r="F773" s="71" t="s">
        <v>90</v>
      </c>
      <c r="G773" s="27" t="s">
        <v>734</v>
      </c>
      <c r="H773" s="80">
        <f>0.6*0.45*8*7.85</f>
        <v>16.956</v>
      </c>
      <c r="I773" s="60" t="s">
        <v>91</v>
      </c>
      <c r="J773" s="78">
        <v>28500</v>
      </c>
      <c r="K773" s="47"/>
      <c r="L773" s="42">
        <f t="shared" si="16"/>
        <v>483246</v>
      </c>
    </row>
    <row r="774" spans="2:12" s="31" customFormat="1" x14ac:dyDescent="0.35">
      <c r="B774" s="162"/>
      <c r="C774" s="89"/>
      <c r="D774" s="179"/>
      <c r="E774" s="88"/>
      <c r="F774" s="71" t="s">
        <v>90</v>
      </c>
      <c r="G774" s="27" t="s">
        <v>735</v>
      </c>
      <c r="H774" s="80">
        <f>0.3*2.8*8*7.85*1.2</f>
        <v>63.302399999999992</v>
      </c>
      <c r="I774" s="60" t="s">
        <v>91</v>
      </c>
      <c r="J774" s="78">
        <v>28500</v>
      </c>
      <c r="K774" s="121"/>
      <c r="L774" s="42">
        <f t="shared" si="16"/>
        <v>1804118.3999999997</v>
      </c>
    </row>
    <row r="775" spans="2:12" s="31" customFormat="1" x14ac:dyDescent="0.35">
      <c r="B775" s="70"/>
      <c r="C775" s="89"/>
      <c r="D775" s="69" t="s">
        <v>34</v>
      </c>
      <c r="E775" s="70"/>
      <c r="F775" s="71" t="s">
        <v>112</v>
      </c>
      <c r="G775" s="27"/>
      <c r="H775" s="80"/>
      <c r="I775" s="60"/>
      <c r="J775" s="26"/>
      <c r="K775" s="47"/>
      <c r="L775" s="42"/>
    </row>
    <row r="776" spans="2:12" s="31" customFormat="1" x14ac:dyDescent="0.35">
      <c r="B776" s="70"/>
      <c r="C776" s="89"/>
      <c r="D776" s="179"/>
      <c r="E776" s="88"/>
      <c r="F776" s="71" t="s">
        <v>90</v>
      </c>
      <c r="G776" s="27" t="s">
        <v>736</v>
      </c>
      <c r="H776" s="80">
        <f>4.79*0.9*10*7.85</f>
        <v>338.4135</v>
      </c>
      <c r="I776" s="60" t="s">
        <v>91</v>
      </c>
      <c r="J776" s="78">
        <v>28500</v>
      </c>
      <c r="K776" s="59"/>
      <c r="L776" s="42">
        <f t="shared" si="16"/>
        <v>9644784.75</v>
      </c>
    </row>
    <row r="777" spans="2:12" s="31" customFormat="1" x14ac:dyDescent="0.35">
      <c r="B777" s="70"/>
      <c r="C777" s="89"/>
      <c r="D777" s="179"/>
      <c r="E777" s="88"/>
      <c r="F777" s="71" t="s">
        <v>90</v>
      </c>
      <c r="G777" s="27" t="s">
        <v>737</v>
      </c>
      <c r="H777" s="80">
        <f>5.97*0.9*10*7.85</f>
        <v>421.78050000000002</v>
      </c>
      <c r="I777" s="60" t="s">
        <v>91</v>
      </c>
      <c r="J777" s="78">
        <v>28500</v>
      </c>
      <c r="K777" s="55"/>
      <c r="L777" s="42">
        <f t="shared" si="16"/>
        <v>12020744.25</v>
      </c>
    </row>
    <row r="778" spans="2:12" s="31" customFormat="1" x14ac:dyDescent="0.35">
      <c r="B778" s="70"/>
      <c r="C778" s="89"/>
      <c r="D778" s="179"/>
      <c r="E778" s="88"/>
      <c r="F778" s="71" t="s">
        <v>90</v>
      </c>
      <c r="G778" s="27" t="s">
        <v>738</v>
      </c>
      <c r="H778" s="80">
        <f>0.87*0.58*10*7.85*1.2</f>
        <v>47.533319999999989</v>
      </c>
      <c r="I778" s="60" t="s">
        <v>91</v>
      </c>
      <c r="J778" s="78">
        <v>28500</v>
      </c>
      <c r="K778" s="55"/>
      <c r="L778" s="42">
        <f t="shared" si="16"/>
        <v>1354699.6199999996</v>
      </c>
    </row>
    <row r="779" spans="2:12" s="31" customFormat="1" x14ac:dyDescent="0.35">
      <c r="B779" s="70"/>
      <c r="C779" s="89"/>
      <c r="D779" s="179"/>
      <c r="E779" s="88"/>
      <c r="F779" s="71" t="s">
        <v>90</v>
      </c>
      <c r="G779" s="27" t="s">
        <v>739</v>
      </c>
      <c r="H779" s="80">
        <f>7.13*0.9*10*7.85</f>
        <v>503.73449999999997</v>
      </c>
      <c r="I779" s="60" t="s">
        <v>91</v>
      </c>
      <c r="J779" s="78">
        <v>28500</v>
      </c>
      <c r="K779" s="55"/>
      <c r="L779" s="42">
        <f t="shared" si="16"/>
        <v>14356433.25</v>
      </c>
    </row>
    <row r="780" spans="2:12" s="31" customFormat="1" x14ac:dyDescent="0.35">
      <c r="B780" s="70"/>
      <c r="C780" s="89"/>
      <c r="D780" s="179"/>
      <c r="E780" s="88"/>
      <c r="F780" s="71" t="s">
        <v>90</v>
      </c>
      <c r="G780" s="27" t="s">
        <v>740</v>
      </c>
      <c r="H780" s="80">
        <f>3.8*0.9*10*7.85</f>
        <v>268.47000000000003</v>
      </c>
      <c r="I780" s="60" t="s">
        <v>91</v>
      </c>
      <c r="J780" s="78">
        <v>28500</v>
      </c>
      <c r="K780" s="73"/>
      <c r="L780" s="42">
        <f t="shared" si="16"/>
        <v>7651395.0000000009</v>
      </c>
    </row>
    <row r="781" spans="2:12" s="31" customFormat="1" x14ac:dyDescent="0.35">
      <c r="B781" s="70"/>
      <c r="C781" s="89"/>
      <c r="D781" s="69" t="s">
        <v>36</v>
      </c>
      <c r="E781" s="70"/>
      <c r="F781" s="71" t="s">
        <v>113</v>
      </c>
      <c r="G781" s="27"/>
      <c r="H781" s="80"/>
      <c r="I781" s="60"/>
      <c r="J781" s="73"/>
      <c r="K781" s="73"/>
      <c r="L781" s="42"/>
    </row>
    <row r="782" spans="2:12" s="31" customFormat="1" x14ac:dyDescent="0.35">
      <c r="B782" s="180"/>
      <c r="C782" s="87"/>
      <c r="D782" s="179"/>
      <c r="E782" s="88"/>
      <c r="F782" s="71" t="s">
        <v>90</v>
      </c>
      <c r="G782" s="27" t="s">
        <v>741</v>
      </c>
      <c r="H782" s="80">
        <f>5.85*0.91*10*7.85</f>
        <v>417.89474999999999</v>
      </c>
      <c r="I782" s="60" t="s">
        <v>91</v>
      </c>
      <c r="J782" s="78">
        <v>28500</v>
      </c>
      <c r="K782" s="73"/>
      <c r="L782" s="42">
        <f t="shared" si="16"/>
        <v>11910000.375</v>
      </c>
    </row>
    <row r="783" spans="2:12" s="31" customFormat="1" x14ac:dyDescent="0.35">
      <c r="B783" s="180"/>
      <c r="C783" s="87"/>
      <c r="D783" s="179"/>
      <c r="E783" s="88"/>
      <c r="F783" s="71" t="s">
        <v>90</v>
      </c>
      <c r="G783" s="27" t="s">
        <v>742</v>
      </c>
      <c r="H783" s="80">
        <f>0.95*0.87*8*7.85</f>
        <v>51.904199999999996</v>
      </c>
      <c r="I783" s="60" t="s">
        <v>91</v>
      </c>
      <c r="J783" s="78">
        <v>28500</v>
      </c>
      <c r="K783" s="73"/>
      <c r="L783" s="42">
        <f t="shared" si="16"/>
        <v>1479269.7</v>
      </c>
    </row>
    <row r="784" spans="2:12" s="31" customFormat="1" x14ac:dyDescent="0.35">
      <c r="B784" s="180"/>
      <c r="C784" s="87"/>
      <c r="D784" s="179"/>
      <c r="E784" s="88"/>
      <c r="F784" s="71" t="s">
        <v>90</v>
      </c>
      <c r="G784" s="27" t="s">
        <v>743</v>
      </c>
      <c r="H784" s="80">
        <f>0.25*0.7*8*7.85*1.2</f>
        <v>13.187999999999997</v>
      </c>
      <c r="I784" s="60" t="s">
        <v>91</v>
      </c>
      <c r="J784" s="78">
        <v>28500</v>
      </c>
      <c r="K784" s="73"/>
      <c r="L784" s="42">
        <f t="shared" si="16"/>
        <v>375857.99999999994</v>
      </c>
    </row>
    <row r="785" spans="2:12" s="31" customFormat="1" x14ac:dyDescent="0.35">
      <c r="B785" s="180"/>
      <c r="C785" s="87"/>
      <c r="D785" s="179"/>
      <c r="E785" s="88"/>
      <c r="F785" s="71" t="s">
        <v>90</v>
      </c>
      <c r="G785" s="27" t="s">
        <v>744</v>
      </c>
      <c r="H785" s="80">
        <f>1.07*0.91*10*7.85</f>
        <v>76.435450000000017</v>
      </c>
      <c r="I785" s="60" t="s">
        <v>91</v>
      </c>
      <c r="J785" s="78">
        <v>28500</v>
      </c>
      <c r="K785" s="73"/>
      <c r="L785" s="42">
        <f t="shared" si="16"/>
        <v>2178410.3250000007</v>
      </c>
    </row>
    <row r="786" spans="2:12" s="31" customFormat="1" x14ac:dyDescent="0.35">
      <c r="B786" s="180"/>
      <c r="C786" s="87"/>
      <c r="D786" s="69" t="s">
        <v>38</v>
      </c>
      <c r="E786" s="70"/>
      <c r="F786" s="71" t="s">
        <v>114</v>
      </c>
      <c r="G786" s="27"/>
      <c r="H786" s="80"/>
      <c r="I786" s="60"/>
      <c r="J786" s="73"/>
      <c r="K786" s="73"/>
      <c r="L786" s="42"/>
    </row>
    <row r="787" spans="2:12" s="31" customFormat="1" x14ac:dyDescent="0.35">
      <c r="B787" s="150"/>
      <c r="C787" s="87"/>
      <c r="D787" s="179"/>
      <c r="E787" s="88"/>
      <c r="F787" s="71" t="s">
        <v>90</v>
      </c>
      <c r="G787" s="27" t="s">
        <v>745</v>
      </c>
      <c r="H787" s="80">
        <f>2.48*0.91*10*7.85</f>
        <v>177.15880000000001</v>
      </c>
      <c r="I787" s="60" t="s">
        <v>91</v>
      </c>
      <c r="J787" s="78">
        <v>28500</v>
      </c>
      <c r="K787" s="73"/>
      <c r="L787" s="42">
        <f t="shared" si="16"/>
        <v>5049025.8000000007</v>
      </c>
    </row>
    <row r="788" spans="2:12" x14ac:dyDescent="0.35">
      <c r="B788" s="180"/>
      <c r="C788" s="87"/>
      <c r="D788" s="179"/>
      <c r="E788" s="88"/>
      <c r="F788" s="71" t="s">
        <v>90</v>
      </c>
      <c r="G788" s="27" t="s">
        <v>746</v>
      </c>
      <c r="H788" s="80">
        <f>1.35*0.42*8*7.85*1.2</f>
        <v>42.729120000000002</v>
      </c>
      <c r="I788" s="60" t="s">
        <v>91</v>
      </c>
      <c r="J788" s="78">
        <v>28500</v>
      </c>
      <c r="K788" s="73"/>
      <c r="L788" s="42">
        <f t="shared" si="16"/>
        <v>1217779.9200000002</v>
      </c>
    </row>
    <row r="789" spans="2:12" x14ac:dyDescent="0.35">
      <c r="B789" s="150"/>
      <c r="C789" s="87"/>
      <c r="D789" s="179"/>
      <c r="E789" s="88"/>
      <c r="F789" s="71" t="s">
        <v>90</v>
      </c>
      <c r="G789" s="27" t="s">
        <v>747</v>
      </c>
      <c r="H789" s="80">
        <f>2.47*0.91*10*7.85</f>
        <v>176.44445000000002</v>
      </c>
      <c r="I789" s="60" t="s">
        <v>91</v>
      </c>
      <c r="J789" s="78">
        <v>28500</v>
      </c>
      <c r="K789" s="73"/>
      <c r="L789" s="42">
        <f t="shared" si="16"/>
        <v>5028666.8250000002</v>
      </c>
    </row>
    <row r="790" spans="2:12" x14ac:dyDescent="0.35">
      <c r="B790" s="150"/>
      <c r="C790" s="87"/>
      <c r="D790" s="179"/>
      <c r="E790" s="88"/>
      <c r="F790" s="71" t="s">
        <v>90</v>
      </c>
      <c r="G790" s="27" t="s">
        <v>748</v>
      </c>
      <c r="H790" s="80">
        <f>0.68*0.9*10*7.85</f>
        <v>48.042000000000009</v>
      </c>
      <c r="I790" s="60" t="s">
        <v>91</v>
      </c>
      <c r="J790" s="78">
        <v>28500</v>
      </c>
      <c r="K790" s="73"/>
      <c r="L790" s="42">
        <f t="shared" si="16"/>
        <v>1369197.0000000002</v>
      </c>
    </row>
    <row r="791" spans="2:12" x14ac:dyDescent="0.35">
      <c r="B791" s="150"/>
      <c r="C791" s="87"/>
      <c r="D791" s="179"/>
      <c r="E791" s="88"/>
      <c r="F791" s="71" t="s">
        <v>90</v>
      </c>
      <c r="G791" s="27" t="s">
        <v>749</v>
      </c>
      <c r="H791" s="80">
        <f>0.77*0.9*10*7.85</f>
        <v>54.400500000000001</v>
      </c>
      <c r="I791" s="60" t="s">
        <v>91</v>
      </c>
      <c r="J791" s="78">
        <v>28500</v>
      </c>
      <c r="K791" s="73"/>
      <c r="L791" s="42">
        <f t="shared" si="16"/>
        <v>1550414.25</v>
      </c>
    </row>
    <row r="792" spans="2:12" x14ac:dyDescent="0.35">
      <c r="B792" s="150"/>
      <c r="C792" s="87"/>
      <c r="D792" s="179"/>
      <c r="E792" s="88"/>
      <c r="F792" s="71" t="s">
        <v>90</v>
      </c>
      <c r="G792" s="27" t="s">
        <v>750</v>
      </c>
      <c r="H792" s="80">
        <f>0.53*0.9*10*7.85</f>
        <v>37.444500000000005</v>
      </c>
      <c r="I792" s="60" t="s">
        <v>91</v>
      </c>
      <c r="J792" s="78">
        <v>28500</v>
      </c>
      <c r="K792" s="47"/>
      <c r="L792" s="42">
        <f t="shared" si="16"/>
        <v>1067168.2500000002</v>
      </c>
    </row>
    <row r="793" spans="2:12" x14ac:dyDescent="0.35">
      <c r="B793" s="180"/>
      <c r="C793" s="87"/>
      <c r="D793" s="69" t="s">
        <v>39</v>
      </c>
      <c r="E793" s="70"/>
      <c r="F793" s="71" t="s">
        <v>751</v>
      </c>
      <c r="G793" s="27"/>
      <c r="H793" s="80"/>
      <c r="I793" s="60"/>
      <c r="J793" s="73"/>
      <c r="K793" s="73"/>
      <c r="L793" s="42"/>
    </row>
    <row r="794" spans="2:12" x14ac:dyDescent="0.35">
      <c r="B794" s="150"/>
      <c r="C794" s="87"/>
      <c r="D794" s="179"/>
      <c r="E794" s="88"/>
      <c r="F794" s="71" t="s">
        <v>90</v>
      </c>
      <c r="G794" s="27" t="s">
        <v>752</v>
      </c>
      <c r="H794" s="80">
        <f>3.78*2.74*8*7.85</f>
        <v>650.43215999999995</v>
      </c>
      <c r="I794" s="60" t="s">
        <v>91</v>
      </c>
      <c r="J794" s="73">
        <v>15000</v>
      </c>
      <c r="K794" s="57">
        <f>J794*H794</f>
        <v>9756482.3999999985</v>
      </c>
      <c r="L794" s="42"/>
    </row>
    <row r="795" spans="2:12" x14ac:dyDescent="0.35">
      <c r="B795" s="180"/>
      <c r="C795" s="87"/>
      <c r="D795" s="179"/>
      <c r="E795" s="88"/>
      <c r="F795" s="71" t="s">
        <v>90</v>
      </c>
      <c r="G795" s="27" t="s">
        <v>753</v>
      </c>
      <c r="H795" s="80">
        <f>2.4*3.41*8*7.85</f>
        <v>513.95519999999988</v>
      </c>
      <c r="I795" s="60" t="s">
        <v>91</v>
      </c>
      <c r="J795" s="73">
        <v>15000</v>
      </c>
      <c r="K795" s="57">
        <f t="shared" ref="K795:K799" si="17">J795*H795</f>
        <v>7709327.9999999981</v>
      </c>
      <c r="L795" s="42"/>
    </row>
    <row r="796" spans="2:12" x14ac:dyDescent="0.35">
      <c r="B796" s="150"/>
      <c r="C796" s="87"/>
      <c r="D796" s="179"/>
      <c r="E796" s="88"/>
      <c r="F796" s="71" t="s">
        <v>90</v>
      </c>
      <c r="G796" s="27" t="s">
        <v>754</v>
      </c>
      <c r="H796" s="80">
        <f>3.65*2.8*8*7.85</f>
        <v>641.81599999999992</v>
      </c>
      <c r="I796" s="60" t="s">
        <v>91</v>
      </c>
      <c r="J796" s="73">
        <v>15000</v>
      </c>
      <c r="K796" s="57">
        <f t="shared" si="17"/>
        <v>9627239.9999999981</v>
      </c>
      <c r="L796" s="42"/>
    </row>
    <row r="797" spans="2:12" x14ac:dyDescent="0.35">
      <c r="B797" s="150"/>
      <c r="C797" s="87"/>
      <c r="D797" s="179"/>
      <c r="E797" s="88"/>
      <c r="F797" s="71" t="s">
        <v>90</v>
      </c>
      <c r="G797" s="27" t="s">
        <v>755</v>
      </c>
      <c r="H797" s="80">
        <f>3.45*2.5*8*7.85</f>
        <v>541.65</v>
      </c>
      <c r="I797" s="60" t="s">
        <v>91</v>
      </c>
      <c r="J797" s="73">
        <v>15000</v>
      </c>
      <c r="K797" s="57">
        <f t="shared" si="17"/>
        <v>8124750</v>
      </c>
      <c r="L797" s="42"/>
    </row>
    <row r="798" spans="2:12" x14ac:dyDescent="0.35">
      <c r="B798" s="150"/>
      <c r="C798" s="87"/>
      <c r="D798" s="179"/>
      <c r="E798" s="88"/>
      <c r="F798" s="71" t="s">
        <v>90</v>
      </c>
      <c r="G798" s="27" t="s">
        <v>756</v>
      </c>
      <c r="H798" s="80">
        <f>3.4*2.75*8*7.85</f>
        <v>587.17999999999995</v>
      </c>
      <c r="I798" s="60" t="s">
        <v>91</v>
      </c>
      <c r="J798" s="73">
        <v>15000</v>
      </c>
      <c r="K798" s="57">
        <f t="shared" si="17"/>
        <v>8807700</v>
      </c>
      <c r="L798" s="42"/>
    </row>
    <row r="799" spans="2:12" x14ac:dyDescent="0.35">
      <c r="B799" s="150"/>
      <c r="C799" s="87"/>
      <c r="D799" s="179"/>
      <c r="E799" s="88"/>
      <c r="F799" s="71" t="s">
        <v>90</v>
      </c>
      <c r="G799" s="27" t="s">
        <v>757</v>
      </c>
      <c r="H799" s="80">
        <f>3.55*2.4*8*7.85</f>
        <v>535.05599999999993</v>
      </c>
      <c r="I799" s="60" t="s">
        <v>91</v>
      </c>
      <c r="J799" s="73">
        <v>15000</v>
      </c>
      <c r="K799" s="57">
        <f t="shared" si="17"/>
        <v>8025839.9999999991</v>
      </c>
      <c r="L799" s="42"/>
    </row>
    <row r="800" spans="2:12" x14ac:dyDescent="0.35">
      <c r="B800" s="180"/>
      <c r="C800" s="87"/>
      <c r="D800" s="69" t="s">
        <v>41</v>
      </c>
      <c r="E800" s="70"/>
      <c r="F800" s="71" t="s">
        <v>758</v>
      </c>
      <c r="G800" s="27"/>
      <c r="H800" s="80"/>
      <c r="I800" s="60"/>
      <c r="J800" s="73"/>
      <c r="K800" s="73"/>
      <c r="L800" s="42"/>
    </row>
    <row r="801" spans="2:12" x14ac:dyDescent="0.35">
      <c r="B801" s="150"/>
      <c r="C801" s="87"/>
      <c r="D801" s="179"/>
      <c r="E801" s="88"/>
      <c r="F801" s="71" t="s">
        <v>90</v>
      </c>
      <c r="G801" s="27" t="s">
        <v>759</v>
      </c>
      <c r="H801" s="80">
        <f>1.9*2*8*7.85</f>
        <v>238.64</v>
      </c>
      <c r="I801" s="60" t="s">
        <v>91</v>
      </c>
      <c r="J801" s="73">
        <v>15000</v>
      </c>
      <c r="K801" s="57">
        <f>J801*H801</f>
        <v>3579600</v>
      </c>
      <c r="L801" s="42"/>
    </row>
    <row r="802" spans="2:12" x14ac:dyDescent="0.35">
      <c r="B802" s="150"/>
      <c r="C802" s="87"/>
      <c r="D802" s="179"/>
      <c r="E802" s="88"/>
      <c r="F802" s="71" t="s">
        <v>90</v>
      </c>
      <c r="G802" s="27" t="s">
        <v>760</v>
      </c>
      <c r="H802" s="80">
        <f>3.9*1.5*8*7.85</f>
        <v>367.37999999999994</v>
      </c>
      <c r="I802" s="60" t="s">
        <v>91</v>
      </c>
      <c r="J802" s="73">
        <v>15000</v>
      </c>
      <c r="K802" s="57">
        <f t="shared" ref="K802:K807" si="18">J802*H802</f>
        <v>5510699.9999999991</v>
      </c>
      <c r="L802" s="42"/>
    </row>
    <row r="803" spans="2:12" x14ac:dyDescent="0.35">
      <c r="B803" s="180"/>
      <c r="C803" s="87"/>
      <c r="D803" s="179"/>
      <c r="E803" s="88"/>
      <c r="F803" s="71" t="s">
        <v>90</v>
      </c>
      <c r="G803" s="27" t="s">
        <v>761</v>
      </c>
      <c r="H803" s="80">
        <f>3.3*2*8*7.85</f>
        <v>414.47999999999996</v>
      </c>
      <c r="I803" s="60" t="s">
        <v>91</v>
      </c>
      <c r="J803" s="73">
        <v>15000</v>
      </c>
      <c r="K803" s="57">
        <f t="shared" si="18"/>
        <v>6217199.9999999991</v>
      </c>
      <c r="L803" s="42"/>
    </row>
    <row r="804" spans="2:12" x14ac:dyDescent="0.35">
      <c r="B804" s="150"/>
      <c r="C804" s="87"/>
      <c r="D804" s="179"/>
      <c r="E804" s="88"/>
      <c r="F804" s="71" t="s">
        <v>90</v>
      </c>
      <c r="G804" s="27" t="s">
        <v>762</v>
      </c>
      <c r="H804" s="80">
        <f>3.4*2*8*7.85</f>
        <v>427.03999999999996</v>
      </c>
      <c r="I804" s="60" t="s">
        <v>91</v>
      </c>
      <c r="J804" s="73">
        <v>15000</v>
      </c>
      <c r="K804" s="57">
        <f t="shared" si="18"/>
        <v>6405599.9999999991</v>
      </c>
      <c r="L804" s="42"/>
    </row>
    <row r="805" spans="2:12" s="31" customFormat="1" x14ac:dyDescent="0.35">
      <c r="B805" s="150"/>
      <c r="C805" s="87"/>
      <c r="D805" s="179"/>
      <c r="E805" s="88"/>
      <c r="F805" s="71" t="s">
        <v>90</v>
      </c>
      <c r="G805" s="27" t="s">
        <v>763</v>
      </c>
      <c r="H805" s="80">
        <f>3.45*2*8*7.85</f>
        <v>433.32</v>
      </c>
      <c r="I805" s="60" t="s">
        <v>91</v>
      </c>
      <c r="J805" s="73">
        <v>15000</v>
      </c>
      <c r="K805" s="57">
        <f t="shared" si="18"/>
        <v>6499800</v>
      </c>
      <c r="L805" s="42"/>
    </row>
    <row r="806" spans="2:12" s="31" customFormat="1" x14ac:dyDescent="0.35">
      <c r="B806" s="150"/>
      <c r="C806" s="87"/>
      <c r="D806" s="179"/>
      <c r="E806" s="88"/>
      <c r="F806" s="71" t="s">
        <v>90</v>
      </c>
      <c r="G806" s="27" t="s">
        <v>764</v>
      </c>
      <c r="H806" s="80">
        <f>3.65*2*8*7.85</f>
        <v>458.43999999999994</v>
      </c>
      <c r="I806" s="60" t="s">
        <v>91</v>
      </c>
      <c r="J806" s="73">
        <v>15000</v>
      </c>
      <c r="K806" s="57">
        <f t="shared" si="18"/>
        <v>6876599.9999999991</v>
      </c>
      <c r="L806" s="42"/>
    </row>
    <row r="807" spans="2:12" x14ac:dyDescent="0.35">
      <c r="B807" s="150"/>
      <c r="C807" s="87"/>
      <c r="D807" s="179"/>
      <c r="E807" s="88"/>
      <c r="F807" s="71" t="s">
        <v>90</v>
      </c>
      <c r="G807" s="27" t="s">
        <v>765</v>
      </c>
      <c r="H807" s="80">
        <f>3*1.6*8*7.85</f>
        <v>301.44000000000005</v>
      </c>
      <c r="I807" s="60" t="s">
        <v>91</v>
      </c>
      <c r="J807" s="73">
        <v>15000</v>
      </c>
      <c r="K807" s="57">
        <f t="shared" si="18"/>
        <v>4521600.0000000009</v>
      </c>
      <c r="L807" s="42"/>
    </row>
    <row r="808" spans="2:12" x14ac:dyDescent="0.35">
      <c r="B808" s="43"/>
      <c r="C808" s="44"/>
      <c r="D808" s="21"/>
      <c r="G808" s="20"/>
      <c r="I808" s="20"/>
      <c r="J808" s="46"/>
      <c r="K808" s="26"/>
      <c r="L808" s="48"/>
    </row>
    <row r="809" spans="2:12" x14ac:dyDescent="0.35">
      <c r="B809" s="43"/>
      <c r="C809" s="44"/>
      <c r="D809" s="21"/>
      <c r="G809" s="20"/>
      <c r="I809" s="20"/>
      <c r="J809" s="46"/>
      <c r="K809" s="26"/>
      <c r="L809" s="48"/>
    </row>
    <row r="810" spans="2:12" x14ac:dyDescent="0.35">
      <c r="B810" s="8"/>
      <c r="C810" s="9"/>
      <c r="D810" s="10"/>
      <c r="E810" s="4"/>
      <c r="F810" s="4"/>
      <c r="G810" s="4"/>
      <c r="H810" s="1"/>
      <c r="I810" s="1"/>
      <c r="J810" s="11" t="s">
        <v>8</v>
      </c>
      <c r="K810" s="7">
        <f>SUM(K757:K809)</f>
        <v>91662440.399999991</v>
      </c>
      <c r="L810" s="7">
        <f>SUM(L757:L809)</f>
        <v>182555886.16499999</v>
      </c>
    </row>
    <row r="811" spans="2:12" x14ac:dyDescent="0.35">
      <c r="B811" s="8"/>
      <c r="C811" s="9"/>
      <c r="D811" s="9"/>
      <c r="E811" s="4"/>
      <c r="F811" s="4"/>
      <c r="G811" s="4"/>
      <c r="H811" s="1"/>
      <c r="I811" s="1"/>
      <c r="J811" s="11"/>
      <c r="K811" s="32" t="s">
        <v>13</v>
      </c>
      <c r="L811" s="33" t="s">
        <v>14</v>
      </c>
    </row>
    <row r="812" spans="2:12" x14ac:dyDescent="0.35">
      <c r="B812" s="3" t="s">
        <v>9</v>
      </c>
      <c r="C812" s="4"/>
      <c r="D812" s="4"/>
      <c r="E812" s="4"/>
      <c r="F812" s="4"/>
      <c r="G812" s="4"/>
      <c r="H812" s="1"/>
      <c r="I812" s="1"/>
      <c r="J812" s="12"/>
      <c r="K812" s="12"/>
      <c r="L812" s="13"/>
    </row>
    <row r="813" spans="2:12" x14ac:dyDescent="0.35">
      <c r="B813" s="34"/>
      <c r="C813" s="1"/>
      <c r="D813" s="1"/>
      <c r="E813" s="35"/>
      <c r="F813" s="35"/>
      <c r="G813" s="35"/>
      <c r="H813" s="1"/>
      <c r="I813" s="1"/>
      <c r="J813" s="1"/>
      <c r="K813" s="1"/>
      <c r="L813" s="17"/>
    </row>
    <row r="814" spans="2:12" x14ac:dyDescent="0.35">
      <c r="B814" s="25" t="s">
        <v>6</v>
      </c>
      <c r="C814" s="24"/>
      <c r="D814" s="24"/>
      <c r="E814" s="23"/>
      <c r="F814" s="23"/>
      <c r="G814" s="5"/>
      <c r="K814" s="227" t="s">
        <v>1292</v>
      </c>
      <c r="L814" s="228"/>
    </row>
    <row r="815" spans="2:12" x14ac:dyDescent="0.35">
      <c r="B815" s="25">
        <v>1</v>
      </c>
      <c r="C815" s="24"/>
      <c r="D815" s="24"/>
      <c r="E815" s="23" t="s">
        <v>7</v>
      </c>
      <c r="F815" s="23"/>
      <c r="G815" s="5"/>
      <c r="K815" s="227" t="s">
        <v>18</v>
      </c>
      <c r="L815" s="228"/>
    </row>
    <row r="816" spans="2:12" x14ac:dyDescent="0.35">
      <c r="B816" s="36"/>
      <c r="C816" s="24"/>
      <c r="D816" s="24"/>
      <c r="E816" s="23"/>
      <c r="F816" s="23"/>
      <c r="G816" s="5"/>
      <c r="J816" s="22"/>
      <c r="K816" s="22"/>
      <c r="L816" s="21"/>
    </row>
    <row r="817" spans="2:12" x14ac:dyDescent="0.35">
      <c r="B817" s="25"/>
      <c r="C817" s="24"/>
      <c r="D817" s="24"/>
      <c r="E817" s="23"/>
      <c r="F817" s="23"/>
      <c r="G817" s="5"/>
      <c r="L817" s="20"/>
    </row>
    <row r="818" spans="2:12" x14ac:dyDescent="0.35">
      <c r="B818" s="41"/>
      <c r="E818" s="5"/>
      <c r="F818" s="5"/>
      <c r="G818" s="5"/>
      <c r="L818" s="20"/>
    </row>
    <row r="819" spans="2:12" x14ac:dyDescent="0.35">
      <c r="B819" s="41"/>
      <c r="E819" s="5"/>
      <c r="F819" s="5"/>
      <c r="G819" s="5"/>
      <c r="L819" s="20"/>
    </row>
    <row r="820" spans="2:12" x14ac:dyDescent="0.35">
      <c r="B820" s="41"/>
      <c r="E820" s="5"/>
      <c r="F820" s="5"/>
      <c r="G820" s="5"/>
      <c r="L820" s="20"/>
    </row>
    <row r="821" spans="2:12" x14ac:dyDescent="0.35">
      <c r="B821" s="41"/>
      <c r="E821" s="5"/>
      <c r="F821" s="5"/>
      <c r="G821" s="5"/>
      <c r="J821" s="37"/>
      <c r="K821" s="229" t="s">
        <v>26</v>
      </c>
      <c r="L821" s="230"/>
    </row>
    <row r="822" spans="2:12" x14ac:dyDescent="0.35">
      <c r="B822" s="41"/>
      <c r="K822" s="231" t="s">
        <v>27</v>
      </c>
      <c r="L822" s="232"/>
    </row>
    <row r="823" spans="2:12" x14ac:dyDescent="0.35">
      <c r="B823" s="233"/>
      <c r="C823" s="234"/>
      <c r="D823" s="234"/>
      <c r="E823" s="38"/>
      <c r="F823" s="38"/>
      <c r="G823" s="38"/>
      <c r="H823" s="2"/>
      <c r="I823" s="2"/>
      <c r="J823" s="2"/>
      <c r="K823" s="2"/>
      <c r="L823" s="19"/>
    </row>
    <row r="824" spans="2:12" x14ac:dyDescent="0.35">
      <c r="B824" s="43"/>
      <c r="C824" s="44"/>
      <c r="D824" s="45"/>
      <c r="G824" s="20"/>
      <c r="H824" s="1"/>
      <c r="I824" s="1"/>
      <c r="J824" s="39"/>
      <c r="K824" s="27"/>
      <c r="L824" s="40"/>
    </row>
    <row r="825" spans="2:12" s="31" customFormat="1" x14ac:dyDescent="0.35">
      <c r="B825" s="150"/>
      <c r="C825" s="87"/>
      <c r="D825" s="179"/>
      <c r="E825" s="88"/>
      <c r="F825" s="71" t="s">
        <v>90</v>
      </c>
      <c r="G825" s="27" t="s">
        <v>766</v>
      </c>
      <c r="H825" s="80">
        <f>2.5*1.4*8*7.85</f>
        <v>219.79999999999998</v>
      </c>
      <c r="I825" s="60" t="s">
        <v>91</v>
      </c>
      <c r="J825" s="73">
        <v>15000</v>
      </c>
      <c r="K825" s="57">
        <f t="shared" ref="K825:K837" si="19">J825*H825</f>
        <v>3296999.9999999995</v>
      </c>
      <c r="L825" s="42"/>
    </row>
    <row r="826" spans="2:12" s="31" customFormat="1" x14ac:dyDescent="0.35">
      <c r="B826" s="150"/>
      <c r="C826" s="87"/>
      <c r="D826" s="179"/>
      <c r="E826" s="88"/>
      <c r="F826" s="71" t="s">
        <v>90</v>
      </c>
      <c r="G826" s="27" t="s">
        <v>767</v>
      </c>
      <c r="H826" s="80">
        <f>1.7*0.8*8*7.85</f>
        <v>85.408000000000001</v>
      </c>
      <c r="I826" s="60" t="s">
        <v>91</v>
      </c>
      <c r="J826" s="73">
        <v>15000</v>
      </c>
      <c r="K826" s="57">
        <f t="shared" si="19"/>
        <v>1281120</v>
      </c>
      <c r="L826" s="42"/>
    </row>
    <row r="827" spans="2:12" s="31" customFormat="1" x14ac:dyDescent="0.35">
      <c r="B827" s="150"/>
      <c r="C827" s="87"/>
      <c r="D827" s="179"/>
      <c r="E827" s="88"/>
      <c r="F827" s="71" t="s">
        <v>90</v>
      </c>
      <c r="G827" s="27" t="s">
        <v>768</v>
      </c>
      <c r="H827" s="80">
        <f>3*1*8*7.85</f>
        <v>188.39999999999998</v>
      </c>
      <c r="I827" s="60" t="s">
        <v>91</v>
      </c>
      <c r="J827" s="73">
        <v>15000</v>
      </c>
      <c r="K827" s="57">
        <f t="shared" si="19"/>
        <v>2825999.9999999995</v>
      </c>
      <c r="L827" s="42"/>
    </row>
    <row r="828" spans="2:12" s="31" customFormat="1" x14ac:dyDescent="0.35">
      <c r="B828" s="180"/>
      <c r="C828" s="87"/>
      <c r="D828" s="69" t="s">
        <v>43</v>
      </c>
      <c r="E828" s="70"/>
      <c r="F828" s="71" t="s">
        <v>769</v>
      </c>
      <c r="G828" s="27"/>
      <c r="H828" s="80"/>
      <c r="I828" s="60"/>
      <c r="J828" s="73"/>
      <c r="K828" s="73"/>
      <c r="L828" s="42"/>
    </row>
    <row r="829" spans="2:12" s="31" customFormat="1" x14ac:dyDescent="0.35">
      <c r="B829" s="150"/>
      <c r="C829" s="87"/>
      <c r="D829" s="179"/>
      <c r="E829" s="88"/>
      <c r="F829" s="71" t="s">
        <v>90</v>
      </c>
      <c r="G829" s="27" t="s">
        <v>770</v>
      </c>
      <c r="H829" s="80">
        <f>3*1*8*7.85</f>
        <v>188.39999999999998</v>
      </c>
      <c r="I829" s="60" t="s">
        <v>91</v>
      </c>
      <c r="J829" s="73">
        <v>15000</v>
      </c>
      <c r="K829" s="57">
        <f t="shared" si="19"/>
        <v>2825999.9999999995</v>
      </c>
      <c r="L829" s="42"/>
    </row>
    <row r="830" spans="2:12" s="31" customFormat="1" x14ac:dyDescent="0.35">
      <c r="B830" s="150"/>
      <c r="C830" s="87"/>
      <c r="D830" s="179"/>
      <c r="E830" s="88"/>
      <c r="F830" s="71" t="s">
        <v>90</v>
      </c>
      <c r="G830" s="27" t="s">
        <v>771</v>
      </c>
      <c r="H830" s="80">
        <f>3.4*1.9*8*7.85</f>
        <v>405.68799999999999</v>
      </c>
      <c r="I830" s="60" t="s">
        <v>91</v>
      </c>
      <c r="J830" s="73">
        <v>15000</v>
      </c>
      <c r="K830" s="57">
        <f t="shared" si="19"/>
        <v>6085320</v>
      </c>
      <c r="L830" s="42"/>
    </row>
    <row r="831" spans="2:12" s="31" customFormat="1" x14ac:dyDescent="0.35">
      <c r="B831" s="180"/>
      <c r="C831" s="87"/>
      <c r="D831" s="179"/>
      <c r="E831" s="88"/>
      <c r="F831" s="71" t="s">
        <v>90</v>
      </c>
      <c r="G831" s="27" t="s">
        <v>772</v>
      </c>
      <c r="H831" s="80">
        <f>1.5*1*8*7.85</f>
        <v>94.199999999999989</v>
      </c>
      <c r="I831" s="60" t="s">
        <v>91</v>
      </c>
      <c r="J831" s="73">
        <v>15000</v>
      </c>
      <c r="K831" s="57">
        <f t="shared" si="19"/>
        <v>1412999.9999999998</v>
      </c>
      <c r="L831" s="42"/>
    </row>
    <row r="832" spans="2:12" s="31" customFormat="1" x14ac:dyDescent="0.35">
      <c r="B832" s="150"/>
      <c r="C832" s="87"/>
      <c r="D832" s="179"/>
      <c r="E832" s="88"/>
      <c r="F832" s="71" t="s">
        <v>90</v>
      </c>
      <c r="G832" s="27" t="s">
        <v>773</v>
      </c>
      <c r="H832" s="80">
        <f>3.4*1*8*7.85</f>
        <v>213.51999999999998</v>
      </c>
      <c r="I832" s="60" t="s">
        <v>91</v>
      </c>
      <c r="J832" s="73">
        <v>15000</v>
      </c>
      <c r="K832" s="57">
        <f t="shared" si="19"/>
        <v>3202799.9999999995</v>
      </c>
      <c r="L832" s="42"/>
    </row>
    <row r="833" spans="2:12" s="31" customFormat="1" x14ac:dyDescent="0.35">
      <c r="B833" s="150"/>
      <c r="C833" s="87"/>
      <c r="D833" s="179"/>
      <c r="E833" s="88"/>
      <c r="F833" s="71" t="s">
        <v>90</v>
      </c>
      <c r="G833" s="27" t="s">
        <v>774</v>
      </c>
      <c r="H833" s="80">
        <f>3.4*0.5*8*7.85</f>
        <v>106.75999999999999</v>
      </c>
      <c r="I833" s="60" t="s">
        <v>91</v>
      </c>
      <c r="J833" s="73">
        <v>15000</v>
      </c>
      <c r="K833" s="57">
        <f t="shared" si="19"/>
        <v>1601399.9999999998</v>
      </c>
      <c r="L833" s="42"/>
    </row>
    <row r="834" spans="2:12" s="31" customFormat="1" x14ac:dyDescent="0.35">
      <c r="B834" s="150"/>
      <c r="C834" s="87"/>
      <c r="D834" s="179"/>
      <c r="E834" s="88"/>
      <c r="F834" s="71" t="s">
        <v>90</v>
      </c>
      <c r="G834" s="27" t="s">
        <v>775</v>
      </c>
      <c r="H834" s="80">
        <f>3.2*1.6*8*7.85</f>
        <v>321.53600000000006</v>
      </c>
      <c r="I834" s="60" t="s">
        <v>91</v>
      </c>
      <c r="J834" s="73">
        <v>15000</v>
      </c>
      <c r="K834" s="57">
        <f t="shared" si="19"/>
        <v>4823040.0000000009</v>
      </c>
      <c r="L834" s="42"/>
    </row>
    <row r="835" spans="2:12" s="31" customFormat="1" x14ac:dyDescent="0.35">
      <c r="B835" s="180"/>
      <c r="C835" s="87"/>
      <c r="D835" s="69" t="s">
        <v>44</v>
      </c>
      <c r="E835" s="70"/>
      <c r="F835" s="71" t="s">
        <v>776</v>
      </c>
      <c r="G835" s="27"/>
      <c r="H835" s="80"/>
      <c r="I835" s="60"/>
      <c r="J835" s="73"/>
      <c r="K835" s="73"/>
      <c r="L835" s="42"/>
    </row>
    <row r="836" spans="2:12" s="31" customFormat="1" x14ac:dyDescent="0.35">
      <c r="B836" s="150"/>
      <c r="C836" s="87"/>
      <c r="D836" s="179"/>
      <c r="E836" s="88"/>
      <c r="F836" s="71" t="s">
        <v>90</v>
      </c>
      <c r="G836" s="27" t="s">
        <v>777</v>
      </c>
      <c r="H836" s="80">
        <f>2.9*2.5*8*7.85</f>
        <v>455.29999999999995</v>
      </c>
      <c r="I836" s="60" t="s">
        <v>91</v>
      </c>
      <c r="J836" s="73">
        <v>15000</v>
      </c>
      <c r="K836" s="57">
        <f t="shared" si="19"/>
        <v>6829499.9999999991</v>
      </c>
      <c r="L836" s="42"/>
    </row>
    <row r="837" spans="2:12" s="31" customFormat="1" x14ac:dyDescent="0.35">
      <c r="B837" s="180"/>
      <c r="C837" s="87"/>
      <c r="D837" s="179"/>
      <c r="E837" s="88"/>
      <c r="F837" s="71" t="s">
        <v>90</v>
      </c>
      <c r="G837" s="27" t="s">
        <v>778</v>
      </c>
      <c r="H837" s="80">
        <f>3*2.8*8*7.85</f>
        <v>527.51999999999987</v>
      </c>
      <c r="I837" s="60" t="s">
        <v>91</v>
      </c>
      <c r="J837" s="73">
        <v>15000</v>
      </c>
      <c r="K837" s="57">
        <f t="shared" si="19"/>
        <v>7912799.9999999981</v>
      </c>
      <c r="L837" s="42"/>
    </row>
    <row r="838" spans="2:12" s="31" customFormat="1" x14ac:dyDescent="0.35">
      <c r="B838" s="150"/>
      <c r="C838" s="88" t="s">
        <v>115</v>
      </c>
      <c r="D838" s="69"/>
      <c r="E838" s="88"/>
      <c r="F838" s="71" t="s">
        <v>116</v>
      </c>
      <c r="G838" s="27"/>
      <c r="H838" s="80"/>
      <c r="I838" s="93"/>
      <c r="J838" s="73"/>
      <c r="K838" s="73"/>
      <c r="L838" s="42"/>
    </row>
    <row r="839" spans="2:12" s="31" customFormat="1" x14ac:dyDescent="0.35">
      <c r="B839" s="150"/>
      <c r="C839" s="87"/>
      <c r="D839" s="69" t="s">
        <v>29</v>
      </c>
      <c r="E839" s="71"/>
      <c r="F839" s="71" t="s">
        <v>117</v>
      </c>
      <c r="G839" s="27"/>
      <c r="H839" s="125">
        <v>3</v>
      </c>
      <c r="I839" s="60" t="s">
        <v>82</v>
      </c>
      <c r="J839" s="55"/>
      <c r="K839" s="55"/>
      <c r="L839" s="42"/>
    </row>
    <row r="840" spans="2:12" s="31" customFormat="1" x14ac:dyDescent="0.35">
      <c r="B840" s="150"/>
      <c r="C840" s="87"/>
      <c r="D840" s="88"/>
      <c r="E840" s="70"/>
      <c r="F840" s="71" t="s">
        <v>90</v>
      </c>
      <c r="G840" s="27" t="s">
        <v>779</v>
      </c>
      <c r="H840" s="80">
        <f>0.3*12*7.85*4.46*1.2*3*3</f>
        <v>1361.2276799999997</v>
      </c>
      <c r="I840" s="60" t="s">
        <v>91</v>
      </c>
      <c r="J840" s="73">
        <v>28500</v>
      </c>
      <c r="K840" s="73"/>
      <c r="L840" s="42">
        <f t="shared" ref="L840:L874" si="20">J840*H840</f>
        <v>38794988.879999995</v>
      </c>
    </row>
    <row r="841" spans="2:12" s="31" customFormat="1" x14ac:dyDescent="0.35">
      <c r="B841" s="150"/>
      <c r="C841" s="87"/>
      <c r="D841" s="69"/>
      <c r="E841" s="70"/>
      <c r="F841" s="71" t="s">
        <v>90</v>
      </c>
      <c r="G841" s="27" t="s">
        <v>780</v>
      </c>
      <c r="H841" s="80">
        <f>0.3*12*1.18*7.85*1.2*6*3</f>
        <v>720.2908799999999</v>
      </c>
      <c r="I841" s="60" t="s">
        <v>91</v>
      </c>
      <c r="J841" s="73">
        <v>28500</v>
      </c>
      <c r="K841" s="73"/>
      <c r="L841" s="42">
        <f t="shared" si="20"/>
        <v>20528290.079999998</v>
      </c>
    </row>
    <row r="842" spans="2:12" s="31" customFormat="1" x14ac:dyDescent="0.35">
      <c r="B842" s="181"/>
      <c r="C842" s="87"/>
      <c r="D842" s="88"/>
      <c r="E842" s="70"/>
      <c r="F842" s="71" t="s">
        <v>90</v>
      </c>
      <c r="G842" s="27" t="s">
        <v>781</v>
      </c>
      <c r="H842" s="80">
        <f>4.78*1.2*8*7.85*1*3</f>
        <v>1080.6623999999999</v>
      </c>
      <c r="I842" s="60" t="s">
        <v>91</v>
      </c>
      <c r="J842" s="73">
        <v>28500</v>
      </c>
      <c r="K842" s="55"/>
      <c r="L842" s="42">
        <f t="shared" si="20"/>
        <v>30798878.399999999</v>
      </c>
    </row>
    <row r="843" spans="2:12" s="31" customFormat="1" x14ac:dyDescent="0.35">
      <c r="B843" s="150"/>
      <c r="C843" s="87"/>
      <c r="D843" s="88"/>
      <c r="E843" s="70"/>
      <c r="F843" s="71" t="s">
        <v>90</v>
      </c>
      <c r="G843" s="27" t="s">
        <v>782</v>
      </c>
      <c r="H843" s="80">
        <f>0.3*0.3*10*7.85*1.2*4*3</f>
        <v>101.73599999999998</v>
      </c>
      <c r="I843" s="60" t="s">
        <v>91</v>
      </c>
      <c r="J843" s="73">
        <v>28500</v>
      </c>
      <c r="K843" s="73"/>
      <c r="L843" s="42">
        <f t="shared" si="20"/>
        <v>2899475.9999999995</v>
      </c>
    </row>
    <row r="844" spans="2:12" s="31" customFormat="1" x14ac:dyDescent="0.35">
      <c r="B844" s="150"/>
      <c r="C844" s="87"/>
      <c r="D844" s="88"/>
      <c r="E844" s="70"/>
      <c r="F844" s="71" t="s">
        <v>90</v>
      </c>
      <c r="G844" s="27" t="s">
        <v>783</v>
      </c>
      <c r="H844" s="80">
        <f>0.3*0.15*10*7.85*1.2*10*3</f>
        <v>127.16999999999996</v>
      </c>
      <c r="I844" s="60" t="s">
        <v>91</v>
      </c>
      <c r="J844" s="73">
        <v>28500</v>
      </c>
      <c r="K844" s="73"/>
      <c r="L844" s="42">
        <f t="shared" si="20"/>
        <v>3624344.9999999986</v>
      </c>
    </row>
    <row r="845" spans="2:12" s="31" customFormat="1" x14ac:dyDescent="0.35">
      <c r="B845" s="150"/>
      <c r="C845" s="87"/>
      <c r="D845" s="88"/>
      <c r="E845" s="70"/>
      <c r="F845" s="71" t="s">
        <v>90</v>
      </c>
      <c r="G845" s="27" t="s">
        <v>784</v>
      </c>
      <c r="H845" s="80">
        <f>0.2*0.1*10*7.85*1.2*2*3</f>
        <v>11.304000000000002</v>
      </c>
      <c r="I845" s="60" t="s">
        <v>91</v>
      </c>
      <c r="J845" s="73">
        <v>28500</v>
      </c>
      <c r="K845" s="47"/>
      <c r="L845" s="42">
        <f t="shared" si="20"/>
        <v>322164.00000000006</v>
      </c>
    </row>
    <row r="846" spans="2:12" s="31" customFormat="1" x14ac:dyDescent="0.35">
      <c r="B846" s="150"/>
      <c r="C846" s="87"/>
      <c r="D846" s="88"/>
      <c r="E846" s="70"/>
      <c r="F846" s="71" t="s">
        <v>90</v>
      </c>
      <c r="G846" s="27" t="s">
        <v>785</v>
      </c>
      <c r="H846" s="80">
        <f>0.15*0.15*10*7.85*1.2*4*3</f>
        <v>25.433999999999994</v>
      </c>
      <c r="I846" s="60" t="s">
        <v>91</v>
      </c>
      <c r="J846" s="73">
        <v>28500</v>
      </c>
      <c r="K846" s="73"/>
      <c r="L846" s="42">
        <f t="shared" si="20"/>
        <v>724868.99999999988</v>
      </c>
    </row>
    <row r="847" spans="2:12" s="31" customFormat="1" x14ac:dyDescent="0.35">
      <c r="B847" s="70"/>
      <c r="C847" s="84"/>
      <c r="D847" s="69"/>
      <c r="E847" s="70"/>
      <c r="F847" s="71" t="s">
        <v>90</v>
      </c>
      <c r="G847" s="27" t="s">
        <v>786</v>
      </c>
      <c r="H847" s="80">
        <f>49.9*3.6*1.2</f>
        <v>215.56799999999998</v>
      </c>
      <c r="I847" s="60" t="s">
        <v>91</v>
      </c>
      <c r="J847" s="73">
        <v>28500</v>
      </c>
      <c r="K847" s="73"/>
      <c r="L847" s="42">
        <f t="shared" si="20"/>
        <v>6143687.9999999991</v>
      </c>
    </row>
    <row r="848" spans="2:12" s="31" customFormat="1" x14ac:dyDescent="0.35">
      <c r="B848" s="70"/>
      <c r="C848" s="87"/>
      <c r="D848" s="62"/>
      <c r="E848" s="70"/>
      <c r="F848" s="71" t="s">
        <v>90</v>
      </c>
      <c r="G848" s="27" t="s">
        <v>787</v>
      </c>
      <c r="H848" s="80">
        <f>0.25*0.25*12*7.85*1.2</f>
        <v>7.0649999999999986</v>
      </c>
      <c r="I848" s="60" t="s">
        <v>91</v>
      </c>
      <c r="J848" s="73">
        <v>28500</v>
      </c>
      <c r="K848" s="73"/>
      <c r="L848" s="42">
        <f t="shared" si="20"/>
        <v>201352.49999999997</v>
      </c>
    </row>
    <row r="849" spans="2:12" x14ac:dyDescent="0.35">
      <c r="B849" s="70"/>
      <c r="C849" s="87"/>
      <c r="D849" s="62"/>
      <c r="E849" s="70"/>
      <c r="F849" s="71" t="s">
        <v>90</v>
      </c>
      <c r="G849" s="27" t="s">
        <v>788</v>
      </c>
      <c r="H849" s="80">
        <f>49.9*2.37*1.2</f>
        <v>141.91560000000001</v>
      </c>
      <c r="I849" s="60" t="s">
        <v>91</v>
      </c>
      <c r="J849" s="73">
        <v>28500</v>
      </c>
      <c r="K849" s="73"/>
      <c r="L849" s="42">
        <f t="shared" si="20"/>
        <v>4044594.6000000006</v>
      </c>
    </row>
    <row r="850" spans="2:12" x14ac:dyDescent="0.35">
      <c r="B850" s="70"/>
      <c r="C850" s="87"/>
      <c r="D850" s="62"/>
      <c r="E850" s="70"/>
      <c r="F850" s="71" t="s">
        <v>90</v>
      </c>
      <c r="G850" s="27" t="s">
        <v>789</v>
      </c>
      <c r="H850" s="80">
        <f>0.25*0.25*12*7.85*1.2</f>
        <v>7.0649999999999986</v>
      </c>
      <c r="I850" s="60" t="s">
        <v>91</v>
      </c>
      <c r="J850" s="73">
        <v>28500</v>
      </c>
      <c r="K850" s="73"/>
      <c r="L850" s="42">
        <f t="shared" si="20"/>
        <v>201352.49999999997</v>
      </c>
    </row>
    <row r="851" spans="2:12" x14ac:dyDescent="0.35">
      <c r="B851" s="150"/>
      <c r="C851" s="87"/>
      <c r="D851" s="69" t="s">
        <v>32</v>
      </c>
      <c r="E851" s="71"/>
      <c r="F851" s="71" t="s">
        <v>118</v>
      </c>
      <c r="G851" s="27"/>
      <c r="H851" s="125">
        <v>3</v>
      </c>
      <c r="I851" s="60" t="s">
        <v>82</v>
      </c>
      <c r="J851" s="73"/>
      <c r="K851" s="73"/>
      <c r="L851" s="42"/>
    </row>
    <row r="852" spans="2:12" x14ac:dyDescent="0.35">
      <c r="B852" s="150"/>
      <c r="C852" s="87"/>
      <c r="D852" s="88"/>
      <c r="E852" s="70"/>
      <c r="F852" s="71" t="s">
        <v>90</v>
      </c>
      <c r="G852" s="27" t="s">
        <v>779</v>
      </c>
      <c r="H852" s="80">
        <f>0.3*12*7.85*4.46*1.2*3*3</f>
        <v>1361.2276799999997</v>
      </c>
      <c r="I852" s="60" t="s">
        <v>91</v>
      </c>
      <c r="J852" s="73">
        <v>28500</v>
      </c>
      <c r="K852" s="73"/>
      <c r="L852" s="42">
        <f t="shared" si="20"/>
        <v>38794988.879999995</v>
      </c>
    </row>
    <row r="853" spans="2:12" x14ac:dyDescent="0.35">
      <c r="B853" s="150"/>
      <c r="C853" s="87"/>
      <c r="D853" s="69"/>
      <c r="E853" s="70"/>
      <c r="F853" s="71" t="s">
        <v>90</v>
      </c>
      <c r="G853" s="27" t="s">
        <v>780</v>
      </c>
      <c r="H853" s="80">
        <f>0.3*12*1.18*7.85*1.2*6*3</f>
        <v>720.2908799999999</v>
      </c>
      <c r="I853" s="60" t="s">
        <v>91</v>
      </c>
      <c r="J853" s="73">
        <v>28500</v>
      </c>
      <c r="K853" s="73"/>
      <c r="L853" s="42">
        <f t="shared" si="20"/>
        <v>20528290.079999998</v>
      </c>
    </row>
    <row r="854" spans="2:12" x14ac:dyDescent="0.35">
      <c r="B854" s="181"/>
      <c r="C854" s="87"/>
      <c r="D854" s="88"/>
      <c r="E854" s="70"/>
      <c r="F854" s="71" t="s">
        <v>90</v>
      </c>
      <c r="G854" s="27" t="s">
        <v>781</v>
      </c>
      <c r="H854" s="80">
        <f>4.78*1.2*8*7.85*1*3</f>
        <v>1080.6623999999999</v>
      </c>
      <c r="I854" s="60" t="s">
        <v>91</v>
      </c>
      <c r="J854" s="73">
        <v>28500</v>
      </c>
      <c r="K854" s="73"/>
      <c r="L854" s="42">
        <f t="shared" si="20"/>
        <v>30798878.399999999</v>
      </c>
    </row>
    <row r="855" spans="2:12" x14ac:dyDescent="0.35">
      <c r="B855" s="150"/>
      <c r="C855" s="87"/>
      <c r="D855" s="88"/>
      <c r="E855" s="70"/>
      <c r="F855" s="71" t="s">
        <v>90</v>
      </c>
      <c r="G855" s="27" t="s">
        <v>782</v>
      </c>
      <c r="H855" s="80">
        <f>0.3*0.3*10*7.85*1.2*4*3</f>
        <v>101.73599999999998</v>
      </c>
      <c r="I855" s="60" t="s">
        <v>91</v>
      </c>
      <c r="J855" s="73">
        <v>28500</v>
      </c>
      <c r="K855" s="73"/>
      <c r="L855" s="42">
        <f t="shared" si="20"/>
        <v>2899475.9999999995</v>
      </c>
    </row>
    <row r="856" spans="2:12" x14ac:dyDescent="0.35">
      <c r="B856" s="150"/>
      <c r="C856" s="87"/>
      <c r="D856" s="88"/>
      <c r="E856" s="70"/>
      <c r="F856" s="71" t="s">
        <v>90</v>
      </c>
      <c r="G856" s="27" t="s">
        <v>783</v>
      </c>
      <c r="H856" s="80">
        <f>0.3*0.15*10*7.85*1.2*10*3</f>
        <v>127.16999999999996</v>
      </c>
      <c r="I856" s="60" t="s">
        <v>91</v>
      </c>
      <c r="J856" s="73">
        <v>28500</v>
      </c>
      <c r="K856" s="73"/>
      <c r="L856" s="42">
        <f t="shared" si="20"/>
        <v>3624344.9999999986</v>
      </c>
    </row>
    <row r="857" spans="2:12" x14ac:dyDescent="0.35">
      <c r="B857" s="150"/>
      <c r="C857" s="87"/>
      <c r="D857" s="88"/>
      <c r="E857" s="70"/>
      <c r="F857" s="71" t="s">
        <v>90</v>
      </c>
      <c r="G857" s="27" t="s">
        <v>784</v>
      </c>
      <c r="H857" s="80">
        <f>0.2*0.1*10*7.85*1.2*2*3</f>
        <v>11.304000000000002</v>
      </c>
      <c r="I857" s="60" t="s">
        <v>91</v>
      </c>
      <c r="J857" s="73">
        <v>28500</v>
      </c>
      <c r="K857" s="73"/>
      <c r="L857" s="42">
        <f t="shared" si="20"/>
        <v>322164.00000000006</v>
      </c>
    </row>
    <row r="858" spans="2:12" x14ac:dyDescent="0.35">
      <c r="B858" s="150"/>
      <c r="C858" s="87"/>
      <c r="D858" s="88"/>
      <c r="E858" s="70"/>
      <c r="F858" s="71" t="s">
        <v>90</v>
      </c>
      <c r="G858" s="27" t="s">
        <v>785</v>
      </c>
      <c r="H858" s="80">
        <f>0.15*0.15*10*7.85*1.2*4*3</f>
        <v>25.433999999999994</v>
      </c>
      <c r="I858" s="60" t="s">
        <v>91</v>
      </c>
      <c r="J858" s="73">
        <v>28500</v>
      </c>
      <c r="K858" s="73"/>
      <c r="L858" s="42">
        <f t="shared" si="20"/>
        <v>724868.99999999988</v>
      </c>
    </row>
    <row r="859" spans="2:12" x14ac:dyDescent="0.35">
      <c r="B859" s="70"/>
      <c r="C859" s="84"/>
      <c r="D859" s="69"/>
      <c r="E859" s="70"/>
      <c r="F859" s="71" t="s">
        <v>90</v>
      </c>
      <c r="G859" s="27" t="s">
        <v>786</v>
      </c>
      <c r="H859" s="80">
        <f>49.9*3.6*1.2</f>
        <v>215.56799999999998</v>
      </c>
      <c r="I859" s="60" t="s">
        <v>91</v>
      </c>
      <c r="J859" s="73">
        <v>28500</v>
      </c>
      <c r="K859" s="73"/>
      <c r="L859" s="42">
        <f t="shared" si="20"/>
        <v>6143687.9999999991</v>
      </c>
    </row>
    <row r="860" spans="2:12" x14ac:dyDescent="0.35">
      <c r="B860" s="70"/>
      <c r="C860" s="87"/>
      <c r="D860" s="62"/>
      <c r="E860" s="70"/>
      <c r="F860" s="71" t="s">
        <v>90</v>
      </c>
      <c r="G860" s="27" t="s">
        <v>787</v>
      </c>
      <c r="H860" s="80">
        <f>0.25*0.25*12*7.85*1.2</f>
        <v>7.0649999999999986</v>
      </c>
      <c r="I860" s="60" t="s">
        <v>91</v>
      </c>
      <c r="J860" s="73">
        <v>28500</v>
      </c>
      <c r="K860" s="73"/>
      <c r="L860" s="42">
        <f t="shared" si="20"/>
        <v>201352.49999999997</v>
      </c>
    </row>
    <row r="861" spans="2:12" x14ac:dyDescent="0.35">
      <c r="B861" s="70"/>
      <c r="C861" s="87"/>
      <c r="D861" s="62"/>
      <c r="E861" s="70"/>
      <c r="F861" s="71" t="s">
        <v>90</v>
      </c>
      <c r="G861" s="27" t="s">
        <v>788</v>
      </c>
      <c r="H861" s="80">
        <f>49.9*2.37*1.2</f>
        <v>141.91560000000001</v>
      </c>
      <c r="I861" s="60" t="s">
        <v>91</v>
      </c>
      <c r="J861" s="73">
        <v>28500</v>
      </c>
      <c r="K861" s="73"/>
      <c r="L861" s="42">
        <f t="shared" si="20"/>
        <v>4044594.6000000006</v>
      </c>
    </row>
    <row r="862" spans="2:12" x14ac:dyDescent="0.35">
      <c r="B862" s="70"/>
      <c r="C862" s="87"/>
      <c r="D862" s="62"/>
      <c r="E862" s="70"/>
      <c r="F862" s="71" t="s">
        <v>90</v>
      </c>
      <c r="G862" s="27" t="s">
        <v>789</v>
      </c>
      <c r="H862" s="80">
        <f>0.25*0.25*12*7.85*1.2</f>
        <v>7.0649999999999986</v>
      </c>
      <c r="I862" s="60" t="s">
        <v>91</v>
      </c>
      <c r="J862" s="73">
        <v>28500</v>
      </c>
      <c r="K862" s="73"/>
      <c r="L862" s="42">
        <f t="shared" si="20"/>
        <v>201352.49999999997</v>
      </c>
    </row>
    <row r="863" spans="2:12" x14ac:dyDescent="0.35">
      <c r="B863" s="150"/>
      <c r="C863" s="87"/>
      <c r="D863" s="69" t="s">
        <v>34</v>
      </c>
      <c r="E863" s="71"/>
      <c r="F863" s="71" t="s">
        <v>119</v>
      </c>
      <c r="G863" s="27"/>
      <c r="H863" s="125">
        <v>3</v>
      </c>
      <c r="I863" s="60" t="s">
        <v>82</v>
      </c>
      <c r="J863" s="73"/>
      <c r="K863" s="73"/>
      <c r="L863" s="42"/>
    </row>
    <row r="864" spans="2:12" x14ac:dyDescent="0.35">
      <c r="B864" s="150"/>
      <c r="C864" s="87"/>
      <c r="D864" s="88"/>
      <c r="E864" s="70"/>
      <c r="F864" s="71" t="s">
        <v>90</v>
      </c>
      <c r="G864" s="27" t="s">
        <v>790</v>
      </c>
      <c r="H864" s="80">
        <f>0.3*12*7.85*4.69*1.2*3*3</f>
        <v>1431.4255199999998</v>
      </c>
      <c r="I864" s="60" t="s">
        <v>91</v>
      </c>
      <c r="J864" s="73">
        <v>28500</v>
      </c>
      <c r="K864" s="73"/>
      <c r="L864" s="42">
        <f t="shared" si="20"/>
        <v>40795627.319999993</v>
      </c>
    </row>
    <row r="865" spans="2:12" x14ac:dyDescent="0.35">
      <c r="B865" s="150"/>
      <c r="C865" s="87"/>
      <c r="D865" s="69"/>
      <c r="E865" s="70"/>
      <c r="F865" s="71" t="s">
        <v>90</v>
      </c>
      <c r="G865" s="27" t="s">
        <v>780</v>
      </c>
      <c r="H865" s="80">
        <f>0.3*12*1.2*7.85*1.18*6*2</f>
        <v>480.19391999999982</v>
      </c>
      <c r="I865" s="60" t="s">
        <v>91</v>
      </c>
      <c r="J865" s="73">
        <v>28500</v>
      </c>
      <c r="K865" s="73"/>
      <c r="L865" s="42">
        <f t="shared" si="20"/>
        <v>13685526.719999995</v>
      </c>
    </row>
    <row r="866" spans="2:12" x14ac:dyDescent="0.35">
      <c r="B866" s="181"/>
      <c r="C866" s="87"/>
      <c r="D866" s="88"/>
      <c r="E866" s="70"/>
      <c r="F866" s="71" t="s">
        <v>90</v>
      </c>
      <c r="G866" s="27" t="s">
        <v>791</v>
      </c>
      <c r="H866" s="80">
        <f>4.7*1.21*8*7.85*1*3</f>
        <v>1071.4308000000001</v>
      </c>
      <c r="I866" s="60" t="s">
        <v>91</v>
      </c>
      <c r="J866" s="73">
        <v>28500</v>
      </c>
      <c r="K866" s="73"/>
      <c r="L866" s="42">
        <f t="shared" si="20"/>
        <v>30535777.800000001</v>
      </c>
    </row>
    <row r="867" spans="2:12" x14ac:dyDescent="0.35">
      <c r="B867" s="150"/>
      <c r="C867" s="87"/>
      <c r="D867" s="88"/>
      <c r="E867" s="70"/>
      <c r="F867" s="71" t="s">
        <v>90</v>
      </c>
      <c r="G867" s="27" t="s">
        <v>782</v>
      </c>
      <c r="H867" s="80">
        <f>0.3*0.3*10*7.85*1.2*4*3</f>
        <v>101.73599999999998</v>
      </c>
      <c r="I867" s="60" t="s">
        <v>91</v>
      </c>
      <c r="J867" s="73">
        <v>28500</v>
      </c>
      <c r="K867" s="73"/>
      <c r="L867" s="42">
        <f t="shared" si="20"/>
        <v>2899475.9999999995</v>
      </c>
    </row>
    <row r="868" spans="2:12" s="31" customFormat="1" x14ac:dyDescent="0.35">
      <c r="B868" s="150"/>
      <c r="C868" s="87"/>
      <c r="D868" s="88"/>
      <c r="E868" s="70"/>
      <c r="F868" s="71" t="s">
        <v>90</v>
      </c>
      <c r="G868" s="27" t="s">
        <v>783</v>
      </c>
      <c r="H868" s="80">
        <f>0.3*0.15*10*7.85*1.2*10*3</f>
        <v>127.16999999999996</v>
      </c>
      <c r="I868" s="60" t="s">
        <v>91</v>
      </c>
      <c r="J868" s="73">
        <v>28500</v>
      </c>
      <c r="K868" s="73"/>
      <c r="L868" s="42">
        <f t="shared" si="20"/>
        <v>3624344.9999999986</v>
      </c>
    </row>
    <row r="869" spans="2:12" s="31" customFormat="1" x14ac:dyDescent="0.35">
      <c r="B869" s="150"/>
      <c r="C869" s="87"/>
      <c r="D869" s="88"/>
      <c r="E869" s="70"/>
      <c r="F869" s="71" t="s">
        <v>90</v>
      </c>
      <c r="G869" s="27" t="s">
        <v>784</v>
      </c>
      <c r="H869" s="80">
        <f>0.2*0.1*10*7.85*1.2*2*3</f>
        <v>11.304000000000002</v>
      </c>
      <c r="I869" s="60" t="s">
        <v>91</v>
      </c>
      <c r="J869" s="73">
        <v>28500</v>
      </c>
      <c r="K869" s="73"/>
      <c r="L869" s="42">
        <f t="shared" si="20"/>
        <v>322164.00000000006</v>
      </c>
    </row>
    <row r="870" spans="2:12" s="31" customFormat="1" x14ac:dyDescent="0.35">
      <c r="B870" s="150"/>
      <c r="C870" s="87"/>
      <c r="D870" s="88"/>
      <c r="E870" s="70"/>
      <c r="F870" s="71" t="s">
        <v>90</v>
      </c>
      <c r="G870" s="27" t="s">
        <v>785</v>
      </c>
      <c r="H870" s="80">
        <f>0.15*0.15*10*7.85*1.2*4*3</f>
        <v>25.433999999999994</v>
      </c>
      <c r="I870" s="60" t="s">
        <v>91</v>
      </c>
      <c r="J870" s="73">
        <v>28500</v>
      </c>
      <c r="K870" s="73"/>
      <c r="L870" s="42">
        <f t="shared" si="20"/>
        <v>724868.99999999988</v>
      </c>
    </row>
    <row r="871" spans="2:12" s="31" customFormat="1" x14ac:dyDescent="0.35">
      <c r="B871" s="150"/>
      <c r="C871" s="87"/>
      <c r="D871" s="69" t="s">
        <v>36</v>
      </c>
      <c r="E871" s="71"/>
      <c r="F871" s="71" t="s">
        <v>792</v>
      </c>
      <c r="G871" s="27"/>
      <c r="H871" s="125"/>
      <c r="I871" s="60"/>
      <c r="J871" s="73"/>
      <c r="K871" s="47"/>
      <c r="L871" s="42"/>
    </row>
    <row r="872" spans="2:12" s="31" customFormat="1" x14ac:dyDescent="0.35">
      <c r="B872" s="150"/>
      <c r="C872" s="87"/>
      <c r="D872" s="88"/>
      <c r="E872" s="70"/>
      <c r="F872" s="71" t="s">
        <v>90</v>
      </c>
      <c r="G872" s="27" t="s">
        <v>793</v>
      </c>
      <c r="H872" s="80">
        <f>0.95*0.55*8*7.85*1.2</f>
        <v>39.375599999999991</v>
      </c>
      <c r="I872" s="60" t="s">
        <v>91</v>
      </c>
      <c r="J872" s="73">
        <v>28500</v>
      </c>
      <c r="K872" s="73"/>
      <c r="L872" s="42">
        <f t="shared" si="20"/>
        <v>1122204.5999999999</v>
      </c>
    </row>
    <row r="873" spans="2:12" s="31" customFormat="1" x14ac:dyDescent="0.35">
      <c r="B873" s="150"/>
      <c r="C873" s="87"/>
      <c r="D873" s="69"/>
      <c r="E873" s="70"/>
      <c r="F873" s="71" t="s">
        <v>90</v>
      </c>
      <c r="G873" s="27" t="s">
        <v>794</v>
      </c>
      <c r="H873" s="80">
        <f>0.0381*8*3.06*7.85*1.2</f>
        <v>8.7859209600000003</v>
      </c>
      <c r="I873" s="60" t="s">
        <v>91</v>
      </c>
      <c r="J873" s="73">
        <v>28500</v>
      </c>
      <c r="K873" s="73"/>
      <c r="L873" s="42">
        <f t="shared" si="20"/>
        <v>250398.74736000001</v>
      </c>
    </row>
    <row r="874" spans="2:12" s="31" customFormat="1" x14ac:dyDescent="0.35">
      <c r="B874" s="150"/>
      <c r="C874" s="87"/>
      <c r="D874" s="69"/>
      <c r="E874" s="70"/>
      <c r="F874" s="71" t="s">
        <v>90</v>
      </c>
      <c r="G874" s="27" t="s">
        <v>795</v>
      </c>
      <c r="H874" s="80">
        <f>0.0381*8*0.81*7.85*1.2*2</f>
        <v>4.6513699200000005</v>
      </c>
      <c r="I874" s="60" t="s">
        <v>91</v>
      </c>
      <c r="J874" s="73">
        <v>28500</v>
      </c>
      <c r="K874" s="73"/>
      <c r="L874" s="42">
        <f t="shared" si="20"/>
        <v>132564.04272000003</v>
      </c>
    </row>
    <row r="875" spans="2:12" x14ac:dyDescent="0.35">
      <c r="B875" s="43"/>
      <c r="C875" s="44"/>
      <c r="D875" s="21"/>
      <c r="G875" s="20"/>
      <c r="I875" s="20"/>
      <c r="J875" s="46"/>
      <c r="K875" s="26"/>
      <c r="L875" s="48"/>
    </row>
    <row r="876" spans="2:12" x14ac:dyDescent="0.35">
      <c r="B876" s="43"/>
      <c r="C876" s="44"/>
      <c r="D876" s="21"/>
      <c r="G876" s="20"/>
      <c r="I876" s="20"/>
      <c r="J876" s="46"/>
      <c r="K876" s="26"/>
      <c r="L876" s="48"/>
    </row>
    <row r="877" spans="2:12" x14ac:dyDescent="0.35">
      <c r="B877" s="8"/>
      <c r="C877" s="9"/>
      <c r="D877" s="10"/>
      <c r="E877" s="4"/>
      <c r="F877" s="4"/>
      <c r="G877" s="4"/>
      <c r="H877" s="1"/>
      <c r="I877" s="1"/>
      <c r="J877" s="11" t="s">
        <v>8</v>
      </c>
      <c r="K877" s="7">
        <f>SUM(K824:K876)</f>
        <v>42097980</v>
      </c>
      <c r="L877" s="7">
        <f>SUM(L824:L876)</f>
        <v>310660951.15007997</v>
      </c>
    </row>
    <row r="878" spans="2:12" x14ac:dyDescent="0.35">
      <c r="B878" s="8"/>
      <c r="C878" s="9"/>
      <c r="D878" s="9"/>
      <c r="E878" s="4"/>
      <c r="F878" s="4"/>
      <c r="G878" s="4"/>
      <c r="H878" s="1"/>
      <c r="I878" s="1"/>
      <c r="J878" s="11"/>
      <c r="K878" s="32" t="s">
        <v>13</v>
      </c>
      <c r="L878" s="33" t="s">
        <v>14</v>
      </c>
    </row>
    <row r="879" spans="2:12" x14ac:dyDescent="0.35">
      <c r="B879" s="3" t="s">
        <v>9</v>
      </c>
      <c r="C879" s="4"/>
      <c r="D879" s="4"/>
      <c r="E879" s="4"/>
      <c r="F879" s="4"/>
      <c r="G879" s="4"/>
      <c r="H879" s="1"/>
      <c r="I879" s="1"/>
      <c r="J879" s="12"/>
      <c r="K879" s="12"/>
      <c r="L879" s="13"/>
    </row>
    <row r="880" spans="2:12" x14ac:dyDescent="0.35">
      <c r="B880" s="34"/>
      <c r="C880" s="1"/>
      <c r="D880" s="1"/>
      <c r="E880" s="35"/>
      <c r="F880" s="35"/>
      <c r="G880" s="35"/>
      <c r="H880" s="1"/>
      <c r="I880" s="1"/>
      <c r="J880" s="1"/>
      <c r="K880" s="1"/>
      <c r="L880" s="17"/>
    </row>
    <row r="881" spans="2:12" x14ac:dyDescent="0.35">
      <c r="B881" s="25" t="s">
        <v>6</v>
      </c>
      <c r="C881" s="24"/>
      <c r="D881" s="24"/>
      <c r="E881" s="23"/>
      <c r="F881" s="23"/>
      <c r="G881" s="5"/>
      <c r="K881" s="227" t="s">
        <v>1292</v>
      </c>
      <c r="L881" s="228"/>
    </row>
    <row r="882" spans="2:12" x14ac:dyDescent="0.35">
      <c r="B882" s="25">
        <v>1</v>
      </c>
      <c r="C882" s="24"/>
      <c r="D882" s="24"/>
      <c r="E882" s="23" t="s">
        <v>7</v>
      </c>
      <c r="F882" s="23"/>
      <c r="G882" s="5"/>
      <c r="K882" s="227" t="s">
        <v>18</v>
      </c>
      <c r="L882" s="228"/>
    </row>
    <row r="883" spans="2:12" x14ac:dyDescent="0.35">
      <c r="B883" s="36"/>
      <c r="C883" s="24"/>
      <c r="D883" s="24"/>
      <c r="E883" s="23"/>
      <c r="F883" s="23"/>
      <c r="G883" s="5"/>
      <c r="J883" s="22"/>
      <c r="K883" s="22"/>
      <c r="L883" s="21"/>
    </row>
    <row r="884" spans="2:12" x14ac:dyDescent="0.35">
      <c r="B884" s="25"/>
      <c r="C884" s="24"/>
      <c r="D884" s="24"/>
      <c r="E884" s="23"/>
      <c r="F884" s="23"/>
      <c r="G884" s="5"/>
      <c r="L884" s="20"/>
    </row>
    <row r="885" spans="2:12" x14ac:dyDescent="0.35">
      <c r="B885" s="41"/>
      <c r="E885" s="5"/>
      <c r="F885" s="5"/>
      <c r="G885" s="5"/>
      <c r="L885" s="20"/>
    </row>
    <row r="886" spans="2:12" x14ac:dyDescent="0.35">
      <c r="B886" s="41"/>
      <c r="E886" s="5"/>
      <c r="F886" s="5"/>
      <c r="G886" s="5"/>
      <c r="L886" s="20"/>
    </row>
    <row r="887" spans="2:12" x14ac:dyDescent="0.35">
      <c r="B887" s="41"/>
      <c r="E887" s="5"/>
      <c r="F887" s="5"/>
      <c r="G887" s="5"/>
      <c r="L887" s="20"/>
    </row>
    <row r="888" spans="2:12" x14ac:dyDescent="0.35">
      <c r="B888" s="41"/>
      <c r="E888" s="5"/>
      <c r="F888" s="5"/>
      <c r="G888" s="5"/>
      <c r="J888" s="37"/>
      <c r="K888" s="229" t="s">
        <v>26</v>
      </c>
      <c r="L888" s="230"/>
    </row>
    <row r="889" spans="2:12" x14ac:dyDescent="0.35">
      <c r="B889" s="41"/>
      <c r="K889" s="231" t="s">
        <v>27</v>
      </c>
      <c r="L889" s="232"/>
    </row>
    <row r="890" spans="2:12" x14ac:dyDescent="0.35">
      <c r="B890" s="233"/>
      <c r="C890" s="234"/>
      <c r="D890" s="234"/>
      <c r="E890" s="38"/>
      <c r="F890" s="38"/>
      <c r="G890" s="38"/>
      <c r="H890" s="2"/>
      <c r="I890" s="2"/>
      <c r="J890" s="2"/>
      <c r="K890" s="2"/>
      <c r="L890" s="19"/>
    </row>
    <row r="891" spans="2:12" x14ac:dyDescent="0.35">
      <c r="B891" s="43"/>
      <c r="C891" s="44"/>
      <c r="D891" s="45"/>
      <c r="G891" s="20"/>
      <c r="H891" s="1"/>
      <c r="I891" s="1"/>
      <c r="J891" s="39"/>
      <c r="K891" s="27"/>
      <c r="L891" s="40"/>
    </row>
    <row r="892" spans="2:12" s="31" customFormat="1" x14ac:dyDescent="0.35">
      <c r="B892" s="150"/>
      <c r="C892" s="87"/>
      <c r="D892" s="69"/>
      <c r="E892" s="70"/>
      <c r="F892" s="71" t="s">
        <v>90</v>
      </c>
      <c r="G892" s="27" t="s">
        <v>796</v>
      </c>
      <c r="H892" s="80">
        <f>0.0508*8*2.8*7.85*1.2</f>
        <v>10.719206399999997</v>
      </c>
      <c r="I892" s="60" t="s">
        <v>91</v>
      </c>
      <c r="J892" s="73">
        <v>28500</v>
      </c>
      <c r="K892" s="73"/>
      <c r="L892" s="42">
        <f t="shared" ref="L892:L898" si="21">J892*H892</f>
        <v>305497.38239999994</v>
      </c>
    </row>
    <row r="893" spans="2:12" s="31" customFormat="1" x14ac:dyDescent="0.35">
      <c r="B893" s="150"/>
      <c r="C893" s="87"/>
      <c r="D893" s="69"/>
      <c r="E893" s="70"/>
      <c r="F893" s="71" t="s">
        <v>90</v>
      </c>
      <c r="G893" s="27" t="s">
        <v>797</v>
      </c>
      <c r="H893" s="80">
        <f>0.23*0.06*10*7.85*1.2*2</f>
        <v>2.5999200000000005</v>
      </c>
      <c r="I893" s="60" t="s">
        <v>91</v>
      </c>
      <c r="J893" s="73">
        <v>28500</v>
      </c>
      <c r="K893" s="73"/>
      <c r="L893" s="42">
        <f t="shared" si="21"/>
        <v>74097.720000000016</v>
      </c>
    </row>
    <row r="894" spans="2:12" x14ac:dyDescent="0.35">
      <c r="B894" s="150"/>
      <c r="C894" s="87"/>
      <c r="D894" s="69"/>
      <c r="E894" s="70"/>
      <c r="F894" s="71" t="s">
        <v>90</v>
      </c>
      <c r="G894" s="27" t="s">
        <v>798</v>
      </c>
      <c r="H894" s="80">
        <f>0.16*0.06*10*7.85*1.2*4</f>
        <v>3.6172799999999992</v>
      </c>
      <c r="I894" s="60" t="s">
        <v>91</v>
      </c>
      <c r="J894" s="73">
        <v>28500</v>
      </c>
      <c r="K894" s="47"/>
      <c r="L894" s="42">
        <f t="shared" si="21"/>
        <v>103092.47999999998</v>
      </c>
    </row>
    <row r="895" spans="2:12" x14ac:dyDescent="0.35">
      <c r="B895" s="150"/>
      <c r="C895" s="87"/>
      <c r="D895" s="69"/>
      <c r="E895" s="70"/>
      <c r="F895" s="71" t="s">
        <v>90</v>
      </c>
      <c r="G895" s="27" t="s">
        <v>799</v>
      </c>
      <c r="H895" s="80">
        <f>0.33*0.05*10*7.85*1.2</f>
        <v>1.5543</v>
      </c>
      <c r="I895" s="60" t="s">
        <v>91</v>
      </c>
      <c r="J895" s="73">
        <v>28500</v>
      </c>
      <c r="K895" s="73"/>
      <c r="L895" s="42">
        <f t="shared" si="21"/>
        <v>44297.55</v>
      </c>
    </row>
    <row r="896" spans="2:12" x14ac:dyDescent="0.35">
      <c r="B896" s="150"/>
      <c r="C896" s="87"/>
      <c r="D896" s="69"/>
      <c r="E896" s="70"/>
      <c r="F896" s="71" t="s">
        <v>90</v>
      </c>
      <c r="G896" s="27" t="s">
        <v>800</v>
      </c>
      <c r="H896" s="80">
        <f>0.006165*19.05*19.05*0.3*1.2</f>
        <v>0.80542580850000001</v>
      </c>
      <c r="I896" s="60" t="s">
        <v>91</v>
      </c>
      <c r="J896" s="73">
        <v>28500</v>
      </c>
      <c r="K896" s="47"/>
      <c r="L896" s="42">
        <f t="shared" si="21"/>
        <v>22954.635542250002</v>
      </c>
    </row>
    <row r="897" spans="2:12" x14ac:dyDescent="0.35">
      <c r="B897" s="150"/>
      <c r="C897" s="87"/>
      <c r="D897" s="69"/>
      <c r="E897" s="70"/>
      <c r="F897" s="71" t="s">
        <v>90</v>
      </c>
      <c r="G897" s="27" t="s">
        <v>801</v>
      </c>
      <c r="H897" s="80">
        <f>0.006165*19.05*19.05*0.3*1.2</f>
        <v>0.80542580850000001</v>
      </c>
      <c r="I897" s="60" t="s">
        <v>91</v>
      </c>
      <c r="J897" s="73">
        <v>28500</v>
      </c>
      <c r="K897" s="55"/>
      <c r="L897" s="42">
        <f t="shared" si="21"/>
        <v>22954.635542250002</v>
      </c>
    </row>
    <row r="898" spans="2:12" x14ac:dyDescent="0.35">
      <c r="B898" s="150"/>
      <c r="C898" s="87"/>
      <c r="D898" s="69"/>
      <c r="E898" s="70"/>
      <c r="F898" s="71" t="s">
        <v>90</v>
      </c>
      <c r="G898" s="27" t="s">
        <v>802</v>
      </c>
      <c r="H898" s="125">
        <v>2</v>
      </c>
      <c r="I898" s="60" t="s">
        <v>72</v>
      </c>
      <c r="J898" s="42">
        <v>125000</v>
      </c>
      <c r="K898" s="42"/>
      <c r="L898" s="42">
        <f t="shared" si="21"/>
        <v>250000</v>
      </c>
    </row>
    <row r="899" spans="2:12" x14ac:dyDescent="0.35">
      <c r="B899" s="162" t="s">
        <v>45</v>
      </c>
      <c r="C899" s="88"/>
      <c r="D899" s="69"/>
      <c r="E899" s="164" t="s">
        <v>12</v>
      </c>
      <c r="F899" s="71"/>
      <c r="G899" s="27"/>
      <c r="H899" s="125"/>
      <c r="I899" s="60"/>
      <c r="J899" s="55"/>
      <c r="K899" s="55"/>
      <c r="L899" s="42"/>
    </row>
    <row r="900" spans="2:12" x14ac:dyDescent="0.35">
      <c r="B900" s="162"/>
      <c r="C900" s="88" t="s">
        <v>162</v>
      </c>
      <c r="D900" s="69"/>
      <c r="E900" s="71"/>
      <c r="F900" s="71" t="s">
        <v>803</v>
      </c>
      <c r="G900" s="27"/>
      <c r="H900" s="71"/>
      <c r="I900" s="95"/>
      <c r="J900" s="26"/>
      <c r="K900" s="47"/>
      <c r="L900" s="42"/>
    </row>
    <row r="901" spans="2:12" x14ac:dyDescent="0.35">
      <c r="B901" s="115"/>
      <c r="C901" s="88"/>
      <c r="D901" s="69" t="s">
        <v>29</v>
      </c>
      <c r="E901" s="88"/>
      <c r="F901" s="71" t="s">
        <v>804</v>
      </c>
      <c r="G901" s="27"/>
      <c r="H901" s="125">
        <v>1</v>
      </c>
      <c r="I901" s="65" t="s">
        <v>84</v>
      </c>
      <c r="J901" s="42">
        <v>7500000</v>
      </c>
      <c r="K901" s="42"/>
      <c r="L901" s="42">
        <f t="shared" ref="L901" si="22">J901*H901</f>
        <v>7500000</v>
      </c>
    </row>
    <row r="902" spans="2:12" x14ac:dyDescent="0.35">
      <c r="B902" s="86"/>
      <c r="C902" s="89"/>
      <c r="D902" s="88"/>
      <c r="E902" s="70"/>
      <c r="F902" s="71" t="s">
        <v>90</v>
      </c>
      <c r="G902" s="27" t="s">
        <v>805</v>
      </c>
      <c r="H902" s="125"/>
      <c r="I902" s="65"/>
      <c r="J902" s="55"/>
      <c r="K902" s="55"/>
      <c r="L902" s="42"/>
    </row>
    <row r="903" spans="2:12" x14ac:dyDescent="0.35">
      <c r="B903" s="86"/>
      <c r="C903" s="89"/>
      <c r="D903" s="69"/>
      <c r="E903" s="182"/>
      <c r="F903" s="132" t="s">
        <v>90</v>
      </c>
      <c r="G903" s="183" t="s">
        <v>806</v>
      </c>
      <c r="H903" s="184"/>
      <c r="I903" s="185"/>
      <c r="J903" s="55"/>
      <c r="K903" s="55"/>
      <c r="L903" s="42"/>
    </row>
    <row r="904" spans="2:12" x14ac:dyDescent="0.35">
      <c r="B904" s="150"/>
      <c r="C904" s="87"/>
      <c r="D904" s="69"/>
      <c r="E904" s="70"/>
      <c r="F904" s="71" t="s">
        <v>90</v>
      </c>
      <c r="G904" s="27" t="s">
        <v>807</v>
      </c>
      <c r="H904" s="80"/>
      <c r="I904" s="65"/>
      <c r="J904" s="55"/>
      <c r="K904" s="55"/>
      <c r="L904" s="42"/>
    </row>
    <row r="905" spans="2:12" x14ac:dyDescent="0.35">
      <c r="B905" s="148"/>
      <c r="C905" s="154"/>
      <c r="D905" s="69"/>
      <c r="E905" s="132"/>
      <c r="F905" s="71" t="s">
        <v>90</v>
      </c>
      <c r="G905" s="27" t="s">
        <v>808</v>
      </c>
      <c r="H905" s="80"/>
      <c r="I905" s="65"/>
      <c r="J905" s="55"/>
      <c r="K905" s="55"/>
      <c r="L905" s="42"/>
    </row>
    <row r="906" spans="2:12" x14ac:dyDescent="0.35">
      <c r="B906" s="86"/>
      <c r="C906" s="89"/>
      <c r="D906" s="69"/>
      <c r="E906" s="164"/>
      <c r="F906" s="71" t="s">
        <v>90</v>
      </c>
      <c r="G906" s="27" t="s">
        <v>809</v>
      </c>
      <c r="H906" s="80"/>
      <c r="I906" s="65"/>
      <c r="J906" s="55"/>
      <c r="K906" s="55"/>
      <c r="L906" s="42"/>
    </row>
    <row r="907" spans="2:12" x14ac:dyDescent="0.35">
      <c r="B907" s="86"/>
      <c r="C907" s="89"/>
      <c r="D907" s="69"/>
      <c r="E907" s="186"/>
      <c r="F907" s="71" t="s">
        <v>90</v>
      </c>
      <c r="G907" s="27" t="s">
        <v>810</v>
      </c>
      <c r="H907" s="80"/>
      <c r="I907" s="65"/>
      <c r="J907" s="55"/>
      <c r="K907" s="55"/>
      <c r="L907" s="42"/>
    </row>
    <row r="908" spans="2:12" x14ac:dyDescent="0.35">
      <c r="B908" s="115"/>
      <c r="C908" s="88"/>
      <c r="D908" s="69" t="s">
        <v>32</v>
      </c>
      <c r="E908" s="88"/>
      <c r="F908" s="71" t="s">
        <v>811</v>
      </c>
      <c r="G908" s="27"/>
      <c r="H908" s="125">
        <v>1</v>
      </c>
      <c r="I908" s="65" t="s">
        <v>84</v>
      </c>
      <c r="J908" s="55">
        <v>7500000</v>
      </c>
      <c r="K908" s="55"/>
      <c r="L908" s="42">
        <f t="shared" ref="L908" si="23">J908*H908</f>
        <v>7500000</v>
      </c>
    </row>
    <row r="909" spans="2:12" x14ac:dyDescent="0.35">
      <c r="B909" s="86"/>
      <c r="C909" s="89"/>
      <c r="D909" s="88"/>
      <c r="E909" s="70"/>
      <c r="F909" s="71" t="s">
        <v>90</v>
      </c>
      <c r="G909" s="27" t="s">
        <v>805</v>
      </c>
      <c r="H909" s="125"/>
      <c r="I909" s="65"/>
      <c r="J909" s="26"/>
      <c r="K909" s="47"/>
      <c r="L909" s="42"/>
    </row>
    <row r="910" spans="2:12" x14ac:dyDescent="0.35">
      <c r="B910" s="150"/>
      <c r="C910" s="87"/>
      <c r="D910" s="69"/>
      <c r="E910" s="70"/>
      <c r="F910" s="71" t="s">
        <v>90</v>
      </c>
      <c r="G910" s="27" t="s">
        <v>807</v>
      </c>
      <c r="H910" s="80"/>
      <c r="I910" s="65"/>
      <c r="J910" s="26"/>
      <c r="K910" s="47"/>
      <c r="L910" s="42"/>
    </row>
    <row r="911" spans="2:12" x14ac:dyDescent="0.35">
      <c r="B911" s="148"/>
      <c r="C911" s="154"/>
      <c r="D911" s="69"/>
      <c r="E911" s="132"/>
      <c r="F911" s="71" t="s">
        <v>90</v>
      </c>
      <c r="G911" s="27" t="s">
        <v>808</v>
      </c>
      <c r="H911" s="80"/>
      <c r="I911" s="65"/>
      <c r="J911" s="46"/>
      <c r="K911" s="57"/>
      <c r="L911" s="42"/>
    </row>
    <row r="912" spans="2:12" x14ac:dyDescent="0.35">
      <c r="B912" s="86"/>
      <c r="C912" s="89"/>
      <c r="D912" s="69"/>
      <c r="E912" s="164"/>
      <c r="F912" s="71" t="s">
        <v>90</v>
      </c>
      <c r="G912" s="27" t="s">
        <v>809</v>
      </c>
      <c r="H912" s="80"/>
      <c r="I912" s="65"/>
      <c r="J912" s="55"/>
      <c r="K912" s="55"/>
      <c r="L912" s="42"/>
    </row>
    <row r="913" spans="2:12" x14ac:dyDescent="0.35">
      <c r="B913" s="86"/>
      <c r="C913" s="89"/>
      <c r="D913" s="69"/>
      <c r="E913" s="186"/>
      <c r="F913" s="71" t="s">
        <v>90</v>
      </c>
      <c r="G913" s="27" t="s">
        <v>810</v>
      </c>
      <c r="H913" s="80"/>
      <c r="I913" s="65"/>
      <c r="J913" s="55"/>
      <c r="K913" s="55"/>
      <c r="L913" s="42"/>
    </row>
    <row r="914" spans="2:12" x14ac:dyDescent="0.35">
      <c r="B914" s="115"/>
      <c r="C914" s="88"/>
      <c r="D914" s="69" t="s">
        <v>34</v>
      </c>
      <c r="E914" s="88"/>
      <c r="F914" s="71" t="s">
        <v>812</v>
      </c>
      <c r="G914" s="27"/>
      <c r="H914" s="125">
        <v>1</v>
      </c>
      <c r="I914" s="65" t="s">
        <v>84</v>
      </c>
      <c r="J914" s="55">
        <v>14000000</v>
      </c>
      <c r="K914" s="55"/>
      <c r="L914" s="42">
        <f t="shared" ref="L914" si="24">J914*H914</f>
        <v>14000000</v>
      </c>
    </row>
    <row r="915" spans="2:12" x14ac:dyDescent="0.35">
      <c r="B915" s="86"/>
      <c r="C915" s="89"/>
      <c r="D915" s="88"/>
      <c r="E915" s="70"/>
      <c r="F915" s="71" t="s">
        <v>90</v>
      </c>
      <c r="G915" s="27" t="s">
        <v>813</v>
      </c>
      <c r="H915" s="125"/>
      <c r="I915" s="65"/>
      <c r="J915" s="55"/>
      <c r="K915" s="55"/>
      <c r="L915" s="42"/>
    </row>
    <row r="916" spans="2:12" x14ac:dyDescent="0.35">
      <c r="B916" s="86"/>
      <c r="C916" s="89"/>
      <c r="D916" s="69"/>
      <c r="E916" s="182"/>
      <c r="F916" s="132" t="s">
        <v>90</v>
      </c>
      <c r="G916" s="183" t="s">
        <v>814</v>
      </c>
      <c r="H916" s="184"/>
      <c r="I916" s="185"/>
      <c r="J916" s="55"/>
      <c r="K916" s="55"/>
      <c r="L916" s="42"/>
    </row>
    <row r="917" spans="2:12" x14ac:dyDescent="0.35">
      <c r="B917" s="150"/>
      <c r="C917" s="87"/>
      <c r="D917" s="69"/>
      <c r="E917" s="70"/>
      <c r="F917" s="71" t="s">
        <v>90</v>
      </c>
      <c r="G917" s="27" t="s">
        <v>815</v>
      </c>
      <c r="H917" s="80"/>
      <c r="I917" s="65"/>
      <c r="J917" s="55"/>
      <c r="K917" s="55"/>
      <c r="L917" s="42"/>
    </row>
    <row r="918" spans="2:12" x14ac:dyDescent="0.35">
      <c r="B918" s="150"/>
      <c r="C918" s="87"/>
      <c r="D918" s="69"/>
      <c r="E918" s="70"/>
      <c r="F918" s="71" t="s">
        <v>90</v>
      </c>
      <c r="G918" s="27" t="s">
        <v>816</v>
      </c>
      <c r="H918" s="80"/>
      <c r="I918" s="65"/>
      <c r="J918" s="55"/>
      <c r="K918" s="55"/>
      <c r="L918" s="42"/>
    </row>
    <row r="919" spans="2:12" x14ac:dyDescent="0.35">
      <c r="B919" s="148"/>
      <c r="C919" s="154"/>
      <c r="D919" s="69"/>
      <c r="E919" s="132"/>
      <c r="F919" s="71" t="s">
        <v>90</v>
      </c>
      <c r="G919" s="27" t="s">
        <v>817</v>
      </c>
      <c r="H919" s="80"/>
      <c r="I919" s="65"/>
      <c r="J919" s="55"/>
      <c r="K919" s="55"/>
      <c r="L919" s="42"/>
    </row>
    <row r="920" spans="2:12" x14ac:dyDescent="0.35">
      <c r="B920" s="86"/>
      <c r="C920" s="89"/>
      <c r="D920" s="69"/>
      <c r="E920" s="164"/>
      <c r="F920" s="71" t="s">
        <v>90</v>
      </c>
      <c r="G920" s="27" t="s">
        <v>818</v>
      </c>
      <c r="H920" s="80"/>
      <c r="I920" s="65"/>
      <c r="J920" s="55"/>
      <c r="K920" s="55"/>
      <c r="L920" s="42"/>
    </row>
    <row r="921" spans="2:12" x14ac:dyDescent="0.35">
      <c r="B921" s="86"/>
      <c r="C921" s="89"/>
      <c r="D921" s="69"/>
      <c r="E921" s="186"/>
      <c r="F921" s="71" t="s">
        <v>90</v>
      </c>
      <c r="G921" s="27" t="s">
        <v>819</v>
      </c>
      <c r="H921" s="80"/>
      <c r="I921" s="65"/>
      <c r="J921" s="55"/>
      <c r="K921" s="55"/>
      <c r="L921" s="42"/>
    </row>
    <row r="922" spans="2:12" x14ac:dyDescent="0.35">
      <c r="B922" s="115"/>
      <c r="C922" s="88"/>
      <c r="D922" s="69" t="s">
        <v>36</v>
      </c>
      <c r="E922" s="88"/>
      <c r="F922" s="71" t="s">
        <v>820</v>
      </c>
      <c r="G922" s="27"/>
      <c r="H922" s="125">
        <v>1</v>
      </c>
      <c r="I922" s="65" t="s">
        <v>84</v>
      </c>
      <c r="J922" s="55">
        <v>14000000</v>
      </c>
      <c r="K922" s="55"/>
      <c r="L922" s="42">
        <f t="shared" ref="L922" si="25">J922*H922</f>
        <v>14000000</v>
      </c>
    </row>
    <row r="923" spans="2:12" x14ac:dyDescent="0.35">
      <c r="B923" s="86"/>
      <c r="C923" s="89"/>
      <c r="D923" s="88"/>
      <c r="E923" s="70"/>
      <c r="F923" s="71" t="s">
        <v>90</v>
      </c>
      <c r="G923" s="27" t="s">
        <v>813</v>
      </c>
      <c r="H923" s="125"/>
      <c r="I923" s="65"/>
      <c r="J923" s="55"/>
      <c r="K923" s="55"/>
      <c r="L923" s="42"/>
    </row>
    <row r="924" spans="2:12" x14ac:dyDescent="0.35">
      <c r="B924" s="86"/>
      <c r="C924" s="89"/>
      <c r="D924" s="69"/>
      <c r="E924" s="182"/>
      <c r="F924" s="132" t="s">
        <v>90</v>
      </c>
      <c r="G924" s="183" t="s">
        <v>814</v>
      </c>
      <c r="H924" s="184"/>
      <c r="I924" s="185"/>
      <c r="J924" s="55"/>
      <c r="K924" s="55"/>
      <c r="L924" s="42"/>
    </row>
    <row r="925" spans="2:12" x14ac:dyDescent="0.35">
      <c r="B925" s="150"/>
      <c r="C925" s="87"/>
      <c r="D925" s="69"/>
      <c r="E925" s="70"/>
      <c r="F925" s="71" t="s">
        <v>90</v>
      </c>
      <c r="G925" s="27" t="s">
        <v>815</v>
      </c>
      <c r="H925" s="80"/>
      <c r="I925" s="65"/>
      <c r="J925" s="55"/>
      <c r="K925" s="55"/>
      <c r="L925" s="42"/>
    </row>
    <row r="926" spans="2:12" x14ac:dyDescent="0.35">
      <c r="B926" s="150"/>
      <c r="C926" s="87"/>
      <c r="D926" s="69"/>
      <c r="E926" s="70"/>
      <c r="F926" s="71" t="s">
        <v>90</v>
      </c>
      <c r="G926" s="27" t="s">
        <v>816</v>
      </c>
      <c r="H926" s="80"/>
      <c r="I926" s="65"/>
      <c r="J926" s="55"/>
      <c r="K926" s="55"/>
      <c r="L926" s="42"/>
    </row>
    <row r="927" spans="2:12" x14ac:dyDescent="0.35">
      <c r="B927" s="148"/>
      <c r="C927" s="154"/>
      <c r="D927" s="69"/>
      <c r="E927" s="132"/>
      <c r="F927" s="71" t="s">
        <v>90</v>
      </c>
      <c r="G927" s="27" t="s">
        <v>817</v>
      </c>
      <c r="H927" s="80"/>
      <c r="I927" s="65"/>
      <c r="J927" s="55"/>
      <c r="K927" s="55"/>
      <c r="L927" s="42"/>
    </row>
    <row r="928" spans="2:12" x14ac:dyDescent="0.35">
      <c r="B928" s="86"/>
      <c r="C928" s="89"/>
      <c r="D928" s="69"/>
      <c r="E928" s="164"/>
      <c r="F928" s="71" t="s">
        <v>90</v>
      </c>
      <c r="G928" s="27" t="s">
        <v>818</v>
      </c>
      <c r="H928" s="80"/>
      <c r="I928" s="65"/>
      <c r="J928" s="55"/>
      <c r="K928" s="55"/>
      <c r="L928" s="42"/>
    </row>
    <row r="929" spans="2:12" s="31" customFormat="1" x14ac:dyDescent="0.35">
      <c r="B929" s="86"/>
      <c r="C929" s="89"/>
      <c r="D929" s="69"/>
      <c r="E929" s="186"/>
      <c r="F929" s="71" t="s">
        <v>90</v>
      </c>
      <c r="G929" s="27" t="s">
        <v>819</v>
      </c>
      <c r="H929" s="80"/>
      <c r="I929" s="65"/>
      <c r="J929" s="55"/>
      <c r="K929" s="55"/>
      <c r="L929" s="42"/>
    </row>
    <row r="930" spans="2:12" s="31" customFormat="1" x14ac:dyDescent="0.35">
      <c r="B930" s="115"/>
      <c r="C930" s="88"/>
      <c r="D930" s="69" t="s">
        <v>39</v>
      </c>
      <c r="E930" s="88"/>
      <c r="F930" s="71" t="s">
        <v>821</v>
      </c>
      <c r="G930" s="27"/>
      <c r="H930" s="125">
        <v>1</v>
      </c>
      <c r="I930" s="65" t="s">
        <v>84</v>
      </c>
      <c r="J930" s="55">
        <v>14000000</v>
      </c>
      <c r="K930" s="55"/>
      <c r="L930" s="42">
        <f t="shared" ref="L930" si="26">J930*H930</f>
        <v>14000000</v>
      </c>
    </row>
    <row r="931" spans="2:12" s="31" customFormat="1" x14ac:dyDescent="0.35">
      <c r="B931" s="86"/>
      <c r="C931" s="89"/>
      <c r="D931" s="88"/>
      <c r="E931" s="70"/>
      <c r="F931" s="71" t="s">
        <v>90</v>
      </c>
      <c r="G931" s="27" t="s">
        <v>813</v>
      </c>
      <c r="H931" s="125"/>
      <c r="I931" s="65"/>
      <c r="J931" s="55"/>
      <c r="K931" s="55"/>
      <c r="L931" s="42"/>
    </row>
    <row r="932" spans="2:12" s="31" customFormat="1" x14ac:dyDescent="0.35">
      <c r="B932" s="86"/>
      <c r="C932" s="89"/>
      <c r="D932" s="69"/>
      <c r="E932" s="182"/>
      <c r="F932" s="132" t="s">
        <v>90</v>
      </c>
      <c r="G932" s="183" t="s">
        <v>814</v>
      </c>
      <c r="H932" s="184"/>
      <c r="I932" s="185"/>
      <c r="J932" s="55"/>
      <c r="K932" s="55"/>
      <c r="L932" s="42"/>
    </row>
    <row r="933" spans="2:12" s="31" customFormat="1" x14ac:dyDescent="0.35">
      <c r="B933" s="150"/>
      <c r="C933" s="87"/>
      <c r="D933" s="69"/>
      <c r="E933" s="70"/>
      <c r="F933" s="71" t="s">
        <v>90</v>
      </c>
      <c r="G933" s="27" t="s">
        <v>815</v>
      </c>
      <c r="H933" s="80"/>
      <c r="I933" s="65"/>
      <c r="J933" s="55"/>
      <c r="K933" s="55"/>
      <c r="L933" s="42"/>
    </row>
    <row r="934" spans="2:12" s="31" customFormat="1" x14ac:dyDescent="0.35">
      <c r="B934" s="150"/>
      <c r="C934" s="87"/>
      <c r="D934" s="69"/>
      <c r="E934" s="70"/>
      <c r="F934" s="71" t="s">
        <v>90</v>
      </c>
      <c r="G934" s="27" t="s">
        <v>822</v>
      </c>
      <c r="H934" s="80"/>
      <c r="I934" s="65"/>
      <c r="J934" s="55"/>
      <c r="K934" s="55"/>
      <c r="L934" s="42"/>
    </row>
    <row r="935" spans="2:12" s="31" customFormat="1" x14ac:dyDescent="0.35">
      <c r="B935" s="148"/>
      <c r="C935" s="154"/>
      <c r="D935" s="69"/>
      <c r="E935" s="132"/>
      <c r="F935" s="71" t="s">
        <v>90</v>
      </c>
      <c r="G935" s="27" t="s">
        <v>823</v>
      </c>
      <c r="H935" s="80"/>
      <c r="I935" s="65"/>
      <c r="J935" s="55"/>
      <c r="K935" s="55"/>
      <c r="L935" s="42"/>
    </row>
    <row r="936" spans="2:12" s="31" customFormat="1" x14ac:dyDescent="0.35">
      <c r="B936" s="86"/>
      <c r="C936" s="89"/>
      <c r="D936" s="69"/>
      <c r="E936" s="164"/>
      <c r="F936" s="71" t="s">
        <v>90</v>
      </c>
      <c r="G936" s="27" t="s">
        <v>121</v>
      </c>
      <c r="H936" s="80"/>
      <c r="I936" s="65"/>
      <c r="J936" s="55"/>
      <c r="K936" s="55"/>
      <c r="L936" s="42"/>
    </row>
    <row r="937" spans="2:12" s="31" customFormat="1" x14ac:dyDescent="0.35">
      <c r="B937" s="86"/>
      <c r="C937" s="89"/>
      <c r="D937" s="69"/>
      <c r="E937" s="186"/>
      <c r="F937" s="71" t="s">
        <v>90</v>
      </c>
      <c r="G937" s="27" t="s">
        <v>824</v>
      </c>
      <c r="H937" s="80"/>
      <c r="I937" s="65"/>
      <c r="J937" s="55"/>
      <c r="K937" s="55"/>
      <c r="L937" s="42"/>
    </row>
    <row r="938" spans="2:12" s="31" customFormat="1" x14ac:dyDescent="0.35">
      <c r="B938" s="115"/>
      <c r="C938" s="88"/>
      <c r="D938" s="69" t="s">
        <v>41</v>
      </c>
      <c r="E938" s="88"/>
      <c r="F938" s="71" t="s">
        <v>825</v>
      </c>
      <c r="G938" s="27"/>
      <c r="H938" s="125">
        <v>1</v>
      </c>
      <c r="I938" s="65" t="s">
        <v>84</v>
      </c>
      <c r="J938" s="55">
        <v>14000000</v>
      </c>
      <c r="K938" s="55"/>
      <c r="L938" s="42">
        <f t="shared" ref="L938" si="27">J938*H938</f>
        <v>14000000</v>
      </c>
    </row>
    <row r="939" spans="2:12" s="31" customFormat="1" x14ac:dyDescent="0.35">
      <c r="B939" s="86"/>
      <c r="C939" s="89"/>
      <c r="D939" s="88"/>
      <c r="E939" s="70"/>
      <c r="F939" s="71" t="s">
        <v>90</v>
      </c>
      <c r="G939" s="27" t="s">
        <v>813</v>
      </c>
      <c r="H939" s="125"/>
      <c r="I939" s="65"/>
      <c r="J939" s="55"/>
      <c r="K939" s="78"/>
      <c r="L939" s="42"/>
    </row>
    <row r="940" spans="2:12" s="31" customFormat="1" x14ac:dyDescent="0.35">
      <c r="B940" s="86"/>
      <c r="C940" s="89"/>
      <c r="D940" s="69"/>
      <c r="E940" s="182"/>
      <c r="F940" s="132" t="s">
        <v>90</v>
      </c>
      <c r="G940" s="183" t="s">
        <v>814</v>
      </c>
      <c r="H940" s="184"/>
      <c r="I940" s="185"/>
      <c r="J940" s="55"/>
      <c r="K940" s="55"/>
      <c r="L940" s="42"/>
    </row>
    <row r="941" spans="2:12" x14ac:dyDescent="0.35">
      <c r="B941" s="150"/>
      <c r="C941" s="87"/>
      <c r="D941" s="69"/>
      <c r="E941" s="70"/>
      <c r="F941" s="71" t="s">
        <v>90</v>
      </c>
      <c r="G941" s="27" t="s">
        <v>815</v>
      </c>
      <c r="H941" s="80"/>
      <c r="I941" s="65"/>
      <c r="J941" s="55"/>
      <c r="K941" s="26"/>
      <c r="L941" s="48"/>
    </row>
    <row r="942" spans="2:12" x14ac:dyDescent="0.35">
      <c r="B942" s="43"/>
      <c r="C942" s="44"/>
      <c r="D942" s="21"/>
      <c r="G942" s="20"/>
      <c r="I942" s="20"/>
      <c r="J942" s="46"/>
      <c r="K942" s="26"/>
      <c r="L942" s="48"/>
    </row>
    <row r="943" spans="2:12" x14ac:dyDescent="0.35">
      <c r="B943" s="43"/>
      <c r="C943" s="44"/>
      <c r="D943" s="21"/>
      <c r="G943" s="20"/>
      <c r="I943" s="20"/>
      <c r="J943" s="46"/>
      <c r="K943" s="26"/>
      <c r="L943" s="48"/>
    </row>
    <row r="944" spans="2:12" x14ac:dyDescent="0.35">
      <c r="B944" s="8"/>
      <c r="C944" s="9"/>
      <c r="D944" s="10"/>
      <c r="E944" s="4"/>
      <c r="F944" s="4"/>
      <c r="G944" s="4"/>
      <c r="H944" s="1"/>
      <c r="I944" s="1"/>
      <c r="J944" s="11" t="s">
        <v>8</v>
      </c>
      <c r="K944" s="7">
        <f>SUM(K891:K943)</f>
        <v>0</v>
      </c>
      <c r="L944" s="7">
        <f>SUM(L891:L943)</f>
        <v>71822894.403484493</v>
      </c>
    </row>
    <row r="945" spans="2:12" x14ac:dyDescent="0.35">
      <c r="B945" s="8"/>
      <c r="C945" s="9"/>
      <c r="D945" s="9"/>
      <c r="E945" s="4"/>
      <c r="F945" s="4"/>
      <c r="G945" s="4"/>
      <c r="H945" s="1"/>
      <c r="I945" s="1"/>
      <c r="J945" s="11"/>
      <c r="K945" s="32" t="s">
        <v>13</v>
      </c>
      <c r="L945" s="33" t="s">
        <v>14</v>
      </c>
    </row>
    <row r="946" spans="2:12" x14ac:dyDescent="0.35">
      <c r="B946" s="3" t="s">
        <v>9</v>
      </c>
      <c r="C946" s="4"/>
      <c r="D946" s="4"/>
      <c r="E946" s="4"/>
      <c r="F946" s="4"/>
      <c r="G946" s="4"/>
      <c r="H946" s="1"/>
      <c r="I946" s="1"/>
      <c r="J946" s="12"/>
      <c r="K946" s="12"/>
      <c r="L946" s="13"/>
    </row>
    <row r="947" spans="2:12" x14ac:dyDescent="0.35">
      <c r="B947" s="34"/>
      <c r="C947" s="1"/>
      <c r="D947" s="1"/>
      <c r="E947" s="35"/>
      <c r="F947" s="35"/>
      <c r="G947" s="35"/>
      <c r="H947" s="1"/>
      <c r="I947" s="1"/>
      <c r="J947" s="1"/>
      <c r="K947" s="1"/>
      <c r="L947" s="17"/>
    </row>
    <row r="948" spans="2:12" x14ac:dyDescent="0.35">
      <c r="B948" s="25" t="s">
        <v>6</v>
      </c>
      <c r="C948" s="24"/>
      <c r="D948" s="24"/>
      <c r="E948" s="23"/>
      <c r="F948" s="23"/>
      <c r="G948" s="5"/>
      <c r="K948" s="227" t="s">
        <v>1292</v>
      </c>
      <c r="L948" s="228"/>
    </row>
    <row r="949" spans="2:12" x14ac:dyDescent="0.35">
      <c r="B949" s="25">
        <v>1</v>
      </c>
      <c r="C949" s="24"/>
      <c r="D949" s="24"/>
      <c r="E949" s="23" t="s">
        <v>7</v>
      </c>
      <c r="F949" s="23"/>
      <c r="G949" s="5"/>
      <c r="K949" s="227" t="s">
        <v>18</v>
      </c>
      <c r="L949" s="228"/>
    </row>
    <row r="950" spans="2:12" x14ac:dyDescent="0.35">
      <c r="B950" s="36"/>
      <c r="C950" s="24"/>
      <c r="D950" s="24"/>
      <c r="E950" s="23"/>
      <c r="F950" s="23"/>
      <c r="G950" s="5"/>
      <c r="J950" s="22"/>
      <c r="K950" s="22"/>
      <c r="L950" s="21"/>
    </row>
    <row r="951" spans="2:12" x14ac:dyDescent="0.35">
      <c r="B951" s="25"/>
      <c r="C951" s="24"/>
      <c r="D951" s="24"/>
      <c r="E951" s="23"/>
      <c r="F951" s="23"/>
      <c r="G951" s="5"/>
      <c r="L951" s="20"/>
    </row>
    <row r="952" spans="2:12" x14ac:dyDescent="0.35">
      <c r="B952" s="41"/>
      <c r="E952" s="5"/>
      <c r="F952" s="5"/>
      <c r="G952" s="5"/>
      <c r="L952" s="20"/>
    </row>
    <row r="953" spans="2:12" x14ac:dyDescent="0.35">
      <c r="B953" s="41"/>
      <c r="E953" s="5"/>
      <c r="F953" s="5"/>
      <c r="G953" s="5"/>
      <c r="L953" s="20"/>
    </row>
    <row r="954" spans="2:12" x14ac:dyDescent="0.35">
      <c r="B954" s="41"/>
      <c r="E954" s="5"/>
      <c r="F954" s="5"/>
      <c r="G954" s="5"/>
      <c r="L954" s="20"/>
    </row>
    <row r="955" spans="2:12" x14ac:dyDescent="0.35">
      <c r="B955" s="41"/>
      <c r="E955" s="5"/>
      <c r="F955" s="5"/>
      <c r="G955" s="5"/>
      <c r="J955" s="37"/>
      <c r="K955" s="229" t="s">
        <v>26</v>
      </c>
      <c r="L955" s="230"/>
    </row>
    <row r="956" spans="2:12" x14ac:dyDescent="0.35">
      <c r="B956" s="41"/>
      <c r="K956" s="231" t="s">
        <v>27</v>
      </c>
      <c r="L956" s="232"/>
    </row>
    <row r="957" spans="2:12" x14ac:dyDescent="0.35">
      <c r="B957" s="233"/>
      <c r="C957" s="234"/>
      <c r="D957" s="234"/>
      <c r="E957" s="38"/>
      <c r="F957" s="38"/>
      <c r="G957" s="38"/>
      <c r="H957" s="2"/>
      <c r="I957" s="2"/>
      <c r="J957" s="2"/>
      <c r="K957" s="2"/>
      <c r="L957" s="19"/>
    </row>
    <row r="958" spans="2:12" x14ac:dyDescent="0.35">
      <c r="B958" s="43"/>
      <c r="C958" s="44"/>
      <c r="D958" s="45"/>
      <c r="G958" s="20"/>
      <c r="H958" s="1"/>
      <c r="I958" s="1"/>
      <c r="J958" s="39"/>
      <c r="K958" s="27"/>
      <c r="L958" s="40"/>
    </row>
    <row r="959" spans="2:12" s="31" customFormat="1" x14ac:dyDescent="0.35">
      <c r="B959" s="150"/>
      <c r="C959" s="87"/>
      <c r="D959" s="69"/>
      <c r="E959" s="70"/>
      <c r="F959" s="71" t="s">
        <v>90</v>
      </c>
      <c r="G959" s="27" t="s">
        <v>816</v>
      </c>
      <c r="H959" s="80"/>
      <c r="I959" s="65"/>
      <c r="J959" s="78"/>
      <c r="K959" s="78"/>
      <c r="L959" s="42"/>
    </row>
    <row r="960" spans="2:12" s="31" customFormat="1" x14ac:dyDescent="0.35">
      <c r="B960" s="148"/>
      <c r="C960" s="154"/>
      <c r="D960" s="69"/>
      <c r="E960" s="132"/>
      <c r="F960" s="71" t="s">
        <v>90</v>
      </c>
      <c r="G960" s="27" t="s">
        <v>826</v>
      </c>
      <c r="H960" s="80"/>
      <c r="I960" s="65"/>
      <c r="J960" s="55"/>
      <c r="K960" s="55"/>
      <c r="L960" s="42"/>
    </row>
    <row r="961" spans="2:12" x14ac:dyDescent="0.35">
      <c r="B961" s="86"/>
      <c r="C961" s="89"/>
      <c r="D961" s="69"/>
      <c r="E961" s="164"/>
      <c r="F961" s="71" t="s">
        <v>90</v>
      </c>
      <c r="G961" s="27" t="s">
        <v>827</v>
      </c>
      <c r="H961" s="80"/>
      <c r="I961" s="65"/>
      <c r="J961" s="55"/>
      <c r="K961" s="55"/>
      <c r="L961" s="42"/>
    </row>
    <row r="962" spans="2:12" x14ac:dyDescent="0.35">
      <c r="B962" s="86"/>
      <c r="C962" s="89"/>
      <c r="D962" s="69"/>
      <c r="E962" s="186"/>
      <c r="F962" s="71" t="s">
        <v>90</v>
      </c>
      <c r="G962" s="27" t="s">
        <v>819</v>
      </c>
      <c r="H962" s="80"/>
      <c r="I962" s="65"/>
      <c r="J962" s="55"/>
      <c r="K962" s="55"/>
      <c r="L962" s="42"/>
    </row>
    <row r="963" spans="2:12" x14ac:dyDescent="0.35">
      <c r="B963" s="115"/>
      <c r="C963" s="88"/>
      <c r="D963" s="69" t="s">
        <v>43</v>
      </c>
      <c r="E963" s="88"/>
      <c r="F963" s="71" t="s">
        <v>828</v>
      </c>
      <c r="G963" s="27"/>
      <c r="H963" s="125">
        <v>1</v>
      </c>
      <c r="I963" s="65" t="s">
        <v>84</v>
      </c>
      <c r="J963" s="55">
        <v>14000000</v>
      </c>
      <c r="K963" s="73"/>
      <c r="L963" s="42">
        <f t="shared" ref="L963" si="28">J963*H963</f>
        <v>14000000</v>
      </c>
    </row>
    <row r="964" spans="2:12" x14ac:dyDescent="0.35">
      <c r="B964" s="86"/>
      <c r="C964" s="89"/>
      <c r="D964" s="88"/>
      <c r="E964" s="70"/>
      <c r="F964" s="71" t="s">
        <v>90</v>
      </c>
      <c r="G964" s="27" t="s">
        <v>813</v>
      </c>
      <c r="H964" s="125"/>
      <c r="I964" s="65"/>
      <c r="J964" s="55"/>
      <c r="K964" s="55"/>
      <c r="L964" s="42"/>
    </row>
    <row r="965" spans="2:12" x14ac:dyDescent="0.35">
      <c r="B965" s="86"/>
      <c r="C965" s="89"/>
      <c r="D965" s="69"/>
      <c r="E965" s="182"/>
      <c r="F965" s="132" t="s">
        <v>90</v>
      </c>
      <c r="G965" s="183" t="s">
        <v>814</v>
      </c>
      <c r="H965" s="184"/>
      <c r="I965" s="185"/>
      <c r="J965" s="55"/>
      <c r="K965" s="55"/>
      <c r="L965" s="42"/>
    </row>
    <row r="966" spans="2:12" x14ac:dyDescent="0.35">
      <c r="B966" s="150"/>
      <c r="C966" s="87"/>
      <c r="D966" s="69"/>
      <c r="E966" s="70"/>
      <c r="F966" s="71" t="s">
        <v>90</v>
      </c>
      <c r="G966" s="27" t="s">
        <v>815</v>
      </c>
      <c r="H966" s="80"/>
      <c r="I966" s="65"/>
      <c r="J966" s="55"/>
      <c r="K966" s="55"/>
      <c r="L966" s="42"/>
    </row>
    <row r="967" spans="2:12" x14ac:dyDescent="0.35">
      <c r="B967" s="150"/>
      <c r="C967" s="87"/>
      <c r="D967" s="69"/>
      <c r="E967" s="70"/>
      <c r="F967" s="71" t="s">
        <v>90</v>
      </c>
      <c r="G967" s="27" t="s">
        <v>822</v>
      </c>
      <c r="H967" s="80"/>
      <c r="I967" s="65"/>
      <c r="J967" s="55"/>
      <c r="K967" s="73"/>
      <c r="L967" s="42"/>
    </row>
    <row r="968" spans="2:12" x14ac:dyDescent="0.35">
      <c r="B968" s="148"/>
      <c r="C968" s="154"/>
      <c r="D968" s="69"/>
      <c r="E968" s="132"/>
      <c r="F968" s="71" t="s">
        <v>90</v>
      </c>
      <c r="G968" s="27" t="s">
        <v>823</v>
      </c>
      <c r="H968" s="80"/>
      <c r="I968" s="65"/>
      <c r="J968" s="55"/>
      <c r="K968" s="73"/>
      <c r="L968" s="42"/>
    </row>
    <row r="969" spans="2:12" x14ac:dyDescent="0.35">
      <c r="B969" s="86"/>
      <c r="C969" s="89"/>
      <c r="D969" s="69"/>
      <c r="E969" s="164"/>
      <c r="F969" s="71" t="s">
        <v>90</v>
      </c>
      <c r="G969" s="27" t="s">
        <v>121</v>
      </c>
      <c r="H969" s="80"/>
      <c r="I969" s="65"/>
      <c r="J969" s="55"/>
      <c r="K969" s="55"/>
      <c r="L969" s="42"/>
    </row>
    <row r="970" spans="2:12" x14ac:dyDescent="0.35">
      <c r="B970" s="86"/>
      <c r="C970" s="89"/>
      <c r="D970" s="69"/>
      <c r="E970" s="186"/>
      <c r="F970" s="71" t="s">
        <v>90</v>
      </c>
      <c r="G970" s="27" t="s">
        <v>824</v>
      </c>
      <c r="H970" s="80"/>
      <c r="I970" s="65"/>
      <c r="J970" s="55"/>
      <c r="K970" s="55"/>
      <c r="L970" s="42"/>
    </row>
    <row r="971" spans="2:12" x14ac:dyDescent="0.35">
      <c r="B971" s="115"/>
      <c r="C971" s="88"/>
      <c r="D971" s="69" t="s">
        <v>44</v>
      </c>
      <c r="E971" s="88"/>
      <c r="F971" s="71" t="s">
        <v>829</v>
      </c>
      <c r="G971" s="27"/>
      <c r="H971" s="125">
        <v>1</v>
      </c>
      <c r="I971" s="65" t="s">
        <v>84</v>
      </c>
      <c r="J971" s="55">
        <v>14000000</v>
      </c>
      <c r="K971" s="73"/>
      <c r="L971" s="42">
        <f t="shared" ref="L971" si="29">J971*H971</f>
        <v>14000000</v>
      </c>
    </row>
    <row r="972" spans="2:12" x14ac:dyDescent="0.35">
      <c r="B972" s="86"/>
      <c r="C972" s="89"/>
      <c r="D972" s="88"/>
      <c r="E972" s="70"/>
      <c r="F972" s="71" t="s">
        <v>90</v>
      </c>
      <c r="G972" s="27" t="s">
        <v>813</v>
      </c>
      <c r="H972" s="125"/>
      <c r="I972" s="65"/>
      <c r="J972" s="55"/>
      <c r="K972" s="55"/>
      <c r="L972" s="42"/>
    </row>
    <row r="973" spans="2:12" x14ac:dyDescent="0.35">
      <c r="B973" s="86"/>
      <c r="C973" s="89"/>
      <c r="D973" s="69"/>
      <c r="E973" s="182"/>
      <c r="F973" s="132" t="s">
        <v>90</v>
      </c>
      <c r="G973" s="183" t="s">
        <v>814</v>
      </c>
      <c r="H973" s="184"/>
      <c r="I973" s="185"/>
      <c r="J973" s="55"/>
      <c r="K973" s="73"/>
      <c r="L973" s="42"/>
    </row>
    <row r="974" spans="2:12" x14ac:dyDescent="0.35">
      <c r="B974" s="150"/>
      <c r="C974" s="87"/>
      <c r="D974" s="69"/>
      <c r="E974" s="70"/>
      <c r="F974" s="71" t="s">
        <v>90</v>
      </c>
      <c r="G974" s="27" t="s">
        <v>815</v>
      </c>
      <c r="H974" s="80"/>
      <c r="I974" s="65"/>
      <c r="J974" s="55"/>
      <c r="K974" s="73"/>
      <c r="L974" s="42"/>
    </row>
    <row r="975" spans="2:12" x14ac:dyDescent="0.35">
      <c r="B975" s="150"/>
      <c r="C975" s="87"/>
      <c r="D975" s="69"/>
      <c r="E975" s="70"/>
      <c r="F975" s="71" t="s">
        <v>90</v>
      </c>
      <c r="G975" s="27" t="s">
        <v>816</v>
      </c>
      <c r="H975" s="80"/>
      <c r="I975" s="65"/>
      <c r="J975" s="55"/>
      <c r="K975" s="47"/>
      <c r="L975" s="42"/>
    </row>
    <row r="976" spans="2:12" x14ac:dyDescent="0.35">
      <c r="B976" s="148"/>
      <c r="C976" s="154"/>
      <c r="D976" s="69"/>
      <c r="E976" s="132"/>
      <c r="F976" s="71" t="s">
        <v>90</v>
      </c>
      <c r="G976" s="27" t="s">
        <v>817</v>
      </c>
      <c r="H976" s="80"/>
      <c r="I976" s="65"/>
      <c r="J976" s="55"/>
      <c r="K976" s="47"/>
      <c r="L976" s="42"/>
    </row>
    <row r="977" spans="2:12" x14ac:dyDescent="0.35">
      <c r="B977" s="86"/>
      <c r="C977" s="89"/>
      <c r="D977" s="69"/>
      <c r="E977" s="164"/>
      <c r="F977" s="71" t="s">
        <v>90</v>
      </c>
      <c r="G977" s="27" t="s">
        <v>818</v>
      </c>
      <c r="H977" s="80"/>
      <c r="I977" s="65"/>
      <c r="J977" s="55"/>
      <c r="K977" s="47"/>
      <c r="L977" s="42"/>
    </row>
    <row r="978" spans="2:12" x14ac:dyDescent="0.35">
      <c r="B978" s="86"/>
      <c r="C978" s="89"/>
      <c r="D978" s="69"/>
      <c r="E978" s="186"/>
      <c r="F978" s="71" t="s">
        <v>90</v>
      </c>
      <c r="G978" s="27" t="s">
        <v>819</v>
      </c>
      <c r="H978" s="80"/>
      <c r="I978" s="65"/>
      <c r="J978" s="55"/>
      <c r="K978" s="47"/>
      <c r="L978" s="42"/>
    </row>
    <row r="979" spans="2:12" x14ac:dyDescent="0.35">
      <c r="B979" s="115"/>
      <c r="C979" s="88"/>
      <c r="D979" s="69" t="s">
        <v>56</v>
      </c>
      <c r="E979" s="88"/>
      <c r="F979" s="71" t="s">
        <v>830</v>
      </c>
      <c r="G979" s="27"/>
      <c r="H979" s="125">
        <v>1</v>
      </c>
      <c r="I979" s="65" t="s">
        <v>84</v>
      </c>
      <c r="J979" s="26">
        <v>5000000</v>
      </c>
      <c r="K979" s="47"/>
      <c r="L979" s="42">
        <f t="shared" ref="L979" si="30">J979*H979</f>
        <v>5000000</v>
      </c>
    </row>
    <row r="980" spans="2:12" x14ac:dyDescent="0.35">
      <c r="B980" s="150"/>
      <c r="C980" s="87"/>
      <c r="D980" s="69"/>
      <c r="E980" s="70"/>
      <c r="F980" s="71" t="s">
        <v>90</v>
      </c>
      <c r="G980" s="27" t="s">
        <v>831</v>
      </c>
      <c r="H980" s="80"/>
      <c r="I980" s="65"/>
      <c r="J980" s="55"/>
      <c r="K980" s="55"/>
      <c r="L980" s="42"/>
    </row>
    <row r="981" spans="2:12" x14ac:dyDescent="0.35">
      <c r="B981" s="148"/>
      <c r="C981" s="154"/>
      <c r="D981" s="69"/>
      <c r="E981" s="132"/>
      <c r="F981" s="71" t="s">
        <v>90</v>
      </c>
      <c r="G981" s="27" t="s">
        <v>832</v>
      </c>
      <c r="H981" s="80"/>
      <c r="I981" s="65"/>
      <c r="J981" s="55"/>
      <c r="K981" s="55"/>
      <c r="L981" s="42"/>
    </row>
    <row r="982" spans="2:12" x14ac:dyDescent="0.35">
      <c r="B982" s="86"/>
      <c r="C982" s="89"/>
      <c r="D982" s="69"/>
      <c r="E982" s="186"/>
      <c r="F982" s="71" t="s">
        <v>90</v>
      </c>
      <c r="G982" s="27" t="s">
        <v>833</v>
      </c>
      <c r="H982" s="80"/>
      <c r="I982" s="65"/>
      <c r="J982" s="55"/>
      <c r="K982" s="55"/>
      <c r="L982" s="42"/>
    </row>
    <row r="983" spans="2:12" x14ac:dyDescent="0.35">
      <c r="B983" s="150"/>
      <c r="C983" s="87"/>
      <c r="D983" s="69"/>
      <c r="E983" s="70"/>
      <c r="F983" s="71" t="s">
        <v>90</v>
      </c>
      <c r="G983" s="27" t="s">
        <v>834</v>
      </c>
      <c r="H983" s="125"/>
      <c r="I983" s="65"/>
      <c r="J983" s="55"/>
      <c r="K983" s="55"/>
      <c r="L983" s="42"/>
    </row>
    <row r="984" spans="2:12" x14ac:dyDescent="0.35">
      <c r="B984" s="115"/>
      <c r="C984" s="88"/>
      <c r="D984" s="69" t="s">
        <v>58</v>
      </c>
      <c r="E984" s="88"/>
      <c r="F984" s="71" t="s">
        <v>835</v>
      </c>
      <c r="G984" s="27"/>
      <c r="H984" s="125">
        <v>1</v>
      </c>
      <c r="I984" s="65" t="s">
        <v>84</v>
      </c>
      <c r="J984" s="26">
        <v>5000000</v>
      </c>
      <c r="K984" s="55"/>
      <c r="L984" s="42">
        <f t="shared" ref="L984" si="31">J984*H984</f>
        <v>5000000</v>
      </c>
    </row>
    <row r="985" spans="2:12" x14ac:dyDescent="0.35">
      <c r="B985" s="150"/>
      <c r="C985" s="87"/>
      <c r="D985" s="69"/>
      <c r="E985" s="70"/>
      <c r="F985" s="71" t="s">
        <v>90</v>
      </c>
      <c r="G985" s="27" t="s">
        <v>831</v>
      </c>
      <c r="H985" s="80"/>
      <c r="I985" s="65"/>
      <c r="J985" s="55"/>
      <c r="K985" s="55"/>
      <c r="L985" s="42"/>
    </row>
    <row r="986" spans="2:12" x14ac:dyDescent="0.35">
      <c r="B986" s="148"/>
      <c r="C986" s="154"/>
      <c r="D986" s="69"/>
      <c r="E986" s="132"/>
      <c r="F986" s="71" t="s">
        <v>90</v>
      </c>
      <c r="G986" s="27" t="s">
        <v>832</v>
      </c>
      <c r="H986" s="80"/>
      <c r="I986" s="65"/>
      <c r="J986" s="55"/>
      <c r="K986" s="55"/>
      <c r="L986" s="42"/>
    </row>
    <row r="987" spans="2:12" x14ac:dyDescent="0.35">
      <c r="B987" s="86"/>
      <c r="C987" s="89"/>
      <c r="D987" s="69"/>
      <c r="E987" s="186"/>
      <c r="F987" s="71" t="s">
        <v>90</v>
      </c>
      <c r="G987" s="27" t="s">
        <v>833</v>
      </c>
      <c r="H987" s="80"/>
      <c r="I987" s="65"/>
      <c r="J987" s="55"/>
      <c r="K987" s="55"/>
      <c r="L987" s="42"/>
    </row>
    <row r="988" spans="2:12" x14ac:dyDescent="0.35">
      <c r="B988" s="150"/>
      <c r="C988" s="87"/>
      <c r="D988" s="69"/>
      <c r="E988" s="70"/>
      <c r="F988" s="71" t="s">
        <v>90</v>
      </c>
      <c r="G988" s="27" t="s">
        <v>834</v>
      </c>
      <c r="H988" s="125"/>
      <c r="I988" s="65"/>
      <c r="J988" s="55"/>
      <c r="K988" s="55"/>
      <c r="L988" s="42"/>
    </row>
    <row r="989" spans="2:12" x14ac:dyDescent="0.35">
      <c r="B989" s="115"/>
      <c r="C989" s="88"/>
      <c r="D989" s="69" t="s">
        <v>60</v>
      </c>
      <c r="E989" s="88"/>
      <c r="F989" s="71" t="s">
        <v>836</v>
      </c>
      <c r="G989" s="27"/>
      <c r="H989" s="125">
        <v>1</v>
      </c>
      <c r="I989" s="65" t="s">
        <v>84</v>
      </c>
      <c r="J989" s="26">
        <v>5000000</v>
      </c>
      <c r="K989" s="55"/>
      <c r="L989" s="42">
        <f t="shared" ref="L989" si="32">J989*H989</f>
        <v>5000000</v>
      </c>
    </row>
    <row r="990" spans="2:12" x14ac:dyDescent="0.35">
      <c r="B990" s="150"/>
      <c r="C990" s="87"/>
      <c r="D990" s="69"/>
      <c r="E990" s="70"/>
      <c r="F990" s="71" t="s">
        <v>90</v>
      </c>
      <c r="G990" s="27" t="s">
        <v>831</v>
      </c>
      <c r="H990" s="80"/>
      <c r="I990" s="65"/>
      <c r="J990" s="55"/>
      <c r="K990" s="55"/>
      <c r="L990" s="42"/>
    </row>
    <row r="991" spans="2:12" x14ac:dyDescent="0.35">
      <c r="B991" s="148"/>
      <c r="C991" s="154"/>
      <c r="D991" s="69"/>
      <c r="E991" s="132"/>
      <c r="F991" s="71" t="s">
        <v>90</v>
      </c>
      <c r="G991" s="27" t="s">
        <v>832</v>
      </c>
      <c r="H991" s="80"/>
      <c r="I991" s="65"/>
      <c r="J991" s="55"/>
      <c r="K991" s="55"/>
      <c r="L991" s="42"/>
    </row>
    <row r="992" spans="2:12" x14ac:dyDescent="0.35">
      <c r="B992" s="86"/>
      <c r="C992" s="89"/>
      <c r="D992" s="69"/>
      <c r="E992" s="186"/>
      <c r="F992" s="71" t="s">
        <v>90</v>
      </c>
      <c r="G992" s="27" t="s">
        <v>833</v>
      </c>
      <c r="H992" s="80"/>
      <c r="I992" s="65"/>
      <c r="J992" s="55"/>
      <c r="K992" s="47"/>
      <c r="L992" s="42"/>
    </row>
    <row r="993" spans="2:12" x14ac:dyDescent="0.35">
      <c r="B993" s="150"/>
      <c r="C993" s="87"/>
      <c r="D993" s="69"/>
      <c r="E993" s="70"/>
      <c r="F993" s="71" t="s">
        <v>90</v>
      </c>
      <c r="G993" s="27" t="s">
        <v>834</v>
      </c>
      <c r="H993" s="125"/>
      <c r="I993" s="65"/>
      <c r="J993" s="55"/>
      <c r="K993" s="47"/>
      <c r="L993" s="42"/>
    </row>
    <row r="994" spans="2:12" x14ac:dyDescent="0.35">
      <c r="B994" s="115"/>
      <c r="C994" s="88"/>
      <c r="D994" s="69" t="s">
        <v>62</v>
      </c>
      <c r="E994" s="88"/>
      <c r="F994" s="71" t="s">
        <v>837</v>
      </c>
      <c r="G994" s="27"/>
      <c r="H994" s="125">
        <v>1</v>
      </c>
      <c r="I994" s="65" t="s">
        <v>84</v>
      </c>
      <c r="J994" s="26">
        <v>7500000</v>
      </c>
      <c r="K994" s="47"/>
      <c r="L994" s="42">
        <f t="shared" ref="L994" si="33">J994*H994</f>
        <v>7500000</v>
      </c>
    </row>
    <row r="995" spans="2:12" x14ac:dyDescent="0.35">
      <c r="B995" s="150"/>
      <c r="C995" s="87"/>
      <c r="D995" s="69"/>
      <c r="E995" s="70"/>
      <c r="F995" s="71" t="s">
        <v>90</v>
      </c>
      <c r="G995" s="27" t="s">
        <v>838</v>
      </c>
      <c r="H995" s="80"/>
      <c r="I995" s="65"/>
      <c r="J995" s="55"/>
      <c r="K995" s="47"/>
      <c r="L995" s="42"/>
    </row>
    <row r="996" spans="2:12" x14ac:dyDescent="0.35">
      <c r="B996" s="148"/>
      <c r="C996" s="154"/>
      <c r="D996" s="69"/>
      <c r="E996" s="132"/>
      <c r="F996" s="71" t="s">
        <v>90</v>
      </c>
      <c r="G996" s="27" t="s">
        <v>839</v>
      </c>
      <c r="H996" s="80"/>
      <c r="I996" s="65"/>
      <c r="J996" s="55"/>
      <c r="K996" s="47"/>
      <c r="L996" s="42"/>
    </row>
    <row r="997" spans="2:12" x14ac:dyDescent="0.35">
      <c r="B997" s="148"/>
      <c r="C997" s="154"/>
      <c r="D997" s="69"/>
      <c r="E997" s="132"/>
      <c r="F997" s="71" t="s">
        <v>90</v>
      </c>
      <c r="G997" s="27" t="s">
        <v>840</v>
      </c>
      <c r="H997" s="80"/>
      <c r="I997" s="65"/>
      <c r="J997" s="55"/>
      <c r="K997" s="47"/>
      <c r="L997" s="42"/>
    </row>
    <row r="998" spans="2:12" x14ac:dyDescent="0.35">
      <c r="B998" s="86"/>
      <c r="C998" s="89"/>
      <c r="D998" s="69"/>
      <c r="E998" s="186"/>
      <c r="F998" s="71" t="s">
        <v>90</v>
      </c>
      <c r="G998" s="27" t="s">
        <v>841</v>
      </c>
      <c r="H998" s="125"/>
      <c r="I998" s="65"/>
      <c r="J998" s="55"/>
      <c r="K998" s="47"/>
      <c r="L998" s="42"/>
    </row>
    <row r="999" spans="2:12" x14ac:dyDescent="0.35">
      <c r="B999" s="150"/>
      <c r="C999" s="87"/>
      <c r="D999" s="69"/>
      <c r="E999" s="70"/>
      <c r="F999" s="71" t="s">
        <v>90</v>
      </c>
      <c r="G999" s="27" t="s">
        <v>834</v>
      </c>
      <c r="H999" s="125"/>
      <c r="I999" s="65"/>
      <c r="J999" s="26"/>
      <c r="K999" s="47"/>
      <c r="L999" s="42"/>
    </row>
    <row r="1000" spans="2:12" x14ac:dyDescent="0.35">
      <c r="B1000" s="115"/>
      <c r="C1000" s="88"/>
      <c r="D1000" s="69" t="s">
        <v>65</v>
      </c>
      <c r="E1000" s="88"/>
      <c r="F1000" s="71" t="s">
        <v>842</v>
      </c>
      <c r="G1000" s="27"/>
      <c r="H1000" s="125">
        <v>1</v>
      </c>
      <c r="I1000" s="65" t="s">
        <v>84</v>
      </c>
      <c r="J1000" s="26">
        <v>5000000</v>
      </c>
      <c r="K1000" s="47"/>
      <c r="L1000" s="42">
        <f t="shared" ref="L1000" si="34">J1000*H1000</f>
        <v>5000000</v>
      </c>
    </row>
    <row r="1001" spans="2:12" x14ac:dyDescent="0.35">
      <c r="B1001" s="150"/>
      <c r="C1001" s="87"/>
      <c r="D1001" s="69"/>
      <c r="E1001" s="70"/>
      <c r="F1001" s="71" t="s">
        <v>90</v>
      </c>
      <c r="G1001" s="27" t="s">
        <v>831</v>
      </c>
      <c r="H1001" s="80"/>
      <c r="I1001" s="65"/>
      <c r="J1001" s="55"/>
      <c r="K1001" s="47"/>
      <c r="L1001" s="42"/>
    </row>
    <row r="1002" spans="2:12" x14ac:dyDescent="0.35">
      <c r="B1002" s="148"/>
      <c r="C1002" s="154"/>
      <c r="D1002" s="69"/>
      <c r="E1002" s="132"/>
      <c r="F1002" s="71" t="s">
        <v>90</v>
      </c>
      <c r="G1002" s="27" t="s">
        <v>832</v>
      </c>
      <c r="H1002" s="80"/>
      <c r="I1002" s="65"/>
      <c r="J1002" s="55"/>
      <c r="K1002" s="55"/>
      <c r="L1002" s="42"/>
    </row>
    <row r="1003" spans="2:12" x14ac:dyDescent="0.35">
      <c r="B1003" s="86"/>
      <c r="C1003" s="89"/>
      <c r="D1003" s="69"/>
      <c r="E1003" s="186"/>
      <c r="F1003" s="71" t="s">
        <v>90</v>
      </c>
      <c r="G1003" s="27" t="s">
        <v>833</v>
      </c>
      <c r="H1003" s="80"/>
      <c r="I1003" s="65"/>
      <c r="J1003" s="55"/>
      <c r="K1003" s="47"/>
      <c r="L1003" s="42"/>
    </row>
    <row r="1004" spans="2:12" x14ac:dyDescent="0.35">
      <c r="B1004" s="150"/>
      <c r="C1004" s="87"/>
      <c r="D1004" s="69"/>
      <c r="E1004" s="70"/>
      <c r="F1004" s="71" t="s">
        <v>90</v>
      </c>
      <c r="G1004" s="27" t="s">
        <v>834</v>
      </c>
      <c r="H1004" s="125"/>
      <c r="I1004" s="65"/>
      <c r="J1004" s="55"/>
      <c r="K1004" s="47"/>
      <c r="L1004" s="42"/>
    </row>
    <row r="1005" spans="2:12" x14ac:dyDescent="0.35">
      <c r="B1005" s="115"/>
      <c r="C1005" s="88"/>
      <c r="D1005" s="69" t="s">
        <v>67</v>
      </c>
      <c r="E1005" s="88"/>
      <c r="F1005" s="71" t="s">
        <v>843</v>
      </c>
      <c r="G1005" s="27"/>
      <c r="H1005" s="125">
        <v>1</v>
      </c>
      <c r="I1005" s="65" t="s">
        <v>84</v>
      </c>
      <c r="J1005" s="26">
        <v>5000000</v>
      </c>
      <c r="K1005" s="47"/>
      <c r="L1005" s="42">
        <f t="shared" ref="L1005" si="35">J1005*H1005</f>
        <v>5000000</v>
      </c>
    </row>
    <row r="1006" spans="2:12" x14ac:dyDescent="0.35">
      <c r="B1006" s="150"/>
      <c r="C1006" s="87"/>
      <c r="D1006" s="69"/>
      <c r="E1006" s="70"/>
      <c r="F1006" s="71" t="s">
        <v>90</v>
      </c>
      <c r="G1006" s="27" t="s">
        <v>831</v>
      </c>
      <c r="H1006" s="80"/>
      <c r="I1006" s="65"/>
      <c r="J1006" s="55"/>
      <c r="K1006" s="47"/>
      <c r="L1006" s="42"/>
    </row>
    <row r="1007" spans="2:12" x14ac:dyDescent="0.35">
      <c r="B1007" s="148"/>
      <c r="C1007" s="154"/>
      <c r="D1007" s="69"/>
      <c r="E1007" s="132"/>
      <c r="F1007" s="71" t="s">
        <v>90</v>
      </c>
      <c r="G1007" s="27" t="s">
        <v>121</v>
      </c>
      <c r="H1007" s="80"/>
      <c r="I1007" s="65"/>
      <c r="J1007" s="55"/>
      <c r="K1007" s="47"/>
      <c r="L1007" s="42"/>
    </row>
    <row r="1008" spans="2:12" x14ac:dyDescent="0.35">
      <c r="B1008" s="148"/>
      <c r="C1008" s="154"/>
      <c r="D1008" s="69"/>
      <c r="E1008" s="132"/>
      <c r="F1008" s="71" t="s">
        <v>90</v>
      </c>
      <c r="G1008" s="27" t="s">
        <v>844</v>
      </c>
      <c r="H1008" s="80"/>
      <c r="I1008" s="65"/>
      <c r="J1008" s="55"/>
      <c r="K1008" s="47"/>
      <c r="L1008" s="42"/>
    </row>
    <row r="1009" spans="2:12" x14ac:dyDescent="0.35">
      <c r="B1009" s="50"/>
      <c r="C1009" s="51"/>
      <c r="D1009" s="21"/>
      <c r="E1009" s="70"/>
      <c r="F1009" s="71"/>
      <c r="G1009" s="27"/>
      <c r="H1009" s="125"/>
      <c r="I1009" s="65"/>
      <c r="J1009" s="55"/>
      <c r="K1009" s="47"/>
      <c r="L1009" s="42"/>
    </row>
    <row r="1010" spans="2:12" x14ac:dyDescent="0.35">
      <c r="B1010" s="43"/>
      <c r="C1010" s="44"/>
      <c r="D1010" s="21"/>
      <c r="G1010" s="20"/>
      <c r="I1010" s="20"/>
      <c r="J1010" s="46"/>
      <c r="K1010" s="26"/>
      <c r="L1010" s="48"/>
    </row>
    <row r="1011" spans="2:12" x14ac:dyDescent="0.35">
      <c r="B1011" s="8"/>
      <c r="C1011" s="9"/>
      <c r="D1011" s="10"/>
      <c r="E1011" s="4"/>
      <c r="F1011" s="4"/>
      <c r="G1011" s="4"/>
      <c r="H1011" s="1"/>
      <c r="I1011" s="1"/>
      <c r="J1011" s="11" t="s">
        <v>8</v>
      </c>
      <c r="K1011" s="7">
        <f>SUM(K958:K1010)</f>
        <v>0</v>
      </c>
      <c r="L1011" s="7">
        <f>SUM(L958:L1010)</f>
        <v>60500000</v>
      </c>
    </row>
    <row r="1012" spans="2:12" x14ac:dyDescent="0.35">
      <c r="B1012" s="8"/>
      <c r="C1012" s="9"/>
      <c r="D1012" s="9"/>
      <c r="E1012" s="4"/>
      <c r="F1012" s="4"/>
      <c r="G1012" s="4"/>
      <c r="H1012" s="1"/>
      <c r="I1012" s="1"/>
      <c r="J1012" s="11"/>
      <c r="K1012" s="32" t="s">
        <v>13</v>
      </c>
      <c r="L1012" s="33" t="s">
        <v>14</v>
      </c>
    </row>
    <row r="1013" spans="2:12" x14ac:dyDescent="0.35">
      <c r="B1013" s="3" t="s">
        <v>9</v>
      </c>
      <c r="C1013" s="4"/>
      <c r="D1013" s="4"/>
      <c r="E1013" s="4"/>
      <c r="F1013" s="4"/>
      <c r="G1013" s="4"/>
      <c r="H1013" s="1"/>
      <c r="I1013" s="1"/>
      <c r="J1013" s="12"/>
      <c r="K1013" s="12"/>
      <c r="L1013" s="13"/>
    </row>
    <row r="1014" spans="2:12" x14ac:dyDescent="0.35">
      <c r="B1014" s="34"/>
      <c r="C1014" s="1"/>
      <c r="D1014" s="1"/>
      <c r="E1014" s="35"/>
      <c r="F1014" s="35"/>
      <c r="G1014" s="35"/>
      <c r="H1014" s="1"/>
      <c r="I1014" s="1"/>
      <c r="J1014" s="1"/>
      <c r="K1014" s="1"/>
      <c r="L1014" s="17"/>
    </row>
    <row r="1015" spans="2:12" x14ac:dyDescent="0.35">
      <c r="B1015" s="25" t="s">
        <v>6</v>
      </c>
      <c r="C1015" s="24"/>
      <c r="D1015" s="24"/>
      <c r="E1015" s="23"/>
      <c r="F1015" s="23"/>
      <c r="G1015" s="5"/>
      <c r="K1015" s="227" t="s">
        <v>1292</v>
      </c>
      <c r="L1015" s="228"/>
    </row>
    <row r="1016" spans="2:12" x14ac:dyDescent="0.35">
      <c r="B1016" s="25">
        <v>1</v>
      </c>
      <c r="C1016" s="24"/>
      <c r="D1016" s="24"/>
      <c r="E1016" s="23" t="s">
        <v>7</v>
      </c>
      <c r="F1016" s="23"/>
      <c r="G1016" s="5"/>
      <c r="K1016" s="227" t="s">
        <v>18</v>
      </c>
      <c r="L1016" s="228"/>
    </row>
    <row r="1017" spans="2:12" x14ac:dyDescent="0.35">
      <c r="B1017" s="36"/>
      <c r="C1017" s="24"/>
      <c r="D1017" s="24"/>
      <c r="E1017" s="23"/>
      <c r="F1017" s="23"/>
      <c r="G1017" s="5"/>
      <c r="J1017" s="22"/>
      <c r="K1017" s="22"/>
      <c r="L1017" s="21"/>
    </row>
    <row r="1018" spans="2:12" x14ac:dyDescent="0.35">
      <c r="B1018" s="25"/>
      <c r="C1018" s="24"/>
      <c r="D1018" s="24"/>
      <c r="E1018" s="23"/>
      <c r="F1018" s="23"/>
      <c r="G1018" s="5"/>
      <c r="L1018" s="20"/>
    </row>
    <row r="1019" spans="2:12" x14ac:dyDescent="0.35">
      <c r="B1019" s="41"/>
      <c r="E1019" s="5"/>
      <c r="F1019" s="5"/>
      <c r="G1019" s="5"/>
      <c r="L1019" s="20"/>
    </row>
    <row r="1020" spans="2:12" x14ac:dyDescent="0.35">
      <c r="B1020" s="41"/>
      <c r="E1020" s="5"/>
      <c r="F1020" s="5"/>
      <c r="G1020" s="5"/>
      <c r="L1020" s="20"/>
    </row>
    <row r="1021" spans="2:12" x14ac:dyDescent="0.35">
      <c r="B1021" s="41"/>
      <c r="E1021" s="5"/>
      <c r="F1021" s="5"/>
      <c r="G1021" s="5"/>
      <c r="L1021" s="20"/>
    </row>
    <row r="1022" spans="2:12" x14ac:dyDescent="0.35">
      <c r="B1022" s="41"/>
      <c r="E1022" s="5"/>
      <c r="F1022" s="5"/>
      <c r="G1022" s="5"/>
      <c r="J1022" s="37"/>
      <c r="K1022" s="229" t="s">
        <v>26</v>
      </c>
      <c r="L1022" s="230"/>
    </row>
    <row r="1023" spans="2:12" x14ac:dyDescent="0.35">
      <c r="B1023" s="41"/>
      <c r="K1023" s="231" t="s">
        <v>27</v>
      </c>
      <c r="L1023" s="232"/>
    </row>
    <row r="1024" spans="2:12" x14ac:dyDescent="0.35">
      <c r="B1024" s="233"/>
      <c r="C1024" s="234"/>
      <c r="D1024" s="234"/>
      <c r="E1024" s="38"/>
      <c r="F1024" s="38"/>
      <c r="G1024" s="38"/>
      <c r="H1024" s="2"/>
      <c r="I1024" s="2"/>
      <c r="J1024" s="2"/>
      <c r="K1024" s="2"/>
      <c r="L1024" s="19"/>
    </row>
    <row r="1025" spans="2:12" x14ac:dyDescent="0.35">
      <c r="B1025" s="43"/>
      <c r="C1025" s="44"/>
      <c r="D1025" s="45"/>
      <c r="G1025" s="20"/>
      <c r="H1025" s="1"/>
      <c r="I1025" s="1"/>
      <c r="J1025" s="39"/>
      <c r="K1025" s="27"/>
      <c r="L1025" s="40"/>
    </row>
    <row r="1026" spans="2:12" x14ac:dyDescent="0.35">
      <c r="B1026" s="86"/>
      <c r="C1026" s="89"/>
      <c r="D1026" s="69"/>
      <c r="E1026" s="186"/>
      <c r="F1026" s="71" t="s">
        <v>90</v>
      </c>
      <c r="G1026" s="27" t="s">
        <v>833</v>
      </c>
      <c r="H1026" s="80"/>
      <c r="I1026" s="65"/>
      <c r="J1026" s="55"/>
      <c r="K1026" s="55"/>
      <c r="L1026" s="42"/>
    </row>
    <row r="1027" spans="2:12" x14ac:dyDescent="0.35">
      <c r="B1027" s="150"/>
      <c r="C1027" s="87"/>
      <c r="D1027" s="69"/>
      <c r="E1027" s="70"/>
      <c r="F1027" s="71" t="s">
        <v>90</v>
      </c>
      <c r="G1027" s="27" t="s">
        <v>834</v>
      </c>
      <c r="H1027" s="125"/>
      <c r="I1027" s="65"/>
      <c r="J1027" s="26"/>
      <c r="K1027" s="47"/>
      <c r="L1027" s="42"/>
    </row>
    <row r="1028" spans="2:12" x14ac:dyDescent="0.35">
      <c r="B1028" s="115"/>
      <c r="C1028" s="88"/>
      <c r="D1028" s="69" t="s">
        <v>188</v>
      </c>
      <c r="E1028" s="88"/>
      <c r="F1028" s="71" t="s">
        <v>845</v>
      </c>
      <c r="G1028" s="27"/>
      <c r="H1028" s="125">
        <v>1</v>
      </c>
      <c r="I1028" s="65" t="s">
        <v>84</v>
      </c>
      <c r="J1028" s="26">
        <v>5000000</v>
      </c>
      <c r="K1028" s="55"/>
      <c r="L1028" s="42">
        <f t="shared" ref="L1028" si="36">J1028*H1028</f>
        <v>5000000</v>
      </c>
    </row>
    <row r="1029" spans="2:12" x14ac:dyDescent="0.35">
      <c r="B1029" s="150"/>
      <c r="C1029" s="87"/>
      <c r="D1029" s="69"/>
      <c r="E1029" s="70"/>
      <c r="F1029" s="71" t="s">
        <v>90</v>
      </c>
      <c r="G1029" s="27" t="s">
        <v>846</v>
      </c>
      <c r="H1029" s="80"/>
      <c r="I1029" s="65"/>
      <c r="J1029" s="55"/>
      <c r="K1029" s="47"/>
      <c r="L1029" s="42"/>
    </row>
    <row r="1030" spans="2:12" x14ac:dyDescent="0.35">
      <c r="B1030" s="148"/>
      <c r="C1030" s="154"/>
      <c r="D1030" s="69"/>
      <c r="E1030" s="132"/>
      <c r="F1030" s="71" t="s">
        <v>90</v>
      </c>
      <c r="G1030" s="27" t="s">
        <v>847</v>
      </c>
      <c r="H1030" s="80"/>
      <c r="I1030" s="65"/>
      <c r="J1030" s="55"/>
      <c r="K1030" s="73"/>
      <c r="L1030" s="42"/>
    </row>
    <row r="1031" spans="2:12" x14ac:dyDescent="0.35">
      <c r="B1031" s="86"/>
      <c r="C1031" s="89"/>
      <c r="D1031" s="69"/>
      <c r="E1031" s="186"/>
      <c r="F1031" s="71" t="s">
        <v>90</v>
      </c>
      <c r="G1031" s="27" t="s">
        <v>848</v>
      </c>
      <c r="H1031" s="80"/>
      <c r="I1031" s="65"/>
      <c r="J1031" s="55"/>
      <c r="K1031" s="47"/>
      <c r="L1031" s="42"/>
    </row>
    <row r="1032" spans="2:12" x14ac:dyDescent="0.35">
      <c r="B1032" s="150"/>
      <c r="C1032" s="87"/>
      <c r="D1032" s="69"/>
      <c r="E1032" s="70"/>
      <c r="F1032" s="71" t="s">
        <v>90</v>
      </c>
      <c r="G1032" s="27" t="s">
        <v>834</v>
      </c>
      <c r="H1032" s="125"/>
      <c r="I1032" s="65"/>
      <c r="J1032" s="55"/>
      <c r="K1032" s="47"/>
      <c r="L1032" s="42"/>
    </row>
    <row r="1033" spans="2:12" x14ac:dyDescent="0.35">
      <c r="B1033" s="115"/>
      <c r="C1033" s="88"/>
      <c r="D1033" s="69" t="s">
        <v>190</v>
      </c>
      <c r="E1033" s="88"/>
      <c r="F1033" s="71" t="s">
        <v>849</v>
      </c>
      <c r="G1033" s="27"/>
      <c r="H1033" s="125">
        <v>2</v>
      </c>
      <c r="I1033" s="65" t="s">
        <v>82</v>
      </c>
      <c r="J1033" s="26">
        <v>3500000</v>
      </c>
      <c r="K1033" s="47"/>
      <c r="L1033" s="42">
        <f t="shared" ref="L1033" si="37">J1033*H1033</f>
        <v>7000000</v>
      </c>
    </row>
    <row r="1034" spans="2:12" x14ac:dyDescent="0.35">
      <c r="B1034" s="150"/>
      <c r="C1034" s="87"/>
      <c r="D1034" s="69"/>
      <c r="E1034" s="70"/>
      <c r="F1034" s="71" t="s">
        <v>90</v>
      </c>
      <c r="G1034" s="27" t="s">
        <v>850</v>
      </c>
      <c r="H1034" s="80"/>
      <c r="I1034" s="65"/>
      <c r="J1034" s="26"/>
      <c r="K1034" s="47"/>
      <c r="L1034" s="42"/>
    </row>
    <row r="1035" spans="2:12" x14ac:dyDescent="0.35">
      <c r="B1035" s="150"/>
      <c r="C1035" s="87"/>
      <c r="D1035" s="69"/>
      <c r="E1035" s="70"/>
      <c r="F1035" s="71" t="s">
        <v>90</v>
      </c>
      <c r="G1035" s="27" t="s">
        <v>831</v>
      </c>
      <c r="H1035" s="80"/>
      <c r="I1035" s="65"/>
      <c r="J1035" s="26"/>
      <c r="K1035" s="47"/>
      <c r="L1035" s="42"/>
    </row>
    <row r="1036" spans="2:12" x14ac:dyDescent="0.35">
      <c r="B1036" s="148"/>
      <c r="C1036" s="154"/>
      <c r="D1036" s="69"/>
      <c r="E1036" s="132"/>
      <c r="F1036" s="71" t="s">
        <v>90</v>
      </c>
      <c r="G1036" s="27" t="s">
        <v>851</v>
      </c>
      <c r="H1036" s="80"/>
      <c r="I1036" s="65"/>
      <c r="J1036" s="26"/>
      <c r="K1036" s="47"/>
      <c r="L1036" s="42"/>
    </row>
    <row r="1037" spans="2:12" x14ac:dyDescent="0.35">
      <c r="B1037" s="86"/>
      <c r="C1037" s="89"/>
      <c r="D1037" s="69"/>
      <c r="E1037" s="186"/>
      <c r="F1037" s="132" t="s">
        <v>90</v>
      </c>
      <c r="G1037" s="183" t="s">
        <v>852</v>
      </c>
      <c r="H1037" s="184"/>
      <c r="I1037" s="185"/>
      <c r="J1037" s="26"/>
      <c r="K1037" s="47"/>
      <c r="L1037" s="53"/>
    </row>
    <row r="1038" spans="2:12" x14ac:dyDescent="0.35">
      <c r="B1038" s="86"/>
      <c r="C1038" s="89"/>
      <c r="D1038" s="69"/>
      <c r="E1038" s="186"/>
      <c r="F1038" s="71" t="s">
        <v>90</v>
      </c>
      <c r="G1038" s="27" t="s">
        <v>841</v>
      </c>
      <c r="H1038" s="80"/>
      <c r="I1038" s="65"/>
      <c r="J1038" s="26"/>
      <c r="K1038" s="47"/>
      <c r="L1038" s="42"/>
    </row>
    <row r="1039" spans="2:12" x14ac:dyDescent="0.35">
      <c r="B1039" s="150"/>
      <c r="C1039" s="87"/>
      <c r="D1039" s="69"/>
      <c r="E1039" s="70"/>
      <c r="F1039" s="71" t="s">
        <v>90</v>
      </c>
      <c r="G1039" s="27" t="s">
        <v>834</v>
      </c>
      <c r="H1039" s="125"/>
      <c r="I1039" s="65"/>
      <c r="J1039" s="26"/>
      <c r="K1039" s="26"/>
      <c r="L1039" s="48"/>
    </row>
    <row r="1040" spans="2:12" x14ac:dyDescent="0.35">
      <c r="B1040" s="181" t="s">
        <v>120</v>
      </c>
      <c r="C1040" s="87"/>
      <c r="D1040" s="62"/>
      <c r="E1040" s="67" t="s">
        <v>122</v>
      </c>
      <c r="F1040" s="64"/>
      <c r="G1040" s="65"/>
      <c r="H1040" s="80"/>
      <c r="I1040" s="60"/>
      <c r="J1040" s="46"/>
      <c r="K1040" s="26"/>
      <c r="L1040" s="48"/>
    </row>
    <row r="1041" spans="2:12" x14ac:dyDescent="0.35">
      <c r="B1041" s="177"/>
      <c r="C1041" s="177" t="s">
        <v>198</v>
      </c>
      <c r="D1041" s="69"/>
      <c r="E1041" s="70"/>
      <c r="F1041" s="71" t="s">
        <v>123</v>
      </c>
      <c r="G1041" s="27"/>
      <c r="H1041" s="80"/>
      <c r="I1041" s="60"/>
      <c r="J1041" s="46"/>
      <c r="K1041" s="26"/>
      <c r="L1041" s="48"/>
    </row>
    <row r="1042" spans="2:12" x14ac:dyDescent="0.35">
      <c r="B1042" s="86"/>
      <c r="C1042" s="88"/>
      <c r="D1042" s="69" t="s">
        <v>29</v>
      </c>
      <c r="E1042" s="71"/>
      <c r="F1042" s="71" t="s">
        <v>124</v>
      </c>
      <c r="G1042" s="27"/>
      <c r="H1042" s="149"/>
      <c r="I1042" s="60"/>
      <c r="J1042" s="46"/>
      <c r="K1042" s="26"/>
      <c r="L1042" s="48"/>
    </row>
    <row r="1043" spans="2:12" x14ac:dyDescent="0.35">
      <c r="B1043" s="86"/>
      <c r="C1043" s="89"/>
      <c r="D1043" s="88"/>
      <c r="E1043" s="70"/>
      <c r="F1043" s="71" t="s">
        <v>90</v>
      </c>
      <c r="G1043" s="27" t="s">
        <v>853</v>
      </c>
      <c r="H1043" s="80">
        <f>3*2.28*8*7.85*4</f>
        <v>1718.2079999999999</v>
      </c>
      <c r="I1043" s="60" t="s">
        <v>91</v>
      </c>
      <c r="J1043" s="55">
        <v>28500</v>
      </c>
      <c r="K1043" s="26"/>
      <c r="L1043" s="42">
        <f t="shared" ref="L1043:L1054" si="38">J1043*H1043</f>
        <v>48968927.999999993</v>
      </c>
    </row>
    <row r="1044" spans="2:12" x14ac:dyDescent="0.35">
      <c r="B1044" s="150"/>
      <c r="C1044" s="87"/>
      <c r="D1044" s="69"/>
      <c r="E1044" s="70"/>
      <c r="F1044" s="71" t="s">
        <v>90</v>
      </c>
      <c r="G1044" s="27" t="s">
        <v>125</v>
      </c>
      <c r="H1044" s="80">
        <f>3*3*8*7.85</f>
        <v>565.19999999999993</v>
      </c>
      <c r="I1044" s="60" t="s">
        <v>91</v>
      </c>
      <c r="J1044" s="55">
        <v>28500</v>
      </c>
      <c r="K1044" s="26"/>
      <c r="L1044" s="42">
        <f t="shared" si="38"/>
        <v>16108199.999999998</v>
      </c>
    </row>
    <row r="1045" spans="2:12" x14ac:dyDescent="0.35">
      <c r="B1045" s="150"/>
      <c r="C1045" s="87"/>
      <c r="D1045" s="69"/>
      <c r="E1045" s="70"/>
      <c r="F1045" s="71" t="s">
        <v>90</v>
      </c>
      <c r="G1045" s="27" t="s">
        <v>854</v>
      </c>
      <c r="H1045" s="80">
        <f>3*3.01*12*7.85</f>
        <v>850.62599999999986</v>
      </c>
      <c r="I1045" s="60" t="s">
        <v>91</v>
      </c>
      <c r="J1045" s="55">
        <v>28500</v>
      </c>
      <c r="K1045" s="26"/>
      <c r="L1045" s="42">
        <f t="shared" si="38"/>
        <v>24242840.999999996</v>
      </c>
    </row>
    <row r="1046" spans="2:12" x14ac:dyDescent="0.35">
      <c r="B1046" s="150"/>
      <c r="C1046" s="87"/>
      <c r="D1046" s="69"/>
      <c r="E1046" s="88"/>
      <c r="F1046" s="71" t="s">
        <v>90</v>
      </c>
      <c r="G1046" s="27" t="s">
        <v>855</v>
      </c>
      <c r="H1046" s="80">
        <f>0.16*8*7.85*1.77*1.2</f>
        <v>21.341952000000003</v>
      </c>
      <c r="I1046" s="60" t="s">
        <v>91</v>
      </c>
      <c r="J1046" s="55">
        <v>28500</v>
      </c>
      <c r="K1046" s="26"/>
      <c r="L1046" s="42">
        <f t="shared" si="38"/>
        <v>608245.6320000001</v>
      </c>
    </row>
    <row r="1047" spans="2:12" x14ac:dyDescent="0.35">
      <c r="B1047" s="150"/>
      <c r="C1047" s="87"/>
      <c r="D1047" s="69"/>
      <c r="E1047" s="88"/>
      <c r="F1047" s="71" t="s">
        <v>90</v>
      </c>
      <c r="G1047" s="27" t="s">
        <v>856</v>
      </c>
      <c r="H1047" s="80">
        <f>0.16*8*7.85*2.15*1.2*15</f>
        <v>388.85759999999993</v>
      </c>
      <c r="I1047" s="60" t="s">
        <v>91</v>
      </c>
      <c r="J1047" s="55">
        <v>28500</v>
      </c>
      <c r="K1047" s="26"/>
      <c r="L1047" s="42">
        <f t="shared" si="38"/>
        <v>11082441.599999998</v>
      </c>
    </row>
    <row r="1048" spans="2:12" x14ac:dyDescent="0.35">
      <c r="B1048" s="70"/>
      <c r="C1048" s="84"/>
      <c r="D1048" s="69"/>
      <c r="E1048" s="70"/>
      <c r="F1048" s="71" t="s">
        <v>90</v>
      </c>
      <c r="G1048" s="27" t="s">
        <v>857</v>
      </c>
      <c r="H1048" s="80">
        <f>49.9*2.25*1.2</f>
        <v>134.72999999999999</v>
      </c>
      <c r="I1048" s="60" t="s">
        <v>91</v>
      </c>
      <c r="J1048" s="55">
        <v>28500</v>
      </c>
      <c r="K1048" s="26"/>
      <c r="L1048" s="42">
        <f t="shared" si="38"/>
        <v>3839804.9999999995</v>
      </c>
    </row>
    <row r="1049" spans="2:12" x14ac:dyDescent="0.35">
      <c r="B1049" s="150"/>
      <c r="C1049" s="87"/>
      <c r="D1049" s="69"/>
      <c r="E1049" s="88"/>
      <c r="F1049" s="71" t="s">
        <v>90</v>
      </c>
      <c r="G1049" s="27" t="s">
        <v>858</v>
      </c>
      <c r="H1049" s="80">
        <f>0.16*8*7.85*0.56*1.2*8</f>
        <v>54.018048000000007</v>
      </c>
      <c r="I1049" s="60" t="s">
        <v>91</v>
      </c>
      <c r="J1049" s="55">
        <v>28500</v>
      </c>
      <c r="K1049" s="26"/>
      <c r="L1049" s="42">
        <f t="shared" si="38"/>
        <v>1539514.3680000002</v>
      </c>
    </row>
    <row r="1050" spans="2:12" x14ac:dyDescent="0.35">
      <c r="B1050" s="150"/>
      <c r="C1050" s="87"/>
      <c r="D1050" s="69"/>
      <c r="E1050" s="88"/>
      <c r="F1050" s="71" t="s">
        <v>90</v>
      </c>
      <c r="G1050" s="27" t="s">
        <v>859</v>
      </c>
      <c r="H1050" s="80">
        <f>0.16*8*7.85*2.93*1.2*4</f>
        <v>141.31507200000001</v>
      </c>
      <c r="I1050" s="60" t="s">
        <v>91</v>
      </c>
      <c r="J1050" s="55">
        <v>28500</v>
      </c>
      <c r="K1050" s="26"/>
      <c r="L1050" s="42">
        <f t="shared" si="38"/>
        <v>4027479.5520000006</v>
      </c>
    </row>
    <row r="1051" spans="2:12" x14ac:dyDescent="0.35">
      <c r="B1051" s="86"/>
      <c r="C1051" s="89"/>
      <c r="D1051" s="69"/>
      <c r="E1051" s="182"/>
      <c r="F1051" s="132" t="s">
        <v>90</v>
      </c>
      <c r="G1051" s="183" t="s">
        <v>860</v>
      </c>
      <c r="H1051" s="184">
        <f>0.0508*8*2*7.85*1.2*2</f>
        <v>15.313151999999999</v>
      </c>
      <c r="I1051" s="185" t="s">
        <v>91</v>
      </c>
      <c r="J1051" s="55">
        <v>28500</v>
      </c>
      <c r="K1051" s="26"/>
      <c r="L1051" s="42">
        <f t="shared" si="38"/>
        <v>436424.83199999994</v>
      </c>
    </row>
    <row r="1052" spans="2:12" x14ac:dyDescent="0.35">
      <c r="B1052" s="86"/>
      <c r="C1052" s="89"/>
      <c r="D1052" s="69"/>
      <c r="E1052" s="182"/>
      <c r="F1052" s="132" t="s">
        <v>90</v>
      </c>
      <c r="G1052" s="183" t="s">
        <v>861</v>
      </c>
      <c r="H1052" s="184">
        <f>0.0508*8*0.5*7.85*1.2*8</f>
        <v>15.313151999999999</v>
      </c>
      <c r="I1052" s="185" t="s">
        <v>91</v>
      </c>
      <c r="J1052" s="55">
        <v>28500</v>
      </c>
      <c r="K1052" s="26"/>
      <c r="L1052" s="42">
        <f t="shared" si="38"/>
        <v>436424.83199999994</v>
      </c>
    </row>
    <row r="1053" spans="2:12" x14ac:dyDescent="0.35">
      <c r="B1053" s="148"/>
      <c r="C1053" s="154"/>
      <c r="D1053" s="69"/>
      <c r="E1053" s="164"/>
      <c r="F1053" s="71" t="s">
        <v>90</v>
      </c>
      <c r="G1053" s="102" t="s">
        <v>862</v>
      </c>
      <c r="H1053" s="80">
        <f>0.86*0.21*8*7.85*1.2</f>
        <v>13.610015999999998</v>
      </c>
      <c r="I1053" s="60" t="s">
        <v>91</v>
      </c>
      <c r="J1053" s="55">
        <v>28500</v>
      </c>
      <c r="K1053" s="26"/>
      <c r="L1053" s="42">
        <f t="shared" si="38"/>
        <v>387885.45599999995</v>
      </c>
    </row>
    <row r="1054" spans="2:12" x14ac:dyDescent="0.35">
      <c r="B1054" s="91"/>
      <c r="C1054" s="89"/>
      <c r="D1054" s="69"/>
      <c r="E1054" s="164"/>
      <c r="F1054" s="71" t="s">
        <v>90</v>
      </c>
      <c r="G1054" s="102" t="s">
        <v>126</v>
      </c>
      <c r="H1054" s="187">
        <v>1</v>
      </c>
      <c r="I1054" s="185" t="s">
        <v>31</v>
      </c>
      <c r="J1054" s="46">
        <v>1500000</v>
      </c>
      <c r="K1054" s="26"/>
      <c r="L1054" s="42">
        <f t="shared" si="38"/>
        <v>1500000</v>
      </c>
    </row>
    <row r="1055" spans="2:12" x14ac:dyDescent="0.35">
      <c r="B1055" s="91"/>
      <c r="C1055" s="89"/>
      <c r="D1055" s="69" t="s">
        <v>32</v>
      </c>
      <c r="E1055" s="164"/>
      <c r="F1055" s="71" t="s">
        <v>127</v>
      </c>
      <c r="G1055" s="102"/>
      <c r="H1055" s="103">
        <v>1</v>
      </c>
      <c r="I1055" s="98" t="s">
        <v>82</v>
      </c>
      <c r="J1055" s="26">
        <v>5550000</v>
      </c>
      <c r="K1055" s="47"/>
      <c r="L1055" s="42">
        <f>J1055*H1055</f>
        <v>5550000</v>
      </c>
    </row>
    <row r="1056" spans="2:12" x14ac:dyDescent="0.35">
      <c r="B1056" s="148"/>
      <c r="C1056" s="154"/>
      <c r="D1056" s="69"/>
      <c r="E1056" s="164"/>
      <c r="F1056" s="71" t="s">
        <v>90</v>
      </c>
      <c r="G1056" s="102" t="s">
        <v>863</v>
      </c>
      <c r="H1056" s="80"/>
      <c r="I1056" s="60"/>
      <c r="J1056" s="26"/>
      <c r="K1056" s="47"/>
      <c r="L1056" s="42"/>
    </row>
    <row r="1057" spans="2:12" x14ac:dyDescent="0.35">
      <c r="B1057" s="86"/>
      <c r="C1057" s="89"/>
      <c r="D1057" s="69"/>
      <c r="E1057" s="186"/>
      <c r="F1057" s="132" t="s">
        <v>90</v>
      </c>
      <c r="G1057" s="183" t="s">
        <v>864</v>
      </c>
      <c r="H1057" s="97"/>
      <c r="I1057" s="98"/>
      <c r="J1057" s="26"/>
      <c r="K1057" s="47"/>
      <c r="L1057" s="42"/>
    </row>
    <row r="1058" spans="2:12" x14ac:dyDescent="0.35">
      <c r="B1058" s="86"/>
      <c r="C1058" s="89"/>
      <c r="D1058" s="69"/>
      <c r="E1058" s="182"/>
      <c r="F1058" s="132" t="s">
        <v>90</v>
      </c>
      <c r="G1058" s="183" t="s">
        <v>865</v>
      </c>
      <c r="H1058" s="97"/>
      <c r="I1058" s="98"/>
      <c r="J1058" s="26"/>
      <c r="K1058" s="47"/>
      <c r="L1058" s="42"/>
    </row>
    <row r="1059" spans="2:12" x14ac:dyDescent="0.35">
      <c r="B1059" s="86"/>
      <c r="C1059" s="89"/>
      <c r="D1059" s="69"/>
      <c r="E1059" s="182"/>
      <c r="F1059" s="132" t="s">
        <v>90</v>
      </c>
      <c r="G1059" s="183" t="s">
        <v>866</v>
      </c>
      <c r="H1059" s="97"/>
      <c r="I1059" s="98"/>
      <c r="J1059" s="26"/>
      <c r="K1059" s="55"/>
      <c r="L1059" s="42"/>
    </row>
    <row r="1060" spans="2:12" x14ac:dyDescent="0.35">
      <c r="B1060" s="115"/>
      <c r="C1060" s="87"/>
      <c r="D1060" s="69"/>
      <c r="E1060" s="132"/>
      <c r="F1060" s="132" t="s">
        <v>90</v>
      </c>
      <c r="G1060" s="183" t="s">
        <v>867</v>
      </c>
      <c r="H1060" s="97"/>
      <c r="I1060" s="98"/>
      <c r="J1060" s="26"/>
      <c r="K1060" s="55"/>
      <c r="L1060" s="42"/>
    </row>
    <row r="1061" spans="2:12" x14ac:dyDescent="0.35">
      <c r="B1061" s="86"/>
      <c r="C1061" s="154"/>
      <c r="D1061" s="69"/>
      <c r="E1061" s="132"/>
      <c r="F1061" s="71" t="s">
        <v>90</v>
      </c>
      <c r="G1061" s="27" t="s">
        <v>128</v>
      </c>
      <c r="H1061" s="97"/>
      <c r="I1061" s="98"/>
      <c r="J1061" s="26"/>
      <c r="K1061" s="55"/>
      <c r="L1061" s="42"/>
    </row>
    <row r="1062" spans="2:12" x14ac:dyDescent="0.35">
      <c r="B1062" s="91"/>
      <c r="C1062" s="89"/>
      <c r="D1062" s="69"/>
      <c r="E1062" s="164"/>
      <c r="F1062" s="71" t="s">
        <v>90</v>
      </c>
      <c r="G1062" s="102" t="s">
        <v>868</v>
      </c>
      <c r="H1062" s="104"/>
      <c r="I1062" s="101"/>
      <c r="J1062" s="55"/>
      <c r="K1062" s="55"/>
      <c r="L1062" s="42"/>
    </row>
    <row r="1063" spans="2:12" x14ac:dyDescent="0.35">
      <c r="B1063" s="91"/>
      <c r="C1063" s="89"/>
      <c r="D1063" s="69"/>
      <c r="E1063" s="164"/>
      <c r="F1063" s="71" t="s">
        <v>90</v>
      </c>
      <c r="G1063" s="102" t="s">
        <v>869</v>
      </c>
      <c r="H1063" s="104"/>
      <c r="I1063" s="98"/>
      <c r="J1063" s="55"/>
      <c r="K1063" s="55"/>
      <c r="L1063" s="42"/>
    </row>
    <row r="1064" spans="2:12" x14ac:dyDescent="0.35">
      <c r="B1064" s="91"/>
      <c r="C1064" s="89"/>
      <c r="D1064" s="69"/>
      <c r="E1064" s="164"/>
      <c r="F1064" s="71" t="s">
        <v>90</v>
      </c>
      <c r="G1064" s="102" t="s">
        <v>870</v>
      </c>
      <c r="H1064" s="97"/>
      <c r="I1064" s="98"/>
      <c r="J1064" s="78"/>
      <c r="K1064" s="78"/>
      <c r="L1064" s="42"/>
    </row>
    <row r="1065" spans="2:12" x14ac:dyDescent="0.35">
      <c r="B1065" s="91"/>
      <c r="C1065" s="89"/>
      <c r="D1065" s="69"/>
      <c r="E1065" s="164"/>
      <c r="F1065" s="71" t="s">
        <v>90</v>
      </c>
      <c r="G1065" s="102" t="s">
        <v>871</v>
      </c>
      <c r="H1065" s="104"/>
      <c r="I1065" s="101"/>
      <c r="J1065" s="78"/>
      <c r="K1065" s="78"/>
      <c r="L1065" s="42"/>
    </row>
    <row r="1066" spans="2:12" x14ac:dyDescent="0.35">
      <c r="B1066" s="86"/>
      <c r="C1066" s="89"/>
      <c r="D1066" s="69"/>
      <c r="E1066" s="164"/>
      <c r="F1066" s="71" t="s">
        <v>90</v>
      </c>
      <c r="G1066" s="27" t="s">
        <v>1259</v>
      </c>
      <c r="H1066" s="103"/>
      <c r="I1066" s="96"/>
      <c r="J1066" s="94"/>
      <c r="K1066" s="59"/>
      <c r="L1066" s="42"/>
    </row>
    <row r="1067" spans="2:12" x14ac:dyDescent="0.35">
      <c r="B1067" s="177"/>
      <c r="C1067" s="177"/>
      <c r="D1067" s="69" t="s">
        <v>34</v>
      </c>
      <c r="E1067" s="88"/>
      <c r="F1067" s="124" t="s">
        <v>129</v>
      </c>
      <c r="G1067" s="49"/>
      <c r="H1067" s="107">
        <v>1</v>
      </c>
      <c r="I1067" s="108" t="s">
        <v>84</v>
      </c>
      <c r="J1067" s="48">
        <v>2000000</v>
      </c>
      <c r="K1067" s="78"/>
      <c r="L1067" s="42">
        <f>J1067*H1067</f>
        <v>2000000</v>
      </c>
    </row>
    <row r="1068" spans="2:12" x14ac:dyDescent="0.35">
      <c r="B1068" s="177"/>
      <c r="C1068" s="177"/>
      <c r="D1068" s="69"/>
      <c r="E1068" s="88"/>
      <c r="F1068" s="71" t="s">
        <v>90</v>
      </c>
      <c r="G1068" s="65" t="s">
        <v>1260</v>
      </c>
      <c r="H1068" s="107"/>
      <c r="I1068" s="108"/>
      <c r="J1068" s="46"/>
      <c r="K1068" s="57"/>
      <c r="L1068" s="42"/>
    </row>
    <row r="1069" spans="2:12" x14ac:dyDescent="0.35">
      <c r="B1069" s="177"/>
      <c r="C1069" s="177"/>
      <c r="D1069" s="69"/>
      <c r="E1069" s="88"/>
      <c r="F1069" s="109" t="s">
        <v>90</v>
      </c>
      <c r="G1069" s="65" t="s">
        <v>1261</v>
      </c>
      <c r="H1069" s="110"/>
      <c r="I1069" s="111"/>
      <c r="J1069" s="48"/>
      <c r="K1069" s="78"/>
      <c r="L1069" s="42"/>
    </row>
    <row r="1070" spans="2:12" x14ac:dyDescent="0.35">
      <c r="B1070" s="177"/>
      <c r="C1070" s="177"/>
      <c r="D1070" s="69"/>
      <c r="E1070" s="88"/>
      <c r="F1070" s="109" t="s">
        <v>90</v>
      </c>
      <c r="G1070" s="65" t="s">
        <v>1262</v>
      </c>
      <c r="H1070" s="110"/>
      <c r="I1070" s="111"/>
      <c r="J1070" s="48"/>
      <c r="K1070" s="78"/>
      <c r="L1070" s="42"/>
    </row>
    <row r="1071" spans="2:12" x14ac:dyDescent="0.35">
      <c r="B1071" s="177"/>
      <c r="C1071" s="177"/>
      <c r="D1071" s="69"/>
      <c r="E1071" s="88"/>
      <c r="F1071" s="109" t="s">
        <v>90</v>
      </c>
      <c r="G1071" s="65" t="s">
        <v>1263</v>
      </c>
      <c r="H1071" s="110"/>
      <c r="I1071" s="111"/>
      <c r="J1071" s="48"/>
      <c r="K1071" s="78"/>
      <c r="L1071" s="42"/>
    </row>
    <row r="1072" spans="2:12" x14ac:dyDescent="0.35">
      <c r="B1072" s="177"/>
      <c r="C1072" s="177"/>
      <c r="D1072" s="69"/>
      <c r="E1072" s="88"/>
      <c r="F1072" s="109" t="s">
        <v>90</v>
      </c>
      <c r="G1072" s="65" t="s">
        <v>872</v>
      </c>
      <c r="H1072" s="110"/>
      <c r="I1072" s="111"/>
      <c r="J1072" s="48"/>
      <c r="K1072" s="78"/>
      <c r="L1072" s="42"/>
    </row>
    <row r="1073" spans="2:12" x14ac:dyDescent="0.35">
      <c r="B1073" s="177"/>
      <c r="C1073" s="177"/>
      <c r="D1073" s="69" t="s">
        <v>36</v>
      </c>
      <c r="E1073" s="88"/>
      <c r="F1073" s="109" t="s">
        <v>130</v>
      </c>
      <c r="G1073" s="65"/>
      <c r="H1073" s="107">
        <v>1</v>
      </c>
      <c r="I1073" s="108" t="s">
        <v>84</v>
      </c>
      <c r="J1073" s="48">
        <v>2000000</v>
      </c>
      <c r="K1073" s="78"/>
      <c r="L1073" s="42">
        <f>J1073*H1073</f>
        <v>2000000</v>
      </c>
    </row>
    <row r="1074" spans="2:12" x14ac:dyDescent="0.35">
      <c r="B1074" s="177"/>
      <c r="C1074" s="177"/>
      <c r="D1074" s="69"/>
      <c r="E1074" s="88"/>
      <c r="F1074" s="109" t="s">
        <v>90</v>
      </c>
      <c r="G1074" s="65" t="s">
        <v>1264</v>
      </c>
      <c r="H1074" s="110"/>
      <c r="I1074" s="111"/>
      <c r="J1074" s="48"/>
      <c r="K1074" s="78"/>
      <c r="L1074" s="42"/>
    </row>
    <row r="1075" spans="2:12" x14ac:dyDescent="0.35">
      <c r="B1075" s="177"/>
      <c r="C1075" s="177"/>
      <c r="D1075" s="69"/>
      <c r="E1075" s="88"/>
      <c r="F1075" s="109" t="s">
        <v>90</v>
      </c>
      <c r="G1075" s="65" t="s">
        <v>873</v>
      </c>
      <c r="H1075" s="110"/>
      <c r="I1075" s="111"/>
      <c r="J1075" s="48"/>
      <c r="K1075" s="78"/>
      <c r="L1075" s="42"/>
    </row>
    <row r="1076" spans="2:12" x14ac:dyDescent="0.35">
      <c r="B1076" s="43"/>
      <c r="C1076" s="44"/>
      <c r="D1076" s="21"/>
      <c r="G1076" s="20"/>
      <c r="I1076" s="20"/>
      <c r="J1076" s="46"/>
      <c r="K1076" s="26"/>
      <c r="L1076" s="48"/>
    </row>
    <row r="1077" spans="2:12" x14ac:dyDescent="0.35">
      <c r="B1077" s="43"/>
      <c r="C1077" s="44"/>
      <c r="D1077" s="21"/>
      <c r="G1077" s="20"/>
      <c r="I1077" s="20"/>
      <c r="J1077" s="46"/>
      <c r="K1077" s="26"/>
      <c r="L1077" s="48"/>
    </row>
    <row r="1078" spans="2:12" x14ac:dyDescent="0.35">
      <c r="B1078" s="8"/>
      <c r="C1078" s="9"/>
      <c r="D1078" s="10"/>
      <c r="E1078" s="4"/>
      <c r="F1078" s="4"/>
      <c r="G1078" s="4"/>
      <c r="H1078" s="1"/>
      <c r="I1078" s="1"/>
      <c r="J1078" s="11" t="s">
        <v>8</v>
      </c>
      <c r="K1078" s="7">
        <f>SUM(K1025:K1077)</f>
        <v>0</v>
      </c>
      <c r="L1078" s="7">
        <f>SUM(L1025:L1077)</f>
        <v>134728190.27199998</v>
      </c>
    </row>
    <row r="1079" spans="2:12" x14ac:dyDescent="0.35">
      <c r="B1079" s="8"/>
      <c r="C1079" s="9"/>
      <c r="D1079" s="9"/>
      <c r="E1079" s="4"/>
      <c r="F1079" s="4"/>
      <c r="G1079" s="4"/>
      <c r="H1079" s="1"/>
      <c r="I1079" s="1"/>
      <c r="J1079" s="11"/>
      <c r="K1079" s="32" t="s">
        <v>13</v>
      </c>
      <c r="L1079" s="33" t="s">
        <v>14</v>
      </c>
    </row>
    <row r="1080" spans="2:12" x14ac:dyDescent="0.35">
      <c r="B1080" s="3" t="s">
        <v>9</v>
      </c>
      <c r="C1080" s="4"/>
      <c r="D1080" s="4"/>
      <c r="E1080" s="4"/>
      <c r="F1080" s="4"/>
      <c r="G1080" s="4"/>
      <c r="H1080" s="1"/>
      <c r="I1080" s="1"/>
      <c r="J1080" s="12"/>
      <c r="K1080" s="12"/>
      <c r="L1080" s="13"/>
    </row>
    <row r="1081" spans="2:12" x14ac:dyDescent="0.35">
      <c r="B1081" s="34"/>
      <c r="C1081" s="1"/>
      <c r="D1081" s="1"/>
      <c r="E1081" s="35"/>
      <c r="F1081" s="35"/>
      <c r="G1081" s="35"/>
      <c r="H1081" s="1"/>
      <c r="I1081" s="1"/>
      <c r="J1081" s="1"/>
      <c r="K1081" s="1"/>
      <c r="L1081" s="17"/>
    </row>
    <row r="1082" spans="2:12" x14ac:dyDescent="0.35">
      <c r="B1082" s="25" t="s">
        <v>6</v>
      </c>
      <c r="C1082" s="24"/>
      <c r="D1082" s="24"/>
      <c r="E1082" s="23"/>
      <c r="F1082" s="23"/>
      <c r="G1082" s="5"/>
      <c r="K1082" s="227" t="s">
        <v>1292</v>
      </c>
      <c r="L1082" s="228"/>
    </row>
    <row r="1083" spans="2:12" x14ac:dyDescent="0.35">
      <c r="B1083" s="25">
        <v>1</v>
      </c>
      <c r="C1083" s="24"/>
      <c r="D1083" s="24"/>
      <c r="E1083" s="23" t="s">
        <v>7</v>
      </c>
      <c r="F1083" s="23"/>
      <c r="G1083" s="5"/>
      <c r="K1083" s="227" t="s">
        <v>18</v>
      </c>
      <c r="L1083" s="228"/>
    </row>
    <row r="1084" spans="2:12" x14ac:dyDescent="0.35">
      <c r="B1084" s="36"/>
      <c r="C1084" s="24"/>
      <c r="D1084" s="24"/>
      <c r="E1084" s="23"/>
      <c r="F1084" s="23"/>
      <c r="G1084" s="5"/>
      <c r="J1084" s="22"/>
      <c r="K1084" s="22"/>
      <c r="L1084" s="21"/>
    </row>
    <row r="1085" spans="2:12" x14ac:dyDescent="0.35">
      <c r="B1085" s="25"/>
      <c r="C1085" s="24"/>
      <c r="D1085" s="24"/>
      <c r="E1085" s="23"/>
      <c r="F1085" s="23"/>
      <c r="G1085" s="5"/>
      <c r="L1085" s="20"/>
    </row>
    <row r="1086" spans="2:12" x14ac:dyDescent="0.35">
      <c r="B1086" s="41"/>
      <c r="E1086" s="5"/>
      <c r="F1086" s="5"/>
      <c r="G1086" s="5"/>
      <c r="L1086" s="20"/>
    </row>
    <row r="1087" spans="2:12" x14ac:dyDescent="0.35">
      <c r="B1087" s="41"/>
      <c r="E1087" s="5"/>
      <c r="F1087" s="5"/>
      <c r="G1087" s="5"/>
      <c r="L1087" s="20"/>
    </row>
    <row r="1088" spans="2:12" x14ac:dyDescent="0.35">
      <c r="B1088" s="41"/>
      <c r="E1088" s="5"/>
      <c r="F1088" s="5"/>
      <c r="G1088" s="5"/>
      <c r="L1088" s="20"/>
    </row>
    <row r="1089" spans="2:12" x14ac:dyDescent="0.35">
      <c r="B1089" s="41"/>
      <c r="E1089" s="5"/>
      <c r="F1089" s="5"/>
      <c r="G1089" s="5"/>
      <c r="J1089" s="37"/>
      <c r="K1089" s="229" t="s">
        <v>26</v>
      </c>
      <c r="L1089" s="230"/>
    </row>
    <row r="1090" spans="2:12" x14ac:dyDescent="0.35">
      <c r="B1090" s="41"/>
      <c r="K1090" s="231" t="s">
        <v>27</v>
      </c>
      <c r="L1090" s="232"/>
    </row>
    <row r="1091" spans="2:12" x14ac:dyDescent="0.35">
      <c r="B1091" s="233"/>
      <c r="C1091" s="234"/>
      <c r="D1091" s="234"/>
      <c r="E1091" s="38"/>
      <c r="F1091" s="38"/>
      <c r="G1091" s="38"/>
      <c r="H1091" s="2"/>
      <c r="I1091" s="2"/>
      <c r="J1091" s="2"/>
      <c r="K1091" s="2"/>
      <c r="L1091" s="19"/>
    </row>
    <row r="1092" spans="2:12" x14ac:dyDescent="0.35">
      <c r="B1092" s="43"/>
      <c r="C1092" s="44"/>
      <c r="D1092" s="45"/>
      <c r="G1092" s="20"/>
      <c r="H1092" s="1"/>
      <c r="I1092" s="1"/>
      <c r="J1092" s="39"/>
      <c r="K1092" s="27"/>
      <c r="L1092" s="40"/>
    </row>
    <row r="1093" spans="2:12" x14ac:dyDescent="0.35">
      <c r="B1093" s="86"/>
      <c r="C1093" s="89"/>
      <c r="D1093" s="69"/>
      <c r="E1093" s="164"/>
      <c r="F1093" s="109" t="s">
        <v>90</v>
      </c>
      <c r="G1093" s="65" t="s">
        <v>874</v>
      </c>
      <c r="H1093" s="114"/>
      <c r="I1093" s="111"/>
      <c r="J1093" s="55"/>
      <c r="K1093" s="55"/>
      <c r="L1093" s="42"/>
    </row>
    <row r="1094" spans="2:12" x14ac:dyDescent="0.35">
      <c r="B1094" s="115"/>
      <c r="C1094" s="87"/>
      <c r="D1094" s="69"/>
      <c r="E1094" s="88"/>
      <c r="F1094" s="109" t="s">
        <v>90</v>
      </c>
      <c r="G1094" s="65" t="s">
        <v>875</v>
      </c>
      <c r="H1094" s="114"/>
      <c r="I1094" s="111"/>
      <c r="J1094" s="26"/>
      <c r="K1094" s="47"/>
      <c r="L1094" s="42"/>
    </row>
    <row r="1095" spans="2:12" x14ac:dyDescent="0.35">
      <c r="B1095" s="115"/>
      <c r="C1095" s="87"/>
      <c r="D1095" s="69"/>
      <c r="E1095" s="88"/>
      <c r="F1095" s="109" t="s">
        <v>90</v>
      </c>
      <c r="G1095" s="65" t="s">
        <v>876</v>
      </c>
      <c r="H1095" s="114"/>
      <c r="I1095" s="111"/>
      <c r="J1095" s="55"/>
      <c r="K1095" s="55"/>
      <c r="L1095" s="42"/>
    </row>
    <row r="1096" spans="2:12" x14ac:dyDescent="0.35">
      <c r="B1096" s="115"/>
      <c r="C1096" s="87"/>
      <c r="D1096" s="69"/>
      <c r="E1096" s="88"/>
      <c r="F1096" s="109" t="s">
        <v>90</v>
      </c>
      <c r="G1096" s="65" t="s">
        <v>877</v>
      </c>
      <c r="H1096" s="114"/>
      <c r="I1096" s="111"/>
      <c r="J1096" s="26"/>
      <c r="K1096" s="47"/>
      <c r="L1096" s="42"/>
    </row>
    <row r="1097" spans="2:12" x14ac:dyDescent="0.35">
      <c r="B1097" s="115"/>
      <c r="C1097" s="87"/>
      <c r="D1097" s="69"/>
      <c r="E1097" s="88"/>
      <c r="F1097" s="109" t="s">
        <v>90</v>
      </c>
      <c r="G1097" s="65" t="s">
        <v>878</v>
      </c>
      <c r="H1097" s="114"/>
      <c r="I1097" s="111"/>
      <c r="J1097" s="73"/>
      <c r="K1097" s="73"/>
      <c r="L1097" s="42"/>
    </row>
    <row r="1098" spans="2:12" x14ac:dyDescent="0.35">
      <c r="B1098" s="86"/>
      <c r="C1098" s="89"/>
      <c r="D1098" s="69" t="s">
        <v>38</v>
      </c>
      <c r="E1098" s="164"/>
      <c r="F1098" s="71" t="s">
        <v>879</v>
      </c>
      <c r="G1098" s="27"/>
      <c r="H1098" s="16">
        <v>1</v>
      </c>
      <c r="I1098" s="56" t="s">
        <v>84</v>
      </c>
      <c r="J1098" s="26">
        <v>7250000</v>
      </c>
      <c r="K1098" s="47"/>
      <c r="L1098" s="42">
        <f>J1098*H1098</f>
        <v>7250000</v>
      </c>
    </row>
    <row r="1099" spans="2:12" x14ac:dyDescent="0.35">
      <c r="B1099" s="86"/>
      <c r="C1099" s="89"/>
      <c r="D1099" s="69"/>
      <c r="E1099" s="164"/>
      <c r="F1099" s="71" t="s">
        <v>90</v>
      </c>
      <c r="G1099" s="27" t="s">
        <v>1265</v>
      </c>
      <c r="H1099" s="71"/>
      <c r="I1099" s="60"/>
      <c r="J1099" s="26"/>
      <c r="K1099" s="47"/>
      <c r="L1099" s="42"/>
    </row>
    <row r="1100" spans="2:12" x14ac:dyDescent="0.35">
      <c r="B1100" s="86"/>
      <c r="C1100" s="89"/>
      <c r="D1100" s="69"/>
      <c r="E1100" s="164"/>
      <c r="F1100" s="71" t="s">
        <v>90</v>
      </c>
      <c r="G1100" s="27" t="s">
        <v>1266</v>
      </c>
      <c r="H1100" s="71"/>
      <c r="I1100" s="60"/>
      <c r="J1100" s="26"/>
      <c r="K1100" s="47"/>
      <c r="L1100" s="42"/>
    </row>
    <row r="1101" spans="2:12" x14ac:dyDescent="0.35">
      <c r="B1101" s="86"/>
      <c r="C1101" s="89"/>
      <c r="D1101" s="69"/>
      <c r="E1101" s="164"/>
      <c r="F1101" s="71" t="s">
        <v>90</v>
      </c>
      <c r="G1101" s="27" t="s">
        <v>1267</v>
      </c>
      <c r="H1101" s="125"/>
      <c r="I1101" s="60"/>
      <c r="J1101" s="26"/>
      <c r="K1101" s="47"/>
      <c r="L1101" s="42"/>
    </row>
    <row r="1102" spans="2:12" x14ac:dyDescent="0.35">
      <c r="B1102" s="86"/>
      <c r="C1102" s="89"/>
      <c r="D1102" s="69"/>
      <c r="E1102" s="164"/>
      <c r="F1102" s="71" t="s">
        <v>90</v>
      </c>
      <c r="G1102" s="27" t="s">
        <v>131</v>
      </c>
      <c r="H1102" s="125"/>
      <c r="I1102" s="60"/>
      <c r="J1102" s="26"/>
      <c r="K1102" s="47"/>
      <c r="L1102" s="42"/>
    </row>
    <row r="1103" spans="2:12" x14ac:dyDescent="0.35">
      <c r="B1103" s="86"/>
      <c r="C1103" s="89"/>
      <c r="D1103" s="69"/>
      <c r="E1103" s="164"/>
      <c r="F1103" s="71" t="s">
        <v>90</v>
      </c>
      <c r="G1103" s="27" t="s">
        <v>1268</v>
      </c>
      <c r="H1103" s="125"/>
      <c r="I1103" s="60"/>
      <c r="J1103" s="26"/>
      <c r="K1103" s="47"/>
      <c r="L1103" s="42"/>
    </row>
    <row r="1104" spans="2:12" x14ac:dyDescent="0.35">
      <c r="B1104" s="86"/>
      <c r="C1104" s="89"/>
      <c r="D1104" s="69"/>
      <c r="E1104" s="164"/>
      <c r="F1104" s="71" t="s">
        <v>90</v>
      </c>
      <c r="G1104" s="27" t="s">
        <v>1269</v>
      </c>
      <c r="H1104" s="125"/>
      <c r="I1104" s="60"/>
      <c r="J1104" s="42"/>
      <c r="K1104" s="42"/>
      <c r="L1104" s="53"/>
    </row>
    <row r="1105" spans="2:12" x14ac:dyDescent="0.35">
      <c r="B1105" s="86"/>
      <c r="C1105" s="89"/>
      <c r="D1105" s="69"/>
      <c r="E1105" s="164"/>
      <c r="F1105" s="71" t="s">
        <v>90</v>
      </c>
      <c r="G1105" s="27" t="s">
        <v>1270</v>
      </c>
      <c r="H1105" s="125"/>
      <c r="I1105" s="60"/>
      <c r="J1105" s="55"/>
      <c r="K1105" s="55"/>
      <c r="L1105" s="42"/>
    </row>
    <row r="1106" spans="2:12" x14ac:dyDescent="0.35">
      <c r="B1106" s="190"/>
      <c r="C1106" s="119"/>
      <c r="D1106" s="130"/>
      <c r="E1106" s="124"/>
      <c r="F1106" s="191"/>
      <c r="G1106" s="60"/>
      <c r="H1106" s="192"/>
      <c r="I1106" s="49"/>
      <c r="J1106" s="46"/>
      <c r="K1106" s="26"/>
      <c r="L1106" s="48"/>
    </row>
    <row r="1107" spans="2:12" x14ac:dyDescent="0.35">
      <c r="B1107" s="70"/>
      <c r="C1107" s="89"/>
      <c r="D1107" s="193"/>
      <c r="E1107" s="75" t="s">
        <v>85</v>
      </c>
      <c r="F1107" s="76"/>
      <c r="G1107" s="77"/>
      <c r="H1107" s="139"/>
      <c r="I1107" s="60"/>
      <c r="J1107" s="46"/>
      <c r="K1107" s="26"/>
      <c r="L1107" s="48"/>
    </row>
    <row r="1108" spans="2:12" x14ac:dyDescent="0.35">
      <c r="B1108" s="162" t="s">
        <v>28</v>
      </c>
      <c r="C1108" s="159"/>
      <c r="D1108" s="163"/>
      <c r="E1108" s="164" t="s">
        <v>881</v>
      </c>
      <c r="F1108" s="128"/>
      <c r="G1108" s="156"/>
      <c r="H1108" s="71"/>
      <c r="I1108" s="95"/>
      <c r="J1108" s="46"/>
      <c r="K1108" s="26"/>
      <c r="L1108" s="48"/>
    </row>
    <row r="1109" spans="2:12" x14ac:dyDescent="0.35">
      <c r="B1109" s="86"/>
      <c r="C1109" s="89"/>
      <c r="D1109" s="88" t="s">
        <v>29</v>
      </c>
      <c r="E1109" s="70"/>
      <c r="F1109" s="71" t="s">
        <v>132</v>
      </c>
      <c r="G1109" s="27"/>
      <c r="H1109" s="71">
        <v>5183</v>
      </c>
      <c r="I1109" s="60" t="s">
        <v>47</v>
      </c>
      <c r="J1109" s="46">
        <v>70000</v>
      </c>
      <c r="K1109" s="26">
        <f>J1109*H1109</f>
        <v>362810000</v>
      </c>
      <c r="L1109" s="48"/>
    </row>
    <row r="1110" spans="2:12" x14ac:dyDescent="0.35">
      <c r="B1110" s="91"/>
      <c r="C1110" s="157"/>
      <c r="D1110" s="88" t="s">
        <v>32</v>
      </c>
      <c r="E1110" s="70"/>
      <c r="F1110" s="71" t="s">
        <v>133</v>
      </c>
      <c r="G1110" s="27"/>
      <c r="H1110" s="71">
        <v>5183</v>
      </c>
      <c r="I1110" s="60" t="s">
        <v>47</v>
      </c>
      <c r="J1110" s="46">
        <v>10000</v>
      </c>
      <c r="K1110" s="26">
        <f>J1110*H1110</f>
        <v>51830000</v>
      </c>
      <c r="L1110" s="48"/>
    </row>
    <row r="1111" spans="2:12" x14ac:dyDescent="0.35">
      <c r="B1111" s="70"/>
      <c r="C1111" s="88"/>
      <c r="D1111" s="62" t="s">
        <v>34</v>
      </c>
      <c r="E1111" s="63"/>
      <c r="F1111" s="64" t="s">
        <v>134</v>
      </c>
      <c r="G1111" s="65"/>
      <c r="H1111" s="112">
        <v>22</v>
      </c>
      <c r="I1111" s="60" t="s">
        <v>76</v>
      </c>
      <c r="J1111" s="46">
        <v>4500000</v>
      </c>
      <c r="K1111" s="26">
        <f>J1111*H1111</f>
        <v>99000000</v>
      </c>
      <c r="L1111" s="48"/>
    </row>
    <row r="1112" spans="2:12" x14ac:dyDescent="0.35">
      <c r="B1112" s="148" t="s">
        <v>45</v>
      </c>
      <c r="C1112" s="154"/>
      <c r="D1112" s="155"/>
      <c r="E1112" s="128" t="s">
        <v>135</v>
      </c>
      <c r="F1112" s="128"/>
      <c r="G1112" s="156"/>
      <c r="H1112" s="71"/>
      <c r="I1112" s="71"/>
      <c r="J1112" s="46"/>
      <c r="K1112" s="26"/>
      <c r="L1112" s="48"/>
    </row>
    <row r="1113" spans="2:12" x14ac:dyDescent="0.35">
      <c r="B1113" s="150"/>
      <c r="C1113" s="87"/>
      <c r="D1113" s="69" t="s">
        <v>29</v>
      </c>
      <c r="E1113" s="71"/>
      <c r="F1113" s="71" t="s">
        <v>136</v>
      </c>
      <c r="G1113" s="27"/>
      <c r="H1113" s="71">
        <v>1</v>
      </c>
      <c r="I1113" s="49" t="s">
        <v>31</v>
      </c>
      <c r="J1113" s="46">
        <v>7500000</v>
      </c>
      <c r="K1113" s="26">
        <f>J1113*H1113</f>
        <v>7500000</v>
      </c>
      <c r="L1113" s="48"/>
    </row>
    <row r="1114" spans="2:12" x14ac:dyDescent="0.35">
      <c r="B1114" s="115"/>
      <c r="C1114" s="87"/>
      <c r="D1114" s="69"/>
      <c r="E1114" s="88"/>
      <c r="F1114" s="71"/>
      <c r="G1114" s="27"/>
      <c r="H1114" s="71"/>
      <c r="I1114" s="60"/>
      <c r="J1114" s="46"/>
      <c r="K1114" s="26"/>
      <c r="L1114" s="48"/>
    </row>
    <row r="1115" spans="2:12" x14ac:dyDescent="0.35">
      <c r="B1115" s="148"/>
      <c r="C1115" s="154"/>
      <c r="D1115" s="66"/>
      <c r="E1115" s="75" t="s">
        <v>137</v>
      </c>
      <c r="F1115" s="76"/>
      <c r="G1115" s="77"/>
      <c r="H1115" s="172"/>
      <c r="I1115" s="173"/>
      <c r="J1115" s="46"/>
      <c r="K1115" s="26"/>
      <c r="L1115" s="48"/>
    </row>
    <row r="1116" spans="2:12" x14ac:dyDescent="0.35">
      <c r="B1116" s="148" t="s">
        <v>28</v>
      </c>
      <c r="C1116" s="87"/>
      <c r="D1116" s="62"/>
      <c r="E1116" s="67" t="s">
        <v>882</v>
      </c>
      <c r="F1116" s="64"/>
      <c r="G1116" s="65"/>
      <c r="H1116" s="174"/>
      <c r="I1116" s="93"/>
      <c r="J1116" s="46"/>
      <c r="K1116" s="26"/>
      <c r="L1116" s="48"/>
    </row>
    <row r="1117" spans="2:12" x14ac:dyDescent="0.35">
      <c r="B1117" s="148"/>
      <c r="C1117" s="87" t="s">
        <v>87</v>
      </c>
      <c r="D1117" s="62"/>
      <c r="E1117" s="67"/>
      <c r="F1117" s="64" t="s">
        <v>138</v>
      </c>
      <c r="G1117" s="65"/>
      <c r="H1117" s="175"/>
      <c r="I1117" s="93"/>
      <c r="J1117" s="46"/>
      <c r="K1117" s="26"/>
      <c r="L1117" s="48"/>
    </row>
    <row r="1118" spans="2:12" x14ac:dyDescent="0.35">
      <c r="B1118" s="86"/>
      <c r="C1118" s="89"/>
      <c r="D1118" s="69" t="s">
        <v>29</v>
      </c>
      <c r="E1118" s="70"/>
      <c r="F1118" s="71" t="s">
        <v>139</v>
      </c>
      <c r="G1118" s="27"/>
      <c r="H1118" s="80"/>
      <c r="I1118" s="60"/>
      <c r="J1118" s="46"/>
      <c r="K1118" s="26"/>
      <c r="L1118" s="48"/>
    </row>
    <row r="1119" spans="2:12" x14ac:dyDescent="0.35">
      <c r="B1119" s="86"/>
      <c r="C1119" s="89"/>
      <c r="D1119" s="69"/>
      <c r="E1119" s="70"/>
      <c r="F1119" s="71" t="s">
        <v>90</v>
      </c>
      <c r="G1119" s="27" t="s">
        <v>883</v>
      </c>
      <c r="H1119" s="80">
        <f>1.87*0.3*12*7.85*1.2</f>
        <v>63.415440000000004</v>
      </c>
      <c r="I1119" s="60" t="s">
        <v>91</v>
      </c>
      <c r="J1119" s="46">
        <v>30500</v>
      </c>
      <c r="K1119" s="26"/>
      <c r="L1119" s="42">
        <f>J1119*H1119</f>
        <v>1934170.9200000002</v>
      </c>
    </row>
    <row r="1120" spans="2:12" x14ac:dyDescent="0.35">
      <c r="B1120" s="91"/>
      <c r="C1120" s="119"/>
      <c r="D1120" s="130"/>
      <c r="E1120" s="89"/>
      <c r="F1120" s="124" t="s">
        <v>90</v>
      </c>
      <c r="G1120" s="49" t="s">
        <v>884</v>
      </c>
      <c r="H1120" s="80">
        <f>0.006165*50.8*50.8*2.47*1.2</f>
        <v>47.156189558400001</v>
      </c>
      <c r="I1120" s="27" t="s">
        <v>91</v>
      </c>
      <c r="J1120" s="46">
        <v>30500</v>
      </c>
      <c r="K1120" s="26"/>
      <c r="L1120" s="42">
        <f>J1120*H1120</f>
        <v>1438263.7815312</v>
      </c>
    </row>
    <row r="1121" spans="2:12" x14ac:dyDescent="0.35">
      <c r="B1121" s="158"/>
      <c r="C1121" s="84"/>
      <c r="D1121" s="69" t="s">
        <v>36</v>
      </c>
      <c r="E1121" s="70"/>
      <c r="F1121" s="71" t="s">
        <v>885</v>
      </c>
      <c r="G1121" s="27"/>
      <c r="H1121" s="80"/>
      <c r="I1121" s="60"/>
      <c r="J1121" s="46"/>
      <c r="K1121" s="26"/>
      <c r="L1121" s="48"/>
    </row>
    <row r="1122" spans="2:12" x14ac:dyDescent="0.35">
      <c r="B1122" s="148"/>
      <c r="C1122" s="87"/>
      <c r="D1122" s="69"/>
      <c r="E1122" s="70"/>
      <c r="F1122" s="71" t="s">
        <v>90</v>
      </c>
      <c r="G1122" s="27" t="s">
        <v>886</v>
      </c>
      <c r="H1122" s="80">
        <f>66.74*0.8*12*7.85</f>
        <v>5029.5263999999997</v>
      </c>
      <c r="I1122" s="60" t="s">
        <v>91</v>
      </c>
      <c r="J1122" s="46">
        <v>30500</v>
      </c>
      <c r="K1122" s="26"/>
      <c r="L1122" s="42">
        <f>J1122*H1122</f>
        <v>153400555.19999999</v>
      </c>
    </row>
    <row r="1123" spans="2:12" x14ac:dyDescent="0.35">
      <c r="B1123" s="150"/>
      <c r="C1123" s="87"/>
      <c r="D1123" s="130"/>
      <c r="E1123" s="89"/>
      <c r="F1123" s="124" t="s">
        <v>90</v>
      </c>
      <c r="G1123" s="49" t="s">
        <v>887</v>
      </c>
      <c r="H1123" s="80">
        <f>0.006165*50.8*50.8*2.9*1.2</f>
        <v>55.365566687999994</v>
      </c>
      <c r="I1123" s="27" t="s">
        <v>91</v>
      </c>
      <c r="J1123" s="46">
        <v>30500</v>
      </c>
      <c r="K1123" s="26"/>
      <c r="L1123" s="42">
        <f>J1123*H1123</f>
        <v>1688649.7839839999</v>
      </c>
    </row>
    <row r="1124" spans="2:12" x14ac:dyDescent="0.35">
      <c r="B1124" s="158"/>
      <c r="C1124" s="84"/>
      <c r="D1124" s="69" t="s">
        <v>34</v>
      </c>
      <c r="E1124" s="70"/>
      <c r="F1124" s="71" t="s">
        <v>888</v>
      </c>
      <c r="G1124" s="27"/>
      <c r="H1124" s="80"/>
      <c r="I1124" s="60"/>
      <c r="J1124" s="46"/>
      <c r="K1124" s="26"/>
      <c r="L1124" s="48"/>
    </row>
    <row r="1125" spans="2:12" x14ac:dyDescent="0.35">
      <c r="B1125" s="148"/>
      <c r="C1125" s="87"/>
      <c r="D1125" s="69"/>
      <c r="E1125" s="70"/>
      <c r="F1125" s="71" t="s">
        <v>90</v>
      </c>
      <c r="G1125" s="27" t="s">
        <v>889</v>
      </c>
      <c r="H1125" s="80">
        <f>3.67*0.81*12*7.85</f>
        <v>280.02834000000001</v>
      </c>
      <c r="I1125" s="60" t="s">
        <v>91</v>
      </c>
      <c r="J1125" s="46">
        <v>30500</v>
      </c>
      <c r="K1125" s="26"/>
      <c r="L1125" s="42">
        <f>J1125*H1125</f>
        <v>8540864.370000001</v>
      </c>
    </row>
    <row r="1126" spans="2:12" x14ac:dyDescent="0.35">
      <c r="B1126" s="158"/>
      <c r="C1126" s="84"/>
      <c r="D1126" s="69" t="s">
        <v>36</v>
      </c>
      <c r="E1126" s="70"/>
      <c r="F1126" s="71" t="s">
        <v>890</v>
      </c>
      <c r="G1126" s="27"/>
      <c r="H1126" s="80"/>
      <c r="I1126" s="60"/>
      <c r="J1126" s="46"/>
      <c r="K1126" s="26"/>
      <c r="L1126" s="48"/>
    </row>
    <row r="1127" spans="2:12" x14ac:dyDescent="0.35">
      <c r="B1127" s="148"/>
      <c r="C1127" s="87"/>
      <c r="D1127" s="69"/>
      <c r="E1127" s="70"/>
      <c r="F1127" s="71" t="s">
        <v>90</v>
      </c>
      <c r="G1127" s="27" t="s">
        <v>891</v>
      </c>
      <c r="H1127" s="80">
        <f>2.38*0.84*12*7.85</f>
        <v>188.32463999999996</v>
      </c>
      <c r="I1127" s="60" t="s">
        <v>91</v>
      </c>
      <c r="J1127" s="46">
        <v>30500</v>
      </c>
      <c r="K1127" s="26"/>
      <c r="L1127" s="42">
        <f>J1127*H1127</f>
        <v>5743901.5199999986</v>
      </c>
    </row>
    <row r="1128" spans="2:12" x14ac:dyDescent="0.35">
      <c r="B1128" s="148"/>
      <c r="C1128" s="87"/>
      <c r="D1128" s="69"/>
      <c r="E1128" s="70"/>
      <c r="F1128" s="124" t="s">
        <v>90</v>
      </c>
      <c r="G1128" s="49" t="s">
        <v>892</v>
      </c>
      <c r="H1128" s="80">
        <f>0.006165*50.8*50.8*2.51*1.2</f>
        <v>47.919852547199994</v>
      </c>
      <c r="I1128" s="27" t="s">
        <v>91</v>
      </c>
      <c r="J1128" s="46">
        <v>30500</v>
      </c>
      <c r="K1128" s="26"/>
      <c r="L1128" s="42">
        <f>J1128*H1128</f>
        <v>1461555.5026895998</v>
      </c>
    </row>
    <row r="1129" spans="2:12" x14ac:dyDescent="0.35">
      <c r="B1129" s="90"/>
      <c r="C1129" s="119"/>
      <c r="D1129" s="69" t="s">
        <v>38</v>
      </c>
      <c r="E1129" s="70"/>
      <c r="F1129" s="71" t="s">
        <v>140</v>
      </c>
      <c r="G1129" s="27"/>
      <c r="H1129" s="80"/>
      <c r="I1129" s="60"/>
      <c r="J1129" s="46"/>
      <c r="K1129" s="26"/>
      <c r="L1129" s="48"/>
    </row>
    <row r="1130" spans="2:12" x14ac:dyDescent="0.35">
      <c r="B1130" s="90"/>
      <c r="C1130" s="119"/>
      <c r="D1130" s="69"/>
      <c r="E1130" s="70"/>
      <c r="F1130" s="71" t="s">
        <v>90</v>
      </c>
      <c r="G1130" s="27" t="s">
        <v>893</v>
      </c>
      <c r="H1130" s="80">
        <f>1.63*0.3*12*7.85*1.2</f>
        <v>55.276559999999989</v>
      </c>
      <c r="I1130" s="60" t="s">
        <v>91</v>
      </c>
      <c r="J1130" s="46">
        <v>30500</v>
      </c>
      <c r="K1130" s="26"/>
      <c r="L1130" s="42">
        <f>J1130*H1130</f>
        <v>1685935.0799999996</v>
      </c>
    </row>
    <row r="1131" spans="2:12" x14ac:dyDescent="0.35">
      <c r="B1131" s="90"/>
      <c r="C1131" s="119"/>
      <c r="D1131" s="130"/>
      <c r="E1131" s="89"/>
      <c r="F1131" s="124" t="s">
        <v>90</v>
      </c>
      <c r="G1131" s="49" t="s">
        <v>894</v>
      </c>
      <c r="H1131" s="80">
        <f>0.006165*50.8*50.8*1.61*1.2</f>
        <v>30.737435299199998</v>
      </c>
      <c r="I1131" s="27" t="s">
        <v>91</v>
      </c>
      <c r="J1131" s="46">
        <v>30500</v>
      </c>
      <c r="K1131" s="26"/>
      <c r="L1131" s="42">
        <f>J1131*H1131</f>
        <v>937491.77662559994</v>
      </c>
    </row>
    <row r="1132" spans="2:12" x14ac:dyDescent="0.35">
      <c r="B1132" s="162"/>
      <c r="C1132" s="84"/>
      <c r="D1132" s="69" t="s">
        <v>39</v>
      </c>
      <c r="E1132" s="70"/>
      <c r="F1132" s="71" t="s">
        <v>141</v>
      </c>
      <c r="G1132" s="27"/>
      <c r="H1132" s="80"/>
      <c r="I1132" s="60"/>
      <c r="J1132" s="46"/>
      <c r="K1132" s="26"/>
      <c r="L1132" s="48"/>
    </row>
    <row r="1133" spans="2:12" x14ac:dyDescent="0.35">
      <c r="B1133" s="90"/>
      <c r="C1133" s="119"/>
      <c r="D1133" s="69"/>
      <c r="E1133" s="70"/>
      <c r="F1133" s="71" t="s">
        <v>90</v>
      </c>
      <c r="G1133" s="27" t="s">
        <v>895</v>
      </c>
      <c r="H1133" s="80">
        <f>1.52*0.5*12*7.85*1.2</f>
        <v>85.910399999999996</v>
      </c>
      <c r="I1133" s="60" t="s">
        <v>91</v>
      </c>
      <c r="J1133" s="46">
        <v>30500</v>
      </c>
      <c r="K1133" s="26"/>
      <c r="L1133" s="42">
        <f>J1133*H1133</f>
        <v>2620267.1999999997</v>
      </c>
    </row>
    <row r="1134" spans="2:12" x14ac:dyDescent="0.35">
      <c r="B1134" s="162"/>
      <c r="C1134" s="119"/>
      <c r="D1134" s="130"/>
      <c r="E1134" s="89"/>
      <c r="F1134" s="124" t="s">
        <v>90</v>
      </c>
      <c r="G1134" s="49" t="s">
        <v>896</v>
      </c>
      <c r="H1134" s="80">
        <f>0.006165*50.8*50.8*1.37*1.2</f>
        <v>26.155457366399997</v>
      </c>
      <c r="I1134" s="27" t="s">
        <v>91</v>
      </c>
      <c r="J1134" s="46">
        <v>30500</v>
      </c>
      <c r="K1134" s="26"/>
      <c r="L1134" s="42">
        <f>J1134*H1134</f>
        <v>797741.44967519992</v>
      </c>
    </row>
    <row r="1135" spans="2:12" x14ac:dyDescent="0.35">
      <c r="B1135" s="70"/>
      <c r="C1135" s="87"/>
      <c r="D1135" s="69" t="s">
        <v>41</v>
      </c>
      <c r="E1135" s="70"/>
      <c r="F1135" s="71" t="s">
        <v>897</v>
      </c>
      <c r="G1135" s="27"/>
      <c r="H1135" s="80"/>
      <c r="I1135" s="60"/>
      <c r="J1135" s="46"/>
      <c r="K1135" s="26"/>
      <c r="L1135" s="48"/>
    </row>
    <row r="1136" spans="2:12" x14ac:dyDescent="0.35">
      <c r="B1136" s="90"/>
      <c r="C1136" s="119"/>
      <c r="D1136" s="69"/>
      <c r="E1136" s="70"/>
      <c r="F1136" s="71" t="s">
        <v>90</v>
      </c>
      <c r="G1136" s="27" t="s">
        <v>898</v>
      </c>
      <c r="H1136" s="80">
        <f>6*0.81*12*7.85</f>
        <v>457.81200000000001</v>
      </c>
      <c r="I1136" s="60" t="s">
        <v>91</v>
      </c>
      <c r="J1136" s="46">
        <v>30500</v>
      </c>
      <c r="K1136" s="26"/>
      <c r="L1136" s="42">
        <f>J1136*H1136</f>
        <v>13963266</v>
      </c>
    </row>
    <row r="1137" spans="2:12" x14ac:dyDescent="0.35">
      <c r="B1137" s="90"/>
      <c r="C1137" s="119"/>
      <c r="D1137" s="69"/>
      <c r="E1137" s="70"/>
      <c r="F1137" s="71" t="s">
        <v>90</v>
      </c>
      <c r="G1137" s="27" t="s">
        <v>899</v>
      </c>
      <c r="H1137" s="80">
        <f>4.41*0.85*12*7.85</f>
        <v>353.1087</v>
      </c>
      <c r="I1137" s="60" t="s">
        <v>91</v>
      </c>
      <c r="J1137" s="46">
        <v>30500</v>
      </c>
      <c r="K1137" s="26"/>
      <c r="L1137" s="42">
        <f>J1137*H1137</f>
        <v>10769815.35</v>
      </c>
    </row>
    <row r="1138" spans="2:12" x14ac:dyDescent="0.35">
      <c r="B1138" s="148"/>
      <c r="C1138" s="87" t="s">
        <v>108</v>
      </c>
      <c r="D1138" s="62"/>
      <c r="E1138" s="67"/>
      <c r="F1138" s="64" t="s">
        <v>142</v>
      </c>
      <c r="G1138" s="65"/>
      <c r="H1138" s="175"/>
      <c r="I1138" s="93"/>
      <c r="J1138" s="46"/>
      <c r="K1138" s="26"/>
      <c r="L1138" s="48"/>
    </row>
    <row r="1139" spans="2:12" x14ac:dyDescent="0.35">
      <c r="B1139" s="86"/>
      <c r="C1139" s="89"/>
      <c r="D1139" s="69" t="s">
        <v>29</v>
      </c>
      <c r="E1139" s="70"/>
      <c r="F1139" s="71" t="s">
        <v>143</v>
      </c>
      <c r="G1139" s="27"/>
      <c r="H1139" s="80"/>
      <c r="I1139" s="60"/>
      <c r="J1139" s="46"/>
      <c r="K1139" s="26"/>
      <c r="L1139" s="48"/>
    </row>
    <row r="1140" spans="2:12" x14ac:dyDescent="0.35">
      <c r="B1140" s="86"/>
      <c r="C1140" s="89"/>
      <c r="D1140" s="69"/>
      <c r="E1140" s="70"/>
      <c r="F1140" s="71" t="s">
        <v>90</v>
      </c>
      <c r="G1140" s="27" t="s">
        <v>144</v>
      </c>
      <c r="H1140" s="80">
        <f>4*1.83*12*7.85</f>
        <v>689.54399999999998</v>
      </c>
      <c r="I1140" s="60" t="s">
        <v>91</v>
      </c>
      <c r="J1140" s="46">
        <v>30500</v>
      </c>
      <c r="K1140" s="26"/>
      <c r="L1140" s="42">
        <f>J1140*H1140</f>
        <v>21031092</v>
      </c>
    </row>
    <row r="1141" spans="2:12" x14ac:dyDescent="0.35">
      <c r="B1141" s="86"/>
      <c r="C1141" s="84"/>
      <c r="D1141" s="69" t="s">
        <v>32</v>
      </c>
      <c r="E1141" s="70"/>
      <c r="F1141" s="71" t="s">
        <v>145</v>
      </c>
      <c r="G1141" s="27"/>
      <c r="H1141" s="80"/>
      <c r="I1141" s="60"/>
      <c r="J1141" s="46"/>
      <c r="K1141" s="26"/>
      <c r="L1141" s="48"/>
    </row>
    <row r="1142" spans="2:12" x14ac:dyDescent="0.35">
      <c r="B1142" s="86"/>
      <c r="C1142" s="194"/>
      <c r="D1142" s="69"/>
      <c r="E1142" s="70"/>
      <c r="F1142" s="71" t="s">
        <v>90</v>
      </c>
      <c r="G1142" s="27" t="s">
        <v>900</v>
      </c>
      <c r="H1142" s="80">
        <f>6.1*1.84*12*7.85</f>
        <v>1057.3007999999998</v>
      </c>
      <c r="I1142" s="60" t="s">
        <v>91</v>
      </c>
      <c r="J1142" s="46">
        <v>30500</v>
      </c>
      <c r="K1142" s="26"/>
      <c r="L1142" s="42">
        <f>J1142*H1142</f>
        <v>32247674.399999991</v>
      </c>
    </row>
    <row r="1143" spans="2:12" x14ac:dyDescent="0.35">
      <c r="B1143" s="86"/>
      <c r="C1143" s="194"/>
      <c r="D1143" s="88"/>
      <c r="E1143" s="70"/>
      <c r="F1143" s="71"/>
      <c r="G1143" s="27"/>
      <c r="H1143" s="80"/>
      <c r="I1143" s="60"/>
      <c r="J1143" s="46"/>
      <c r="K1143" s="26"/>
      <c r="L1143" s="48"/>
    </row>
    <row r="1144" spans="2:12" x14ac:dyDescent="0.35">
      <c r="B1144" s="133"/>
      <c r="C1144" s="134"/>
      <c r="D1144" s="51"/>
      <c r="E1144" s="136"/>
      <c r="F1144" s="105"/>
      <c r="G1144" s="106"/>
      <c r="H1144" s="100"/>
      <c r="I1144" s="60"/>
      <c r="J1144" s="46"/>
      <c r="K1144" s="26"/>
      <c r="L1144" s="48"/>
    </row>
    <row r="1145" spans="2:12" x14ac:dyDescent="0.35">
      <c r="B1145" s="8"/>
      <c r="C1145" s="9"/>
      <c r="D1145" s="10"/>
      <c r="E1145" s="4"/>
      <c r="F1145" s="4"/>
      <c r="G1145" s="4"/>
      <c r="H1145" s="1"/>
      <c r="I1145" s="1"/>
      <c r="J1145" s="11" t="s">
        <v>8</v>
      </c>
      <c r="K1145" s="7">
        <f>SUM(K1092:K1144)</f>
        <v>521140000</v>
      </c>
      <c r="L1145" s="7">
        <f>SUM(L1092:L1144)</f>
        <v>265511244.33450562</v>
      </c>
    </row>
    <row r="1146" spans="2:12" x14ac:dyDescent="0.35">
      <c r="B1146" s="8"/>
      <c r="C1146" s="9"/>
      <c r="D1146" s="9"/>
      <c r="E1146" s="4"/>
      <c r="F1146" s="4"/>
      <c r="G1146" s="4"/>
      <c r="H1146" s="1"/>
      <c r="I1146" s="1"/>
      <c r="J1146" s="11"/>
      <c r="K1146" s="32" t="s">
        <v>13</v>
      </c>
      <c r="L1146" s="33" t="s">
        <v>14</v>
      </c>
    </row>
    <row r="1147" spans="2:12" x14ac:dyDescent="0.35">
      <c r="B1147" s="3" t="s">
        <v>9</v>
      </c>
      <c r="C1147" s="4"/>
      <c r="D1147" s="4"/>
      <c r="E1147" s="4"/>
      <c r="F1147" s="4"/>
      <c r="G1147" s="4"/>
      <c r="H1147" s="1"/>
      <c r="I1147" s="1"/>
      <c r="J1147" s="12"/>
      <c r="K1147" s="12"/>
      <c r="L1147" s="13"/>
    </row>
    <row r="1148" spans="2:12" x14ac:dyDescent="0.35">
      <c r="B1148" s="34"/>
      <c r="C1148" s="1"/>
      <c r="D1148" s="1"/>
      <c r="E1148" s="35"/>
      <c r="F1148" s="35"/>
      <c r="G1148" s="35"/>
      <c r="H1148" s="1"/>
      <c r="I1148" s="1"/>
      <c r="J1148" s="1"/>
      <c r="K1148" s="1"/>
      <c r="L1148" s="17"/>
    </row>
    <row r="1149" spans="2:12" x14ac:dyDescent="0.35">
      <c r="B1149" s="25" t="s">
        <v>6</v>
      </c>
      <c r="C1149" s="24"/>
      <c r="D1149" s="24"/>
      <c r="E1149" s="23"/>
      <c r="F1149" s="23"/>
      <c r="G1149" s="5"/>
      <c r="K1149" s="227" t="s">
        <v>1292</v>
      </c>
      <c r="L1149" s="228"/>
    </row>
    <row r="1150" spans="2:12" x14ac:dyDescent="0.35">
      <c r="B1150" s="25">
        <v>1</v>
      </c>
      <c r="C1150" s="24"/>
      <c r="D1150" s="24"/>
      <c r="E1150" s="23" t="s">
        <v>7</v>
      </c>
      <c r="F1150" s="23"/>
      <c r="G1150" s="5"/>
      <c r="K1150" s="227" t="s">
        <v>18</v>
      </c>
      <c r="L1150" s="228"/>
    </row>
    <row r="1151" spans="2:12" x14ac:dyDescent="0.35">
      <c r="B1151" s="36"/>
      <c r="C1151" s="24"/>
      <c r="D1151" s="24"/>
      <c r="E1151" s="23"/>
      <c r="F1151" s="23"/>
      <c r="G1151" s="5"/>
      <c r="J1151" s="22"/>
      <c r="K1151" s="22"/>
      <c r="L1151" s="21"/>
    </row>
    <row r="1152" spans="2:12" x14ac:dyDescent="0.35">
      <c r="B1152" s="25"/>
      <c r="C1152" s="24"/>
      <c r="D1152" s="24"/>
      <c r="E1152" s="23"/>
      <c r="F1152" s="23"/>
      <c r="G1152" s="5"/>
      <c r="L1152" s="20"/>
    </row>
    <row r="1153" spans="2:12" x14ac:dyDescent="0.35">
      <c r="B1153" s="41"/>
      <c r="E1153" s="5"/>
      <c r="F1153" s="5"/>
      <c r="G1153" s="5"/>
      <c r="L1153" s="20"/>
    </row>
    <row r="1154" spans="2:12" x14ac:dyDescent="0.35">
      <c r="B1154" s="41"/>
      <c r="E1154" s="5"/>
      <c r="F1154" s="5"/>
      <c r="G1154" s="5"/>
      <c r="L1154" s="20"/>
    </row>
    <row r="1155" spans="2:12" x14ac:dyDescent="0.35">
      <c r="B1155" s="41"/>
      <c r="E1155" s="5"/>
      <c r="F1155" s="5"/>
      <c r="G1155" s="5"/>
      <c r="L1155" s="20"/>
    </row>
    <row r="1156" spans="2:12" x14ac:dyDescent="0.35">
      <c r="B1156" s="41"/>
      <c r="E1156" s="5"/>
      <c r="F1156" s="5"/>
      <c r="G1156" s="5"/>
      <c r="J1156" s="37"/>
      <c r="K1156" s="229" t="s">
        <v>26</v>
      </c>
      <c r="L1156" s="230"/>
    </row>
    <row r="1157" spans="2:12" x14ac:dyDescent="0.35">
      <c r="B1157" s="41"/>
      <c r="K1157" s="231" t="s">
        <v>27</v>
      </c>
      <c r="L1157" s="232"/>
    </row>
    <row r="1158" spans="2:12" x14ac:dyDescent="0.35">
      <c r="B1158" s="233"/>
      <c r="C1158" s="234"/>
      <c r="D1158" s="234"/>
      <c r="E1158" s="38"/>
      <c r="F1158" s="38"/>
      <c r="G1158" s="38"/>
      <c r="H1158" s="2"/>
      <c r="I1158" s="2"/>
      <c r="J1158" s="2"/>
      <c r="K1158" s="2"/>
      <c r="L1158" s="19"/>
    </row>
    <row r="1159" spans="2:12" x14ac:dyDescent="0.35">
      <c r="B1159" s="43"/>
      <c r="C1159" s="44"/>
      <c r="D1159" s="45"/>
      <c r="G1159" s="20"/>
      <c r="H1159" s="1"/>
      <c r="I1159" s="1"/>
      <c r="J1159" s="39"/>
      <c r="K1159" s="27"/>
      <c r="L1159" s="40"/>
    </row>
    <row r="1160" spans="2:12" x14ac:dyDescent="0.35">
      <c r="B1160" s="150"/>
      <c r="C1160" s="89"/>
      <c r="D1160" s="69"/>
      <c r="E1160" s="88"/>
      <c r="F1160" s="71" t="s">
        <v>90</v>
      </c>
      <c r="G1160" s="27" t="s">
        <v>901</v>
      </c>
      <c r="H1160" s="80">
        <f>6.1*0.61*12*7.85</f>
        <v>350.51819999999992</v>
      </c>
      <c r="I1160" s="60" t="s">
        <v>91</v>
      </c>
      <c r="J1160" s="46">
        <v>30500</v>
      </c>
      <c r="K1160" s="55"/>
      <c r="L1160" s="42">
        <f>J1160*H1160</f>
        <v>10690805.099999998</v>
      </c>
    </row>
    <row r="1161" spans="2:12" x14ac:dyDescent="0.35">
      <c r="B1161" s="147"/>
      <c r="C1161" s="87"/>
      <c r="D1161" s="69" t="s">
        <v>34</v>
      </c>
      <c r="E1161" s="70"/>
      <c r="F1161" s="71" t="s">
        <v>146</v>
      </c>
      <c r="G1161" s="27"/>
      <c r="H1161" s="80"/>
      <c r="I1161" s="60"/>
      <c r="J1161" s="26"/>
      <c r="K1161" s="47"/>
      <c r="L1161" s="42"/>
    </row>
    <row r="1162" spans="2:12" x14ac:dyDescent="0.35">
      <c r="B1162" s="147"/>
      <c r="C1162" s="178"/>
      <c r="D1162" s="69"/>
      <c r="E1162" s="70"/>
      <c r="F1162" s="71" t="s">
        <v>90</v>
      </c>
      <c r="G1162" s="27" t="s">
        <v>902</v>
      </c>
      <c r="H1162" s="80">
        <f>6.1*1.83*12*7.85</f>
        <v>1051.5546000000002</v>
      </c>
      <c r="I1162" s="60" t="s">
        <v>91</v>
      </c>
      <c r="J1162" s="46">
        <v>30500</v>
      </c>
      <c r="K1162" s="55"/>
      <c r="L1162" s="42">
        <f t="shared" ref="L1162:L1169" si="39">J1162*H1162</f>
        <v>32072415.300000004</v>
      </c>
    </row>
    <row r="1163" spans="2:12" x14ac:dyDescent="0.35">
      <c r="B1163" s="147"/>
      <c r="C1163" s="178"/>
      <c r="D1163" s="69"/>
      <c r="E1163" s="70"/>
      <c r="F1163" s="71" t="s">
        <v>90</v>
      </c>
      <c r="G1163" s="27" t="s">
        <v>903</v>
      </c>
      <c r="H1163" s="80">
        <f>1.85*1.84*12*7.85</f>
        <v>320.65680000000003</v>
      </c>
      <c r="I1163" s="60" t="s">
        <v>91</v>
      </c>
      <c r="J1163" s="46">
        <v>30500</v>
      </c>
      <c r="K1163" s="47"/>
      <c r="L1163" s="42">
        <f t="shared" si="39"/>
        <v>9780032.4000000004</v>
      </c>
    </row>
    <row r="1164" spans="2:12" x14ac:dyDescent="0.35">
      <c r="B1164" s="147"/>
      <c r="C1164" s="178"/>
      <c r="D1164" s="69"/>
      <c r="E1164" s="88"/>
      <c r="F1164" s="71" t="s">
        <v>90</v>
      </c>
      <c r="G1164" s="27" t="s">
        <v>904</v>
      </c>
      <c r="H1164" s="80">
        <f>2.38*0.56*12*7.85*1.2</f>
        <v>150.65971200000001</v>
      </c>
      <c r="I1164" s="60" t="s">
        <v>91</v>
      </c>
      <c r="J1164" s="46">
        <v>30500</v>
      </c>
      <c r="K1164" s="73"/>
      <c r="L1164" s="42">
        <f t="shared" si="39"/>
        <v>4595121.216</v>
      </c>
    </row>
    <row r="1165" spans="2:12" x14ac:dyDescent="0.35">
      <c r="B1165" s="147"/>
      <c r="C1165" s="178"/>
      <c r="D1165" s="69"/>
      <c r="E1165" s="88"/>
      <c r="F1165" s="71" t="s">
        <v>90</v>
      </c>
      <c r="G1165" s="27" t="s">
        <v>905</v>
      </c>
      <c r="H1165" s="80">
        <f>3.73*0.44*12*7.85*1.2</f>
        <v>185.52124800000001</v>
      </c>
      <c r="I1165" s="60" t="s">
        <v>91</v>
      </c>
      <c r="J1165" s="46">
        <v>30500</v>
      </c>
      <c r="K1165" s="47"/>
      <c r="L1165" s="42">
        <f t="shared" si="39"/>
        <v>5658398.0640000002</v>
      </c>
    </row>
    <row r="1166" spans="2:12" x14ac:dyDescent="0.35">
      <c r="B1166" s="120"/>
      <c r="C1166" s="89"/>
      <c r="D1166" s="188"/>
      <c r="E1166" s="189"/>
      <c r="F1166" s="71" t="s">
        <v>90</v>
      </c>
      <c r="G1166" s="27" t="s">
        <v>906</v>
      </c>
      <c r="H1166" s="80">
        <f>6.1*1.83*12*7.85</f>
        <v>1051.5546000000002</v>
      </c>
      <c r="I1166" s="60" t="s">
        <v>91</v>
      </c>
      <c r="J1166" s="46">
        <v>30500</v>
      </c>
      <c r="K1166" s="47"/>
      <c r="L1166" s="42">
        <f t="shared" si="39"/>
        <v>32072415.300000004</v>
      </c>
    </row>
    <row r="1167" spans="2:12" x14ac:dyDescent="0.35">
      <c r="B1167" s="147"/>
      <c r="C1167" s="178"/>
      <c r="D1167" s="69"/>
      <c r="E1167" s="70"/>
      <c r="F1167" s="71" t="s">
        <v>90</v>
      </c>
      <c r="G1167" s="27" t="s">
        <v>907</v>
      </c>
      <c r="H1167" s="80">
        <f>1.85*1.84*12*7.85</f>
        <v>320.65680000000003</v>
      </c>
      <c r="I1167" s="60" t="s">
        <v>91</v>
      </c>
      <c r="J1167" s="46">
        <v>30500</v>
      </c>
      <c r="K1167" s="47"/>
      <c r="L1167" s="42">
        <f t="shared" si="39"/>
        <v>9780032.4000000004</v>
      </c>
    </row>
    <row r="1168" spans="2:12" x14ac:dyDescent="0.35">
      <c r="B1168" s="86"/>
      <c r="C1168" s="89"/>
      <c r="D1168" s="188"/>
      <c r="E1168" s="189"/>
      <c r="F1168" s="71" t="s">
        <v>90</v>
      </c>
      <c r="G1168" s="27" t="s">
        <v>908</v>
      </c>
      <c r="H1168" s="80">
        <f>6.1*1.24*12*7.85</f>
        <v>712.52879999999982</v>
      </c>
      <c r="I1168" s="60" t="s">
        <v>91</v>
      </c>
      <c r="J1168" s="46">
        <v>30500</v>
      </c>
      <c r="K1168" s="47"/>
      <c r="L1168" s="42">
        <f t="shared" si="39"/>
        <v>21732128.399999995</v>
      </c>
    </row>
    <row r="1169" spans="2:12" x14ac:dyDescent="0.35">
      <c r="B1169" s="86"/>
      <c r="C1169" s="89"/>
      <c r="D1169" s="188"/>
      <c r="E1169" s="189"/>
      <c r="F1169" s="71" t="s">
        <v>90</v>
      </c>
      <c r="G1169" s="27" t="s">
        <v>909</v>
      </c>
      <c r="H1169" s="80">
        <f>1.5*1.24*12*7.85</f>
        <v>175.21199999999999</v>
      </c>
      <c r="I1169" s="60" t="s">
        <v>91</v>
      </c>
      <c r="J1169" s="46">
        <v>30500</v>
      </c>
      <c r="K1169" s="47"/>
      <c r="L1169" s="42">
        <f t="shared" si="39"/>
        <v>5343966</v>
      </c>
    </row>
    <row r="1170" spans="2:12" x14ac:dyDescent="0.35">
      <c r="B1170" s="162"/>
      <c r="C1170" s="89"/>
      <c r="D1170" s="69" t="s">
        <v>36</v>
      </c>
      <c r="E1170" s="70"/>
      <c r="F1170" s="71" t="s">
        <v>910</v>
      </c>
      <c r="G1170" s="27"/>
      <c r="H1170" s="80"/>
      <c r="I1170" s="60"/>
      <c r="J1170" s="26"/>
      <c r="K1170" s="47"/>
      <c r="L1170" s="42"/>
    </row>
    <row r="1171" spans="2:12" x14ac:dyDescent="0.35">
      <c r="B1171" s="158"/>
      <c r="C1171" s="84"/>
      <c r="D1171" s="69"/>
      <c r="E1171" s="70"/>
      <c r="F1171" s="71" t="s">
        <v>90</v>
      </c>
      <c r="G1171" s="27" t="s">
        <v>911</v>
      </c>
      <c r="H1171" s="80">
        <f>2.5*1.78*12*7.85</f>
        <v>419.19</v>
      </c>
      <c r="I1171" s="60" t="s">
        <v>91</v>
      </c>
      <c r="J1171" s="46">
        <v>30500</v>
      </c>
      <c r="K1171" s="42"/>
      <c r="L1171" s="42">
        <f>J1171*H1171</f>
        <v>12785295</v>
      </c>
    </row>
    <row r="1172" spans="2:12" x14ac:dyDescent="0.35">
      <c r="B1172" s="158"/>
      <c r="C1172" s="84"/>
      <c r="D1172" s="69" t="s">
        <v>38</v>
      </c>
      <c r="E1172" s="70"/>
      <c r="F1172" s="71" t="s">
        <v>147</v>
      </c>
      <c r="G1172" s="27"/>
      <c r="H1172" s="80"/>
      <c r="I1172" s="60"/>
      <c r="J1172" s="55"/>
      <c r="K1172" s="55"/>
      <c r="L1172" s="42"/>
    </row>
    <row r="1173" spans="2:12" x14ac:dyDescent="0.35">
      <c r="B1173" s="90"/>
      <c r="C1173" s="119"/>
      <c r="D1173" s="69"/>
      <c r="E1173" s="70"/>
      <c r="F1173" s="71" t="s">
        <v>90</v>
      </c>
      <c r="G1173" s="27" t="s">
        <v>912</v>
      </c>
      <c r="H1173" s="80">
        <f>2.88*0.62*12*7.85</f>
        <v>168.20352</v>
      </c>
      <c r="I1173" s="60" t="s">
        <v>91</v>
      </c>
      <c r="J1173" s="46">
        <v>30500</v>
      </c>
      <c r="K1173" s="26"/>
      <c r="L1173" s="42">
        <f>J1173*H1173</f>
        <v>5130207.3600000003</v>
      </c>
    </row>
    <row r="1174" spans="2:12" x14ac:dyDescent="0.35">
      <c r="B1174" s="162"/>
      <c r="C1174" s="89"/>
      <c r="D1174" s="69"/>
      <c r="E1174" s="70"/>
      <c r="F1174" s="71" t="s">
        <v>90</v>
      </c>
      <c r="G1174" s="27" t="s">
        <v>913</v>
      </c>
      <c r="H1174" s="80">
        <f>6.15*1.84*12*7.85</f>
        <v>1065.9672</v>
      </c>
      <c r="I1174" s="60" t="s">
        <v>91</v>
      </c>
      <c r="J1174" s="46">
        <v>30500</v>
      </c>
      <c r="K1174" s="26"/>
      <c r="L1174" s="42">
        <f>J1174*H1174</f>
        <v>32511999.600000001</v>
      </c>
    </row>
    <row r="1175" spans="2:12" x14ac:dyDescent="0.35">
      <c r="B1175" s="158"/>
      <c r="C1175" s="87"/>
      <c r="D1175" s="69" t="s">
        <v>39</v>
      </c>
      <c r="E1175" s="70"/>
      <c r="F1175" s="71" t="s">
        <v>914</v>
      </c>
      <c r="G1175" s="27"/>
      <c r="H1175" s="80"/>
      <c r="I1175" s="60"/>
      <c r="J1175" s="46"/>
      <c r="K1175" s="26"/>
      <c r="L1175" s="48"/>
    </row>
    <row r="1176" spans="2:12" x14ac:dyDescent="0.35">
      <c r="B1176" s="162"/>
      <c r="C1176" s="89"/>
      <c r="D1176" s="69"/>
      <c r="E1176" s="70"/>
      <c r="F1176" s="71" t="s">
        <v>90</v>
      </c>
      <c r="G1176" s="27" t="s">
        <v>915</v>
      </c>
      <c r="H1176" s="80">
        <f>3.27*0.62*12*7.85</f>
        <v>190.98107999999999</v>
      </c>
      <c r="I1176" s="60" t="s">
        <v>91</v>
      </c>
      <c r="J1176" s="46">
        <v>30500</v>
      </c>
      <c r="K1176" s="26"/>
      <c r="L1176" s="42">
        <f t="shared" ref="L1176:L1177" si="40">J1176*H1176</f>
        <v>5824922.9399999995</v>
      </c>
    </row>
    <row r="1177" spans="2:12" x14ac:dyDescent="0.35">
      <c r="B1177" s="70"/>
      <c r="C1177" s="89"/>
      <c r="D1177" s="69"/>
      <c r="E1177" s="70"/>
      <c r="F1177" s="71" t="s">
        <v>90</v>
      </c>
      <c r="G1177" s="27" t="s">
        <v>916</v>
      </c>
      <c r="H1177" s="80">
        <f>6.02*1.83*12*7.85</f>
        <v>1037.7637200000001</v>
      </c>
      <c r="I1177" s="60" t="s">
        <v>91</v>
      </c>
      <c r="J1177" s="46">
        <v>30500</v>
      </c>
      <c r="K1177" s="26"/>
      <c r="L1177" s="42">
        <f t="shared" si="40"/>
        <v>31651793.460000005</v>
      </c>
    </row>
    <row r="1178" spans="2:12" x14ac:dyDescent="0.35">
      <c r="B1178" s="70"/>
      <c r="C1178" s="89"/>
      <c r="D1178" s="69"/>
      <c r="E1178" s="70"/>
      <c r="F1178" s="71" t="s">
        <v>90</v>
      </c>
      <c r="G1178" s="27" t="s">
        <v>917</v>
      </c>
      <c r="H1178" s="80">
        <f>5.92*1.21*12*7.85</f>
        <v>674.77343999999994</v>
      </c>
      <c r="I1178" s="60" t="s">
        <v>91</v>
      </c>
      <c r="J1178" s="46">
        <v>30500</v>
      </c>
      <c r="K1178" s="26"/>
      <c r="L1178" s="42">
        <f>J1178*H1178</f>
        <v>20580589.919999998</v>
      </c>
    </row>
    <row r="1179" spans="2:12" x14ac:dyDescent="0.35">
      <c r="B1179" s="158"/>
      <c r="C1179" s="87"/>
      <c r="D1179" s="69" t="s">
        <v>41</v>
      </c>
      <c r="E1179" s="70"/>
      <c r="F1179" s="71" t="s">
        <v>918</v>
      </c>
      <c r="G1179" s="27"/>
      <c r="H1179" s="80"/>
      <c r="I1179" s="60"/>
      <c r="J1179" s="46"/>
      <c r="K1179" s="26"/>
      <c r="L1179" s="48"/>
    </row>
    <row r="1180" spans="2:12" x14ac:dyDescent="0.35">
      <c r="B1180" s="162"/>
      <c r="C1180" s="89"/>
      <c r="D1180" s="69"/>
      <c r="E1180" s="70"/>
      <c r="F1180" s="71" t="s">
        <v>90</v>
      </c>
      <c r="G1180" s="27" t="s">
        <v>919</v>
      </c>
      <c r="H1180" s="80">
        <f>2.77*1.84*12*7.85</f>
        <v>480.11856</v>
      </c>
      <c r="I1180" s="60" t="s">
        <v>91</v>
      </c>
      <c r="J1180" s="46">
        <v>30500</v>
      </c>
      <c r="K1180" s="26"/>
      <c r="L1180" s="42">
        <f>J1180*H1180</f>
        <v>14643616.08</v>
      </c>
    </row>
    <row r="1181" spans="2:12" x14ac:dyDescent="0.35">
      <c r="B1181" s="162"/>
      <c r="C1181" s="89"/>
      <c r="D1181" s="69"/>
      <c r="E1181" s="70"/>
      <c r="F1181" s="71" t="s">
        <v>90</v>
      </c>
      <c r="G1181" s="27" t="s">
        <v>920</v>
      </c>
      <c r="H1181" s="80">
        <f>2.77*0.35*12*7.85</f>
        <v>91.326899999999981</v>
      </c>
      <c r="I1181" s="60" t="s">
        <v>91</v>
      </c>
      <c r="J1181" s="46">
        <v>30500</v>
      </c>
      <c r="K1181" s="26"/>
      <c r="L1181" s="42">
        <f>J1181*H1181</f>
        <v>2785470.4499999993</v>
      </c>
    </row>
    <row r="1182" spans="2:12" x14ac:dyDescent="0.35">
      <c r="B1182" s="162"/>
      <c r="C1182" s="87"/>
      <c r="D1182" s="69" t="s">
        <v>43</v>
      </c>
      <c r="E1182" s="70"/>
      <c r="F1182" s="71" t="s">
        <v>921</v>
      </c>
      <c r="G1182" s="27"/>
      <c r="H1182" s="80"/>
      <c r="I1182" s="60"/>
      <c r="J1182" s="46"/>
      <c r="K1182" s="26"/>
      <c r="L1182" s="48"/>
    </row>
    <row r="1183" spans="2:12" x14ac:dyDescent="0.35">
      <c r="B1183" s="148"/>
      <c r="C1183" s="89"/>
      <c r="D1183" s="69"/>
      <c r="E1183" s="70"/>
      <c r="F1183" s="71" t="s">
        <v>90</v>
      </c>
      <c r="G1183" s="27" t="s">
        <v>922</v>
      </c>
      <c r="H1183" s="80">
        <f>2.92*1.83*12*7.85</f>
        <v>503.36711999999994</v>
      </c>
      <c r="I1183" s="60" t="s">
        <v>91</v>
      </c>
      <c r="J1183" s="46">
        <v>30500</v>
      </c>
      <c r="K1183" s="26"/>
      <c r="L1183" s="42">
        <f>J1183*H1183</f>
        <v>15352697.159999998</v>
      </c>
    </row>
    <row r="1184" spans="2:12" x14ac:dyDescent="0.35">
      <c r="B1184" s="148"/>
      <c r="C1184" s="89"/>
      <c r="D1184" s="69"/>
      <c r="E1184" s="70"/>
      <c r="F1184" s="71" t="s">
        <v>90</v>
      </c>
      <c r="G1184" s="27" t="s">
        <v>923</v>
      </c>
      <c r="H1184" s="80">
        <f>2.6*1.31*12*7.85</f>
        <v>320.84519999999998</v>
      </c>
      <c r="I1184" s="60" t="s">
        <v>91</v>
      </c>
      <c r="J1184" s="46">
        <v>30500</v>
      </c>
      <c r="K1184" s="26"/>
      <c r="L1184" s="42">
        <f>J1184*H1184</f>
        <v>9785778.5999999996</v>
      </c>
    </row>
    <row r="1185" spans="2:12" x14ac:dyDescent="0.35">
      <c r="B1185" s="158"/>
      <c r="C1185" s="87"/>
      <c r="D1185" s="69" t="s">
        <v>44</v>
      </c>
      <c r="E1185" s="70"/>
      <c r="F1185" s="71" t="s">
        <v>924</v>
      </c>
      <c r="G1185" s="27"/>
      <c r="H1185" s="80"/>
      <c r="I1185" s="60"/>
      <c r="J1185" s="46"/>
      <c r="K1185" s="26"/>
      <c r="L1185" s="48"/>
    </row>
    <row r="1186" spans="2:12" x14ac:dyDescent="0.35">
      <c r="B1186" s="162"/>
      <c r="C1186" s="89"/>
      <c r="D1186" s="69"/>
      <c r="E1186" s="70"/>
      <c r="F1186" s="71" t="s">
        <v>90</v>
      </c>
      <c r="G1186" s="27" t="s">
        <v>925</v>
      </c>
      <c r="H1186" s="80">
        <f>1.61*1.2*12*7.85</f>
        <v>181.99439999999998</v>
      </c>
      <c r="I1186" s="60" t="s">
        <v>91</v>
      </c>
      <c r="J1186" s="46">
        <v>30500</v>
      </c>
      <c r="K1186" s="26"/>
      <c r="L1186" s="42">
        <f>J1186*H1186</f>
        <v>5550829.1999999993</v>
      </c>
    </row>
    <row r="1187" spans="2:12" x14ac:dyDescent="0.35">
      <c r="B1187" s="148"/>
      <c r="C1187" s="87" t="s">
        <v>115</v>
      </c>
      <c r="D1187" s="62"/>
      <c r="E1187" s="67"/>
      <c r="F1187" s="64" t="s">
        <v>148</v>
      </c>
      <c r="G1187" s="65"/>
      <c r="H1187" s="175"/>
      <c r="I1187" s="93"/>
      <c r="J1187" s="46"/>
      <c r="K1187" s="26"/>
      <c r="L1187" s="48"/>
    </row>
    <row r="1188" spans="2:12" x14ac:dyDescent="0.35">
      <c r="B1188" s="86"/>
      <c r="C1188" s="89"/>
      <c r="D1188" s="69" t="s">
        <v>29</v>
      </c>
      <c r="E1188" s="70"/>
      <c r="F1188" s="64" t="s">
        <v>149</v>
      </c>
      <c r="G1188" s="27"/>
      <c r="H1188" s="80"/>
      <c r="I1188" s="60"/>
      <c r="J1188" s="46"/>
      <c r="K1188" s="26"/>
      <c r="L1188" s="48"/>
    </row>
    <row r="1189" spans="2:12" x14ac:dyDescent="0.35">
      <c r="B1189" s="86"/>
      <c r="C1189" s="89"/>
      <c r="D1189" s="69"/>
      <c r="E1189" s="70"/>
      <c r="F1189" s="71" t="s">
        <v>90</v>
      </c>
      <c r="G1189" s="27" t="s">
        <v>926</v>
      </c>
      <c r="H1189" s="80">
        <f>2.38*1.23*12*7.85</f>
        <v>275.76107999999999</v>
      </c>
      <c r="I1189" s="60" t="s">
        <v>91</v>
      </c>
      <c r="J1189" s="46">
        <v>30500</v>
      </c>
      <c r="K1189" s="26"/>
      <c r="L1189" s="42">
        <f>J1189*H1189</f>
        <v>8410712.9399999995</v>
      </c>
    </row>
    <row r="1190" spans="2:12" x14ac:dyDescent="0.35">
      <c r="B1190" s="70"/>
      <c r="C1190" s="87" t="s">
        <v>150</v>
      </c>
      <c r="D1190" s="62"/>
      <c r="E1190" s="67"/>
      <c r="F1190" s="64" t="s">
        <v>151</v>
      </c>
      <c r="G1190" s="65"/>
      <c r="H1190" s="175"/>
      <c r="I1190" s="93"/>
      <c r="J1190" s="46"/>
      <c r="K1190" s="26"/>
      <c r="L1190" s="48"/>
    </row>
    <row r="1191" spans="2:12" x14ac:dyDescent="0.35">
      <c r="B1191" s="70"/>
      <c r="C1191" s="89"/>
      <c r="D1191" s="69" t="s">
        <v>29</v>
      </c>
      <c r="E1191" s="70"/>
      <c r="F1191" s="64" t="s">
        <v>152</v>
      </c>
      <c r="G1191" s="27"/>
      <c r="H1191" s="80"/>
      <c r="I1191" s="60"/>
      <c r="J1191" s="46"/>
      <c r="K1191" s="26"/>
      <c r="L1191" s="48"/>
    </row>
    <row r="1192" spans="2:12" x14ac:dyDescent="0.35">
      <c r="B1192" s="70"/>
      <c r="C1192" s="89"/>
      <c r="D1192" s="69"/>
      <c r="E1192" s="70"/>
      <c r="F1192" s="71" t="s">
        <v>90</v>
      </c>
      <c r="G1192" s="27" t="s">
        <v>927</v>
      </c>
      <c r="H1192" s="80">
        <f>3.32*1.81*12*7.85</f>
        <v>566.06664000000001</v>
      </c>
      <c r="I1192" s="60" t="s">
        <v>91</v>
      </c>
      <c r="J1192" s="46">
        <v>30500</v>
      </c>
      <c r="K1192" s="26"/>
      <c r="L1192" s="42">
        <f>J1192*H1192</f>
        <v>17265032.52</v>
      </c>
    </row>
    <row r="1193" spans="2:12" x14ac:dyDescent="0.35">
      <c r="B1193" s="150"/>
      <c r="C1193" s="154"/>
      <c r="D1193" s="69" t="s">
        <v>32</v>
      </c>
      <c r="E1193" s="70"/>
      <c r="F1193" s="64" t="s">
        <v>153</v>
      </c>
      <c r="G1193" s="27"/>
      <c r="H1193" s="80"/>
      <c r="I1193" s="60"/>
      <c r="J1193" s="46"/>
      <c r="K1193" s="26"/>
      <c r="L1193" s="48"/>
    </row>
    <row r="1194" spans="2:12" x14ac:dyDescent="0.35">
      <c r="B1194" s="150"/>
      <c r="C1194" s="87"/>
      <c r="D1194" s="69"/>
      <c r="E1194" s="70"/>
      <c r="F1194" s="71" t="s">
        <v>90</v>
      </c>
      <c r="G1194" s="27" t="s">
        <v>928</v>
      </c>
      <c r="H1194" s="80">
        <f>3.06*1.62*12*7.85</f>
        <v>466.96823999999998</v>
      </c>
      <c r="I1194" s="60" t="s">
        <v>91</v>
      </c>
      <c r="J1194" s="46">
        <v>30500</v>
      </c>
      <c r="K1194" s="26"/>
      <c r="L1194" s="42">
        <f>J1194*H1194</f>
        <v>14242531.32</v>
      </c>
    </row>
    <row r="1195" spans="2:12" x14ac:dyDescent="0.35">
      <c r="B1195" s="70"/>
      <c r="C1195" s="87" t="s">
        <v>154</v>
      </c>
      <c r="D1195" s="62"/>
      <c r="E1195" s="67"/>
      <c r="F1195" s="64" t="s">
        <v>155</v>
      </c>
      <c r="G1195" s="65"/>
      <c r="H1195" s="175"/>
      <c r="I1195" s="93"/>
      <c r="J1195" s="46"/>
      <c r="K1195" s="26"/>
      <c r="L1195" s="48"/>
    </row>
    <row r="1196" spans="2:12" x14ac:dyDescent="0.35">
      <c r="B1196" s="70"/>
      <c r="C1196" s="89"/>
      <c r="D1196" s="69" t="s">
        <v>29</v>
      </c>
      <c r="E1196" s="70"/>
      <c r="F1196" s="64" t="s">
        <v>156</v>
      </c>
      <c r="G1196" s="27"/>
      <c r="H1196" s="80"/>
      <c r="I1196" s="60"/>
      <c r="J1196" s="46"/>
      <c r="K1196" s="26"/>
      <c r="L1196" s="48"/>
    </row>
    <row r="1197" spans="2:12" x14ac:dyDescent="0.35">
      <c r="B1197" s="148"/>
      <c r="C1197" s="89"/>
      <c r="D1197" s="88"/>
      <c r="E1197" s="70"/>
      <c r="F1197" s="71" t="s">
        <v>90</v>
      </c>
      <c r="G1197" s="27" t="s">
        <v>929</v>
      </c>
      <c r="H1197" s="80">
        <f>0.3*12*7.85*0.41*1.2</f>
        <v>13.903919999999996</v>
      </c>
      <c r="I1197" s="173" t="s">
        <v>91</v>
      </c>
      <c r="J1197" s="46">
        <v>30500</v>
      </c>
      <c r="K1197" s="26"/>
      <c r="L1197" s="42">
        <f>J1197*H1197</f>
        <v>424069.55999999988</v>
      </c>
    </row>
    <row r="1198" spans="2:12" x14ac:dyDescent="0.35">
      <c r="B1198" s="148"/>
      <c r="C1198" s="89"/>
      <c r="D1198" s="88"/>
      <c r="E1198" s="70"/>
      <c r="F1198" s="71" t="s">
        <v>90</v>
      </c>
      <c r="G1198" s="27" t="s">
        <v>930</v>
      </c>
      <c r="H1198" s="80">
        <f>0.3*12*7.85*0.81*1.2</f>
        <v>27.468719999999994</v>
      </c>
      <c r="I1198" s="173" t="s">
        <v>91</v>
      </c>
      <c r="J1198" s="46">
        <v>30500</v>
      </c>
      <c r="K1198" s="26"/>
      <c r="L1198" s="42">
        <f t="shared" ref="L1198:L1209" si="41">J1198*H1198</f>
        <v>837795.95999999985</v>
      </c>
    </row>
    <row r="1199" spans="2:12" x14ac:dyDescent="0.35">
      <c r="B1199" s="150"/>
      <c r="C1199" s="87"/>
      <c r="D1199" s="88"/>
      <c r="E1199" s="70"/>
      <c r="F1199" s="71" t="s">
        <v>90</v>
      </c>
      <c r="G1199" s="27" t="s">
        <v>931</v>
      </c>
      <c r="H1199" s="80">
        <f>0.5*10*7.85*1.33*1.2</f>
        <v>62.643000000000001</v>
      </c>
      <c r="I1199" s="173" t="s">
        <v>91</v>
      </c>
      <c r="J1199" s="46">
        <v>30500</v>
      </c>
      <c r="K1199" s="26"/>
      <c r="L1199" s="42">
        <f t="shared" si="41"/>
        <v>1910611.5</v>
      </c>
    </row>
    <row r="1200" spans="2:12" x14ac:dyDescent="0.35">
      <c r="B1200" s="150"/>
      <c r="C1200" s="87"/>
      <c r="D1200" s="88"/>
      <c r="E1200" s="70"/>
      <c r="F1200" s="71" t="s">
        <v>90</v>
      </c>
      <c r="G1200" s="27" t="s">
        <v>932</v>
      </c>
      <c r="H1200" s="80">
        <f>1.42*0.43*10*7.85*1.2</f>
        <v>57.518519999999988</v>
      </c>
      <c r="I1200" s="173" t="s">
        <v>91</v>
      </c>
      <c r="J1200" s="46">
        <v>30500</v>
      </c>
      <c r="K1200" s="26"/>
      <c r="L1200" s="42">
        <f t="shared" si="41"/>
        <v>1754314.8599999996</v>
      </c>
    </row>
    <row r="1201" spans="2:12" x14ac:dyDescent="0.35">
      <c r="B1201" s="150"/>
      <c r="C1201" s="87"/>
      <c r="D1201" s="88"/>
      <c r="E1201" s="70"/>
      <c r="F1201" s="71" t="s">
        <v>90</v>
      </c>
      <c r="G1201" s="27" t="s">
        <v>933</v>
      </c>
      <c r="H1201" s="80">
        <f>1.3*0.1*10*7.85*1.2</f>
        <v>12.246</v>
      </c>
      <c r="I1201" s="173" t="s">
        <v>91</v>
      </c>
      <c r="J1201" s="46">
        <v>30500</v>
      </c>
      <c r="K1201" s="26"/>
      <c r="L1201" s="42">
        <f t="shared" si="41"/>
        <v>373503</v>
      </c>
    </row>
    <row r="1202" spans="2:12" x14ac:dyDescent="0.35">
      <c r="B1202" s="150"/>
      <c r="C1202" s="87"/>
      <c r="D1202" s="88"/>
      <c r="E1202" s="70"/>
      <c r="F1202" s="71" t="s">
        <v>90</v>
      </c>
      <c r="G1202" s="27" t="s">
        <v>934</v>
      </c>
      <c r="H1202" s="80">
        <f>0.6*10*7.85*3.97*1.2</f>
        <v>224.3844</v>
      </c>
      <c r="I1202" s="173" t="s">
        <v>91</v>
      </c>
      <c r="J1202" s="46">
        <v>30500</v>
      </c>
      <c r="K1202" s="26"/>
      <c r="L1202" s="42">
        <f t="shared" si="41"/>
        <v>6843724.2000000002</v>
      </c>
    </row>
    <row r="1203" spans="2:12" x14ac:dyDescent="0.35">
      <c r="B1203" s="150"/>
      <c r="C1203" s="87"/>
      <c r="D1203" s="88"/>
      <c r="E1203" s="70"/>
      <c r="F1203" s="71" t="s">
        <v>90</v>
      </c>
      <c r="G1203" s="27" t="s">
        <v>935</v>
      </c>
      <c r="H1203" s="80">
        <f>0.6*10*7.85*2.03*1.2</f>
        <v>114.73559999999998</v>
      </c>
      <c r="I1203" s="173" t="s">
        <v>91</v>
      </c>
      <c r="J1203" s="46">
        <v>30500</v>
      </c>
      <c r="K1203" s="26"/>
      <c r="L1203" s="42">
        <f t="shared" si="41"/>
        <v>3499435.7999999993</v>
      </c>
    </row>
    <row r="1204" spans="2:12" x14ac:dyDescent="0.35">
      <c r="B1204" s="150"/>
      <c r="C1204" s="87"/>
      <c r="D1204" s="88"/>
      <c r="E1204" s="70"/>
      <c r="F1204" s="71" t="s">
        <v>90</v>
      </c>
      <c r="G1204" s="27" t="s">
        <v>936</v>
      </c>
      <c r="H1204" s="80">
        <f>0.3*12*7.85*0.82*1.2</f>
        <v>27.807839999999992</v>
      </c>
      <c r="I1204" s="173" t="s">
        <v>91</v>
      </c>
      <c r="J1204" s="46">
        <v>30500</v>
      </c>
      <c r="K1204" s="26"/>
      <c r="L1204" s="42">
        <f t="shared" si="41"/>
        <v>848139.11999999976</v>
      </c>
    </row>
    <row r="1205" spans="2:12" x14ac:dyDescent="0.35">
      <c r="B1205" s="150"/>
      <c r="C1205" s="87"/>
      <c r="D1205" s="88"/>
      <c r="E1205" s="70"/>
      <c r="F1205" s="71" t="s">
        <v>90</v>
      </c>
      <c r="G1205" s="27" t="s">
        <v>937</v>
      </c>
      <c r="H1205" s="80">
        <f>0.3*12*7.85*2.09*1.2</f>
        <v>70.876079999999988</v>
      </c>
      <c r="I1205" s="173" t="s">
        <v>91</v>
      </c>
      <c r="J1205" s="46">
        <v>30500</v>
      </c>
      <c r="K1205" s="26"/>
      <c r="L1205" s="42">
        <f t="shared" si="41"/>
        <v>2161720.4399999995</v>
      </c>
    </row>
    <row r="1206" spans="2:12" x14ac:dyDescent="0.35">
      <c r="B1206" s="150"/>
      <c r="C1206" s="87"/>
      <c r="D1206" s="88"/>
      <c r="E1206" s="70"/>
      <c r="F1206" s="71" t="s">
        <v>90</v>
      </c>
      <c r="G1206" s="27" t="s">
        <v>938</v>
      </c>
      <c r="H1206" s="80">
        <f>0.3*12*7.85*2.21*1.2</f>
        <v>74.945519999999973</v>
      </c>
      <c r="I1206" s="173" t="s">
        <v>91</v>
      </c>
      <c r="J1206" s="46">
        <v>30500</v>
      </c>
      <c r="K1206" s="26"/>
      <c r="L1206" s="42">
        <f t="shared" si="41"/>
        <v>2285838.3599999994</v>
      </c>
    </row>
    <row r="1207" spans="2:12" x14ac:dyDescent="0.35">
      <c r="B1207" s="150"/>
      <c r="C1207" s="87"/>
      <c r="D1207" s="88"/>
      <c r="E1207" s="70"/>
      <c r="F1207" s="71" t="s">
        <v>90</v>
      </c>
      <c r="G1207" s="27" t="s">
        <v>939</v>
      </c>
      <c r="H1207" s="80">
        <f>0.3*12*7.85*2.5*1.2</f>
        <v>84.779999999999987</v>
      </c>
      <c r="I1207" s="173" t="s">
        <v>91</v>
      </c>
      <c r="J1207" s="46">
        <v>30500</v>
      </c>
      <c r="K1207" s="26"/>
      <c r="L1207" s="42">
        <f t="shared" si="41"/>
        <v>2585789.9999999995</v>
      </c>
    </row>
    <row r="1208" spans="2:12" x14ac:dyDescent="0.35">
      <c r="B1208" s="150"/>
      <c r="C1208" s="87"/>
      <c r="D1208" s="88"/>
      <c r="E1208" s="70"/>
      <c r="F1208" s="71" t="s">
        <v>90</v>
      </c>
      <c r="G1208" s="27" t="s">
        <v>940</v>
      </c>
      <c r="H1208" s="80">
        <f>0.3*12*7.85*2.8*1.2</f>
        <v>94.95359999999998</v>
      </c>
      <c r="I1208" s="173" t="s">
        <v>91</v>
      </c>
      <c r="J1208" s="46">
        <v>30500</v>
      </c>
      <c r="K1208" s="26"/>
      <c r="L1208" s="42">
        <f t="shared" si="41"/>
        <v>2896084.7999999993</v>
      </c>
    </row>
    <row r="1209" spans="2:12" x14ac:dyDescent="0.35">
      <c r="B1209" s="150"/>
      <c r="C1209" s="87"/>
      <c r="D1209" s="88"/>
      <c r="E1209" s="70"/>
      <c r="F1209" s="71" t="s">
        <v>90</v>
      </c>
      <c r="G1209" s="27" t="s">
        <v>941</v>
      </c>
      <c r="H1209" s="80">
        <f>0.3*12*7.85*4*1.2</f>
        <v>135.64799999999997</v>
      </c>
      <c r="I1209" s="173" t="s">
        <v>91</v>
      </c>
      <c r="J1209" s="46">
        <v>30500</v>
      </c>
      <c r="K1209" s="26"/>
      <c r="L1209" s="42">
        <f t="shared" si="41"/>
        <v>4137263.9999999991</v>
      </c>
    </row>
    <row r="1210" spans="2:12" x14ac:dyDescent="0.35">
      <c r="B1210" s="86"/>
      <c r="C1210" s="89"/>
      <c r="D1210" s="51"/>
      <c r="E1210" s="136"/>
      <c r="F1210" s="105"/>
      <c r="G1210" s="106"/>
      <c r="H1210" s="116"/>
      <c r="I1210" s="60"/>
      <c r="J1210" s="46"/>
      <c r="K1210" s="26"/>
      <c r="L1210" s="48"/>
    </row>
    <row r="1211" spans="2:12" x14ac:dyDescent="0.35">
      <c r="B1211" s="148"/>
      <c r="C1211" s="87"/>
      <c r="D1211" s="51"/>
      <c r="E1211" s="136"/>
      <c r="F1211" s="105"/>
      <c r="G1211" s="106"/>
      <c r="H1211" s="100"/>
      <c r="I1211" s="60"/>
      <c r="J1211" s="46"/>
      <c r="K1211" s="26"/>
      <c r="L1211" s="48"/>
    </row>
    <row r="1212" spans="2:12" x14ac:dyDescent="0.35">
      <c r="B1212" s="8"/>
      <c r="C1212" s="9"/>
      <c r="D1212" s="10"/>
      <c r="E1212" s="4"/>
      <c r="F1212" s="4"/>
      <c r="G1212" s="4"/>
      <c r="H1212" s="1"/>
      <c r="I1212" s="1"/>
      <c r="J1212" s="11" t="s">
        <v>8</v>
      </c>
      <c r="K1212" s="7">
        <f>SUM(K1159:K1211)</f>
        <v>0</v>
      </c>
      <c r="L1212" s="7">
        <f>SUM(L1159:L1211)</f>
        <v>358805082.33000004</v>
      </c>
    </row>
    <row r="1213" spans="2:12" x14ac:dyDescent="0.35">
      <c r="B1213" s="8"/>
      <c r="C1213" s="9"/>
      <c r="D1213" s="9"/>
      <c r="E1213" s="4"/>
      <c r="F1213" s="4"/>
      <c r="G1213" s="4"/>
      <c r="H1213" s="1"/>
      <c r="I1213" s="1"/>
      <c r="J1213" s="11"/>
      <c r="K1213" s="32" t="s">
        <v>13</v>
      </c>
      <c r="L1213" s="33" t="s">
        <v>14</v>
      </c>
    </row>
    <row r="1214" spans="2:12" x14ac:dyDescent="0.35">
      <c r="B1214" s="3" t="s">
        <v>9</v>
      </c>
      <c r="C1214" s="4"/>
      <c r="D1214" s="4"/>
      <c r="E1214" s="4"/>
      <c r="F1214" s="4"/>
      <c r="G1214" s="4"/>
      <c r="H1214" s="1"/>
      <c r="I1214" s="1"/>
      <c r="J1214" s="12"/>
      <c r="K1214" s="12"/>
      <c r="L1214" s="13"/>
    </row>
    <row r="1215" spans="2:12" x14ac:dyDescent="0.35">
      <c r="B1215" s="34"/>
      <c r="C1215" s="1"/>
      <c r="D1215" s="1"/>
      <c r="E1215" s="35"/>
      <c r="F1215" s="35"/>
      <c r="G1215" s="35"/>
      <c r="H1215" s="1"/>
      <c r="I1215" s="1"/>
      <c r="J1215" s="1"/>
      <c r="K1215" s="1"/>
      <c r="L1215" s="17"/>
    </row>
    <row r="1216" spans="2:12" x14ac:dyDescent="0.35">
      <c r="B1216" s="25" t="s">
        <v>6</v>
      </c>
      <c r="C1216" s="24"/>
      <c r="D1216" s="24"/>
      <c r="E1216" s="23"/>
      <c r="F1216" s="23"/>
      <c r="G1216" s="5"/>
      <c r="K1216" s="227" t="s">
        <v>1292</v>
      </c>
      <c r="L1216" s="228"/>
    </row>
    <row r="1217" spans="2:12" x14ac:dyDescent="0.35">
      <c r="B1217" s="25">
        <v>1</v>
      </c>
      <c r="C1217" s="24"/>
      <c r="D1217" s="24"/>
      <c r="E1217" s="23" t="s">
        <v>7</v>
      </c>
      <c r="F1217" s="23"/>
      <c r="G1217" s="5"/>
      <c r="K1217" s="227" t="s">
        <v>18</v>
      </c>
      <c r="L1217" s="228"/>
    </row>
    <row r="1218" spans="2:12" x14ac:dyDescent="0.35">
      <c r="B1218" s="36"/>
      <c r="C1218" s="24"/>
      <c r="D1218" s="24"/>
      <c r="E1218" s="23"/>
      <c r="F1218" s="23"/>
      <c r="G1218" s="5"/>
      <c r="J1218" s="22"/>
      <c r="K1218" s="22"/>
      <c r="L1218" s="21"/>
    </row>
    <row r="1219" spans="2:12" x14ac:dyDescent="0.35">
      <c r="B1219" s="25"/>
      <c r="C1219" s="24"/>
      <c r="D1219" s="24"/>
      <c r="E1219" s="23"/>
      <c r="F1219" s="23"/>
      <c r="G1219" s="5"/>
      <c r="L1219" s="20"/>
    </row>
    <row r="1220" spans="2:12" x14ac:dyDescent="0.35">
      <c r="B1220" s="41"/>
      <c r="E1220" s="5"/>
      <c r="F1220" s="5"/>
      <c r="G1220" s="5"/>
      <c r="L1220" s="20"/>
    </row>
    <row r="1221" spans="2:12" x14ac:dyDescent="0.35">
      <c r="B1221" s="41"/>
      <c r="E1221" s="5"/>
      <c r="F1221" s="5"/>
      <c r="G1221" s="5"/>
      <c r="L1221" s="20"/>
    </row>
    <row r="1222" spans="2:12" x14ac:dyDescent="0.35">
      <c r="B1222" s="41"/>
      <c r="E1222" s="5"/>
      <c r="F1222" s="5"/>
      <c r="G1222" s="5"/>
      <c r="L1222" s="20"/>
    </row>
    <row r="1223" spans="2:12" x14ac:dyDescent="0.35">
      <c r="B1223" s="41"/>
      <c r="E1223" s="5"/>
      <c r="F1223" s="5"/>
      <c r="G1223" s="5"/>
      <c r="J1223" s="37"/>
      <c r="K1223" s="229" t="s">
        <v>26</v>
      </c>
      <c r="L1223" s="230"/>
    </row>
    <row r="1224" spans="2:12" x14ac:dyDescent="0.35">
      <c r="B1224" s="41"/>
      <c r="K1224" s="231" t="s">
        <v>27</v>
      </c>
      <c r="L1224" s="232"/>
    </row>
    <row r="1225" spans="2:12" x14ac:dyDescent="0.35">
      <c r="B1225" s="233"/>
      <c r="C1225" s="234"/>
      <c r="D1225" s="234"/>
      <c r="E1225" s="38"/>
      <c r="F1225" s="38"/>
      <c r="G1225" s="38"/>
      <c r="H1225" s="2"/>
      <c r="I1225" s="2"/>
      <c r="J1225" s="2"/>
      <c r="K1225" s="2"/>
      <c r="L1225" s="19"/>
    </row>
    <row r="1226" spans="2:12" x14ac:dyDescent="0.35">
      <c r="B1226" s="43"/>
      <c r="C1226" s="44"/>
      <c r="D1226" s="45"/>
      <c r="G1226" s="20"/>
      <c r="H1226" s="1"/>
      <c r="I1226" s="1"/>
      <c r="J1226" s="39"/>
      <c r="K1226" s="27"/>
      <c r="L1226" s="40"/>
    </row>
    <row r="1227" spans="2:12" s="153" customFormat="1" x14ac:dyDescent="0.3">
      <c r="B1227" s="150"/>
      <c r="C1227" s="87"/>
      <c r="D1227" s="88"/>
      <c r="E1227" s="70"/>
      <c r="F1227" s="71" t="s">
        <v>90</v>
      </c>
      <c r="G1227" s="27" t="s">
        <v>942</v>
      </c>
      <c r="H1227" s="80">
        <f>0.3*12*7.85*4.01*1.2</f>
        <v>135.98711999999995</v>
      </c>
      <c r="I1227" s="173" t="s">
        <v>91</v>
      </c>
      <c r="J1227" s="46">
        <v>30500</v>
      </c>
      <c r="K1227" s="152"/>
      <c r="L1227" s="42">
        <f t="shared" ref="L1227:L1277" si="42">J1227*H1227</f>
        <v>4147607.1599999983</v>
      </c>
    </row>
    <row r="1228" spans="2:12" s="153" customFormat="1" x14ac:dyDescent="0.3">
      <c r="B1228" s="150"/>
      <c r="C1228" s="87"/>
      <c r="D1228" s="88"/>
      <c r="E1228" s="70"/>
      <c r="F1228" s="71" t="s">
        <v>90</v>
      </c>
      <c r="G1228" s="27" t="s">
        <v>943</v>
      </c>
      <c r="H1228" s="80">
        <f>0.6*10*7.85*1.78*1.2</f>
        <v>100.6056</v>
      </c>
      <c r="I1228" s="173" t="s">
        <v>91</v>
      </c>
      <c r="J1228" s="46">
        <v>30500</v>
      </c>
      <c r="K1228" s="47"/>
      <c r="L1228" s="42">
        <f t="shared" si="42"/>
        <v>3068470.8</v>
      </c>
    </row>
    <row r="1229" spans="2:12" s="31" customFormat="1" x14ac:dyDescent="0.35">
      <c r="B1229" s="150"/>
      <c r="C1229" s="87"/>
      <c r="D1229" s="88"/>
      <c r="E1229" s="70"/>
      <c r="F1229" s="71" t="s">
        <v>90</v>
      </c>
      <c r="G1229" s="27" t="s">
        <v>944</v>
      </c>
      <c r="H1229" s="80">
        <f>0.6*10*7.85*2*1.2</f>
        <v>113.03999999999998</v>
      </c>
      <c r="I1229" s="173" t="s">
        <v>91</v>
      </c>
      <c r="J1229" s="46">
        <v>30500</v>
      </c>
      <c r="K1229" s="47"/>
      <c r="L1229" s="42">
        <f t="shared" si="42"/>
        <v>3447719.9999999995</v>
      </c>
    </row>
    <row r="1230" spans="2:12" s="31" customFormat="1" x14ac:dyDescent="0.35">
      <c r="B1230" s="150"/>
      <c r="C1230" s="87"/>
      <c r="D1230" s="88"/>
      <c r="E1230" s="70"/>
      <c r="F1230" s="71" t="s">
        <v>90</v>
      </c>
      <c r="G1230" s="27" t="s">
        <v>945</v>
      </c>
      <c r="H1230" s="80">
        <f>2.1*0.32*10*7.85*1.2</f>
        <v>63.302399999999999</v>
      </c>
      <c r="I1230" s="173" t="s">
        <v>91</v>
      </c>
      <c r="J1230" s="46">
        <v>30500</v>
      </c>
      <c r="K1230" s="47"/>
      <c r="L1230" s="42">
        <f t="shared" si="42"/>
        <v>1930723.2</v>
      </c>
    </row>
    <row r="1231" spans="2:12" s="31" customFormat="1" x14ac:dyDescent="0.35">
      <c r="B1231" s="70"/>
      <c r="C1231" s="89"/>
      <c r="D1231" s="69" t="s">
        <v>32</v>
      </c>
      <c r="E1231" s="70"/>
      <c r="F1231" s="64" t="s">
        <v>946</v>
      </c>
      <c r="G1231" s="27"/>
      <c r="H1231" s="80"/>
      <c r="I1231" s="60"/>
      <c r="J1231" s="26"/>
      <c r="K1231" s="55"/>
      <c r="L1231" s="42"/>
    </row>
    <row r="1232" spans="2:12" s="31" customFormat="1" x14ac:dyDescent="0.35">
      <c r="B1232" s="148"/>
      <c r="C1232" s="89"/>
      <c r="D1232" s="88"/>
      <c r="E1232" s="70"/>
      <c r="F1232" s="71" t="s">
        <v>90</v>
      </c>
      <c r="G1232" s="27" t="s">
        <v>947</v>
      </c>
      <c r="H1232" s="80">
        <f>0.6*10*0.67*7.85*1.2</f>
        <v>37.868400000000001</v>
      </c>
      <c r="I1232" s="173" t="s">
        <v>91</v>
      </c>
      <c r="J1232" s="46">
        <v>30500</v>
      </c>
      <c r="K1232" s="47"/>
      <c r="L1232" s="42">
        <f t="shared" si="42"/>
        <v>1154986.2</v>
      </c>
    </row>
    <row r="1233" spans="2:12" s="31" customFormat="1" x14ac:dyDescent="0.35">
      <c r="B1233" s="148"/>
      <c r="C1233" s="89"/>
      <c r="D1233" s="88"/>
      <c r="E1233" s="70"/>
      <c r="F1233" s="71" t="s">
        <v>90</v>
      </c>
      <c r="G1233" s="27" t="s">
        <v>948</v>
      </c>
      <c r="H1233" s="80">
        <f>0.6*10*1.15*7.85*1.2</f>
        <v>64.99799999999999</v>
      </c>
      <c r="I1233" s="173" t="s">
        <v>91</v>
      </c>
      <c r="J1233" s="46">
        <v>30500</v>
      </c>
      <c r="K1233" s="55"/>
      <c r="L1233" s="42">
        <f t="shared" si="42"/>
        <v>1982438.9999999998</v>
      </c>
    </row>
    <row r="1234" spans="2:12" s="31" customFormat="1" x14ac:dyDescent="0.35">
      <c r="B1234" s="148"/>
      <c r="C1234" s="89"/>
      <c r="D1234" s="88"/>
      <c r="E1234" s="70"/>
      <c r="F1234" s="71" t="s">
        <v>90</v>
      </c>
      <c r="G1234" s="27" t="s">
        <v>949</v>
      </c>
      <c r="H1234" s="80">
        <f>0.6*10*2.36*7.85*1.2</f>
        <v>133.38719999999998</v>
      </c>
      <c r="I1234" s="173" t="s">
        <v>91</v>
      </c>
      <c r="J1234" s="46">
        <v>30500</v>
      </c>
      <c r="K1234" s="47"/>
      <c r="L1234" s="42">
        <f t="shared" si="42"/>
        <v>4068309.5999999992</v>
      </c>
    </row>
    <row r="1235" spans="2:12" x14ac:dyDescent="0.35">
      <c r="B1235" s="150"/>
      <c r="C1235" s="87"/>
      <c r="D1235" s="88"/>
      <c r="E1235" s="70"/>
      <c r="F1235" s="71" t="s">
        <v>90</v>
      </c>
      <c r="G1235" s="27" t="s">
        <v>950</v>
      </c>
      <c r="H1235" s="80">
        <f>0.3*12*3.5*7.85*1.2</f>
        <v>118.69199999999998</v>
      </c>
      <c r="I1235" s="173" t="s">
        <v>91</v>
      </c>
      <c r="J1235" s="46">
        <v>30500</v>
      </c>
      <c r="K1235" s="47"/>
      <c r="L1235" s="42">
        <f t="shared" si="42"/>
        <v>3620105.9999999995</v>
      </c>
    </row>
    <row r="1236" spans="2:12" x14ac:dyDescent="0.35">
      <c r="B1236" s="150"/>
      <c r="C1236" s="87"/>
      <c r="D1236" s="88"/>
      <c r="E1236" s="70"/>
      <c r="F1236" s="71" t="s">
        <v>90</v>
      </c>
      <c r="G1236" s="27" t="s">
        <v>951</v>
      </c>
      <c r="H1236" s="80">
        <f>0.3*12*5.83*7.85*1.2</f>
        <v>197.70695999999998</v>
      </c>
      <c r="I1236" s="173" t="s">
        <v>91</v>
      </c>
      <c r="J1236" s="46">
        <v>30500</v>
      </c>
      <c r="K1236" s="47"/>
      <c r="L1236" s="42">
        <f t="shared" si="42"/>
        <v>6030062.2799999993</v>
      </c>
    </row>
    <row r="1237" spans="2:12" x14ac:dyDescent="0.35">
      <c r="B1237" s="150"/>
      <c r="C1237" s="87"/>
      <c r="D1237" s="88"/>
      <c r="E1237" s="70"/>
      <c r="F1237" s="71" t="s">
        <v>90</v>
      </c>
      <c r="G1237" s="27" t="s">
        <v>952</v>
      </c>
      <c r="H1237" s="80">
        <f>0.3*12*6.03*7.85*1.2</f>
        <v>204.48935999999998</v>
      </c>
      <c r="I1237" s="173" t="s">
        <v>91</v>
      </c>
      <c r="J1237" s="46">
        <v>30500</v>
      </c>
      <c r="K1237" s="47"/>
      <c r="L1237" s="42">
        <f t="shared" si="42"/>
        <v>6236925.4799999995</v>
      </c>
    </row>
    <row r="1238" spans="2:12" x14ac:dyDescent="0.35">
      <c r="B1238" s="150"/>
      <c r="C1238" s="87"/>
      <c r="D1238" s="88"/>
      <c r="E1238" s="70"/>
      <c r="F1238" s="71" t="s">
        <v>90</v>
      </c>
      <c r="G1238" s="27" t="s">
        <v>953</v>
      </c>
      <c r="H1238" s="80">
        <f>0.5*10*0.6*7.85*1.2</f>
        <v>28.259999999999994</v>
      </c>
      <c r="I1238" s="173" t="s">
        <v>91</v>
      </c>
      <c r="J1238" s="46">
        <v>30500</v>
      </c>
      <c r="K1238" s="42"/>
      <c r="L1238" s="42">
        <f t="shared" si="42"/>
        <v>861929.99999999988</v>
      </c>
    </row>
    <row r="1239" spans="2:12" x14ac:dyDescent="0.35">
      <c r="B1239" s="150"/>
      <c r="C1239" s="87"/>
      <c r="D1239" s="88"/>
      <c r="E1239" s="70"/>
      <c r="F1239" s="71" t="s">
        <v>90</v>
      </c>
      <c r="G1239" s="27" t="s">
        <v>954</v>
      </c>
      <c r="H1239" s="80">
        <f>0.2*0.1*10*7.85*1.2*3</f>
        <v>5.652000000000001</v>
      </c>
      <c r="I1239" s="173" t="s">
        <v>91</v>
      </c>
      <c r="J1239" s="46">
        <v>30500</v>
      </c>
      <c r="K1239" s="55"/>
      <c r="L1239" s="42">
        <f t="shared" si="42"/>
        <v>172386.00000000003</v>
      </c>
    </row>
    <row r="1240" spans="2:12" x14ac:dyDescent="0.35">
      <c r="B1240" s="70"/>
      <c r="C1240" s="89"/>
      <c r="D1240" s="69" t="s">
        <v>34</v>
      </c>
      <c r="E1240" s="70"/>
      <c r="F1240" s="64" t="s">
        <v>955</v>
      </c>
      <c r="G1240" s="27"/>
      <c r="H1240" s="80"/>
      <c r="I1240" s="60"/>
      <c r="J1240" s="46"/>
      <c r="K1240" s="26"/>
      <c r="L1240" s="48"/>
    </row>
    <row r="1241" spans="2:12" x14ac:dyDescent="0.35">
      <c r="B1241" s="148"/>
      <c r="C1241" s="89"/>
      <c r="D1241" s="88"/>
      <c r="E1241" s="70"/>
      <c r="F1241" s="71" t="s">
        <v>90</v>
      </c>
      <c r="G1241" s="27" t="s">
        <v>956</v>
      </c>
      <c r="H1241" s="80">
        <f>0.6*10*1.85*7.85*1.2</f>
        <v>104.562</v>
      </c>
      <c r="I1241" s="173" t="s">
        <v>91</v>
      </c>
      <c r="J1241" s="46">
        <v>30500</v>
      </c>
      <c r="K1241" s="26"/>
      <c r="L1241" s="42">
        <f t="shared" si="42"/>
        <v>3189141</v>
      </c>
    </row>
    <row r="1242" spans="2:12" x14ac:dyDescent="0.35">
      <c r="B1242" s="150"/>
      <c r="C1242" s="87"/>
      <c r="D1242" s="88"/>
      <c r="E1242" s="70"/>
      <c r="F1242" s="71" t="s">
        <v>90</v>
      </c>
      <c r="G1242" s="27" t="s">
        <v>957</v>
      </c>
      <c r="H1242" s="80">
        <f>0.3*12*2.77*7.85*1.2</f>
        <v>93.936239999999984</v>
      </c>
      <c r="I1242" s="173" t="s">
        <v>91</v>
      </c>
      <c r="J1242" s="46">
        <v>30500</v>
      </c>
      <c r="K1242" s="26"/>
      <c r="L1242" s="42">
        <f t="shared" si="42"/>
        <v>2865055.3199999994</v>
      </c>
    </row>
    <row r="1243" spans="2:12" x14ac:dyDescent="0.35">
      <c r="B1243" s="150"/>
      <c r="C1243" s="87"/>
      <c r="D1243" s="88"/>
      <c r="E1243" s="70"/>
      <c r="F1243" s="71" t="s">
        <v>90</v>
      </c>
      <c r="G1243" s="27" t="s">
        <v>958</v>
      </c>
      <c r="H1243" s="80">
        <f>0.19*0.1*10*7.85*1.2</f>
        <v>1.7898000000000003</v>
      </c>
      <c r="I1243" s="173" t="s">
        <v>91</v>
      </c>
      <c r="J1243" s="46">
        <v>30500</v>
      </c>
      <c r="K1243" s="26"/>
      <c r="L1243" s="42">
        <f t="shared" si="42"/>
        <v>54588.900000000009</v>
      </c>
    </row>
    <row r="1244" spans="2:12" x14ac:dyDescent="0.35">
      <c r="B1244" s="70"/>
      <c r="C1244" s="89"/>
      <c r="D1244" s="69" t="s">
        <v>36</v>
      </c>
      <c r="E1244" s="70"/>
      <c r="F1244" s="64" t="s">
        <v>157</v>
      </c>
      <c r="G1244" s="27"/>
      <c r="H1244" s="80"/>
      <c r="I1244" s="60"/>
      <c r="J1244" s="46"/>
      <c r="K1244" s="26"/>
      <c r="L1244" s="48"/>
    </row>
    <row r="1245" spans="2:12" x14ac:dyDescent="0.35">
      <c r="B1245" s="150"/>
      <c r="C1245" s="87"/>
      <c r="D1245" s="88"/>
      <c r="E1245" s="70"/>
      <c r="F1245" s="71" t="s">
        <v>90</v>
      </c>
      <c r="G1245" s="27" t="s">
        <v>959</v>
      </c>
      <c r="H1245" s="80">
        <f>0.6*10*7.85*1.02*1.2</f>
        <v>57.650399999999991</v>
      </c>
      <c r="I1245" s="173" t="s">
        <v>91</v>
      </c>
      <c r="J1245" s="46">
        <v>30500</v>
      </c>
      <c r="K1245" s="26"/>
      <c r="L1245" s="42">
        <f t="shared" si="42"/>
        <v>1758337.1999999997</v>
      </c>
    </row>
    <row r="1246" spans="2:12" x14ac:dyDescent="0.35">
      <c r="B1246" s="150"/>
      <c r="C1246" s="87"/>
      <c r="D1246" s="88"/>
      <c r="E1246" s="70"/>
      <c r="F1246" s="71" t="s">
        <v>90</v>
      </c>
      <c r="G1246" s="27" t="s">
        <v>960</v>
      </c>
      <c r="H1246" s="80">
        <f>0.6*10*7.85*1.35*1.2</f>
        <v>76.301999999999992</v>
      </c>
      <c r="I1246" s="173" t="s">
        <v>91</v>
      </c>
      <c r="J1246" s="46">
        <v>30500</v>
      </c>
      <c r="K1246" s="26"/>
      <c r="L1246" s="42">
        <f t="shared" si="42"/>
        <v>2327211</v>
      </c>
    </row>
    <row r="1247" spans="2:12" x14ac:dyDescent="0.35">
      <c r="B1247" s="150"/>
      <c r="C1247" s="87"/>
      <c r="D1247" s="88"/>
      <c r="E1247" s="70"/>
      <c r="F1247" s="71" t="s">
        <v>90</v>
      </c>
      <c r="G1247" s="27" t="s">
        <v>961</v>
      </c>
      <c r="H1247" s="80">
        <f>0.3*12*7.85*1.6*1.2</f>
        <v>54.259199999999993</v>
      </c>
      <c r="I1247" s="173" t="s">
        <v>91</v>
      </c>
      <c r="J1247" s="46">
        <v>30500</v>
      </c>
      <c r="K1247" s="26"/>
      <c r="L1247" s="42">
        <f t="shared" si="42"/>
        <v>1654905.5999999999</v>
      </c>
    </row>
    <row r="1248" spans="2:12" x14ac:dyDescent="0.35">
      <c r="B1248" s="150"/>
      <c r="C1248" s="87"/>
      <c r="D1248" s="88"/>
      <c r="E1248" s="70"/>
      <c r="F1248" s="71" t="s">
        <v>90</v>
      </c>
      <c r="G1248" s="27" t="s">
        <v>962</v>
      </c>
      <c r="H1248" s="80">
        <f>0.6*10*7.85*1.5*1.2</f>
        <v>84.779999999999987</v>
      </c>
      <c r="I1248" s="173" t="s">
        <v>91</v>
      </c>
      <c r="J1248" s="46">
        <v>30500</v>
      </c>
      <c r="K1248" s="26"/>
      <c r="L1248" s="42">
        <f t="shared" si="42"/>
        <v>2585789.9999999995</v>
      </c>
    </row>
    <row r="1249" spans="2:12" x14ac:dyDescent="0.35">
      <c r="B1249" s="150"/>
      <c r="C1249" s="87"/>
      <c r="D1249" s="88"/>
      <c r="E1249" s="70"/>
      <c r="F1249" s="71" t="s">
        <v>90</v>
      </c>
      <c r="G1249" s="27" t="s">
        <v>963</v>
      </c>
      <c r="H1249" s="80">
        <f>0.6*10*7.85*0.58*1.2</f>
        <v>32.78159999999999</v>
      </c>
      <c r="I1249" s="173" t="s">
        <v>91</v>
      </c>
      <c r="J1249" s="46">
        <v>30500</v>
      </c>
      <c r="K1249" s="26"/>
      <c r="L1249" s="42">
        <f t="shared" si="42"/>
        <v>999838.7999999997</v>
      </c>
    </row>
    <row r="1250" spans="2:12" x14ac:dyDescent="0.35">
      <c r="B1250" s="70"/>
      <c r="C1250" s="89"/>
      <c r="D1250" s="69" t="s">
        <v>38</v>
      </c>
      <c r="E1250" s="70"/>
      <c r="F1250" s="64" t="s">
        <v>158</v>
      </c>
      <c r="G1250" s="27"/>
      <c r="H1250" s="80"/>
      <c r="I1250" s="60"/>
      <c r="J1250" s="46"/>
      <c r="K1250" s="26"/>
      <c r="L1250" s="48"/>
    </row>
    <row r="1251" spans="2:12" x14ac:dyDescent="0.35">
      <c r="B1251" s="150"/>
      <c r="C1251" s="87"/>
      <c r="D1251" s="88"/>
      <c r="E1251" s="70"/>
      <c r="F1251" s="71" t="s">
        <v>90</v>
      </c>
      <c r="G1251" s="27" t="s">
        <v>964</v>
      </c>
      <c r="H1251" s="80">
        <f>0.6*10*1.2*7.85*1.2</f>
        <v>67.823999999999984</v>
      </c>
      <c r="I1251" s="173" t="s">
        <v>91</v>
      </c>
      <c r="J1251" s="46">
        <v>30500</v>
      </c>
      <c r="K1251" s="26"/>
      <c r="L1251" s="42">
        <f t="shared" si="42"/>
        <v>2068631.9999999995</v>
      </c>
    </row>
    <row r="1252" spans="2:12" x14ac:dyDescent="0.35">
      <c r="B1252" s="150"/>
      <c r="C1252" s="87"/>
      <c r="D1252" s="88"/>
      <c r="E1252" s="70"/>
      <c r="F1252" s="71" t="s">
        <v>90</v>
      </c>
      <c r="G1252" s="27" t="s">
        <v>965</v>
      </c>
      <c r="H1252" s="80">
        <f>0.6*10*1.25*7.85*1.2</f>
        <v>70.649999999999991</v>
      </c>
      <c r="I1252" s="173" t="s">
        <v>91</v>
      </c>
      <c r="J1252" s="46">
        <v>30500</v>
      </c>
      <c r="K1252" s="26"/>
      <c r="L1252" s="42">
        <f t="shared" si="42"/>
        <v>2154824.9999999995</v>
      </c>
    </row>
    <row r="1253" spans="2:12" x14ac:dyDescent="0.35">
      <c r="B1253" s="150"/>
      <c r="C1253" s="87"/>
      <c r="D1253" s="88"/>
      <c r="E1253" s="70"/>
      <c r="F1253" s="71" t="s">
        <v>90</v>
      </c>
      <c r="G1253" s="27" t="s">
        <v>966</v>
      </c>
      <c r="H1253" s="80">
        <f>0.6*10*1.45*7.85*1.2</f>
        <v>81.953999999999979</v>
      </c>
      <c r="I1253" s="173" t="s">
        <v>91</v>
      </c>
      <c r="J1253" s="46">
        <v>30500</v>
      </c>
      <c r="K1253" s="26"/>
      <c r="L1253" s="42">
        <f t="shared" si="42"/>
        <v>2499596.9999999995</v>
      </c>
    </row>
    <row r="1254" spans="2:12" x14ac:dyDescent="0.35">
      <c r="B1254" s="150"/>
      <c r="C1254" s="87"/>
      <c r="D1254" s="88"/>
      <c r="E1254" s="70"/>
      <c r="F1254" s="71" t="s">
        <v>90</v>
      </c>
      <c r="G1254" s="27" t="s">
        <v>967</v>
      </c>
      <c r="H1254" s="80">
        <f>0.3*12*0.3*7.85*1.2*2</f>
        <v>20.347199999999994</v>
      </c>
      <c r="I1254" s="173" t="s">
        <v>91</v>
      </c>
      <c r="J1254" s="46">
        <v>30500</v>
      </c>
      <c r="K1254" s="26"/>
      <c r="L1254" s="42">
        <f t="shared" si="42"/>
        <v>620589.59999999986</v>
      </c>
    </row>
    <row r="1255" spans="2:12" x14ac:dyDescent="0.35">
      <c r="B1255" s="70"/>
      <c r="C1255" s="89"/>
      <c r="D1255" s="69" t="s">
        <v>39</v>
      </c>
      <c r="E1255" s="70"/>
      <c r="F1255" s="64" t="s">
        <v>968</v>
      </c>
      <c r="G1255" s="27"/>
      <c r="H1255" s="80"/>
      <c r="I1255" s="60"/>
      <c r="J1255" s="46"/>
      <c r="K1255" s="26"/>
      <c r="L1255" s="48"/>
    </row>
    <row r="1256" spans="2:12" x14ac:dyDescent="0.35">
      <c r="B1256" s="148"/>
      <c r="C1256" s="89"/>
      <c r="D1256" s="88"/>
      <c r="E1256" s="70"/>
      <c r="F1256" s="71" t="s">
        <v>90</v>
      </c>
      <c r="G1256" s="27" t="s">
        <v>969</v>
      </c>
      <c r="H1256" s="80">
        <f>0.6*10*7.85*1*1.2</f>
        <v>56.519999999999989</v>
      </c>
      <c r="I1256" s="173" t="s">
        <v>91</v>
      </c>
      <c r="J1256" s="46">
        <v>30500</v>
      </c>
      <c r="K1256" s="26"/>
      <c r="L1256" s="42">
        <f t="shared" si="42"/>
        <v>1723859.9999999998</v>
      </c>
    </row>
    <row r="1257" spans="2:12" x14ac:dyDescent="0.35">
      <c r="B1257" s="148"/>
      <c r="C1257" s="89"/>
      <c r="D1257" s="88"/>
      <c r="E1257" s="70"/>
      <c r="F1257" s="71" t="s">
        <v>90</v>
      </c>
      <c r="G1257" s="27" t="s">
        <v>970</v>
      </c>
      <c r="H1257" s="80">
        <f>0.6*10*7.85*4.95*1.2</f>
        <v>279.77399999999994</v>
      </c>
      <c r="I1257" s="173" t="s">
        <v>91</v>
      </c>
      <c r="J1257" s="46">
        <v>30500</v>
      </c>
      <c r="K1257" s="26"/>
      <c r="L1257" s="42">
        <f t="shared" si="42"/>
        <v>8533106.9999999981</v>
      </c>
    </row>
    <row r="1258" spans="2:12" x14ac:dyDescent="0.35">
      <c r="B1258" s="148"/>
      <c r="C1258" s="89"/>
      <c r="D1258" s="88"/>
      <c r="E1258" s="70"/>
      <c r="F1258" s="71" t="s">
        <v>90</v>
      </c>
      <c r="G1258" s="27" t="s">
        <v>971</v>
      </c>
      <c r="H1258" s="80">
        <f>0.6*10*7.85*5.17*1.2</f>
        <v>292.20839999999998</v>
      </c>
      <c r="I1258" s="173" t="s">
        <v>91</v>
      </c>
      <c r="J1258" s="46">
        <v>30500</v>
      </c>
      <c r="K1258" s="26"/>
      <c r="L1258" s="42">
        <f t="shared" si="42"/>
        <v>8912356.1999999993</v>
      </c>
    </row>
    <row r="1259" spans="2:12" x14ac:dyDescent="0.35">
      <c r="B1259" s="148"/>
      <c r="C1259" s="89"/>
      <c r="D1259" s="88"/>
      <c r="E1259" s="70"/>
      <c r="F1259" s="71" t="s">
        <v>90</v>
      </c>
      <c r="G1259" s="27" t="s">
        <v>972</v>
      </c>
      <c r="H1259" s="80">
        <f>0.6*10*7.85*0.45*1.2</f>
        <v>25.433999999999994</v>
      </c>
      <c r="I1259" s="173" t="s">
        <v>91</v>
      </c>
      <c r="J1259" s="46">
        <v>30500</v>
      </c>
      <c r="K1259" s="26"/>
      <c r="L1259" s="42">
        <f t="shared" si="42"/>
        <v>775736.99999999977</v>
      </c>
    </row>
    <row r="1260" spans="2:12" x14ac:dyDescent="0.35">
      <c r="B1260" s="148"/>
      <c r="C1260" s="89"/>
      <c r="D1260" s="88"/>
      <c r="E1260" s="70"/>
      <c r="F1260" s="71" t="s">
        <v>90</v>
      </c>
      <c r="G1260" s="27" t="s">
        <v>973</v>
      </c>
      <c r="H1260" s="80">
        <f>0.6*10*7.85*0.72*1.2</f>
        <v>40.694399999999987</v>
      </c>
      <c r="I1260" s="173" t="s">
        <v>91</v>
      </c>
      <c r="J1260" s="46">
        <v>30500</v>
      </c>
      <c r="K1260" s="26"/>
      <c r="L1260" s="42">
        <f t="shared" si="42"/>
        <v>1241179.1999999997</v>
      </c>
    </row>
    <row r="1261" spans="2:12" x14ac:dyDescent="0.35">
      <c r="B1261" s="148"/>
      <c r="C1261" s="89"/>
      <c r="D1261" s="88"/>
      <c r="E1261" s="70"/>
      <c r="F1261" s="71" t="s">
        <v>90</v>
      </c>
      <c r="G1261" s="27" t="s">
        <v>974</v>
      </c>
      <c r="H1261" s="80">
        <f>0.3*12*7.85*1.58*1.2</f>
        <v>53.580959999999997</v>
      </c>
      <c r="I1261" s="173" t="s">
        <v>91</v>
      </c>
      <c r="J1261" s="46">
        <v>30500</v>
      </c>
      <c r="K1261" s="26"/>
      <c r="L1261" s="42">
        <f t="shared" si="42"/>
        <v>1634219.28</v>
      </c>
    </row>
    <row r="1262" spans="2:12" x14ac:dyDescent="0.35">
      <c r="B1262" s="148"/>
      <c r="C1262" s="89"/>
      <c r="D1262" s="88"/>
      <c r="E1262" s="70"/>
      <c r="F1262" s="71" t="s">
        <v>90</v>
      </c>
      <c r="G1262" s="27" t="s">
        <v>975</v>
      </c>
      <c r="H1262" s="80">
        <f>0.3*12*7.85*2.26*1.2</f>
        <v>76.641119999999972</v>
      </c>
      <c r="I1262" s="173" t="s">
        <v>91</v>
      </c>
      <c r="J1262" s="46">
        <v>30500</v>
      </c>
      <c r="K1262" s="26"/>
      <c r="L1262" s="42">
        <f t="shared" si="42"/>
        <v>2337554.1599999992</v>
      </c>
    </row>
    <row r="1263" spans="2:12" x14ac:dyDescent="0.35">
      <c r="B1263" s="148"/>
      <c r="C1263" s="89"/>
      <c r="D1263" s="88"/>
      <c r="E1263" s="70"/>
      <c r="F1263" s="71" t="s">
        <v>90</v>
      </c>
      <c r="G1263" s="27" t="s">
        <v>976</v>
      </c>
      <c r="H1263" s="80">
        <f>0.3*12*7.85*3.63*1.2</f>
        <v>123.10055999999997</v>
      </c>
      <c r="I1263" s="173" t="s">
        <v>91</v>
      </c>
      <c r="J1263" s="46">
        <v>30500</v>
      </c>
      <c r="K1263" s="26"/>
      <c r="L1263" s="42">
        <f t="shared" si="42"/>
        <v>3754567.0799999991</v>
      </c>
    </row>
    <row r="1264" spans="2:12" x14ac:dyDescent="0.35">
      <c r="B1264" s="148"/>
      <c r="C1264" s="89"/>
      <c r="D1264" s="88"/>
      <c r="E1264" s="70"/>
      <c r="F1264" s="71" t="s">
        <v>90</v>
      </c>
      <c r="G1264" s="27" t="s">
        <v>977</v>
      </c>
      <c r="H1264" s="80">
        <f>0.3*12*7.85*3.72*1.2</f>
        <v>126.15263999999998</v>
      </c>
      <c r="I1264" s="173" t="s">
        <v>91</v>
      </c>
      <c r="J1264" s="46">
        <v>30500</v>
      </c>
      <c r="K1264" s="26"/>
      <c r="L1264" s="42">
        <f t="shared" si="42"/>
        <v>3847655.5199999991</v>
      </c>
    </row>
    <row r="1265" spans="2:12" x14ac:dyDescent="0.35">
      <c r="B1265" s="148"/>
      <c r="C1265" s="89"/>
      <c r="D1265" s="88"/>
      <c r="E1265" s="70"/>
      <c r="F1265" s="71" t="s">
        <v>90</v>
      </c>
      <c r="G1265" s="27" t="s">
        <v>978</v>
      </c>
      <c r="H1265" s="80">
        <f>0.3*12*7.85*3.87*1.2</f>
        <v>131.23943999999997</v>
      </c>
      <c r="I1265" s="173" t="s">
        <v>91</v>
      </c>
      <c r="J1265" s="46">
        <v>30500</v>
      </c>
      <c r="K1265" s="26"/>
      <c r="L1265" s="42">
        <f t="shared" si="42"/>
        <v>4002802.919999999</v>
      </c>
    </row>
    <row r="1266" spans="2:12" x14ac:dyDescent="0.35">
      <c r="B1266" s="148"/>
      <c r="C1266" s="89"/>
      <c r="D1266" s="88"/>
      <c r="E1266" s="70"/>
      <c r="F1266" s="71" t="s">
        <v>90</v>
      </c>
      <c r="G1266" s="27" t="s">
        <v>979</v>
      </c>
      <c r="H1266" s="80">
        <f>0.3*12*7.85*3.95*1.2</f>
        <v>133.95239999999998</v>
      </c>
      <c r="I1266" s="173" t="s">
        <v>91</v>
      </c>
      <c r="J1266" s="46">
        <v>30500</v>
      </c>
      <c r="K1266" s="26"/>
      <c r="L1266" s="42">
        <f t="shared" si="42"/>
        <v>4085548.1999999993</v>
      </c>
    </row>
    <row r="1267" spans="2:12" x14ac:dyDescent="0.35">
      <c r="B1267" s="148"/>
      <c r="C1267" s="89"/>
      <c r="D1267" s="88"/>
      <c r="E1267" s="70"/>
      <c r="F1267" s="71" t="s">
        <v>90</v>
      </c>
      <c r="G1267" s="27" t="s">
        <v>980</v>
      </c>
      <c r="H1267" s="80">
        <f>0.3*12*7.85*4.06*1.2</f>
        <v>137.68271999999996</v>
      </c>
      <c r="I1267" s="173" t="s">
        <v>91</v>
      </c>
      <c r="J1267" s="46">
        <v>30500</v>
      </c>
      <c r="K1267" s="26"/>
      <c r="L1267" s="42">
        <f t="shared" si="42"/>
        <v>4199322.959999999</v>
      </c>
    </row>
    <row r="1268" spans="2:12" x14ac:dyDescent="0.35">
      <c r="B1268" s="148"/>
      <c r="C1268" s="89"/>
      <c r="D1268" s="88"/>
      <c r="E1268" s="70"/>
      <c r="F1268" s="71" t="s">
        <v>90</v>
      </c>
      <c r="G1268" s="27" t="s">
        <v>981</v>
      </c>
      <c r="H1268" s="80">
        <f>0.3*12*7.85*4.2*1.2</f>
        <v>142.43039999999996</v>
      </c>
      <c r="I1268" s="173" t="s">
        <v>91</v>
      </c>
      <c r="J1268" s="46">
        <v>30500</v>
      </c>
      <c r="K1268" s="26"/>
      <c r="L1268" s="42">
        <f t="shared" si="42"/>
        <v>4344127.1999999993</v>
      </c>
    </row>
    <row r="1269" spans="2:12" x14ac:dyDescent="0.35">
      <c r="B1269" s="150"/>
      <c r="C1269" s="87"/>
      <c r="D1269" s="88"/>
      <c r="E1269" s="70"/>
      <c r="F1269" s="71" t="s">
        <v>90</v>
      </c>
      <c r="G1269" s="27" t="s">
        <v>982</v>
      </c>
      <c r="H1269" s="80">
        <f>0.6*10*7.85*1.54*1.2*2</f>
        <v>174.08159999999998</v>
      </c>
      <c r="I1269" s="173" t="s">
        <v>91</v>
      </c>
      <c r="J1269" s="46">
        <v>30500</v>
      </c>
      <c r="K1269" s="26"/>
      <c r="L1269" s="42">
        <f t="shared" si="42"/>
        <v>5309488.8</v>
      </c>
    </row>
    <row r="1270" spans="2:12" x14ac:dyDescent="0.35">
      <c r="B1270" s="150"/>
      <c r="C1270" s="87"/>
      <c r="D1270" s="88"/>
      <c r="E1270" s="70"/>
      <c r="F1270" s="71" t="s">
        <v>90</v>
      </c>
      <c r="G1270" s="27" t="s">
        <v>983</v>
      </c>
      <c r="H1270" s="80">
        <f>0.6*10*7.85*1.6*1.2</f>
        <v>90.432000000000002</v>
      </c>
      <c r="I1270" s="173" t="s">
        <v>91</v>
      </c>
      <c r="J1270" s="46">
        <v>30500</v>
      </c>
      <c r="K1270" s="26"/>
      <c r="L1270" s="42">
        <f t="shared" si="42"/>
        <v>2758176</v>
      </c>
    </row>
    <row r="1271" spans="2:12" x14ac:dyDescent="0.35">
      <c r="B1271" s="150"/>
      <c r="C1271" s="87"/>
      <c r="D1271" s="88"/>
      <c r="E1271" s="70"/>
      <c r="F1271" s="71" t="s">
        <v>90</v>
      </c>
      <c r="G1271" s="27" t="s">
        <v>984</v>
      </c>
      <c r="H1271" s="80">
        <f>0.6*10*7.85*2.02*1.2</f>
        <v>114.17039999999999</v>
      </c>
      <c r="I1271" s="173" t="s">
        <v>91</v>
      </c>
      <c r="J1271" s="46">
        <v>30500</v>
      </c>
      <c r="K1271" s="26"/>
      <c r="L1271" s="42">
        <f t="shared" si="42"/>
        <v>3482197.1999999997</v>
      </c>
    </row>
    <row r="1272" spans="2:12" x14ac:dyDescent="0.35">
      <c r="B1272" s="150"/>
      <c r="C1272" s="87"/>
      <c r="D1272" s="88"/>
      <c r="E1272" s="70"/>
      <c r="F1272" s="71" t="s">
        <v>90</v>
      </c>
      <c r="G1272" s="27" t="s">
        <v>985</v>
      </c>
      <c r="H1272" s="80">
        <f>0.6*10*7.85*0.55*1.2</f>
        <v>31.085999999999995</v>
      </c>
      <c r="I1272" s="173" t="s">
        <v>91</v>
      </c>
      <c r="J1272" s="46">
        <v>30500</v>
      </c>
      <c r="K1272" s="26"/>
      <c r="L1272" s="42">
        <f t="shared" si="42"/>
        <v>948122.99999999988</v>
      </c>
    </row>
    <row r="1273" spans="2:12" x14ac:dyDescent="0.35">
      <c r="B1273" s="150"/>
      <c r="C1273" s="87"/>
      <c r="D1273" s="88"/>
      <c r="E1273" s="70"/>
      <c r="F1273" s="71" t="s">
        <v>90</v>
      </c>
      <c r="G1273" s="27" t="s">
        <v>986</v>
      </c>
      <c r="H1273" s="80">
        <f>0.6*10*7.85*0.55*1.2</f>
        <v>31.085999999999995</v>
      </c>
      <c r="I1273" s="173" t="s">
        <v>91</v>
      </c>
      <c r="J1273" s="46">
        <v>30500</v>
      </c>
      <c r="K1273" s="26"/>
      <c r="L1273" s="42">
        <f t="shared" si="42"/>
        <v>948122.99999999988</v>
      </c>
    </row>
    <row r="1274" spans="2:12" x14ac:dyDescent="0.35">
      <c r="B1274" s="148"/>
      <c r="C1274" s="89"/>
      <c r="D1274" s="88"/>
      <c r="E1274" s="70"/>
      <c r="F1274" s="71" t="s">
        <v>90</v>
      </c>
      <c r="G1274" s="27" t="s">
        <v>987</v>
      </c>
      <c r="H1274" s="80">
        <f>0.3*12*7.85*0.94*1.2</f>
        <v>31.877279999999988</v>
      </c>
      <c r="I1274" s="173" t="s">
        <v>91</v>
      </c>
      <c r="J1274" s="46">
        <v>30500</v>
      </c>
      <c r="K1274" s="26"/>
      <c r="L1274" s="42">
        <f t="shared" si="42"/>
        <v>972257.03999999969</v>
      </c>
    </row>
    <row r="1275" spans="2:12" x14ac:dyDescent="0.35">
      <c r="B1275" s="148"/>
      <c r="C1275" s="89"/>
      <c r="D1275" s="88"/>
      <c r="E1275" s="70"/>
      <c r="F1275" s="71" t="s">
        <v>90</v>
      </c>
      <c r="G1275" s="27" t="s">
        <v>988</v>
      </c>
      <c r="H1275" s="80">
        <f>0.78*0.27*10*7.85*1.2*5</f>
        <v>99.192599999999999</v>
      </c>
      <c r="I1275" s="173" t="s">
        <v>91</v>
      </c>
      <c r="J1275" s="46">
        <v>30500</v>
      </c>
      <c r="K1275" s="26"/>
      <c r="L1275" s="42">
        <f t="shared" si="42"/>
        <v>3025374.3</v>
      </c>
    </row>
    <row r="1276" spans="2:12" x14ac:dyDescent="0.35">
      <c r="B1276" s="70"/>
      <c r="C1276" s="89"/>
      <c r="D1276" s="69" t="s">
        <v>41</v>
      </c>
      <c r="E1276" s="70"/>
      <c r="F1276" s="64" t="s">
        <v>989</v>
      </c>
      <c r="G1276" s="27"/>
      <c r="H1276" s="80"/>
      <c r="I1276" s="60"/>
      <c r="J1276" s="46"/>
      <c r="K1276" s="26"/>
      <c r="L1276" s="48"/>
    </row>
    <row r="1277" spans="2:12" x14ac:dyDescent="0.35">
      <c r="B1277" s="150"/>
      <c r="C1277" s="87"/>
      <c r="D1277" s="88"/>
      <c r="E1277" s="70"/>
      <c r="F1277" s="71" t="s">
        <v>90</v>
      </c>
      <c r="G1277" s="27" t="s">
        <v>990</v>
      </c>
      <c r="H1277" s="80">
        <f>0.3*12*7.85*1.46*1.2</f>
        <v>49.51151999999999</v>
      </c>
      <c r="I1277" s="173" t="s">
        <v>91</v>
      </c>
      <c r="J1277" s="46">
        <v>30500</v>
      </c>
      <c r="K1277" s="26"/>
      <c r="L1277" s="42">
        <f t="shared" si="42"/>
        <v>1510101.3599999996</v>
      </c>
    </row>
    <row r="1278" spans="2:12" x14ac:dyDescent="0.35">
      <c r="B1278" s="148"/>
      <c r="C1278" s="87"/>
      <c r="D1278" s="51"/>
      <c r="E1278" s="136"/>
      <c r="F1278" s="105"/>
      <c r="G1278" s="106"/>
      <c r="H1278" s="100"/>
      <c r="I1278" s="60"/>
      <c r="J1278" s="46"/>
      <c r="K1278" s="26"/>
      <c r="L1278" s="48"/>
    </row>
    <row r="1279" spans="2:12" x14ac:dyDescent="0.35">
      <c r="B1279" s="8"/>
      <c r="C1279" s="9"/>
      <c r="D1279" s="10"/>
      <c r="E1279" s="4"/>
      <c r="F1279" s="4"/>
      <c r="G1279" s="4"/>
      <c r="H1279" s="1"/>
      <c r="I1279" s="1"/>
      <c r="J1279" s="11" t="s">
        <v>8</v>
      </c>
      <c r="K1279" s="7">
        <f>SUM(K1226:K1278)</f>
        <v>0</v>
      </c>
      <c r="L1279" s="7">
        <f>SUM(L1226:L1278)</f>
        <v>127846054.55999999</v>
      </c>
    </row>
    <row r="1280" spans="2:12" x14ac:dyDescent="0.35">
      <c r="B1280" s="8"/>
      <c r="C1280" s="9"/>
      <c r="D1280" s="9"/>
      <c r="E1280" s="4"/>
      <c r="F1280" s="4"/>
      <c r="G1280" s="4"/>
      <c r="H1280" s="1"/>
      <c r="I1280" s="1"/>
      <c r="J1280" s="11"/>
      <c r="K1280" s="32" t="s">
        <v>13</v>
      </c>
      <c r="L1280" s="33" t="s">
        <v>14</v>
      </c>
    </row>
    <row r="1281" spans="2:12" x14ac:dyDescent="0.35">
      <c r="B1281" s="3" t="s">
        <v>9</v>
      </c>
      <c r="C1281" s="4"/>
      <c r="D1281" s="4"/>
      <c r="E1281" s="4"/>
      <c r="F1281" s="4"/>
      <c r="G1281" s="4"/>
      <c r="H1281" s="1"/>
      <c r="I1281" s="1"/>
      <c r="J1281" s="12"/>
      <c r="K1281" s="12"/>
      <c r="L1281" s="13"/>
    </row>
    <row r="1282" spans="2:12" x14ac:dyDescent="0.35">
      <c r="B1282" s="34"/>
      <c r="C1282" s="1"/>
      <c r="D1282" s="1"/>
      <c r="E1282" s="35"/>
      <c r="F1282" s="35"/>
      <c r="G1282" s="35"/>
      <c r="H1282" s="1"/>
      <c r="I1282" s="1"/>
      <c r="J1282" s="1"/>
      <c r="K1282" s="1"/>
      <c r="L1282" s="17"/>
    </row>
    <row r="1283" spans="2:12" x14ac:dyDescent="0.35">
      <c r="B1283" s="25" t="s">
        <v>6</v>
      </c>
      <c r="C1283" s="24"/>
      <c r="D1283" s="24"/>
      <c r="E1283" s="23"/>
      <c r="F1283" s="23"/>
      <c r="G1283" s="5"/>
      <c r="K1283" s="227" t="s">
        <v>1292</v>
      </c>
      <c r="L1283" s="228"/>
    </row>
    <row r="1284" spans="2:12" x14ac:dyDescent="0.35">
      <c r="B1284" s="25">
        <v>1</v>
      </c>
      <c r="C1284" s="24"/>
      <c r="D1284" s="24"/>
      <c r="E1284" s="23" t="s">
        <v>7</v>
      </c>
      <c r="F1284" s="23"/>
      <c r="G1284" s="5"/>
      <c r="K1284" s="227" t="s">
        <v>18</v>
      </c>
      <c r="L1284" s="228"/>
    </row>
    <row r="1285" spans="2:12" x14ac:dyDescent="0.35">
      <c r="B1285" s="36"/>
      <c r="C1285" s="24"/>
      <c r="D1285" s="24"/>
      <c r="E1285" s="23"/>
      <c r="F1285" s="23"/>
      <c r="G1285" s="5"/>
      <c r="J1285" s="22"/>
      <c r="K1285" s="22"/>
      <c r="L1285" s="21"/>
    </row>
    <row r="1286" spans="2:12" x14ac:dyDescent="0.35">
      <c r="B1286" s="25"/>
      <c r="C1286" s="24"/>
      <c r="D1286" s="24"/>
      <c r="E1286" s="23"/>
      <c r="F1286" s="23"/>
      <c r="G1286" s="5"/>
      <c r="L1286" s="20"/>
    </row>
    <row r="1287" spans="2:12" x14ac:dyDescent="0.35">
      <c r="B1287" s="41"/>
      <c r="E1287" s="5"/>
      <c r="F1287" s="5"/>
      <c r="G1287" s="5"/>
      <c r="L1287" s="20"/>
    </row>
    <row r="1288" spans="2:12" x14ac:dyDescent="0.35">
      <c r="B1288" s="41"/>
      <c r="E1288" s="5"/>
      <c r="F1288" s="5"/>
      <c r="G1288" s="5"/>
      <c r="L1288" s="20"/>
    </row>
    <row r="1289" spans="2:12" x14ac:dyDescent="0.35">
      <c r="B1289" s="41"/>
      <c r="E1289" s="5"/>
      <c r="F1289" s="5"/>
      <c r="G1289" s="5"/>
      <c r="L1289" s="20"/>
    </row>
    <row r="1290" spans="2:12" x14ac:dyDescent="0.35">
      <c r="B1290" s="41"/>
      <c r="E1290" s="5"/>
      <c r="F1290" s="5"/>
      <c r="G1290" s="5"/>
      <c r="J1290" s="37"/>
      <c r="K1290" s="229" t="s">
        <v>26</v>
      </c>
      <c r="L1290" s="230"/>
    </row>
    <row r="1291" spans="2:12" x14ac:dyDescent="0.35">
      <c r="B1291" s="41"/>
      <c r="K1291" s="231" t="s">
        <v>27</v>
      </c>
      <c r="L1291" s="232"/>
    </row>
    <row r="1292" spans="2:12" x14ac:dyDescent="0.35">
      <c r="B1292" s="233"/>
      <c r="C1292" s="234"/>
      <c r="D1292" s="234"/>
      <c r="E1292" s="38"/>
      <c r="F1292" s="38"/>
      <c r="G1292" s="38"/>
      <c r="H1292" s="2"/>
      <c r="I1292" s="2"/>
      <c r="J1292" s="2"/>
      <c r="K1292" s="2"/>
      <c r="L1292" s="19"/>
    </row>
    <row r="1293" spans="2:12" x14ac:dyDescent="0.35">
      <c r="B1293" s="43"/>
      <c r="C1293" s="44"/>
      <c r="D1293" s="45"/>
      <c r="G1293" s="20"/>
      <c r="H1293" s="1"/>
      <c r="I1293" s="1"/>
      <c r="J1293" s="39"/>
      <c r="K1293" s="27"/>
      <c r="L1293" s="40"/>
    </row>
    <row r="1294" spans="2:12" x14ac:dyDescent="0.35">
      <c r="B1294" s="70"/>
      <c r="C1294" s="89"/>
      <c r="D1294" s="69" t="s">
        <v>43</v>
      </c>
      <c r="E1294" s="70"/>
      <c r="F1294" s="64" t="s">
        <v>159</v>
      </c>
      <c r="G1294" s="27"/>
      <c r="H1294" s="80"/>
      <c r="I1294" s="60"/>
      <c r="J1294" s="151"/>
      <c r="K1294" s="152"/>
      <c r="L1294" s="153"/>
    </row>
    <row r="1295" spans="2:12" x14ac:dyDescent="0.35">
      <c r="B1295" s="150"/>
      <c r="C1295" s="87"/>
      <c r="D1295" s="88"/>
      <c r="E1295" s="70"/>
      <c r="F1295" s="71" t="s">
        <v>90</v>
      </c>
      <c r="G1295" s="27" t="s">
        <v>991</v>
      </c>
      <c r="H1295" s="80">
        <f>0.3*12*7.85*2.69*1.2*2</f>
        <v>182.44655999999998</v>
      </c>
      <c r="I1295" s="173" t="s">
        <v>91</v>
      </c>
      <c r="J1295" s="46">
        <v>30500</v>
      </c>
      <c r="K1295" s="47"/>
      <c r="L1295" s="42">
        <f t="shared" ref="L1295" si="43">J1295*H1295</f>
        <v>5564620.0799999991</v>
      </c>
    </row>
    <row r="1296" spans="2:12" x14ac:dyDescent="0.35">
      <c r="B1296" s="70"/>
      <c r="C1296" s="89"/>
      <c r="D1296" s="69" t="s">
        <v>44</v>
      </c>
      <c r="E1296" s="70"/>
      <c r="F1296" s="64" t="s">
        <v>160</v>
      </c>
      <c r="G1296" s="27"/>
      <c r="H1296" s="80"/>
      <c r="I1296" s="60"/>
      <c r="J1296" s="26"/>
      <c r="K1296" s="47"/>
      <c r="L1296" s="42"/>
    </row>
    <row r="1297" spans="2:12" x14ac:dyDescent="0.35">
      <c r="B1297" s="150"/>
      <c r="C1297" s="87"/>
      <c r="D1297" s="88"/>
      <c r="E1297" s="70"/>
      <c r="F1297" s="71" t="s">
        <v>90</v>
      </c>
      <c r="G1297" s="27" t="s">
        <v>992</v>
      </c>
      <c r="H1297" s="80">
        <f>0.3*12*7.85*1.15*1.2</f>
        <v>38.998799999999981</v>
      </c>
      <c r="I1297" s="173" t="s">
        <v>91</v>
      </c>
      <c r="J1297" s="46">
        <v>30500</v>
      </c>
      <c r="K1297" s="47"/>
      <c r="L1297" s="42">
        <f t="shared" ref="L1297:L1308" si="44">J1297*H1297</f>
        <v>1189463.3999999994</v>
      </c>
    </row>
    <row r="1298" spans="2:12" x14ac:dyDescent="0.35">
      <c r="B1298" s="150"/>
      <c r="C1298" s="87"/>
      <c r="D1298" s="88"/>
      <c r="E1298" s="70"/>
      <c r="F1298" s="71" t="s">
        <v>90</v>
      </c>
      <c r="G1298" s="27" t="s">
        <v>993</v>
      </c>
      <c r="H1298" s="80">
        <f>0.4*0.3*10*7.85*1.2</f>
        <v>11.304</v>
      </c>
      <c r="I1298" s="173" t="s">
        <v>91</v>
      </c>
      <c r="J1298" s="46">
        <v>30500</v>
      </c>
      <c r="K1298" s="55"/>
      <c r="L1298" s="42">
        <f t="shared" si="44"/>
        <v>344772</v>
      </c>
    </row>
    <row r="1299" spans="2:12" x14ac:dyDescent="0.35">
      <c r="B1299" s="150"/>
      <c r="C1299" s="87"/>
      <c r="D1299" s="88"/>
      <c r="E1299" s="70"/>
      <c r="F1299" s="71" t="s">
        <v>90</v>
      </c>
      <c r="G1299" s="27" t="s">
        <v>994</v>
      </c>
      <c r="H1299" s="80">
        <f>1.14*0.58*10*7.85*1.2</f>
        <v>62.285039999999981</v>
      </c>
      <c r="I1299" s="173" t="s">
        <v>91</v>
      </c>
      <c r="J1299" s="46">
        <v>30500</v>
      </c>
      <c r="K1299" s="47"/>
      <c r="L1299" s="42">
        <f t="shared" si="44"/>
        <v>1899693.7199999995</v>
      </c>
    </row>
    <row r="1300" spans="2:12" x14ac:dyDescent="0.35">
      <c r="B1300" s="150"/>
      <c r="C1300" s="87"/>
      <c r="D1300" s="88"/>
      <c r="E1300" s="70"/>
      <c r="F1300" s="71" t="s">
        <v>90</v>
      </c>
      <c r="G1300" s="27" t="s">
        <v>995</v>
      </c>
      <c r="H1300" s="80">
        <f>0.18*0.09*10*7.85*1.2</f>
        <v>1.5260399999999998</v>
      </c>
      <c r="I1300" s="173" t="s">
        <v>91</v>
      </c>
      <c r="J1300" s="46">
        <v>30500</v>
      </c>
      <c r="K1300" s="55"/>
      <c r="L1300" s="42">
        <f t="shared" si="44"/>
        <v>46544.219999999994</v>
      </c>
    </row>
    <row r="1301" spans="2:12" x14ac:dyDescent="0.35">
      <c r="B1301" s="70"/>
      <c r="C1301" s="89"/>
      <c r="D1301" s="69" t="s">
        <v>54</v>
      </c>
      <c r="E1301" s="70"/>
      <c r="F1301" s="64" t="s">
        <v>996</v>
      </c>
      <c r="G1301" s="27"/>
      <c r="H1301" s="80"/>
      <c r="I1301" s="60"/>
      <c r="J1301" s="26"/>
      <c r="K1301" s="47"/>
      <c r="L1301" s="42"/>
    </row>
    <row r="1302" spans="2:12" x14ac:dyDescent="0.35">
      <c r="B1302" s="150"/>
      <c r="C1302" s="87"/>
      <c r="D1302" s="88"/>
      <c r="E1302" s="70"/>
      <c r="F1302" s="71" t="s">
        <v>90</v>
      </c>
      <c r="G1302" s="27" t="s">
        <v>997</v>
      </c>
      <c r="H1302" s="80">
        <f>0.6*10*1.79*7.85*1.2</f>
        <v>101.1708</v>
      </c>
      <c r="I1302" s="173" t="s">
        <v>91</v>
      </c>
      <c r="J1302" s="46">
        <v>30500</v>
      </c>
      <c r="K1302" s="47"/>
      <c r="L1302" s="42">
        <f t="shared" si="44"/>
        <v>3085709.4</v>
      </c>
    </row>
    <row r="1303" spans="2:12" x14ac:dyDescent="0.35">
      <c r="B1303" s="150"/>
      <c r="C1303" s="87"/>
      <c r="D1303" s="88"/>
      <c r="E1303" s="70"/>
      <c r="F1303" s="71" t="s">
        <v>90</v>
      </c>
      <c r="G1303" s="27" t="s">
        <v>998</v>
      </c>
      <c r="H1303" s="80">
        <f>0.24*10*1.66*7.85*1.2*2</f>
        <v>75.058559999999986</v>
      </c>
      <c r="I1303" s="173" t="s">
        <v>91</v>
      </c>
      <c r="J1303" s="46">
        <v>30500</v>
      </c>
      <c r="K1303" s="47"/>
      <c r="L1303" s="42">
        <f t="shared" si="44"/>
        <v>2289286.0799999996</v>
      </c>
    </row>
    <row r="1304" spans="2:12" x14ac:dyDescent="0.35">
      <c r="B1304" s="150"/>
      <c r="C1304" s="87"/>
      <c r="D1304" s="88"/>
      <c r="E1304" s="70"/>
      <c r="F1304" s="71" t="s">
        <v>90</v>
      </c>
      <c r="G1304" s="27" t="s">
        <v>999</v>
      </c>
      <c r="H1304" s="80">
        <f>0.45*10*0.55*7.85*1.2*2</f>
        <v>46.628999999999998</v>
      </c>
      <c r="I1304" s="173" t="s">
        <v>91</v>
      </c>
      <c r="J1304" s="46">
        <v>30500</v>
      </c>
      <c r="K1304" s="47"/>
      <c r="L1304" s="42">
        <f t="shared" si="44"/>
        <v>1422184.5</v>
      </c>
    </row>
    <row r="1305" spans="2:12" x14ac:dyDescent="0.35">
      <c r="B1305" s="150"/>
      <c r="C1305" s="87"/>
      <c r="D1305" s="88"/>
      <c r="E1305" s="70"/>
      <c r="F1305" s="71" t="s">
        <v>90</v>
      </c>
      <c r="G1305" s="27" t="s">
        <v>1000</v>
      </c>
      <c r="H1305" s="80">
        <f>0.4*0.37*12*7.85*1.2*4</f>
        <v>66.919679999999985</v>
      </c>
      <c r="I1305" s="173" t="s">
        <v>91</v>
      </c>
      <c r="J1305" s="46">
        <v>30500</v>
      </c>
      <c r="K1305" s="42"/>
      <c r="L1305" s="42">
        <f t="shared" si="44"/>
        <v>2041050.2399999995</v>
      </c>
    </row>
    <row r="1306" spans="2:12" x14ac:dyDescent="0.35">
      <c r="B1306" s="70"/>
      <c r="C1306" s="89"/>
      <c r="D1306" s="69" t="s">
        <v>56</v>
      </c>
      <c r="E1306" s="70"/>
      <c r="F1306" s="64" t="s">
        <v>1001</v>
      </c>
      <c r="G1306" s="27"/>
      <c r="H1306" s="80"/>
      <c r="I1306" s="60"/>
      <c r="J1306" s="55"/>
      <c r="K1306" s="55"/>
      <c r="L1306" s="42"/>
    </row>
    <row r="1307" spans="2:12" x14ac:dyDescent="0.35">
      <c r="B1307" s="150"/>
      <c r="C1307" s="87"/>
      <c r="D1307" s="88"/>
      <c r="E1307" s="70"/>
      <c r="F1307" s="71" t="s">
        <v>90</v>
      </c>
      <c r="G1307" s="27" t="s">
        <v>1002</v>
      </c>
      <c r="H1307" s="80">
        <f>0.3*12*3.25*7.85*1.2*2</f>
        <v>220.42799999999997</v>
      </c>
      <c r="I1307" s="173" t="s">
        <v>91</v>
      </c>
      <c r="J1307" s="46">
        <v>30500</v>
      </c>
      <c r="K1307" s="26"/>
      <c r="L1307" s="42">
        <f t="shared" si="44"/>
        <v>6723053.9999999991</v>
      </c>
    </row>
    <row r="1308" spans="2:12" x14ac:dyDescent="0.35">
      <c r="B1308" s="150"/>
      <c r="C1308" s="87"/>
      <c r="D1308" s="88"/>
      <c r="E1308" s="70"/>
      <c r="F1308" s="71" t="s">
        <v>90</v>
      </c>
      <c r="G1308" s="27" t="s">
        <v>1003</v>
      </c>
      <c r="H1308" s="80">
        <f>0.3*12*3.3*7.85*1.2*2</f>
        <v>223.81919999999994</v>
      </c>
      <c r="I1308" s="173" t="s">
        <v>91</v>
      </c>
      <c r="J1308" s="46">
        <v>30500</v>
      </c>
      <c r="K1308" s="26"/>
      <c r="L1308" s="42">
        <f t="shared" si="44"/>
        <v>6826485.5999999978</v>
      </c>
    </row>
    <row r="1309" spans="2:12" x14ac:dyDescent="0.35">
      <c r="B1309" s="148" t="s">
        <v>45</v>
      </c>
      <c r="C1309" s="87"/>
      <c r="D1309" s="88"/>
      <c r="E1309" s="162" t="s">
        <v>161</v>
      </c>
      <c r="F1309" s="71"/>
      <c r="G1309" s="27"/>
      <c r="H1309" s="80"/>
      <c r="I1309" s="60"/>
      <c r="J1309" s="46"/>
      <c r="K1309" s="26"/>
      <c r="L1309" s="48"/>
    </row>
    <row r="1310" spans="2:12" x14ac:dyDescent="0.35">
      <c r="B1310" s="195"/>
      <c r="C1310" s="196" t="s">
        <v>162</v>
      </c>
      <c r="D1310" s="197"/>
      <c r="E1310" s="71"/>
      <c r="F1310" s="124" t="s">
        <v>163</v>
      </c>
      <c r="G1310" s="27"/>
      <c r="H1310" s="71"/>
      <c r="I1310" s="71"/>
      <c r="J1310" s="46"/>
      <c r="K1310" s="26"/>
      <c r="L1310" s="48"/>
    </row>
    <row r="1311" spans="2:12" x14ac:dyDescent="0.35">
      <c r="B1311" s="198"/>
      <c r="C1311" s="199"/>
      <c r="D1311" s="131" t="s">
        <v>29</v>
      </c>
      <c r="E1311" s="186"/>
      <c r="F1311" s="124" t="s">
        <v>1004</v>
      </c>
      <c r="G1311" s="27"/>
      <c r="H1311" s="125">
        <v>1</v>
      </c>
      <c r="I1311" s="126" t="s">
        <v>82</v>
      </c>
      <c r="J1311" s="46">
        <v>300000</v>
      </c>
      <c r="K1311" s="26"/>
      <c r="L1311" s="42">
        <f t="shared" ref="L1311" si="45">J1311*H1311</f>
        <v>300000</v>
      </c>
    </row>
    <row r="1312" spans="2:12" x14ac:dyDescent="0.35">
      <c r="B1312" s="198"/>
      <c r="C1312" s="199"/>
      <c r="D1312" s="131"/>
      <c r="E1312" s="186"/>
      <c r="F1312" s="71" t="s">
        <v>90</v>
      </c>
      <c r="G1312" s="27" t="s">
        <v>1005</v>
      </c>
      <c r="H1312" s="184"/>
      <c r="I1312" s="183"/>
      <c r="J1312" s="46"/>
      <c r="K1312" s="26"/>
      <c r="L1312" s="48"/>
    </row>
    <row r="1313" spans="2:12" x14ac:dyDescent="0.35">
      <c r="B1313" s="198"/>
      <c r="C1313" s="199"/>
      <c r="D1313" s="131"/>
      <c r="E1313" s="186"/>
      <c r="F1313" s="71" t="s">
        <v>90</v>
      </c>
      <c r="G1313" s="27" t="s">
        <v>1006</v>
      </c>
      <c r="H1313" s="184"/>
      <c r="I1313" s="183"/>
      <c r="J1313" s="46"/>
      <c r="K1313" s="26"/>
      <c r="L1313" s="48"/>
    </row>
    <row r="1314" spans="2:12" x14ac:dyDescent="0.35">
      <c r="B1314" s="198"/>
      <c r="C1314" s="199"/>
      <c r="D1314" s="131"/>
      <c r="E1314" s="186"/>
      <c r="F1314" s="71" t="s">
        <v>90</v>
      </c>
      <c r="G1314" s="27" t="s">
        <v>1007</v>
      </c>
      <c r="H1314" s="184"/>
      <c r="I1314" s="183"/>
      <c r="J1314" s="46"/>
      <c r="K1314" s="26"/>
      <c r="L1314" s="48"/>
    </row>
    <row r="1315" spans="2:12" x14ac:dyDescent="0.35">
      <c r="B1315" s="195"/>
      <c r="C1315" s="196"/>
      <c r="D1315" s="131" t="s">
        <v>32</v>
      </c>
      <c r="E1315" s="186"/>
      <c r="F1315" s="124" t="s">
        <v>1008</v>
      </c>
      <c r="G1315" s="27"/>
      <c r="H1315" s="125">
        <v>1</v>
      </c>
      <c r="I1315" s="126" t="s">
        <v>82</v>
      </c>
      <c r="J1315" s="46">
        <v>1400000</v>
      </c>
      <c r="K1315" s="26"/>
      <c r="L1315" s="42">
        <f t="shared" ref="L1315" si="46">J1315*H1315</f>
        <v>1400000</v>
      </c>
    </row>
    <row r="1316" spans="2:12" x14ac:dyDescent="0.35">
      <c r="B1316" s="195"/>
      <c r="C1316" s="199"/>
      <c r="D1316" s="131"/>
      <c r="E1316" s="186"/>
      <c r="F1316" s="71" t="s">
        <v>90</v>
      </c>
      <c r="G1316" s="27" t="s">
        <v>1009</v>
      </c>
      <c r="H1316" s="184"/>
      <c r="I1316" s="183"/>
      <c r="J1316" s="46"/>
      <c r="K1316" s="26"/>
      <c r="L1316" s="48"/>
    </row>
    <row r="1317" spans="2:12" x14ac:dyDescent="0.35">
      <c r="B1317" s="195"/>
      <c r="C1317" s="199"/>
      <c r="D1317" s="131"/>
      <c r="E1317" s="186"/>
      <c r="F1317" s="71" t="s">
        <v>90</v>
      </c>
      <c r="G1317" s="27" t="s">
        <v>1010</v>
      </c>
      <c r="H1317" s="184"/>
      <c r="I1317" s="183"/>
      <c r="J1317" s="46"/>
      <c r="K1317" s="26"/>
      <c r="L1317" s="48"/>
    </row>
    <row r="1318" spans="2:12" x14ac:dyDescent="0.35">
      <c r="B1318" s="195"/>
      <c r="C1318" s="199"/>
      <c r="D1318" s="131"/>
      <c r="E1318" s="186"/>
      <c r="F1318" s="71" t="s">
        <v>90</v>
      </c>
      <c r="G1318" s="27" t="s">
        <v>1011</v>
      </c>
      <c r="H1318" s="184"/>
      <c r="I1318" s="183"/>
      <c r="J1318" s="46"/>
      <c r="K1318" s="26"/>
      <c r="L1318" s="48"/>
    </row>
    <row r="1319" spans="2:12" x14ac:dyDescent="0.35">
      <c r="B1319" s="195"/>
      <c r="C1319" s="196"/>
      <c r="D1319" s="131" t="s">
        <v>34</v>
      </c>
      <c r="E1319" s="186"/>
      <c r="F1319" s="124" t="s">
        <v>164</v>
      </c>
      <c r="G1319" s="27"/>
      <c r="H1319" s="125">
        <v>1</v>
      </c>
      <c r="I1319" s="126" t="s">
        <v>82</v>
      </c>
      <c r="J1319" s="46">
        <v>3400000</v>
      </c>
      <c r="K1319" s="26"/>
      <c r="L1319" s="42">
        <f t="shared" ref="L1319" si="47">J1319*H1319</f>
        <v>3400000</v>
      </c>
    </row>
    <row r="1320" spans="2:12" x14ac:dyDescent="0.35">
      <c r="B1320" s="195"/>
      <c r="C1320" s="199"/>
      <c r="D1320" s="131"/>
      <c r="E1320" s="186"/>
      <c r="F1320" s="71" t="s">
        <v>90</v>
      </c>
      <c r="G1320" s="216" t="s">
        <v>1012</v>
      </c>
      <c r="H1320" s="184"/>
      <c r="I1320" s="183"/>
      <c r="J1320" s="46"/>
      <c r="K1320" s="26"/>
      <c r="L1320" s="48"/>
    </row>
    <row r="1321" spans="2:12" x14ac:dyDescent="0.35">
      <c r="B1321" s="195"/>
      <c r="C1321" s="199"/>
      <c r="D1321" s="131"/>
      <c r="E1321" s="186"/>
      <c r="F1321" s="71" t="s">
        <v>90</v>
      </c>
      <c r="G1321" s="27" t="s">
        <v>1010</v>
      </c>
      <c r="H1321" s="184"/>
      <c r="I1321" s="183"/>
      <c r="J1321" s="46"/>
      <c r="K1321" s="26"/>
      <c r="L1321" s="48"/>
    </row>
    <row r="1322" spans="2:12" x14ac:dyDescent="0.35">
      <c r="B1322" s="198"/>
      <c r="C1322" s="199"/>
      <c r="D1322" s="131"/>
      <c r="E1322" s="186"/>
      <c r="F1322" s="71" t="s">
        <v>90</v>
      </c>
      <c r="G1322" s="27" t="s">
        <v>1013</v>
      </c>
      <c r="H1322" s="184"/>
      <c r="I1322" s="183"/>
      <c r="J1322" s="46"/>
      <c r="K1322" s="26"/>
      <c r="L1322" s="48"/>
    </row>
    <row r="1323" spans="2:12" x14ac:dyDescent="0.35">
      <c r="B1323" s="195"/>
      <c r="C1323" s="199"/>
      <c r="D1323" s="131"/>
      <c r="E1323" s="186"/>
      <c r="F1323" s="71" t="s">
        <v>90</v>
      </c>
      <c r="G1323" s="27" t="s">
        <v>1014</v>
      </c>
      <c r="H1323" s="184"/>
      <c r="I1323" s="183"/>
      <c r="J1323" s="46"/>
      <c r="K1323" s="26"/>
      <c r="L1323" s="48"/>
    </row>
    <row r="1324" spans="2:12" x14ac:dyDescent="0.35">
      <c r="B1324" s="195"/>
      <c r="C1324" s="196"/>
      <c r="D1324" s="131" t="s">
        <v>36</v>
      </c>
      <c r="E1324" s="186"/>
      <c r="F1324" s="124" t="s">
        <v>165</v>
      </c>
      <c r="G1324" s="27"/>
      <c r="H1324" s="125">
        <v>1</v>
      </c>
      <c r="I1324" s="126" t="s">
        <v>82</v>
      </c>
      <c r="J1324" s="46">
        <v>3600000</v>
      </c>
      <c r="K1324" s="26"/>
      <c r="L1324" s="42">
        <f t="shared" ref="L1324" si="48">J1324*H1324</f>
        <v>3600000</v>
      </c>
    </row>
    <row r="1325" spans="2:12" x14ac:dyDescent="0.35">
      <c r="B1325" s="195"/>
      <c r="C1325" s="199"/>
      <c r="D1325" s="131"/>
      <c r="E1325" s="186"/>
      <c r="F1325" s="71" t="s">
        <v>90</v>
      </c>
      <c r="G1325" s="216" t="s">
        <v>1012</v>
      </c>
      <c r="H1325" s="184"/>
      <c r="I1325" s="183"/>
      <c r="J1325" s="46"/>
      <c r="K1325" s="26"/>
      <c r="L1325" s="48"/>
    </row>
    <row r="1326" spans="2:12" x14ac:dyDescent="0.35">
      <c r="B1326" s="195"/>
      <c r="C1326" s="199"/>
      <c r="D1326" s="131"/>
      <c r="E1326" s="186"/>
      <c r="F1326" s="71" t="s">
        <v>90</v>
      </c>
      <c r="G1326" s="27" t="s">
        <v>1010</v>
      </c>
      <c r="H1326" s="184"/>
      <c r="I1326" s="183"/>
      <c r="J1326" s="46"/>
      <c r="K1326" s="26"/>
      <c r="L1326" s="48"/>
    </row>
    <row r="1327" spans="2:12" x14ac:dyDescent="0.35">
      <c r="B1327" s="198"/>
      <c r="C1327" s="199"/>
      <c r="D1327" s="131"/>
      <c r="E1327" s="186"/>
      <c r="F1327" s="71" t="s">
        <v>90</v>
      </c>
      <c r="G1327" s="27" t="s">
        <v>1013</v>
      </c>
      <c r="H1327" s="184"/>
      <c r="I1327" s="183"/>
      <c r="J1327" s="46"/>
      <c r="K1327" s="26"/>
      <c r="L1327" s="48"/>
    </row>
    <row r="1328" spans="2:12" x14ac:dyDescent="0.35">
      <c r="B1328" s="195"/>
      <c r="C1328" s="199"/>
      <c r="D1328" s="131"/>
      <c r="E1328" s="186"/>
      <c r="F1328" s="71" t="s">
        <v>90</v>
      </c>
      <c r="G1328" s="27" t="s">
        <v>1014</v>
      </c>
      <c r="H1328" s="184"/>
      <c r="I1328" s="183"/>
      <c r="J1328" s="46"/>
      <c r="K1328" s="26"/>
      <c r="L1328" s="48"/>
    </row>
    <row r="1329" spans="2:12" x14ac:dyDescent="0.35">
      <c r="B1329" s="148"/>
      <c r="C1329" s="87"/>
      <c r="D1329" s="137"/>
      <c r="E1329" s="138"/>
      <c r="F1329" s="124" t="s">
        <v>90</v>
      </c>
      <c r="G1329" s="49" t="s">
        <v>1015</v>
      </c>
      <c r="H1329" s="139"/>
      <c r="I1329" s="60"/>
      <c r="J1329" s="46"/>
      <c r="K1329" s="26"/>
      <c r="L1329" s="48"/>
    </row>
    <row r="1330" spans="2:12" x14ac:dyDescent="0.35">
      <c r="B1330" s="148"/>
      <c r="C1330" s="87"/>
      <c r="D1330" s="137"/>
      <c r="E1330" s="138"/>
      <c r="F1330" s="124" t="s">
        <v>90</v>
      </c>
      <c r="G1330" s="49" t="s">
        <v>1016</v>
      </c>
      <c r="H1330" s="139"/>
      <c r="I1330" s="60"/>
      <c r="J1330" s="46"/>
      <c r="K1330" s="26"/>
      <c r="L1330" s="48"/>
    </row>
    <row r="1331" spans="2:12" x14ac:dyDescent="0.35">
      <c r="B1331" s="148"/>
      <c r="C1331" s="87"/>
      <c r="D1331" s="130" t="s">
        <v>38</v>
      </c>
      <c r="E1331" s="140"/>
      <c r="F1331" s="124" t="s">
        <v>1017</v>
      </c>
      <c r="G1331" s="49"/>
      <c r="H1331" s="149">
        <v>1</v>
      </c>
      <c r="I1331" s="60" t="s">
        <v>82</v>
      </c>
      <c r="J1331" s="46">
        <v>4000000</v>
      </c>
      <c r="K1331" s="26"/>
      <c r="L1331" s="42">
        <f t="shared" ref="L1331" si="49">J1331*H1331</f>
        <v>4000000</v>
      </c>
    </row>
    <row r="1332" spans="2:12" x14ac:dyDescent="0.35">
      <c r="B1332" s="148"/>
      <c r="C1332" s="87"/>
      <c r="D1332" s="137"/>
      <c r="E1332" s="138"/>
      <c r="F1332" s="124" t="s">
        <v>90</v>
      </c>
      <c r="G1332" s="49" t="s">
        <v>1018</v>
      </c>
      <c r="H1332" s="139"/>
      <c r="I1332" s="60"/>
      <c r="J1332" s="46"/>
      <c r="K1332" s="26"/>
      <c r="L1332" s="48"/>
    </row>
    <row r="1333" spans="2:12" x14ac:dyDescent="0.35">
      <c r="B1333" s="148"/>
      <c r="C1333" s="87"/>
      <c r="D1333" s="137"/>
      <c r="E1333" s="138"/>
      <c r="F1333" s="124" t="s">
        <v>90</v>
      </c>
      <c r="G1333" s="49" t="s">
        <v>1019</v>
      </c>
      <c r="H1333" s="139"/>
      <c r="I1333" s="60"/>
      <c r="J1333" s="46"/>
      <c r="K1333" s="26"/>
      <c r="L1333" s="48"/>
    </row>
    <row r="1334" spans="2:12" x14ac:dyDescent="0.35">
      <c r="B1334" s="148"/>
      <c r="C1334" s="87"/>
      <c r="D1334" s="137"/>
      <c r="E1334" s="138"/>
      <c r="F1334" s="124" t="s">
        <v>90</v>
      </c>
      <c r="G1334" s="49" t="s">
        <v>1020</v>
      </c>
      <c r="H1334" s="139"/>
      <c r="I1334" s="60"/>
      <c r="J1334" s="46"/>
      <c r="K1334" s="26"/>
      <c r="L1334" s="48"/>
    </row>
    <row r="1335" spans="2:12" x14ac:dyDescent="0.35">
      <c r="B1335" s="148"/>
      <c r="C1335" s="87"/>
      <c r="D1335" s="137"/>
      <c r="E1335" s="138"/>
      <c r="F1335" s="124" t="s">
        <v>90</v>
      </c>
      <c r="G1335" s="49" t="s">
        <v>1021</v>
      </c>
      <c r="H1335" s="139"/>
      <c r="I1335" s="60"/>
      <c r="J1335" s="46"/>
      <c r="K1335" s="26"/>
      <c r="L1335" s="48"/>
    </row>
    <row r="1336" spans="2:12" x14ac:dyDescent="0.35">
      <c r="B1336" s="148"/>
      <c r="C1336" s="87"/>
      <c r="D1336" s="130" t="s">
        <v>39</v>
      </c>
      <c r="E1336" s="140"/>
      <c r="F1336" s="124" t="s">
        <v>1022</v>
      </c>
      <c r="G1336" s="49"/>
      <c r="H1336" s="149">
        <v>2</v>
      </c>
      <c r="I1336" s="60" t="s">
        <v>84</v>
      </c>
      <c r="J1336" s="46">
        <v>2500000</v>
      </c>
      <c r="K1336" s="26"/>
      <c r="L1336" s="42">
        <f t="shared" ref="L1336" si="50">J1336*H1336</f>
        <v>5000000</v>
      </c>
    </row>
    <row r="1337" spans="2:12" x14ac:dyDescent="0.35">
      <c r="B1337" s="148"/>
      <c r="C1337" s="87"/>
      <c r="D1337" s="137"/>
      <c r="E1337" s="138"/>
      <c r="F1337" s="124" t="s">
        <v>90</v>
      </c>
      <c r="G1337" s="49" t="s">
        <v>1023</v>
      </c>
      <c r="H1337" s="139"/>
      <c r="I1337" s="60"/>
      <c r="J1337" s="46"/>
      <c r="K1337" s="26"/>
      <c r="L1337" s="48"/>
    </row>
    <row r="1338" spans="2:12" x14ac:dyDescent="0.35">
      <c r="B1338" s="195"/>
      <c r="C1338" s="196" t="s">
        <v>166</v>
      </c>
      <c r="D1338" s="197"/>
      <c r="E1338" s="71"/>
      <c r="F1338" s="124" t="s">
        <v>167</v>
      </c>
      <c r="G1338" s="27"/>
      <c r="H1338" s="71"/>
      <c r="I1338" s="71"/>
      <c r="J1338" s="46"/>
      <c r="K1338" s="26"/>
      <c r="L1338" s="48"/>
    </row>
    <row r="1339" spans="2:12" x14ac:dyDescent="0.35">
      <c r="B1339" s="198"/>
      <c r="C1339" s="199"/>
      <c r="D1339" s="131" t="s">
        <v>29</v>
      </c>
      <c r="E1339" s="186"/>
      <c r="F1339" s="71" t="s">
        <v>168</v>
      </c>
      <c r="G1339" s="27"/>
      <c r="H1339" s="125">
        <v>102</v>
      </c>
      <c r="I1339" s="124" t="s">
        <v>82</v>
      </c>
      <c r="J1339" s="46">
        <v>250000</v>
      </c>
      <c r="K1339" s="26"/>
      <c r="L1339" s="42">
        <f t="shared" ref="L1339" si="51">J1339*H1339</f>
        <v>25500000</v>
      </c>
    </row>
    <row r="1340" spans="2:12" x14ac:dyDescent="0.35">
      <c r="B1340" s="198"/>
      <c r="C1340" s="199"/>
      <c r="D1340" s="131"/>
      <c r="E1340" s="186"/>
      <c r="F1340" s="71" t="s">
        <v>90</v>
      </c>
      <c r="G1340" s="27" t="s">
        <v>169</v>
      </c>
      <c r="H1340" s="184"/>
      <c r="I1340" s="132"/>
      <c r="J1340" s="46"/>
      <c r="K1340" s="26"/>
      <c r="L1340" s="48"/>
    </row>
    <row r="1341" spans="2:12" x14ac:dyDescent="0.35">
      <c r="B1341" s="198"/>
      <c r="C1341" s="199"/>
      <c r="D1341" s="131"/>
      <c r="E1341" s="186"/>
      <c r="F1341" s="71" t="s">
        <v>90</v>
      </c>
      <c r="G1341" s="27" t="s">
        <v>1024</v>
      </c>
      <c r="H1341" s="184"/>
      <c r="I1341" s="132"/>
      <c r="J1341" s="46"/>
      <c r="K1341" s="26"/>
      <c r="L1341" s="48"/>
    </row>
    <row r="1342" spans="2:12" x14ac:dyDescent="0.35">
      <c r="B1342" s="195"/>
      <c r="C1342" s="196" t="s">
        <v>170</v>
      </c>
      <c r="D1342" s="197"/>
      <c r="E1342" s="71"/>
      <c r="F1342" s="124" t="s">
        <v>171</v>
      </c>
      <c r="G1342" s="27"/>
      <c r="H1342" s="71"/>
      <c r="I1342" s="63"/>
      <c r="J1342" s="46"/>
      <c r="K1342" s="26"/>
      <c r="L1342" s="48"/>
    </row>
    <row r="1343" spans="2:12" x14ac:dyDescent="0.35">
      <c r="B1343" s="195"/>
      <c r="C1343" s="199"/>
      <c r="D1343" s="62" t="s">
        <v>29</v>
      </c>
      <c r="E1343" s="63"/>
      <c r="F1343" s="124" t="s">
        <v>1271</v>
      </c>
      <c r="G1343" s="49"/>
      <c r="H1343" s="63">
        <v>1</v>
      </c>
      <c r="I1343" s="63" t="s">
        <v>31</v>
      </c>
      <c r="J1343" s="46">
        <v>15000000</v>
      </c>
      <c r="K1343" s="26">
        <f>J1343*H1343</f>
        <v>15000000</v>
      </c>
      <c r="L1343" s="48"/>
    </row>
    <row r="1344" spans="2:12" x14ac:dyDescent="0.35">
      <c r="B1344" s="150"/>
      <c r="C1344" s="87"/>
      <c r="D1344" s="88"/>
      <c r="E1344" s="70"/>
      <c r="F1344" s="71"/>
      <c r="G1344" s="27"/>
      <c r="H1344" s="80"/>
      <c r="I1344" s="173"/>
      <c r="J1344" s="46"/>
      <c r="K1344" s="26"/>
      <c r="L1344" s="48"/>
    </row>
    <row r="1345" spans="2:12" x14ac:dyDescent="0.35">
      <c r="B1345" s="148"/>
      <c r="C1345" s="87"/>
      <c r="D1345" s="51"/>
      <c r="E1345" s="136"/>
      <c r="F1345" s="105"/>
      <c r="G1345" s="106"/>
      <c r="H1345" s="100"/>
      <c r="I1345" s="60"/>
      <c r="J1345" s="46"/>
      <c r="K1345" s="26"/>
      <c r="L1345" s="48"/>
    </row>
    <row r="1346" spans="2:12" x14ac:dyDescent="0.35">
      <c r="B1346" s="8"/>
      <c r="C1346" s="9"/>
      <c r="D1346" s="10"/>
      <c r="E1346" s="4"/>
      <c r="F1346" s="4"/>
      <c r="G1346" s="4"/>
      <c r="H1346" s="1"/>
      <c r="I1346" s="1"/>
      <c r="J1346" s="11" t="s">
        <v>8</v>
      </c>
      <c r="K1346" s="7">
        <f>SUM(K1293:K1345)</f>
        <v>15000000</v>
      </c>
      <c r="L1346" s="7">
        <f>SUM(L1293:L1345)</f>
        <v>74632863.239999995</v>
      </c>
    </row>
    <row r="1347" spans="2:12" x14ac:dyDescent="0.35">
      <c r="B1347" s="8"/>
      <c r="C1347" s="9"/>
      <c r="D1347" s="9"/>
      <c r="E1347" s="4"/>
      <c r="F1347" s="4"/>
      <c r="G1347" s="4"/>
      <c r="H1347" s="1"/>
      <c r="I1347" s="1"/>
      <c r="J1347" s="11"/>
      <c r="K1347" s="32" t="s">
        <v>13</v>
      </c>
      <c r="L1347" s="33" t="s">
        <v>14</v>
      </c>
    </row>
    <row r="1348" spans="2:12" x14ac:dyDescent="0.35">
      <c r="B1348" s="3" t="s">
        <v>9</v>
      </c>
      <c r="C1348" s="4"/>
      <c r="D1348" s="4"/>
      <c r="E1348" s="4"/>
      <c r="F1348" s="4"/>
      <c r="G1348" s="4"/>
      <c r="H1348" s="1"/>
      <c r="I1348" s="1"/>
      <c r="J1348" s="12"/>
      <c r="K1348" s="12"/>
      <c r="L1348" s="13"/>
    </row>
    <row r="1349" spans="2:12" x14ac:dyDescent="0.35">
      <c r="B1349" s="34"/>
      <c r="C1349" s="1"/>
      <c r="D1349" s="1"/>
      <c r="E1349" s="35"/>
      <c r="F1349" s="35"/>
      <c r="G1349" s="35"/>
      <c r="H1349" s="1"/>
      <c r="I1349" s="1"/>
      <c r="J1349" s="1"/>
      <c r="K1349" s="1"/>
      <c r="L1349" s="17"/>
    </row>
    <row r="1350" spans="2:12" x14ac:dyDescent="0.35">
      <c r="B1350" s="25" t="s">
        <v>6</v>
      </c>
      <c r="C1350" s="24"/>
      <c r="D1350" s="24"/>
      <c r="E1350" s="23"/>
      <c r="F1350" s="23"/>
      <c r="G1350" s="5"/>
      <c r="K1350" s="227" t="s">
        <v>1292</v>
      </c>
      <c r="L1350" s="228"/>
    </row>
    <row r="1351" spans="2:12" x14ac:dyDescent="0.35">
      <c r="B1351" s="25">
        <v>1</v>
      </c>
      <c r="C1351" s="24"/>
      <c r="D1351" s="24"/>
      <c r="E1351" s="23" t="s">
        <v>7</v>
      </c>
      <c r="F1351" s="23"/>
      <c r="G1351" s="5"/>
      <c r="K1351" s="227" t="s">
        <v>18</v>
      </c>
      <c r="L1351" s="228"/>
    </row>
    <row r="1352" spans="2:12" x14ac:dyDescent="0.35">
      <c r="B1352" s="36"/>
      <c r="C1352" s="24"/>
      <c r="D1352" s="24"/>
      <c r="E1352" s="23"/>
      <c r="F1352" s="23"/>
      <c r="G1352" s="5"/>
      <c r="J1352" s="22"/>
      <c r="K1352" s="22"/>
      <c r="L1352" s="21"/>
    </row>
    <row r="1353" spans="2:12" x14ac:dyDescent="0.35">
      <c r="B1353" s="25"/>
      <c r="C1353" s="24"/>
      <c r="D1353" s="24"/>
      <c r="E1353" s="23"/>
      <c r="F1353" s="23"/>
      <c r="G1353" s="5"/>
      <c r="L1353" s="20"/>
    </row>
    <row r="1354" spans="2:12" x14ac:dyDescent="0.35">
      <c r="B1354" s="41"/>
      <c r="E1354" s="5"/>
      <c r="F1354" s="5"/>
      <c r="G1354" s="5"/>
      <c r="L1354" s="20"/>
    </row>
    <row r="1355" spans="2:12" x14ac:dyDescent="0.35">
      <c r="B1355" s="41"/>
      <c r="E1355" s="5"/>
      <c r="F1355" s="5"/>
      <c r="G1355" s="5"/>
      <c r="L1355" s="20"/>
    </row>
    <row r="1356" spans="2:12" x14ac:dyDescent="0.35">
      <c r="B1356" s="41"/>
      <c r="E1356" s="5"/>
      <c r="F1356" s="5"/>
      <c r="G1356" s="5"/>
      <c r="L1356" s="20"/>
    </row>
    <row r="1357" spans="2:12" x14ac:dyDescent="0.35">
      <c r="B1357" s="41"/>
      <c r="E1357" s="5"/>
      <c r="F1357" s="5"/>
      <c r="G1357" s="5"/>
      <c r="J1357" s="37"/>
      <c r="K1357" s="229" t="s">
        <v>26</v>
      </c>
      <c r="L1357" s="230"/>
    </row>
    <row r="1358" spans="2:12" x14ac:dyDescent="0.35">
      <c r="B1358" s="41"/>
      <c r="K1358" s="231" t="s">
        <v>27</v>
      </c>
      <c r="L1358" s="232"/>
    </row>
    <row r="1359" spans="2:12" x14ac:dyDescent="0.35">
      <c r="B1359" s="233"/>
      <c r="C1359" s="234"/>
      <c r="D1359" s="234"/>
      <c r="E1359" s="38"/>
      <c r="F1359" s="38"/>
      <c r="G1359" s="38"/>
      <c r="H1359" s="2"/>
      <c r="I1359" s="2"/>
      <c r="J1359" s="2"/>
      <c r="K1359" s="2"/>
      <c r="L1359" s="19"/>
    </row>
    <row r="1360" spans="2:12" x14ac:dyDescent="0.35">
      <c r="B1360" s="43"/>
      <c r="C1360" s="44"/>
      <c r="D1360" s="45"/>
      <c r="G1360" s="20"/>
      <c r="H1360" s="1"/>
      <c r="I1360" s="1"/>
      <c r="J1360" s="39"/>
      <c r="K1360" s="27"/>
      <c r="L1360" s="40"/>
    </row>
    <row r="1361" spans="2:12" x14ac:dyDescent="0.35">
      <c r="B1361" s="148"/>
      <c r="C1361" s="154"/>
      <c r="D1361" s="66"/>
      <c r="E1361" s="75" t="s">
        <v>1025</v>
      </c>
      <c r="F1361" s="76"/>
      <c r="G1361" s="77"/>
      <c r="H1361" s="172"/>
      <c r="I1361" s="173"/>
      <c r="J1361" s="151"/>
      <c r="K1361" s="152"/>
      <c r="L1361" s="153"/>
    </row>
    <row r="1362" spans="2:12" x14ac:dyDescent="0.35">
      <c r="B1362" s="148" t="s">
        <v>28</v>
      </c>
      <c r="C1362" s="87"/>
      <c r="D1362" s="62"/>
      <c r="E1362" s="67" t="s">
        <v>86</v>
      </c>
      <c r="F1362" s="64"/>
      <c r="G1362" s="65"/>
      <c r="H1362" s="174"/>
      <c r="I1362" s="93"/>
      <c r="J1362" s="26"/>
      <c r="K1362" s="47"/>
      <c r="L1362" s="42"/>
    </row>
    <row r="1363" spans="2:12" x14ac:dyDescent="0.35">
      <c r="B1363" s="177"/>
      <c r="C1363" s="87" t="s">
        <v>108</v>
      </c>
      <c r="D1363" s="69"/>
      <c r="E1363" s="70"/>
      <c r="F1363" s="71" t="s">
        <v>1026</v>
      </c>
      <c r="G1363" s="27"/>
      <c r="H1363" s="80"/>
      <c r="I1363" s="60"/>
      <c r="J1363" s="26"/>
      <c r="K1363" s="47"/>
      <c r="L1363" s="42"/>
    </row>
    <row r="1364" spans="2:12" x14ac:dyDescent="0.35">
      <c r="B1364" s="150"/>
      <c r="C1364" s="87"/>
      <c r="D1364" s="69" t="s">
        <v>29</v>
      </c>
      <c r="E1364" s="70"/>
      <c r="F1364" s="71" t="s">
        <v>1027</v>
      </c>
      <c r="G1364" s="27"/>
      <c r="H1364" s="80"/>
      <c r="I1364" s="60"/>
      <c r="J1364" s="26"/>
      <c r="K1364" s="47"/>
      <c r="L1364" s="42"/>
    </row>
    <row r="1365" spans="2:12" x14ac:dyDescent="0.35">
      <c r="B1365" s="150"/>
      <c r="C1365" s="177"/>
      <c r="D1365" s="200"/>
      <c r="E1365" s="71"/>
      <c r="F1365" s="71" t="s">
        <v>90</v>
      </c>
      <c r="G1365" s="27" t="s">
        <v>1028</v>
      </c>
      <c r="H1365" s="80">
        <f>0.6*10*7.85*87.25*1.2</f>
        <v>4931.369999999999</v>
      </c>
      <c r="I1365" s="60" t="s">
        <v>91</v>
      </c>
      <c r="J1365" s="26">
        <v>30500</v>
      </c>
      <c r="K1365" s="55"/>
      <c r="L1365" s="42">
        <f t="shared" ref="L1365" si="52">J1365*H1365</f>
        <v>150406784.99999997</v>
      </c>
    </row>
    <row r="1366" spans="2:12" x14ac:dyDescent="0.35">
      <c r="B1366" s="150"/>
      <c r="C1366" s="87"/>
      <c r="D1366" s="69" t="s">
        <v>32</v>
      </c>
      <c r="E1366" s="70"/>
      <c r="F1366" s="71" t="s">
        <v>1029</v>
      </c>
      <c r="G1366" s="27"/>
      <c r="H1366" s="80"/>
      <c r="I1366" s="60"/>
      <c r="J1366" s="26"/>
      <c r="K1366" s="47"/>
      <c r="L1366" s="42"/>
    </row>
    <row r="1367" spans="2:12" x14ac:dyDescent="0.35">
      <c r="B1367" s="150"/>
      <c r="C1367" s="177"/>
      <c r="D1367" s="200"/>
      <c r="E1367" s="71"/>
      <c r="F1367" s="71" t="s">
        <v>90</v>
      </c>
      <c r="G1367" s="27" t="s">
        <v>1030</v>
      </c>
      <c r="H1367" s="80">
        <f>0.6*10*7.85*86.9*1.2</f>
        <v>4911.5879999999997</v>
      </c>
      <c r="I1367" s="60" t="s">
        <v>91</v>
      </c>
      <c r="J1367" s="26">
        <v>30500</v>
      </c>
      <c r="K1367" s="55"/>
      <c r="L1367" s="42">
        <f t="shared" ref="L1367" si="53">J1367*H1367</f>
        <v>149803434</v>
      </c>
    </row>
    <row r="1368" spans="2:12" x14ac:dyDescent="0.35">
      <c r="B1368" s="158"/>
      <c r="C1368" s="84"/>
      <c r="D1368" s="69" t="s">
        <v>34</v>
      </c>
      <c r="E1368" s="70"/>
      <c r="F1368" s="71" t="s">
        <v>1031</v>
      </c>
      <c r="G1368" s="27"/>
      <c r="H1368" s="80"/>
      <c r="I1368" s="60"/>
      <c r="J1368" s="26"/>
      <c r="K1368" s="47"/>
      <c r="L1368" s="42"/>
    </row>
    <row r="1369" spans="2:12" x14ac:dyDescent="0.35">
      <c r="B1369" s="158"/>
      <c r="C1369" s="84"/>
      <c r="D1369" s="200"/>
      <c r="E1369" s="71"/>
      <c r="F1369" s="71" t="s">
        <v>90</v>
      </c>
      <c r="G1369" s="27" t="s">
        <v>1032</v>
      </c>
      <c r="H1369" s="80">
        <f>0.6*10*7.85*24.02*1.2</f>
        <v>1357.6103999999998</v>
      </c>
      <c r="I1369" s="60" t="s">
        <v>91</v>
      </c>
      <c r="J1369" s="26">
        <v>30500</v>
      </c>
      <c r="K1369" s="47"/>
      <c r="L1369" s="42">
        <f t="shared" ref="L1369" si="54">J1369*H1369</f>
        <v>41407117.199999996</v>
      </c>
    </row>
    <row r="1370" spans="2:12" x14ac:dyDescent="0.35">
      <c r="B1370" s="162" t="s">
        <v>45</v>
      </c>
      <c r="C1370" s="88"/>
      <c r="D1370" s="69"/>
      <c r="E1370" s="128" t="s">
        <v>172</v>
      </c>
      <c r="F1370" s="71"/>
      <c r="G1370" s="27"/>
      <c r="H1370" s="71"/>
      <c r="I1370" s="27"/>
      <c r="J1370" s="26"/>
      <c r="K1370" s="47"/>
      <c r="L1370" s="42"/>
    </row>
    <row r="1371" spans="2:12" x14ac:dyDescent="0.35">
      <c r="B1371" s="115"/>
      <c r="C1371" s="88" t="s">
        <v>162</v>
      </c>
      <c r="D1371" s="69"/>
      <c r="E1371" s="88"/>
      <c r="F1371" s="71" t="s">
        <v>173</v>
      </c>
      <c r="G1371" s="27"/>
      <c r="H1371" s="71"/>
      <c r="I1371" s="60"/>
      <c r="J1371" s="26"/>
      <c r="K1371" s="47"/>
      <c r="L1371" s="42"/>
    </row>
    <row r="1372" spans="2:12" x14ac:dyDescent="0.35">
      <c r="B1372" s="150"/>
      <c r="C1372" s="154"/>
      <c r="D1372" s="69" t="s">
        <v>29</v>
      </c>
      <c r="E1372" s="71"/>
      <c r="F1372" s="71" t="s">
        <v>175</v>
      </c>
      <c r="G1372" s="27"/>
      <c r="H1372" s="71"/>
      <c r="I1372" s="60"/>
      <c r="J1372" s="42"/>
      <c r="K1372" s="42"/>
      <c r="L1372" s="53"/>
    </row>
    <row r="1373" spans="2:12" x14ac:dyDescent="0.35">
      <c r="B1373" s="150"/>
      <c r="C1373" s="87"/>
      <c r="D1373" s="200"/>
      <c r="E1373" s="153"/>
      <c r="F1373" s="71" t="s">
        <v>90</v>
      </c>
      <c r="G1373" s="27" t="s">
        <v>174</v>
      </c>
      <c r="H1373" s="125">
        <v>1</v>
      </c>
      <c r="I1373" s="65" t="s">
        <v>31</v>
      </c>
      <c r="J1373" s="48">
        <v>500000</v>
      </c>
      <c r="K1373" s="55">
        <f>J1373*H1373</f>
        <v>500000</v>
      </c>
      <c r="L1373" s="42"/>
    </row>
    <row r="1374" spans="2:12" x14ac:dyDescent="0.35">
      <c r="B1374" s="150"/>
      <c r="C1374" s="87"/>
      <c r="D1374" s="69" t="s">
        <v>32</v>
      </c>
      <c r="E1374" s="71"/>
      <c r="F1374" s="71" t="s">
        <v>176</v>
      </c>
      <c r="G1374" s="27"/>
      <c r="H1374" s="71"/>
      <c r="I1374" s="60"/>
      <c r="J1374" s="46"/>
      <c r="K1374" s="26"/>
      <c r="L1374" s="48"/>
    </row>
    <row r="1375" spans="2:12" x14ac:dyDescent="0.35">
      <c r="B1375" s="150"/>
      <c r="C1375" s="87"/>
      <c r="D1375" s="200"/>
      <c r="E1375" s="153"/>
      <c r="F1375" s="71" t="s">
        <v>90</v>
      </c>
      <c r="G1375" s="27" t="s">
        <v>174</v>
      </c>
      <c r="H1375" s="125">
        <v>1</v>
      </c>
      <c r="I1375" s="65" t="s">
        <v>31</v>
      </c>
      <c r="J1375" s="48">
        <v>500000</v>
      </c>
      <c r="K1375" s="55">
        <f>J1375*H1375</f>
        <v>500000</v>
      </c>
      <c r="L1375" s="48"/>
    </row>
    <row r="1376" spans="2:12" x14ac:dyDescent="0.35">
      <c r="B1376" s="150"/>
      <c r="C1376" s="87"/>
      <c r="D1376" s="69" t="s">
        <v>34</v>
      </c>
      <c r="E1376" s="71"/>
      <c r="F1376" s="71" t="s">
        <v>177</v>
      </c>
      <c r="G1376" s="27"/>
      <c r="H1376" s="71"/>
      <c r="I1376" s="60"/>
      <c r="J1376" s="46"/>
      <c r="K1376" s="26"/>
      <c r="L1376" s="48"/>
    </row>
    <row r="1377" spans="2:12" x14ac:dyDescent="0.35">
      <c r="B1377" s="148"/>
      <c r="C1377" s="87"/>
      <c r="D1377" s="200"/>
      <c r="E1377" s="153"/>
      <c r="F1377" s="71" t="s">
        <v>90</v>
      </c>
      <c r="G1377" s="27" t="s">
        <v>174</v>
      </c>
      <c r="H1377" s="125">
        <v>1</v>
      </c>
      <c r="I1377" s="65" t="s">
        <v>31</v>
      </c>
      <c r="J1377" s="48">
        <v>500000</v>
      </c>
      <c r="K1377" s="55">
        <f>J1377*H1377</f>
        <v>500000</v>
      </c>
      <c r="L1377" s="48"/>
    </row>
    <row r="1378" spans="2:12" x14ac:dyDescent="0.35">
      <c r="B1378" s="150"/>
      <c r="C1378" s="87"/>
      <c r="D1378" s="69" t="s">
        <v>36</v>
      </c>
      <c r="E1378" s="71"/>
      <c r="F1378" s="71" t="s">
        <v>178</v>
      </c>
      <c r="G1378" s="27"/>
      <c r="H1378" s="71"/>
      <c r="I1378" s="60"/>
      <c r="J1378" s="46"/>
      <c r="K1378" s="26"/>
      <c r="L1378" s="48"/>
    </row>
    <row r="1379" spans="2:12" x14ac:dyDescent="0.35">
      <c r="B1379" s="150"/>
      <c r="C1379" s="154"/>
      <c r="D1379" s="200"/>
      <c r="E1379" s="153"/>
      <c r="F1379" s="71" t="s">
        <v>90</v>
      </c>
      <c r="G1379" s="27" t="s">
        <v>174</v>
      </c>
      <c r="H1379" s="125">
        <v>1</v>
      </c>
      <c r="I1379" s="65" t="s">
        <v>31</v>
      </c>
      <c r="J1379" s="48">
        <v>500000</v>
      </c>
      <c r="K1379" s="55">
        <f>J1379*H1379</f>
        <v>500000</v>
      </c>
      <c r="L1379" s="48"/>
    </row>
    <row r="1380" spans="2:12" x14ac:dyDescent="0.35">
      <c r="B1380" s="150"/>
      <c r="C1380" s="87"/>
      <c r="D1380" s="69" t="s">
        <v>38</v>
      </c>
      <c r="E1380" s="71"/>
      <c r="F1380" s="71" t="s">
        <v>179</v>
      </c>
      <c r="G1380" s="27"/>
      <c r="H1380" s="71"/>
      <c r="I1380" s="60"/>
      <c r="J1380" s="46"/>
      <c r="K1380" s="26"/>
      <c r="L1380" s="48"/>
    </row>
    <row r="1381" spans="2:12" x14ac:dyDescent="0.35">
      <c r="B1381" s="150"/>
      <c r="C1381" s="87"/>
      <c r="D1381" s="200"/>
      <c r="E1381" s="153"/>
      <c r="F1381" s="71" t="s">
        <v>90</v>
      </c>
      <c r="G1381" s="27" t="s">
        <v>174</v>
      </c>
      <c r="H1381" s="125">
        <v>1</v>
      </c>
      <c r="I1381" s="65" t="s">
        <v>31</v>
      </c>
      <c r="J1381" s="48">
        <v>500000</v>
      </c>
      <c r="K1381" s="55">
        <f>J1381*H1381</f>
        <v>500000</v>
      </c>
      <c r="L1381" s="48"/>
    </row>
    <row r="1382" spans="2:12" x14ac:dyDescent="0.35">
      <c r="B1382" s="150"/>
      <c r="C1382" s="87"/>
      <c r="D1382" s="69" t="s">
        <v>39</v>
      </c>
      <c r="E1382" s="71"/>
      <c r="F1382" s="71" t="s">
        <v>180</v>
      </c>
      <c r="G1382" s="27"/>
      <c r="H1382" s="71"/>
      <c r="I1382" s="60"/>
      <c r="J1382" s="46"/>
      <c r="K1382" s="26"/>
      <c r="L1382" s="48"/>
    </row>
    <row r="1383" spans="2:12" x14ac:dyDescent="0.35">
      <c r="B1383" s="150"/>
      <c r="C1383" s="87"/>
      <c r="D1383" s="200"/>
      <c r="E1383" s="153"/>
      <c r="F1383" s="71" t="s">
        <v>90</v>
      </c>
      <c r="G1383" s="27" t="s">
        <v>174</v>
      </c>
      <c r="H1383" s="125">
        <v>1</v>
      </c>
      <c r="I1383" s="65" t="s">
        <v>31</v>
      </c>
      <c r="J1383" s="48">
        <v>500000</v>
      </c>
      <c r="K1383" s="55">
        <f>J1383*H1383</f>
        <v>500000</v>
      </c>
      <c r="L1383" s="48"/>
    </row>
    <row r="1384" spans="2:12" x14ac:dyDescent="0.35">
      <c r="B1384" s="158"/>
      <c r="C1384" s="84"/>
      <c r="D1384" s="69" t="s">
        <v>41</v>
      </c>
      <c r="E1384" s="71"/>
      <c r="F1384" s="71" t="s">
        <v>181</v>
      </c>
      <c r="G1384" s="27"/>
      <c r="H1384" s="71"/>
      <c r="I1384" s="60"/>
      <c r="J1384" s="46"/>
      <c r="K1384" s="26"/>
      <c r="L1384" s="48"/>
    </row>
    <row r="1385" spans="2:12" x14ac:dyDescent="0.35">
      <c r="B1385" s="90"/>
      <c r="C1385" s="119"/>
      <c r="D1385" s="200"/>
      <c r="E1385" s="153"/>
      <c r="F1385" s="71" t="s">
        <v>90</v>
      </c>
      <c r="G1385" s="27" t="s">
        <v>174</v>
      </c>
      <c r="H1385" s="125">
        <v>1</v>
      </c>
      <c r="I1385" s="65" t="s">
        <v>31</v>
      </c>
      <c r="J1385" s="48">
        <v>500000</v>
      </c>
      <c r="K1385" s="55">
        <f>J1385*H1385</f>
        <v>500000</v>
      </c>
      <c r="L1385" s="48"/>
    </row>
    <row r="1386" spans="2:12" x14ac:dyDescent="0.35">
      <c r="B1386" s="158"/>
      <c r="C1386" s="87"/>
      <c r="D1386" s="69" t="s">
        <v>43</v>
      </c>
      <c r="E1386" s="71"/>
      <c r="F1386" s="71" t="s">
        <v>182</v>
      </c>
      <c r="G1386" s="27"/>
      <c r="H1386" s="71"/>
      <c r="I1386" s="60"/>
      <c r="J1386" s="46"/>
      <c r="K1386" s="26"/>
      <c r="L1386" s="48"/>
    </row>
    <row r="1387" spans="2:12" x14ac:dyDescent="0.35">
      <c r="B1387" s="162"/>
      <c r="C1387" s="89"/>
      <c r="D1387" s="200"/>
      <c r="E1387" s="153"/>
      <c r="F1387" s="71" t="s">
        <v>90</v>
      </c>
      <c r="G1387" s="27" t="s">
        <v>174</v>
      </c>
      <c r="H1387" s="125">
        <v>1</v>
      </c>
      <c r="I1387" s="65" t="s">
        <v>31</v>
      </c>
      <c r="J1387" s="48">
        <v>500000</v>
      </c>
      <c r="K1387" s="55">
        <f>J1387*H1387</f>
        <v>500000</v>
      </c>
      <c r="L1387" s="48"/>
    </row>
    <row r="1388" spans="2:12" x14ac:dyDescent="0.35">
      <c r="B1388" s="158"/>
      <c r="C1388" s="84"/>
      <c r="D1388" s="69" t="s">
        <v>44</v>
      </c>
      <c r="E1388" s="71"/>
      <c r="F1388" s="71" t="s">
        <v>183</v>
      </c>
      <c r="G1388" s="27"/>
      <c r="H1388" s="71"/>
      <c r="I1388" s="60"/>
      <c r="J1388" s="46"/>
      <c r="K1388" s="26"/>
      <c r="L1388" s="48"/>
    </row>
    <row r="1389" spans="2:12" x14ac:dyDescent="0.35">
      <c r="B1389" s="70"/>
      <c r="C1389" s="89"/>
      <c r="D1389" s="200"/>
      <c r="E1389" s="153"/>
      <c r="F1389" s="71" t="s">
        <v>90</v>
      </c>
      <c r="G1389" s="27" t="s">
        <v>174</v>
      </c>
      <c r="H1389" s="125">
        <v>1</v>
      </c>
      <c r="I1389" s="65" t="s">
        <v>31</v>
      </c>
      <c r="J1389" s="48">
        <v>500000</v>
      </c>
      <c r="K1389" s="55">
        <f>J1389*H1389</f>
        <v>500000</v>
      </c>
      <c r="L1389" s="48"/>
    </row>
    <row r="1390" spans="2:12" x14ac:dyDescent="0.35">
      <c r="B1390" s="90"/>
      <c r="C1390" s="119"/>
      <c r="D1390" s="69" t="s">
        <v>54</v>
      </c>
      <c r="E1390" s="71"/>
      <c r="F1390" s="71" t="s">
        <v>184</v>
      </c>
      <c r="G1390" s="27"/>
      <c r="H1390" s="71"/>
      <c r="I1390" s="60"/>
      <c r="J1390" s="46"/>
      <c r="K1390" s="26"/>
      <c r="L1390" s="48"/>
    </row>
    <row r="1391" spans="2:12" x14ac:dyDescent="0.35">
      <c r="B1391" s="158"/>
      <c r="C1391" s="87"/>
      <c r="D1391" s="200"/>
      <c r="E1391" s="153"/>
      <c r="F1391" s="71" t="s">
        <v>90</v>
      </c>
      <c r="G1391" s="27" t="s">
        <v>174</v>
      </c>
      <c r="H1391" s="125">
        <v>1</v>
      </c>
      <c r="I1391" s="65" t="s">
        <v>31</v>
      </c>
      <c r="J1391" s="48">
        <v>500000</v>
      </c>
      <c r="K1391" s="55">
        <f>J1391*H1391</f>
        <v>500000</v>
      </c>
      <c r="L1391" s="48"/>
    </row>
    <row r="1392" spans="2:12" x14ac:dyDescent="0.35">
      <c r="B1392" s="162"/>
      <c r="C1392" s="89"/>
      <c r="D1392" s="69" t="s">
        <v>56</v>
      </c>
      <c r="E1392" s="71"/>
      <c r="F1392" s="71" t="s">
        <v>185</v>
      </c>
      <c r="G1392" s="27"/>
      <c r="H1392" s="71"/>
      <c r="I1392" s="60"/>
      <c r="J1392" s="46"/>
      <c r="K1392" s="26"/>
      <c r="L1392" s="48"/>
    </row>
    <row r="1393" spans="2:12" x14ac:dyDescent="0.35">
      <c r="B1393" s="70"/>
      <c r="C1393" s="89"/>
      <c r="D1393" s="200"/>
      <c r="E1393" s="153"/>
      <c r="F1393" s="71" t="s">
        <v>90</v>
      </c>
      <c r="G1393" s="27" t="s">
        <v>174</v>
      </c>
      <c r="H1393" s="125">
        <v>1</v>
      </c>
      <c r="I1393" s="65" t="s">
        <v>31</v>
      </c>
      <c r="J1393" s="48">
        <v>500000</v>
      </c>
      <c r="K1393" s="55">
        <f>J1393*H1393</f>
        <v>500000</v>
      </c>
      <c r="L1393" s="48"/>
    </row>
    <row r="1394" spans="2:12" x14ac:dyDescent="0.35">
      <c r="B1394" s="122"/>
      <c r="C1394" s="123"/>
      <c r="D1394" s="69" t="s">
        <v>58</v>
      </c>
      <c r="E1394" s="71"/>
      <c r="F1394" s="71" t="s">
        <v>186</v>
      </c>
      <c r="G1394" s="27"/>
      <c r="H1394" s="71"/>
      <c r="I1394" s="60"/>
      <c r="J1394" s="46"/>
      <c r="K1394" s="26"/>
      <c r="L1394" s="48"/>
    </row>
    <row r="1395" spans="2:12" x14ac:dyDescent="0.35">
      <c r="B1395" s="90"/>
      <c r="C1395" s="119"/>
      <c r="D1395" s="200"/>
      <c r="E1395" s="153"/>
      <c r="F1395" s="71" t="s">
        <v>90</v>
      </c>
      <c r="G1395" s="27" t="s">
        <v>174</v>
      </c>
      <c r="H1395" s="125">
        <v>1</v>
      </c>
      <c r="I1395" s="65" t="s">
        <v>31</v>
      </c>
      <c r="J1395" s="48">
        <v>500000</v>
      </c>
      <c r="K1395" s="55">
        <f>J1395*H1395</f>
        <v>500000</v>
      </c>
      <c r="L1395" s="48"/>
    </row>
    <row r="1396" spans="2:12" x14ac:dyDescent="0.35">
      <c r="B1396" s="158"/>
      <c r="C1396" s="87"/>
      <c r="D1396" s="69" t="s">
        <v>60</v>
      </c>
      <c r="E1396" s="71"/>
      <c r="F1396" s="71" t="s">
        <v>187</v>
      </c>
      <c r="G1396" s="27"/>
      <c r="H1396" s="71"/>
      <c r="I1396" s="60"/>
      <c r="J1396" s="46"/>
      <c r="K1396" s="26"/>
      <c r="L1396" s="48"/>
    </row>
    <row r="1397" spans="2:12" x14ac:dyDescent="0.35">
      <c r="B1397" s="162"/>
      <c r="C1397" s="89"/>
      <c r="D1397" s="200"/>
      <c r="E1397" s="153"/>
      <c r="F1397" s="71" t="s">
        <v>90</v>
      </c>
      <c r="G1397" s="27" t="s">
        <v>174</v>
      </c>
      <c r="H1397" s="125">
        <v>1</v>
      </c>
      <c r="I1397" s="65" t="s">
        <v>31</v>
      </c>
      <c r="J1397" s="48">
        <v>500000</v>
      </c>
      <c r="K1397" s="55">
        <f>J1397*H1397</f>
        <v>500000</v>
      </c>
      <c r="L1397" s="48"/>
    </row>
    <row r="1398" spans="2:12" x14ac:dyDescent="0.35">
      <c r="B1398" s="158"/>
      <c r="C1398" s="87"/>
      <c r="D1398" s="69" t="s">
        <v>62</v>
      </c>
      <c r="E1398" s="71"/>
      <c r="F1398" s="71" t="s">
        <v>189</v>
      </c>
      <c r="G1398" s="27"/>
      <c r="H1398" s="71"/>
      <c r="I1398" s="60"/>
      <c r="J1398" s="46"/>
      <c r="K1398" s="26"/>
      <c r="L1398" s="48"/>
    </row>
    <row r="1399" spans="2:12" x14ac:dyDescent="0.35">
      <c r="B1399" s="162"/>
      <c r="C1399" s="89"/>
      <c r="D1399" s="200"/>
      <c r="E1399" s="153"/>
      <c r="F1399" s="71" t="s">
        <v>90</v>
      </c>
      <c r="G1399" s="27" t="s">
        <v>174</v>
      </c>
      <c r="H1399" s="125">
        <v>1</v>
      </c>
      <c r="I1399" s="65" t="s">
        <v>31</v>
      </c>
      <c r="J1399" s="48">
        <v>500000</v>
      </c>
      <c r="K1399" s="55">
        <f>J1399*H1399</f>
        <v>500000</v>
      </c>
      <c r="L1399" s="48"/>
    </row>
    <row r="1400" spans="2:12" x14ac:dyDescent="0.35">
      <c r="B1400" s="158"/>
      <c r="C1400" s="87"/>
      <c r="D1400" s="69" t="s">
        <v>65</v>
      </c>
      <c r="E1400" s="71"/>
      <c r="F1400" s="71" t="s">
        <v>191</v>
      </c>
      <c r="G1400" s="27"/>
      <c r="H1400" s="71"/>
      <c r="I1400" s="60"/>
      <c r="J1400" s="46"/>
      <c r="K1400" s="26"/>
      <c r="L1400" s="48"/>
    </row>
    <row r="1401" spans="2:12" x14ac:dyDescent="0.35">
      <c r="B1401" s="162"/>
      <c r="C1401" s="89"/>
      <c r="D1401" s="200"/>
      <c r="E1401" s="153"/>
      <c r="F1401" s="71" t="s">
        <v>90</v>
      </c>
      <c r="G1401" s="27" t="s">
        <v>174</v>
      </c>
      <c r="H1401" s="125">
        <v>1</v>
      </c>
      <c r="I1401" s="65" t="s">
        <v>31</v>
      </c>
      <c r="J1401" s="48">
        <v>500000</v>
      </c>
      <c r="K1401" s="55">
        <f>J1401*H1401</f>
        <v>500000</v>
      </c>
      <c r="L1401" s="48"/>
    </row>
    <row r="1402" spans="2:12" x14ac:dyDescent="0.35">
      <c r="B1402" s="70"/>
      <c r="C1402" s="87"/>
      <c r="D1402" s="69" t="s">
        <v>67</v>
      </c>
      <c r="E1402" s="71"/>
      <c r="F1402" s="71" t="s">
        <v>193</v>
      </c>
      <c r="G1402" s="27"/>
      <c r="H1402" s="71"/>
      <c r="I1402" s="60"/>
      <c r="J1402" s="46"/>
      <c r="K1402" s="26"/>
      <c r="L1402" s="48"/>
    </row>
    <row r="1403" spans="2:12" x14ac:dyDescent="0.35">
      <c r="B1403" s="181"/>
      <c r="C1403" s="89"/>
      <c r="D1403" s="200"/>
      <c r="E1403" s="153"/>
      <c r="F1403" s="71" t="s">
        <v>90</v>
      </c>
      <c r="G1403" s="27" t="s">
        <v>174</v>
      </c>
      <c r="H1403" s="125">
        <v>1</v>
      </c>
      <c r="I1403" s="65" t="s">
        <v>31</v>
      </c>
      <c r="J1403" s="48">
        <v>500000</v>
      </c>
      <c r="K1403" s="55">
        <f>J1403*H1403</f>
        <v>500000</v>
      </c>
      <c r="L1403" s="48"/>
    </row>
    <row r="1404" spans="2:12" x14ac:dyDescent="0.35">
      <c r="B1404" s="70"/>
      <c r="C1404" s="89"/>
      <c r="D1404" s="69" t="s">
        <v>188</v>
      </c>
      <c r="E1404" s="71"/>
      <c r="F1404" s="71" t="s">
        <v>195</v>
      </c>
      <c r="G1404" s="27"/>
      <c r="H1404" s="71"/>
      <c r="I1404" s="60"/>
      <c r="J1404" s="46"/>
      <c r="K1404" s="26"/>
      <c r="L1404" s="48"/>
    </row>
    <row r="1405" spans="2:12" x14ac:dyDescent="0.35">
      <c r="B1405" s="158"/>
      <c r="C1405" s="84"/>
      <c r="D1405" s="200"/>
      <c r="E1405" s="153"/>
      <c r="F1405" s="71" t="s">
        <v>90</v>
      </c>
      <c r="G1405" s="27" t="s">
        <v>174</v>
      </c>
      <c r="H1405" s="125">
        <v>1</v>
      </c>
      <c r="I1405" s="65" t="s">
        <v>31</v>
      </c>
      <c r="J1405" s="48">
        <v>500000</v>
      </c>
      <c r="K1405" s="55">
        <f>J1405*H1405</f>
        <v>500000</v>
      </c>
      <c r="L1405" s="48"/>
    </row>
    <row r="1406" spans="2:12" x14ac:dyDescent="0.35">
      <c r="B1406" s="158"/>
      <c r="C1406" s="84"/>
      <c r="D1406" s="69" t="s">
        <v>190</v>
      </c>
      <c r="E1406" s="71"/>
      <c r="F1406" s="71" t="s">
        <v>197</v>
      </c>
      <c r="G1406" s="27"/>
      <c r="H1406" s="71"/>
      <c r="I1406" s="60"/>
      <c r="J1406" s="46"/>
      <c r="K1406" s="26"/>
      <c r="L1406" s="48"/>
    </row>
    <row r="1407" spans="2:12" x14ac:dyDescent="0.35">
      <c r="B1407" s="70"/>
      <c r="C1407" s="89"/>
      <c r="D1407" s="200"/>
      <c r="E1407" s="153"/>
      <c r="F1407" s="71" t="s">
        <v>90</v>
      </c>
      <c r="G1407" s="27" t="s">
        <v>174</v>
      </c>
      <c r="H1407" s="125">
        <v>1</v>
      </c>
      <c r="I1407" s="65" t="s">
        <v>31</v>
      </c>
      <c r="J1407" s="48">
        <v>500000</v>
      </c>
      <c r="K1407" s="55">
        <f>J1407*H1407</f>
        <v>500000</v>
      </c>
      <c r="L1407" s="48"/>
    </row>
    <row r="1408" spans="2:12" x14ac:dyDescent="0.35">
      <c r="B1408" s="90"/>
      <c r="C1408" s="119"/>
      <c r="D1408" s="69" t="s">
        <v>192</v>
      </c>
      <c r="E1408" s="71"/>
      <c r="F1408" s="71" t="s">
        <v>1033</v>
      </c>
      <c r="G1408" s="27"/>
      <c r="H1408" s="71"/>
      <c r="I1408" s="60"/>
      <c r="J1408" s="46"/>
      <c r="K1408" s="26"/>
      <c r="L1408" s="48"/>
    </row>
    <row r="1409" spans="2:12" x14ac:dyDescent="0.35">
      <c r="B1409" s="158"/>
      <c r="C1409" s="87"/>
      <c r="D1409" s="200"/>
      <c r="E1409" s="153"/>
      <c r="F1409" s="71" t="s">
        <v>90</v>
      </c>
      <c r="G1409" s="27" t="s">
        <v>174</v>
      </c>
      <c r="H1409" s="125">
        <v>1</v>
      </c>
      <c r="I1409" s="65" t="s">
        <v>31</v>
      </c>
      <c r="J1409" s="48">
        <v>500000</v>
      </c>
      <c r="K1409" s="55">
        <f>J1409*H1409</f>
        <v>500000</v>
      </c>
      <c r="L1409" s="48"/>
    </row>
    <row r="1410" spans="2:12" x14ac:dyDescent="0.35">
      <c r="B1410" s="70"/>
      <c r="C1410" s="89"/>
      <c r="D1410" s="69"/>
      <c r="E1410" s="70"/>
      <c r="F1410" s="64"/>
      <c r="G1410" s="27"/>
      <c r="H1410" s="80"/>
      <c r="I1410" s="60"/>
      <c r="J1410" s="46"/>
      <c r="K1410" s="26"/>
      <c r="L1410" s="48"/>
    </row>
    <row r="1411" spans="2:12" x14ac:dyDescent="0.35">
      <c r="B1411" s="150"/>
      <c r="C1411" s="87"/>
      <c r="D1411" s="88"/>
      <c r="E1411" s="70"/>
      <c r="F1411" s="71"/>
      <c r="G1411" s="27"/>
      <c r="H1411" s="80"/>
      <c r="I1411" s="173"/>
      <c r="J1411" s="46"/>
      <c r="K1411" s="26"/>
      <c r="L1411" s="48"/>
    </row>
    <row r="1412" spans="2:12" x14ac:dyDescent="0.35">
      <c r="B1412" s="148"/>
      <c r="C1412" s="87"/>
      <c r="D1412" s="51"/>
      <c r="E1412" s="136"/>
      <c r="F1412" s="105"/>
      <c r="G1412" s="106"/>
      <c r="H1412" s="100"/>
      <c r="I1412" s="60"/>
      <c r="J1412" s="46"/>
      <c r="K1412" s="26"/>
      <c r="L1412" s="48"/>
    </row>
    <row r="1413" spans="2:12" x14ac:dyDescent="0.35">
      <c r="B1413" s="8"/>
      <c r="C1413" s="9"/>
      <c r="D1413" s="10"/>
      <c r="E1413" s="4"/>
      <c r="F1413" s="4"/>
      <c r="G1413" s="4"/>
      <c r="H1413" s="1"/>
      <c r="I1413" s="1"/>
      <c r="J1413" s="11" t="s">
        <v>8</v>
      </c>
      <c r="K1413" s="7">
        <f>SUM(K1360:K1412)</f>
        <v>9500000</v>
      </c>
      <c r="L1413" s="7">
        <f>SUM(L1360:L1412)</f>
        <v>341617336.19999999</v>
      </c>
    </row>
    <row r="1414" spans="2:12" x14ac:dyDescent="0.35">
      <c r="B1414" s="8"/>
      <c r="C1414" s="9"/>
      <c r="D1414" s="9"/>
      <c r="E1414" s="4"/>
      <c r="F1414" s="4"/>
      <c r="G1414" s="4"/>
      <c r="H1414" s="1"/>
      <c r="I1414" s="1"/>
      <c r="J1414" s="11"/>
      <c r="K1414" s="32" t="s">
        <v>13</v>
      </c>
      <c r="L1414" s="33" t="s">
        <v>14</v>
      </c>
    </row>
    <row r="1415" spans="2:12" x14ac:dyDescent="0.35">
      <c r="B1415" s="3" t="s">
        <v>9</v>
      </c>
      <c r="C1415" s="4"/>
      <c r="D1415" s="4"/>
      <c r="E1415" s="4"/>
      <c r="F1415" s="4"/>
      <c r="G1415" s="4"/>
      <c r="H1415" s="1"/>
      <c r="I1415" s="1"/>
      <c r="J1415" s="12"/>
      <c r="K1415" s="12"/>
      <c r="L1415" s="13"/>
    </row>
    <row r="1416" spans="2:12" x14ac:dyDescent="0.35">
      <c r="B1416" s="34"/>
      <c r="C1416" s="1"/>
      <c r="D1416" s="1"/>
      <c r="E1416" s="35"/>
      <c r="F1416" s="35"/>
      <c r="G1416" s="35"/>
      <c r="H1416" s="1"/>
      <c r="I1416" s="1"/>
      <c r="J1416" s="1"/>
      <c r="K1416" s="1"/>
      <c r="L1416" s="17"/>
    </row>
    <row r="1417" spans="2:12" x14ac:dyDescent="0.35">
      <c r="B1417" s="25" t="s">
        <v>6</v>
      </c>
      <c r="C1417" s="24"/>
      <c r="D1417" s="24"/>
      <c r="E1417" s="23"/>
      <c r="F1417" s="23"/>
      <c r="G1417" s="5"/>
      <c r="K1417" s="227" t="s">
        <v>1292</v>
      </c>
      <c r="L1417" s="228"/>
    </row>
    <row r="1418" spans="2:12" x14ac:dyDescent="0.35">
      <c r="B1418" s="25">
        <v>1</v>
      </c>
      <c r="C1418" s="24"/>
      <c r="D1418" s="24"/>
      <c r="E1418" s="23" t="s">
        <v>7</v>
      </c>
      <c r="F1418" s="23"/>
      <c r="G1418" s="5"/>
      <c r="K1418" s="227" t="s">
        <v>18</v>
      </c>
      <c r="L1418" s="228"/>
    </row>
    <row r="1419" spans="2:12" x14ac:dyDescent="0.35">
      <c r="B1419" s="36"/>
      <c r="C1419" s="24"/>
      <c r="D1419" s="24"/>
      <c r="E1419" s="23"/>
      <c r="F1419" s="23"/>
      <c r="G1419" s="5"/>
      <c r="J1419" s="22"/>
      <c r="K1419" s="22"/>
      <c r="L1419" s="21"/>
    </row>
    <row r="1420" spans="2:12" x14ac:dyDescent="0.35">
      <c r="B1420" s="25"/>
      <c r="C1420" s="24"/>
      <c r="D1420" s="24"/>
      <c r="E1420" s="23"/>
      <c r="F1420" s="23"/>
      <c r="G1420" s="5"/>
      <c r="L1420" s="20"/>
    </row>
    <row r="1421" spans="2:12" x14ac:dyDescent="0.35">
      <c r="B1421" s="41"/>
      <c r="E1421" s="5"/>
      <c r="F1421" s="5"/>
      <c r="G1421" s="5"/>
      <c r="L1421" s="20"/>
    </row>
    <row r="1422" spans="2:12" x14ac:dyDescent="0.35">
      <c r="B1422" s="41"/>
      <c r="E1422" s="5"/>
      <c r="F1422" s="5"/>
      <c r="G1422" s="5"/>
      <c r="L1422" s="20"/>
    </row>
    <row r="1423" spans="2:12" x14ac:dyDescent="0.35">
      <c r="B1423" s="41"/>
      <c r="E1423" s="5"/>
      <c r="F1423" s="5"/>
      <c r="G1423" s="5"/>
      <c r="L1423" s="20"/>
    </row>
    <row r="1424" spans="2:12" x14ac:dyDescent="0.35">
      <c r="B1424" s="41"/>
      <c r="E1424" s="5"/>
      <c r="F1424" s="5"/>
      <c r="G1424" s="5"/>
      <c r="J1424" s="37"/>
      <c r="K1424" s="229" t="s">
        <v>26</v>
      </c>
      <c r="L1424" s="230"/>
    </row>
    <row r="1425" spans="2:12" x14ac:dyDescent="0.35">
      <c r="B1425" s="41"/>
      <c r="K1425" s="231" t="s">
        <v>27</v>
      </c>
      <c r="L1425" s="232"/>
    </row>
    <row r="1426" spans="2:12" x14ac:dyDescent="0.35">
      <c r="B1426" s="233"/>
      <c r="C1426" s="234"/>
      <c r="D1426" s="234"/>
      <c r="E1426" s="38"/>
      <c r="F1426" s="38"/>
      <c r="G1426" s="38"/>
      <c r="H1426" s="2"/>
      <c r="I1426" s="2"/>
      <c r="J1426" s="2"/>
      <c r="K1426" s="2"/>
      <c r="L1426" s="19"/>
    </row>
    <row r="1427" spans="2:12" x14ac:dyDescent="0.35">
      <c r="B1427" s="43"/>
      <c r="C1427" s="44"/>
      <c r="D1427" s="45"/>
      <c r="G1427" s="20"/>
      <c r="H1427" s="1"/>
      <c r="I1427" s="1"/>
      <c r="J1427" s="39"/>
      <c r="K1427" s="27"/>
      <c r="L1427" s="40"/>
    </row>
    <row r="1428" spans="2:12" x14ac:dyDescent="0.35">
      <c r="B1428" s="162"/>
      <c r="C1428" s="89"/>
      <c r="D1428" s="69" t="s">
        <v>194</v>
      </c>
      <c r="E1428" s="71"/>
      <c r="F1428" s="71" t="s">
        <v>1034</v>
      </c>
      <c r="G1428" s="27"/>
      <c r="H1428" s="71"/>
      <c r="I1428" s="60"/>
      <c r="J1428" s="151"/>
      <c r="K1428" s="152"/>
      <c r="L1428" s="153"/>
    </row>
    <row r="1429" spans="2:12" x14ac:dyDescent="0.35">
      <c r="B1429" s="70"/>
      <c r="C1429" s="89"/>
      <c r="D1429" s="200"/>
      <c r="E1429" s="153"/>
      <c r="F1429" s="71" t="s">
        <v>90</v>
      </c>
      <c r="G1429" s="27" t="s">
        <v>174</v>
      </c>
      <c r="H1429" s="125">
        <v>1</v>
      </c>
      <c r="I1429" s="65" t="s">
        <v>31</v>
      </c>
      <c r="J1429" s="48">
        <v>500000</v>
      </c>
      <c r="K1429" s="55">
        <f>J1429*H1429</f>
        <v>500000</v>
      </c>
      <c r="L1429" s="42"/>
    </row>
    <row r="1430" spans="2:12" x14ac:dyDescent="0.35">
      <c r="B1430" s="122"/>
      <c r="C1430" s="123"/>
      <c r="D1430" s="69" t="s">
        <v>196</v>
      </c>
      <c r="E1430" s="71"/>
      <c r="F1430" s="71" t="s">
        <v>1035</v>
      </c>
      <c r="G1430" s="27"/>
      <c r="H1430" s="71"/>
      <c r="I1430" s="60"/>
      <c r="J1430" s="26"/>
      <c r="K1430" s="47"/>
      <c r="L1430" s="42"/>
    </row>
    <row r="1431" spans="2:12" x14ac:dyDescent="0.35">
      <c r="B1431" s="90"/>
      <c r="C1431" s="119"/>
      <c r="D1431" s="200"/>
      <c r="E1431" s="153"/>
      <c r="F1431" s="71" t="s">
        <v>90</v>
      </c>
      <c r="G1431" s="27" t="s">
        <v>174</v>
      </c>
      <c r="H1431" s="125">
        <v>1</v>
      </c>
      <c r="I1431" s="65" t="s">
        <v>31</v>
      </c>
      <c r="J1431" s="48">
        <v>500000</v>
      </c>
      <c r="K1431" s="55">
        <f>J1431*H1431</f>
        <v>500000</v>
      </c>
      <c r="L1431" s="42"/>
    </row>
    <row r="1432" spans="2:12" x14ac:dyDescent="0.35">
      <c r="B1432" s="158"/>
      <c r="C1432" s="87"/>
      <c r="D1432" s="69" t="s">
        <v>273</v>
      </c>
      <c r="E1432" s="71"/>
      <c r="F1432" s="71" t="s">
        <v>1036</v>
      </c>
      <c r="G1432" s="27"/>
      <c r="H1432" s="71"/>
      <c r="I1432" s="60"/>
      <c r="J1432" s="26"/>
      <c r="K1432" s="55"/>
      <c r="L1432" s="42"/>
    </row>
    <row r="1433" spans="2:12" x14ac:dyDescent="0.35">
      <c r="B1433" s="162"/>
      <c r="C1433" s="89"/>
      <c r="D1433" s="200"/>
      <c r="E1433" s="153"/>
      <c r="F1433" s="71" t="s">
        <v>90</v>
      </c>
      <c r="G1433" s="27" t="s">
        <v>174</v>
      </c>
      <c r="H1433" s="125">
        <v>1</v>
      </c>
      <c r="I1433" s="65" t="s">
        <v>31</v>
      </c>
      <c r="J1433" s="48">
        <v>500000</v>
      </c>
      <c r="K1433" s="55">
        <f>J1433*H1433</f>
        <v>500000</v>
      </c>
      <c r="L1433" s="42"/>
    </row>
    <row r="1434" spans="2:12" x14ac:dyDescent="0.35">
      <c r="B1434" s="158"/>
      <c r="C1434" s="87"/>
      <c r="D1434" s="69" t="s">
        <v>275</v>
      </c>
      <c r="E1434" s="71"/>
      <c r="F1434" s="71" t="s">
        <v>1037</v>
      </c>
      <c r="G1434" s="27"/>
      <c r="H1434" s="71"/>
      <c r="I1434" s="60"/>
      <c r="J1434" s="26"/>
      <c r="K1434" s="55"/>
      <c r="L1434" s="42"/>
    </row>
    <row r="1435" spans="2:12" x14ac:dyDescent="0.35">
      <c r="B1435" s="162"/>
      <c r="C1435" s="89"/>
      <c r="D1435" s="200"/>
      <c r="E1435" s="153"/>
      <c r="F1435" s="71" t="s">
        <v>90</v>
      </c>
      <c r="G1435" s="27" t="s">
        <v>174</v>
      </c>
      <c r="H1435" s="125">
        <v>1</v>
      </c>
      <c r="I1435" s="65" t="s">
        <v>31</v>
      </c>
      <c r="J1435" s="48">
        <v>500000</v>
      </c>
      <c r="K1435" s="55">
        <f>J1435*H1435</f>
        <v>500000</v>
      </c>
      <c r="L1435" s="42"/>
    </row>
    <row r="1436" spans="2:12" x14ac:dyDescent="0.35">
      <c r="B1436" s="158"/>
      <c r="C1436" s="87"/>
      <c r="D1436" s="69" t="s">
        <v>277</v>
      </c>
      <c r="E1436" s="71"/>
      <c r="F1436" s="71" t="s">
        <v>1038</v>
      </c>
      <c r="G1436" s="27"/>
      <c r="H1436" s="71"/>
      <c r="I1436" s="60"/>
      <c r="J1436" s="26"/>
      <c r="K1436" s="47"/>
      <c r="L1436" s="42"/>
    </row>
    <row r="1437" spans="2:12" x14ac:dyDescent="0.35">
      <c r="B1437" s="162"/>
      <c r="C1437" s="89"/>
      <c r="D1437" s="200"/>
      <c r="E1437" s="153"/>
      <c r="F1437" s="71" t="s">
        <v>90</v>
      </c>
      <c r="G1437" s="27" t="s">
        <v>174</v>
      </c>
      <c r="H1437" s="125">
        <v>1</v>
      </c>
      <c r="I1437" s="65" t="s">
        <v>31</v>
      </c>
      <c r="J1437" s="48">
        <v>500000</v>
      </c>
      <c r="K1437" s="55">
        <f>J1437*H1437</f>
        <v>500000</v>
      </c>
      <c r="L1437" s="42"/>
    </row>
    <row r="1438" spans="2:12" x14ac:dyDescent="0.35">
      <c r="B1438" s="70"/>
      <c r="C1438" s="87"/>
      <c r="D1438" s="69" t="s">
        <v>279</v>
      </c>
      <c r="E1438" s="71"/>
      <c r="F1438" s="71" t="s">
        <v>1039</v>
      </c>
      <c r="G1438" s="27"/>
      <c r="H1438" s="71"/>
      <c r="I1438" s="60"/>
      <c r="J1438" s="26"/>
      <c r="K1438" s="47"/>
      <c r="L1438" s="42"/>
    </row>
    <row r="1439" spans="2:12" x14ac:dyDescent="0.35">
      <c r="B1439" s="181"/>
      <c r="C1439" s="89"/>
      <c r="D1439" s="200"/>
      <c r="E1439" s="153"/>
      <c r="F1439" s="71" t="s">
        <v>90</v>
      </c>
      <c r="G1439" s="27" t="s">
        <v>174</v>
      </c>
      <c r="H1439" s="125">
        <v>1</v>
      </c>
      <c r="I1439" s="65" t="s">
        <v>31</v>
      </c>
      <c r="J1439" s="48">
        <v>500000</v>
      </c>
      <c r="K1439" s="55">
        <f>J1439*H1439</f>
        <v>500000</v>
      </c>
      <c r="L1439" s="53"/>
    </row>
    <row r="1440" spans="2:12" x14ac:dyDescent="0.35">
      <c r="B1440" s="70"/>
      <c r="C1440" s="89"/>
      <c r="D1440" s="69" t="s">
        <v>281</v>
      </c>
      <c r="E1440" s="71"/>
      <c r="F1440" s="71" t="s">
        <v>1040</v>
      </c>
      <c r="G1440" s="27"/>
      <c r="H1440" s="71"/>
      <c r="I1440" s="60"/>
      <c r="J1440" s="55"/>
      <c r="K1440" s="55"/>
      <c r="L1440" s="42"/>
    </row>
    <row r="1441" spans="2:12" x14ac:dyDescent="0.35">
      <c r="B1441" s="158"/>
      <c r="C1441" s="84"/>
      <c r="D1441" s="200"/>
      <c r="E1441" s="153"/>
      <c r="F1441" s="71" t="s">
        <v>90</v>
      </c>
      <c r="G1441" s="27" t="s">
        <v>174</v>
      </c>
      <c r="H1441" s="125">
        <v>1</v>
      </c>
      <c r="I1441" s="65" t="s">
        <v>31</v>
      </c>
      <c r="J1441" s="48">
        <v>500000</v>
      </c>
      <c r="K1441" s="55">
        <f>J1441*H1441</f>
        <v>500000</v>
      </c>
      <c r="L1441" s="48"/>
    </row>
    <row r="1442" spans="2:12" x14ac:dyDescent="0.35">
      <c r="B1442" s="158"/>
      <c r="C1442" s="84"/>
      <c r="D1442" s="69" t="s">
        <v>283</v>
      </c>
      <c r="E1442" s="71"/>
      <c r="F1442" s="71" t="s">
        <v>1041</v>
      </c>
      <c r="G1442" s="27"/>
      <c r="H1442" s="71"/>
      <c r="I1442" s="60"/>
      <c r="J1442" s="46"/>
      <c r="K1442" s="26"/>
      <c r="L1442" s="48"/>
    </row>
    <row r="1443" spans="2:12" x14ac:dyDescent="0.35">
      <c r="B1443" s="70"/>
      <c r="C1443" s="89"/>
      <c r="D1443" s="200"/>
      <c r="E1443" s="153"/>
      <c r="F1443" s="71" t="s">
        <v>90</v>
      </c>
      <c r="G1443" s="27" t="s">
        <v>174</v>
      </c>
      <c r="H1443" s="125">
        <v>1</v>
      </c>
      <c r="I1443" s="65" t="s">
        <v>31</v>
      </c>
      <c r="J1443" s="48">
        <v>500000</v>
      </c>
      <c r="K1443" s="55">
        <f>J1443*H1443</f>
        <v>500000</v>
      </c>
      <c r="L1443" s="48"/>
    </row>
    <row r="1444" spans="2:12" x14ac:dyDescent="0.35">
      <c r="B1444" s="148" t="s">
        <v>120</v>
      </c>
      <c r="C1444" s="89"/>
      <c r="D1444" s="62"/>
      <c r="E1444" s="67" t="s">
        <v>12</v>
      </c>
      <c r="F1444" s="71"/>
      <c r="G1444" s="27"/>
      <c r="H1444" s="80"/>
      <c r="I1444" s="60"/>
      <c r="J1444" s="46"/>
      <c r="K1444" s="26"/>
      <c r="L1444" s="48"/>
    </row>
    <row r="1445" spans="2:12" x14ac:dyDescent="0.35">
      <c r="B1445" s="147"/>
      <c r="C1445" s="89" t="s">
        <v>198</v>
      </c>
      <c r="D1445" s="193"/>
      <c r="E1445" s="88"/>
      <c r="F1445" s="71" t="s">
        <v>199</v>
      </c>
      <c r="G1445" s="27"/>
      <c r="H1445" s="125"/>
      <c r="I1445" s="65"/>
      <c r="J1445" s="46"/>
      <c r="K1445" s="26"/>
      <c r="L1445" s="48"/>
    </row>
    <row r="1446" spans="2:12" x14ac:dyDescent="0.35">
      <c r="B1446" s="115"/>
      <c r="C1446" s="87"/>
      <c r="D1446" s="69" t="s">
        <v>29</v>
      </c>
      <c r="E1446" s="88"/>
      <c r="F1446" s="71" t="s">
        <v>200</v>
      </c>
      <c r="G1446" s="27"/>
      <c r="H1446" s="189">
        <v>2</v>
      </c>
      <c r="I1446" s="189" t="s">
        <v>82</v>
      </c>
      <c r="J1446" s="26">
        <v>6500000</v>
      </c>
      <c r="K1446" s="26"/>
      <c r="L1446" s="42">
        <f t="shared" ref="L1446" si="55">J1446*H1446</f>
        <v>13000000</v>
      </c>
    </row>
    <row r="1447" spans="2:12" x14ac:dyDescent="0.35">
      <c r="B1447" s="86"/>
      <c r="C1447" s="89"/>
      <c r="D1447" s="69"/>
      <c r="E1447" s="88"/>
      <c r="F1447" s="71" t="s">
        <v>90</v>
      </c>
      <c r="G1447" s="27" t="s">
        <v>1042</v>
      </c>
      <c r="H1447" s="80"/>
      <c r="I1447" s="60"/>
      <c r="J1447" s="46"/>
      <c r="K1447" s="26"/>
      <c r="L1447" s="48"/>
    </row>
    <row r="1448" spans="2:12" x14ac:dyDescent="0.35">
      <c r="B1448" s="86"/>
      <c r="C1448" s="89"/>
      <c r="D1448" s="69"/>
      <c r="E1448" s="88"/>
      <c r="F1448" s="71" t="s">
        <v>90</v>
      </c>
      <c r="G1448" s="27" t="s">
        <v>1043</v>
      </c>
      <c r="H1448" s="80"/>
      <c r="I1448" s="60"/>
      <c r="J1448" s="46"/>
      <c r="K1448" s="26"/>
      <c r="L1448" s="48"/>
    </row>
    <row r="1449" spans="2:12" x14ac:dyDescent="0.35">
      <c r="B1449" s="86"/>
      <c r="C1449" s="89"/>
      <c r="D1449" s="69"/>
      <c r="E1449" s="88"/>
      <c r="F1449" s="71" t="s">
        <v>90</v>
      </c>
      <c r="G1449" s="27" t="s">
        <v>1044</v>
      </c>
      <c r="H1449" s="80"/>
      <c r="I1449" s="60"/>
      <c r="J1449" s="46"/>
      <c r="K1449" s="26"/>
      <c r="L1449" s="48"/>
    </row>
    <row r="1450" spans="2:12" x14ac:dyDescent="0.35">
      <c r="B1450" s="115"/>
      <c r="C1450" s="88"/>
      <c r="D1450" s="69"/>
      <c r="E1450" s="71"/>
      <c r="F1450" s="71" t="s">
        <v>90</v>
      </c>
      <c r="G1450" s="27" t="s">
        <v>1045</v>
      </c>
      <c r="H1450" s="80"/>
      <c r="I1450" s="60"/>
      <c r="J1450" s="46"/>
      <c r="K1450" s="26"/>
      <c r="L1450" s="48"/>
    </row>
    <row r="1451" spans="2:12" x14ac:dyDescent="0.35">
      <c r="B1451" s="115"/>
      <c r="C1451" s="88"/>
      <c r="D1451" s="69"/>
      <c r="E1451" s="71"/>
      <c r="F1451" s="71" t="s">
        <v>90</v>
      </c>
      <c r="G1451" s="27" t="s">
        <v>1046</v>
      </c>
      <c r="H1451" s="80"/>
      <c r="I1451" s="60"/>
      <c r="J1451" s="46"/>
      <c r="K1451" s="26"/>
      <c r="L1451" s="48"/>
    </row>
    <row r="1452" spans="2:12" x14ac:dyDescent="0.35">
      <c r="B1452" s="115"/>
      <c r="C1452" s="88"/>
      <c r="D1452" s="69"/>
      <c r="E1452" s="71"/>
      <c r="F1452" s="71" t="s">
        <v>90</v>
      </c>
      <c r="G1452" s="27" t="s">
        <v>1047</v>
      </c>
      <c r="H1452" s="80"/>
      <c r="I1452" s="60"/>
      <c r="J1452" s="46"/>
      <c r="K1452" s="26"/>
      <c r="L1452" s="48"/>
    </row>
    <row r="1453" spans="2:12" x14ac:dyDescent="0.35">
      <c r="B1453" s="115"/>
      <c r="C1453" s="88"/>
      <c r="D1453" s="69"/>
      <c r="E1453" s="71"/>
      <c r="F1453" s="71" t="s">
        <v>90</v>
      </c>
      <c r="G1453" s="27" t="s">
        <v>1048</v>
      </c>
      <c r="H1453" s="80"/>
      <c r="I1453" s="60"/>
      <c r="J1453" s="46"/>
      <c r="K1453" s="26"/>
      <c r="L1453" s="48"/>
    </row>
    <row r="1454" spans="2:12" x14ac:dyDescent="0.35">
      <c r="B1454" s="115"/>
      <c r="C1454" s="87"/>
      <c r="D1454" s="69" t="s">
        <v>32</v>
      </c>
      <c r="E1454" s="88"/>
      <c r="F1454" s="71" t="s">
        <v>1049</v>
      </c>
      <c r="G1454" s="27"/>
      <c r="H1454" s="189">
        <v>2</v>
      </c>
      <c r="I1454" s="189" t="s">
        <v>82</v>
      </c>
      <c r="J1454" s="46">
        <v>2000000</v>
      </c>
      <c r="K1454" s="26"/>
      <c r="L1454" s="42">
        <f t="shared" ref="L1454" si="56">J1454*H1454</f>
        <v>4000000</v>
      </c>
    </row>
    <row r="1455" spans="2:12" x14ac:dyDescent="0.35">
      <c r="B1455" s="86"/>
      <c r="C1455" s="89"/>
      <c r="D1455" s="69"/>
      <c r="E1455" s="88"/>
      <c r="F1455" s="71" t="s">
        <v>90</v>
      </c>
      <c r="G1455" s="27" t="s">
        <v>1050</v>
      </c>
      <c r="H1455" s="80"/>
      <c r="I1455" s="60"/>
      <c r="J1455" s="46"/>
      <c r="K1455" s="26"/>
      <c r="L1455" s="48"/>
    </row>
    <row r="1456" spans="2:12" x14ac:dyDescent="0.35">
      <c r="B1456" s="115"/>
      <c r="C1456" s="88"/>
      <c r="D1456" s="69"/>
      <c r="E1456" s="71"/>
      <c r="F1456" s="71" t="s">
        <v>90</v>
      </c>
      <c r="G1456" s="27" t="s">
        <v>1051</v>
      </c>
      <c r="H1456" s="80"/>
      <c r="I1456" s="60"/>
      <c r="J1456" s="46"/>
      <c r="K1456" s="26"/>
      <c r="L1456" s="48"/>
    </row>
    <row r="1457" spans="2:12" x14ac:dyDescent="0.35">
      <c r="B1457" s="115"/>
      <c r="C1457" s="88"/>
      <c r="D1457" s="69"/>
      <c r="E1457" s="71"/>
      <c r="F1457" s="71" t="s">
        <v>90</v>
      </c>
      <c r="G1457" s="27" t="s">
        <v>1052</v>
      </c>
      <c r="H1457" s="80"/>
      <c r="I1457" s="60"/>
      <c r="J1457" s="46"/>
      <c r="K1457" s="26"/>
      <c r="L1457" s="48"/>
    </row>
    <row r="1458" spans="2:12" x14ac:dyDescent="0.35">
      <c r="B1458" s="115"/>
      <c r="C1458" s="87"/>
      <c r="D1458" s="69" t="s">
        <v>34</v>
      </c>
      <c r="E1458" s="88"/>
      <c r="F1458" s="71" t="s">
        <v>1053</v>
      </c>
      <c r="G1458" s="27"/>
      <c r="H1458" s="189">
        <v>1</v>
      </c>
      <c r="I1458" s="189" t="s">
        <v>31</v>
      </c>
      <c r="J1458" s="46">
        <v>1500000</v>
      </c>
      <c r="K1458" s="55">
        <f>J1458*H1458</f>
        <v>1500000</v>
      </c>
      <c r="L1458" s="48"/>
    </row>
    <row r="1459" spans="2:12" x14ac:dyDescent="0.35">
      <c r="B1459" s="158"/>
      <c r="C1459" s="84"/>
      <c r="D1459" s="69"/>
      <c r="E1459" s="71"/>
      <c r="F1459" s="71"/>
      <c r="G1459" s="27"/>
      <c r="H1459" s="71"/>
      <c r="I1459" s="60"/>
      <c r="J1459" s="46"/>
      <c r="K1459" s="26"/>
      <c r="L1459" s="48"/>
    </row>
    <row r="1460" spans="2:12" x14ac:dyDescent="0.35">
      <c r="B1460" s="148"/>
      <c r="C1460" s="154"/>
      <c r="D1460" s="66"/>
      <c r="E1460" s="75" t="s">
        <v>201</v>
      </c>
      <c r="F1460" s="76"/>
      <c r="G1460" s="77"/>
      <c r="H1460" s="172"/>
      <c r="I1460" s="173"/>
      <c r="J1460" s="46"/>
      <c r="K1460" s="26"/>
      <c r="L1460" s="48"/>
    </row>
    <row r="1461" spans="2:12" x14ac:dyDescent="0.35">
      <c r="B1461" s="148" t="s">
        <v>28</v>
      </c>
      <c r="C1461" s="87"/>
      <c r="D1461" s="62"/>
      <c r="E1461" s="67" t="s">
        <v>86</v>
      </c>
      <c r="F1461" s="64"/>
      <c r="G1461" s="65"/>
      <c r="H1461" s="174"/>
      <c r="I1461" s="93"/>
      <c r="J1461" s="46"/>
      <c r="K1461" s="26"/>
      <c r="L1461" s="48"/>
    </row>
    <row r="1462" spans="2:12" x14ac:dyDescent="0.35">
      <c r="B1462" s="148"/>
      <c r="C1462" s="87" t="s">
        <v>87</v>
      </c>
      <c r="D1462" s="62"/>
      <c r="E1462" s="67"/>
      <c r="F1462" s="64" t="s">
        <v>202</v>
      </c>
      <c r="G1462" s="65"/>
      <c r="H1462" s="63"/>
      <c r="I1462" s="65"/>
      <c r="J1462" s="46"/>
      <c r="K1462" s="26"/>
      <c r="L1462" s="48"/>
    </row>
    <row r="1463" spans="2:12" x14ac:dyDescent="0.35">
      <c r="B1463" s="86"/>
      <c r="C1463" s="89"/>
      <c r="D1463" s="69" t="s">
        <v>29</v>
      </c>
      <c r="E1463" s="70"/>
      <c r="F1463" s="71" t="s">
        <v>1054</v>
      </c>
      <c r="G1463" s="27"/>
      <c r="H1463" s="80"/>
      <c r="I1463" s="60"/>
      <c r="J1463" s="46"/>
      <c r="K1463" s="26"/>
      <c r="L1463" s="48"/>
    </row>
    <row r="1464" spans="2:12" x14ac:dyDescent="0.35">
      <c r="B1464" s="86"/>
      <c r="C1464" s="89"/>
      <c r="D1464" s="69"/>
      <c r="E1464" s="70"/>
      <c r="F1464" s="71" t="s">
        <v>90</v>
      </c>
      <c r="G1464" s="27" t="s">
        <v>1055</v>
      </c>
      <c r="H1464" s="80">
        <f>6.1*1.16*12*7.85</f>
        <v>666.55919999999981</v>
      </c>
      <c r="I1464" s="60" t="s">
        <v>91</v>
      </c>
      <c r="J1464" s="46">
        <v>30500</v>
      </c>
      <c r="K1464" s="26"/>
      <c r="L1464" s="42">
        <f t="shared" ref="L1464:L1478" si="57">J1464*H1464</f>
        <v>20330055.599999994</v>
      </c>
    </row>
    <row r="1465" spans="2:12" x14ac:dyDescent="0.35">
      <c r="B1465" s="86"/>
      <c r="C1465" s="89"/>
      <c r="D1465" s="69"/>
      <c r="E1465" s="70"/>
      <c r="F1465" s="71" t="s">
        <v>90</v>
      </c>
      <c r="G1465" s="27" t="s">
        <v>205</v>
      </c>
      <c r="H1465" s="80">
        <f>6.1*1.83*12*7.85</f>
        <v>1051.5546000000002</v>
      </c>
      <c r="I1465" s="60" t="s">
        <v>91</v>
      </c>
      <c r="J1465" s="46">
        <v>30500</v>
      </c>
      <c r="K1465" s="26"/>
      <c r="L1465" s="42">
        <f t="shared" si="57"/>
        <v>32072415.300000004</v>
      </c>
    </row>
    <row r="1466" spans="2:12" x14ac:dyDescent="0.35">
      <c r="B1466" s="86"/>
      <c r="C1466" s="89"/>
      <c r="D1466" s="69"/>
      <c r="E1466" s="70"/>
      <c r="F1466" s="71" t="s">
        <v>90</v>
      </c>
      <c r="G1466" s="27" t="s">
        <v>206</v>
      </c>
      <c r="H1466" s="80">
        <f>6.1*1.83*12*7.85</f>
        <v>1051.5546000000002</v>
      </c>
      <c r="I1466" s="60" t="s">
        <v>91</v>
      </c>
      <c r="J1466" s="46">
        <v>30500</v>
      </c>
      <c r="K1466" s="26"/>
      <c r="L1466" s="42">
        <f t="shared" si="57"/>
        <v>32072415.300000004</v>
      </c>
    </row>
    <row r="1467" spans="2:12" x14ac:dyDescent="0.35">
      <c r="B1467" s="86"/>
      <c r="C1467" s="89"/>
      <c r="D1467" s="69"/>
      <c r="E1467" s="70"/>
      <c r="F1467" s="71" t="s">
        <v>90</v>
      </c>
      <c r="G1467" s="27" t="s">
        <v>207</v>
      </c>
      <c r="H1467" s="80">
        <f>6.1*1.83*12*7.85</f>
        <v>1051.5546000000002</v>
      </c>
      <c r="I1467" s="60" t="s">
        <v>91</v>
      </c>
      <c r="J1467" s="46">
        <v>30500</v>
      </c>
      <c r="K1467" s="26"/>
      <c r="L1467" s="42">
        <f t="shared" si="57"/>
        <v>32072415.300000004</v>
      </c>
    </row>
    <row r="1468" spans="2:12" x14ac:dyDescent="0.35">
      <c r="B1468" s="86"/>
      <c r="C1468" s="89"/>
      <c r="D1468" s="69"/>
      <c r="E1468" s="70"/>
      <c r="F1468" s="71" t="s">
        <v>90</v>
      </c>
      <c r="G1468" s="27" t="s">
        <v>1056</v>
      </c>
      <c r="H1468" s="80">
        <f>6.1*1.83*12*7.85</f>
        <v>1051.5546000000002</v>
      </c>
      <c r="I1468" s="60" t="s">
        <v>91</v>
      </c>
      <c r="J1468" s="46">
        <v>30500</v>
      </c>
      <c r="K1468" s="26"/>
      <c r="L1468" s="42">
        <f t="shared" si="57"/>
        <v>32072415.300000004</v>
      </c>
    </row>
    <row r="1469" spans="2:12" x14ac:dyDescent="0.35">
      <c r="B1469" s="86"/>
      <c r="C1469" s="89"/>
      <c r="D1469" s="69"/>
      <c r="E1469" s="70"/>
      <c r="F1469" s="71" t="s">
        <v>90</v>
      </c>
      <c r="G1469" s="27" t="s">
        <v>1057</v>
      </c>
      <c r="H1469" s="80">
        <f>6.1*1.83*12*7.85</f>
        <v>1051.5546000000002</v>
      </c>
      <c r="I1469" s="60" t="s">
        <v>91</v>
      </c>
      <c r="J1469" s="46">
        <v>30500</v>
      </c>
      <c r="K1469" s="26"/>
      <c r="L1469" s="42">
        <f t="shared" si="57"/>
        <v>32072415.300000004</v>
      </c>
    </row>
    <row r="1470" spans="2:12" x14ac:dyDescent="0.35">
      <c r="B1470" s="86"/>
      <c r="C1470" s="89"/>
      <c r="D1470" s="69"/>
      <c r="E1470" s="70"/>
      <c r="F1470" s="71" t="s">
        <v>90</v>
      </c>
      <c r="G1470" s="27" t="s">
        <v>1058</v>
      </c>
      <c r="H1470" s="80">
        <f>6.1*1.53*12*7.85</f>
        <v>879.16860000000008</v>
      </c>
      <c r="I1470" s="60" t="s">
        <v>91</v>
      </c>
      <c r="J1470" s="46">
        <v>30500</v>
      </c>
      <c r="K1470" s="26"/>
      <c r="L1470" s="42">
        <f t="shared" si="57"/>
        <v>26814642.300000001</v>
      </c>
    </row>
    <row r="1471" spans="2:12" x14ac:dyDescent="0.35">
      <c r="B1471" s="86"/>
      <c r="C1471" s="89"/>
      <c r="D1471" s="69" t="s">
        <v>32</v>
      </c>
      <c r="E1471" s="70"/>
      <c r="F1471" s="71" t="s">
        <v>1059</v>
      </c>
      <c r="G1471" s="27"/>
      <c r="H1471" s="80"/>
      <c r="I1471" s="60"/>
      <c r="J1471" s="46"/>
      <c r="K1471" s="26"/>
      <c r="L1471" s="48"/>
    </row>
    <row r="1472" spans="2:12" x14ac:dyDescent="0.35">
      <c r="B1472" s="86"/>
      <c r="C1472" s="89"/>
      <c r="D1472" s="69"/>
      <c r="E1472" s="70"/>
      <c r="F1472" s="71" t="s">
        <v>90</v>
      </c>
      <c r="G1472" s="27" t="s">
        <v>203</v>
      </c>
      <c r="H1472" s="80">
        <f t="shared" ref="H1472:H1477" si="58">6.1*1.83*12*7.85</f>
        <v>1051.5546000000002</v>
      </c>
      <c r="I1472" s="60" t="s">
        <v>91</v>
      </c>
      <c r="J1472" s="46">
        <v>30500</v>
      </c>
      <c r="K1472" s="26"/>
      <c r="L1472" s="42">
        <f t="shared" si="57"/>
        <v>32072415.300000004</v>
      </c>
    </row>
    <row r="1473" spans="2:12" x14ac:dyDescent="0.35">
      <c r="B1473" s="86"/>
      <c r="C1473" s="89"/>
      <c r="D1473" s="69"/>
      <c r="E1473" s="70"/>
      <c r="F1473" s="71" t="s">
        <v>90</v>
      </c>
      <c r="G1473" s="27" t="s">
        <v>205</v>
      </c>
      <c r="H1473" s="80">
        <f t="shared" si="58"/>
        <v>1051.5546000000002</v>
      </c>
      <c r="I1473" s="60" t="s">
        <v>91</v>
      </c>
      <c r="J1473" s="46">
        <v>30500</v>
      </c>
      <c r="K1473" s="26"/>
      <c r="L1473" s="42">
        <f t="shared" si="57"/>
        <v>32072415.300000004</v>
      </c>
    </row>
    <row r="1474" spans="2:12" x14ac:dyDescent="0.35">
      <c r="B1474" s="86"/>
      <c r="C1474" s="89"/>
      <c r="D1474" s="69"/>
      <c r="E1474" s="70"/>
      <c r="F1474" s="71" t="s">
        <v>90</v>
      </c>
      <c r="G1474" s="27" t="s">
        <v>206</v>
      </c>
      <c r="H1474" s="80">
        <f t="shared" si="58"/>
        <v>1051.5546000000002</v>
      </c>
      <c r="I1474" s="60" t="s">
        <v>91</v>
      </c>
      <c r="J1474" s="46">
        <v>30500</v>
      </c>
      <c r="K1474" s="26"/>
      <c r="L1474" s="42">
        <f t="shared" si="57"/>
        <v>32072415.300000004</v>
      </c>
    </row>
    <row r="1475" spans="2:12" x14ac:dyDescent="0.35">
      <c r="B1475" s="86"/>
      <c r="C1475" s="89"/>
      <c r="D1475" s="69"/>
      <c r="E1475" s="70"/>
      <c r="F1475" s="71" t="s">
        <v>90</v>
      </c>
      <c r="G1475" s="27" t="s">
        <v>207</v>
      </c>
      <c r="H1475" s="80">
        <f t="shared" si="58"/>
        <v>1051.5546000000002</v>
      </c>
      <c r="I1475" s="60" t="s">
        <v>91</v>
      </c>
      <c r="J1475" s="46">
        <v>30500</v>
      </c>
      <c r="K1475" s="26"/>
      <c r="L1475" s="42">
        <f t="shared" si="57"/>
        <v>32072415.300000004</v>
      </c>
    </row>
    <row r="1476" spans="2:12" x14ac:dyDescent="0.35">
      <c r="B1476" s="86"/>
      <c r="C1476" s="89"/>
      <c r="D1476" s="69"/>
      <c r="E1476" s="70"/>
      <c r="F1476" s="71" t="s">
        <v>90</v>
      </c>
      <c r="G1476" s="27" t="s">
        <v>1056</v>
      </c>
      <c r="H1476" s="80">
        <f t="shared" si="58"/>
        <v>1051.5546000000002</v>
      </c>
      <c r="I1476" s="60" t="s">
        <v>91</v>
      </c>
      <c r="J1476" s="46">
        <v>30500</v>
      </c>
      <c r="K1476" s="26"/>
      <c r="L1476" s="42">
        <f t="shared" si="57"/>
        <v>32072415.300000004</v>
      </c>
    </row>
    <row r="1477" spans="2:12" x14ac:dyDescent="0.35">
      <c r="B1477" s="86"/>
      <c r="C1477" s="89"/>
      <c r="D1477" s="69"/>
      <c r="E1477" s="70"/>
      <c r="F1477" s="71" t="s">
        <v>90</v>
      </c>
      <c r="G1477" s="27" t="s">
        <v>1057</v>
      </c>
      <c r="H1477" s="80">
        <f t="shared" si="58"/>
        <v>1051.5546000000002</v>
      </c>
      <c r="I1477" s="60" t="s">
        <v>91</v>
      </c>
      <c r="J1477" s="46">
        <v>30500</v>
      </c>
      <c r="K1477" s="26"/>
      <c r="L1477" s="42">
        <f t="shared" si="57"/>
        <v>32072415.300000004</v>
      </c>
    </row>
    <row r="1478" spans="2:12" x14ac:dyDescent="0.35">
      <c r="B1478" s="86"/>
      <c r="C1478" s="89"/>
      <c r="D1478" s="69"/>
      <c r="E1478" s="70"/>
      <c r="F1478" s="71" t="s">
        <v>90</v>
      </c>
      <c r="G1478" s="27" t="s">
        <v>1058</v>
      </c>
      <c r="H1478" s="80">
        <f>6.1*1.53*12*7.85</f>
        <v>879.16860000000008</v>
      </c>
      <c r="I1478" s="60" t="s">
        <v>91</v>
      </c>
      <c r="J1478" s="46">
        <v>30500</v>
      </c>
      <c r="K1478" s="26"/>
      <c r="L1478" s="42">
        <f t="shared" si="57"/>
        <v>26814642.300000001</v>
      </c>
    </row>
    <row r="1479" spans="2:12" x14ac:dyDescent="0.35">
      <c r="B1479" s="148"/>
      <c r="C1479" s="87"/>
      <c r="D1479" s="51"/>
      <c r="E1479" s="136"/>
      <c r="F1479" s="105"/>
      <c r="G1479" s="106"/>
      <c r="H1479" s="100"/>
      <c r="I1479" s="60"/>
      <c r="J1479" s="46"/>
      <c r="K1479" s="26"/>
      <c r="L1479" s="48"/>
    </row>
    <row r="1480" spans="2:12" x14ac:dyDescent="0.35">
      <c r="B1480" s="8"/>
      <c r="C1480" s="9"/>
      <c r="D1480" s="10"/>
      <c r="E1480" s="4"/>
      <c r="F1480" s="4"/>
      <c r="G1480" s="4"/>
      <c r="H1480" s="1"/>
      <c r="I1480" s="1"/>
      <c r="J1480" s="11" t="s">
        <v>8</v>
      </c>
      <c r="K1480" s="7">
        <f>SUM(K1427:K1479)</f>
        <v>5500000</v>
      </c>
      <c r="L1480" s="7">
        <f>SUM(L1427:L1479)</f>
        <v>443755908.50000012</v>
      </c>
    </row>
    <row r="1481" spans="2:12" x14ac:dyDescent="0.35">
      <c r="B1481" s="8"/>
      <c r="C1481" s="9"/>
      <c r="D1481" s="9"/>
      <c r="E1481" s="4"/>
      <c r="F1481" s="4"/>
      <c r="G1481" s="4"/>
      <c r="H1481" s="1"/>
      <c r="I1481" s="1"/>
      <c r="J1481" s="11"/>
      <c r="K1481" s="32" t="s">
        <v>13</v>
      </c>
      <c r="L1481" s="33" t="s">
        <v>14</v>
      </c>
    </row>
    <row r="1482" spans="2:12" x14ac:dyDescent="0.35">
      <c r="B1482" s="3" t="s">
        <v>9</v>
      </c>
      <c r="C1482" s="4"/>
      <c r="D1482" s="4"/>
      <c r="E1482" s="4"/>
      <c r="F1482" s="4"/>
      <c r="G1482" s="4"/>
      <c r="H1482" s="1"/>
      <c r="I1482" s="1"/>
      <c r="J1482" s="12"/>
      <c r="K1482" s="12"/>
      <c r="L1482" s="13"/>
    </row>
    <row r="1483" spans="2:12" x14ac:dyDescent="0.35">
      <c r="B1483" s="34"/>
      <c r="C1483" s="1"/>
      <c r="D1483" s="1"/>
      <c r="E1483" s="35"/>
      <c r="F1483" s="35"/>
      <c r="G1483" s="35"/>
      <c r="H1483" s="1"/>
      <c r="I1483" s="1"/>
      <c r="J1483" s="1"/>
      <c r="K1483" s="1"/>
      <c r="L1483" s="17"/>
    </row>
    <row r="1484" spans="2:12" x14ac:dyDescent="0.35">
      <c r="B1484" s="25" t="s">
        <v>6</v>
      </c>
      <c r="C1484" s="24"/>
      <c r="D1484" s="24"/>
      <c r="E1484" s="23"/>
      <c r="F1484" s="23"/>
      <c r="G1484" s="5"/>
      <c r="K1484" s="227" t="s">
        <v>1292</v>
      </c>
      <c r="L1484" s="228"/>
    </row>
    <row r="1485" spans="2:12" x14ac:dyDescent="0.35">
      <c r="B1485" s="25">
        <v>1</v>
      </c>
      <c r="C1485" s="24"/>
      <c r="D1485" s="24"/>
      <c r="E1485" s="23" t="s">
        <v>7</v>
      </c>
      <c r="F1485" s="23"/>
      <c r="G1485" s="5"/>
      <c r="K1485" s="227" t="s">
        <v>18</v>
      </c>
      <c r="L1485" s="228"/>
    </row>
    <row r="1486" spans="2:12" x14ac:dyDescent="0.35">
      <c r="B1486" s="36"/>
      <c r="C1486" s="24"/>
      <c r="D1486" s="24"/>
      <c r="E1486" s="23"/>
      <c r="F1486" s="23"/>
      <c r="G1486" s="5"/>
      <c r="J1486" s="22"/>
      <c r="K1486" s="22"/>
      <c r="L1486" s="21"/>
    </row>
    <row r="1487" spans="2:12" x14ac:dyDescent="0.35">
      <c r="B1487" s="25"/>
      <c r="C1487" s="24"/>
      <c r="D1487" s="24"/>
      <c r="E1487" s="23"/>
      <c r="F1487" s="23"/>
      <c r="G1487" s="5"/>
      <c r="L1487" s="20"/>
    </row>
    <row r="1488" spans="2:12" x14ac:dyDescent="0.35">
      <c r="B1488" s="41"/>
      <c r="E1488" s="5"/>
      <c r="F1488" s="5"/>
      <c r="G1488" s="5"/>
      <c r="L1488" s="20"/>
    </row>
    <row r="1489" spans="2:12" x14ac:dyDescent="0.35">
      <c r="B1489" s="41"/>
      <c r="E1489" s="5"/>
      <c r="F1489" s="5"/>
      <c r="G1489" s="5"/>
      <c r="L1489" s="20"/>
    </row>
    <row r="1490" spans="2:12" x14ac:dyDescent="0.35">
      <c r="B1490" s="41"/>
      <c r="E1490" s="5"/>
      <c r="F1490" s="5"/>
      <c r="G1490" s="5"/>
      <c r="L1490" s="20"/>
    </row>
    <row r="1491" spans="2:12" x14ac:dyDescent="0.35">
      <c r="B1491" s="41"/>
      <c r="E1491" s="5"/>
      <c r="F1491" s="5"/>
      <c r="G1491" s="5"/>
      <c r="J1491" s="37"/>
      <c r="K1491" s="229" t="s">
        <v>26</v>
      </c>
      <c r="L1491" s="230"/>
    </row>
    <row r="1492" spans="2:12" x14ac:dyDescent="0.35">
      <c r="B1492" s="41"/>
      <c r="K1492" s="231" t="s">
        <v>27</v>
      </c>
      <c r="L1492" s="232"/>
    </row>
    <row r="1493" spans="2:12" x14ac:dyDescent="0.35">
      <c r="B1493" s="233"/>
      <c r="C1493" s="234"/>
      <c r="D1493" s="234"/>
      <c r="E1493" s="38"/>
      <c r="F1493" s="38"/>
      <c r="G1493" s="38"/>
      <c r="H1493" s="2"/>
      <c r="I1493" s="2"/>
      <c r="J1493" s="2"/>
      <c r="K1493" s="2"/>
      <c r="L1493" s="19"/>
    </row>
    <row r="1494" spans="2:12" x14ac:dyDescent="0.35">
      <c r="B1494" s="43"/>
      <c r="C1494" s="44"/>
      <c r="D1494" s="45"/>
      <c r="G1494" s="20"/>
      <c r="H1494" s="1"/>
      <c r="I1494" s="1"/>
      <c r="J1494" s="39"/>
      <c r="K1494" s="27"/>
      <c r="L1494" s="40"/>
    </row>
    <row r="1495" spans="2:12" x14ac:dyDescent="0.35">
      <c r="B1495" s="86"/>
      <c r="C1495" s="89"/>
      <c r="D1495" s="69" t="s">
        <v>34</v>
      </c>
      <c r="E1495" s="70"/>
      <c r="F1495" s="71" t="s">
        <v>1060</v>
      </c>
      <c r="G1495" s="27"/>
      <c r="H1495" s="80"/>
      <c r="I1495" s="60"/>
      <c r="J1495" s="151"/>
      <c r="K1495" s="152"/>
      <c r="L1495" s="153"/>
    </row>
    <row r="1496" spans="2:12" x14ac:dyDescent="0.35">
      <c r="B1496" s="86"/>
      <c r="C1496" s="89"/>
      <c r="D1496" s="69"/>
      <c r="E1496" s="70"/>
      <c r="F1496" s="71" t="s">
        <v>90</v>
      </c>
      <c r="G1496" s="27" t="s">
        <v>1061</v>
      </c>
      <c r="H1496" s="80">
        <f>6.1*1.1*12*7.85</f>
        <v>632.08199999999999</v>
      </c>
      <c r="I1496" s="60" t="s">
        <v>91</v>
      </c>
      <c r="J1496" s="46">
        <v>30500</v>
      </c>
      <c r="K1496" s="47"/>
      <c r="L1496" s="42">
        <f t="shared" ref="L1496:L1502" si="59">J1496*H1496</f>
        <v>19278501</v>
      </c>
    </row>
    <row r="1497" spans="2:12" x14ac:dyDescent="0.35">
      <c r="B1497" s="86"/>
      <c r="C1497" s="89"/>
      <c r="D1497" s="69"/>
      <c r="E1497" s="70"/>
      <c r="F1497" s="71" t="s">
        <v>90</v>
      </c>
      <c r="G1497" s="27" t="s">
        <v>205</v>
      </c>
      <c r="H1497" s="80">
        <f>6.1*1.83*12*7.85</f>
        <v>1051.5546000000002</v>
      </c>
      <c r="I1497" s="60" t="s">
        <v>91</v>
      </c>
      <c r="J1497" s="46">
        <v>30500</v>
      </c>
      <c r="K1497" s="47"/>
      <c r="L1497" s="42">
        <f t="shared" si="59"/>
        <v>32072415.300000004</v>
      </c>
    </row>
    <row r="1498" spans="2:12" x14ac:dyDescent="0.35">
      <c r="B1498" s="86"/>
      <c r="C1498" s="89"/>
      <c r="D1498" s="69"/>
      <c r="E1498" s="70"/>
      <c r="F1498" s="71" t="s">
        <v>90</v>
      </c>
      <c r="G1498" s="27" t="s">
        <v>206</v>
      </c>
      <c r="H1498" s="80">
        <f>6.1*1.83*12*7.85</f>
        <v>1051.5546000000002</v>
      </c>
      <c r="I1498" s="60" t="s">
        <v>91</v>
      </c>
      <c r="J1498" s="46">
        <v>30500</v>
      </c>
      <c r="K1498" s="47"/>
      <c r="L1498" s="42">
        <f t="shared" si="59"/>
        <v>32072415.300000004</v>
      </c>
    </row>
    <row r="1499" spans="2:12" x14ac:dyDescent="0.35">
      <c r="B1499" s="86"/>
      <c r="C1499" s="89"/>
      <c r="D1499" s="69"/>
      <c r="E1499" s="70"/>
      <c r="F1499" s="71" t="s">
        <v>90</v>
      </c>
      <c r="G1499" s="27" t="s">
        <v>207</v>
      </c>
      <c r="H1499" s="80">
        <f>6.1*1.83*12*7.85</f>
        <v>1051.5546000000002</v>
      </c>
      <c r="I1499" s="60" t="s">
        <v>91</v>
      </c>
      <c r="J1499" s="46">
        <v>30500</v>
      </c>
      <c r="K1499" s="55"/>
      <c r="L1499" s="42">
        <f t="shared" si="59"/>
        <v>32072415.300000004</v>
      </c>
    </row>
    <row r="1500" spans="2:12" x14ac:dyDescent="0.35">
      <c r="B1500" s="86"/>
      <c r="C1500" s="89"/>
      <c r="D1500" s="69"/>
      <c r="E1500" s="70"/>
      <c r="F1500" s="71" t="s">
        <v>90</v>
      </c>
      <c r="G1500" s="27" t="s">
        <v>1056</v>
      </c>
      <c r="H1500" s="80">
        <f>6.1*1.83*12*7.85</f>
        <v>1051.5546000000002</v>
      </c>
      <c r="I1500" s="60" t="s">
        <v>91</v>
      </c>
      <c r="J1500" s="46">
        <v>30500</v>
      </c>
      <c r="K1500" s="47"/>
      <c r="L1500" s="42">
        <f t="shared" si="59"/>
        <v>32072415.300000004</v>
      </c>
    </row>
    <row r="1501" spans="2:12" x14ac:dyDescent="0.35">
      <c r="B1501" s="86"/>
      <c r="C1501" s="89"/>
      <c r="D1501" s="69"/>
      <c r="E1501" s="70"/>
      <c r="F1501" s="71" t="s">
        <v>90</v>
      </c>
      <c r="G1501" s="27" t="s">
        <v>1057</v>
      </c>
      <c r="H1501" s="80">
        <f>6.1*1.83*12*7.85</f>
        <v>1051.5546000000002</v>
      </c>
      <c r="I1501" s="60" t="s">
        <v>91</v>
      </c>
      <c r="J1501" s="46">
        <v>30500</v>
      </c>
      <c r="K1501" s="55"/>
      <c r="L1501" s="42">
        <f t="shared" si="59"/>
        <v>32072415.300000004</v>
      </c>
    </row>
    <row r="1502" spans="2:12" x14ac:dyDescent="0.35">
      <c r="B1502" s="86"/>
      <c r="C1502" s="89"/>
      <c r="D1502" s="69"/>
      <c r="E1502" s="70"/>
      <c r="F1502" s="71" t="s">
        <v>90</v>
      </c>
      <c r="G1502" s="27" t="s">
        <v>1058</v>
      </c>
      <c r="H1502" s="80">
        <f>6.1*1.53*12*7.85</f>
        <v>879.16860000000008</v>
      </c>
      <c r="I1502" s="60" t="s">
        <v>91</v>
      </c>
      <c r="J1502" s="46">
        <v>30500</v>
      </c>
      <c r="K1502" s="47"/>
      <c r="L1502" s="42">
        <f t="shared" si="59"/>
        <v>26814642.300000001</v>
      </c>
    </row>
    <row r="1503" spans="2:12" x14ac:dyDescent="0.35">
      <c r="B1503" s="86"/>
      <c r="C1503" s="89"/>
      <c r="D1503" s="69" t="s">
        <v>36</v>
      </c>
      <c r="E1503" s="70"/>
      <c r="F1503" s="71" t="s">
        <v>1062</v>
      </c>
      <c r="G1503" s="27"/>
      <c r="H1503" s="80"/>
      <c r="I1503" s="60"/>
      <c r="J1503" s="26"/>
      <c r="K1503" s="47"/>
      <c r="L1503" s="42"/>
    </row>
    <row r="1504" spans="2:12" x14ac:dyDescent="0.35">
      <c r="B1504" s="86"/>
      <c r="C1504" s="89"/>
      <c r="D1504" s="69"/>
      <c r="E1504" s="70"/>
      <c r="F1504" s="71" t="s">
        <v>90</v>
      </c>
      <c r="G1504" s="27" t="s">
        <v>1063</v>
      </c>
      <c r="H1504" s="80">
        <f>5.91*1.83*12*7.85</f>
        <v>1018.80126</v>
      </c>
      <c r="I1504" s="60" t="s">
        <v>91</v>
      </c>
      <c r="J1504" s="46">
        <v>30500</v>
      </c>
      <c r="K1504" s="47"/>
      <c r="L1504" s="42">
        <f t="shared" ref="L1504:L1510" si="60">J1504*H1504</f>
        <v>31073438.43</v>
      </c>
    </row>
    <row r="1505" spans="2:12" x14ac:dyDescent="0.35">
      <c r="B1505" s="86"/>
      <c r="C1505" s="89"/>
      <c r="D1505" s="69"/>
      <c r="E1505" s="70"/>
      <c r="F1505" s="71" t="s">
        <v>90</v>
      </c>
      <c r="G1505" s="27" t="s">
        <v>1064</v>
      </c>
      <c r="H1505" s="80">
        <f>5.91*1.83*12*7.85</f>
        <v>1018.80126</v>
      </c>
      <c r="I1505" s="60" t="s">
        <v>91</v>
      </c>
      <c r="J1505" s="46">
        <v>30500</v>
      </c>
      <c r="K1505" s="47"/>
      <c r="L1505" s="42">
        <f t="shared" si="60"/>
        <v>31073438.43</v>
      </c>
    </row>
    <row r="1506" spans="2:12" x14ac:dyDescent="0.35">
      <c r="B1506" s="86"/>
      <c r="C1506" s="89"/>
      <c r="D1506" s="69"/>
      <c r="E1506" s="70"/>
      <c r="F1506" s="71" t="s">
        <v>90</v>
      </c>
      <c r="G1506" s="27" t="s">
        <v>1065</v>
      </c>
      <c r="H1506" s="80">
        <f>5.91*1.83*12*7.85</f>
        <v>1018.80126</v>
      </c>
      <c r="I1506" s="60" t="s">
        <v>91</v>
      </c>
      <c r="J1506" s="46">
        <v>30500</v>
      </c>
      <c r="K1506" s="42"/>
      <c r="L1506" s="42">
        <f t="shared" si="60"/>
        <v>31073438.43</v>
      </c>
    </row>
    <row r="1507" spans="2:12" x14ac:dyDescent="0.35">
      <c r="B1507" s="86"/>
      <c r="C1507" s="89"/>
      <c r="D1507" s="69"/>
      <c r="E1507" s="70"/>
      <c r="F1507" s="71" t="s">
        <v>90</v>
      </c>
      <c r="G1507" s="27" t="s">
        <v>1066</v>
      </c>
      <c r="H1507" s="80">
        <f>5.91*1.83*12*7.85</f>
        <v>1018.80126</v>
      </c>
      <c r="I1507" s="60" t="s">
        <v>91</v>
      </c>
      <c r="J1507" s="46">
        <v>30500</v>
      </c>
      <c r="K1507" s="55"/>
      <c r="L1507" s="42">
        <f t="shared" si="60"/>
        <v>31073438.43</v>
      </c>
    </row>
    <row r="1508" spans="2:12" x14ac:dyDescent="0.35">
      <c r="B1508" s="86"/>
      <c r="C1508" s="89"/>
      <c r="D1508" s="69"/>
      <c r="E1508" s="70"/>
      <c r="F1508" s="71" t="s">
        <v>90</v>
      </c>
      <c r="G1508" s="27" t="s">
        <v>1067</v>
      </c>
      <c r="H1508" s="80">
        <f>5.84*1.83*12*7.85</f>
        <v>1006.7342399999999</v>
      </c>
      <c r="I1508" s="60" t="s">
        <v>91</v>
      </c>
      <c r="J1508" s="46">
        <v>30500</v>
      </c>
      <c r="K1508" s="26"/>
      <c r="L1508" s="42">
        <f t="shared" si="60"/>
        <v>30705394.319999997</v>
      </c>
    </row>
    <row r="1509" spans="2:12" x14ac:dyDescent="0.35">
      <c r="B1509" s="86"/>
      <c r="C1509" s="89"/>
      <c r="D1509" s="69"/>
      <c r="E1509" s="70"/>
      <c r="F1509" s="71" t="s">
        <v>90</v>
      </c>
      <c r="G1509" s="27" t="s">
        <v>1068</v>
      </c>
      <c r="H1509" s="80">
        <f>5.84*1.83*12*7.85</f>
        <v>1006.7342399999999</v>
      </c>
      <c r="I1509" s="60" t="s">
        <v>91</v>
      </c>
      <c r="J1509" s="46">
        <v>30500</v>
      </c>
      <c r="K1509" s="26"/>
      <c r="L1509" s="42">
        <f t="shared" si="60"/>
        <v>30705394.319999997</v>
      </c>
    </row>
    <row r="1510" spans="2:12" x14ac:dyDescent="0.35">
      <c r="B1510" s="86"/>
      <c r="C1510" s="89"/>
      <c r="D1510" s="69"/>
      <c r="E1510" s="70"/>
      <c r="F1510" s="71" t="s">
        <v>90</v>
      </c>
      <c r="G1510" s="27" t="s">
        <v>1069</v>
      </c>
      <c r="H1510" s="80">
        <f>5.9*1.53*12*7.85</f>
        <v>850.34340000000009</v>
      </c>
      <c r="I1510" s="60" t="s">
        <v>91</v>
      </c>
      <c r="J1510" s="46">
        <v>30500</v>
      </c>
      <c r="K1510" s="26"/>
      <c r="L1510" s="42">
        <f t="shared" si="60"/>
        <v>25935473.700000003</v>
      </c>
    </row>
    <row r="1511" spans="2:12" x14ac:dyDescent="0.35">
      <c r="B1511" s="86"/>
      <c r="C1511" s="89"/>
      <c r="D1511" s="69" t="s">
        <v>38</v>
      </c>
      <c r="E1511" s="70"/>
      <c r="F1511" s="71" t="s">
        <v>1070</v>
      </c>
      <c r="G1511" s="27"/>
      <c r="H1511" s="80"/>
      <c r="I1511" s="60"/>
      <c r="J1511" s="46"/>
      <c r="K1511" s="26"/>
      <c r="L1511" s="48"/>
    </row>
    <row r="1512" spans="2:12" x14ac:dyDescent="0.35">
      <c r="B1512" s="86"/>
      <c r="C1512" s="89"/>
      <c r="D1512" s="69"/>
      <c r="E1512" s="70"/>
      <c r="F1512" s="71" t="s">
        <v>90</v>
      </c>
      <c r="G1512" s="27" t="s">
        <v>1061</v>
      </c>
      <c r="H1512" s="80">
        <f>6.1*1.1*12*7.85</f>
        <v>632.08199999999999</v>
      </c>
      <c r="I1512" s="60" t="s">
        <v>91</v>
      </c>
      <c r="J1512" s="46">
        <v>30500</v>
      </c>
      <c r="K1512" s="26"/>
      <c r="L1512" s="42">
        <f t="shared" ref="L1512:L1518" si="61">J1512*H1512</f>
        <v>19278501</v>
      </c>
    </row>
    <row r="1513" spans="2:12" x14ac:dyDescent="0.35">
      <c r="B1513" s="86"/>
      <c r="C1513" s="89"/>
      <c r="D1513" s="69"/>
      <c r="E1513" s="70"/>
      <c r="F1513" s="71" t="s">
        <v>90</v>
      </c>
      <c r="G1513" s="27" t="s">
        <v>205</v>
      </c>
      <c r="H1513" s="80">
        <f>6.1*1.83*12*7.85</f>
        <v>1051.5546000000002</v>
      </c>
      <c r="I1513" s="60" t="s">
        <v>91</v>
      </c>
      <c r="J1513" s="46">
        <v>30500</v>
      </c>
      <c r="K1513" s="26"/>
      <c r="L1513" s="42">
        <f t="shared" si="61"/>
        <v>32072415.300000004</v>
      </c>
    </row>
    <row r="1514" spans="2:12" x14ac:dyDescent="0.35">
      <c r="B1514" s="86"/>
      <c r="C1514" s="89"/>
      <c r="D1514" s="69"/>
      <c r="E1514" s="70"/>
      <c r="F1514" s="71" t="s">
        <v>90</v>
      </c>
      <c r="G1514" s="27" t="s">
        <v>206</v>
      </c>
      <c r="H1514" s="80">
        <f>6.1*1.83*12*7.85</f>
        <v>1051.5546000000002</v>
      </c>
      <c r="I1514" s="60" t="s">
        <v>91</v>
      </c>
      <c r="J1514" s="46">
        <v>30500</v>
      </c>
      <c r="K1514" s="26"/>
      <c r="L1514" s="42">
        <f t="shared" si="61"/>
        <v>32072415.300000004</v>
      </c>
    </row>
    <row r="1515" spans="2:12" x14ac:dyDescent="0.35">
      <c r="B1515" s="86"/>
      <c r="C1515" s="89"/>
      <c r="D1515" s="69"/>
      <c r="E1515" s="70"/>
      <c r="F1515" s="71" t="s">
        <v>90</v>
      </c>
      <c r="G1515" s="27" t="s">
        <v>207</v>
      </c>
      <c r="H1515" s="80">
        <f>6.1*1.83*12*7.85</f>
        <v>1051.5546000000002</v>
      </c>
      <c r="I1515" s="60" t="s">
        <v>91</v>
      </c>
      <c r="J1515" s="46">
        <v>30500</v>
      </c>
      <c r="K1515" s="26"/>
      <c r="L1515" s="42">
        <f t="shared" si="61"/>
        <v>32072415.300000004</v>
      </c>
    </row>
    <row r="1516" spans="2:12" x14ac:dyDescent="0.35">
      <c r="B1516" s="86"/>
      <c r="C1516" s="89"/>
      <c r="D1516" s="69"/>
      <c r="E1516" s="70"/>
      <c r="F1516" s="71" t="s">
        <v>90</v>
      </c>
      <c r="G1516" s="27" t="s">
        <v>1056</v>
      </c>
      <c r="H1516" s="80">
        <f>6.1*1.83*12*7.85</f>
        <v>1051.5546000000002</v>
      </c>
      <c r="I1516" s="60" t="s">
        <v>91</v>
      </c>
      <c r="J1516" s="46">
        <v>30500</v>
      </c>
      <c r="K1516" s="26"/>
      <c r="L1516" s="42">
        <f t="shared" si="61"/>
        <v>32072415.300000004</v>
      </c>
    </row>
    <row r="1517" spans="2:12" x14ac:dyDescent="0.35">
      <c r="B1517" s="86"/>
      <c r="C1517" s="89"/>
      <c r="D1517" s="69"/>
      <c r="E1517" s="70"/>
      <c r="F1517" s="71" t="s">
        <v>90</v>
      </c>
      <c r="G1517" s="27" t="s">
        <v>1057</v>
      </c>
      <c r="H1517" s="80">
        <f>6.1*1.83*12*7.85</f>
        <v>1051.5546000000002</v>
      </c>
      <c r="I1517" s="60" t="s">
        <v>91</v>
      </c>
      <c r="J1517" s="46">
        <v>30500</v>
      </c>
      <c r="K1517" s="26"/>
      <c r="L1517" s="42">
        <f t="shared" si="61"/>
        <v>32072415.300000004</v>
      </c>
    </row>
    <row r="1518" spans="2:12" x14ac:dyDescent="0.35">
      <c r="B1518" s="86"/>
      <c r="C1518" s="89"/>
      <c r="D1518" s="69"/>
      <c r="E1518" s="70"/>
      <c r="F1518" s="71" t="s">
        <v>90</v>
      </c>
      <c r="G1518" s="27" t="s">
        <v>1058</v>
      </c>
      <c r="H1518" s="80">
        <f>6.1*1.53*12*7.85</f>
        <v>879.16860000000008</v>
      </c>
      <c r="I1518" s="60" t="s">
        <v>91</v>
      </c>
      <c r="J1518" s="46">
        <v>30500</v>
      </c>
      <c r="K1518" s="26"/>
      <c r="L1518" s="42">
        <f t="shared" si="61"/>
        <v>26814642.300000001</v>
      </c>
    </row>
    <row r="1519" spans="2:12" x14ac:dyDescent="0.35">
      <c r="B1519" s="86"/>
      <c r="C1519" s="89"/>
      <c r="D1519" s="69" t="s">
        <v>39</v>
      </c>
      <c r="E1519" s="70"/>
      <c r="F1519" s="71" t="s">
        <v>1071</v>
      </c>
      <c r="G1519" s="27"/>
      <c r="H1519" s="80"/>
      <c r="I1519" s="60"/>
      <c r="J1519" s="46"/>
      <c r="K1519" s="26"/>
      <c r="L1519" s="48"/>
    </row>
    <row r="1520" spans="2:12" x14ac:dyDescent="0.35">
      <c r="B1520" s="86"/>
      <c r="C1520" s="89"/>
      <c r="D1520" s="69"/>
      <c r="E1520" s="70"/>
      <c r="F1520" s="71" t="s">
        <v>90</v>
      </c>
      <c r="G1520" s="27" t="s">
        <v>203</v>
      </c>
      <c r="H1520" s="80">
        <f>6.1*1.83*12*7.85</f>
        <v>1051.5546000000002</v>
      </c>
      <c r="I1520" s="60" t="s">
        <v>91</v>
      </c>
      <c r="J1520" s="46">
        <v>30500</v>
      </c>
      <c r="K1520" s="26"/>
      <c r="L1520" s="42">
        <f t="shared" ref="L1520:L1526" si="62">J1520*H1520</f>
        <v>32072415.300000004</v>
      </c>
    </row>
    <row r="1521" spans="2:12" x14ac:dyDescent="0.35">
      <c r="B1521" s="86"/>
      <c r="C1521" s="89"/>
      <c r="D1521" s="69"/>
      <c r="E1521" s="70"/>
      <c r="F1521" s="71" t="s">
        <v>90</v>
      </c>
      <c r="G1521" s="27" t="s">
        <v>205</v>
      </c>
      <c r="H1521" s="80">
        <f>6.1*1.83*12*7.85</f>
        <v>1051.5546000000002</v>
      </c>
      <c r="I1521" s="60" t="s">
        <v>91</v>
      </c>
      <c r="J1521" s="46">
        <v>30500</v>
      </c>
      <c r="K1521" s="26"/>
      <c r="L1521" s="42">
        <f t="shared" si="62"/>
        <v>32072415.300000004</v>
      </c>
    </row>
    <row r="1522" spans="2:12" x14ac:dyDescent="0.35">
      <c r="B1522" s="86"/>
      <c r="C1522" s="89"/>
      <c r="D1522" s="69"/>
      <c r="E1522" s="70"/>
      <c r="F1522" s="71" t="s">
        <v>90</v>
      </c>
      <c r="G1522" s="27" t="s">
        <v>206</v>
      </c>
      <c r="H1522" s="80">
        <f>6.1*1.83*12*7.85</f>
        <v>1051.5546000000002</v>
      </c>
      <c r="I1522" s="60" t="s">
        <v>91</v>
      </c>
      <c r="J1522" s="46">
        <v>30500</v>
      </c>
      <c r="K1522" s="26"/>
      <c r="L1522" s="42">
        <f t="shared" si="62"/>
        <v>32072415.300000004</v>
      </c>
    </row>
    <row r="1523" spans="2:12" x14ac:dyDescent="0.35">
      <c r="B1523" s="86"/>
      <c r="C1523" s="89"/>
      <c r="D1523" s="69"/>
      <c r="E1523" s="70"/>
      <c r="F1523" s="71" t="s">
        <v>90</v>
      </c>
      <c r="G1523" s="27" t="s">
        <v>207</v>
      </c>
      <c r="H1523" s="80">
        <f>6.1*1.83*12*7.85</f>
        <v>1051.5546000000002</v>
      </c>
      <c r="I1523" s="60" t="s">
        <v>91</v>
      </c>
      <c r="J1523" s="46">
        <v>30500</v>
      </c>
      <c r="K1523" s="26"/>
      <c r="L1523" s="42">
        <f t="shared" si="62"/>
        <v>32072415.300000004</v>
      </c>
    </row>
    <row r="1524" spans="2:12" x14ac:dyDescent="0.35">
      <c r="B1524" s="86"/>
      <c r="C1524" s="89"/>
      <c r="D1524" s="69"/>
      <c r="E1524" s="70"/>
      <c r="F1524" s="71" t="s">
        <v>90</v>
      </c>
      <c r="G1524" s="27" t="s">
        <v>1056</v>
      </c>
      <c r="H1524" s="80">
        <f t="shared" ref="H1524:H1525" si="63">6.1*1.83*12*7.85</f>
        <v>1051.5546000000002</v>
      </c>
      <c r="I1524" s="60" t="s">
        <v>91</v>
      </c>
      <c r="J1524" s="46">
        <v>30500</v>
      </c>
      <c r="K1524" s="26"/>
      <c r="L1524" s="42">
        <f t="shared" si="62"/>
        <v>32072415.300000004</v>
      </c>
    </row>
    <row r="1525" spans="2:12" x14ac:dyDescent="0.35">
      <c r="B1525" s="86"/>
      <c r="C1525" s="89"/>
      <c r="D1525" s="69"/>
      <c r="E1525" s="70"/>
      <c r="F1525" s="71" t="s">
        <v>90</v>
      </c>
      <c r="G1525" s="27" t="s">
        <v>1057</v>
      </c>
      <c r="H1525" s="80">
        <f t="shared" si="63"/>
        <v>1051.5546000000002</v>
      </c>
      <c r="I1525" s="60" t="s">
        <v>91</v>
      </c>
      <c r="J1525" s="46">
        <v>30500</v>
      </c>
      <c r="K1525" s="26"/>
      <c r="L1525" s="42">
        <f t="shared" si="62"/>
        <v>32072415.300000004</v>
      </c>
    </row>
    <row r="1526" spans="2:12" x14ac:dyDescent="0.35">
      <c r="B1526" s="86"/>
      <c r="C1526" s="89"/>
      <c r="D1526" s="69"/>
      <c r="E1526" s="70"/>
      <c r="F1526" s="71" t="s">
        <v>90</v>
      </c>
      <c r="G1526" s="27" t="s">
        <v>1058</v>
      </c>
      <c r="H1526" s="80">
        <f>6.1*1.53*12*7.85</f>
        <v>879.16860000000008</v>
      </c>
      <c r="I1526" s="60" t="s">
        <v>91</v>
      </c>
      <c r="J1526" s="46">
        <v>30500</v>
      </c>
      <c r="K1526" s="26"/>
      <c r="L1526" s="42">
        <f t="shared" si="62"/>
        <v>26814642.300000001</v>
      </c>
    </row>
    <row r="1527" spans="2:12" x14ac:dyDescent="0.35">
      <c r="B1527" s="86"/>
      <c r="C1527" s="89"/>
      <c r="D1527" s="69" t="s">
        <v>41</v>
      </c>
      <c r="E1527" s="70"/>
      <c r="F1527" s="71" t="s">
        <v>1072</v>
      </c>
      <c r="G1527" s="27"/>
      <c r="H1527" s="80"/>
      <c r="I1527" s="60"/>
      <c r="J1527" s="46"/>
      <c r="K1527" s="26"/>
      <c r="L1527" s="48"/>
    </row>
    <row r="1528" spans="2:12" x14ac:dyDescent="0.35">
      <c r="B1528" s="86"/>
      <c r="C1528" s="89"/>
      <c r="D1528" s="69"/>
      <c r="E1528" s="70"/>
      <c r="F1528" s="71" t="s">
        <v>90</v>
      </c>
      <c r="G1528" s="27" t="s">
        <v>1061</v>
      </c>
      <c r="H1528" s="80">
        <f>6.1*1.1*12*7.85</f>
        <v>632.08199999999999</v>
      </c>
      <c r="I1528" s="60" t="s">
        <v>91</v>
      </c>
      <c r="J1528" s="46">
        <v>30500</v>
      </c>
      <c r="K1528" s="26"/>
      <c r="L1528" s="42">
        <f t="shared" ref="L1528:L1534" si="64">J1528*H1528</f>
        <v>19278501</v>
      </c>
    </row>
    <row r="1529" spans="2:12" x14ac:dyDescent="0.35">
      <c r="B1529" s="86"/>
      <c r="C1529" s="89"/>
      <c r="D1529" s="69"/>
      <c r="E1529" s="70"/>
      <c r="F1529" s="71" t="s">
        <v>90</v>
      </c>
      <c r="G1529" s="27" t="s">
        <v>205</v>
      </c>
      <c r="H1529" s="80">
        <f>6.1*1.83*12*7.85</f>
        <v>1051.5546000000002</v>
      </c>
      <c r="I1529" s="60" t="s">
        <v>91</v>
      </c>
      <c r="J1529" s="46">
        <v>30500</v>
      </c>
      <c r="K1529" s="26"/>
      <c r="L1529" s="42">
        <f t="shared" si="64"/>
        <v>32072415.300000004</v>
      </c>
    </row>
    <row r="1530" spans="2:12" x14ac:dyDescent="0.35">
      <c r="B1530" s="86"/>
      <c r="C1530" s="89"/>
      <c r="D1530" s="69"/>
      <c r="E1530" s="70"/>
      <c r="F1530" s="71" t="s">
        <v>90</v>
      </c>
      <c r="G1530" s="27" t="s">
        <v>206</v>
      </c>
      <c r="H1530" s="80">
        <f>6.1*1.83*12*7.85</f>
        <v>1051.5546000000002</v>
      </c>
      <c r="I1530" s="60" t="s">
        <v>91</v>
      </c>
      <c r="J1530" s="46">
        <v>30500</v>
      </c>
      <c r="K1530" s="26"/>
      <c r="L1530" s="42">
        <f t="shared" si="64"/>
        <v>32072415.300000004</v>
      </c>
    </row>
    <row r="1531" spans="2:12" x14ac:dyDescent="0.35">
      <c r="B1531" s="86"/>
      <c r="C1531" s="89"/>
      <c r="D1531" s="69"/>
      <c r="E1531" s="70"/>
      <c r="F1531" s="71" t="s">
        <v>90</v>
      </c>
      <c r="G1531" s="27" t="s">
        <v>207</v>
      </c>
      <c r="H1531" s="80">
        <f>6.1*1.83*12*7.85</f>
        <v>1051.5546000000002</v>
      </c>
      <c r="I1531" s="60" t="s">
        <v>91</v>
      </c>
      <c r="J1531" s="46">
        <v>30500</v>
      </c>
      <c r="K1531" s="26"/>
      <c r="L1531" s="42">
        <f t="shared" si="64"/>
        <v>32072415.300000004</v>
      </c>
    </row>
    <row r="1532" spans="2:12" x14ac:dyDescent="0.35">
      <c r="B1532" s="86"/>
      <c r="C1532" s="89"/>
      <c r="D1532" s="69"/>
      <c r="E1532" s="70"/>
      <c r="F1532" s="71" t="s">
        <v>90</v>
      </c>
      <c r="G1532" s="27" t="s">
        <v>1056</v>
      </c>
      <c r="H1532" s="80">
        <f>6.1*1.83*12*7.85</f>
        <v>1051.5546000000002</v>
      </c>
      <c r="I1532" s="60" t="s">
        <v>91</v>
      </c>
      <c r="J1532" s="46">
        <v>30500</v>
      </c>
      <c r="K1532" s="26"/>
      <c r="L1532" s="42">
        <f t="shared" si="64"/>
        <v>32072415.300000004</v>
      </c>
    </row>
    <row r="1533" spans="2:12" x14ac:dyDescent="0.35">
      <c r="B1533" s="86"/>
      <c r="C1533" s="89"/>
      <c r="D1533" s="69"/>
      <c r="E1533" s="70"/>
      <c r="F1533" s="71" t="s">
        <v>90</v>
      </c>
      <c r="G1533" s="27" t="s">
        <v>1057</v>
      </c>
      <c r="H1533" s="80">
        <f>6.1*1.83*12*7.85</f>
        <v>1051.5546000000002</v>
      </c>
      <c r="I1533" s="60" t="s">
        <v>91</v>
      </c>
      <c r="J1533" s="46">
        <v>30500</v>
      </c>
      <c r="K1533" s="26"/>
      <c r="L1533" s="42">
        <f t="shared" si="64"/>
        <v>32072415.300000004</v>
      </c>
    </row>
    <row r="1534" spans="2:12" x14ac:dyDescent="0.35">
      <c r="B1534" s="86"/>
      <c r="C1534" s="89"/>
      <c r="D1534" s="69"/>
      <c r="E1534" s="70"/>
      <c r="F1534" s="71" t="s">
        <v>90</v>
      </c>
      <c r="G1534" s="27" t="s">
        <v>1058</v>
      </c>
      <c r="H1534" s="80">
        <f>6.1*1.53*12*7.85</f>
        <v>879.16860000000008</v>
      </c>
      <c r="I1534" s="60" t="s">
        <v>91</v>
      </c>
      <c r="J1534" s="46">
        <v>30500</v>
      </c>
      <c r="K1534" s="26"/>
      <c r="L1534" s="42">
        <f t="shared" si="64"/>
        <v>26814642.300000001</v>
      </c>
    </row>
    <row r="1535" spans="2:12" x14ac:dyDescent="0.35">
      <c r="B1535" s="86"/>
      <c r="C1535" s="89"/>
      <c r="D1535" s="69" t="s">
        <v>43</v>
      </c>
      <c r="E1535" s="70"/>
      <c r="F1535" s="71" t="s">
        <v>1073</v>
      </c>
      <c r="G1535" s="27"/>
      <c r="H1535" s="80"/>
      <c r="I1535" s="60"/>
      <c r="J1535" s="46"/>
      <c r="K1535" s="26"/>
      <c r="L1535" s="48"/>
    </row>
    <row r="1536" spans="2:12" x14ac:dyDescent="0.35">
      <c r="B1536" s="86"/>
      <c r="C1536" s="89"/>
      <c r="D1536" s="69"/>
      <c r="E1536" s="70"/>
      <c r="F1536" s="71" t="s">
        <v>90</v>
      </c>
      <c r="G1536" s="27" t="s">
        <v>203</v>
      </c>
      <c r="H1536" s="80">
        <f>6.1*1.83*12*7.85</f>
        <v>1051.5546000000002</v>
      </c>
      <c r="I1536" s="60" t="s">
        <v>91</v>
      </c>
      <c r="J1536" s="46">
        <v>30500</v>
      </c>
      <c r="K1536" s="26"/>
      <c r="L1536" s="42">
        <f t="shared" ref="L1536:L1544" si="65">J1536*H1536</f>
        <v>32072415.300000004</v>
      </c>
    </row>
    <row r="1537" spans="2:12" x14ac:dyDescent="0.35">
      <c r="B1537" s="86"/>
      <c r="C1537" s="89"/>
      <c r="D1537" s="69"/>
      <c r="E1537" s="70"/>
      <c r="F1537" s="71" t="s">
        <v>90</v>
      </c>
      <c r="G1537" s="27" t="s">
        <v>205</v>
      </c>
      <c r="H1537" s="80">
        <f>6.1*1.83*12*7.85</f>
        <v>1051.5546000000002</v>
      </c>
      <c r="I1537" s="60" t="s">
        <v>91</v>
      </c>
      <c r="J1537" s="46">
        <v>30500</v>
      </c>
      <c r="K1537" s="26"/>
      <c r="L1537" s="42">
        <f t="shared" si="65"/>
        <v>32072415.300000004</v>
      </c>
    </row>
    <row r="1538" spans="2:12" x14ac:dyDescent="0.35">
      <c r="B1538" s="86"/>
      <c r="C1538" s="89"/>
      <c r="D1538" s="69"/>
      <c r="E1538" s="70"/>
      <c r="F1538" s="71" t="s">
        <v>90</v>
      </c>
      <c r="G1538" s="27" t="s">
        <v>206</v>
      </c>
      <c r="H1538" s="80">
        <f>6.1*1.83*12*7.85</f>
        <v>1051.5546000000002</v>
      </c>
      <c r="I1538" s="60" t="s">
        <v>91</v>
      </c>
      <c r="J1538" s="46">
        <v>30500</v>
      </c>
      <c r="K1538" s="26"/>
      <c r="L1538" s="42">
        <f t="shared" si="65"/>
        <v>32072415.300000004</v>
      </c>
    </row>
    <row r="1539" spans="2:12" x14ac:dyDescent="0.35">
      <c r="B1539" s="86"/>
      <c r="C1539" s="89"/>
      <c r="D1539" s="69"/>
      <c r="E1539" s="70"/>
      <c r="F1539" s="71" t="s">
        <v>90</v>
      </c>
      <c r="G1539" s="27" t="s">
        <v>207</v>
      </c>
      <c r="H1539" s="80">
        <f>6.1*1.83*12*7.85</f>
        <v>1051.5546000000002</v>
      </c>
      <c r="I1539" s="60" t="s">
        <v>91</v>
      </c>
      <c r="J1539" s="46">
        <v>30500</v>
      </c>
      <c r="K1539" s="26"/>
      <c r="L1539" s="42">
        <f t="shared" si="65"/>
        <v>32072415.300000004</v>
      </c>
    </row>
    <row r="1540" spans="2:12" x14ac:dyDescent="0.35">
      <c r="B1540" s="86"/>
      <c r="C1540" s="89"/>
      <c r="D1540" s="69"/>
      <c r="E1540" s="70"/>
      <c r="F1540" s="71" t="s">
        <v>90</v>
      </c>
      <c r="G1540" s="27" t="s">
        <v>1056</v>
      </c>
      <c r="H1540" s="80">
        <f t="shared" ref="H1540:H1541" si="66">6.1*1.83*12*7.85</f>
        <v>1051.5546000000002</v>
      </c>
      <c r="I1540" s="60" t="s">
        <v>91</v>
      </c>
      <c r="J1540" s="46">
        <v>30500</v>
      </c>
      <c r="K1540" s="26"/>
      <c r="L1540" s="42">
        <f t="shared" si="65"/>
        <v>32072415.300000004</v>
      </c>
    </row>
    <row r="1541" spans="2:12" x14ac:dyDescent="0.35">
      <c r="B1541" s="86"/>
      <c r="C1541" s="89"/>
      <c r="D1541" s="69"/>
      <c r="E1541" s="70"/>
      <c r="F1541" s="71" t="s">
        <v>90</v>
      </c>
      <c r="G1541" s="27" t="s">
        <v>1057</v>
      </c>
      <c r="H1541" s="80">
        <f t="shared" si="66"/>
        <v>1051.5546000000002</v>
      </c>
      <c r="I1541" s="60" t="s">
        <v>91</v>
      </c>
      <c r="J1541" s="46">
        <v>30500</v>
      </c>
      <c r="K1541" s="26"/>
      <c r="L1541" s="42">
        <f t="shared" si="65"/>
        <v>32072415.300000004</v>
      </c>
    </row>
    <row r="1542" spans="2:12" x14ac:dyDescent="0.35">
      <c r="B1542" s="86"/>
      <c r="C1542" s="89"/>
      <c r="D1542" s="69"/>
      <c r="E1542" s="70"/>
      <c r="F1542" s="71" t="s">
        <v>90</v>
      </c>
      <c r="G1542" s="27" t="s">
        <v>1058</v>
      </c>
      <c r="H1542" s="80">
        <f>6.1*1.53*12*7.85</f>
        <v>879.16860000000008</v>
      </c>
      <c r="I1542" s="60" t="s">
        <v>91</v>
      </c>
      <c r="J1542" s="46">
        <v>30500</v>
      </c>
      <c r="K1542" s="26"/>
      <c r="L1542" s="42">
        <f t="shared" si="65"/>
        <v>26814642.300000001</v>
      </c>
    </row>
    <row r="1543" spans="2:12" x14ac:dyDescent="0.35">
      <c r="B1543" s="86"/>
      <c r="C1543" s="89"/>
      <c r="D1543" s="69" t="s">
        <v>44</v>
      </c>
      <c r="E1543" s="70"/>
      <c r="F1543" s="71" t="s">
        <v>1074</v>
      </c>
      <c r="G1543" s="27"/>
      <c r="H1543" s="80"/>
      <c r="I1543" s="60"/>
      <c r="J1543" s="46"/>
      <c r="K1543" s="26"/>
      <c r="L1543" s="48"/>
    </row>
    <row r="1544" spans="2:12" x14ac:dyDescent="0.35">
      <c r="B1544" s="86"/>
      <c r="C1544" s="89"/>
      <c r="D1544" s="69"/>
      <c r="E1544" s="70"/>
      <c r="F1544" s="71" t="s">
        <v>90</v>
      </c>
      <c r="G1544" s="27" t="s">
        <v>1061</v>
      </c>
      <c r="H1544" s="80">
        <f>6.1*1.1*12*7.85</f>
        <v>632.08199999999999</v>
      </c>
      <c r="I1544" s="60" t="s">
        <v>91</v>
      </c>
      <c r="J1544" s="46">
        <v>30500</v>
      </c>
      <c r="K1544" s="26"/>
      <c r="L1544" s="42">
        <f t="shared" si="65"/>
        <v>19278501</v>
      </c>
    </row>
    <row r="1545" spans="2:12" x14ac:dyDescent="0.35">
      <c r="B1545" s="150"/>
      <c r="C1545" s="87"/>
      <c r="D1545" s="88"/>
      <c r="E1545" s="70"/>
      <c r="F1545" s="71"/>
      <c r="G1545" s="27"/>
      <c r="H1545" s="80"/>
      <c r="I1545" s="173"/>
      <c r="J1545" s="46"/>
      <c r="K1545" s="26"/>
      <c r="L1545" s="48"/>
    </row>
    <row r="1546" spans="2:12" x14ac:dyDescent="0.35">
      <c r="B1546" s="148"/>
      <c r="C1546" s="87"/>
      <c r="D1546" s="51"/>
      <c r="E1546" s="136"/>
      <c r="F1546" s="105"/>
      <c r="G1546" s="106"/>
      <c r="H1546" s="100"/>
      <c r="I1546" s="60"/>
      <c r="J1546" s="46"/>
      <c r="K1546" s="26"/>
      <c r="L1546" s="48"/>
    </row>
    <row r="1547" spans="2:12" x14ac:dyDescent="0.35">
      <c r="B1547" s="8"/>
      <c r="C1547" s="9"/>
      <c r="D1547" s="10"/>
      <c r="E1547" s="4"/>
      <c r="F1547" s="4"/>
      <c r="G1547" s="4"/>
      <c r="H1547" s="1"/>
      <c r="I1547" s="1"/>
      <c r="J1547" s="11" t="s">
        <v>8</v>
      </c>
      <c r="K1547" s="7">
        <f>SUM(K1494:K1546)</f>
        <v>0</v>
      </c>
      <c r="L1547" s="7">
        <f>SUM(L1494:L1546)</f>
        <v>1288782444.6599991</v>
      </c>
    </row>
    <row r="1548" spans="2:12" x14ac:dyDescent="0.35">
      <c r="B1548" s="8"/>
      <c r="C1548" s="9"/>
      <c r="D1548" s="9"/>
      <c r="E1548" s="4"/>
      <c r="F1548" s="4"/>
      <c r="G1548" s="4"/>
      <c r="H1548" s="1"/>
      <c r="I1548" s="1"/>
      <c r="J1548" s="11"/>
      <c r="K1548" s="32" t="s">
        <v>13</v>
      </c>
      <c r="L1548" s="33" t="s">
        <v>14</v>
      </c>
    </row>
    <row r="1549" spans="2:12" x14ac:dyDescent="0.35">
      <c r="B1549" s="3" t="s">
        <v>9</v>
      </c>
      <c r="C1549" s="4"/>
      <c r="D1549" s="4"/>
      <c r="E1549" s="4"/>
      <c r="F1549" s="4"/>
      <c r="G1549" s="4"/>
      <c r="H1549" s="1"/>
      <c r="I1549" s="1"/>
      <c r="J1549" s="12"/>
      <c r="K1549" s="12"/>
      <c r="L1549" s="13"/>
    </row>
    <row r="1550" spans="2:12" x14ac:dyDescent="0.35">
      <c r="B1550" s="34"/>
      <c r="C1550" s="1"/>
      <c r="D1550" s="1"/>
      <c r="E1550" s="35"/>
      <c r="F1550" s="35"/>
      <c r="G1550" s="35"/>
      <c r="H1550" s="1"/>
      <c r="I1550" s="1"/>
      <c r="J1550" s="1"/>
      <c r="K1550" s="1"/>
      <c r="L1550" s="17"/>
    </row>
    <row r="1551" spans="2:12" x14ac:dyDescent="0.35">
      <c r="B1551" s="25" t="s">
        <v>6</v>
      </c>
      <c r="C1551" s="24"/>
      <c r="D1551" s="24"/>
      <c r="E1551" s="23"/>
      <c r="F1551" s="23"/>
      <c r="G1551" s="5"/>
      <c r="K1551" s="227" t="s">
        <v>1292</v>
      </c>
      <c r="L1551" s="228"/>
    </row>
    <row r="1552" spans="2:12" x14ac:dyDescent="0.35">
      <c r="B1552" s="25">
        <v>1</v>
      </c>
      <c r="C1552" s="24"/>
      <c r="D1552" s="24"/>
      <c r="E1552" s="23" t="s">
        <v>7</v>
      </c>
      <c r="F1552" s="23"/>
      <c r="G1552" s="5"/>
      <c r="K1552" s="227" t="s">
        <v>18</v>
      </c>
      <c r="L1552" s="228"/>
    </row>
    <row r="1553" spans="2:12" x14ac:dyDescent="0.35">
      <c r="B1553" s="36"/>
      <c r="C1553" s="24"/>
      <c r="D1553" s="24"/>
      <c r="E1553" s="23"/>
      <c r="F1553" s="23"/>
      <c r="G1553" s="5"/>
      <c r="J1553" s="22"/>
      <c r="K1553" s="22"/>
      <c r="L1553" s="21"/>
    </row>
    <row r="1554" spans="2:12" x14ac:dyDescent="0.35">
      <c r="B1554" s="25"/>
      <c r="C1554" s="24"/>
      <c r="D1554" s="24"/>
      <c r="E1554" s="23"/>
      <c r="F1554" s="23"/>
      <c r="G1554" s="5"/>
      <c r="L1554" s="20"/>
    </row>
    <row r="1555" spans="2:12" x14ac:dyDescent="0.35">
      <c r="B1555" s="41"/>
      <c r="E1555" s="5"/>
      <c r="F1555" s="5"/>
      <c r="G1555" s="5"/>
      <c r="L1555" s="20"/>
    </row>
    <row r="1556" spans="2:12" x14ac:dyDescent="0.35">
      <c r="B1556" s="41"/>
      <c r="E1556" s="5"/>
      <c r="F1556" s="5"/>
      <c r="G1556" s="5"/>
      <c r="L1556" s="20"/>
    </row>
    <row r="1557" spans="2:12" x14ac:dyDescent="0.35">
      <c r="B1557" s="41"/>
      <c r="E1557" s="5"/>
      <c r="F1557" s="5"/>
      <c r="G1557" s="5"/>
      <c r="L1557" s="20"/>
    </row>
    <row r="1558" spans="2:12" x14ac:dyDescent="0.35">
      <c r="B1558" s="41"/>
      <c r="E1558" s="5"/>
      <c r="F1558" s="5"/>
      <c r="G1558" s="5"/>
      <c r="J1558" s="37"/>
      <c r="K1558" s="229" t="s">
        <v>26</v>
      </c>
      <c r="L1558" s="230"/>
    </row>
    <row r="1559" spans="2:12" x14ac:dyDescent="0.35">
      <c r="B1559" s="41"/>
      <c r="K1559" s="231" t="s">
        <v>27</v>
      </c>
      <c r="L1559" s="232"/>
    </row>
    <row r="1560" spans="2:12" x14ac:dyDescent="0.35">
      <c r="B1560" s="233"/>
      <c r="C1560" s="234"/>
      <c r="D1560" s="234"/>
      <c r="E1560" s="38"/>
      <c r="F1560" s="38"/>
      <c r="G1560" s="38"/>
      <c r="H1560" s="2"/>
      <c r="I1560" s="2"/>
      <c r="J1560" s="2"/>
      <c r="K1560" s="2"/>
      <c r="L1560" s="19"/>
    </row>
    <row r="1561" spans="2:12" x14ac:dyDescent="0.35">
      <c r="B1561" s="43"/>
      <c r="C1561" s="44"/>
      <c r="D1561" s="45"/>
      <c r="G1561" s="20"/>
      <c r="H1561" s="1"/>
      <c r="I1561" s="1"/>
      <c r="J1561" s="39"/>
      <c r="K1561" s="27"/>
      <c r="L1561" s="40"/>
    </row>
    <row r="1562" spans="2:12" x14ac:dyDescent="0.35">
      <c r="B1562" s="86"/>
      <c r="C1562" s="89"/>
      <c r="D1562" s="69"/>
      <c r="E1562" s="70"/>
      <c r="F1562" s="71" t="s">
        <v>90</v>
      </c>
      <c r="G1562" s="27" t="s">
        <v>205</v>
      </c>
      <c r="H1562" s="80">
        <f>6.1*1.83*12*7.85</f>
        <v>1051.5546000000002</v>
      </c>
      <c r="I1562" s="60" t="s">
        <v>91</v>
      </c>
      <c r="J1562" s="46">
        <v>30500</v>
      </c>
      <c r="K1562" s="152"/>
      <c r="L1562" s="42">
        <f t="shared" ref="L1562:L1611" si="67">J1562*H1562</f>
        <v>32072415.300000004</v>
      </c>
    </row>
    <row r="1563" spans="2:12" x14ac:dyDescent="0.35">
      <c r="B1563" s="86"/>
      <c r="C1563" s="89"/>
      <c r="D1563" s="69"/>
      <c r="E1563" s="70"/>
      <c r="F1563" s="71" t="s">
        <v>90</v>
      </c>
      <c r="G1563" s="27" t="s">
        <v>207</v>
      </c>
      <c r="H1563" s="80">
        <f>6.1*1.83*12*7.85</f>
        <v>1051.5546000000002</v>
      </c>
      <c r="I1563" s="60" t="s">
        <v>91</v>
      </c>
      <c r="J1563" s="46">
        <v>30500</v>
      </c>
      <c r="K1563" s="47"/>
      <c r="L1563" s="42">
        <f t="shared" si="67"/>
        <v>32072415.300000004</v>
      </c>
    </row>
    <row r="1564" spans="2:12" x14ac:dyDescent="0.35">
      <c r="B1564" s="86"/>
      <c r="C1564" s="89"/>
      <c r="D1564" s="69"/>
      <c r="E1564" s="70"/>
      <c r="F1564" s="71" t="s">
        <v>90</v>
      </c>
      <c r="G1564" s="27" t="s">
        <v>1056</v>
      </c>
      <c r="H1564" s="80">
        <f>6.1*1.83*12*7.85</f>
        <v>1051.5546000000002</v>
      </c>
      <c r="I1564" s="60" t="s">
        <v>91</v>
      </c>
      <c r="J1564" s="46">
        <v>30500</v>
      </c>
      <c r="K1564" s="47"/>
      <c r="L1564" s="42">
        <f t="shared" si="67"/>
        <v>32072415.300000004</v>
      </c>
    </row>
    <row r="1565" spans="2:12" x14ac:dyDescent="0.35">
      <c r="B1565" s="86"/>
      <c r="C1565" s="89"/>
      <c r="D1565" s="69"/>
      <c r="E1565" s="70"/>
      <c r="F1565" s="71" t="s">
        <v>90</v>
      </c>
      <c r="G1565" s="27" t="s">
        <v>1057</v>
      </c>
      <c r="H1565" s="80">
        <f>6.1*1.83*12*7.85</f>
        <v>1051.5546000000002</v>
      </c>
      <c r="I1565" s="60" t="s">
        <v>91</v>
      </c>
      <c r="J1565" s="46">
        <v>30500</v>
      </c>
      <c r="K1565" s="47"/>
      <c r="L1565" s="42">
        <f t="shared" si="67"/>
        <v>32072415.300000004</v>
      </c>
    </row>
    <row r="1566" spans="2:12" x14ac:dyDescent="0.35">
      <c r="B1566" s="86"/>
      <c r="C1566" s="89"/>
      <c r="D1566" s="69"/>
      <c r="E1566" s="70"/>
      <c r="F1566" s="71" t="s">
        <v>90</v>
      </c>
      <c r="G1566" s="27" t="s">
        <v>1075</v>
      </c>
      <c r="H1566" s="80">
        <f>6.05*1.53*12*7.85</f>
        <v>871.96229999999991</v>
      </c>
      <c r="I1566" s="60" t="s">
        <v>91</v>
      </c>
      <c r="J1566" s="46">
        <v>30500</v>
      </c>
      <c r="K1566" s="55"/>
      <c r="L1566" s="42">
        <f t="shared" si="67"/>
        <v>26594850.149999999</v>
      </c>
    </row>
    <row r="1567" spans="2:12" x14ac:dyDescent="0.35">
      <c r="B1567" s="86"/>
      <c r="C1567" s="89"/>
      <c r="D1567" s="69" t="s">
        <v>54</v>
      </c>
      <c r="E1567" s="70"/>
      <c r="F1567" s="71" t="s">
        <v>1076</v>
      </c>
      <c r="G1567" s="27"/>
      <c r="H1567" s="80"/>
      <c r="I1567" s="60"/>
      <c r="J1567" s="26"/>
      <c r="K1567" s="47"/>
      <c r="L1567" s="42"/>
    </row>
    <row r="1568" spans="2:12" x14ac:dyDescent="0.35">
      <c r="B1568" s="86"/>
      <c r="C1568" s="89"/>
      <c r="D1568" s="69"/>
      <c r="E1568" s="70"/>
      <c r="F1568" s="71" t="s">
        <v>90</v>
      </c>
      <c r="G1568" s="27" t="s">
        <v>1077</v>
      </c>
      <c r="H1568" s="80">
        <f>1.14*1.83*12*7.85</f>
        <v>196.52003999999997</v>
      </c>
      <c r="I1568" s="60" t="s">
        <v>91</v>
      </c>
      <c r="J1568" s="46">
        <v>30500</v>
      </c>
      <c r="K1568" s="55"/>
      <c r="L1568" s="42">
        <f t="shared" si="67"/>
        <v>5993861.2199999988</v>
      </c>
    </row>
    <row r="1569" spans="2:12" x14ac:dyDescent="0.35">
      <c r="B1569" s="86"/>
      <c r="C1569" s="89"/>
      <c r="D1569" s="69" t="s">
        <v>56</v>
      </c>
      <c r="E1569" s="70"/>
      <c r="F1569" s="71" t="s">
        <v>1078</v>
      </c>
      <c r="G1569" s="27"/>
      <c r="H1569" s="80"/>
      <c r="I1569" s="60"/>
      <c r="J1569" s="26"/>
      <c r="K1569" s="47"/>
      <c r="L1569" s="42"/>
    </row>
    <row r="1570" spans="2:12" x14ac:dyDescent="0.35">
      <c r="B1570" s="86"/>
      <c r="C1570" s="89"/>
      <c r="D1570" s="69"/>
      <c r="E1570" s="70"/>
      <c r="F1570" s="71" t="s">
        <v>90</v>
      </c>
      <c r="G1570" s="27" t="s">
        <v>206</v>
      </c>
      <c r="H1570" s="80">
        <f>6.1*1.83*12*7.85</f>
        <v>1051.5546000000002</v>
      </c>
      <c r="I1570" s="60" t="s">
        <v>91</v>
      </c>
      <c r="J1570" s="46">
        <v>30500</v>
      </c>
      <c r="K1570" s="47"/>
      <c r="L1570" s="42">
        <f t="shared" si="67"/>
        <v>32072415.300000004</v>
      </c>
    </row>
    <row r="1571" spans="2:12" x14ac:dyDescent="0.35">
      <c r="B1571" s="86"/>
      <c r="C1571" s="89"/>
      <c r="D1571" s="69" t="s">
        <v>58</v>
      </c>
      <c r="E1571" s="70"/>
      <c r="F1571" s="71" t="s">
        <v>1074</v>
      </c>
      <c r="G1571" s="27"/>
      <c r="H1571" s="80"/>
      <c r="I1571" s="60"/>
      <c r="J1571" s="26"/>
      <c r="K1571" s="47"/>
      <c r="L1571" s="42"/>
    </row>
    <row r="1572" spans="2:12" x14ac:dyDescent="0.35">
      <c r="B1572" s="86"/>
      <c r="C1572" s="89"/>
      <c r="D1572" s="69"/>
      <c r="E1572" s="70"/>
      <c r="F1572" s="71" t="s">
        <v>90</v>
      </c>
      <c r="G1572" s="27" t="s">
        <v>203</v>
      </c>
      <c r="H1572" s="80">
        <f t="shared" ref="H1572:H1577" si="68">6.1*1.83*12*7.85</f>
        <v>1051.5546000000002</v>
      </c>
      <c r="I1572" s="60" t="s">
        <v>91</v>
      </c>
      <c r="J1572" s="46">
        <v>30500</v>
      </c>
      <c r="K1572" s="47"/>
      <c r="L1572" s="42">
        <f t="shared" si="67"/>
        <v>32072415.300000004</v>
      </c>
    </row>
    <row r="1573" spans="2:12" x14ac:dyDescent="0.35">
      <c r="B1573" s="86"/>
      <c r="C1573" s="89"/>
      <c r="D1573" s="69"/>
      <c r="E1573" s="70"/>
      <c r="F1573" s="71" t="s">
        <v>90</v>
      </c>
      <c r="G1573" s="27" t="s">
        <v>205</v>
      </c>
      <c r="H1573" s="80">
        <f t="shared" si="68"/>
        <v>1051.5546000000002</v>
      </c>
      <c r="I1573" s="60" t="s">
        <v>91</v>
      </c>
      <c r="J1573" s="46">
        <v>30500</v>
      </c>
      <c r="K1573" s="42"/>
      <c r="L1573" s="42">
        <f t="shared" si="67"/>
        <v>32072415.300000004</v>
      </c>
    </row>
    <row r="1574" spans="2:12" x14ac:dyDescent="0.35">
      <c r="B1574" s="86"/>
      <c r="C1574" s="89"/>
      <c r="D1574" s="69"/>
      <c r="E1574" s="70"/>
      <c r="F1574" s="71" t="s">
        <v>90</v>
      </c>
      <c r="G1574" s="27" t="s">
        <v>206</v>
      </c>
      <c r="H1574" s="80">
        <f t="shared" si="68"/>
        <v>1051.5546000000002</v>
      </c>
      <c r="I1574" s="60" t="s">
        <v>91</v>
      </c>
      <c r="J1574" s="46">
        <v>30500</v>
      </c>
      <c r="K1574" s="55"/>
      <c r="L1574" s="42">
        <f t="shared" si="67"/>
        <v>32072415.300000004</v>
      </c>
    </row>
    <row r="1575" spans="2:12" x14ac:dyDescent="0.35">
      <c r="B1575" s="86"/>
      <c r="C1575" s="89"/>
      <c r="D1575" s="69"/>
      <c r="E1575" s="70"/>
      <c r="F1575" s="71" t="s">
        <v>90</v>
      </c>
      <c r="G1575" s="27" t="s">
        <v>207</v>
      </c>
      <c r="H1575" s="80">
        <f t="shared" si="68"/>
        <v>1051.5546000000002</v>
      </c>
      <c r="I1575" s="60" t="s">
        <v>91</v>
      </c>
      <c r="J1575" s="46">
        <v>30500</v>
      </c>
      <c r="K1575" s="26"/>
      <c r="L1575" s="42">
        <f t="shared" si="67"/>
        <v>32072415.300000004</v>
      </c>
    </row>
    <row r="1576" spans="2:12" x14ac:dyDescent="0.35">
      <c r="B1576" s="86"/>
      <c r="C1576" s="89"/>
      <c r="D1576" s="69"/>
      <c r="E1576" s="70"/>
      <c r="F1576" s="71" t="s">
        <v>90</v>
      </c>
      <c r="G1576" s="27" t="s">
        <v>1056</v>
      </c>
      <c r="H1576" s="80">
        <f t="shared" si="68"/>
        <v>1051.5546000000002</v>
      </c>
      <c r="I1576" s="60" t="s">
        <v>91</v>
      </c>
      <c r="J1576" s="46">
        <v>30500</v>
      </c>
      <c r="K1576" s="26"/>
      <c r="L1576" s="42">
        <f t="shared" si="67"/>
        <v>32072415.300000004</v>
      </c>
    </row>
    <row r="1577" spans="2:12" x14ac:dyDescent="0.35">
      <c r="B1577" s="86"/>
      <c r="C1577" s="89"/>
      <c r="D1577" s="69"/>
      <c r="E1577" s="70"/>
      <c r="F1577" s="71" t="s">
        <v>90</v>
      </c>
      <c r="G1577" s="27" t="s">
        <v>1057</v>
      </c>
      <c r="H1577" s="80">
        <f t="shared" si="68"/>
        <v>1051.5546000000002</v>
      </c>
      <c r="I1577" s="60" t="s">
        <v>91</v>
      </c>
      <c r="J1577" s="46">
        <v>30500</v>
      </c>
      <c r="K1577" s="26"/>
      <c r="L1577" s="42">
        <f t="shared" si="67"/>
        <v>32072415.300000004</v>
      </c>
    </row>
    <row r="1578" spans="2:12" x14ac:dyDescent="0.35">
      <c r="B1578" s="86"/>
      <c r="C1578" s="89"/>
      <c r="D1578" s="69"/>
      <c r="E1578" s="70"/>
      <c r="F1578" s="71" t="s">
        <v>90</v>
      </c>
      <c r="G1578" s="27" t="s">
        <v>1075</v>
      </c>
      <c r="H1578" s="80">
        <f>6.05*1.53*12*7.85</f>
        <v>871.96229999999991</v>
      </c>
      <c r="I1578" s="60" t="s">
        <v>91</v>
      </c>
      <c r="J1578" s="46">
        <v>30500</v>
      </c>
      <c r="K1578" s="26"/>
      <c r="L1578" s="42">
        <f t="shared" si="67"/>
        <v>26594850.149999999</v>
      </c>
    </row>
    <row r="1579" spans="2:12" x14ac:dyDescent="0.35">
      <c r="B1579" s="86"/>
      <c r="C1579" s="89"/>
      <c r="D1579" s="69" t="s">
        <v>60</v>
      </c>
      <c r="E1579" s="70"/>
      <c r="F1579" s="71" t="s">
        <v>1079</v>
      </c>
      <c r="G1579" s="27"/>
      <c r="H1579" s="80"/>
      <c r="I1579" s="60"/>
      <c r="J1579" s="46"/>
      <c r="K1579" s="26"/>
      <c r="L1579" s="48"/>
    </row>
    <row r="1580" spans="2:12" x14ac:dyDescent="0.35">
      <c r="B1580" s="86"/>
      <c r="C1580" s="89"/>
      <c r="D1580" s="69"/>
      <c r="E1580" s="70"/>
      <c r="F1580" s="71" t="s">
        <v>90</v>
      </c>
      <c r="G1580" s="27" t="s">
        <v>203</v>
      </c>
      <c r="H1580" s="80">
        <f>6.1*1.83*12*7.85</f>
        <v>1051.5546000000002</v>
      </c>
      <c r="I1580" s="60" t="s">
        <v>91</v>
      </c>
      <c r="J1580" s="46">
        <v>30500</v>
      </c>
      <c r="K1580" s="26"/>
      <c r="L1580" s="42">
        <f t="shared" si="67"/>
        <v>32072415.300000004</v>
      </c>
    </row>
    <row r="1581" spans="2:12" x14ac:dyDescent="0.35">
      <c r="B1581" s="86"/>
      <c r="C1581" s="89"/>
      <c r="D1581" s="69"/>
      <c r="E1581" s="70"/>
      <c r="F1581" s="71" t="s">
        <v>90</v>
      </c>
      <c r="G1581" s="27" t="s">
        <v>205</v>
      </c>
      <c r="H1581" s="80">
        <f>6.1*1.83*12*7.85</f>
        <v>1051.5546000000002</v>
      </c>
      <c r="I1581" s="60" t="s">
        <v>91</v>
      </c>
      <c r="J1581" s="46">
        <v>30500</v>
      </c>
      <c r="K1581" s="26"/>
      <c r="L1581" s="42">
        <f t="shared" si="67"/>
        <v>32072415.300000004</v>
      </c>
    </row>
    <row r="1582" spans="2:12" x14ac:dyDescent="0.35">
      <c r="B1582" s="86"/>
      <c r="C1582" s="89"/>
      <c r="D1582" s="69"/>
      <c r="E1582" s="70"/>
      <c r="F1582" s="71" t="s">
        <v>90</v>
      </c>
      <c r="G1582" s="27" t="s">
        <v>206</v>
      </c>
      <c r="H1582" s="80">
        <f>6.1*1.83*12*7.85</f>
        <v>1051.5546000000002</v>
      </c>
      <c r="I1582" s="60" t="s">
        <v>91</v>
      </c>
      <c r="J1582" s="46">
        <v>30500</v>
      </c>
      <c r="K1582" s="26"/>
      <c r="L1582" s="42">
        <f t="shared" si="67"/>
        <v>32072415.300000004</v>
      </c>
    </row>
    <row r="1583" spans="2:12" x14ac:dyDescent="0.35">
      <c r="B1583" s="86"/>
      <c r="C1583" s="89"/>
      <c r="D1583" s="69"/>
      <c r="E1583" s="70"/>
      <c r="F1583" s="71" t="s">
        <v>90</v>
      </c>
      <c r="G1583" s="27" t="s">
        <v>207</v>
      </c>
      <c r="H1583" s="80">
        <f>6.1*1.83*12*7.85</f>
        <v>1051.5546000000002</v>
      </c>
      <c r="I1583" s="60" t="s">
        <v>91</v>
      </c>
      <c r="J1583" s="46">
        <v>30500</v>
      </c>
      <c r="K1583" s="26"/>
      <c r="L1583" s="42">
        <f t="shared" si="67"/>
        <v>32072415.300000004</v>
      </c>
    </row>
    <row r="1584" spans="2:12" x14ac:dyDescent="0.35">
      <c r="B1584" s="86"/>
      <c r="C1584" s="89"/>
      <c r="D1584" s="69"/>
      <c r="E1584" s="70"/>
      <c r="F1584" s="71" t="s">
        <v>90</v>
      </c>
      <c r="G1584" s="27" t="s">
        <v>1056</v>
      </c>
      <c r="H1584" s="80">
        <f t="shared" ref="H1584:H1585" si="69">6.1*1.83*12*7.85</f>
        <v>1051.5546000000002</v>
      </c>
      <c r="I1584" s="60" t="s">
        <v>91</v>
      </c>
      <c r="J1584" s="46">
        <v>30500</v>
      </c>
      <c r="K1584" s="26"/>
      <c r="L1584" s="42">
        <f t="shared" si="67"/>
        <v>32072415.300000004</v>
      </c>
    </row>
    <row r="1585" spans="2:12" x14ac:dyDescent="0.35">
      <c r="B1585" s="86"/>
      <c r="C1585" s="89"/>
      <c r="D1585" s="69"/>
      <c r="E1585" s="70"/>
      <c r="F1585" s="71" t="s">
        <v>90</v>
      </c>
      <c r="G1585" s="27" t="s">
        <v>1057</v>
      </c>
      <c r="H1585" s="80">
        <f t="shared" si="69"/>
        <v>1051.5546000000002</v>
      </c>
      <c r="I1585" s="60" t="s">
        <v>91</v>
      </c>
      <c r="J1585" s="46">
        <v>30500</v>
      </c>
      <c r="K1585" s="26"/>
      <c r="L1585" s="42">
        <f t="shared" si="67"/>
        <v>32072415.300000004</v>
      </c>
    </row>
    <row r="1586" spans="2:12" x14ac:dyDescent="0.35">
      <c r="B1586" s="86"/>
      <c r="C1586" s="89"/>
      <c r="D1586" s="69"/>
      <c r="E1586" s="70"/>
      <c r="F1586" s="71" t="s">
        <v>90</v>
      </c>
      <c r="G1586" s="27" t="s">
        <v>1058</v>
      </c>
      <c r="H1586" s="80">
        <f>6.1*1.53*12*7.85</f>
        <v>879.16860000000008</v>
      </c>
      <c r="I1586" s="60" t="s">
        <v>91</v>
      </c>
      <c r="J1586" s="46">
        <v>30500</v>
      </c>
      <c r="K1586" s="26"/>
      <c r="L1586" s="42">
        <f t="shared" si="67"/>
        <v>26814642.300000001</v>
      </c>
    </row>
    <row r="1587" spans="2:12" x14ac:dyDescent="0.35">
      <c r="B1587" s="86"/>
      <c r="C1587" s="89"/>
      <c r="D1587" s="69" t="s">
        <v>62</v>
      </c>
      <c r="E1587" s="70"/>
      <c r="F1587" s="71" t="s">
        <v>1080</v>
      </c>
      <c r="G1587" s="27"/>
      <c r="H1587" s="80"/>
      <c r="I1587" s="60"/>
      <c r="J1587" s="46"/>
      <c r="K1587" s="26"/>
      <c r="L1587" s="48"/>
    </row>
    <row r="1588" spans="2:12" x14ac:dyDescent="0.35">
      <c r="B1588" s="86"/>
      <c r="C1588" s="89"/>
      <c r="D1588" s="69"/>
      <c r="E1588" s="70"/>
      <c r="F1588" s="71" t="s">
        <v>90</v>
      </c>
      <c r="G1588" s="27" t="s">
        <v>1061</v>
      </c>
      <c r="H1588" s="80">
        <f>6.1*1.1*12*7.85</f>
        <v>632.08199999999999</v>
      </c>
      <c r="I1588" s="60" t="s">
        <v>91</v>
      </c>
      <c r="J1588" s="46">
        <v>30500</v>
      </c>
      <c r="K1588" s="26"/>
      <c r="L1588" s="42">
        <f t="shared" si="67"/>
        <v>19278501</v>
      </c>
    </row>
    <row r="1589" spans="2:12" x14ac:dyDescent="0.35">
      <c r="B1589" s="86"/>
      <c r="C1589" s="89"/>
      <c r="D1589" s="69"/>
      <c r="E1589" s="70"/>
      <c r="F1589" s="71" t="s">
        <v>90</v>
      </c>
      <c r="G1589" s="27" t="s">
        <v>205</v>
      </c>
      <c r="H1589" s="80">
        <f>6.1*1.83*12*7.85</f>
        <v>1051.5546000000002</v>
      </c>
      <c r="I1589" s="60" t="s">
        <v>91</v>
      </c>
      <c r="J1589" s="46">
        <v>30500</v>
      </c>
      <c r="K1589" s="26"/>
      <c r="L1589" s="42">
        <f t="shared" si="67"/>
        <v>32072415.300000004</v>
      </c>
    </row>
    <row r="1590" spans="2:12" x14ac:dyDescent="0.35">
      <c r="B1590" s="86"/>
      <c r="C1590" s="89"/>
      <c r="D1590" s="69"/>
      <c r="E1590" s="70"/>
      <c r="F1590" s="71" t="s">
        <v>90</v>
      </c>
      <c r="G1590" s="27" t="s">
        <v>207</v>
      </c>
      <c r="H1590" s="80">
        <f>6.1*1.83*12*7.85</f>
        <v>1051.5546000000002</v>
      </c>
      <c r="I1590" s="60" t="s">
        <v>91</v>
      </c>
      <c r="J1590" s="46">
        <v>30500</v>
      </c>
      <c r="K1590" s="26"/>
      <c r="L1590" s="42">
        <f t="shared" si="67"/>
        <v>32072415.300000004</v>
      </c>
    </row>
    <row r="1591" spans="2:12" x14ac:dyDescent="0.35">
      <c r="B1591" s="86"/>
      <c r="C1591" s="89"/>
      <c r="D1591" s="69"/>
      <c r="E1591" s="70"/>
      <c r="F1591" s="71" t="s">
        <v>90</v>
      </c>
      <c r="G1591" s="27" t="s">
        <v>1056</v>
      </c>
      <c r="H1591" s="80">
        <f t="shared" ref="H1591:H1592" si="70">6.1*1.83*12*7.85</f>
        <v>1051.5546000000002</v>
      </c>
      <c r="I1591" s="60" t="s">
        <v>91</v>
      </c>
      <c r="J1591" s="46">
        <v>30500</v>
      </c>
      <c r="K1591" s="26"/>
      <c r="L1591" s="42">
        <f t="shared" si="67"/>
        <v>32072415.300000004</v>
      </c>
    </row>
    <row r="1592" spans="2:12" x14ac:dyDescent="0.35">
      <c r="B1592" s="86"/>
      <c r="C1592" s="89"/>
      <c r="D1592" s="69"/>
      <c r="E1592" s="70"/>
      <c r="F1592" s="71" t="s">
        <v>90</v>
      </c>
      <c r="G1592" s="27" t="s">
        <v>1057</v>
      </c>
      <c r="H1592" s="80">
        <f t="shared" si="70"/>
        <v>1051.5546000000002</v>
      </c>
      <c r="I1592" s="60" t="s">
        <v>91</v>
      </c>
      <c r="J1592" s="46">
        <v>30500</v>
      </c>
      <c r="K1592" s="26"/>
      <c r="L1592" s="42">
        <f t="shared" si="67"/>
        <v>32072415.300000004</v>
      </c>
    </row>
    <row r="1593" spans="2:12" x14ac:dyDescent="0.35">
      <c r="B1593" s="86"/>
      <c r="C1593" s="89"/>
      <c r="D1593" s="69"/>
      <c r="E1593" s="70"/>
      <c r="F1593" s="71" t="s">
        <v>90</v>
      </c>
      <c r="G1593" s="27" t="s">
        <v>1058</v>
      </c>
      <c r="H1593" s="80">
        <f>6.1*1.53*12*7.85</f>
        <v>879.16860000000008</v>
      </c>
      <c r="I1593" s="60" t="s">
        <v>91</v>
      </c>
      <c r="J1593" s="46">
        <v>30500</v>
      </c>
      <c r="K1593" s="26"/>
      <c r="L1593" s="42">
        <f t="shared" si="67"/>
        <v>26814642.300000001</v>
      </c>
    </row>
    <row r="1594" spans="2:12" x14ac:dyDescent="0.35">
      <c r="B1594" s="86"/>
      <c r="C1594" s="89"/>
      <c r="D1594" s="69" t="s">
        <v>65</v>
      </c>
      <c r="E1594" s="70"/>
      <c r="F1594" s="71" t="s">
        <v>1081</v>
      </c>
      <c r="G1594" s="27"/>
      <c r="H1594" s="80"/>
      <c r="I1594" s="60"/>
      <c r="J1594" s="46"/>
      <c r="K1594" s="26"/>
      <c r="L1594" s="42"/>
    </row>
    <row r="1595" spans="2:12" x14ac:dyDescent="0.35">
      <c r="B1595" s="86"/>
      <c r="C1595" s="89"/>
      <c r="D1595" s="69"/>
      <c r="E1595" s="70"/>
      <c r="F1595" s="71" t="s">
        <v>90</v>
      </c>
      <c r="G1595" s="27" t="s">
        <v>206</v>
      </c>
      <c r="H1595" s="80">
        <f>6.1*1.83*12*7.85</f>
        <v>1051.5546000000002</v>
      </c>
      <c r="I1595" s="60" t="s">
        <v>91</v>
      </c>
      <c r="J1595" s="46">
        <v>30500</v>
      </c>
      <c r="K1595" s="26"/>
      <c r="L1595" s="42">
        <f t="shared" si="67"/>
        <v>32072415.300000004</v>
      </c>
    </row>
    <row r="1596" spans="2:12" x14ac:dyDescent="0.35">
      <c r="B1596" s="86"/>
      <c r="C1596" s="89"/>
      <c r="D1596" s="69" t="s">
        <v>67</v>
      </c>
      <c r="E1596" s="70"/>
      <c r="F1596" s="71" t="s">
        <v>1082</v>
      </c>
      <c r="G1596" s="27"/>
      <c r="H1596" s="80"/>
      <c r="I1596" s="60"/>
      <c r="J1596" s="46"/>
      <c r="K1596" s="26"/>
      <c r="L1596" s="48"/>
    </row>
    <row r="1597" spans="2:12" x14ac:dyDescent="0.35">
      <c r="B1597" s="86"/>
      <c r="C1597" s="89"/>
      <c r="D1597" s="69"/>
      <c r="E1597" s="70"/>
      <c r="F1597" s="71" t="s">
        <v>90</v>
      </c>
      <c r="G1597" s="27" t="s">
        <v>203</v>
      </c>
      <c r="H1597" s="80">
        <f>6.1*1.83*12*7.85</f>
        <v>1051.5546000000002</v>
      </c>
      <c r="I1597" s="60" t="s">
        <v>91</v>
      </c>
      <c r="J1597" s="46">
        <v>30500</v>
      </c>
      <c r="K1597" s="26"/>
      <c r="L1597" s="42">
        <f t="shared" si="67"/>
        <v>32072415.300000004</v>
      </c>
    </row>
    <row r="1598" spans="2:12" x14ac:dyDescent="0.35">
      <c r="B1598" s="86"/>
      <c r="C1598" s="89"/>
      <c r="D1598" s="69"/>
      <c r="E1598" s="70"/>
      <c r="F1598" s="71" t="s">
        <v>90</v>
      </c>
      <c r="G1598" s="27" t="s">
        <v>205</v>
      </c>
      <c r="H1598" s="80">
        <f>6.1*1.83*12*7.85</f>
        <v>1051.5546000000002</v>
      </c>
      <c r="I1598" s="60" t="s">
        <v>91</v>
      </c>
      <c r="J1598" s="46">
        <v>30500</v>
      </c>
      <c r="K1598" s="26"/>
      <c r="L1598" s="42">
        <f t="shared" si="67"/>
        <v>32072415.300000004</v>
      </c>
    </row>
    <row r="1599" spans="2:12" x14ac:dyDescent="0.35">
      <c r="B1599" s="86"/>
      <c r="C1599" s="89"/>
      <c r="D1599" s="69"/>
      <c r="E1599" s="70"/>
      <c r="F1599" s="71" t="s">
        <v>90</v>
      </c>
      <c r="G1599" s="27" t="s">
        <v>206</v>
      </c>
      <c r="H1599" s="80">
        <f>6.1*1.83*12*7.85</f>
        <v>1051.5546000000002</v>
      </c>
      <c r="I1599" s="60" t="s">
        <v>91</v>
      </c>
      <c r="J1599" s="46">
        <v>30500</v>
      </c>
      <c r="K1599" s="26"/>
      <c r="L1599" s="42">
        <f t="shared" si="67"/>
        <v>32072415.300000004</v>
      </c>
    </row>
    <row r="1600" spans="2:12" x14ac:dyDescent="0.35">
      <c r="B1600" s="86"/>
      <c r="C1600" s="89"/>
      <c r="D1600" s="69"/>
      <c r="E1600" s="70"/>
      <c r="F1600" s="71" t="s">
        <v>90</v>
      </c>
      <c r="G1600" s="27" t="s">
        <v>207</v>
      </c>
      <c r="H1600" s="80">
        <f>6.1*1.83*12*7.85</f>
        <v>1051.5546000000002</v>
      </c>
      <c r="I1600" s="60" t="s">
        <v>91</v>
      </c>
      <c r="J1600" s="46">
        <v>30500</v>
      </c>
      <c r="K1600" s="26"/>
      <c r="L1600" s="42">
        <f t="shared" si="67"/>
        <v>32072415.300000004</v>
      </c>
    </row>
    <row r="1601" spans="2:12" x14ac:dyDescent="0.35">
      <c r="B1601" s="86"/>
      <c r="C1601" s="89"/>
      <c r="D1601" s="69"/>
      <c r="E1601" s="70"/>
      <c r="F1601" s="71" t="s">
        <v>90</v>
      </c>
      <c r="G1601" s="27" t="s">
        <v>1056</v>
      </c>
      <c r="H1601" s="80">
        <f t="shared" ref="H1601:H1602" si="71">6.1*1.83*12*7.85</f>
        <v>1051.5546000000002</v>
      </c>
      <c r="I1601" s="60" t="s">
        <v>91</v>
      </c>
      <c r="J1601" s="46">
        <v>30500</v>
      </c>
      <c r="K1601" s="26"/>
      <c r="L1601" s="42">
        <f t="shared" si="67"/>
        <v>32072415.300000004</v>
      </c>
    </row>
    <row r="1602" spans="2:12" x14ac:dyDescent="0.35">
      <c r="B1602" s="86"/>
      <c r="C1602" s="89"/>
      <c r="D1602" s="69"/>
      <c r="E1602" s="70"/>
      <c r="F1602" s="71" t="s">
        <v>90</v>
      </c>
      <c r="G1602" s="27" t="s">
        <v>1057</v>
      </c>
      <c r="H1602" s="80">
        <f t="shared" si="71"/>
        <v>1051.5546000000002</v>
      </c>
      <c r="I1602" s="60" t="s">
        <v>91</v>
      </c>
      <c r="J1602" s="46">
        <v>30500</v>
      </c>
      <c r="K1602" s="26"/>
      <c r="L1602" s="42">
        <f t="shared" si="67"/>
        <v>32072415.300000004</v>
      </c>
    </row>
    <row r="1603" spans="2:12" x14ac:dyDescent="0.35">
      <c r="B1603" s="86"/>
      <c r="C1603" s="89"/>
      <c r="D1603" s="69"/>
      <c r="E1603" s="70"/>
      <c r="F1603" s="71" t="s">
        <v>90</v>
      </c>
      <c r="G1603" s="27" t="s">
        <v>1058</v>
      </c>
      <c r="H1603" s="80">
        <f>6.1*1.53*12*7.85</f>
        <v>879.16860000000008</v>
      </c>
      <c r="I1603" s="60" t="s">
        <v>91</v>
      </c>
      <c r="J1603" s="46">
        <v>30500</v>
      </c>
      <c r="K1603" s="26"/>
      <c r="L1603" s="42">
        <f t="shared" si="67"/>
        <v>26814642.300000001</v>
      </c>
    </row>
    <row r="1604" spans="2:12" x14ac:dyDescent="0.35">
      <c r="B1604" s="86"/>
      <c r="C1604" s="89"/>
      <c r="D1604" s="69" t="s">
        <v>188</v>
      </c>
      <c r="E1604" s="70"/>
      <c r="F1604" s="71" t="s">
        <v>1083</v>
      </c>
      <c r="G1604" s="27"/>
      <c r="H1604" s="80"/>
      <c r="I1604" s="60"/>
      <c r="J1604" s="46"/>
      <c r="K1604" s="26"/>
      <c r="L1604" s="48"/>
    </row>
    <row r="1605" spans="2:12" x14ac:dyDescent="0.35">
      <c r="B1605" s="86"/>
      <c r="C1605" s="89"/>
      <c r="D1605" s="69"/>
      <c r="E1605" s="70"/>
      <c r="F1605" s="71" t="s">
        <v>90</v>
      </c>
      <c r="G1605" s="27" t="s">
        <v>1061</v>
      </c>
      <c r="H1605" s="80">
        <f>6.1*1.1*12*7.85</f>
        <v>632.08199999999999</v>
      </c>
      <c r="I1605" s="60" t="s">
        <v>91</v>
      </c>
      <c r="J1605" s="46">
        <v>30500</v>
      </c>
      <c r="K1605" s="26"/>
      <c r="L1605" s="42">
        <f t="shared" si="67"/>
        <v>19278501</v>
      </c>
    </row>
    <row r="1606" spans="2:12" x14ac:dyDescent="0.35">
      <c r="B1606" s="86"/>
      <c r="C1606" s="89"/>
      <c r="D1606" s="69"/>
      <c r="E1606" s="70"/>
      <c r="F1606" s="71" t="s">
        <v>90</v>
      </c>
      <c r="G1606" s="27" t="s">
        <v>205</v>
      </c>
      <c r="H1606" s="80">
        <f>6.1*1.83*12*7.85</f>
        <v>1051.5546000000002</v>
      </c>
      <c r="I1606" s="60" t="s">
        <v>91</v>
      </c>
      <c r="J1606" s="46">
        <v>30500</v>
      </c>
      <c r="K1606" s="26"/>
      <c r="L1606" s="42">
        <f t="shared" si="67"/>
        <v>32072415.300000004</v>
      </c>
    </row>
    <row r="1607" spans="2:12" x14ac:dyDescent="0.35">
      <c r="B1607" s="86"/>
      <c r="C1607" s="89"/>
      <c r="D1607" s="69"/>
      <c r="E1607" s="70"/>
      <c r="F1607" s="71" t="s">
        <v>90</v>
      </c>
      <c r="G1607" s="27" t="s">
        <v>1084</v>
      </c>
      <c r="H1607" s="80">
        <f>3.51*1.83*12*7.85</f>
        <v>605.07485999999994</v>
      </c>
      <c r="I1607" s="60" t="s">
        <v>91</v>
      </c>
      <c r="J1607" s="46">
        <v>30500</v>
      </c>
      <c r="K1607" s="26"/>
      <c r="L1607" s="42">
        <f t="shared" si="67"/>
        <v>18454783.229999997</v>
      </c>
    </row>
    <row r="1608" spans="2:12" x14ac:dyDescent="0.35">
      <c r="B1608" s="86"/>
      <c r="C1608" s="89"/>
      <c r="D1608" s="69"/>
      <c r="E1608" s="70"/>
      <c r="F1608" s="71" t="s">
        <v>90</v>
      </c>
      <c r="G1608" s="27" t="s">
        <v>1077</v>
      </c>
      <c r="H1608" s="80">
        <f>1.14*1.83*12*7.85</f>
        <v>196.52003999999997</v>
      </c>
      <c r="I1608" s="60" t="s">
        <v>91</v>
      </c>
      <c r="J1608" s="46">
        <v>30500</v>
      </c>
      <c r="K1608" s="26"/>
      <c r="L1608" s="42">
        <f t="shared" si="67"/>
        <v>5993861.2199999988</v>
      </c>
    </row>
    <row r="1609" spans="2:12" x14ac:dyDescent="0.35">
      <c r="B1609" s="86"/>
      <c r="C1609" s="89"/>
      <c r="D1609" s="69"/>
      <c r="E1609" s="70"/>
      <c r="F1609" s="71" t="s">
        <v>90</v>
      </c>
      <c r="G1609" s="27" t="s">
        <v>1085</v>
      </c>
      <c r="H1609" s="80">
        <f>5.62*1.83*12*7.85</f>
        <v>968.80932000000007</v>
      </c>
      <c r="I1609" s="60" t="s">
        <v>91</v>
      </c>
      <c r="J1609" s="46">
        <v>30500</v>
      </c>
      <c r="K1609" s="26"/>
      <c r="L1609" s="42">
        <f t="shared" si="67"/>
        <v>29548684.260000002</v>
      </c>
    </row>
    <row r="1610" spans="2:12" x14ac:dyDescent="0.35">
      <c r="B1610" s="86"/>
      <c r="C1610" s="89"/>
      <c r="D1610" s="69"/>
      <c r="E1610" s="70"/>
      <c r="F1610" s="71" t="s">
        <v>90</v>
      </c>
      <c r="G1610" s="27" t="s">
        <v>1086</v>
      </c>
      <c r="H1610" s="80">
        <f>0.5*1.83*12*7.85*1.2</f>
        <v>103.43159999999999</v>
      </c>
      <c r="I1610" s="60" t="s">
        <v>91</v>
      </c>
      <c r="J1610" s="46">
        <v>30500</v>
      </c>
      <c r="K1610" s="26"/>
      <c r="L1610" s="42">
        <f t="shared" si="67"/>
        <v>3154663.8</v>
      </c>
    </row>
    <row r="1611" spans="2:12" x14ac:dyDescent="0.35">
      <c r="B1611" s="86"/>
      <c r="C1611" s="89"/>
      <c r="D1611" s="69"/>
      <c r="E1611" s="70"/>
      <c r="F1611" s="71" t="s">
        <v>90</v>
      </c>
      <c r="G1611" s="27" t="s">
        <v>1087</v>
      </c>
      <c r="H1611" s="80">
        <f>5.62*1.83*12*7.85</f>
        <v>968.80932000000007</v>
      </c>
      <c r="I1611" s="60" t="s">
        <v>91</v>
      </c>
      <c r="J1611" s="46">
        <v>30500</v>
      </c>
      <c r="K1611" s="26"/>
      <c r="L1611" s="42">
        <f t="shared" si="67"/>
        <v>29548684.260000002</v>
      </c>
    </row>
    <row r="1612" spans="2:12" x14ac:dyDescent="0.35">
      <c r="B1612" s="150"/>
      <c r="C1612" s="87"/>
      <c r="D1612" s="88"/>
      <c r="E1612" s="70"/>
      <c r="F1612" s="71"/>
      <c r="G1612" s="27"/>
      <c r="H1612" s="80"/>
      <c r="I1612" s="173"/>
      <c r="J1612" s="46"/>
      <c r="K1612" s="26"/>
      <c r="L1612" s="48"/>
    </row>
    <row r="1613" spans="2:12" x14ac:dyDescent="0.35">
      <c r="B1613" s="148"/>
      <c r="C1613" s="87"/>
      <c r="D1613" s="51"/>
      <c r="E1613" s="136"/>
      <c r="F1613" s="105"/>
      <c r="G1613" s="106"/>
      <c r="H1613" s="100"/>
      <c r="I1613" s="60"/>
      <c r="J1613" s="46"/>
      <c r="K1613" s="26"/>
      <c r="L1613" s="48"/>
    </row>
    <row r="1614" spans="2:12" x14ac:dyDescent="0.35">
      <c r="B1614" s="8"/>
      <c r="C1614" s="9"/>
      <c r="D1614" s="10"/>
      <c r="E1614" s="4"/>
      <c r="F1614" s="4"/>
      <c r="G1614" s="4"/>
      <c r="H1614" s="1"/>
      <c r="I1614" s="1"/>
      <c r="J1614" s="11" t="s">
        <v>8</v>
      </c>
      <c r="K1614" s="7">
        <f>SUM(K1561:K1613)</f>
        <v>0</v>
      </c>
      <c r="L1614" s="7">
        <f>SUM(L1561:L1613)</f>
        <v>1194985210.8899992</v>
      </c>
    </row>
    <row r="1615" spans="2:12" x14ac:dyDescent="0.35">
      <c r="B1615" s="8"/>
      <c r="C1615" s="9"/>
      <c r="D1615" s="9"/>
      <c r="E1615" s="4"/>
      <c r="F1615" s="4"/>
      <c r="G1615" s="4"/>
      <c r="H1615" s="1"/>
      <c r="I1615" s="1"/>
      <c r="J1615" s="11"/>
      <c r="K1615" s="32" t="s">
        <v>13</v>
      </c>
      <c r="L1615" s="33" t="s">
        <v>14</v>
      </c>
    </row>
    <row r="1616" spans="2:12" x14ac:dyDescent="0.35">
      <c r="B1616" s="3" t="s">
        <v>9</v>
      </c>
      <c r="C1616" s="4"/>
      <c r="D1616" s="4"/>
      <c r="E1616" s="4"/>
      <c r="F1616" s="4"/>
      <c r="G1616" s="4"/>
      <c r="H1616" s="1"/>
      <c r="I1616" s="1"/>
      <c r="J1616" s="12"/>
      <c r="K1616" s="12"/>
      <c r="L1616" s="13"/>
    </row>
    <row r="1617" spans="2:12" x14ac:dyDescent="0.35">
      <c r="B1617" s="34"/>
      <c r="C1617" s="1"/>
      <c r="D1617" s="1"/>
      <c r="E1617" s="35"/>
      <c r="F1617" s="35"/>
      <c r="G1617" s="35"/>
      <c r="H1617" s="1"/>
      <c r="I1617" s="1"/>
      <c r="J1617" s="1"/>
      <c r="K1617" s="1"/>
      <c r="L1617" s="17"/>
    </row>
    <row r="1618" spans="2:12" x14ac:dyDescent="0.35">
      <c r="B1618" s="25" t="s">
        <v>6</v>
      </c>
      <c r="C1618" s="24"/>
      <c r="D1618" s="24"/>
      <c r="E1618" s="23"/>
      <c r="F1618" s="23"/>
      <c r="G1618" s="5"/>
      <c r="K1618" s="227" t="s">
        <v>1292</v>
      </c>
      <c r="L1618" s="228"/>
    </row>
    <row r="1619" spans="2:12" x14ac:dyDescent="0.35">
      <c r="B1619" s="25">
        <v>1</v>
      </c>
      <c r="C1619" s="24"/>
      <c r="D1619" s="24"/>
      <c r="E1619" s="23" t="s">
        <v>7</v>
      </c>
      <c r="F1619" s="23"/>
      <c r="G1619" s="5"/>
      <c r="K1619" s="227" t="s">
        <v>18</v>
      </c>
      <c r="L1619" s="228"/>
    </row>
    <row r="1620" spans="2:12" x14ac:dyDescent="0.35">
      <c r="B1620" s="36"/>
      <c r="C1620" s="24"/>
      <c r="D1620" s="24"/>
      <c r="E1620" s="23"/>
      <c r="F1620" s="23"/>
      <c r="G1620" s="5"/>
      <c r="J1620" s="22"/>
      <c r="K1620" s="22"/>
      <c r="L1620" s="21"/>
    </row>
    <row r="1621" spans="2:12" x14ac:dyDescent="0.35">
      <c r="B1621" s="25"/>
      <c r="C1621" s="24"/>
      <c r="D1621" s="24"/>
      <c r="E1621" s="23"/>
      <c r="F1621" s="23"/>
      <c r="G1621" s="5"/>
      <c r="L1621" s="20"/>
    </row>
    <row r="1622" spans="2:12" x14ac:dyDescent="0.35">
      <c r="B1622" s="41"/>
      <c r="E1622" s="5"/>
      <c r="F1622" s="5"/>
      <c r="G1622" s="5"/>
      <c r="L1622" s="20"/>
    </row>
    <row r="1623" spans="2:12" x14ac:dyDescent="0.35">
      <c r="B1623" s="41"/>
      <c r="E1623" s="5"/>
      <c r="F1623" s="5"/>
      <c r="G1623" s="5"/>
      <c r="L1623" s="20"/>
    </row>
    <row r="1624" spans="2:12" x14ac:dyDescent="0.35">
      <c r="B1624" s="41"/>
      <c r="E1624" s="5"/>
      <c r="F1624" s="5"/>
      <c r="G1624" s="5"/>
      <c r="L1624" s="20"/>
    </row>
    <row r="1625" spans="2:12" x14ac:dyDescent="0.35">
      <c r="B1625" s="41"/>
      <c r="E1625" s="5"/>
      <c r="F1625" s="5"/>
      <c r="G1625" s="5"/>
      <c r="J1625" s="37"/>
      <c r="K1625" s="229" t="s">
        <v>26</v>
      </c>
      <c r="L1625" s="230"/>
    </row>
    <row r="1626" spans="2:12" x14ac:dyDescent="0.35">
      <c r="B1626" s="41"/>
      <c r="K1626" s="231" t="s">
        <v>27</v>
      </c>
      <c r="L1626" s="232"/>
    </row>
    <row r="1627" spans="2:12" x14ac:dyDescent="0.35">
      <c r="B1627" s="233"/>
      <c r="C1627" s="234"/>
      <c r="D1627" s="234"/>
      <c r="E1627" s="38"/>
      <c r="F1627" s="38"/>
      <c r="G1627" s="38"/>
      <c r="H1627" s="2"/>
      <c r="I1627" s="2"/>
      <c r="J1627" s="2"/>
      <c r="K1627" s="2"/>
      <c r="L1627" s="19"/>
    </row>
    <row r="1628" spans="2:12" x14ac:dyDescent="0.35">
      <c r="B1628" s="43"/>
      <c r="C1628" s="44"/>
      <c r="D1628" s="45"/>
      <c r="G1628" s="20"/>
      <c r="H1628" s="1"/>
      <c r="I1628" s="1"/>
      <c r="J1628" s="39"/>
      <c r="K1628" s="27"/>
      <c r="L1628" s="40"/>
    </row>
    <row r="1629" spans="2:12" x14ac:dyDescent="0.35">
      <c r="B1629" s="86"/>
      <c r="C1629" s="89"/>
      <c r="D1629" s="69"/>
      <c r="E1629" s="70"/>
      <c r="F1629" s="71" t="s">
        <v>90</v>
      </c>
      <c r="G1629" s="27" t="s">
        <v>1088</v>
      </c>
      <c r="H1629" s="80">
        <f>0.5*1.83*12*7.85*1.2</f>
        <v>103.43159999999999</v>
      </c>
      <c r="I1629" s="60" t="s">
        <v>91</v>
      </c>
      <c r="J1629" s="46">
        <v>30500</v>
      </c>
      <c r="K1629" s="152"/>
      <c r="L1629" s="42">
        <f t="shared" ref="L1629:L1678" si="72">J1629*H1629</f>
        <v>3154663.8</v>
      </c>
    </row>
    <row r="1630" spans="2:12" x14ac:dyDescent="0.35">
      <c r="B1630" s="86"/>
      <c r="C1630" s="89"/>
      <c r="D1630" s="69"/>
      <c r="E1630" s="70"/>
      <c r="F1630" s="71" t="s">
        <v>90</v>
      </c>
      <c r="G1630" s="27" t="s">
        <v>1057</v>
      </c>
      <c r="H1630" s="80">
        <f t="shared" ref="H1630" si="73">6.1*1.83*12*7.85</f>
        <v>1051.5546000000002</v>
      </c>
      <c r="I1630" s="60" t="s">
        <v>91</v>
      </c>
      <c r="J1630" s="46">
        <v>30500</v>
      </c>
      <c r="K1630" s="47"/>
      <c r="L1630" s="42">
        <f t="shared" si="72"/>
        <v>32072415.300000004</v>
      </c>
    </row>
    <row r="1631" spans="2:12" x14ac:dyDescent="0.35">
      <c r="B1631" s="86"/>
      <c r="C1631" s="89"/>
      <c r="D1631" s="69"/>
      <c r="E1631" s="70"/>
      <c r="F1631" s="71" t="s">
        <v>90</v>
      </c>
      <c r="G1631" s="27" t="s">
        <v>1058</v>
      </c>
      <c r="H1631" s="80">
        <f>6.1*1.53*12*7.85</f>
        <v>879.16860000000008</v>
      </c>
      <c r="I1631" s="60" t="s">
        <v>91</v>
      </c>
      <c r="J1631" s="46">
        <v>30500</v>
      </c>
      <c r="K1631" s="47"/>
      <c r="L1631" s="42">
        <f t="shared" si="72"/>
        <v>26814642.300000001</v>
      </c>
    </row>
    <row r="1632" spans="2:12" x14ac:dyDescent="0.35">
      <c r="B1632" s="86"/>
      <c r="C1632" s="89"/>
      <c r="D1632" s="69" t="s">
        <v>190</v>
      </c>
      <c r="E1632" s="70"/>
      <c r="F1632" s="71" t="s">
        <v>1089</v>
      </c>
      <c r="G1632" s="27"/>
      <c r="H1632" s="80"/>
      <c r="I1632" s="60"/>
      <c r="J1632" s="26"/>
      <c r="K1632" s="47"/>
      <c r="L1632" s="42"/>
    </row>
    <row r="1633" spans="2:12" x14ac:dyDescent="0.35">
      <c r="B1633" s="86"/>
      <c r="C1633" s="89"/>
      <c r="D1633" s="69"/>
      <c r="E1633" s="70"/>
      <c r="F1633" s="71" t="s">
        <v>90</v>
      </c>
      <c r="G1633" s="27" t="s">
        <v>203</v>
      </c>
      <c r="H1633" s="80">
        <f>6.1*1.83*12*7.85</f>
        <v>1051.5546000000002</v>
      </c>
      <c r="I1633" s="60" t="s">
        <v>91</v>
      </c>
      <c r="J1633" s="46">
        <v>30500</v>
      </c>
      <c r="K1633" s="55"/>
      <c r="L1633" s="42">
        <f t="shared" si="72"/>
        <v>32072415.300000004</v>
      </c>
    </row>
    <row r="1634" spans="2:12" x14ac:dyDescent="0.35">
      <c r="B1634" s="86"/>
      <c r="C1634" s="89"/>
      <c r="D1634" s="69"/>
      <c r="E1634" s="70"/>
      <c r="F1634" s="71" t="s">
        <v>90</v>
      </c>
      <c r="G1634" s="27" t="s">
        <v>205</v>
      </c>
      <c r="H1634" s="80">
        <f>6.1*1.83*12*7.85</f>
        <v>1051.5546000000002</v>
      </c>
      <c r="I1634" s="60" t="s">
        <v>91</v>
      </c>
      <c r="J1634" s="46">
        <v>30500</v>
      </c>
      <c r="K1634" s="47"/>
      <c r="L1634" s="42">
        <f t="shared" si="72"/>
        <v>32072415.300000004</v>
      </c>
    </row>
    <row r="1635" spans="2:12" x14ac:dyDescent="0.35">
      <c r="B1635" s="86"/>
      <c r="C1635" s="89"/>
      <c r="D1635" s="69"/>
      <c r="E1635" s="70"/>
      <c r="F1635" s="71" t="s">
        <v>90</v>
      </c>
      <c r="G1635" s="27" t="s">
        <v>206</v>
      </c>
      <c r="H1635" s="80">
        <f>6.1*1.83*12*7.85</f>
        <v>1051.5546000000002</v>
      </c>
      <c r="I1635" s="60" t="s">
        <v>91</v>
      </c>
      <c r="J1635" s="46">
        <v>30500</v>
      </c>
      <c r="K1635" s="55"/>
      <c r="L1635" s="42">
        <f t="shared" si="72"/>
        <v>32072415.300000004</v>
      </c>
    </row>
    <row r="1636" spans="2:12" x14ac:dyDescent="0.35">
      <c r="B1636" s="86"/>
      <c r="C1636" s="89"/>
      <c r="D1636" s="69"/>
      <c r="E1636" s="70"/>
      <c r="F1636" s="71" t="s">
        <v>90</v>
      </c>
      <c r="G1636" s="27" t="s">
        <v>207</v>
      </c>
      <c r="H1636" s="80">
        <f>6.1*1.83*12*7.85</f>
        <v>1051.5546000000002</v>
      </c>
      <c r="I1636" s="60" t="s">
        <v>91</v>
      </c>
      <c r="J1636" s="46">
        <v>30500</v>
      </c>
      <c r="K1636" s="47"/>
      <c r="L1636" s="42">
        <f t="shared" si="72"/>
        <v>32072415.300000004</v>
      </c>
    </row>
    <row r="1637" spans="2:12" x14ac:dyDescent="0.35">
      <c r="B1637" s="86"/>
      <c r="C1637" s="89"/>
      <c r="D1637" s="69"/>
      <c r="E1637" s="70"/>
      <c r="F1637" s="71" t="s">
        <v>90</v>
      </c>
      <c r="G1637" s="27" t="s">
        <v>1056</v>
      </c>
      <c r="H1637" s="80">
        <f t="shared" ref="H1637:H1638" si="74">6.1*1.83*12*7.85</f>
        <v>1051.5546000000002</v>
      </c>
      <c r="I1637" s="60" t="s">
        <v>91</v>
      </c>
      <c r="J1637" s="46">
        <v>30500</v>
      </c>
      <c r="K1637" s="47"/>
      <c r="L1637" s="42">
        <f t="shared" si="72"/>
        <v>32072415.300000004</v>
      </c>
    </row>
    <row r="1638" spans="2:12" x14ac:dyDescent="0.35">
      <c r="B1638" s="86"/>
      <c r="C1638" s="89"/>
      <c r="D1638" s="69"/>
      <c r="E1638" s="70"/>
      <c r="F1638" s="71" t="s">
        <v>90</v>
      </c>
      <c r="G1638" s="27" t="s">
        <v>1057</v>
      </c>
      <c r="H1638" s="80">
        <f t="shared" si="74"/>
        <v>1051.5546000000002</v>
      </c>
      <c r="I1638" s="60" t="s">
        <v>91</v>
      </c>
      <c r="J1638" s="46">
        <v>30500</v>
      </c>
      <c r="K1638" s="47"/>
      <c r="L1638" s="42">
        <f t="shared" si="72"/>
        <v>32072415.300000004</v>
      </c>
    </row>
    <row r="1639" spans="2:12" x14ac:dyDescent="0.35">
      <c r="B1639" s="86"/>
      <c r="C1639" s="89"/>
      <c r="D1639" s="69"/>
      <c r="E1639" s="70"/>
      <c r="F1639" s="71" t="s">
        <v>90</v>
      </c>
      <c r="G1639" s="27" t="s">
        <v>1058</v>
      </c>
      <c r="H1639" s="80">
        <f>6.1*1.53*12*7.85</f>
        <v>879.16860000000008</v>
      </c>
      <c r="I1639" s="60" t="s">
        <v>91</v>
      </c>
      <c r="J1639" s="46">
        <v>30500</v>
      </c>
      <c r="K1639" s="47"/>
      <c r="L1639" s="42">
        <f t="shared" si="72"/>
        <v>26814642.300000001</v>
      </c>
    </row>
    <row r="1640" spans="2:12" x14ac:dyDescent="0.35">
      <c r="B1640" s="86"/>
      <c r="C1640" s="89"/>
      <c r="D1640" s="69" t="s">
        <v>192</v>
      </c>
      <c r="E1640" s="70"/>
      <c r="F1640" s="71" t="s">
        <v>1090</v>
      </c>
      <c r="G1640" s="27"/>
      <c r="H1640" s="80"/>
      <c r="I1640" s="60"/>
      <c r="J1640" s="42"/>
      <c r="K1640" s="42"/>
      <c r="L1640" s="53"/>
    </row>
    <row r="1641" spans="2:12" x14ac:dyDescent="0.35">
      <c r="B1641" s="86"/>
      <c r="C1641" s="89"/>
      <c r="D1641" s="69"/>
      <c r="E1641" s="70"/>
      <c r="F1641" s="71" t="s">
        <v>90</v>
      </c>
      <c r="G1641" s="27" t="s">
        <v>203</v>
      </c>
      <c r="H1641" s="80">
        <f>6.1*1.83*12*7.85</f>
        <v>1051.5546000000002</v>
      </c>
      <c r="I1641" s="60" t="s">
        <v>91</v>
      </c>
      <c r="J1641" s="46">
        <v>30500</v>
      </c>
      <c r="K1641" s="55"/>
      <c r="L1641" s="42">
        <f t="shared" si="72"/>
        <v>32072415.300000004</v>
      </c>
    </row>
    <row r="1642" spans="2:12" x14ac:dyDescent="0.35">
      <c r="B1642" s="86"/>
      <c r="C1642" s="89"/>
      <c r="D1642" s="69"/>
      <c r="E1642" s="70"/>
      <c r="F1642" s="71" t="s">
        <v>90</v>
      </c>
      <c r="G1642" s="27" t="s">
        <v>205</v>
      </c>
      <c r="H1642" s="80">
        <f>6.1*1.83*12*7.85</f>
        <v>1051.5546000000002</v>
      </c>
      <c r="I1642" s="60" t="s">
        <v>91</v>
      </c>
      <c r="J1642" s="46">
        <v>30500</v>
      </c>
      <c r="K1642" s="26"/>
      <c r="L1642" s="42">
        <f t="shared" si="72"/>
        <v>32072415.300000004</v>
      </c>
    </row>
    <row r="1643" spans="2:12" x14ac:dyDescent="0.35">
      <c r="B1643" s="86"/>
      <c r="C1643" s="89"/>
      <c r="D1643" s="69"/>
      <c r="E1643" s="70"/>
      <c r="F1643" s="71" t="s">
        <v>90</v>
      </c>
      <c r="G1643" s="27" t="s">
        <v>206</v>
      </c>
      <c r="H1643" s="80">
        <f>6.1*1.83*12*7.85</f>
        <v>1051.5546000000002</v>
      </c>
      <c r="I1643" s="60" t="s">
        <v>91</v>
      </c>
      <c r="J1643" s="46">
        <v>30500</v>
      </c>
      <c r="K1643" s="26"/>
      <c r="L1643" s="42">
        <f t="shared" si="72"/>
        <v>32072415.300000004</v>
      </c>
    </row>
    <row r="1644" spans="2:12" x14ac:dyDescent="0.35">
      <c r="B1644" s="86"/>
      <c r="C1644" s="89"/>
      <c r="D1644" s="69"/>
      <c r="E1644" s="70"/>
      <c r="F1644" s="71" t="s">
        <v>90</v>
      </c>
      <c r="G1644" s="27" t="s">
        <v>207</v>
      </c>
      <c r="H1644" s="80">
        <f>6.1*1.83*12*7.85</f>
        <v>1051.5546000000002</v>
      </c>
      <c r="I1644" s="60" t="s">
        <v>91</v>
      </c>
      <c r="J1644" s="46">
        <v>30500</v>
      </c>
      <c r="K1644" s="26"/>
      <c r="L1644" s="42">
        <f t="shared" si="72"/>
        <v>32072415.300000004</v>
      </c>
    </row>
    <row r="1645" spans="2:12" x14ac:dyDescent="0.35">
      <c r="B1645" s="86"/>
      <c r="C1645" s="89"/>
      <c r="D1645" s="69"/>
      <c r="E1645" s="70"/>
      <c r="F1645" s="71" t="s">
        <v>90</v>
      </c>
      <c r="G1645" s="27" t="s">
        <v>1056</v>
      </c>
      <c r="H1645" s="80">
        <f t="shared" ref="H1645:H1646" si="75">6.1*1.83*12*7.85</f>
        <v>1051.5546000000002</v>
      </c>
      <c r="I1645" s="60" t="s">
        <v>91</v>
      </c>
      <c r="J1645" s="46">
        <v>30500</v>
      </c>
      <c r="K1645" s="26"/>
      <c r="L1645" s="42">
        <f t="shared" si="72"/>
        <v>32072415.300000004</v>
      </c>
    </row>
    <row r="1646" spans="2:12" x14ac:dyDescent="0.35">
      <c r="B1646" s="86"/>
      <c r="C1646" s="89"/>
      <c r="D1646" s="69"/>
      <c r="E1646" s="70"/>
      <c r="F1646" s="71" t="s">
        <v>90</v>
      </c>
      <c r="G1646" s="27" t="s">
        <v>1057</v>
      </c>
      <c r="H1646" s="80">
        <f t="shared" si="75"/>
        <v>1051.5546000000002</v>
      </c>
      <c r="I1646" s="60" t="s">
        <v>91</v>
      </c>
      <c r="J1646" s="46">
        <v>30500</v>
      </c>
      <c r="K1646" s="26"/>
      <c r="L1646" s="42">
        <f t="shared" si="72"/>
        <v>32072415.300000004</v>
      </c>
    </row>
    <row r="1647" spans="2:12" x14ac:dyDescent="0.35">
      <c r="B1647" s="86"/>
      <c r="C1647" s="89"/>
      <c r="D1647" s="69"/>
      <c r="E1647" s="70"/>
      <c r="F1647" s="71" t="s">
        <v>90</v>
      </c>
      <c r="G1647" s="27" t="s">
        <v>1058</v>
      </c>
      <c r="H1647" s="80">
        <f>6.1*1.53*12*7.85</f>
        <v>879.16860000000008</v>
      </c>
      <c r="I1647" s="60" t="s">
        <v>91</v>
      </c>
      <c r="J1647" s="46">
        <v>30500</v>
      </c>
      <c r="K1647" s="26"/>
      <c r="L1647" s="42">
        <f t="shared" si="72"/>
        <v>26814642.300000001</v>
      </c>
    </row>
    <row r="1648" spans="2:12" x14ac:dyDescent="0.35">
      <c r="B1648" s="86"/>
      <c r="C1648" s="89"/>
      <c r="D1648" s="69" t="s">
        <v>194</v>
      </c>
      <c r="E1648" s="70"/>
      <c r="F1648" s="71" t="s">
        <v>1091</v>
      </c>
      <c r="G1648" s="27"/>
      <c r="H1648" s="80"/>
      <c r="I1648" s="60"/>
      <c r="J1648" s="46"/>
      <c r="K1648" s="26"/>
      <c r="L1648" s="48"/>
    </row>
    <row r="1649" spans="2:12" x14ac:dyDescent="0.35">
      <c r="B1649" s="86"/>
      <c r="C1649" s="89"/>
      <c r="D1649" s="69"/>
      <c r="E1649" s="70"/>
      <c r="F1649" s="71" t="s">
        <v>90</v>
      </c>
      <c r="G1649" s="27" t="s">
        <v>1092</v>
      </c>
      <c r="H1649" s="80">
        <f>5.92*1.83*12*7.85</f>
        <v>1020.5251199999999</v>
      </c>
      <c r="I1649" s="60" t="s">
        <v>91</v>
      </c>
      <c r="J1649" s="46">
        <v>30500</v>
      </c>
      <c r="K1649" s="26"/>
      <c r="L1649" s="42">
        <f t="shared" si="72"/>
        <v>31126016.159999996</v>
      </c>
    </row>
    <row r="1650" spans="2:12" x14ac:dyDescent="0.35">
      <c r="B1650" s="86"/>
      <c r="C1650" s="89"/>
      <c r="D1650" s="69"/>
      <c r="E1650" s="70"/>
      <c r="F1650" s="71" t="s">
        <v>90</v>
      </c>
      <c r="G1650" s="27" t="s">
        <v>1093</v>
      </c>
      <c r="H1650" s="80">
        <f t="shared" ref="H1650:H1652" si="76">5.92*1.83*12*7.85</f>
        <v>1020.5251199999999</v>
      </c>
      <c r="I1650" s="60" t="s">
        <v>91</v>
      </c>
      <c r="J1650" s="46">
        <v>30500</v>
      </c>
      <c r="K1650" s="26"/>
      <c r="L1650" s="42">
        <f t="shared" si="72"/>
        <v>31126016.159999996</v>
      </c>
    </row>
    <row r="1651" spans="2:12" x14ac:dyDescent="0.35">
      <c r="B1651" s="86"/>
      <c r="C1651" s="89"/>
      <c r="D1651" s="69"/>
      <c r="E1651" s="70"/>
      <c r="F1651" s="71" t="s">
        <v>90</v>
      </c>
      <c r="G1651" s="27" t="s">
        <v>1094</v>
      </c>
      <c r="H1651" s="80">
        <f t="shared" si="76"/>
        <v>1020.5251199999999</v>
      </c>
      <c r="I1651" s="60" t="s">
        <v>91</v>
      </c>
      <c r="J1651" s="46">
        <v>30500</v>
      </c>
      <c r="K1651" s="26"/>
      <c r="L1651" s="42">
        <f t="shared" si="72"/>
        <v>31126016.159999996</v>
      </c>
    </row>
    <row r="1652" spans="2:12" x14ac:dyDescent="0.35">
      <c r="B1652" s="86"/>
      <c r="C1652" s="89"/>
      <c r="D1652" s="69"/>
      <c r="E1652" s="70"/>
      <c r="F1652" s="71" t="s">
        <v>90</v>
      </c>
      <c r="G1652" s="27" t="s">
        <v>1095</v>
      </c>
      <c r="H1652" s="80">
        <f t="shared" si="76"/>
        <v>1020.5251199999999</v>
      </c>
      <c r="I1652" s="60" t="s">
        <v>91</v>
      </c>
      <c r="J1652" s="46">
        <v>30500</v>
      </c>
      <c r="K1652" s="26"/>
      <c r="L1652" s="42">
        <f t="shared" si="72"/>
        <v>31126016.159999996</v>
      </c>
    </row>
    <row r="1653" spans="2:12" x14ac:dyDescent="0.35">
      <c r="B1653" s="86"/>
      <c r="C1653" s="89"/>
      <c r="D1653" s="69"/>
      <c r="E1653" s="70"/>
      <c r="F1653" s="71" t="s">
        <v>90</v>
      </c>
      <c r="G1653" s="27" t="s">
        <v>1056</v>
      </c>
      <c r="H1653" s="80">
        <f t="shared" ref="H1653:H1654" si="77">6.1*1.83*12*7.85</f>
        <v>1051.5546000000002</v>
      </c>
      <c r="I1653" s="60" t="s">
        <v>91</v>
      </c>
      <c r="J1653" s="46">
        <v>30500</v>
      </c>
      <c r="K1653" s="26"/>
      <c r="L1653" s="42">
        <f t="shared" si="72"/>
        <v>32072415.300000004</v>
      </c>
    </row>
    <row r="1654" spans="2:12" x14ac:dyDescent="0.35">
      <c r="B1654" s="86"/>
      <c r="C1654" s="89"/>
      <c r="D1654" s="69"/>
      <c r="E1654" s="70"/>
      <c r="F1654" s="71" t="s">
        <v>90</v>
      </c>
      <c r="G1654" s="27" t="s">
        <v>1057</v>
      </c>
      <c r="H1654" s="80">
        <f t="shared" si="77"/>
        <v>1051.5546000000002</v>
      </c>
      <c r="I1654" s="60" t="s">
        <v>91</v>
      </c>
      <c r="J1654" s="46">
        <v>30500</v>
      </c>
      <c r="K1654" s="26"/>
      <c r="L1654" s="42">
        <f t="shared" si="72"/>
        <v>32072415.300000004</v>
      </c>
    </row>
    <row r="1655" spans="2:12" x14ac:dyDescent="0.35">
      <c r="B1655" s="86"/>
      <c r="C1655" s="89"/>
      <c r="D1655" s="69"/>
      <c r="E1655" s="70"/>
      <c r="F1655" s="71" t="s">
        <v>90</v>
      </c>
      <c r="G1655" s="27" t="s">
        <v>1058</v>
      </c>
      <c r="H1655" s="80">
        <f>6.1*1.53*12*7.85</f>
        <v>879.16860000000008</v>
      </c>
      <c r="I1655" s="60" t="s">
        <v>91</v>
      </c>
      <c r="J1655" s="46">
        <v>30500</v>
      </c>
      <c r="K1655" s="26"/>
      <c r="L1655" s="42">
        <f t="shared" si="72"/>
        <v>26814642.300000001</v>
      </c>
    </row>
    <row r="1656" spans="2:12" x14ac:dyDescent="0.35">
      <c r="B1656" s="86"/>
      <c r="C1656" s="89"/>
      <c r="D1656" s="69" t="s">
        <v>196</v>
      </c>
      <c r="E1656" s="70"/>
      <c r="F1656" s="71" t="s">
        <v>1096</v>
      </c>
      <c r="G1656" s="27"/>
      <c r="H1656" s="80"/>
      <c r="I1656" s="60"/>
      <c r="J1656" s="46"/>
      <c r="K1656" s="26"/>
      <c r="L1656" s="48"/>
    </row>
    <row r="1657" spans="2:12" x14ac:dyDescent="0.35">
      <c r="B1657" s="86"/>
      <c r="C1657" s="89"/>
      <c r="D1657" s="69"/>
      <c r="E1657" s="70"/>
      <c r="F1657" s="71" t="s">
        <v>90</v>
      </c>
      <c r="G1657" s="27" t="s">
        <v>1061</v>
      </c>
      <c r="H1657" s="80">
        <f>6.1*1.1*12*7.85</f>
        <v>632.08199999999999</v>
      </c>
      <c r="I1657" s="60" t="s">
        <v>91</v>
      </c>
      <c r="J1657" s="46">
        <v>30500</v>
      </c>
      <c r="K1657" s="26"/>
      <c r="L1657" s="42">
        <f t="shared" si="72"/>
        <v>19278501</v>
      </c>
    </row>
    <row r="1658" spans="2:12" x14ac:dyDescent="0.35">
      <c r="B1658" s="86"/>
      <c r="C1658" s="89"/>
      <c r="D1658" s="69"/>
      <c r="E1658" s="70"/>
      <c r="F1658" s="71" t="s">
        <v>90</v>
      </c>
      <c r="G1658" s="27" t="s">
        <v>205</v>
      </c>
      <c r="H1658" s="80">
        <f>6.1*1.83*12*7.85</f>
        <v>1051.5546000000002</v>
      </c>
      <c r="I1658" s="60" t="s">
        <v>91</v>
      </c>
      <c r="J1658" s="46">
        <v>30500</v>
      </c>
      <c r="K1658" s="26"/>
      <c r="L1658" s="42">
        <f t="shared" si="72"/>
        <v>32072415.300000004</v>
      </c>
    </row>
    <row r="1659" spans="2:12" x14ac:dyDescent="0.35">
      <c r="B1659" s="86"/>
      <c r="C1659" s="89"/>
      <c r="D1659" s="69"/>
      <c r="E1659" s="70"/>
      <c r="F1659" s="71" t="s">
        <v>90</v>
      </c>
      <c r="G1659" s="27" t="s">
        <v>206</v>
      </c>
      <c r="H1659" s="80">
        <f>6.1*1.83*12*7.85</f>
        <v>1051.5546000000002</v>
      </c>
      <c r="I1659" s="60" t="s">
        <v>91</v>
      </c>
      <c r="J1659" s="46">
        <v>30500</v>
      </c>
      <c r="K1659" s="26"/>
      <c r="L1659" s="42">
        <f t="shared" si="72"/>
        <v>32072415.300000004</v>
      </c>
    </row>
    <row r="1660" spans="2:12" x14ac:dyDescent="0.35">
      <c r="B1660" s="86"/>
      <c r="C1660" s="89"/>
      <c r="D1660" s="69"/>
      <c r="E1660" s="70"/>
      <c r="F1660" s="71" t="s">
        <v>90</v>
      </c>
      <c r="G1660" s="27" t="s">
        <v>207</v>
      </c>
      <c r="H1660" s="80">
        <f>6.1*1.83*12*7.85</f>
        <v>1051.5546000000002</v>
      </c>
      <c r="I1660" s="60" t="s">
        <v>91</v>
      </c>
      <c r="J1660" s="46">
        <v>30500</v>
      </c>
      <c r="K1660" s="26"/>
      <c r="L1660" s="42">
        <f t="shared" si="72"/>
        <v>32072415.300000004</v>
      </c>
    </row>
    <row r="1661" spans="2:12" x14ac:dyDescent="0.35">
      <c r="B1661" s="86"/>
      <c r="C1661" s="89"/>
      <c r="D1661" s="69"/>
      <c r="E1661" s="70"/>
      <c r="F1661" s="71" t="s">
        <v>90</v>
      </c>
      <c r="G1661" s="27" t="s">
        <v>1056</v>
      </c>
      <c r="H1661" s="80">
        <f t="shared" ref="H1661:H1662" si="78">6.1*1.83*12*7.85</f>
        <v>1051.5546000000002</v>
      </c>
      <c r="I1661" s="60" t="s">
        <v>91</v>
      </c>
      <c r="J1661" s="46">
        <v>30500</v>
      </c>
      <c r="K1661" s="26"/>
      <c r="L1661" s="42">
        <f t="shared" si="72"/>
        <v>32072415.300000004</v>
      </c>
    </row>
    <row r="1662" spans="2:12" x14ac:dyDescent="0.35">
      <c r="B1662" s="86"/>
      <c r="C1662" s="89"/>
      <c r="D1662" s="69"/>
      <c r="E1662" s="70"/>
      <c r="F1662" s="71" t="s">
        <v>90</v>
      </c>
      <c r="G1662" s="27" t="s">
        <v>1057</v>
      </c>
      <c r="H1662" s="80">
        <f t="shared" si="78"/>
        <v>1051.5546000000002</v>
      </c>
      <c r="I1662" s="60" t="s">
        <v>91</v>
      </c>
      <c r="J1662" s="46">
        <v>30500</v>
      </c>
      <c r="K1662" s="26"/>
      <c r="L1662" s="42">
        <f t="shared" si="72"/>
        <v>32072415.300000004</v>
      </c>
    </row>
    <row r="1663" spans="2:12" x14ac:dyDescent="0.35">
      <c r="B1663" s="86"/>
      <c r="C1663" s="89"/>
      <c r="D1663" s="69"/>
      <c r="E1663" s="70"/>
      <c r="F1663" s="71" t="s">
        <v>90</v>
      </c>
      <c r="G1663" s="27" t="s">
        <v>1058</v>
      </c>
      <c r="H1663" s="80">
        <f>6.1*1.53*12*7.85</f>
        <v>879.16860000000008</v>
      </c>
      <c r="I1663" s="60" t="s">
        <v>91</v>
      </c>
      <c r="J1663" s="46">
        <v>30500</v>
      </c>
      <c r="K1663" s="26"/>
      <c r="L1663" s="42">
        <f t="shared" si="72"/>
        <v>26814642.300000001</v>
      </c>
    </row>
    <row r="1664" spans="2:12" x14ac:dyDescent="0.35">
      <c r="B1664" s="86"/>
      <c r="C1664" s="89"/>
      <c r="D1664" s="69" t="s">
        <v>273</v>
      </c>
      <c r="E1664" s="70"/>
      <c r="F1664" s="71" t="s">
        <v>1097</v>
      </c>
      <c r="G1664" s="27"/>
      <c r="H1664" s="80"/>
      <c r="I1664" s="60"/>
      <c r="J1664" s="46"/>
      <c r="K1664" s="26"/>
      <c r="L1664" s="48"/>
    </row>
    <row r="1665" spans="2:12" x14ac:dyDescent="0.35">
      <c r="B1665" s="86"/>
      <c r="C1665" s="89"/>
      <c r="D1665" s="69"/>
      <c r="E1665" s="70"/>
      <c r="F1665" s="71" t="s">
        <v>90</v>
      </c>
      <c r="G1665" s="27" t="s">
        <v>1098</v>
      </c>
      <c r="H1665" s="80">
        <f>6.33*1.83*12*7.85</f>
        <v>1091.2033799999999</v>
      </c>
      <c r="I1665" s="60" t="s">
        <v>91</v>
      </c>
      <c r="J1665" s="46">
        <v>30500</v>
      </c>
      <c r="K1665" s="26"/>
      <c r="L1665" s="42">
        <f t="shared" si="72"/>
        <v>33281703.089999996</v>
      </c>
    </row>
    <row r="1666" spans="2:12" x14ac:dyDescent="0.35">
      <c r="B1666" s="86"/>
      <c r="C1666" s="89"/>
      <c r="D1666" s="69"/>
      <c r="E1666" s="70"/>
      <c r="F1666" s="71" t="s">
        <v>90</v>
      </c>
      <c r="G1666" s="27" t="s">
        <v>1099</v>
      </c>
      <c r="H1666" s="80">
        <f t="shared" ref="H1666:H1668" si="79">6.33*1.83*12*7.85</f>
        <v>1091.2033799999999</v>
      </c>
      <c r="I1666" s="60" t="s">
        <v>91</v>
      </c>
      <c r="J1666" s="46">
        <v>30500</v>
      </c>
      <c r="K1666" s="26"/>
      <c r="L1666" s="42">
        <f t="shared" si="72"/>
        <v>33281703.089999996</v>
      </c>
    </row>
    <row r="1667" spans="2:12" x14ac:dyDescent="0.35">
      <c r="B1667" s="86"/>
      <c r="C1667" s="89"/>
      <c r="D1667" s="69"/>
      <c r="E1667" s="70"/>
      <c r="F1667" s="71" t="s">
        <v>90</v>
      </c>
      <c r="G1667" s="27" t="s">
        <v>1100</v>
      </c>
      <c r="H1667" s="80">
        <f t="shared" si="79"/>
        <v>1091.2033799999999</v>
      </c>
      <c r="I1667" s="60" t="s">
        <v>91</v>
      </c>
      <c r="J1667" s="46">
        <v>30500</v>
      </c>
      <c r="K1667" s="26"/>
      <c r="L1667" s="42">
        <f t="shared" si="72"/>
        <v>33281703.089999996</v>
      </c>
    </row>
    <row r="1668" spans="2:12" x14ac:dyDescent="0.35">
      <c r="B1668" s="86"/>
      <c r="C1668" s="89"/>
      <c r="D1668" s="69"/>
      <c r="E1668" s="70"/>
      <c r="F1668" s="71" t="s">
        <v>90</v>
      </c>
      <c r="G1668" s="27" t="s">
        <v>1101</v>
      </c>
      <c r="H1668" s="80">
        <f t="shared" si="79"/>
        <v>1091.2033799999999</v>
      </c>
      <c r="I1668" s="60" t="s">
        <v>91</v>
      </c>
      <c r="J1668" s="46">
        <v>30500</v>
      </c>
      <c r="K1668" s="26"/>
      <c r="L1668" s="42">
        <f t="shared" si="72"/>
        <v>33281703.089999996</v>
      </c>
    </row>
    <row r="1669" spans="2:12" x14ac:dyDescent="0.35">
      <c r="B1669" s="86"/>
      <c r="C1669" s="89"/>
      <c r="D1669" s="69"/>
      <c r="E1669" s="70"/>
      <c r="F1669" s="71" t="s">
        <v>90</v>
      </c>
      <c r="G1669" s="27" t="s">
        <v>1102</v>
      </c>
      <c r="H1669" s="80">
        <f>6.1*1.84*12*7.85</f>
        <v>1057.3007999999998</v>
      </c>
      <c r="I1669" s="60" t="s">
        <v>91</v>
      </c>
      <c r="J1669" s="46">
        <v>30500</v>
      </c>
      <c r="K1669" s="26"/>
      <c r="L1669" s="42">
        <f t="shared" si="72"/>
        <v>32247674.399999991</v>
      </c>
    </row>
    <row r="1670" spans="2:12" x14ac:dyDescent="0.35">
      <c r="B1670" s="86"/>
      <c r="C1670" s="89"/>
      <c r="D1670" s="69"/>
      <c r="E1670" s="70"/>
      <c r="F1670" s="71" t="s">
        <v>90</v>
      </c>
      <c r="G1670" s="27" t="s">
        <v>1103</v>
      </c>
      <c r="H1670" s="80">
        <f>6.1*1.84*12*7.85</f>
        <v>1057.3007999999998</v>
      </c>
      <c r="I1670" s="60" t="s">
        <v>91</v>
      </c>
      <c r="J1670" s="46">
        <v>30500</v>
      </c>
      <c r="K1670" s="26"/>
      <c r="L1670" s="42">
        <f t="shared" si="72"/>
        <v>32247674.399999991</v>
      </c>
    </row>
    <row r="1671" spans="2:12" x14ac:dyDescent="0.35">
      <c r="B1671" s="86"/>
      <c r="C1671" s="89"/>
      <c r="D1671" s="69"/>
      <c r="E1671" s="70"/>
      <c r="F1671" s="71" t="s">
        <v>90</v>
      </c>
      <c r="G1671" s="27" t="s">
        <v>1058</v>
      </c>
      <c r="H1671" s="80">
        <f>6.1*1.53*12*7.85</f>
        <v>879.16860000000008</v>
      </c>
      <c r="I1671" s="60" t="s">
        <v>91</v>
      </c>
      <c r="J1671" s="46">
        <v>30500</v>
      </c>
      <c r="K1671" s="26"/>
      <c r="L1671" s="42">
        <f t="shared" si="72"/>
        <v>26814642.300000001</v>
      </c>
    </row>
    <row r="1672" spans="2:12" x14ac:dyDescent="0.35">
      <c r="B1672" s="86"/>
      <c r="C1672" s="89"/>
      <c r="D1672" s="69" t="s">
        <v>275</v>
      </c>
      <c r="E1672" s="70"/>
      <c r="F1672" s="71" t="s">
        <v>1104</v>
      </c>
      <c r="G1672" s="27"/>
      <c r="H1672" s="80"/>
      <c r="I1672" s="60"/>
      <c r="J1672" s="46"/>
      <c r="K1672" s="26"/>
      <c r="L1672" s="48"/>
    </row>
    <row r="1673" spans="2:12" x14ac:dyDescent="0.35">
      <c r="B1673" s="86"/>
      <c r="C1673" s="89"/>
      <c r="D1673" s="69"/>
      <c r="E1673" s="70"/>
      <c r="F1673" s="71" t="s">
        <v>90</v>
      </c>
      <c r="G1673" s="27" t="s">
        <v>1061</v>
      </c>
      <c r="H1673" s="80">
        <f>6.1*1.1*12*7.85</f>
        <v>632.08199999999999</v>
      </c>
      <c r="I1673" s="60" t="s">
        <v>91</v>
      </c>
      <c r="J1673" s="46">
        <v>30500</v>
      </c>
      <c r="K1673" s="26"/>
      <c r="L1673" s="42">
        <f t="shared" si="72"/>
        <v>19278501</v>
      </c>
    </row>
    <row r="1674" spans="2:12" x14ac:dyDescent="0.35">
      <c r="B1674" s="86"/>
      <c r="C1674" s="89"/>
      <c r="D1674" s="69"/>
      <c r="E1674" s="70"/>
      <c r="F1674" s="71" t="s">
        <v>90</v>
      </c>
      <c r="G1674" s="27" t="s">
        <v>205</v>
      </c>
      <c r="H1674" s="80">
        <f>6.1*1.83*12*7.85</f>
        <v>1051.5546000000002</v>
      </c>
      <c r="I1674" s="60" t="s">
        <v>91</v>
      </c>
      <c r="J1674" s="46">
        <v>30500</v>
      </c>
      <c r="K1674" s="26"/>
      <c r="L1674" s="42">
        <f t="shared" si="72"/>
        <v>32072415.300000004</v>
      </c>
    </row>
    <row r="1675" spans="2:12" x14ac:dyDescent="0.35">
      <c r="B1675" s="86"/>
      <c r="C1675" s="89"/>
      <c r="D1675" s="69"/>
      <c r="E1675" s="70"/>
      <c r="F1675" s="71" t="s">
        <v>90</v>
      </c>
      <c r="G1675" s="27" t="s">
        <v>206</v>
      </c>
      <c r="H1675" s="80">
        <f>6.1*1.83*12*7.85</f>
        <v>1051.5546000000002</v>
      </c>
      <c r="I1675" s="60" t="s">
        <v>91</v>
      </c>
      <c r="J1675" s="46">
        <v>30500</v>
      </c>
      <c r="K1675" s="26"/>
      <c r="L1675" s="42">
        <f t="shared" si="72"/>
        <v>32072415.300000004</v>
      </c>
    </row>
    <row r="1676" spans="2:12" x14ac:dyDescent="0.35">
      <c r="B1676" s="86"/>
      <c r="C1676" s="89"/>
      <c r="D1676" s="69"/>
      <c r="E1676" s="70"/>
      <c r="F1676" s="71" t="s">
        <v>90</v>
      </c>
      <c r="G1676" s="27" t="s">
        <v>207</v>
      </c>
      <c r="H1676" s="80">
        <f>6.1*1.83*12*7.85</f>
        <v>1051.5546000000002</v>
      </c>
      <c r="I1676" s="60" t="s">
        <v>91</v>
      </c>
      <c r="J1676" s="46">
        <v>30500</v>
      </c>
      <c r="K1676" s="26"/>
      <c r="L1676" s="42">
        <f t="shared" si="72"/>
        <v>32072415.300000004</v>
      </c>
    </row>
    <row r="1677" spans="2:12" x14ac:dyDescent="0.35">
      <c r="B1677" s="86"/>
      <c r="C1677" s="89"/>
      <c r="D1677" s="69"/>
      <c r="E1677" s="70"/>
      <c r="F1677" s="71" t="s">
        <v>90</v>
      </c>
      <c r="G1677" s="27" t="s">
        <v>1056</v>
      </c>
      <c r="H1677" s="80">
        <f t="shared" ref="H1677:H1678" si="80">6.1*1.83*12*7.85</f>
        <v>1051.5546000000002</v>
      </c>
      <c r="I1677" s="60" t="s">
        <v>91</v>
      </c>
      <c r="J1677" s="46">
        <v>30500</v>
      </c>
      <c r="K1677" s="26"/>
      <c r="L1677" s="42">
        <f t="shared" si="72"/>
        <v>32072415.300000004</v>
      </c>
    </row>
    <row r="1678" spans="2:12" x14ac:dyDescent="0.35">
      <c r="B1678" s="86"/>
      <c r="C1678" s="89"/>
      <c r="D1678" s="69"/>
      <c r="E1678" s="70"/>
      <c r="F1678" s="71" t="s">
        <v>90</v>
      </c>
      <c r="G1678" s="27" t="s">
        <v>1057</v>
      </c>
      <c r="H1678" s="80">
        <f t="shared" si="80"/>
        <v>1051.5546000000002</v>
      </c>
      <c r="I1678" s="60" t="s">
        <v>91</v>
      </c>
      <c r="J1678" s="46">
        <v>30500</v>
      </c>
      <c r="K1678" s="26"/>
      <c r="L1678" s="42">
        <f t="shared" si="72"/>
        <v>32072415.300000004</v>
      </c>
    </row>
    <row r="1679" spans="2:12" x14ac:dyDescent="0.35">
      <c r="B1679" s="150"/>
      <c r="C1679" s="87"/>
      <c r="D1679" s="88"/>
      <c r="E1679" s="70"/>
      <c r="F1679" s="71"/>
      <c r="G1679" s="27"/>
      <c r="H1679" s="80"/>
      <c r="I1679" s="173"/>
      <c r="J1679" s="46"/>
      <c r="K1679" s="26"/>
      <c r="L1679" s="42"/>
    </row>
    <row r="1680" spans="2:12" x14ac:dyDescent="0.35">
      <c r="B1680" s="148"/>
      <c r="C1680" s="87"/>
      <c r="D1680" s="51"/>
      <c r="E1680" s="136"/>
      <c r="F1680" s="105"/>
      <c r="G1680" s="106"/>
      <c r="H1680" s="100"/>
      <c r="I1680" s="60"/>
      <c r="J1680" s="46"/>
      <c r="K1680" s="26"/>
      <c r="L1680" s="48"/>
    </row>
    <row r="1681" spans="2:12" x14ac:dyDescent="0.35">
      <c r="B1681" s="8"/>
      <c r="C1681" s="9"/>
      <c r="D1681" s="10"/>
      <c r="E1681" s="4"/>
      <c r="F1681" s="4"/>
      <c r="G1681" s="4"/>
      <c r="H1681" s="1"/>
      <c r="I1681" s="1"/>
      <c r="J1681" s="11" t="s">
        <v>8</v>
      </c>
      <c r="K1681" s="7">
        <f>SUM(K1628:K1680)</f>
        <v>0</v>
      </c>
      <c r="L1681" s="7">
        <f>SUM(L1628:L1680)</f>
        <v>1326536127.8999996</v>
      </c>
    </row>
    <row r="1682" spans="2:12" x14ac:dyDescent="0.35">
      <c r="B1682" s="8"/>
      <c r="C1682" s="9"/>
      <c r="D1682" s="9"/>
      <c r="E1682" s="4"/>
      <c r="F1682" s="4"/>
      <c r="G1682" s="4"/>
      <c r="H1682" s="1"/>
      <c r="I1682" s="1"/>
      <c r="J1682" s="11"/>
      <c r="K1682" s="32" t="s">
        <v>13</v>
      </c>
      <c r="L1682" s="33" t="s">
        <v>14</v>
      </c>
    </row>
    <row r="1683" spans="2:12" x14ac:dyDescent="0.35">
      <c r="B1683" s="3" t="s">
        <v>9</v>
      </c>
      <c r="C1683" s="4"/>
      <c r="D1683" s="4"/>
      <c r="E1683" s="4"/>
      <c r="F1683" s="4"/>
      <c r="G1683" s="4"/>
      <c r="H1683" s="1"/>
      <c r="I1683" s="1"/>
      <c r="J1683" s="12"/>
      <c r="K1683" s="12"/>
      <c r="L1683" s="13"/>
    </row>
    <row r="1684" spans="2:12" x14ac:dyDescent="0.35">
      <c r="B1684" s="34"/>
      <c r="C1684" s="1"/>
      <c r="D1684" s="1"/>
      <c r="E1684" s="35"/>
      <c r="F1684" s="35"/>
      <c r="G1684" s="35"/>
      <c r="H1684" s="1"/>
      <c r="I1684" s="1"/>
      <c r="J1684" s="1"/>
      <c r="K1684" s="1"/>
      <c r="L1684" s="17"/>
    </row>
    <row r="1685" spans="2:12" x14ac:dyDescent="0.35">
      <c r="B1685" s="25" t="s">
        <v>6</v>
      </c>
      <c r="C1685" s="24"/>
      <c r="D1685" s="24"/>
      <c r="E1685" s="23"/>
      <c r="F1685" s="23"/>
      <c r="G1685" s="5"/>
      <c r="K1685" s="227" t="s">
        <v>1292</v>
      </c>
      <c r="L1685" s="228"/>
    </row>
    <row r="1686" spans="2:12" x14ac:dyDescent="0.35">
      <c r="B1686" s="25">
        <v>1</v>
      </c>
      <c r="C1686" s="24"/>
      <c r="D1686" s="24"/>
      <c r="E1686" s="23" t="s">
        <v>7</v>
      </c>
      <c r="F1686" s="23"/>
      <c r="G1686" s="5"/>
      <c r="K1686" s="227" t="s">
        <v>18</v>
      </c>
      <c r="L1686" s="228"/>
    </row>
    <row r="1687" spans="2:12" x14ac:dyDescent="0.35">
      <c r="B1687" s="36"/>
      <c r="C1687" s="24"/>
      <c r="D1687" s="24"/>
      <c r="E1687" s="23"/>
      <c r="F1687" s="23"/>
      <c r="G1687" s="5"/>
      <c r="J1687" s="22"/>
      <c r="K1687" s="22"/>
      <c r="L1687" s="21"/>
    </row>
    <row r="1688" spans="2:12" x14ac:dyDescent="0.35">
      <c r="B1688" s="25"/>
      <c r="C1688" s="24"/>
      <c r="D1688" s="24"/>
      <c r="E1688" s="23"/>
      <c r="F1688" s="23"/>
      <c r="G1688" s="5"/>
      <c r="L1688" s="20"/>
    </row>
    <row r="1689" spans="2:12" x14ac:dyDescent="0.35">
      <c r="B1689" s="41"/>
      <c r="E1689" s="5"/>
      <c r="F1689" s="5"/>
      <c r="G1689" s="5"/>
      <c r="L1689" s="20"/>
    </row>
    <row r="1690" spans="2:12" x14ac:dyDescent="0.35">
      <c r="B1690" s="41"/>
      <c r="E1690" s="5"/>
      <c r="F1690" s="5"/>
      <c r="G1690" s="5"/>
      <c r="L1690" s="20"/>
    </row>
    <row r="1691" spans="2:12" x14ac:dyDescent="0.35">
      <c r="B1691" s="41"/>
      <c r="E1691" s="5"/>
      <c r="F1691" s="5"/>
      <c r="G1691" s="5"/>
      <c r="L1691" s="20"/>
    </row>
    <row r="1692" spans="2:12" x14ac:dyDescent="0.35">
      <c r="B1692" s="41"/>
      <c r="E1692" s="5"/>
      <c r="F1692" s="5"/>
      <c r="G1692" s="5"/>
      <c r="J1692" s="37"/>
      <c r="K1692" s="229" t="s">
        <v>26</v>
      </c>
      <c r="L1692" s="230"/>
    </row>
    <row r="1693" spans="2:12" x14ac:dyDescent="0.35">
      <c r="B1693" s="41"/>
      <c r="K1693" s="231" t="s">
        <v>27</v>
      </c>
      <c r="L1693" s="232"/>
    </row>
    <row r="1694" spans="2:12" x14ac:dyDescent="0.35">
      <c r="B1694" s="233"/>
      <c r="C1694" s="234"/>
      <c r="D1694" s="234"/>
      <c r="E1694" s="38"/>
      <c r="F1694" s="38"/>
      <c r="G1694" s="38"/>
      <c r="H1694" s="2"/>
      <c r="I1694" s="2"/>
      <c r="J1694" s="2"/>
      <c r="K1694" s="2"/>
      <c r="L1694" s="19"/>
    </row>
    <row r="1695" spans="2:12" x14ac:dyDescent="0.35">
      <c r="B1695" s="43"/>
      <c r="C1695" s="44"/>
      <c r="D1695" s="45"/>
      <c r="G1695" s="20"/>
      <c r="H1695" s="1"/>
      <c r="I1695" s="1"/>
      <c r="J1695" s="39"/>
      <c r="K1695" s="27"/>
      <c r="L1695" s="40"/>
    </row>
    <row r="1696" spans="2:12" x14ac:dyDescent="0.35">
      <c r="B1696" s="86"/>
      <c r="C1696" s="89"/>
      <c r="D1696" s="69"/>
      <c r="E1696" s="70"/>
      <c r="F1696" s="71" t="s">
        <v>90</v>
      </c>
      <c r="G1696" s="27" t="s">
        <v>1058</v>
      </c>
      <c r="H1696" s="80">
        <f>6.1*1.53*12*7.85</f>
        <v>879.16860000000008</v>
      </c>
      <c r="I1696" s="60" t="s">
        <v>91</v>
      </c>
      <c r="J1696" s="46">
        <v>30500</v>
      </c>
      <c r="K1696" s="152"/>
      <c r="L1696" s="42">
        <f t="shared" ref="L1696:L1744" si="81">J1696*H1696</f>
        <v>26814642.300000001</v>
      </c>
    </row>
    <row r="1697" spans="2:12" x14ac:dyDescent="0.35">
      <c r="B1697" s="86"/>
      <c r="C1697" s="89"/>
      <c r="D1697" s="69" t="s">
        <v>277</v>
      </c>
      <c r="E1697" s="70"/>
      <c r="F1697" s="71" t="s">
        <v>1105</v>
      </c>
      <c r="G1697" s="27"/>
      <c r="H1697" s="80"/>
      <c r="I1697" s="60"/>
      <c r="J1697" s="26"/>
      <c r="K1697" s="47"/>
      <c r="L1697" s="42"/>
    </row>
    <row r="1698" spans="2:12" x14ac:dyDescent="0.35">
      <c r="B1698" s="86"/>
      <c r="C1698" s="89"/>
      <c r="D1698" s="69"/>
      <c r="E1698" s="70"/>
      <c r="F1698" s="71" t="s">
        <v>90</v>
      </c>
      <c r="G1698" s="27" t="s">
        <v>203</v>
      </c>
      <c r="H1698" s="80">
        <f>6.1*1.83*12*7.85</f>
        <v>1051.5546000000002</v>
      </c>
      <c r="I1698" s="60" t="s">
        <v>91</v>
      </c>
      <c r="J1698" s="46">
        <v>30500</v>
      </c>
      <c r="K1698" s="47"/>
      <c r="L1698" s="42">
        <f t="shared" si="81"/>
        <v>32072415.300000004</v>
      </c>
    </row>
    <row r="1699" spans="2:12" x14ac:dyDescent="0.35">
      <c r="B1699" s="86"/>
      <c r="C1699" s="89"/>
      <c r="D1699" s="69"/>
      <c r="E1699" s="70"/>
      <c r="F1699" s="71" t="s">
        <v>90</v>
      </c>
      <c r="G1699" s="27" t="s">
        <v>205</v>
      </c>
      <c r="H1699" s="80">
        <f>6.1*1.83*12*7.85</f>
        <v>1051.5546000000002</v>
      </c>
      <c r="I1699" s="60" t="s">
        <v>91</v>
      </c>
      <c r="J1699" s="46">
        <v>30500</v>
      </c>
      <c r="K1699" s="47"/>
      <c r="L1699" s="42">
        <f t="shared" si="81"/>
        <v>32072415.300000004</v>
      </c>
    </row>
    <row r="1700" spans="2:12" x14ac:dyDescent="0.35">
      <c r="B1700" s="86"/>
      <c r="C1700" s="89"/>
      <c r="D1700" s="69"/>
      <c r="E1700" s="70"/>
      <c r="F1700" s="71" t="s">
        <v>90</v>
      </c>
      <c r="G1700" s="27" t="s">
        <v>206</v>
      </c>
      <c r="H1700" s="80">
        <f>6.1*1.83*12*7.85</f>
        <v>1051.5546000000002</v>
      </c>
      <c r="I1700" s="60" t="s">
        <v>91</v>
      </c>
      <c r="J1700" s="46">
        <v>30500</v>
      </c>
      <c r="K1700" s="55"/>
      <c r="L1700" s="42">
        <f t="shared" si="81"/>
        <v>32072415.300000004</v>
      </c>
    </row>
    <row r="1701" spans="2:12" x14ac:dyDescent="0.35">
      <c r="B1701" s="86"/>
      <c r="C1701" s="89"/>
      <c r="D1701" s="69"/>
      <c r="E1701" s="70"/>
      <c r="F1701" s="71" t="s">
        <v>90</v>
      </c>
      <c r="G1701" s="27" t="s">
        <v>207</v>
      </c>
      <c r="H1701" s="80">
        <f>6.1*1.83*12*7.85</f>
        <v>1051.5546000000002</v>
      </c>
      <c r="I1701" s="60" t="s">
        <v>91</v>
      </c>
      <c r="J1701" s="46">
        <v>30500</v>
      </c>
      <c r="K1701" s="47"/>
      <c r="L1701" s="42">
        <f t="shared" si="81"/>
        <v>32072415.300000004</v>
      </c>
    </row>
    <row r="1702" spans="2:12" x14ac:dyDescent="0.35">
      <c r="B1702" s="86"/>
      <c r="C1702" s="89"/>
      <c r="D1702" s="69"/>
      <c r="E1702" s="70"/>
      <c r="F1702" s="71" t="s">
        <v>90</v>
      </c>
      <c r="G1702" s="27" t="s">
        <v>1056</v>
      </c>
      <c r="H1702" s="80">
        <f t="shared" ref="H1702:H1703" si="82">6.1*1.83*12*7.85</f>
        <v>1051.5546000000002</v>
      </c>
      <c r="I1702" s="60" t="s">
        <v>91</v>
      </c>
      <c r="J1702" s="46">
        <v>30500</v>
      </c>
      <c r="K1702" s="55"/>
      <c r="L1702" s="42">
        <f t="shared" si="81"/>
        <v>32072415.300000004</v>
      </c>
    </row>
    <row r="1703" spans="2:12" x14ac:dyDescent="0.35">
      <c r="B1703" s="86"/>
      <c r="C1703" s="89"/>
      <c r="D1703" s="69"/>
      <c r="E1703" s="70"/>
      <c r="F1703" s="71" t="s">
        <v>90</v>
      </c>
      <c r="G1703" s="27" t="s">
        <v>1057</v>
      </c>
      <c r="H1703" s="80">
        <f t="shared" si="82"/>
        <v>1051.5546000000002</v>
      </c>
      <c r="I1703" s="60" t="s">
        <v>91</v>
      </c>
      <c r="J1703" s="46">
        <v>30500</v>
      </c>
      <c r="K1703" s="47"/>
      <c r="L1703" s="42">
        <f t="shared" si="81"/>
        <v>32072415.300000004</v>
      </c>
    </row>
    <row r="1704" spans="2:12" x14ac:dyDescent="0.35">
      <c r="B1704" s="86"/>
      <c r="C1704" s="89"/>
      <c r="D1704" s="69"/>
      <c r="E1704" s="70"/>
      <c r="F1704" s="71" t="s">
        <v>90</v>
      </c>
      <c r="G1704" s="27" t="s">
        <v>1106</v>
      </c>
      <c r="H1704" s="80">
        <f>6.1*1.52*12*7.85</f>
        <v>873.42240000000004</v>
      </c>
      <c r="I1704" s="60" t="s">
        <v>91</v>
      </c>
      <c r="J1704" s="46">
        <v>30500</v>
      </c>
      <c r="K1704" s="47"/>
      <c r="L1704" s="42">
        <f t="shared" si="81"/>
        <v>26639383.200000003</v>
      </c>
    </row>
    <row r="1705" spans="2:12" x14ac:dyDescent="0.35">
      <c r="B1705" s="86"/>
      <c r="C1705" s="89"/>
      <c r="D1705" s="69" t="s">
        <v>279</v>
      </c>
      <c r="E1705" s="70"/>
      <c r="F1705" s="71" t="s">
        <v>1107</v>
      </c>
      <c r="G1705" s="27"/>
      <c r="H1705" s="80"/>
      <c r="I1705" s="60"/>
      <c r="J1705" s="26"/>
      <c r="K1705" s="47"/>
      <c r="L1705" s="42"/>
    </row>
    <row r="1706" spans="2:12" x14ac:dyDescent="0.35">
      <c r="B1706" s="86"/>
      <c r="C1706" s="89"/>
      <c r="D1706" s="69"/>
      <c r="E1706" s="70"/>
      <c r="F1706" s="71" t="s">
        <v>90</v>
      </c>
      <c r="G1706" s="27" t="s">
        <v>1061</v>
      </c>
      <c r="H1706" s="80">
        <f>6.1*1.1*12*7.85</f>
        <v>632.08199999999999</v>
      </c>
      <c r="I1706" s="60" t="s">
        <v>91</v>
      </c>
      <c r="J1706" s="46">
        <v>30500</v>
      </c>
      <c r="K1706" s="47"/>
      <c r="L1706" s="42">
        <f t="shared" si="81"/>
        <v>19278501</v>
      </c>
    </row>
    <row r="1707" spans="2:12" x14ac:dyDescent="0.35">
      <c r="B1707" s="86"/>
      <c r="C1707" s="89"/>
      <c r="D1707" s="69"/>
      <c r="E1707" s="70"/>
      <c r="F1707" s="71" t="s">
        <v>90</v>
      </c>
      <c r="G1707" s="27" t="s">
        <v>205</v>
      </c>
      <c r="H1707" s="80">
        <f>6.1*1.83*12*7.85</f>
        <v>1051.5546000000002</v>
      </c>
      <c r="I1707" s="60" t="s">
        <v>91</v>
      </c>
      <c r="J1707" s="46">
        <v>30500</v>
      </c>
      <c r="K1707" s="42"/>
      <c r="L1707" s="42">
        <f t="shared" si="81"/>
        <v>32072415.300000004</v>
      </c>
    </row>
    <row r="1708" spans="2:12" x14ac:dyDescent="0.35">
      <c r="B1708" s="86"/>
      <c r="C1708" s="89"/>
      <c r="D1708" s="69"/>
      <c r="E1708" s="70"/>
      <c r="F1708" s="71" t="s">
        <v>90</v>
      </c>
      <c r="G1708" s="27" t="s">
        <v>206</v>
      </c>
      <c r="H1708" s="80">
        <f>6.1*1.83*12*7.85</f>
        <v>1051.5546000000002</v>
      </c>
      <c r="I1708" s="60" t="s">
        <v>91</v>
      </c>
      <c r="J1708" s="46">
        <v>30500</v>
      </c>
      <c r="K1708" s="55"/>
      <c r="L1708" s="42">
        <f t="shared" si="81"/>
        <v>32072415.300000004</v>
      </c>
    </row>
    <row r="1709" spans="2:12" x14ac:dyDescent="0.35">
      <c r="B1709" s="86"/>
      <c r="C1709" s="89"/>
      <c r="D1709" s="69"/>
      <c r="E1709" s="70"/>
      <c r="F1709" s="71" t="s">
        <v>90</v>
      </c>
      <c r="G1709" s="27" t="s">
        <v>207</v>
      </c>
      <c r="H1709" s="80">
        <f>6.1*1.83*12*7.85</f>
        <v>1051.5546000000002</v>
      </c>
      <c r="I1709" s="60" t="s">
        <v>91</v>
      </c>
      <c r="J1709" s="46">
        <v>30500</v>
      </c>
      <c r="K1709" s="26"/>
      <c r="L1709" s="42">
        <f t="shared" si="81"/>
        <v>32072415.300000004</v>
      </c>
    </row>
    <row r="1710" spans="2:12" x14ac:dyDescent="0.35">
      <c r="B1710" s="86"/>
      <c r="C1710" s="89"/>
      <c r="D1710" s="69"/>
      <c r="E1710" s="70"/>
      <c r="F1710" s="71" t="s">
        <v>90</v>
      </c>
      <c r="G1710" s="27" t="s">
        <v>1056</v>
      </c>
      <c r="H1710" s="80">
        <f t="shared" ref="H1710:H1711" si="83">6.1*1.83*12*7.85</f>
        <v>1051.5546000000002</v>
      </c>
      <c r="I1710" s="60" t="s">
        <v>91</v>
      </c>
      <c r="J1710" s="46">
        <v>30500</v>
      </c>
      <c r="K1710" s="26"/>
      <c r="L1710" s="42">
        <f t="shared" si="81"/>
        <v>32072415.300000004</v>
      </c>
    </row>
    <row r="1711" spans="2:12" x14ac:dyDescent="0.35">
      <c r="B1711" s="86"/>
      <c r="C1711" s="89"/>
      <c r="D1711" s="69"/>
      <c r="E1711" s="70"/>
      <c r="F1711" s="71" t="s">
        <v>90</v>
      </c>
      <c r="G1711" s="27" t="s">
        <v>1057</v>
      </c>
      <c r="H1711" s="80">
        <f t="shared" si="83"/>
        <v>1051.5546000000002</v>
      </c>
      <c r="I1711" s="60" t="s">
        <v>91</v>
      </c>
      <c r="J1711" s="46">
        <v>30500</v>
      </c>
      <c r="K1711" s="26"/>
      <c r="L1711" s="42">
        <f t="shared" si="81"/>
        <v>32072415.300000004</v>
      </c>
    </row>
    <row r="1712" spans="2:12" x14ac:dyDescent="0.35">
      <c r="B1712" s="86"/>
      <c r="C1712" s="89"/>
      <c r="D1712" s="69"/>
      <c r="E1712" s="70"/>
      <c r="F1712" s="71" t="s">
        <v>90</v>
      </c>
      <c r="G1712" s="27" t="s">
        <v>1058</v>
      </c>
      <c r="H1712" s="80">
        <f>6.1*1.53*12*7.85</f>
        <v>879.16860000000008</v>
      </c>
      <c r="I1712" s="60" t="s">
        <v>91</v>
      </c>
      <c r="J1712" s="46">
        <v>30500</v>
      </c>
      <c r="K1712" s="26"/>
      <c r="L1712" s="42">
        <f t="shared" si="81"/>
        <v>26814642.300000001</v>
      </c>
    </row>
    <row r="1713" spans="2:12" x14ac:dyDescent="0.35">
      <c r="B1713" s="86"/>
      <c r="C1713" s="89"/>
      <c r="D1713" s="69" t="s">
        <v>281</v>
      </c>
      <c r="E1713" s="70"/>
      <c r="F1713" s="71" t="s">
        <v>1108</v>
      </c>
      <c r="G1713" s="27"/>
      <c r="H1713" s="80"/>
      <c r="I1713" s="60"/>
      <c r="J1713" s="46"/>
      <c r="K1713" s="26"/>
      <c r="L1713" s="48"/>
    </row>
    <row r="1714" spans="2:12" x14ac:dyDescent="0.35">
      <c r="B1714" s="86"/>
      <c r="C1714" s="89"/>
      <c r="D1714" s="69"/>
      <c r="E1714" s="70"/>
      <c r="F1714" s="71" t="s">
        <v>90</v>
      </c>
      <c r="G1714" s="27" t="s">
        <v>203</v>
      </c>
      <c r="H1714" s="80">
        <f>6.1*1.83*12*7.85</f>
        <v>1051.5546000000002</v>
      </c>
      <c r="I1714" s="60" t="s">
        <v>91</v>
      </c>
      <c r="J1714" s="46">
        <v>30500</v>
      </c>
      <c r="K1714" s="26"/>
      <c r="L1714" s="42">
        <f t="shared" si="81"/>
        <v>32072415.300000004</v>
      </c>
    </row>
    <row r="1715" spans="2:12" x14ac:dyDescent="0.35">
      <c r="B1715" s="86"/>
      <c r="C1715" s="89"/>
      <c r="D1715" s="69"/>
      <c r="E1715" s="70"/>
      <c r="F1715" s="71" t="s">
        <v>90</v>
      </c>
      <c r="G1715" s="27" t="s">
        <v>205</v>
      </c>
      <c r="H1715" s="80">
        <f>6.1*1.83*12*7.85</f>
        <v>1051.5546000000002</v>
      </c>
      <c r="I1715" s="60" t="s">
        <v>91</v>
      </c>
      <c r="J1715" s="46">
        <v>30500</v>
      </c>
      <c r="K1715" s="26"/>
      <c r="L1715" s="42">
        <f t="shared" si="81"/>
        <v>32072415.300000004</v>
      </c>
    </row>
    <row r="1716" spans="2:12" x14ac:dyDescent="0.35">
      <c r="B1716" s="86"/>
      <c r="C1716" s="89"/>
      <c r="D1716" s="69"/>
      <c r="E1716" s="70"/>
      <c r="F1716" s="71" t="s">
        <v>90</v>
      </c>
      <c r="G1716" s="27" t="s">
        <v>206</v>
      </c>
      <c r="H1716" s="80">
        <f>6.1*1.83*12*7.85</f>
        <v>1051.5546000000002</v>
      </c>
      <c r="I1716" s="60" t="s">
        <v>91</v>
      </c>
      <c r="J1716" s="46">
        <v>30500</v>
      </c>
      <c r="K1716" s="26"/>
      <c r="L1716" s="42">
        <f t="shared" si="81"/>
        <v>32072415.300000004</v>
      </c>
    </row>
    <row r="1717" spans="2:12" x14ac:dyDescent="0.35">
      <c r="B1717" s="86"/>
      <c r="C1717" s="89"/>
      <c r="D1717" s="69"/>
      <c r="E1717" s="70"/>
      <c r="F1717" s="71" t="s">
        <v>90</v>
      </c>
      <c r="G1717" s="27" t="s">
        <v>207</v>
      </c>
      <c r="H1717" s="80">
        <f>6.1*1.83*12*7.85</f>
        <v>1051.5546000000002</v>
      </c>
      <c r="I1717" s="60" t="s">
        <v>91</v>
      </c>
      <c r="J1717" s="46">
        <v>30500</v>
      </c>
      <c r="K1717" s="26"/>
      <c r="L1717" s="42">
        <f t="shared" si="81"/>
        <v>32072415.300000004</v>
      </c>
    </row>
    <row r="1718" spans="2:12" x14ac:dyDescent="0.35">
      <c r="B1718" s="86"/>
      <c r="C1718" s="89"/>
      <c r="D1718" s="69"/>
      <c r="E1718" s="70"/>
      <c r="F1718" s="71" t="s">
        <v>90</v>
      </c>
      <c r="G1718" s="27" t="s">
        <v>1056</v>
      </c>
      <c r="H1718" s="80">
        <f t="shared" ref="H1718:H1719" si="84">6.1*1.83*12*7.85</f>
        <v>1051.5546000000002</v>
      </c>
      <c r="I1718" s="60" t="s">
        <v>91</v>
      </c>
      <c r="J1718" s="46">
        <v>30500</v>
      </c>
      <c r="K1718" s="26"/>
      <c r="L1718" s="42">
        <f t="shared" si="81"/>
        <v>32072415.300000004</v>
      </c>
    </row>
    <row r="1719" spans="2:12" x14ac:dyDescent="0.35">
      <c r="B1719" s="86"/>
      <c r="C1719" s="89"/>
      <c r="D1719" s="69"/>
      <c r="E1719" s="70"/>
      <c r="F1719" s="71" t="s">
        <v>90</v>
      </c>
      <c r="G1719" s="27" t="s">
        <v>1057</v>
      </c>
      <c r="H1719" s="80">
        <f t="shared" si="84"/>
        <v>1051.5546000000002</v>
      </c>
      <c r="I1719" s="60" t="s">
        <v>91</v>
      </c>
      <c r="J1719" s="46">
        <v>30500</v>
      </c>
      <c r="K1719" s="26"/>
      <c r="L1719" s="42">
        <f t="shared" si="81"/>
        <v>32072415.300000004</v>
      </c>
    </row>
    <row r="1720" spans="2:12" x14ac:dyDescent="0.35">
      <c r="B1720" s="86"/>
      <c r="C1720" s="89"/>
      <c r="D1720" s="69"/>
      <c r="E1720" s="70"/>
      <c r="F1720" s="71" t="s">
        <v>90</v>
      </c>
      <c r="G1720" s="27" t="s">
        <v>1106</v>
      </c>
      <c r="H1720" s="80">
        <f>6.1*1.52*12*7.85</f>
        <v>873.42240000000004</v>
      </c>
      <c r="I1720" s="60" t="s">
        <v>91</v>
      </c>
      <c r="J1720" s="46">
        <v>30500</v>
      </c>
      <c r="K1720" s="26"/>
      <c r="L1720" s="42">
        <f t="shared" si="81"/>
        <v>26639383.200000003</v>
      </c>
    </row>
    <row r="1721" spans="2:12" x14ac:dyDescent="0.35">
      <c r="B1721" s="86"/>
      <c r="C1721" s="89"/>
      <c r="D1721" s="69" t="s">
        <v>283</v>
      </c>
      <c r="E1721" s="70"/>
      <c r="F1721" s="71" t="s">
        <v>1109</v>
      </c>
      <c r="G1721" s="27"/>
      <c r="H1721" s="80"/>
      <c r="I1721" s="60"/>
      <c r="J1721" s="46"/>
      <c r="K1721" s="26"/>
      <c r="L1721" s="48"/>
    </row>
    <row r="1722" spans="2:12" x14ac:dyDescent="0.35">
      <c r="B1722" s="86"/>
      <c r="C1722" s="89"/>
      <c r="D1722" s="69"/>
      <c r="E1722" s="70"/>
      <c r="F1722" s="71" t="s">
        <v>90</v>
      </c>
      <c r="G1722" s="27" t="s">
        <v>1061</v>
      </c>
      <c r="H1722" s="80">
        <f>6.1*1.1*12*7.85</f>
        <v>632.08199999999999</v>
      </c>
      <c r="I1722" s="60" t="s">
        <v>91</v>
      </c>
      <c r="J1722" s="46">
        <v>30500</v>
      </c>
      <c r="K1722" s="26"/>
      <c r="L1722" s="42">
        <f t="shared" si="81"/>
        <v>19278501</v>
      </c>
    </row>
    <row r="1723" spans="2:12" x14ac:dyDescent="0.35">
      <c r="B1723" s="86"/>
      <c r="C1723" s="89"/>
      <c r="D1723" s="69"/>
      <c r="E1723" s="70"/>
      <c r="F1723" s="71" t="s">
        <v>90</v>
      </c>
      <c r="G1723" s="27" t="s">
        <v>1110</v>
      </c>
      <c r="H1723" s="80">
        <f>6.1*1.84*12*7.85</f>
        <v>1057.3007999999998</v>
      </c>
      <c r="I1723" s="60" t="s">
        <v>91</v>
      </c>
      <c r="J1723" s="46">
        <v>30500</v>
      </c>
      <c r="K1723" s="26"/>
      <c r="L1723" s="42">
        <f t="shared" si="81"/>
        <v>32247674.399999991</v>
      </c>
    </row>
    <row r="1724" spans="2:12" x14ac:dyDescent="0.35">
      <c r="B1724" s="86"/>
      <c r="C1724" s="89"/>
      <c r="D1724" s="69"/>
      <c r="E1724" s="70"/>
      <c r="F1724" s="71" t="s">
        <v>90</v>
      </c>
      <c r="G1724" s="27" t="s">
        <v>1111</v>
      </c>
      <c r="H1724" s="80">
        <f>6.1*1.84*12*7.85</f>
        <v>1057.3007999999998</v>
      </c>
      <c r="I1724" s="60" t="s">
        <v>91</v>
      </c>
      <c r="J1724" s="46">
        <v>30500</v>
      </c>
      <c r="K1724" s="26"/>
      <c r="L1724" s="42">
        <f t="shared" si="81"/>
        <v>32247674.399999991</v>
      </c>
    </row>
    <row r="1725" spans="2:12" x14ac:dyDescent="0.35">
      <c r="B1725" s="86"/>
      <c r="C1725" s="89"/>
      <c r="D1725" s="69"/>
      <c r="E1725" s="70"/>
      <c r="F1725" s="71" t="s">
        <v>90</v>
      </c>
      <c r="G1725" s="27" t="s">
        <v>1112</v>
      </c>
      <c r="H1725" s="80">
        <f>6.1*1.84*12*7.85</f>
        <v>1057.3007999999998</v>
      </c>
      <c r="I1725" s="60" t="s">
        <v>91</v>
      </c>
      <c r="J1725" s="46">
        <v>30500</v>
      </c>
      <c r="K1725" s="26"/>
      <c r="L1725" s="42">
        <f t="shared" si="81"/>
        <v>32247674.399999991</v>
      </c>
    </row>
    <row r="1726" spans="2:12" x14ac:dyDescent="0.35">
      <c r="B1726" s="86"/>
      <c r="C1726" s="89"/>
      <c r="D1726" s="69"/>
      <c r="E1726" s="70"/>
      <c r="F1726" s="71" t="s">
        <v>90</v>
      </c>
      <c r="G1726" s="27" t="s">
        <v>1102</v>
      </c>
      <c r="H1726" s="80">
        <f>6.1*1.84*12*7.85</f>
        <v>1057.3007999999998</v>
      </c>
      <c r="I1726" s="60" t="s">
        <v>91</v>
      </c>
      <c r="J1726" s="46">
        <v>30500</v>
      </c>
      <c r="K1726" s="26"/>
      <c r="L1726" s="42">
        <f t="shared" si="81"/>
        <v>32247674.399999991</v>
      </c>
    </row>
    <row r="1727" spans="2:12" x14ac:dyDescent="0.35">
      <c r="B1727" s="86"/>
      <c r="C1727" s="89"/>
      <c r="D1727" s="69"/>
      <c r="E1727" s="70"/>
      <c r="F1727" s="71" t="s">
        <v>90</v>
      </c>
      <c r="G1727" s="27" t="s">
        <v>1113</v>
      </c>
      <c r="H1727" s="80">
        <f>6.08*1.83*12*7.85</f>
        <v>1048.1068799999998</v>
      </c>
      <c r="I1727" s="60" t="s">
        <v>91</v>
      </c>
      <c r="J1727" s="46">
        <v>30500</v>
      </c>
      <c r="K1727" s="26"/>
      <c r="L1727" s="42">
        <f t="shared" si="81"/>
        <v>31967259.839999996</v>
      </c>
    </row>
    <row r="1728" spans="2:12" x14ac:dyDescent="0.35">
      <c r="B1728" s="86"/>
      <c r="C1728" s="89"/>
      <c r="D1728" s="69"/>
      <c r="E1728" s="70"/>
      <c r="F1728" s="71" t="s">
        <v>90</v>
      </c>
      <c r="G1728" s="27" t="s">
        <v>1058</v>
      </c>
      <c r="H1728" s="80">
        <f>6.1*1.53*12*7.85</f>
        <v>879.16860000000008</v>
      </c>
      <c r="I1728" s="60" t="s">
        <v>91</v>
      </c>
      <c r="J1728" s="46">
        <v>30500</v>
      </c>
      <c r="K1728" s="26"/>
      <c r="L1728" s="42">
        <f t="shared" si="81"/>
        <v>26814642.300000001</v>
      </c>
    </row>
    <row r="1729" spans="2:12" x14ac:dyDescent="0.35">
      <c r="B1729" s="86"/>
      <c r="C1729" s="89"/>
      <c r="D1729" s="69" t="s">
        <v>285</v>
      </c>
      <c r="E1729" s="70"/>
      <c r="F1729" s="71" t="s">
        <v>1114</v>
      </c>
      <c r="G1729" s="27"/>
      <c r="H1729" s="80"/>
      <c r="I1729" s="60"/>
      <c r="J1729" s="46"/>
      <c r="K1729" s="26"/>
      <c r="L1729" s="48"/>
    </row>
    <row r="1730" spans="2:12" x14ac:dyDescent="0.35">
      <c r="B1730" s="86"/>
      <c r="C1730" s="89"/>
      <c r="D1730" s="69"/>
      <c r="E1730" s="70"/>
      <c r="F1730" s="71" t="s">
        <v>90</v>
      </c>
      <c r="G1730" s="27" t="s">
        <v>203</v>
      </c>
      <c r="H1730" s="80">
        <f>6.1*1.83*12*7.85</f>
        <v>1051.5546000000002</v>
      </c>
      <c r="I1730" s="60" t="s">
        <v>91</v>
      </c>
      <c r="J1730" s="46">
        <v>30500</v>
      </c>
      <c r="K1730" s="26"/>
      <c r="L1730" s="42">
        <f t="shared" si="81"/>
        <v>32072415.300000004</v>
      </c>
    </row>
    <row r="1731" spans="2:12" x14ac:dyDescent="0.35">
      <c r="B1731" s="86"/>
      <c r="C1731" s="89"/>
      <c r="D1731" s="69"/>
      <c r="E1731" s="70"/>
      <c r="F1731" s="71" t="s">
        <v>90</v>
      </c>
      <c r="G1731" s="27" t="s">
        <v>205</v>
      </c>
      <c r="H1731" s="80">
        <f>6.1*1.83*12*7.85</f>
        <v>1051.5546000000002</v>
      </c>
      <c r="I1731" s="60" t="s">
        <v>91</v>
      </c>
      <c r="J1731" s="46">
        <v>30500</v>
      </c>
      <c r="K1731" s="26"/>
      <c r="L1731" s="42">
        <f t="shared" si="81"/>
        <v>32072415.300000004</v>
      </c>
    </row>
    <row r="1732" spans="2:12" x14ac:dyDescent="0.35">
      <c r="B1732" s="86"/>
      <c r="C1732" s="89"/>
      <c r="D1732" s="69"/>
      <c r="E1732" s="70"/>
      <c r="F1732" s="71" t="s">
        <v>90</v>
      </c>
      <c r="G1732" s="27" t="s">
        <v>206</v>
      </c>
      <c r="H1732" s="80">
        <f>6.1*1.83*12*7.85</f>
        <v>1051.5546000000002</v>
      </c>
      <c r="I1732" s="60" t="s">
        <v>91</v>
      </c>
      <c r="J1732" s="46">
        <v>30500</v>
      </c>
      <c r="K1732" s="26"/>
      <c r="L1732" s="42">
        <f t="shared" si="81"/>
        <v>32072415.300000004</v>
      </c>
    </row>
    <row r="1733" spans="2:12" x14ac:dyDescent="0.35">
      <c r="B1733" s="86"/>
      <c r="C1733" s="89"/>
      <c r="D1733" s="69"/>
      <c r="E1733" s="70"/>
      <c r="F1733" s="71" t="s">
        <v>90</v>
      </c>
      <c r="G1733" s="27" t="s">
        <v>207</v>
      </c>
      <c r="H1733" s="80">
        <f>6.1*1.83*12*7.85</f>
        <v>1051.5546000000002</v>
      </c>
      <c r="I1733" s="60" t="s">
        <v>91</v>
      </c>
      <c r="J1733" s="46">
        <v>30500</v>
      </c>
      <c r="K1733" s="26"/>
      <c r="L1733" s="42">
        <f t="shared" si="81"/>
        <v>32072415.300000004</v>
      </c>
    </row>
    <row r="1734" spans="2:12" x14ac:dyDescent="0.35">
      <c r="B1734" s="86"/>
      <c r="C1734" s="89"/>
      <c r="D1734" s="69"/>
      <c r="E1734" s="70"/>
      <c r="F1734" s="71" t="s">
        <v>90</v>
      </c>
      <c r="G1734" s="27" t="s">
        <v>1056</v>
      </c>
      <c r="H1734" s="80">
        <f t="shared" ref="H1734:H1735" si="85">6.1*1.83*12*7.85</f>
        <v>1051.5546000000002</v>
      </c>
      <c r="I1734" s="60" t="s">
        <v>91</v>
      </c>
      <c r="J1734" s="46">
        <v>30500</v>
      </c>
      <c r="K1734" s="26"/>
      <c r="L1734" s="42">
        <f t="shared" si="81"/>
        <v>32072415.300000004</v>
      </c>
    </row>
    <row r="1735" spans="2:12" x14ac:dyDescent="0.35">
      <c r="B1735" s="86"/>
      <c r="C1735" s="89"/>
      <c r="D1735" s="69"/>
      <c r="E1735" s="70"/>
      <c r="F1735" s="71" t="s">
        <v>90</v>
      </c>
      <c r="G1735" s="27" t="s">
        <v>1057</v>
      </c>
      <c r="H1735" s="80">
        <f t="shared" si="85"/>
        <v>1051.5546000000002</v>
      </c>
      <c r="I1735" s="60" t="s">
        <v>91</v>
      </c>
      <c r="J1735" s="46">
        <v>30500</v>
      </c>
      <c r="K1735" s="26"/>
      <c r="L1735" s="42">
        <f t="shared" si="81"/>
        <v>32072415.300000004</v>
      </c>
    </row>
    <row r="1736" spans="2:12" x14ac:dyDescent="0.35">
      <c r="B1736" s="86"/>
      <c r="C1736" s="89"/>
      <c r="D1736" s="69"/>
      <c r="E1736" s="70"/>
      <c r="F1736" s="71" t="s">
        <v>90</v>
      </c>
      <c r="G1736" s="27" t="s">
        <v>1058</v>
      </c>
      <c r="H1736" s="80">
        <f>6.1*1.53*12*7.85</f>
        <v>879.16860000000008</v>
      </c>
      <c r="I1736" s="60" t="s">
        <v>91</v>
      </c>
      <c r="J1736" s="46">
        <v>30500</v>
      </c>
      <c r="K1736" s="26"/>
      <c r="L1736" s="42">
        <f t="shared" si="81"/>
        <v>26814642.300000001</v>
      </c>
    </row>
    <row r="1737" spans="2:12" x14ac:dyDescent="0.35">
      <c r="B1737" s="86"/>
      <c r="C1737" s="89"/>
      <c r="D1737" s="69" t="s">
        <v>287</v>
      </c>
      <c r="E1737" s="70"/>
      <c r="F1737" s="71" t="s">
        <v>1115</v>
      </c>
      <c r="G1737" s="27"/>
      <c r="H1737" s="80"/>
      <c r="I1737" s="60"/>
      <c r="J1737" s="46"/>
      <c r="K1737" s="26"/>
      <c r="L1737" s="48"/>
    </row>
    <row r="1738" spans="2:12" x14ac:dyDescent="0.35">
      <c r="B1738" s="86"/>
      <c r="C1738" s="89"/>
      <c r="D1738" s="69"/>
      <c r="E1738" s="70"/>
      <c r="F1738" s="71" t="s">
        <v>90</v>
      </c>
      <c r="G1738" s="27" t="s">
        <v>1061</v>
      </c>
      <c r="H1738" s="80">
        <f>6.1*1.1*12*7.85</f>
        <v>632.08199999999999</v>
      </c>
      <c r="I1738" s="60" t="s">
        <v>91</v>
      </c>
      <c r="J1738" s="46">
        <v>30500</v>
      </c>
      <c r="K1738" s="26"/>
      <c r="L1738" s="42">
        <f t="shared" si="81"/>
        <v>19278501</v>
      </c>
    </row>
    <row r="1739" spans="2:12" x14ac:dyDescent="0.35">
      <c r="B1739" s="86"/>
      <c r="C1739" s="89"/>
      <c r="D1739" s="69"/>
      <c r="E1739" s="70"/>
      <c r="F1739" s="71" t="s">
        <v>90</v>
      </c>
      <c r="G1739" s="27" t="s">
        <v>1116</v>
      </c>
      <c r="H1739" s="80">
        <f>5.99*1.84*12*7.85</f>
        <v>1038.2347200000002</v>
      </c>
      <c r="I1739" s="60" t="s">
        <v>91</v>
      </c>
      <c r="J1739" s="46">
        <v>30500</v>
      </c>
      <c r="K1739" s="26"/>
      <c r="L1739" s="42">
        <f t="shared" si="81"/>
        <v>31666158.960000005</v>
      </c>
    </row>
    <row r="1740" spans="2:12" x14ac:dyDescent="0.35">
      <c r="B1740" s="86"/>
      <c r="C1740" s="89"/>
      <c r="D1740" s="69"/>
      <c r="E1740" s="70"/>
      <c r="F1740" s="71" t="s">
        <v>90</v>
      </c>
      <c r="G1740" s="27" t="s">
        <v>1117</v>
      </c>
      <c r="H1740" s="80">
        <f t="shared" ref="H1740:H1742" si="86">5.99*1.84*12*7.85</f>
        <v>1038.2347200000002</v>
      </c>
      <c r="I1740" s="60" t="s">
        <v>91</v>
      </c>
      <c r="J1740" s="46">
        <v>30500</v>
      </c>
      <c r="K1740" s="26"/>
      <c r="L1740" s="42">
        <f t="shared" si="81"/>
        <v>31666158.960000005</v>
      </c>
    </row>
    <row r="1741" spans="2:12" x14ac:dyDescent="0.35">
      <c r="B1741" s="86"/>
      <c r="C1741" s="89"/>
      <c r="D1741" s="69"/>
      <c r="E1741" s="70"/>
      <c r="F1741" s="71" t="s">
        <v>90</v>
      </c>
      <c r="G1741" s="27" t="s">
        <v>1118</v>
      </c>
      <c r="H1741" s="80">
        <f t="shared" si="86"/>
        <v>1038.2347200000002</v>
      </c>
      <c r="I1741" s="60" t="s">
        <v>91</v>
      </c>
      <c r="J1741" s="46">
        <v>30500</v>
      </c>
      <c r="K1741" s="26"/>
      <c r="L1741" s="42">
        <f t="shared" si="81"/>
        <v>31666158.960000005</v>
      </c>
    </row>
    <row r="1742" spans="2:12" x14ac:dyDescent="0.35">
      <c r="B1742" s="86"/>
      <c r="C1742" s="89"/>
      <c r="D1742" s="69"/>
      <c r="E1742" s="70"/>
      <c r="F1742" s="71" t="s">
        <v>90</v>
      </c>
      <c r="G1742" s="27" t="s">
        <v>1119</v>
      </c>
      <c r="H1742" s="80">
        <f t="shared" si="86"/>
        <v>1038.2347200000002</v>
      </c>
      <c r="I1742" s="60" t="s">
        <v>91</v>
      </c>
      <c r="J1742" s="46">
        <v>30500</v>
      </c>
      <c r="K1742" s="26"/>
      <c r="L1742" s="42">
        <f t="shared" si="81"/>
        <v>31666158.960000005</v>
      </c>
    </row>
    <row r="1743" spans="2:12" x14ac:dyDescent="0.35">
      <c r="B1743" s="86"/>
      <c r="C1743" s="89"/>
      <c r="D1743" s="69"/>
      <c r="E1743" s="70"/>
      <c r="F1743" s="71" t="s">
        <v>90</v>
      </c>
      <c r="G1743" s="27" t="s">
        <v>1120</v>
      </c>
      <c r="H1743" s="80">
        <f>6.05*1.83*12*7.85</f>
        <v>1042.9353000000001</v>
      </c>
      <c r="I1743" s="60" t="s">
        <v>91</v>
      </c>
      <c r="J1743" s="46">
        <v>30500</v>
      </c>
      <c r="K1743" s="26"/>
      <c r="L1743" s="42">
        <f t="shared" si="81"/>
        <v>31809526.650000002</v>
      </c>
    </row>
    <row r="1744" spans="2:12" x14ac:dyDescent="0.35">
      <c r="B1744" s="86"/>
      <c r="C1744" s="89"/>
      <c r="D1744" s="69"/>
      <c r="E1744" s="70"/>
      <c r="F1744" s="71" t="s">
        <v>90</v>
      </c>
      <c r="G1744" s="27" t="s">
        <v>1058</v>
      </c>
      <c r="H1744" s="80">
        <f>6.1*1.53*12*7.85</f>
        <v>879.16860000000008</v>
      </c>
      <c r="I1744" s="60" t="s">
        <v>91</v>
      </c>
      <c r="J1744" s="46">
        <v>30500</v>
      </c>
      <c r="K1744" s="26"/>
      <c r="L1744" s="42">
        <f t="shared" si="81"/>
        <v>26814642.300000001</v>
      </c>
    </row>
    <row r="1745" spans="2:12" x14ac:dyDescent="0.35">
      <c r="B1745" s="70"/>
      <c r="C1745" s="89"/>
      <c r="D1745" s="69"/>
      <c r="E1745" s="70"/>
      <c r="F1745" s="64"/>
      <c r="G1745" s="27"/>
      <c r="H1745" s="80"/>
      <c r="I1745" s="60"/>
      <c r="J1745" s="46"/>
      <c r="K1745" s="26"/>
      <c r="L1745" s="48"/>
    </row>
    <row r="1746" spans="2:12" x14ac:dyDescent="0.35">
      <c r="B1746" s="150"/>
      <c r="C1746" s="87"/>
      <c r="D1746" s="88"/>
      <c r="E1746" s="70"/>
      <c r="F1746" s="71"/>
      <c r="G1746" s="27"/>
      <c r="H1746" s="80"/>
      <c r="I1746" s="173"/>
      <c r="J1746" s="46"/>
      <c r="K1746" s="26"/>
      <c r="L1746" s="48"/>
    </row>
    <row r="1747" spans="2:12" x14ac:dyDescent="0.35">
      <c r="B1747" s="148"/>
      <c r="C1747" s="87"/>
      <c r="D1747" s="51"/>
      <c r="E1747" s="136"/>
      <c r="F1747" s="105"/>
      <c r="G1747" s="106"/>
      <c r="H1747" s="100"/>
      <c r="I1747" s="60"/>
      <c r="J1747" s="46"/>
      <c r="K1747" s="26"/>
      <c r="L1747" s="48"/>
    </row>
    <row r="1748" spans="2:12" x14ac:dyDescent="0.35">
      <c r="B1748" s="8"/>
      <c r="C1748" s="9"/>
      <c r="D1748" s="10"/>
      <c r="E1748" s="4"/>
      <c r="F1748" s="4"/>
      <c r="G1748" s="4"/>
      <c r="H1748" s="1"/>
      <c r="I1748" s="1"/>
      <c r="J1748" s="11" t="s">
        <v>8</v>
      </c>
      <c r="K1748" s="7">
        <f>SUM(K1695:K1747)</f>
        <v>0</v>
      </c>
      <c r="L1748" s="7">
        <f>SUM(L1695:L1747)</f>
        <v>1302285152.7299998</v>
      </c>
    </row>
    <row r="1749" spans="2:12" x14ac:dyDescent="0.35">
      <c r="B1749" s="8"/>
      <c r="C1749" s="9"/>
      <c r="D1749" s="9"/>
      <c r="E1749" s="4"/>
      <c r="F1749" s="4"/>
      <c r="G1749" s="4"/>
      <c r="H1749" s="1"/>
      <c r="I1749" s="1"/>
      <c r="J1749" s="11"/>
      <c r="K1749" s="32" t="s">
        <v>13</v>
      </c>
      <c r="L1749" s="33" t="s">
        <v>14</v>
      </c>
    </row>
    <row r="1750" spans="2:12" x14ac:dyDescent="0.35">
      <c r="B1750" s="3" t="s">
        <v>9</v>
      </c>
      <c r="C1750" s="4"/>
      <c r="D1750" s="4"/>
      <c r="E1750" s="4"/>
      <c r="F1750" s="4"/>
      <c r="G1750" s="4"/>
      <c r="H1750" s="1"/>
      <c r="I1750" s="1"/>
      <c r="J1750" s="12"/>
      <c r="K1750" s="12"/>
      <c r="L1750" s="13"/>
    </row>
    <row r="1751" spans="2:12" x14ac:dyDescent="0.35">
      <c r="B1751" s="34"/>
      <c r="C1751" s="1"/>
      <c r="D1751" s="1"/>
      <c r="E1751" s="35"/>
      <c r="F1751" s="35"/>
      <c r="G1751" s="35"/>
      <c r="H1751" s="1"/>
      <c r="I1751" s="1"/>
      <c r="J1751" s="1"/>
      <c r="K1751" s="1"/>
      <c r="L1751" s="17"/>
    </row>
    <row r="1752" spans="2:12" x14ac:dyDescent="0.35">
      <c r="B1752" s="25" t="s">
        <v>6</v>
      </c>
      <c r="C1752" s="24"/>
      <c r="D1752" s="24"/>
      <c r="E1752" s="23"/>
      <c r="F1752" s="23"/>
      <c r="G1752" s="5"/>
      <c r="K1752" s="227" t="s">
        <v>1292</v>
      </c>
      <c r="L1752" s="228"/>
    </row>
    <row r="1753" spans="2:12" x14ac:dyDescent="0.35">
      <c r="B1753" s="25">
        <v>1</v>
      </c>
      <c r="C1753" s="24"/>
      <c r="D1753" s="24"/>
      <c r="E1753" s="23" t="s">
        <v>7</v>
      </c>
      <c r="F1753" s="23"/>
      <c r="G1753" s="5"/>
      <c r="K1753" s="227" t="s">
        <v>18</v>
      </c>
      <c r="L1753" s="228"/>
    </row>
    <row r="1754" spans="2:12" x14ac:dyDescent="0.35">
      <c r="B1754" s="36"/>
      <c r="C1754" s="24"/>
      <c r="D1754" s="24"/>
      <c r="E1754" s="23"/>
      <c r="F1754" s="23"/>
      <c r="G1754" s="5"/>
      <c r="J1754" s="22"/>
      <c r="K1754" s="22"/>
      <c r="L1754" s="21"/>
    </row>
    <row r="1755" spans="2:12" x14ac:dyDescent="0.35">
      <c r="B1755" s="25"/>
      <c r="C1755" s="24"/>
      <c r="D1755" s="24"/>
      <c r="E1755" s="23"/>
      <c r="F1755" s="23"/>
      <c r="G1755" s="5"/>
      <c r="L1755" s="20"/>
    </row>
    <row r="1756" spans="2:12" x14ac:dyDescent="0.35">
      <c r="B1756" s="41"/>
      <c r="E1756" s="5"/>
      <c r="F1756" s="5"/>
      <c r="G1756" s="5"/>
      <c r="L1756" s="20"/>
    </row>
    <row r="1757" spans="2:12" x14ac:dyDescent="0.35">
      <c r="B1757" s="41"/>
      <c r="E1757" s="5"/>
      <c r="F1757" s="5"/>
      <c r="G1757" s="5"/>
      <c r="L1757" s="20"/>
    </row>
    <row r="1758" spans="2:12" x14ac:dyDescent="0.35">
      <c r="B1758" s="41"/>
      <c r="E1758" s="5"/>
      <c r="F1758" s="5"/>
      <c r="G1758" s="5"/>
      <c r="L1758" s="20"/>
    </row>
    <row r="1759" spans="2:12" x14ac:dyDescent="0.35">
      <c r="B1759" s="41"/>
      <c r="E1759" s="5"/>
      <c r="F1759" s="5"/>
      <c r="G1759" s="5"/>
      <c r="J1759" s="37"/>
      <c r="K1759" s="229" t="s">
        <v>26</v>
      </c>
      <c r="L1759" s="230"/>
    </row>
    <row r="1760" spans="2:12" x14ac:dyDescent="0.35">
      <c r="B1760" s="41"/>
      <c r="K1760" s="231" t="s">
        <v>27</v>
      </c>
      <c r="L1760" s="232"/>
    </row>
    <row r="1761" spans="2:12" x14ac:dyDescent="0.35">
      <c r="B1761" s="233"/>
      <c r="C1761" s="234"/>
      <c r="D1761" s="234"/>
      <c r="E1761" s="38"/>
      <c r="F1761" s="38"/>
      <c r="G1761" s="38"/>
      <c r="H1761" s="2"/>
      <c r="I1761" s="2"/>
      <c r="J1761" s="2"/>
      <c r="K1761" s="2"/>
      <c r="L1761" s="19"/>
    </row>
    <row r="1762" spans="2:12" x14ac:dyDescent="0.35">
      <c r="B1762" s="43"/>
      <c r="C1762" s="44"/>
      <c r="D1762" s="45"/>
      <c r="G1762" s="20"/>
      <c r="H1762" s="1"/>
      <c r="I1762" s="1"/>
      <c r="J1762" s="39"/>
      <c r="K1762" s="27"/>
      <c r="L1762" s="40"/>
    </row>
    <row r="1763" spans="2:12" x14ac:dyDescent="0.35">
      <c r="B1763" s="86"/>
      <c r="C1763" s="89"/>
      <c r="D1763" s="69" t="s">
        <v>289</v>
      </c>
      <c r="E1763" s="70"/>
      <c r="F1763" s="71" t="s">
        <v>1121</v>
      </c>
      <c r="G1763" s="27"/>
      <c r="H1763" s="80"/>
      <c r="I1763" s="60"/>
      <c r="J1763" s="151"/>
      <c r="K1763" s="152"/>
      <c r="L1763" s="153"/>
    </row>
    <row r="1764" spans="2:12" x14ac:dyDescent="0.35">
      <c r="B1764" s="86"/>
      <c r="C1764" s="89"/>
      <c r="D1764" s="69"/>
      <c r="E1764" s="70"/>
      <c r="F1764" s="71" t="s">
        <v>90</v>
      </c>
      <c r="G1764" s="27" t="s">
        <v>1122</v>
      </c>
      <c r="H1764" s="80">
        <f>6.1*1.84*12*7.85</f>
        <v>1057.3007999999998</v>
      </c>
      <c r="I1764" s="60" t="s">
        <v>91</v>
      </c>
      <c r="J1764" s="46">
        <v>30500</v>
      </c>
      <c r="K1764" s="47"/>
      <c r="L1764" s="42">
        <f t="shared" ref="L1764:L1770" si="87">J1764*H1764</f>
        <v>32247674.399999991</v>
      </c>
    </row>
    <row r="1765" spans="2:12" x14ac:dyDescent="0.35">
      <c r="B1765" s="86"/>
      <c r="C1765" s="89"/>
      <c r="D1765" s="69"/>
      <c r="E1765" s="70"/>
      <c r="F1765" s="71" t="s">
        <v>90</v>
      </c>
      <c r="G1765" s="27" t="s">
        <v>1123</v>
      </c>
      <c r="H1765" s="80">
        <f>4.6*1.84*12*7.85</f>
        <v>797.30880000000002</v>
      </c>
      <c r="I1765" s="60" t="s">
        <v>91</v>
      </c>
      <c r="J1765" s="46">
        <v>30500</v>
      </c>
      <c r="K1765" s="47"/>
      <c r="L1765" s="42">
        <f t="shared" si="87"/>
        <v>24317918.400000002</v>
      </c>
    </row>
    <row r="1766" spans="2:12" x14ac:dyDescent="0.35">
      <c r="B1766" s="86"/>
      <c r="C1766" s="89"/>
      <c r="D1766" s="69"/>
      <c r="E1766" s="70"/>
      <c r="F1766" s="71" t="s">
        <v>90</v>
      </c>
      <c r="G1766" s="27" t="s">
        <v>1124</v>
      </c>
      <c r="H1766" s="80">
        <f>4.6*1.84*12*7.85</f>
        <v>797.30880000000002</v>
      </c>
      <c r="I1766" s="60" t="s">
        <v>91</v>
      </c>
      <c r="J1766" s="46">
        <v>30500</v>
      </c>
      <c r="K1766" s="47"/>
      <c r="L1766" s="42">
        <f t="shared" si="87"/>
        <v>24317918.400000002</v>
      </c>
    </row>
    <row r="1767" spans="2:12" x14ac:dyDescent="0.35">
      <c r="B1767" s="86"/>
      <c r="C1767" s="89"/>
      <c r="D1767" s="69"/>
      <c r="E1767" s="70"/>
      <c r="F1767" s="71" t="s">
        <v>90</v>
      </c>
      <c r="G1767" s="27" t="s">
        <v>1125</v>
      </c>
      <c r="H1767" s="80">
        <f>4.6*1.84*12*7.85</f>
        <v>797.30880000000002</v>
      </c>
      <c r="I1767" s="60" t="s">
        <v>91</v>
      </c>
      <c r="J1767" s="46">
        <v>30500</v>
      </c>
      <c r="K1767" s="55"/>
      <c r="L1767" s="42">
        <f t="shared" si="87"/>
        <v>24317918.400000002</v>
      </c>
    </row>
    <row r="1768" spans="2:12" x14ac:dyDescent="0.35">
      <c r="B1768" s="86"/>
      <c r="C1768" s="89"/>
      <c r="D1768" s="69"/>
      <c r="E1768" s="70"/>
      <c r="F1768" s="71" t="s">
        <v>90</v>
      </c>
      <c r="G1768" s="27" t="s">
        <v>1102</v>
      </c>
      <c r="H1768" s="80">
        <f>6.1*1.84*12*7.85</f>
        <v>1057.3007999999998</v>
      </c>
      <c r="I1768" s="60" t="s">
        <v>91</v>
      </c>
      <c r="J1768" s="46">
        <v>30500</v>
      </c>
      <c r="K1768" s="47"/>
      <c r="L1768" s="42">
        <f t="shared" si="87"/>
        <v>32247674.399999991</v>
      </c>
    </row>
    <row r="1769" spans="2:12" x14ac:dyDescent="0.35">
      <c r="B1769" s="86"/>
      <c r="C1769" s="89"/>
      <c r="D1769" s="69"/>
      <c r="E1769" s="70"/>
      <c r="F1769" s="71" t="s">
        <v>90</v>
      </c>
      <c r="G1769" s="27" t="s">
        <v>1103</v>
      </c>
      <c r="H1769" s="80">
        <f>6.1*1.84*12*7.85</f>
        <v>1057.3007999999998</v>
      </c>
      <c r="I1769" s="60" t="s">
        <v>91</v>
      </c>
      <c r="J1769" s="46">
        <v>30500</v>
      </c>
      <c r="K1769" s="55"/>
      <c r="L1769" s="42">
        <f t="shared" si="87"/>
        <v>32247674.399999991</v>
      </c>
    </row>
    <row r="1770" spans="2:12" x14ac:dyDescent="0.35">
      <c r="B1770" s="86"/>
      <c r="C1770" s="89"/>
      <c r="D1770" s="69"/>
      <c r="E1770" s="70"/>
      <c r="F1770" s="71" t="s">
        <v>90</v>
      </c>
      <c r="G1770" s="27" t="s">
        <v>1126</v>
      </c>
      <c r="H1770" s="80">
        <f>5.12*1.48*12*7.85</f>
        <v>713.80992000000003</v>
      </c>
      <c r="I1770" s="60" t="s">
        <v>91</v>
      </c>
      <c r="J1770" s="46">
        <v>30500</v>
      </c>
      <c r="K1770" s="47"/>
      <c r="L1770" s="42">
        <f t="shared" si="87"/>
        <v>21771202.560000002</v>
      </c>
    </row>
    <row r="1771" spans="2:12" x14ac:dyDescent="0.35">
      <c r="B1771" s="86"/>
      <c r="C1771" s="89"/>
      <c r="D1771" s="69" t="s">
        <v>1127</v>
      </c>
      <c r="E1771" s="70"/>
      <c r="F1771" s="71" t="s">
        <v>1128</v>
      </c>
      <c r="G1771" s="27"/>
      <c r="H1771" s="80"/>
      <c r="I1771" s="60"/>
      <c r="J1771" s="26"/>
      <c r="K1771" s="47"/>
      <c r="L1771" s="42"/>
    </row>
    <row r="1772" spans="2:12" x14ac:dyDescent="0.35">
      <c r="B1772" s="86"/>
      <c r="C1772" s="89"/>
      <c r="D1772" s="69"/>
      <c r="E1772" s="70"/>
      <c r="F1772" s="71" t="s">
        <v>90</v>
      </c>
      <c r="G1772" s="27" t="s">
        <v>1122</v>
      </c>
      <c r="H1772" s="80">
        <f>6.1*1.84*12*7.85</f>
        <v>1057.3007999999998</v>
      </c>
      <c r="I1772" s="60" t="s">
        <v>91</v>
      </c>
      <c r="J1772" s="46">
        <v>30500</v>
      </c>
      <c r="K1772" s="47"/>
      <c r="L1772" s="42">
        <f t="shared" ref="L1772:L1784" si="88">J1772*H1772</f>
        <v>32247674.399999991</v>
      </c>
    </row>
    <row r="1773" spans="2:12" x14ac:dyDescent="0.35">
      <c r="B1773" s="86"/>
      <c r="C1773" s="89"/>
      <c r="D1773" s="69"/>
      <c r="E1773" s="70"/>
      <c r="F1773" s="71" t="s">
        <v>90</v>
      </c>
      <c r="G1773" s="27" t="s">
        <v>1123</v>
      </c>
      <c r="H1773" s="80">
        <f>4.6*1.84*12*7.85</f>
        <v>797.30880000000002</v>
      </c>
      <c r="I1773" s="60" t="s">
        <v>91</v>
      </c>
      <c r="J1773" s="46">
        <v>30500</v>
      </c>
      <c r="K1773" s="47"/>
      <c r="L1773" s="42">
        <f t="shared" si="88"/>
        <v>24317918.400000002</v>
      </c>
    </row>
    <row r="1774" spans="2:12" x14ac:dyDescent="0.35">
      <c r="B1774" s="86"/>
      <c r="C1774" s="89"/>
      <c r="D1774" s="69"/>
      <c r="E1774" s="70"/>
      <c r="F1774" s="71" t="s">
        <v>90</v>
      </c>
      <c r="G1774" s="27" t="s">
        <v>1124</v>
      </c>
      <c r="H1774" s="80">
        <f>4.6*1.84*12*7.85</f>
        <v>797.30880000000002</v>
      </c>
      <c r="I1774" s="60" t="s">
        <v>91</v>
      </c>
      <c r="J1774" s="46">
        <v>30500</v>
      </c>
      <c r="K1774" s="42"/>
      <c r="L1774" s="42">
        <f t="shared" si="88"/>
        <v>24317918.400000002</v>
      </c>
    </row>
    <row r="1775" spans="2:12" x14ac:dyDescent="0.35">
      <c r="B1775" s="86"/>
      <c r="C1775" s="89"/>
      <c r="D1775" s="69"/>
      <c r="E1775" s="70"/>
      <c r="F1775" s="71" t="s">
        <v>90</v>
      </c>
      <c r="G1775" s="27" t="s">
        <v>1125</v>
      </c>
      <c r="H1775" s="80">
        <f>4.6*1.84*12*7.85</f>
        <v>797.30880000000002</v>
      </c>
      <c r="I1775" s="60" t="s">
        <v>91</v>
      </c>
      <c r="J1775" s="46">
        <v>30500</v>
      </c>
      <c r="K1775" s="55"/>
      <c r="L1775" s="42">
        <f t="shared" si="88"/>
        <v>24317918.400000002</v>
      </c>
    </row>
    <row r="1776" spans="2:12" x14ac:dyDescent="0.35">
      <c r="B1776" s="86"/>
      <c r="C1776" s="89"/>
      <c r="D1776" s="69"/>
      <c r="E1776" s="70"/>
      <c r="F1776" s="71" t="s">
        <v>90</v>
      </c>
      <c r="G1776" s="27" t="s">
        <v>1129</v>
      </c>
      <c r="H1776" s="80">
        <f>4.6*1.1*12*7.85</f>
        <v>476.65199999999999</v>
      </c>
      <c r="I1776" s="60" t="s">
        <v>91</v>
      </c>
      <c r="J1776" s="46">
        <v>30500</v>
      </c>
      <c r="K1776" s="26"/>
      <c r="L1776" s="42">
        <f t="shared" si="88"/>
        <v>14537886</v>
      </c>
    </row>
    <row r="1777" spans="2:12" x14ac:dyDescent="0.35">
      <c r="B1777" s="86"/>
      <c r="C1777" s="89"/>
      <c r="D1777" s="69"/>
      <c r="E1777" s="70"/>
      <c r="F1777" s="71" t="s">
        <v>90</v>
      </c>
      <c r="G1777" s="27" t="s">
        <v>1130</v>
      </c>
      <c r="H1777" s="80">
        <f>6.05*1.85*12*7.85</f>
        <v>1054.3335</v>
      </c>
      <c r="I1777" s="60" t="s">
        <v>91</v>
      </c>
      <c r="J1777" s="46">
        <v>30500</v>
      </c>
      <c r="K1777" s="26"/>
      <c r="L1777" s="42">
        <f t="shared" si="88"/>
        <v>32157171.75</v>
      </c>
    </row>
    <row r="1778" spans="2:12" x14ac:dyDescent="0.35">
      <c r="B1778" s="86"/>
      <c r="C1778" s="89"/>
      <c r="D1778" s="69"/>
      <c r="E1778" s="70"/>
      <c r="F1778" s="71" t="s">
        <v>90</v>
      </c>
      <c r="G1778" s="27" t="s">
        <v>1058</v>
      </c>
      <c r="H1778" s="80">
        <f>6.1*1.53*12*7.85</f>
        <v>879.16860000000008</v>
      </c>
      <c r="I1778" s="60" t="s">
        <v>91</v>
      </c>
      <c r="J1778" s="46">
        <v>30500</v>
      </c>
      <c r="K1778" s="26"/>
      <c r="L1778" s="42">
        <f t="shared" si="88"/>
        <v>26814642.300000001</v>
      </c>
    </row>
    <row r="1779" spans="2:12" x14ac:dyDescent="0.35">
      <c r="B1779" s="86"/>
      <c r="C1779" s="89"/>
      <c r="D1779" s="69" t="s">
        <v>1131</v>
      </c>
      <c r="E1779" s="70"/>
      <c r="F1779" s="71" t="s">
        <v>1132</v>
      </c>
      <c r="G1779" s="27"/>
      <c r="H1779" s="80"/>
      <c r="I1779" s="60"/>
      <c r="J1779" s="46"/>
      <c r="K1779" s="26"/>
      <c r="L1779" s="48"/>
    </row>
    <row r="1780" spans="2:12" x14ac:dyDescent="0.35">
      <c r="B1780" s="86"/>
      <c r="C1780" s="89"/>
      <c r="D1780" s="69"/>
      <c r="E1780" s="70"/>
      <c r="F1780" s="71" t="s">
        <v>90</v>
      </c>
      <c r="G1780" s="27" t="s">
        <v>1133</v>
      </c>
      <c r="H1780" s="80">
        <f>3.06*1.84*12*7.85</f>
        <v>530.38368000000003</v>
      </c>
      <c r="I1780" s="60" t="s">
        <v>91</v>
      </c>
      <c r="J1780" s="46">
        <v>30500</v>
      </c>
      <c r="K1780" s="26"/>
      <c r="L1780" s="42">
        <f t="shared" si="88"/>
        <v>16176702.24</v>
      </c>
    </row>
    <row r="1781" spans="2:12" x14ac:dyDescent="0.35">
      <c r="B1781" s="86"/>
      <c r="C1781" s="89"/>
      <c r="D1781" s="69" t="s">
        <v>1134</v>
      </c>
      <c r="E1781" s="70"/>
      <c r="F1781" s="71" t="s">
        <v>1135</v>
      </c>
      <c r="G1781" s="27"/>
      <c r="H1781" s="80"/>
      <c r="I1781" s="60"/>
      <c r="J1781" s="46"/>
      <c r="K1781" s="26"/>
      <c r="L1781" s="48"/>
    </row>
    <row r="1782" spans="2:12" x14ac:dyDescent="0.35">
      <c r="B1782" s="86"/>
      <c r="C1782" s="89"/>
      <c r="D1782" s="69"/>
      <c r="E1782" s="70"/>
      <c r="F1782" s="71" t="s">
        <v>90</v>
      </c>
      <c r="G1782" s="27" t="s">
        <v>1133</v>
      </c>
      <c r="H1782" s="80">
        <f>3.06*1.84*12*7.85</f>
        <v>530.38368000000003</v>
      </c>
      <c r="I1782" s="60" t="s">
        <v>91</v>
      </c>
      <c r="J1782" s="46">
        <v>30500</v>
      </c>
      <c r="K1782" s="26"/>
      <c r="L1782" s="42">
        <f t="shared" si="88"/>
        <v>16176702.24</v>
      </c>
    </row>
    <row r="1783" spans="2:12" x14ac:dyDescent="0.35">
      <c r="B1783" s="86"/>
      <c r="C1783" s="89"/>
      <c r="D1783" s="69" t="s">
        <v>1136</v>
      </c>
      <c r="E1783" s="70"/>
      <c r="F1783" s="71" t="s">
        <v>1137</v>
      </c>
      <c r="G1783" s="27"/>
      <c r="H1783" s="80"/>
      <c r="I1783" s="60"/>
      <c r="J1783" s="46"/>
      <c r="K1783" s="26"/>
      <c r="L1783" s="48"/>
    </row>
    <row r="1784" spans="2:12" x14ac:dyDescent="0.35">
      <c r="B1784" s="86"/>
      <c r="C1784" s="89"/>
      <c r="D1784" s="69"/>
      <c r="E1784" s="70"/>
      <c r="F1784" s="71" t="s">
        <v>90</v>
      </c>
      <c r="G1784" s="27" t="s">
        <v>1138</v>
      </c>
      <c r="H1784" s="80">
        <f>4.58*0.74*12*7.85</f>
        <v>319.26263999999998</v>
      </c>
      <c r="I1784" s="60" t="s">
        <v>91</v>
      </c>
      <c r="J1784" s="46">
        <v>30500</v>
      </c>
      <c r="K1784" s="26"/>
      <c r="L1784" s="42">
        <f t="shared" si="88"/>
        <v>9737510.5199999996</v>
      </c>
    </row>
    <row r="1785" spans="2:12" x14ac:dyDescent="0.35">
      <c r="B1785" s="86"/>
      <c r="C1785" s="89"/>
      <c r="D1785" s="69"/>
      <c r="E1785" s="70"/>
      <c r="F1785" s="71"/>
      <c r="G1785" s="27"/>
      <c r="H1785" s="80"/>
      <c r="I1785" s="60"/>
      <c r="J1785" s="46"/>
      <c r="K1785" s="26"/>
      <c r="L1785" s="48"/>
    </row>
    <row r="1786" spans="2:12" x14ac:dyDescent="0.35">
      <c r="B1786" s="158"/>
      <c r="C1786" s="84"/>
      <c r="D1786" s="69"/>
      <c r="E1786" s="75" t="s">
        <v>215</v>
      </c>
      <c r="F1786" s="76"/>
      <c r="G1786" s="77"/>
      <c r="H1786" s="80"/>
      <c r="I1786" s="49"/>
      <c r="J1786" s="46"/>
      <c r="K1786" s="26"/>
      <c r="L1786" s="48"/>
    </row>
    <row r="1787" spans="2:12" x14ac:dyDescent="0.35">
      <c r="B1787" s="148" t="s">
        <v>28</v>
      </c>
      <c r="C1787" s="87"/>
      <c r="D1787" s="62"/>
      <c r="E1787" s="67" t="s">
        <v>172</v>
      </c>
      <c r="F1787" s="64"/>
      <c r="G1787" s="65"/>
      <c r="H1787" s="174"/>
      <c r="I1787" s="93"/>
      <c r="J1787" s="46"/>
      <c r="K1787" s="26"/>
      <c r="L1787" s="48"/>
    </row>
    <row r="1788" spans="2:12" x14ac:dyDescent="0.35">
      <c r="B1788" s="115"/>
      <c r="C1788" s="89" t="s">
        <v>87</v>
      </c>
      <c r="D1788" s="130"/>
      <c r="E1788" s="71"/>
      <c r="F1788" s="71" t="s">
        <v>216</v>
      </c>
      <c r="G1788" s="27"/>
      <c r="H1788" s="125"/>
      <c r="I1788" s="126"/>
      <c r="J1788" s="46"/>
      <c r="K1788" s="26"/>
      <c r="L1788" s="48"/>
    </row>
    <row r="1789" spans="2:12" x14ac:dyDescent="0.35">
      <c r="B1789" s="162"/>
      <c r="C1789" s="89"/>
      <c r="D1789" s="130" t="s">
        <v>29</v>
      </c>
      <c r="E1789" s="71"/>
      <c r="F1789" s="71" t="s">
        <v>1139</v>
      </c>
      <c r="G1789" s="27"/>
      <c r="H1789" s="125">
        <v>1</v>
      </c>
      <c r="I1789" s="126" t="s">
        <v>880</v>
      </c>
      <c r="J1789" s="46">
        <v>150000</v>
      </c>
      <c r="K1789" s="26">
        <f>J1789*H1789</f>
        <v>150000</v>
      </c>
      <c r="L1789" s="48"/>
    </row>
    <row r="1790" spans="2:12" x14ac:dyDescent="0.35">
      <c r="B1790" s="195"/>
      <c r="C1790" s="196"/>
      <c r="D1790" s="131"/>
      <c r="E1790" s="132"/>
      <c r="F1790" s="71" t="s">
        <v>90</v>
      </c>
      <c r="G1790" s="27" t="s">
        <v>1140</v>
      </c>
      <c r="H1790" s="125">
        <v>4980</v>
      </c>
      <c r="I1790" s="126" t="s">
        <v>217</v>
      </c>
      <c r="J1790" s="55">
        <v>332</v>
      </c>
      <c r="K1790" s="26"/>
      <c r="L1790" s="42">
        <f t="shared" ref="L1790:L1793" si="89">J1790*H1790</f>
        <v>1653360</v>
      </c>
    </row>
    <row r="1791" spans="2:12" x14ac:dyDescent="0.35">
      <c r="B1791" s="115"/>
      <c r="C1791" s="88"/>
      <c r="D1791" s="69"/>
      <c r="E1791" s="201"/>
      <c r="F1791" s="71" t="s">
        <v>90</v>
      </c>
      <c r="G1791" s="27" t="s">
        <v>1141</v>
      </c>
      <c r="H1791" s="125">
        <v>1</v>
      </c>
      <c r="I1791" s="126" t="s">
        <v>72</v>
      </c>
      <c r="J1791" s="55">
        <v>145000</v>
      </c>
      <c r="K1791" s="26"/>
      <c r="L1791" s="42">
        <f t="shared" si="89"/>
        <v>145000</v>
      </c>
    </row>
    <row r="1792" spans="2:12" x14ac:dyDescent="0.35">
      <c r="B1792" s="115"/>
      <c r="C1792" s="88"/>
      <c r="D1792" s="69"/>
      <c r="E1792" s="201"/>
      <c r="F1792" s="71" t="s">
        <v>90</v>
      </c>
      <c r="G1792" s="27" t="s">
        <v>1142</v>
      </c>
      <c r="H1792" s="125">
        <v>1</v>
      </c>
      <c r="I1792" s="126" t="s">
        <v>72</v>
      </c>
      <c r="J1792" s="55">
        <v>90000</v>
      </c>
      <c r="K1792" s="26"/>
      <c r="L1792" s="42">
        <f t="shared" si="89"/>
        <v>90000</v>
      </c>
    </row>
    <row r="1793" spans="2:12" x14ac:dyDescent="0.35">
      <c r="B1793" s="115"/>
      <c r="C1793" s="88"/>
      <c r="D1793" s="69"/>
      <c r="E1793" s="201"/>
      <c r="F1793" s="71" t="s">
        <v>90</v>
      </c>
      <c r="G1793" s="27" t="s">
        <v>1143</v>
      </c>
      <c r="H1793" s="125">
        <v>1</v>
      </c>
      <c r="I1793" s="126" t="s">
        <v>72</v>
      </c>
      <c r="J1793" s="55">
        <v>35000</v>
      </c>
      <c r="K1793" s="26"/>
      <c r="L1793" s="42">
        <f t="shared" si="89"/>
        <v>35000</v>
      </c>
    </row>
    <row r="1794" spans="2:12" x14ac:dyDescent="0.35">
      <c r="B1794" s="162"/>
      <c r="C1794" s="89"/>
      <c r="D1794" s="130" t="s">
        <v>32</v>
      </c>
      <c r="E1794" s="71"/>
      <c r="F1794" s="71" t="s">
        <v>1144</v>
      </c>
      <c r="G1794" s="27"/>
      <c r="H1794" s="125">
        <v>1</v>
      </c>
      <c r="I1794" s="126" t="s">
        <v>880</v>
      </c>
      <c r="J1794" s="46">
        <v>150000</v>
      </c>
      <c r="K1794" s="26">
        <f>J1794*H1794</f>
        <v>150000</v>
      </c>
      <c r="L1794" s="48"/>
    </row>
    <row r="1795" spans="2:12" x14ac:dyDescent="0.35">
      <c r="B1795" s="195"/>
      <c r="C1795" s="196"/>
      <c r="D1795" s="131"/>
      <c r="E1795" s="132"/>
      <c r="F1795" s="71" t="s">
        <v>90</v>
      </c>
      <c r="G1795" s="27" t="s">
        <v>1140</v>
      </c>
      <c r="H1795" s="125">
        <f>5470+520</f>
        <v>5990</v>
      </c>
      <c r="I1795" s="126" t="s">
        <v>217</v>
      </c>
      <c r="J1795" s="55">
        <v>332</v>
      </c>
      <c r="K1795" s="26"/>
      <c r="L1795" s="42">
        <f t="shared" ref="L1795:L1798" si="90">J1795*H1795</f>
        <v>1988680</v>
      </c>
    </row>
    <row r="1796" spans="2:12" x14ac:dyDescent="0.35">
      <c r="B1796" s="115"/>
      <c r="C1796" s="88"/>
      <c r="D1796" s="69"/>
      <c r="E1796" s="201"/>
      <c r="F1796" s="71" t="s">
        <v>90</v>
      </c>
      <c r="G1796" s="27" t="s">
        <v>1141</v>
      </c>
      <c r="H1796" s="125">
        <v>1</v>
      </c>
      <c r="I1796" s="126" t="s">
        <v>72</v>
      </c>
      <c r="J1796" s="55">
        <v>145000</v>
      </c>
      <c r="K1796" s="26"/>
      <c r="L1796" s="42">
        <f t="shared" si="90"/>
        <v>145000</v>
      </c>
    </row>
    <row r="1797" spans="2:12" x14ac:dyDescent="0.35">
      <c r="B1797" s="115"/>
      <c r="C1797" s="88"/>
      <c r="D1797" s="69"/>
      <c r="E1797" s="201"/>
      <c r="F1797" s="71" t="s">
        <v>90</v>
      </c>
      <c r="G1797" s="27" t="s">
        <v>1142</v>
      </c>
      <c r="H1797" s="125">
        <v>1</v>
      </c>
      <c r="I1797" s="126" t="s">
        <v>72</v>
      </c>
      <c r="J1797" s="55">
        <v>90000</v>
      </c>
      <c r="K1797" s="26"/>
      <c r="L1797" s="42">
        <f t="shared" si="90"/>
        <v>90000</v>
      </c>
    </row>
    <row r="1798" spans="2:12" x14ac:dyDescent="0.35">
      <c r="B1798" s="115"/>
      <c r="C1798" s="88"/>
      <c r="D1798" s="69"/>
      <c r="E1798" s="201"/>
      <c r="F1798" s="71" t="s">
        <v>90</v>
      </c>
      <c r="G1798" s="27" t="s">
        <v>1143</v>
      </c>
      <c r="H1798" s="125">
        <v>1</v>
      </c>
      <c r="I1798" s="126" t="s">
        <v>72</v>
      </c>
      <c r="J1798" s="55">
        <v>35000</v>
      </c>
      <c r="K1798" s="26"/>
      <c r="L1798" s="42">
        <f t="shared" si="90"/>
        <v>35000</v>
      </c>
    </row>
    <row r="1799" spans="2:12" x14ac:dyDescent="0.35">
      <c r="B1799" s="162"/>
      <c r="C1799" s="89"/>
      <c r="D1799" s="130" t="s">
        <v>34</v>
      </c>
      <c r="E1799" s="71"/>
      <c r="F1799" s="71" t="s">
        <v>1145</v>
      </c>
      <c r="G1799" s="27"/>
      <c r="H1799" s="125">
        <v>1</v>
      </c>
      <c r="I1799" s="126" t="s">
        <v>880</v>
      </c>
      <c r="J1799" s="46">
        <v>150000</v>
      </c>
      <c r="K1799" s="26">
        <f>J1799*H1799</f>
        <v>150000</v>
      </c>
      <c r="L1799" s="48"/>
    </row>
    <row r="1800" spans="2:12" x14ac:dyDescent="0.35">
      <c r="B1800" s="195"/>
      <c r="C1800" s="196"/>
      <c r="D1800" s="131"/>
      <c r="E1800" s="132"/>
      <c r="F1800" s="71" t="s">
        <v>90</v>
      </c>
      <c r="G1800" s="27" t="s">
        <v>1140</v>
      </c>
      <c r="H1800" s="125">
        <f>5600+380</f>
        <v>5980</v>
      </c>
      <c r="I1800" s="126" t="s">
        <v>217</v>
      </c>
      <c r="J1800" s="55">
        <v>332</v>
      </c>
      <c r="K1800" s="26"/>
      <c r="L1800" s="42">
        <f t="shared" ref="L1800:L1803" si="91">J1800*H1800</f>
        <v>1985360</v>
      </c>
    </row>
    <row r="1801" spans="2:12" x14ac:dyDescent="0.35">
      <c r="B1801" s="115"/>
      <c r="C1801" s="88"/>
      <c r="D1801" s="69"/>
      <c r="E1801" s="201"/>
      <c r="F1801" s="71" t="s">
        <v>90</v>
      </c>
      <c r="G1801" s="27" t="s">
        <v>1141</v>
      </c>
      <c r="H1801" s="125">
        <v>1</v>
      </c>
      <c r="I1801" s="126" t="s">
        <v>72</v>
      </c>
      <c r="J1801" s="55">
        <v>145000</v>
      </c>
      <c r="K1801" s="26"/>
      <c r="L1801" s="42">
        <f t="shared" si="91"/>
        <v>145000</v>
      </c>
    </row>
    <row r="1802" spans="2:12" x14ac:dyDescent="0.35">
      <c r="B1802" s="115"/>
      <c r="C1802" s="88"/>
      <c r="D1802" s="69"/>
      <c r="E1802" s="201"/>
      <c r="F1802" s="71" t="s">
        <v>90</v>
      </c>
      <c r="G1802" s="27" t="s">
        <v>1142</v>
      </c>
      <c r="H1802" s="125">
        <v>1</v>
      </c>
      <c r="I1802" s="126" t="s">
        <v>72</v>
      </c>
      <c r="J1802" s="55">
        <v>90000</v>
      </c>
      <c r="K1802" s="26"/>
      <c r="L1802" s="42">
        <f t="shared" si="91"/>
        <v>90000</v>
      </c>
    </row>
    <row r="1803" spans="2:12" x14ac:dyDescent="0.35">
      <c r="B1803" s="115"/>
      <c r="C1803" s="88"/>
      <c r="D1803" s="69"/>
      <c r="E1803" s="201"/>
      <c r="F1803" s="71" t="s">
        <v>90</v>
      </c>
      <c r="G1803" s="27" t="s">
        <v>1146</v>
      </c>
      <c r="H1803" s="125">
        <v>1</v>
      </c>
      <c r="I1803" s="126" t="s">
        <v>72</v>
      </c>
      <c r="J1803" s="55">
        <v>35000</v>
      </c>
      <c r="K1803" s="26"/>
      <c r="L1803" s="42">
        <f t="shared" si="91"/>
        <v>35000</v>
      </c>
    </row>
    <row r="1804" spans="2:12" x14ac:dyDescent="0.35">
      <c r="B1804" s="162"/>
      <c r="C1804" s="89"/>
      <c r="D1804" s="130" t="s">
        <v>36</v>
      </c>
      <c r="E1804" s="71"/>
      <c r="F1804" s="71" t="s">
        <v>1147</v>
      </c>
      <c r="G1804" s="27"/>
      <c r="H1804" s="125">
        <v>1</v>
      </c>
      <c r="I1804" s="126" t="s">
        <v>880</v>
      </c>
      <c r="J1804" s="46">
        <v>150000</v>
      </c>
      <c r="K1804" s="26">
        <f>J1804*H1804</f>
        <v>150000</v>
      </c>
      <c r="L1804" s="48"/>
    </row>
    <row r="1805" spans="2:12" x14ac:dyDescent="0.35">
      <c r="B1805" s="195"/>
      <c r="C1805" s="196"/>
      <c r="D1805" s="131"/>
      <c r="E1805" s="132"/>
      <c r="F1805" s="71" t="s">
        <v>90</v>
      </c>
      <c r="G1805" s="27" t="s">
        <v>1140</v>
      </c>
      <c r="H1805" s="125">
        <f>5600+380</f>
        <v>5980</v>
      </c>
      <c r="I1805" s="126" t="s">
        <v>217</v>
      </c>
      <c r="J1805" s="55">
        <v>332</v>
      </c>
      <c r="K1805" s="26"/>
      <c r="L1805" s="42">
        <f t="shared" ref="L1805:L1808" si="92">J1805*H1805</f>
        <v>1985360</v>
      </c>
    </row>
    <row r="1806" spans="2:12" x14ac:dyDescent="0.35">
      <c r="B1806" s="115"/>
      <c r="C1806" s="88"/>
      <c r="D1806" s="69"/>
      <c r="E1806" s="201"/>
      <c r="F1806" s="71" t="s">
        <v>90</v>
      </c>
      <c r="G1806" s="27" t="s">
        <v>1141</v>
      </c>
      <c r="H1806" s="125">
        <v>1</v>
      </c>
      <c r="I1806" s="126" t="s">
        <v>72</v>
      </c>
      <c r="J1806" s="55">
        <v>145000</v>
      </c>
      <c r="K1806" s="26"/>
      <c r="L1806" s="42">
        <f t="shared" si="92"/>
        <v>145000</v>
      </c>
    </row>
    <row r="1807" spans="2:12" x14ac:dyDescent="0.35">
      <c r="B1807" s="115"/>
      <c r="C1807" s="88"/>
      <c r="D1807" s="69"/>
      <c r="E1807" s="201"/>
      <c r="F1807" s="71" t="s">
        <v>90</v>
      </c>
      <c r="G1807" s="27" t="s">
        <v>1142</v>
      </c>
      <c r="H1807" s="125">
        <v>1</v>
      </c>
      <c r="I1807" s="126" t="s">
        <v>72</v>
      </c>
      <c r="J1807" s="55">
        <v>90000</v>
      </c>
      <c r="K1807" s="26"/>
      <c r="L1807" s="42">
        <f t="shared" si="92"/>
        <v>90000</v>
      </c>
    </row>
    <row r="1808" spans="2:12" x14ac:dyDescent="0.35">
      <c r="B1808" s="115"/>
      <c r="C1808" s="88"/>
      <c r="D1808" s="69"/>
      <c r="E1808" s="201"/>
      <c r="F1808" s="71" t="s">
        <v>90</v>
      </c>
      <c r="G1808" s="27" t="s">
        <v>1146</v>
      </c>
      <c r="H1808" s="125">
        <v>1</v>
      </c>
      <c r="I1808" s="126" t="s">
        <v>72</v>
      </c>
      <c r="J1808" s="55">
        <v>35000</v>
      </c>
      <c r="K1808" s="26"/>
      <c r="L1808" s="42">
        <f t="shared" si="92"/>
        <v>35000</v>
      </c>
    </row>
    <row r="1809" spans="2:12" x14ac:dyDescent="0.35">
      <c r="B1809" s="162"/>
      <c r="C1809" s="89"/>
      <c r="D1809" s="130" t="s">
        <v>38</v>
      </c>
      <c r="E1809" s="71"/>
      <c r="F1809" s="71" t="s">
        <v>1148</v>
      </c>
      <c r="G1809" s="27"/>
      <c r="H1809" s="125">
        <v>1</v>
      </c>
      <c r="I1809" s="126" t="s">
        <v>880</v>
      </c>
      <c r="J1809" s="46">
        <v>150000</v>
      </c>
      <c r="K1809" s="26">
        <f>J1809*H1809</f>
        <v>150000</v>
      </c>
      <c r="L1809" s="48"/>
    </row>
    <row r="1810" spans="2:12" x14ac:dyDescent="0.35">
      <c r="B1810" s="195"/>
      <c r="C1810" s="196"/>
      <c r="D1810" s="131"/>
      <c r="E1810" s="132"/>
      <c r="F1810" s="71" t="s">
        <v>90</v>
      </c>
      <c r="G1810" s="27" t="s">
        <v>1140</v>
      </c>
      <c r="H1810" s="125">
        <f>5420+570</f>
        <v>5990</v>
      </c>
      <c r="I1810" s="126" t="s">
        <v>217</v>
      </c>
      <c r="J1810" s="55">
        <v>332</v>
      </c>
      <c r="K1810" s="26"/>
      <c r="L1810" s="42">
        <f t="shared" ref="L1810:L1813" si="93">J1810*H1810</f>
        <v>1988680</v>
      </c>
    </row>
    <row r="1811" spans="2:12" x14ac:dyDescent="0.35">
      <c r="B1811" s="115"/>
      <c r="C1811" s="88"/>
      <c r="D1811" s="69"/>
      <c r="E1811" s="201"/>
      <c r="F1811" s="71" t="s">
        <v>90</v>
      </c>
      <c r="G1811" s="27" t="s">
        <v>1141</v>
      </c>
      <c r="H1811" s="125">
        <v>1</v>
      </c>
      <c r="I1811" s="126" t="s">
        <v>72</v>
      </c>
      <c r="J1811" s="55">
        <v>145000</v>
      </c>
      <c r="K1811" s="26"/>
      <c r="L1811" s="42">
        <f t="shared" si="93"/>
        <v>145000</v>
      </c>
    </row>
    <row r="1812" spans="2:12" x14ac:dyDescent="0.35">
      <c r="B1812" s="115"/>
      <c r="C1812" s="88"/>
      <c r="D1812" s="69"/>
      <c r="E1812" s="201"/>
      <c r="F1812" s="71" t="s">
        <v>90</v>
      </c>
      <c r="G1812" s="27" t="s">
        <v>1142</v>
      </c>
      <c r="H1812" s="125">
        <v>1</v>
      </c>
      <c r="I1812" s="126" t="s">
        <v>72</v>
      </c>
      <c r="J1812" s="55">
        <v>90000</v>
      </c>
      <c r="K1812" s="26"/>
      <c r="L1812" s="42">
        <f t="shared" si="93"/>
        <v>90000</v>
      </c>
    </row>
    <row r="1813" spans="2:12" x14ac:dyDescent="0.35">
      <c r="B1813" s="115"/>
      <c r="C1813" s="88"/>
      <c r="D1813" s="69"/>
      <c r="E1813" s="201"/>
      <c r="F1813" s="71" t="s">
        <v>90</v>
      </c>
      <c r="G1813" s="27" t="s">
        <v>1149</v>
      </c>
      <c r="H1813" s="125">
        <v>1</v>
      </c>
      <c r="I1813" s="126" t="s">
        <v>72</v>
      </c>
      <c r="J1813" s="55">
        <v>35000</v>
      </c>
      <c r="K1813" s="26"/>
      <c r="L1813" s="42">
        <f t="shared" si="93"/>
        <v>35000</v>
      </c>
    </row>
    <row r="1814" spans="2:12" x14ac:dyDescent="0.35">
      <c r="B1814" s="148"/>
      <c r="C1814" s="87"/>
      <c r="D1814" s="51"/>
      <c r="E1814" s="136"/>
      <c r="F1814" s="105"/>
      <c r="G1814" s="106"/>
      <c r="H1814" s="100"/>
      <c r="I1814" s="60"/>
      <c r="J1814" s="46"/>
      <c r="K1814" s="26"/>
      <c r="L1814" s="48"/>
    </row>
    <row r="1815" spans="2:12" x14ac:dyDescent="0.35">
      <c r="B1815" s="8"/>
      <c r="C1815" s="9"/>
      <c r="D1815" s="10"/>
      <c r="E1815" s="4"/>
      <c r="F1815" s="4"/>
      <c r="G1815" s="4"/>
      <c r="H1815" s="1"/>
      <c r="I1815" s="1"/>
      <c r="J1815" s="11" t="s">
        <v>8</v>
      </c>
      <c r="K1815" s="7">
        <f>SUM(K1762:K1814)</f>
        <v>750000</v>
      </c>
      <c r="L1815" s="7">
        <f>SUM(L1762:L1814)</f>
        <v>423221465.60999995</v>
      </c>
    </row>
    <row r="1816" spans="2:12" x14ac:dyDescent="0.35">
      <c r="B1816" s="8"/>
      <c r="C1816" s="9"/>
      <c r="D1816" s="9"/>
      <c r="E1816" s="4"/>
      <c r="F1816" s="4"/>
      <c r="G1816" s="4"/>
      <c r="H1816" s="1"/>
      <c r="I1816" s="1"/>
      <c r="J1816" s="11"/>
      <c r="K1816" s="32" t="s">
        <v>13</v>
      </c>
      <c r="L1816" s="33" t="s">
        <v>14</v>
      </c>
    </row>
    <row r="1817" spans="2:12" x14ac:dyDescent="0.35">
      <c r="B1817" s="3" t="s">
        <v>9</v>
      </c>
      <c r="C1817" s="4"/>
      <c r="D1817" s="4"/>
      <c r="E1817" s="4"/>
      <c r="F1817" s="4"/>
      <c r="G1817" s="4"/>
      <c r="H1817" s="1"/>
      <c r="I1817" s="1"/>
      <c r="J1817" s="12"/>
      <c r="K1817" s="12"/>
      <c r="L1817" s="13"/>
    </row>
    <row r="1818" spans="2:12" x14ac:dyDescent="0.35">
      <c r="B1818" s="34"/>
      <c r="C1818" s="1"/>
      <c r="D1818" s="1"/>
      <c r="E1818" s="35"/>
      <c r="F1818" s="35"/>
      <c r="G1818" s="35"/>
      <c r="H1818" s="1"/>
      <c r="I1818" s="1"/>
      <c r="J1818" s="1"/>
      <c r="K1818" s="1"/>
      <c r="L1818" s="17"/>
    </row>
    <row r="1819" spans="2:12" x14ac:dyDescent="0.35">
      <c r="B1819" s="25" t="s">
        <v>6</v>
      </c>
      <c r="C1819" s="24"/>
      <c r="D1819" s="24"/>
      <c r="E1819" s="23"/>
      <c r="F1819" s="23"/>
      <c r="G1819" s="5"/>
      <c r="K1819" s="227" t="s">
        <v>1292</v>
      </c>
      <c r="L1819" s="228"/>
    </row>
    <row r="1820" spans="2:12" x14ac:dyDescent="0.35">
      <c r="B1820" s="25">
        <v>1</v>
      </c>
      <c r="C1820" s="24"/>
      <c r="D1820" s="24"/>
      <c r="E1820" s="23" t="s">
        <v>7</v>
      </c>
      <c r="F1820" s="23"/>
      <c r="G1820" s="5"/>
      <c r="K1820" s="227" t="s">
        <v>18</v>
      </c>
      <c r="L1820" s="228"/>
    </row>
    <row r="1821" spans="2:12" x14ac:dyDescent="0.35">
      <c r="B1821" s="36"/>
      <c r="C1821" s="24"/>
      <c r="D1821" s="24"/>
      <c r="E1821" s="23"/>
      <c r="F1821" s="23"/>
      <c r="G1821" s="5"/>
      <c r="J1821" s="22"/>
      <c r="K1821" s="22"/>
      <c r="L1821" s="21"/>
    </row>
    <row r="1822" spans="2:12" x14ac:dyDescent="0.35">
      <c r="B1822" s="25"/>
      <c r="C1822" s="24"/>
      <c r="D1822" s="24"/>
      <c r="E1822" s="23"/>
      <c r="F1822" s="23"/>
      <c r="G1822" s="5"/>
      <c r="L1822" s="20"/>
    </row>
    <row r="1823" spans="2:12" x14ac:dyDescent="0.35">
      <c r="B1823" s="41"/>
      <c r="E1823" s="5"/>
      <c r="F1823" s="5"/>
      <c r="G1823" s="5"/>
      <c r="L1823" s="20"/>
    </row>
    <row r="1824" spans="2:12" x14ac:dyDescent="0.35">
      <c r="B1824" s="41"/>
      <c r="E1824" s="5"/>
      <c r="F1824" s="5"/>
      <c r="G1824" s="5"/>
      <c r="L1824" s="20"/>
    </row>
    <row r="1825" spans="2:12" x14ac:dyDescent="0.35">
      <c r="B1825" s="41"/>
      <c r="E1825" s="5"/>
      <c r="F1825" s="5"/>
      <c r="G1825" s="5"/>
      <c r="L1825" s="20"/>
    </row>
    <row r="1826" spans="2:12" x14ac:dyDescent="0.35">
      <c r="B1826" s="41"/>
      <c r="E1826" s="5"/>
      <c r="F1826" s="5"/>
      <c r="G1826" s="5"/>
      <c r="J1826" s="37"/>
      <c r="K1826" s="229" t="s">
        <v>26</v>
      </c>
      <c r="L1826" s="230"/>
    </row>
    <row r="1827" spans="2:12" x14ac:dyDescent="0.35">
      <c r="B1827" s="41"/>
      <c r="K1827" s="231" t="s">
        <v>27</v>
      </c>
      <c r="L1827" s="232"/>
    </row>
    <row r="1828" spans="2:12" x14ac:dyDescent="0.35">
      <c r="B1828" s="233"/>
      <c r="C1828" s="234"/>
      <c r="D1828" s="234"/>
      <c r="E1828" s="38"/>
      <c r="F1828" s="38"/>
      <c r="G1828" s="38"/>
      <c r="H1828" s="2"/>
      <c r="I1828" s="2"/>
      <c r="J1828" s="2"/>
      <c r="K1828" s="2"/>
      <c r="L1828" s="19"/>
    </row>
    <row r="1829" spans="2:12" x14ac:dyDescent="0.35">
      <c r="B1829" s="43"/>
      <c r="C1829" s="44"/>
      <c r="D1829" s="45"/>
      <c r="G1829" s="20"/>
      <c r="H1829" s="1"/>
      <c r="I1829" s="1"/>
      <c r="J1829" s="39"/>
      <c r="K1829" s="27"/>
      <c r="L1829" s="40"/>
    </row>
    <row r="1830" spans="2:12" x14ac:dyDescent="0.35">
      <c r="B1830" s="162"/>
      <c r="C1830" s="89"/>
      <c r="D1830" s="130" t="s">
        <v>39</v>
      </c>
      <c r="E1830" s="71"/>
      <c r="F1830" s="71" t="s">
        <v>1150</v>
      </c>
      <c r="G1830" s="27"/>
      <c r="H1830" s="125">
        <v>1</v>
      </c>
      <c r="I1830" s="126" t="s">
        <v>880</v>
      </c>
      <c r="J1830" s="46">
        <v>150000</v>
      </c>
      <c r="K1830" s="26">
        <f>J1830*H1830</f>
        <v>150000</v>
      </c>
      <c r="L1830" s="48"/>
    </row>
    <row r="1831" spans="2:12" x14ac:dyDescent="0.35">
      <c r="B1831" s="195"/>
      <c r="C1831" s="196"/>
      <c r="D1831" s="131"/>
      <c r="E1831" s="132"/>
      <c r="F1831" s="71" t="s">
        <v>90</v>
      </c>
      <c r="G1831" s="27" t="s">
        <v>1140</v>
      </c>
      <c r="H1831" s="125">
        <f>5420+570</f>
        <v>5990</v>
      </c>
      <c r="I1831" s="126" t="s">
        <v>217</v>
      </c>
      <c r="J1831" s="55">
        <v>332</v>
      </c>
      <c r="K1831" s="26"/>
      <c r="L1831" s="42">
        <f t="shared" ref="L1831:L1834" si="94">J1831*H1831</f>
        <v>1988680</v>
      </c>
    </row>
    <row r="1832" spans="2:12" x14ac:dyDescent="0.35">
      <c r="B1832" s="115"/>
      <c r="C1832" s="88"/>
      <c r="D1832" s="69"/>
      <c r="E1832" s="201"/>
      <c r="F1832" s="71" t="s">
        <v>90</v>
      </c>
      <c r="G1832" s="27" t="s">
        <v>1141</v>
      </c>
      <c r="H1832" s="125">
        <v>1</v>
      </c>
      <c r="I1832" s="126" t="s">
        <v>72</v>
      </c>
      <c r="J1832" s="55">
        <v>145000</v>
      </c>
      <c r="K1832" s="26"/>
      <c r="L1832" s="42">
        <f t="shared" si="94"/>
        <v>145000</v>
      </c>
    </row>
    <row r="1833" spans="2:12" x14ac:dyDescent="0.35">
      <c r="B1833" s="115"/>
      <c r="C1833" s="88"/>
      <c r="D1833" s="69"/>
      <c r="E1833" s="201"/>
      <c r="F1833" s="71" t="s">
        <v>90</v>
      </c>
      <c r="G1833" s="27" t="s">
        <v>1142</v>
      </c>
      <c r="H1833" s="125">
        <v>1</v>
      </c>
      <c r="I1833" s="126" t="s">
        <v>72</v>
      </c>
      <c r="J1833" s="55">
        <v>90000</v>
      </c>
      <c r="K1833" s="26"/>
      <c r="L1833" s="42">
        <f t="shared" si="94"/>
        <v>90000</v>
      </c>
    </row>
    <row r="1834" spans="2:12" x14ac:dyDescent="0.35">
      <c r="B1834" s="115"/>
      <c r="C1834" s="88"/>
      <c r="D1834" s="69"/>
      <c r="E1834" s="201"/>
      <c r="F1834" s="71" t="s">
        <v>90</v>
      </c>
      <c r="G1834" s="27" t="s">
        <v>1149</v>
      </c>
      <c r="H1834" s="125">
        <v>1</v>
      </c>
      <c r="I1834" s="126" t="s">
        <v>72</v>
      </c>
      <c r="J1834" s="55">
        <v>35000</v>
      </c>
      <c r="K1834" s="26"/>
      <c r="L1834" s="42">
        <f t="shared" si="94"/>
        <v>35000</v>
      </c>
    </row>
    <row r="1835" spans="2:12" x14ac:dyDescent="0.35">
      <c r="B1835" s="162"/>
      <c r="C1835" s="89"/>
      <c r="D1835" s="130" t="s">
        <v>41</v>
      </c>
      <c r="E1835" s="71"/>
      <c r="F1835" s="71" t="s">
        <v>1151</v>
      </c>
      <c r="G1835" s="27"/>
      <c r="H1835" s="125">
        <v>1</v>
      </c>
      <c r="I1835" s="126" t="s">
        <v>880</v>
      </c>
      <c r="J1835" s="46">
        <v>150000</v>
      </c>
      <c r="K1835" s="26">
        <f>J1835*H1835</f>
        <v>150000</v>
      </c>
      <c r="L1835" s="48"/>
    </row>
    <row r="1836" spans="2:12" x14ac:dyDescent="0.35">
      <c r="B1836" s="195"/>
      <c r="C1836" s="196"/>
      <c r="D1836" s="131"/>
      <c r="E1836" s="132"/>
      <c r="F1836" s="71" t="s">
        <v>90</v>
      </c>
      <c r="G1836" s="27" t="s">
        <v>1140</v>
      </c>
      <c r="H1836" s="125">
        <f>5420+570</f>
        <v>5990</v>
      </c>
      <c r="I1836" s="126" t="s">
        <v>217</v>
      </c>
      <c r="J1836" s="55">
        <v>332</v>
      </c>
      <c r="K1836" s="26"/>
      <c r="L1836" s="42">
        <f t="shared" ref="L1836:L1839" si="95">J1836*H1836</f>
        <v>1988680</v>
      </c>
    </row>
    <row r="1837" spans="2:12" x14ac:dyDescent="0.35">
      <c r="B1837" s="115"/>
      <c r="C1837" s="88"/>
      <c r="D1837" s="69"/>
      <c r="E1837" s="201"/>
      <c r="F1837" s="71" t="s">
        <v>90</v>
      </c>
      <c r="G1837" s="27" t="s">
        <v>1141</v>
      </c>
      <c r="H1837" s="125">
        <v>1</v>
      </c>
      <c r="I1837" s="126" t="s">
        <v>72</v>
      </c>
      <c r="J1837" s="55">
        <v>145000</v>
      </c>
      <c r="K1837" s="26"/>
      <c r="L1837" s="42">
        <f t="shared" si="95"/>
        <v>145000</v>
      </c>
    </row>
    <row r="1838" spans="2:12" x14ac:dyDescent="0.35">
      <c r="B1838" s="115"/>
      <c r="C1838" s="88"/>
      <c r="D1838" s="69"/>
      <c r="E1838" s="201"/>
      <c r="F1838" s="71" t="s">
        <v>90</v>
      </c>
      <c r="G1838" s="27" t="s">
        <v>1142</v>
      </c>
      <c r="H1838" s="125">
        <v>1</v>
      </c>
      <c r="I1838" s="126" t="s">
        <v>72</v>
      </c>
      <c r="J1838" s="55">
        <v>90000</v>
      </c>
      <c r="K1838" s="26"/>
      <c r="L1838" s="42">
        <f t="shared" si="95"/>
        <v>90000</v>
      </c>
    </row>
    <row r="1839" spans="2:12" x14ac:dyDescent="0.35">
      <c r="B1839" s="115"/>
      <c r="C1839" s="88"/>
      <c r="D1839" s="69"/>
      <c r="E1839" s="201"/>
      <c r="F1839" s="71" t="s">
        <v>90</v>
      </c>
      <c r="G1839" s="27" t="s">
        <v>1149</v>
      </c>
      <c r="H1839" s="125">
        <v>1</v>
      </c>
      <c r="I1839" s="126" t="s">
        <v>72</v>
      </c>
      <c r="J1839" s="55">
        <v>35000</v>
      </c>
      <c r="K1839" s="26"/>
      <c r="L1839" s="42">
        <f t="shared" si="95"/>
        <v>35000</v>
      </c>
    </row>
    <row r="1840" spans="2:12" x14ac:dyDescent="0.35">
      <c r="B1840" s="162"/>
      <c r="C1840" s="89"/>
      <c r="D1840" s="130" t="s">
        <v>43</v>
      </c>
      <c r="E1840" s="71"/>
      <c r="F1840" s="71" t="s">
        <v>1152</v>
      </c>
      <c r="G1840" s="27"/>
      <c r="H1840" s="125">
        <v>1</v>
      </c>
      <c r="I1840" s="126" t="s">
        <v>880</v>
      </c>
      <c r="J1840" s="46">
        <v>150000</v>
      </c>
      <c r="K1840" s="26">
        <f>J1840*H1840</f>
        <v>150000</v>
      </c>
      <c r="L1840" s="48"/>
    </row>
    <row r="1841" spans="2:12" x14ac:dyDescent="0.35">
      <c r="B1841" s="195"/>
      <c r="C1841" s="196"/>
      <c r="D1841" s="131"/>
      <c r="E1841" s="132"/>
      <c r="F1841" s="71" t="s">
        <v>90</v>
      </c>
      <c r="G1841" s="27" t="s">
        <v>1140</v>
      </c>
      <c r="H1841" s="125">
        <f>5420+570</f>
        <v>5990</v>
      </c>
      <c r="I1841" s="126" t="s">
        <v>217</v>
      </c>
      <c r="J1841" s="55">
        <v>332</v>
      </c>
      <c r="K1841" s="26"/>
      <c r="L1841" s="42">
        <f t="shared" ref="L1841:L1844" si="96">J1841*H1841</f>
        <v>1988680</v>
      </c>
    </row>
    <row r="1842" spans="2:12" x14ac:dyDescent="0.35">
      <c r="B1842" s="115"/>
      <c r="C1842" s="88"/>
      <c r="D1842" s="69"/>
      <c r="E1842" s="201"/>
      <c r="F1842" s="71" t="s">
        <v>90</v>
      </c>
      <c r="G1842" s="27" t="s">
        <v>1141</v>
      </c>
      <c r="H1842" s="125">
        <v>1</v>
      </c>
      <c r="I1842" s="126" t="s">
        <v>72</v>
      </c>
      <c r="J1842" s="55">
        <v>145000</v>
      </c>
      <c r="K1842" s="26"/>
      <c r="L1842" s="42">
        <f t="shared" si="96"/>
        <v>145000</v>
      </c>
    </row>
    <row r="1843" spans="2:12" x14ac:dyDescent="0.35">
      <c r="B1843" s="115"/>
      <c r="C1843" s="88"/>
      <c r="D1843" s="69"/>
      <c r="E1843" s="201"/>
      <c r="F1843" s="71" t="s">
        <v>90</v>
      </c>
      <c r="G1843" s="27" t="s">
        <v>1142</v>
      </c>
      <c r="H1843" s="125">
        <v>1</v>
      </c>
      <c r="I1843" s="126" t="s">
        <v>72</v>
      </c>
      <c r="J1843" s="55">
        <v>90000</v>
      </c>
      <c r="K1843" s="26"/>
      <c r="L1843" s="42">
        <f t="shared" si="96"/>
        <v>90000</v>
      </c>
    </row>
    <row r="1844" spans="2:12" x14ac:dyDescent="0.35">
      <c r="B1844" s="115"/>
      <c r="C1844" s="88"/>
      <c r="D1844" s="69"/>
      <c r="E1844" s="201"/>
      <c r="F1844" s="71" t="s">
        <v>90</v>
      </c>
      <c r="G1844" s="27" t="s">
        <v>1149</v>
      </c>
      <c r="H1844" s="125">
        <v>1</v>
      </c>
      <c r="I1844" s="126" t="s">
        <v>72</v>
      </c>
      <c r="J1844" s="55">
        <v>35000</v>
      </c>
      <c r="K1844" s="26"/>
      <c r="L1844" s="42">
        <f t="shared" si="96"/>
        <v>35000</v>
      </c>
    </row>
    <row r="1845" spans="2:12" x14ac:dyDescent="0.35">
      <c r="B1845" s="162"/>
      <c r="C1845" s="89"/>
      <c r="D1845" s="130" t="s">
        <v>44</v>
      </c>
      <c r="E1845" s="71"/>
      <c r="F1845" s="71" t="s">
        <v>1152</v>
      </c>
      <c r="G1845" s="27"/>
      <c r="H1845" s="125">
        <v>1</v>
      </c>
      <c r="I1845" s="126" t="s">
        <v>880</v>
      </c>
      <c r="J1845" s="46">
        <v>150000</v>
      </c>
      <c r="K1845" s="26">
        <f>J1845*H1845</f>
        <v>150000</v>
      </c>
      <c r="L1845" s="48"/>
    </row>
    <row r="1846" spans="2:12" x14ac:dyDescent="0.35">
      <c r="B1846" s="195"/>
      <c r="C1846" s="196"/>
      <c r="D1846" s="131"/>
      <c r="E1846" s="132"/>
      <c r="F1846" s="71" t="s">
        <v>90</v>
      </c>
      <c r="G1846" s="27" t="s">
        <v>1140</v>
      </c>
      <c r="H1846" s="125">
        <f>5420+570</f>
        <v>5990</v>
      </c>
      <c r="I1846" s="126" t="s">
        <v>217</v>
      </c>
      <c r="J1846" s="55">
        <v>332</v>
      </c>
      <c r="K1846" s="26"/>
      <c r="L1846" s="42">
        <f t="shared" ref="L1846:L1849" si="97">J1846*H1846</f>
        <v>1988680</v>
      </c>
    </row>
    <row r="1847" spans="2:12" x14ac:dyDescent="0.35">
      <c r="B1847" s="115"/>
      <c r="C1847" s="88"/>
      <c r="D1847" s="69"/>
      <c r="E1847" s="201"/>
      <c r="F1847" s="71" t="s">
        <v>90</v>
      </c>
      <c r="G1847" s="27" t="s">
        <v>1141</v>
      </c>
      <c r="H1847" s="125">
        <v>1</v>
      </c>
      <c r="I1847" s="126" t="s">
        <v>72</v>
      </c>
      <c r="J1847" s="55">
        <v>145000</v>
      </c>
      <c r="K1847" s="26"/>
      <c r="L1847" s="42">
        <f t="shared" si="97"/>
        <v>145000</v>
      </c>
    </row>
    <row r="1848" spans="2:12" x14ac:dyDescent="0.35">
      <c r="B1848" s="115"/>
      <c r="C1848" s="88"/>
      <c r="D1848" s="69"/>
      <c r="E1848" s="201"/>
      <c r="F1848" s="71" t="s">
        <v>90</v>
      </c>
      <c r="G1848" s="27" t="s">
        <v>1142</v>
      </c>
      <c r="H1848" s="125">
        <v>1</v>
      </c>
      <c r="I1848" s="126" t="s">
        <v>72</v>
      </c>
      <c r="J1848" s="55">
        <v>90000</v>
      </c>
      <c r="K1848" s="26"/>
      <c r="L1848" s="42">
        <f t="shared" si="97"/>
        <v>90000</v>
      </c>
    </row>
    <row r="1849" spans="2:12" x14ac:dyDescent="0.35">
      <c r="B1849" s="115"/>
      <c r="C1849" s="88"/>
      <c r="D1849" s="69"/>
      <c r="E1849" s="201"/>
      <c r="F1849" s="71" t="s">
        <v>90</v>
      </c>
      <c r="G1849" s="27" t="s">
        <v>1149</v>
      </c>
      <c r="H1849" s="125">
        <v>1</v>
      </c>
      <c r="I1849" s="126" t="s">
        <v>72</v>
      </c>
      <c r="J1849" s="55">
        <v>35000</v>
      </c>
      <c r="K1849" s="26"/>
      <c r="L1849" s="42">
        <f t="shared" si="97"/>
        <v>35000</v>
      </c>
    </row>
    <row r="1850" spans="2:12" x14ac:dyDescent="0.35">
      <c r="B1850" s="162"/>
      <c r="C1850" s="89"/>
      <c r="D1850" s="130" t="s">
        <v>54</v>
      </c>
      <c r="E1850" s="71"/>
      <c r="F1850" s="71" t="s">
        <v>1153</v>
      </c>
      <c r="G1850" s="27"/>
      <c r="H1850" s="125">
        <v>1</v>
      </c>
      <c r="I1850" s="126" t="s">
        <v>880</v>
      </c>
      <c r="J1850" s="46">
        <v>150000</v>
      </c>
      <c r="K1850" s="26">
        <f>J1850*H1850</f>
        <v>150000</v>
      </c>
      <c r="L1850" s="48"/>
    </row>
    <row r="1851" spans="2:12" x14ac:dyDescent="0.35">
      <c r="B1851" s="195"/>
      <c r="C1851" s="196"/>
      <c r="D1851" s="131"/>
      <c r="E1851" s="132"/>
      <c r="F1851" s="71" t="s">
        <v>90</v>
      </c>
      <c r="G1851" s="27" t="s">
        <v>1140</v>
      </c>
      <c r="H1851" s="125">
        <f>5440+550</f>
        <v>5990</v>
      </c>
      <c r="I1851" s="126" t="s">
        <v>217</v>
      </c>
      <c r="J1851" s="55">
        <v>332</v>
      </c>
      <c r="K1851" s="26"/>
      <c r="L1851" s="42">
        <f t="shared" ref="L1851:L1854" si="98">J1851*H1851</f>
        <v>1988680</v>
      </c>
    </row>
    <row r="1852" spans="2:12" x14ac:dyDescent="0.35">
      <c r="B1852" s="115"/>
      <c r="C1852" s="88"/>
      <c r="D1852" s="69"/>
      <c r="E1852" s="201"/>
      <c r="F1852" s="71" t="s">
        <v>90</v>
      </c>
      <c r="G1852" s="27" t="s">
        <v>1141</v>
      </c>
      <c r="H1852" s="125">
        <v>1</v>
      </c>
      <c r="I1852" s="126" t="s">
        <v>72</v>
      </c>
      <c r="J1852" s="55">
        <v>145000</v>
      </c>
      <c r="K1852" s="26"/>
      <c r="L1852" s="42">
        <f t="shared" si="98"/>
        <v>145000</v>
      </c>
    </row>
    <row r="1853" spans="2:12" x14ac:dyDescent="0.35">
      <c r="B1853" s="115"/>
      <c r="C1853" s="88"/>
      <c r="D1853" s="69"/>
      <c r="E1853" s="201"/>
      <c r="F1853" s="71" t="s">
        <v>90</v>
      </c>
      <c r="G1853" s="27" t="s">
        <v>1142</v>
      </c>
      <c r="H1853" s="125">
        <v>1</v>
      </c>
      <c r="I1853" s="126" t="s">
        <v>72</v>
      </c>
      <c r="J1853" s="55">
        <v>90000</v>
      </c>
      <c r="K1853" s="26"/>
      <c r="L1853" s="42">
        <f t="shared" si="98"/>
        <v>90000</v>
      </c>
    </row>
    <row r="1854" spans="2:12" x14ac:dyDescent="0.35">
      <c r="B1854" s="115"/>
      <c r="C1854" s="88"/>
      <c r="D1854" s="69"/>
      <c r="E1854" s="201"/>
      <c r="F1854" s="71" t="s">
        <v>90</v>
      </c>
      <c r="G1854" s="27" t="s">
        <v>1149</v>
      </c>
      <c r="H1854" s="125">
        <v>1</v>
      </c>
      <c r="I1854" s="126" t="s">
        <v>72</v>
      </c>
      <c r="J1854" s="55">
        <v>35000</v>
      </c>
      <c r="K1854" s="26"/>
      <c r="L1854" s="42">
        <f t="shared" si="98"/>
        <v>35000</v>
      </c>
    </row>
    <row r="1855" spans="2:12" x14ac:dyDescent="0.35">
      <c r="B1855" s="162"/>
      <c r="C1855" s="89"/>
      <c r="D1855" s="130" t="s">
        <v>56</v>
      </c>
      <c r="E1855" s="71"/>
      <c r="F1855" s="71" t="s">
        <v>1154</v>
      </c>
      <c r="G1855" s="27"/>
      <c r="H1855" s="125">
        <v>1</v>
      </c>
      <c r="I1855" s="126" t="s">
        <v>880</v>
      </c>
      <c r="J1855" s="46">
        <v>150000</v>
      </c>
      <c r="K1855" s="26">
        <f>J1855*H1855</f>
        <v>150000</v>
      </c>
      <c r="L1855" s="48"/>
    </row>
    <row r="1856" spans="2:12" x14ac:dyDescent="0.35">
      <c r="B1856" s="195"/>
      <c r="C1856" s="196"/>
      <c r="D1856" s="131"/>
      <c r="E1856" s="132"/>
      <c r="F1856" s="71" t="s">
        <v>90</v>
      </c>
      <c r="G1856" s="27" t="s">
        <v>1140</v>
      </c>
      <c r="H1856" s="125">
        <v>4980</v>
      </c>
      <c r="I1856" s="126" t="s">
        <v>217</v>
      </c>
      <c r="J1856" s="55">
        <v>332</v>
      </c>
      <c r="K1856" s="26"/>
      <c r="L1856" s="42">
        <f t="shared" ref="L1856:L1859" si="99">J1856*H1856</f>
        <v>1653360</v>
      </c>
    </row>
    <row r="1857" spans="2:12" x14ac:dyDescent="0.35">
      <c r="B1857" s="115"/>
      <c r="C1857" s="88"/>
      <c r="D1857" s="69"/>
      <c r="E1857" s="201"/>
      <c r="F1857" s="71" t="s">
        <v>90</v>
      </c>
      <c r="G1857" s="27" t="s">
        <v>1141</v>
      </c>
      <c r="H1857" s="125">
        <v>1</v>
      </c>
      <c r="I1857" s="126" t="s">
        <v>72</v>
      </c>
      <c r="J1857" s="55">
        <v>145000</v>
      </c>
      <c r="K1857" s="26"/>
      <c r="L1857" s="42">
        <f t="shared" si="99"/>
        <v>145000</v>
      </c>
    </row>
    <row r="1858" spans="2:12" x14ac:dyDescent="0.35">
      <c r="B1858" s="115"/>
      <c r="C1858" s="88"/>
      <c r="D1858" s="69"/>
      <c r="E1858" s="201"/>
      <c r="F1858" s="71" t="s">
        <v>90</v>
      </c>
      <c r="G1858" s="27" t="s">
        <v>1142</v>
      </c>
      <c r="H1858" s="125">
        <v>1</v>
      </c>
      <c r="I1858" s="126" t="s">
        <v>72</v>
      </c>
      <c r="J1858" s="55">
        <v>90000</v>
      </c>
      <c r="K1858" s="26"/>
      <c r="L1858" s="42">
        <f t="shared" si="99"/>
        <v>90000</v>
      </c>
    </row>
    <row r="1859" spans="2:12" x14ac:dyDescent="0.35">
      <c r="B1859" s="115"/>
      <c r="C1859" s="88"/>
      <c r="D1859" s="69"/>
      <c r="E1859" s="201"/>
      <c r="F1859" s="71" t="s">
        <v>90</v>
      </c>
      <c r="G1859" s="27" t="s">
        <v>1143</v>
      </c>
      <c r="H1859" s="125">
        <v>1</v>
      </c>
      <c r="I1859" s="126" t="s">
        <v>72</v>
      </c>
      <c r="J1859" s="55">
        <v>35000</v>
      </c>
      <c r="K1859" s="26"/>
      <c r="L1859" s="42">
        <f t="shared" si="99"/>
        <v>35000</v>
      </c>
    </row>
    <row r="1860" spans="2:12" x14ac:dyDescent="0.35">
      <c r="B1860" s="162"/>
      <c r="C1860" s="89"/>
      <c r="D1860" s="130" t="s">
        <v>58</v>
      </c>
      <c r="E1860" s="71"/>
      <c r="F1860" s="71" t="s">
        <v>1155</v>
      </c>
      <c r="G1860" s="27"/>
      <c r="H1860" s="125">
        <v>1</v>
      </c>
      <c r="I1860" s="126" t="s">
        <v>880</v>
      </c>
      <c r="J1860" s="46">
        <v>150000</v>
      </c>
      <c r="K1860" s="26">
        <f>J1860*H1860</f>
        <v>150000</v>
      </c>
      <c r="L1860" s="48"/>
    </row>
    <row r="1861" spans="2:12" x14ac:dyDescent="0.35">
      <c r="B1861" s="195"/>
      <c r="C1861" s="196"/>
      <c r="D1861" s="131"/>
      <c r="E1861" s="132"/>
      <c r="F1861" s="71" t="s">
        <v>90</v>
      </c>
      <c r="G1861" s="27" t="s">
        <v>1140</v>
      </c>
      <c r="H1861" s="125">
        <f>5470+520</f>
        <v>5990</v>
      </c>
      <c r="I1861" s="126" t="s">
        <v>217</v>
      </c>
      <c r="J1861" s="55">
        <v>332</v>
      </c>
      <c r="K1861" s="26"/>
      <c r="L1861" s="42">
        <f t="shared" ref="L1861:L1864" si="100">J1861*H1861</f>
        <v>1988680</v>
      </c>
    </row>
    <row r="1862" spans="2:12" x14ac:dyDescent="0.35">
      <c r="B1862" s="115"/>
      <c r="C1862" s="88"/>
      <c r="D1862" s="69"/>
      <c r="E1862" s="201"/>
      <c r="F1862" s="71" t="s">
        <v>90</v>
      </c>
      <c r="G1862" s="27" t="s">
        <v>1141</v>
      </c>
      <c r="H1862" s="125">
        <v>1</v>
      </c>
      <c r="I1862" s="126" t="s">
        <v>72</v>
      </c>
      <c r="J1862" s="55">
        <v>145000</v>
      </c>
      <c r="K1862" s="26"/>
      <c r="L1862" s="42">
        <f t="shared" si="100"/>
        <v>145000</v>
      </c>
    </row>
    <row r="1863" spans="2:12" x14ac:dyDescent="0.35">
      <c r="B1863" s="115"/>
      <c r="C1863" s="88"/>
      <c r="D1863" s="69"/>
      <c r="E1863" s="201"/>
      <c r="F1863" s="71" t="s">
        <v>90</v>
      </c>
      <c r="G1863" s="27" t="s">
        <v>1142</v>
      </c>
      <c r="H1863" s="125">
        <v>1</v>
      </c>
      <c r="I1863" s="126" t="s">
        <v>72</v>
      </c>
      <c r="J1863" s="55">
        <v>90000</v>
      </c>
      <c r="K1863" s="26"/>
      <c r="L1863" s="42">
        <f t="shared" si="100"/>
        <v>90000</v>
      </c>
    </row>
    <row r="1864" spans="2:12" x14ac:dyDescent="0.35">
      <c r="B1864" s="115"/>
      <c r="C1864" s="88"/>
      <c r="D1864" s="69"/>
      <c r="E1864" s="201"/>
      <c r="F1864" s="71" t="s">
        <v>90</v>
      </c>
      <c r="G1864" s="27" t="s">
        <v>1143</v>
      </c>
      <c r="H1864" s="125">
        <v>1</v>
      </c>
      <c r="I1864" s="126" t="s">
        <v>72</v>
      </c>
      <c r="J1864" s="55">
        <v>35000</v>
      </c>
      <c r="K1864" s="26"/>
      <c r="L1864" s="42">
        <f t="shared" si="100"/>
        <v>35000</v>
      </c>
    </row>
    <row r="1865" spans="2:12" x14ac:dyDescent="0.35">
      <c r="B1865" s="162"/>
      <c r="C1865" s="89"/>
      <c r="D1865" s="130" t="s">
        <v>60</v>
      </c>
      <c r="E1865" s="71"/>
      <c r="F1865" s="71" t="s">
        <v>1156</v>
      </c>
      <c r="G1865" s="27"/>
      <c r="H1865" s="125">
        <v>1</v>
      </c>
      <c r="I1865" s="126" t="s">
        <v>880</v>
      </c>
      <c r="J1865" s="46">
        <v>150000</v>
      </c>
      <c r="K1865" s="26">
        <f>J1865*H1865</f>
        <v>150000</v>
      </c>
      <c r="L1865" s="48"/>
    </row>
    <row r="1866" spans="2:12" x14ac:dyDescent="0.35">
      <c r="B1866" s="195"/>
      <c r="C1866" s="196"/>
      <c r="D1866" s="131"/>
      <c r="E1866" s="132"/>
      <c r="F1866" s="71" t="s">
        <v>90</v>
      </c>
      <c r="G1866" s="27" t="s">
        <v>1140</v>
      </c>
      <c r="H1866" s="125">
        <f>5620+380</f>
        <v>6000</v>
      </c>
      <c r="I1866" s="126" t="s">
        <v>217</v>
      </c>
      <c r="J1866" s="55">
        <v>332</v>
      </c>
      <c r="K1866" s="26"/>
      <c r="L1866" s="42">
        <f t="shared" ref="L1866:L1869" si="101">J1866*H1866</f>
        <v>1992000</v>
      </c>
    </row>
    <row r="1867" spans="2:12" x14ac:dyDescent="0.35">
      <c r="B1867" s="115"/>
      <c r="C1867" s="88"/>
      <c r="D1867" s="69"/>
      <c r="E1867" s="201"/>
      <c r="F1867" s="71" t="s">
        <v>90</v>
      </c>
      <c r="G1867" s="27" t="s">
        <v>1141</v>
      </c>
      <c r="H1867" s="125">
        <v>1</v>
      </c>
      <c r="I1867" s="126" t="s">
        <v>72</v>
      </c>
      <c r="J1867" s="55">
        <v>145000</v>
      </c>
      <c r="K1867" s="26"/>
      <c r="L1867" s="42">
        <f t="shared" si="101"/>
        <v>145000</v>
      </c>
    </row>
    <row r="1868" spans="2:12" x14ac:dyDescent="0.35">
      <c r="B1868" s="115"/>
      <c r="C1868" s="88"/>
      <c r="D1868" s="69"/>
      <c r="E1868" s="201"/>
      <c r="F1868" s="71" t="s">
        <v>90</v>
      </c>
      <c r="G1868" s="27" t="s">
        <v>1142</v>
      </c>
      <c r="H1868" s="125">
        <v>1</v>
      </c>
      <c r="I1868" s="126" t="s">
        <v>72</v>
      </c>
      <c r="J1868" s="55">
        <v>90000</v>
      </c>
      <c r="K1868" s="26"/>
      <c r="L1868" s="42">
        <f t="shared" si="101"/>
        <v>90000</v>
      </c>
    </row>
    <row r="1869" spans="2:12" x14ac:dyDescent="0.35">
      <c r="B1869" s="115"/>
      <c r="C1869" s="88"/>
      <c r="D1869" s="69"/>
      <c r="E1869" s="201"/>
      <c r="F1869" s="71" t="s">
        <v>90</v>
      </c>
      <c r="G1869" s="27" t="s">
        <v>1146</v>
      </c>
      <c r="H1869" s="125">
        <v>1</v>
      </c>
      <c r="I1869" s="126" t="s">
        <v>72</v>
      </c>
      <c r="J1869" s="55">
        <v>35000</v>
      </c>
      <c r="K1869" s="26"/>
      <c r="L1869" s="42">
        <f t="shared" si="101"/>
        <v>35000</v>
      </c>
    </row>
    <row r="1870" spans="2:12" x14ac:dyDescent="0.35">
      <c r="B1870" s="162"/>
      <c r="C1870" s="89"/>
      <c r="D1870" s="130" t="s">
        <v>62</v>
      </c>
      <c r="E1870" s="71"/>
      <c r="F1870" s="71" t="s">
        <v>1157</v>
      </c>
      <c r="G1870" s="27"/>
      <c r="H1870" s="125">
        <v>1</v>
      </c>
      <c r="I1870" s="126" t="s">
        <v>880</v>
      </c>
      <c r="J1870" s="46">
        <v>150000</v>
      </c>
      <c r="K1870" s="26">
        <f>J1870*H1870</f>
        <v>150000</v>
      </c>
      <c r="L1870" s="48"/>
    </row>
    <row r="1871" spans="2:12" x14ac:dyDescent="0.35">
      <c r="B1871" s="195"/>
      <c r="C1871" s="196"/>
      <c r="D1871" s="131"/>
      <c r="E1871" s="132"/>
      <c r="F1871" s="71" t="s">
        <v>90</v>
      </c>
      <c r="G1871" s="27" t="s">
        <v>1140</v>
      </c>
      <c r="H1871" s="125">
        <f>5620+380</f>
        <v>6000</v>
      </c>
      <c r="I1871" s="126" t="s">
        <v>217</v>
      </c>
      <c r="J1871" s="55">
        <v>332</v>
      </c>
      <c r="K1871" s="26"/>
      <c r="L1871" s="42">
        <f t="shared" ref="L1871:L1874" si="102">J1871*H1871</f>
        <v>1992000</v>
      </c>
    </row>
    <row r="1872" spans="2:12" x14ac:dyDescent="0.35">
      <c r="B1872" s="115"/>
      <c r="C1872" s="88"/>
      <c r="D1872" s="69"/>
      <c r="E1872" s="201"/>
      <c r="F1872" s="71" t="s">
        <v>90</v>
      </c>
      <c r="G1872" s="27" t="s">
        <v>1141</v>
      </c>
      <c r="H1872" s="125">
        <v>1</v>
      </c>
      <c r="I1872" s="126" t="s">
        <v>72</v>
      </c>
      <c r="J1872" s="55">
        <v>145000</v>
      </c>
      <c r="K1872" s="26"/>
      <c r="L1872" s="42">
        <f t="shared" si="102"/>
        <v>145000</v>
      </c>
    </row>
    <row r="1873" spans="2:12" x14ac:dyDescent="0.35">
      <c r="B1873" s="115"/>
      <c r="C1873" s="88"/>
      <c r="D1873" s="69"/>
      <c r="E1873" s="201"/>
      <c r="F1873" s="71" t="s">
        <v>90</v>
      </c>
      <c r="G1873" s="27" t="s">
        <v>1142</v>
      </c>
      <c r="H1873" s="125">
        <v>1</v>
      </c>
      <c r="I1873" s="126" t="s">
        <v>72</v>
      </c>
      <c r="J1873" s="55">
        <v>90000</v>
      </c>
      <c r="K1873" s="26"/>
      <c r="L1873" s="42">
        <f t="shared" si="102"/>
        <v>90000</v>
      </c>
    </row>
    <row r="1874" spans="2:12" x14ac:dyDescent="0.35">
      <c r="B1874" s="115"/>
      <c r="C1874" s="88"/>
      <c r="D1874" s="69"/>
      <c r="E1874" s="201"/>
      <c r="F1874" s="71" t="s">
        <v>90</v>
      </c>
      <c r="G1874" s="27" t="s">
        <v>1146</v>
      </c>
      <c r="H1874" s="125">
        <v>1</v>
      </c>
      <c r="I1874" s="126" t="s">
        <v>72</v>
      </c>
      <c r="J1874" s="55">
        <v>35000</v>
      </c>
      <c r="K1874" s="26"/>
      <c r="L1874" s="42">
        <f t="shared" si="102"/>
        <v>35000</v>
      </c>
    </row>
    <row r="1875" spans="2:12" x14ac:dyDescent="0.35">
      <c r="B1875" s="162"/>
      <c r="C1875" s="89"/>
      <c r="D1875" s="130" t="s">
        <v>65</v>
      </c>
      <c r="E1875" s="71"/>
      <c r="F1875" s="71" t="s">
        <v>1158</v>
      </c>
      <c r="G1875" s="27"/>
      <c r="H1875" s="125">
        <v>1</v>
      </c>
      <c r="I1875" s="126" t="s">
        <v>880</v>
      </c>
      <c r="J1875" s="46">
        <v>150000</v>
      </c>
      <c r="K1875" s="26">
        <f>J1875*H1875</f>
        <v>150000</v>
      </c>
      <c r="L1875" s="48"/>
    </row>
    <row r="1876" spans="2:12" x14ac:dyDescent="0.35">
      <c r="B1876" s="195"/>
      <c r="C1876" s="196"/>
      <c r="D1876" s="131"/>
      <c r="E1876" s="132"/>
      <c r="F1876" s="71" t="s">
        <v>90</v>
      </c>
      <c r="G1876" s="27" t="s">
        <v>1140</v>
      </c>
      <c r="H1876" s="125">
        <f>3800+1710+480</f>
        <v>5990</v>
      </c>
      <c r="I1876" s="126" t="s">
        <v>217</v>
      </c>
      <c r="J1876" s="55">
        <v>332</v>
      </c>
      <c r="K1876" s="26"/>
      <c r="L1876" s="42">
        <f t="shared" ref="L1876:L1880" si="103">J1876*H1876</f>
        <v>1988680</v>
      </c>
    </row>
    <row r="1877" spans="2:12" x14ac:dyDescent="0.35">
      <c r="B1877" s="115"/>
      <c r="C1877" s="88"/>
      <c r="D1877" s="69"/>
      <c r="E1877" s="201"/>
      <c r="F1877" s="71" t="s">
        <v>90</v>
      </c>
      <c r="G1877" s="27" t="s">
        <v>1141</v>
      </c>
      <c r="H1877" s="125">
        <v>1</v>
      </c>
      <c r="I1877" s="126" t="s">
        <v>72</v>
      </c>
      <c r="J1877" s="55">
        <v>145000</v>
      </c>
      <c r="K1877" s="26"/>
      <c r="L1877" s="42">
        <f t="shared" si="103"/>
        <v>145000</v>
      </c>
    </row>
    <row r="1878" spans="2:12" x14ac:dyDescent="0.35">
      <c r="B1878" s="115"/>
      <c r="C1878" s="88"/>
      <c r="D1878" s="69"/>
      <c r="E1878" s="201"/>
      <c r="F1878" s="71" t="s">
        <v>90</v>
      </c>
      <c r="G1878" s="27" t="s">
        <v>1142</v>
      </c>
      <c r="H1878" s="125">
        <v>1</v>
      </c>
      <c r="I1878" s="126" t="s">
        <v>72</v>
      </c>
      <c r="J1878" s="55">
        <v>90000</v>
      </c>
      <c r="K1878" s="26"/>
      <c r="L1878" s="42">
        <f t="shared" si="103"/>
        <v>90000</v>
      </c>
    </row>
    <row r="1879" spans="2:12" x14ac:dyDescent="0.35">
      <c r="B1879" s="115"/>
      <c r="C1879" s="88"/>
      <c r="D1879" s="69"/>
      <c r="E1879" s="201"/>
      <c r="F1879" s="71" t="s">
        <v>90</v>
      </c>
      <c r="G1879" s="27" t="s">
        <v>1159</v>
      </c>
      <c r="H1879" s="125">
        <v>1</v>
      </c>
      <c r="I1879" s="126" t="s">
        <v>72</v>
      </c>
      <c r="J1879" s="55">
        <v>35000</v>
      </c>
      <c r="K1879" s="26"/>
      <c r="L1879" s="42">
        <f t="shared" si="103"/>
        <v>35000</v>
      </c>
    </row>
    <row r="1880" spans="2:12" x14ac:dyDescent="0.35">
      <c r="B1880" s="115"/>
      <c r="C1880" s="88"/>
      <c r="D1880" s="69"/>
      <c r="E1880" s="201"/>
      <c r="F1880" s="71" t="s">
        <v>90</v>
      </c>
      <c r="G1880" s="27" t="s">
        <v>878</v>
      </c>
      <c r="H1880" s="125">
        <v>1</v>
      </c>
      <c r="I1880" s="126" t="s">
        <v>72</v>
      </c>
      <c r="J1880" s="55">
        <v>35000</v>
      </c>
      <c r="K1880" s="26"/>
      <c r="L1880" s="42">
        <f t="shared" si="103"/>
        <v>35000</v>
      </c>
    </row>
    <row r="1881" spans="2:12" x14ac:dyDescent="0.35">
      <c r="B1881" s="148"/>
      <c r="C1881" s="87"/>
      <c r="D1881" s="51"/>
      <c r="E1881" s="136"/>
      <c r="F1881" s="105"/>
      <c r="G1881" s="106"/>
      <c r="H1881" s="100"/>
      <c r="I1881" s="60"/>
      <c r="J1881" s="46"/>
      <c r="K1881" s="26"/>
      <c r="L1881" s="48"/>
    </row>
    <row r="1882" spans="2:12" x14ac:dyDescent="0.35">
      <c r="B1882" s="8"/>
      <c r="C1882" s="9"/>
      <c r="D1882" s="10"/>
      <c r="E1882" s="4"/>
      <c r="F1882" s="4"/>
      <c r="G1882" s="4"/>
      <c r="H1882" s="1"/>
      <c r="I1882" s="1"/>
      <c r="J1882" s="11" t="s">
        <v>8</v>
      </c>
      <c r="K1882" s="7">
        <f>SUM(K1829:K1881)</f>
        <v>1500000</v>
      </c>
      <c r="L1882" s="7">
        <f>SUM(L1829:L1881)</f>
        <v>22293120</v>
      </c>
    </row>
    <row r="1883" spans="2:12" x14ac:dyDescent="0.35">
      <c r="B1883" s="8"/>
      <c r="C1883" s="9"/>
      <c r="D1883" s="9"/>
      <c r="E1883" s="4"/>
      <c r="F1883" s="4"/>
      <c r="G1883" s="4"/>
      <c r="H1883" s="1"/>
      <c r="I1883" s="1"/>
      <c r="J1883" s="11"/>
      <c r="K1883" s="32" t="s">
        <v>13</v>
      </c>
      <c r="L1883" s="33" t="s">
        <v>14</v>
      </c>
    </row>
    <row r="1884" spans="2:12" x14ac:dyDescent="0.35">
      <c r="B1884" s="3" t="s">
        <v>9</v>
      </c>
      <c r="C1884" s="4"/>
      <c r="D1884" s="4"/>
      <c r="E1884" s="4"/>
      <c r="F1884" s="4"/>
      <c r="G1884" s="4"/>
      <c r="H1884" s="1"/>
      <c r="I1884" s="1"/>
      <c r="J1884" s="12"/>
      <c r="K1884" s="12"/>
      <c r="L1884" s="13"/>
    </row>
    <row r="1885" spans="2:12" x14ac:dyDescent="0.35">
      <c r="B1885" s="34"/>
      <c r="C1885" s="1"/>
      <c r="D1885" s="1"/>
      <c r="E1885" s="35"/>
      <c r="F1885" s="35"/>
      <c r="G1885" s="35"/>
      <c r="H1885" s="1"/>
      <c r="I1885" s="1"/>
      <c r="J1885" s="1"/>
      <c r="K1885" s="1"/>
      <c r="L1885" s="17"/>
    </row>
    <row r="1886" spans="2:12" x14ac:dyDescent="0.35">
      <c r="B1886" s="25" t="s">
        <v>6</v>
      </c>
      <c r="C1886" s="24"/>
      <c r="D1886" s="24"/>
      <c r="E1886" s="23"/>
      <c r="F1886" s="23"/>
      <c r="G1886" s="5"/>
      <c r="K1886" s="227" t="s">
        <v>1292</v>
      </c>
      <c r="L1886" s="228"/>
    </row>
    <row r="1887" spans="2:12" x14ac:dyDescent="0.35">
      <c r="B1887" s="25">
        <v>1</v>
      </c>
      <c r="C1887" s="24"/>
      <c r="D1887" s="24"/>
      <c r="E1887" s="23" t="s">
        <v>7</v>
      </c>
      <c r="F1887" s="23"/>
      <c r="G1887" s="5"/>
      <c r="K1887" s="227" t="s">
        <v>18</v>
      </c>
      <c r="L1887" s="228"/>
    </row>
    <row r="1888" spans="2:12" x14ac:dyDescent="0.35">
      <c r="B1888" s="36"/>
      <c r="C1888" s="24"/>
      <c r="D1888" s="24"/>
      <c r="E1888" s="23"/>
      <c r="F1888" s="23"/>
      <c r="G1888" s="5"/>
      <c r="J1888" s="22"/>
      <c r="K1888" s="22"/>
      <c r="L1888" s="21"/>
    </row>
    <row r="1889" spans="2:12" x14ac:dyDescent="0.35">
      <c r="B1889" s="25"/>
      <c r="C1889" s="24"/>
      <c r="D1889" s="24"/>
      <c r="E1889" s="23"/>
      <c r="F1889" s="23"/>
      <c r="G1889" s="5"/>
      <c r="L1889" s="20"/>
    </row>
    <row r="1890" spans="2:12" x14ac:dyDescent="0.35">
      <c r="B1890" s="41"/>
      <c r="E1890" s="5"/>
      <c r="F1890" s="5"/>
      <c r="G1890" s="5"/>
      <c r="L1890" s="20"/>
    </row>
    <row r="1891" spans="2:12" x14ac:dyDescent="0.35">
      <c r="B1891" s="41"/>
      <c r="E1891" s="5"/>
      <c r="F1891" s="5"/>
      <c r="G1891" s="5"/>
      <c r="L1891" s="20"/>
    </row>
    <row r="1892" spans="2:12" x14ac:dyDescent="0.35">
      <c r="B1892" s="41"/>
      <c r="E1892" s="5"/>
      <c r="F1892" s="5"/>
      <c r="G1892" s="5"/>
      <c r="L1892" s="20"/>
    </row>
    <row r="1893" spans="2:12" x14ac:dyDescent="0.35">
      <c r="B1893" s="41"/>
      <c r="E1893" s="5"/>
      <c r="F1893" s="5"/>
      <c r="G1893" s="5"/>
      <c r="J1893" s="37"/>
      <c r="K1893" s="229" t="s">
        <v>26</v>
      </c>
      <c r="L1893" s="230"/>
    </row>
    <row r="1894" spans="2:12" x14ac:dyDescent="0.35">
      <c r="B1894" s="41"/>
      <c r="K1894" s="231" t="s">
        <v>27</v>
      </c>
      <c r="L1894" s="232"/>
    </row>
    <row r="1895" spans="2:12" x14ac:dyDescent="0.35">
      <c r="B1895" s="233"/>
      <c r="C1895" s="234"/>
      <c r="D1895" s="234"/>
      <c r="E1895" s="38"/>
      <c r="F1895" s="38"/>
      <c r="G1895" s="38"/>
      <c r="H1895" s="2"/>
      <c r="I1895" s="2"/>
      <c r="J1895" s="2"/>
      <c r="K1895" s="2"/>
      <c r="L1895" s="19"/>
    </row>
    <row r="1896" spans="2:12" x14ac:dyDescent="0.35">
      <c r="B1896" s="43"/>
      <c r="C1896" s="44"/>
      <c r="D1896" s="45"/>
      <c r="G1896" s="20"/>
      <c r="H1896" s="1"/>
      <c r="I1896" s="1"/>
      <c r="J1896" s="39"/>
      <c r="K1896" s="27"/>
      <c r="L1896" s="40"/>
    </row>
    <row r="1897" spans="2:12" x14ac:dyDescent="0.35">
      <c r="B1897" s="162"/>
      <c r="C1897" s="89"/>
      <c r="D1897" s="130" t="s">
        <v>67</v>
      </c>
      <c r="E1897" s="71"/>
      <c r="F1897" s="71" t="s">
        <v>1160</v>
      </c>
      <c r="G1897" s="27"/>
      <c r="H1897" s="125">
        <v>1</v>
      </c>
      <c r="I1897" s="126" t="s">
        <v>880</v>
      </c>
      <c r="J1897" s="46">
        <v>150000</v>
      </c>
      <c r="K1897" s="26">
        <f>J1897*H1897</f>
        <v>150000</v>
      </c>
      <c r="L1897" s="48"/>
    </row>
    <row r="1898" spans="2:12" x14ac:dyDescent="0.35">
      <c r="B1898" s="195"/>
      <c r="C1898" s="196"/>
      <c r="D1898" s="131"/>
      <c r="E1898" s="132"/>
      <c r="F1898" s="71" t="s">
        <v>90</v>
      </c>
      <c r="G1898" s="27" t="s">
        <v>1140</v>
      </c>
      <c r="H1898" s="125">
        <f>3800+1710+480</f>
        <v>5990</v>
      </c>
      <c r="I1898" s="126" t="s">
        <v>217</v>
      </c>
      <c r="J1898" s="55">
        <v>332</v>
      </c>
      <c r="K1898" s="26"/>
      <c r="L1898" s="42">
        <f t="shared" ref="L1898:L1902" si="104">J1898*H1898</f>
        <v>1988680</v>
      </c>
    </row>
    <row r="1899" spans="2:12" x14ac:dyDescent="0.35">
      <c r="B1899" s="115"/>
      <c r="C1899" s="88"/>
      <c r="D1899" s="69"/>
      <c r="E1899" s="201"/>
      <c r="F1899" s="71" t="s">
        <v>90</v>
      </c>
      <c r="G1899" s="27" t="s">
        <v>1141</v>
      </c>
      <c r="H1899" s="125">
        <v>1</v>
      </c>
      <c r="I1899" s="126" t="s">
        <v>72</v>
      </c>
      <c r="J1899" s="55">
        <v>145000</v>
      </c>
      <c r="K1899" s="26"/>
      <c r="L1899" s="42">
        <f t="shared" si="104"/>
        <v>145000</v>
      </c>
    </row>
    <row r="1900" spans="2:12" x14ac:dyDescent="0.35">
      <c r="B1900" s="115"/>
      <c r="C1900" s="88"/>
      <c r="D1900" s="69"/>
      <c r="E1900" s="201"/>
      <c r="F1900" s="71" t="s">
        <v>90</v>
      </c>
      <c r="G1900" s="27" t="s">
        <v>1142</v>
      </c>
      <c r="H1900" s="125">
        <v>1</v>
      </c>
      <c r="I1900" s="126" t="s">
        <v>72</v>
      </c>
      <c r="J1900" s="55">
        <v>90000</v>
      </c>
      <c r="K1900" s="26"/>
      <c r="L1900" s="42">
        <f t="shared" si="104"/>
        <v>90000</v>
      </c>
    </row>
    <row r="1901" spans="2:12" x14ac:dyDescent="0.35">
      <c r="B1901" s="115"/>
      <c r="C1901" s="88"/>
      <c r="D1901" s="69"/>
      <c r="E1901" s="201"/>
      <c r="F1901" s="71" t="s">
        <v>90</v>
      </c>
      <c r="G1901" s="27" t="s">
        <v>1159</v>
      </c>
      <c r="H1901" s="125">
        <v>1</v>
      </c>
      <c r="I1901" s="126" t="s">
        <v>72</v>
      </c>
      <c r="J1901" s="55">
        <v>35000</v>
      </c>
      <c r="K1901" s="26"/>
      <c r="L1901" s="42">
        <f t="shared" si="104"/>
        <v>35000</v>
      </c>
    </row>
    <row r="1902" spans="2:12" x14ac:dyDescent="0.35">
      <c r="B1902" s="115"/>
      <c r="C1902" s="88"/>
      <c r="D1902" s="69"/>
      <c r="E1902" s="201"/>
      <c r="F1902" s="71" t="s">
        <v>90</v>
      </c>
      <c r="G1902" s="27" t="s">
        <v>878</v>
      </c>
      <c r="H1902" s="125">
        <v>1</v>
      </c>
      <c r="I1902" s="126" t="s">
        <v>72</v>
      </c>
      <c r="J1902" s="55">
        <v>35000</v>
      </c>
      <c r="K1902" s="26"/>
      <c r="L1902" s="42">
        <f t="shared" si="104"/>
        <v>35000</v>
      </c>
    </row>
    <row r="1903" spans="2:12" x14ac:dyDescent="0.35">
      <c r="B1903" s="162"/>
      <c r="C1903" s="89"/>
      <c r="D1903" s="130" t="s">
        <v>188</v>
      </c>
      <c r="E1903" s="71"/>
      <c r="F1903" s="71" t="s">
        <v>1161</v>
      </c>
      <c r="G1903" s="27"/>
      <c r="H1903" s="125">
        <v>1</v>
      </c>
      <c r="I1903" s="126" t="s">
        <v>880</v>
      </c>
      <c r="J1903" s="46">
        <v>150000</v>
      </c>
      <c r="K1903" s="26">
        <f>J1903*H1903</f>
        <v>150000</v>
      </c>
      <c r="L1903" s="48"/>
    </row>
    <row r="1904" spans="2:12" x14ac:dyDescent="0.35">
      <c r="B1904" s="195"/>
      <c r="C1904" s="196"/>
      <c r="D1904" s="131"/>
      <c r="E1904" s="132"/>
      <c r="F1904" s="71" t="s">
        <v>90</v>
      </c>
      <c r="G1904" s="27" t="s">
        <v>1140</v>
      </c>
      <c r="H1904" s="125">
        <f>3800+1710+480</f>
        <v>5990</v>
      </c>
      <c r="I1904" s="126" t="s">
        <v>217</v>
      </c>
      <c r="J1904" s="55">
        <v>332</v>
      </c>
      <c r="K1904" s="26"/>
      <c r="L1904" s="42">
        <f t="shared" ref="L1904:L1908" si="105">J1904*H1904</f>
        <v>1988680</v>
      </c>
    </row>
    <row r="1905" spans="2:12" x14ac:dyDescent="0.35">
      <c r="B1905" s="115"/>
      <c r="C1905" s="88"/>
      <c r="D1905" s="69"/>
      <c r="E1905" s="201"/>
      <c r="F1905" s="71" t="s">
        <v>90</v>
      </c>
      <c r="G1905" s="27" t="s">
        <v>1141</v>
      </c>
      <c r="H1905" s="125">
        <v>1</v>
      </c>
      <c r="I1905" s="126" t="s">
        <v>72</v>
      </c>
      <c r="J1905" s="55">
        <v>145000</v>
      </c>
      <c r="K1905" s="26"/>
      <c r="L1905" s="42">
        <f t="shared" si="105"/>
        <v>145000</v>
      </c>
    </row>
    <row r="1906" spans="2:12" x14ac:dyDescent="0.35">
      <c r="B1906" s="115"/>
      <c r="C1906" s="88"/>
      <c r="D1906" s="69"/>
      <c r="E1906" s="201"/>
      <c r="F1906" s="71" t="s">
        <v>90</v>
      </c>
      <c r="G1906" s="27" t="s">
        <v>1142</v>
      </c>
      <c r="H1906" s="125">
        <v>1</v>
      </c>
      <c r="I1906" s="126" t="s">
        <v>72</v>
      </c>
      <c r="J1906" s="55">
        <v>90000</v>
      </c>
      <c r="K1906" s="26"/>
      <c r="L1906" s="42">
        <f t="shared" si="105"/>
        <v>90000</v>
      </c>
    </row>
    <row r="1907" spans="2:12" x14ac:dyDescent="0.35">
      <c r="B1907" s="115"/>
      <c r="C1907" s="88"/>
      <c r="D1907" s="69"/>
      <c r="E1907" s="201"/>
      <c r="F1907" s="71" t="s">
        <v>90</v>
      </c>
      <c r="G1907" s="27" t="s">
        <v>1159</v>
      </c>
      <c r="H1907" s="125">
        <v>1</v>
      </c>
      <c r="I1907" s="126" t="s">
        <v>72</v>
      </c>
      <c r="J1907" s="55">
        <v>35000</v>
      </c>
      <c r="K1907" s="26"/>
      <c r="L1907" s="42">
        <f t="shared" si="105"/>
        <v>35000</v>
      </c>
    </row>
    <row r="1908" spans="2:12" x14ac:dyDescent="0.35">
      <c r="B1908" s="115"/>
      <c r="C1908" s="88"/>
      <c r="D1908" s="69"/>
      <c r="E1908" s="201"/>
      <c r="F1908" s="71" t="s">
        <v>90</v>
      </c>
      <c r="G1908" s="27" t="s">
        <v>878</v>
      </c>
      <c r="H1908" s="125">
        <v>1</v>
      </c>
      <c r="I1908" s="126" t="s">
        <v>72</v>
      </c>
      <c r="J1908" s="55">
        <v>35000</v>
      </c>
      <c r="K1908" s="26"/>
      <c r="L1908" s="42">
        <f t="shared" si="105"/>
        <v>35000</v>
      </c>
    </row>
    <row r="1909" spans="2:12" x14ac:dyDescent="0.35">
      <c r="B1909" s="162"/>
      <c r="C1909" s="89"/>
      <c r="D1909" s="130" t="s">
        <v>190</v>
      </c>
      <c r="E1909" s="71"/>
      <c r="F1909" s="71" t="s">
        <v>1162</v>
      </c>
      <c r="G1909" s="27"/>
      <c r="H1909" s="125">
        <v>1</v>
      </c>
      <c r="I1909" s="126" t="s">
        <v>880</v>
      </c>
      <c r="J1909" s="46">
        <v>150000</v>
      </c>
      <c r="K1909" s="26">
        <f>J1909*H1909</f>
        <v>150000</v>
      </c>
      <c r="L1909" s="48"/>
    </row>
    <row r="1910" spans="2:12" x14ac:dyDescent="0.35">
      <c r="B1910" s="195"/>
      <c r="C1910" s="196"/>
      <c r="D1910" s="131"/>
      <c r="E1910" s="132"/>
      <c r="F1910" s="71" t="s">
        <v>90</v>
      </c>
      <c r="G1910" s="27" t="s">
        <v>1140</v>
      </c>
      <c r="H1910" s="125">
        <f>3800+1710+480</f>
        <v>5990</v>
      </c>
      <c r="I1910" s="126" t="s">
        <v>217</v>
      </c>
      <c r="J1910" s="55">
        <v>332</v>
      </c>
      <c r="K1910" s="26"/>
      <c r="L1910" s="42">
        <f t="shared" ref="L1910:L1914" si="106">J1910*H1910</f>
        <v>1988680</v>
      </c>
    </row>
    <row r="1911" spans="2:12" x14ac:dyDescent="0.35">
      <c r="B1911" s="115"/>
      <c r="C1911" s="88"/>
      <c r="D1911" s="69"/>
      <c r="E1911" s="201"/>
      <c r="F1911" s="71" t="s">
        <v>90</v>
      </c>
      <c r="G1911" s="27" t="s">
        <v>1141</v>
      </c>
      <c r="H1911" s="125">
        <v>1</v>
      </c>
      <c r="I1911" s="126" t="s">
        <v>72</v>
      </c>
      <c r="J1911" s="55">
        <v>145000</v>
      </c>
      <c r="K1911" s="26"/>
      <c r="L1911" s="42">
        <f t="shared" si="106"/>
        <v>145000</v>
      </c>
    </row>
    <row r="1912" spans="2:12" x14ac:dyDescent="0.35">
      <c r="B1912" s="115"/>
      <c r="C1912" s="88"/>
      <c r="D1912" s="69"/>
      <c r="E1912" s="201"/>
      <c r="F1912" s="71" t="s">
        <v>90</v>
      </c>
      <c r="G1912" s="27" t="s">
        <v>1142</v>
      </c>
      <c r="H1912" s="125">
        <v>1</v>
      </c>
      <c r="I1912" s="126" t="s">
        <v>72</v>
      </c>
      <c r="J1912" s="55">
        <v>90000</v>
      </c>
      <c r="K1912" s="26"/>
      <c r="L1912" s="42">
        <f t="shared" si="106"/>
        <v>90000</v>
      </c>
    </row>
    <row r="1913" spans="2:12" x14ac:dyDescent="0.35">
      <c r="B1913" s="115"/>
      <c r="C1913" s="88"/>
      <c r="D1913" s="69"/>
      <c r="E1913" s="201"/>
      <c r="F1913" s="71" t="s">
        <v>90</v>
      </c>
      <c r="G1913" s="27" t="s">
        <v>1159</v>
      </c>
      <c r="H1913" s="125">
        <v>1</v>
      </c>
      <c r="I1913" s="126" t="s">
        <v>72</v>
      </c>
      <c r="J1913" s="55">
        <v>35000</v>
      </c>
      <c r="K1913" s="26"/>
      <c r="L1913" s="42">
        <f t="shared" si="106"/>
        <v>35000</v>
      </c>
    </row>
    <row r="1914" spans="2:12" x14ac:dyDescent="0.35">
      <c r="B1914" s="115"/>
      <c r="C1914" s="88"/>
      <c r="D1914" s="69"/>
      <c r="E1914" s="201"/>
      <c r="F1914" s="71" t="s">
        <v>90</v>
      </c>
      <c r="G1914" s="27" t="s">
        <v>878</v>
      </c>
      <c r="H1914" s="125">
        <v>1</v>
      </c>
      <c r="I1914" s="126" t="s">
        <v>72</v>
      </c>
      <c r="J1914" s="55">
        <v>35000</v>
      </c>
      <c r="K1914" s="26"/>
      <c r="L1914" s="42">
        <f t="shared" si="106"/>
        <v>35000</v>
      </c>
    </row>
    <row r="1915" spans="2:12" x14ac:dyDescent="0.35">
      <c r="B1915" s="162"/>
      <c r="C1915" s="89"/>
      <c r="D1915" s="130" t="s">
        <v>192</v>
      </c>
      <c r="E1915" s="71"/>
      <c r="F1915" s="71" t="s">
        <v>1163</v>
      </c>
      <c r="G1915" s="27"/>
      <c r="H1915" s="125">
        <v>2</v>
      </c>
      <c r="I1915" s="126" t="s">
        <v>880</v>
      </c>
      <c r="J1915" s="46">
        <v>150000</v>
      </c>
      <c r="K1915" s="26">
        <f>J1915*H1915</f>
        <v>300000</v>
      </c>
      <c r="L1915" s="48"/>
    </row>
    <row r="1916" spans="2:12" x14ac:dyDescent="0.35">
      <c r="B1916" s="195"/>
      <c r="C1916" s="196"/>
      <c r="D1916" s="131"/>
      <c r="E1916" s="132"/>
      <c r="F1916" s="71" t="s">
        <v>90</v>
      </c>
      <c r="G1916" s="27" t="s">
        <v>1140</v>
      </c>
      <c r="H1916" s="125">
        <f>3800+1710+480</f>
        <v>5990</v>
      </c>
      <c r="I1916" s="126" t="s">
        <v>217</v>
      </c>
      <c r="J1916" s="55">
        <v>332</v>
      </c>
      <c r="K1916" s="26"/>
      <c r="L1916" s="42">
        <f t="shared" ref="L1916:L1920" si="107">J1916*H1916</f>
        <v>1988680</v>
      </c>
    </row>
    <row r="1917" spans="2:12" x14ac:dyDescent="0.35">
      <c r="B1917" s="115"/>
      <c r="C1917" s="88"/>
      <c r="D1917" s="69"/>
      <c r="E1917" s="201"/>
      <c r="F1917" s="71" t="s">
        <v>90</v>
      </c>
      <c r="G1917" s="27" t="s">
        <v>1141</v>
      </c>
      <c r="H1917" s="125">
        <v>1</v>
      </c>
      <c r="I1917" s="126" t="s">
        <v>72</v>
      </c>
      <c r="J1917" s="55">
        <v>145000</v>
      </c>
      <c r="K1917" s="26"/>
      <c r="L1917" s="42">
        <f t="shared" si="107"/>
        <v>145000</v>
      </c>
    </row>
    <row r="1918" spans="2:12" x14ac:dyDescent="0.35">
      <c r="B1918" s="115"/>
      <c r="C1918" s="88"/>
      <c r="D1918" s="69"/>
      <c r="E1918" s="201"/>
      <c r="F1918" s="71" t="s">
        <v>90</v>
      </c>
      <c r="G1918" s="27" t="s">
        <v>1142</v>
      </c>
      <c r="H1918" s="125">
        <v>1</v>
      </c>
      <c r="I1918" s="126" t="s">
        <v>72</v>
      </c>
      <c r="J1918" s="55">
        <v>90000</v>
      </c>
      <c r="K1918" s="26"/>
      <c r="L1918" s="42">
        <f t="shared" si="107"/>
        <v>90000</v>
      </c>
    </row>
    <row r="1919" spans="2:12" x14ac:dyDescent="0.35">
      <c r="B1919" s="115"/>
      <c r="C1919" s="88"/>
      <c r="D1919" s="69"/>
      <c r="E1919" s="201"/>
      <c r="F1919" s="71" t="s">
        <v>90</v>
      </c>
      <c r="G1919" s="27" t="s">
        <v>1159</v>
      </c>
      <c r="H1919" s="125">
        <v>1</v>
      </c>
      <c r="I1919" s="126" t="s">
        <v>72</v>
      </c>
      <c r="J1919" s="55">
        <v>35000</v>
      </c>
      <c r="K1919" s="26"/>
      <c r="L1919" s="42">
        <f t="shared" si="107"/>
        <v>35000</v>
      </c>
    </row>
    <row r="1920" spans="2:12" x14ac:dyDescent="0.35">
      <c r="B1920" s="115"/>
      <c r="C1920" s="88"/>
      <c r="D1920" s="69"/>
      <c r="E1920" s="201"/>
      <c r="F1920" s="71" t="s">
        <v>90</v>
      </c>
      <c r="G1920" s="27" t="s">
        <v>878</v>
      </c>
      <c r="H1920" s="125">
        <v>1</v>
      </c>
      <c r="I1920" s="126" t="s">
        <v>72</v>
      </c>
      <c r="J1920" s="55">
        <v>35000</v>
      </c>
      <c r="K1920" s="26"/>
      <c r="L1920" s="42">
        <f t="shared" si="107"/>
        <v>35000</v>
      </c>
    </row>
    <row r="1921" spans="2:12" x14ac:dyDescent="0.35">
      <c r="B1921" s="162"/>
      <c r="C1921" s="89"/>
      <c r="D1921" s="130" t="s">
        <v>194</v>
      </c>
      <c r="E1921" s="71"/>
      <c r="F1921" s="71" t="s">
        <v>1164</v>
      </c>
      <c r="G1921" s="27"/>
      <c r="H1921" s="125">
        <v>1</v>
      </c>
      <c r="I1921" s="126" t="s">
        <v>880</v>
      </c>
      <c r="J1921" s="46">
        <v>150000</v>
      </c>
      <c r="K1921" s="26">
        <f>J1921*H1921</f>
        <v>150000</v>
      </c>
      <c r="L1921" s="48"/>
    </row>
    <row r="1922" spans="2:12" x14ac:dyDescent="0.35">
      <c r="B1922" s="195"/>
      <c r="C1922" s="196"/>
      <c r="D1922" s="131"/>
      <c r="E1922" s="132"/>
      <c r="F1922" s="71" t="s">
        <v>90</v>
      </c>
      <c r="G1922" s="27" t="s">
        <v>1140</v>
      </c>
      <c r="H1922" s="125">
        <f>5510+480</f>
        <v>5990</v>
      </c>
      <c r="I1922" s="126" t="s">
        <v>217</v>
      </c>
      <c r="J1922" s="55">
        <v>332</v>
      </c>
      <c r="K1922" s="26"/>
      <c r="L1922" s="42">
        <f t="shared" ref="L1922:L1926" si="108">J1922*H1922</f>
        <v>1988680</v>
      </c>
    </row>
    <row r="1923" spans="2:12" x14ac:dyDescent="0.35">
      <c r="B1923" s="115"/>
      <c r="C1923" s="88"/>
      <c r="D1923" s="69"/>
      <c r="E1923" s="201"/>
      <c r="F1923" s="71" t="s">
        <v>90</v>
      </c>
      <c r="G1923" s="27" t="s">
        <v>1141</v>
      </c>
      <c r="H1923" s="125">
        <v>1</v>
      </c>
      <c r="I1923" s="126" t="s">
        <v>72</v>
      </c>
      <c r="J1923" s="55">
        <v>145000</v>
      </c>
      <c r="K1923" s="26"/>
      <c r="L1923" s="42">
        <f t="shared" si="108"/>
        <v>145000</v>
      </c>
    </row>
    <row r="1924" spans="2:12" x14ac:dyDescent="0.35">
      <c r="B1924" s="115"/>
      <c r="C1924" s="88"/>
      <c r="D1924" s="69"/>
      <c r="E1924" s="201"/>
      <c r="F1924" s="71" t="s">
        <v>90</v>
      </c>
      <c r="G1924" s="27" t="s">
        <v>1142</v>
      </c>
      <c r="H1924" s="125">
        <v>1</v>
      </c>
      <c r="I1924" s="126" t="s">
        <v>72</v>
      </c>
      <c r="J1924" s="55">
        <v>90000</v>
      </c>
      <c r="K1924" s="26"/>
      <c r="L1924" s="42">
        <f t="shared" si="108"/>
        <v>90000</v>
      </c>
    </row>
    <row r="1925" spans="2:12" x14ac:dyDescent="0.35">
      <c r="B1925" s="115"/>
      <c r="C1925" s="88"/>
      <c r="D1925" s="69"/>
      <c r="E1925" s="201"/>
      <c r="F1925" s="71" t="s">
        <v>90</v>
      </c>
      <c r="G1925" s="27" t="s">
        <v>1165</v>
      </c>
      <c r="H1925" s="125">
        <v>1</v>
      </c>
      <c r="I1925" s="126" t="s">
        <v>72</v>
      </c>
      <c r="J1925" s="55">
        <v>35000</v>
      </c>
      <c r="K1925" s="26"/>
      <c r="L1925" s="42">
        <f t="shared" si="108"/>
        <v>35000</v>
      </c>
    </row>
    <row r="1926" spans="2:12" x14ac:dyDescent="0.35">
      <c r="B1926" s="115"/>
      <c r="C1926" s="88"/>
      <c r="D1926" s="69"/>
      <c r="E1926" s="201"/>
      <c r="F1926" s="71" t="s">
        <v>90</v>
      </c>
      <c r="G1926" s="27" t="s">
        <v>878</v>
      </c>
      <c r="H1926" s="125">
        <v>1</v>
      </c>
      <c r="I1926" s="126" t="s">
        <v>72</v>
      </c>
      <c r="J1926" s="55">
        <v>35000</v>
      </c>
      <c r="K1926" s="26"/>
      <c r="L1926" s="42">
        <f t="shared" si="108"/>
        <v>35000</v>
      </c>
    </row>
    <row r="1927" spans="2:12" x14ac:dyDescent="0.35">
      <c r="B1927" s="162"/>
      <c r="C1927" s="89"/>
      <c r="D1927" s="130" t="s">
        <v>196</v>
      </c>
      <c r="E1927" s="71"/>
      <c r="F1927" s="71" t="s">
        <v>1166</v>
      </c>
      <c r="G1927" s="27"/>
      <c r="H1927" s="125">
        <v>1</v>
      </c>
      <c r="I1927" s="126" t="s">
        <v>880</v>
      </c>
      <c r="J1927" s="46">
        <v>150000</v>
      </c>
      <c r="K1927" s="26">
        <f>J1927*H1927</f>
        <v>150000</v>
      </c>
      <c r="L1927" s="48"/>
    </row>
    <row r="1928" spans="2:12" x14ac:dyDescent="0.35">
      <c r="B1928" s="195"/>
      <c r="C1928" s="196"/>
      <c r="D1928" s="131"/>
      <c r="E1928" s="132"/>
      <c r="F1928" s="71" t="s">
        <v>90</v>
      </c>
      <c r="G1928" s="27" t="s">
        <v>1140</v>
      </c>
      <c r="H1928" s="125">
        <f>5510+480</f>
        <v>5990</v>
      </c>
      <c r="I1928" s="126" t="s">
        <v>217</v>
      </c>
      <c r="J1928" s="55">
        <v>332</v>
      </c>
      <c r="K1928" s="26"/>
      <c r="L1928" s="42">
        <f t="shared" ref="L1928:L1932" si="109">J1928*H1928</f>
        <v>1988680</v>
      </c>
    </row>
    <row r="1929" spans="2:12" x14ac:dyDescent="0.35">
      <c r="B1929" s="115"/>
      <c r="C1929" s="88"/>
      <c r="D1929" s="69"/>
      <c r="E1929" s="201"/>
      <c r="F1929" s="71" t="s">
        <v>90</v>
      </c>
      <c r="G1929" s="27" t="s">
        <v>1141</v>
      </c>
      <c r="H1929" s="125">
        <v>1</v>
      </c>
      <c r="I1929" s="126" t="s">
        <v>72</v>
      </c>
      <c r="J1929" s="55">
        <v>145000</v>
      </c>
      <c r="K1929" s="26"/>
      <c r="L1929" s="42">
        <f t="shared" si="109"/>
        <v>145000</v>
      </c>
    </row>
    <row r="1930" spans="2:12" x14ac:dyDescent="0.35">
      <c r="B1930" s="115"/>
      <c r="C1930" s="88"/>
      <c r="D1930" s="69"/>
      <c r="E1930" s="201"/>
      <c r="F1930" s="71" t="s">
        <v>90</v>
      </c>
      <c r="G1930" s="27" t="s">
        <v>1142</v>
      </c>
      <c r="H1930" s="125">
        <v>1</v>
      </c>
      <c r="I1930" s="126" t="s">
        <v>72</v>
      </c>
      <c r="J1930" s="55">
        <v>90000</v>
      </c>
      <c r="K1930" s="26"/>
      <c r="L1930" s="42">
        <f t="shared" si="109"/>
        <v>90000</v>
      </c>
    </row>
    <row r="1931" spans="2:12" x14ac:dyDescent="0.35">
      <c r="B1931" s="115"/>
      <c r="C1931" s="88"/>
      <c r="D1931" s="69"/>
      <c r="E1931" s="201"/>
      <c r="F1931" s="71" t="s">
        <v>90</v>
      </c>
      <c r="G1931" s="27" t="s">
        <v>1165</v>
      </c>
      <c r="H1931" s="125">
        <v>1</v>
      </c>
      <c r="I1931" s="126" t="s">
        <v>72</v>
      </c>
      <c r="J1931" s="55">
        <v>35000</v>
      </c>
      <c r="K1931" s="26"/>
      <c r="L1931" s="42">
        <f t="shared" si="109"/>
        <v>35000</v>
      </c>
    </row>
    <row r="1932" spans="2:12" x14ac:dyDescent="0.35">
      <c r="B1932" s="115"/>
      <c r="C1932" s="88"/>
      <c r="D1932" s="69"/>
      <c r="E1932" s="201"/>
      <c r="F1932" s="71" t="s">
        <v>90</v>
      </c>
      <c r="G1932" s="27" t="s">
        <v>878</v>
      </c>
      <c r="H1932" s="125">
        <v>1</v>
      </c>
      <c r="I1932" s="126" t="s">
        <v>72</v>
      </c>
      <c r="J1932" s="55">
        <v>35000</v>
      </c>
      <c r="K1932" s="26"/>
      <c r="L1932" s="42">
        <f t="shared" si="109"/>
        <v>35000</v>
      </c>
    </row>
    <row r="1933" spans="2:12" x14ac:dyDescent="0.35">
      <c r="B1933" s="148"/>
      <c r="C1933" s="87" t="s">
        <v>108</v>
      </c>
      <c r="D1933" s="62"/>
      <c r="E1933" s="67"/>
      <c r="F1933" s="64" t="s">
        <v>210</v>
      </c>
      <c r="G1933" s="65"/>
      <c r="H1933" s="175"/>
      <c r="I1933" s="93"/>
      <c r="J1933" s="26"/>
      <c r="K1933" s="26"/>
      <c r="L1933" s="48"/>
    </row>
    <row r="1934" spans="2:12" x14ac:dyDescent="0.35">
      <c r="B1934" s="150"/>
      <c r="C1934" s="87"/>
      <c r="D1934" s="69"/>
      <c r="E1934" s="71"/>
      <c r="F1934" s="71" t="s">
        <v>90</v>
      </c>
      <c r="G1934" s="27" t="s">
        <v>211</v>
      </c>
      <c r="H1934" s="71">
        <v>22</v>
      </c>
      <c r="I1934" s="49" t="s">
        <v>212</v>
      </c>
      <c r="J1934" s="26">
        <v>1750000</v>
      </c>
      <c r="K1934" s="26">
        <f>J1934*H1934</f>
        <v>38500000</v>
      </c>
      <c r="L1934" s="48"/>
    </row>
    <row r="1935" spans="2:12" x14ac:dyDescent="0.35">
      <c r="B1935" s="202"/>
      <c r="C1935" s="203"/>
      <c r="D1935" s="131"/>
      <c r="E1935" s="204"/>
      <c r="F1935" s="205"/>
      <c r="G1935" s="49"/>
      <c r="H1935" s="139"/>
      <c r="I1935" s="126"/>
      <c r="J1935" s="26"/>
      <c r="K1935" s="26"/>
      <c r="L1935" s="48"/>
    </row>
    <row r="1936" spans="2:12" x14ac:dyDescent="0.35">
      <c r="B1936" s="158"/>
      <c r="C1936" s="84"/>
      <c r="D1936" s="69"/>
      <c r="E1936" s="75" t="s">
        <v>218</v>
      </c>
      <c r="F1936" s="76"/>
      <c r="G1936" s="77"/>
      <c r="H1936" s="80"/>
      <c r="I1936" s="49"/>
      <c r="J1936" s="26"/>
      <c r="K1936" s="26"/>
      <c r="L1936" s="48"/>
    </row>
    <row r="1937" spans="2:12" x14ac:dyDescent="0.35">
      <c r="B1937" s="148" t="s">
        <v>28</v>
      </c>
      <c r="C1937" s="87"/>
      <c r="D1937" s="62"/>
      <c r="E1937" s="67" t="s">
        <v>86</v>
      </c>
      <c r="F1937" s="64"/>
      <c r="G1937" s="65"/>
      <c r="H1937" s="174"/>
      <c r="I1937" s="93"/>
      <c r="J1937" s="26"/>
      <c r="K1937" s="26"/>
      <c r="L1937" s="48"/>
    </row>
    <row r="1938" spans="2:12" x14ac:dyDescent="0.35">
      <c r="B1938" s="148"/>
      <c r="C1938" s="87" t="s">
        <v>87</v>
      </c>
      <c r="D1938" s="62"/>
      <c r="E1938" s="67"/>
      <c r="F1938" s="64" t="s">
        <v>11</v>
      </c>
      <c r="G1938" s="65"/>
      <c r="H1938" s="63"/>
      <c r="I1938" s="65"/>
      <c r="J1938" s="26"/>
      <c r="K1938" s="26"/>
      <c r="L1938" s="48"/>
    </row>
    <row r="1939" spans="2:12" x14ac:dyDescent="0.35">
      <c r="B1939" s="70"/>
      <c r="C1939" s="89"/>
      <c r="D1939" s="69" t="s">
        <v>29</v>
      </c>
      <c r="E1939" s="70"/>
      <c r="F1939" s="71" t="s">
        <v>1167</v>
      </c>
      <c r="G1939" s="27"/>
      <c r="H1939" s="80"/>
      <c r="I1939" s="60"/>
      <c r="J1939" s="26"/>
      <c r="K1939" s="26"/>
      <c r="L1939" s="48"/>
    </row>
    <row r="1940" spans="2:12" x14ac:dyDescent="0.35">
      <c r="B1940" s="70"/>
      <c r="C1940" s="89"/>
      <c r="D1940" s="69"/>
      <c r="E1940" s="70"/>
      <c r="F1940" s="71" t="s">
        <v>90</v>
      </c>
      <c r="G1940" s="27" t="s">
        <v>1168</v>
      </c>
      <c r="H1940" s="80">
        <f>1.35*1.78*12*7.85</f>
        <v>226.36259999999999</v>
      </c>
      <c r="I1940" s="60" t="s">
        <v>91</v>
      </c>
      <c r="J1940" s="26">
        <v>30500</v>
      </c>
      <c r="K1940" s="26"/>
      <c r="L1940" s="42">
        <f t="shared" ref="L1940" si="110">J1940*H1940</f>
        <v>6904059.2999999998</v>
      </c>
    </row>
    <row r="1941" spans="2:12" x14ac:dyDescent="0.35">
      <c r="B1941" s="70"/>
      <c r="C1941" s="89"/>
      <c r="D1941" s="69" t="s">
        <v>32</v>
      </c>
      <c r="E1941" s="70"/>
      <c r="F1941" s="71" t="s">
        <v>220</v>
      </c>
      <c r="G1941" s="27"/>
      <c r="H1941" s="80"/>
      <c r="I1941" s="60"/>
      <c r="J1941" s="26"/>
      <c r="K1941" s="26"/>
      <c r="L1941" s="48"/>
    </row>
    <row r="1942" spans="2:12" x14ac:dyDescent="0.35">
      <c r="B1942" s="70"/>
      <c r="C1942" s="89"/>
      <c r="D1942" s="69"/>
      <c r="E1942" s="70"/>
      <c r="F1942" s="71" t="s">
        <v>90</v>
      </c>
      <c r="G1942" s="27" t="s">
        <v>203</v>
      </c>
      <c r="H1942" s="80">
        <f>6.1*1.83*12*7.85</f>
        <v>1051.5546000000002</v>
      </c>
      <c r="I1942" s="60" t="s">
        <v>91</v>
      </c>
      <c r="J1942" s="26">
        <v>30500</v>
      </c>
      <c r="K1942" s="26"/>
      <c r="L1942" s="42">
        <f t="shared" ref="L1942:L1947" si="111">J1942*H1942</f>
        <v>32072415.300000004</v>
      </c>
    </row>
    <row r="1943" spans="2:12" x14ac:dyDescent="0.35">
      <c r="B1943" s="70"/>
      <c r="C1943" s="89"/>
      <c r="D1943" s="69"/>
      <c r="E1943" s="70"/>
      <c r="F1943" s="71" t="s">
        <v>90</v>
      </c>
      <c r="G1943" s="27" t="s">
        <v>204</v>
      </c>
      <c r="H1943" s="80">
        <f t="shared" ref="H1943:H1946" si="112">6.1*1.83*12*7.85</f>
        <v>1051.5546000000002</v>
      </c>
      <c r="I1943" s="60" t="s">
        <v>91</v>
      </c>
      <c r="J1943" s="26">
        <v>30500</v>
      </c>
      <c r="K1943" s="26"/>
      <c r="L1943" s="42">
        <f t="shared" si="111"/>
        <v>32072415.300000004</v>
      </c>
    </row>
    <row r="1944" spans="2:12" x14ac:dyDescent="0.35">
      <c r="B1944" s="70"/>
      <c r="C1944" s="89"/>
      <c r="D1944" s="69"/>
      <c r="E1944" s="70"/>
      <c r="F1944" s="71" t="s">
        <v>90</v>
      </c>
      <c r="G1944" s="27" t="s">
        <v>221</v>
      </c>
      <c r="H1944" s="80">
        <f t="shared" si="112"/>
        <v>1051.5546000000002</v>
      </c>
      <c r="I1944" s="60" t="s">
        <v>91</v>
      </c>
      <c r="J1944" s="26">
        <v>30500</v>
      </c>
      <c r="K1944" s="26"/>
      <c r="L1944" s="42">
        <f t="shared" si="111"/>
        <v>32072415.300000004</v>
      </c>
    </row>
    <row r="1945" spans="2:12" x14ac:dyDescent="0.35">
      <c r="B1945" s="70"/>
      <c r="C1945" s="89"/>
      <c r="D1945" s="69"/>
      <c r="E1945" s="70"/>
      <c r="F1945" s="71" t="s">
        <v>90</v>
      </c>
      <c r="G1945" s="27" t="s">
        <v>209</v>
      </c>
      <c r="H1945" s="80">
        <f t="shared" si="112"/>
        <v>1051.5546000000002</v>
      </c>
      <c r="I1945" s="60" t="s">
        <v>91</v>
      </c>
      <c r="J1945" s="26">
        <v>30500</v>
      </c>
      <c r="K1945" s="26"/>
      <c r="L1945" s="42">
        <f t="shared" si="111"/>
        <v>32072415.300000004</v>
      </c>
    </row>
    <row r="1946" spans="2:12" x14ac:dyDescent="0.35">
      <c r="B1946" s="70"/>
      <c r="C1946" s="89"/>
      <c r="D1946" s="69"/>
      <c r="E1946" s="70"/>
      <c r="F1946" s="71" t="s">
        <v>90</v>
      </c>
      <c r="G1946" s="27" t="s">
        <v>207</v>
      </c>
      <c r="H1946" s="80">
        <f t="shared" si="112"/>
        <v>1051.5546000000002</v>
      </c>
      <c r="I1946" s="60" t="s">
        <v>91</v>
      </c>
      <c r="J1946" s="26">
        <v>30500</v>
      </c>
      <c r="K1946" s="26"/>
      <c r="L1946" s="42">
        <f t="shared" si="111"/>
        <v>32072415.300000004</v>
      </c>
    </row>
    <row r="1947" spans="2:12" x14ac:dyDescent="0.35">
      <c r="B1947" s="70"/>
      <c r="C1947" s="89"/>
      <c r="D1947" s="130"/>
      <c r="E1947" s="70"/>
      <c r="F1947" s="71" t="s">
        <v>90</v>
      </c>
      <c r="G1947" s="27" t="s">
        <v>1169</v>
      </c>
      <c r="H1947" s="80">
        <f>6.1*1.36*12*7.85</f>
        <v>781.4831999999999</v>
      </c>
      <c r="I1947" s="60" t="s">
        <v>91</v>
      </c>
      <c r="J1947" s="26">
        <v>30500</v>
      </c>
      <c r="K1947" s="26"/>
      <c r="L1947" s="42">
        <f t="shared" si="111"/>
        <v>23835237.599999998</v>
      </c>
    </row>
    <row r="1948" spans="2:12" x14ac:dyDescent="0.35">
      <c r="B1948" s="148"/>
      <c r="C1948" s="87"/>
      <c r="D1948" s="51"/>
      <c r="E1948" s="136"/>
      <c r="F1948" s="105"/>
      <c r="G1948" s="106"/>
      <c r="H1948" s="100"/>
      <c r="I1948" s="60"/>
      <c r="J1948" s="46"/>
      <c r="K1948" s="26"/>
      <c r="L1948" s="48"/>
    </row>
    <row r="1949" spans="2:12" x14ac:dyDescent="0.35">
      <c r="B1949" s="8"/>
      <c r="C1949" s="9"/>
      <c r="D1949" s="10"/>
      <c r="E1949" s="4"/>
      <c r="F1949" s="4"/>
      <c r="G1949" s="4"/>
      <c r="H1949" s="1"/>
      <c r="I1949" s="1"/>
      <c r="J1949" s="11" t="s">
        <v>8</v>
      </c>
      <c r="K1949" s="7">
        <f>SUM(K1896:K1948)</f>
        <v>39550000</v>
      </c>
      <c r="L1949" s="7">
        <f>SUM(L1896:L1948)</f>
        <v>204863453.40000004</v>
      </c>
    </row>
    <row r="1950" spans="2:12" x14ac:dyDescent="0.35">
      <c r="B1950" s="8"/>
      <c r="C1950" s="9"/>
      <c r="D1950" s="9"/>
      <c r="E1950" s="4"/>
      <c r="F1950" s="4"/>
      <c r="G1950" s="4"/>
      <c r="H1950" s="1"/>
      <c r="I1950" s="1"/>
      <c r="J1950" s="11"/>
      <c r="K1950" s="32" t="s">
        <v>13</v>
      </c>
      <c r="L1950" s="33" t="s">
        <v>14</v>
      </c>
    </row>
    <row r="1951" spans="2:12" x14ac:dyDescent="0.35">
      <c r="B1951" s="3" t="s">
        <v>9</v>
      </c>
      <c r="C1951" s="4"/>
      <c r="D1951" s="4"/>
      <c r="E1951" s="4"/>
      <c r="F1951" s="4"/>
      <c r="G1951" s="4"/>
      <c r="H1951" s="1"/>
      <c r="I1951" s="1"/>
      <c r="J1951" s="12"/>
      <c r="K1951" s="12"/>
      <c r="L1951" s="13"/>
    </row>
    <row r="1952" spans="2:12" x14ac:dyDescent="0.35">
      <c r="B1952" s="34"/>
      <c r="C1952" s="1"/>
      <c r="D1952" s="1"/>
      <c r="E1952" s="35"/>
      <c r="F1952" s="35"/>
      <c r="G1952" s="35"/>
      <c r="H1952" s="1"/>
      <c r="I1952" s="1"/>
      <c r="J1952" s="1"/>
      <c r="K1952" s="1"/>
      <c r="L1952" s="17"/>
    </row>
    <row r="1953" spans="2:12" x14ac:dyDescent="0.35">
      <c r="B1953" s="25" t="s">
        <v>6</v>
      </c>
      <c r="C1953" s="24"/>
      <c r="D1953" s="24"/>
      <c r="E1953" s="23"/>
      <c r="F1953" s="23"/>
      <c r="G1953" s="5"/>
      <c r="K1953" s="227" t="s">
        <v>1292</v>
      </c>
      <c r="L1953" s="228"/>
    </row>
    <row r="1954" spans="2:12" x14ac:dyDescent="0.35">
      <c r="B1954" s="25">
        <v>1</v>
      </c>
      <c r="C1954" s="24"/>
      <c r="D1954" s="24"/>
      <c r="E1954" s="23" t="s">
        <v>7</v>
      </c>
      <c r="F1954" s="23"/>
      <c r="G1954" s="5"/>
      <c r="K1954" s="227" t="s">
        <v>18</v>
      </c>
      <c r="L1954" s="228"/>
    </row>
    <row r="1955" spans="2:12" x14ac:dyDescent="0.35">
      <c r="B1955" s="36"/>
      <c r="C1955" s="24"/>
      <c r="D1955" s="24"/>
      <c r="E1955" s="23"/>
      <c r="F1955" s="23"/>
      <c r="G1955" s="5"/>
      <c r="J1955" s="22"/>
      <c r="K1955" s="22"/>
      <c r="L1955" s="21"/>
    </row>
    <row r="1956" spans="2:12" x14ac:dyDescent="0.35">
      <c r="B1956" s="25"/>
      <c r="C1956" s="24"/>
      <c r="D1956" s="24"/>
      <c r="E1956" s="23"/>
      <c r="F1956" s="23"/>
      <c r="G1956" s="5"/>
      <c r="L1956" s="20"/>
    </row>
    <row r="1957" spans="2:12" x14ac:dyDescent="0.35">
      <c r="B1957" s="41"/>
      <c r="E1957" s="5"/>
      <c r="F1957" s="5"/>
      <c r="G1957" s="5"/>
      <c r="L1957" s="20"/>
    </row>
    <row r="1958" spans="2:12" x14ac:dyDescent="0.35">
      <c r="B1958" s="41"/>
      <c r="E1958" s="5"/>
      <c r="F1958" s="5"/>
      <c r="G1958" s="5"/>
      <c r="L1958" s="20"/>
    </row>
    <row r="1959" spans="2:12" x14ac:dyDescent="0.35">
      <c r="B1959" s="41"/>
      <c r="E1959" s="5"/>
      <c r="F1959" s="5"/>
      <c r="G1959" s="5"/>
      <c r="L1959" s="20"/>
    </row>
    <row r="1960" spans="2:12" x14ac:dyDescent="0.35">
      <c r="B1960" s="41"/>
      <c r="E1960" s="5"/>
      <c r="F1960" s="5"/>
      <c r="G1960" s="5"/>
      <c r="J1960" s="37"/>
      <c r="K1960" s="229" t="s">
        <v>26</v>
      </c>
      <c r="L1960" s="230"/>
    </row>
    <row r="1961" spans="2:12" x14ac:dyDescent="0.35">
      <c r="B1961" s="41"/>
      <c r="K1961" s="231" t="s">
        <v>27</v>
      </c>
      <c r="L1961" s="232"/>
    </row>
    <row r="1962" spans="2:12" x14ac:dyDescent="0.35">
      <c r="B1962" s="233"/>
      <c r="C1962" s="234"/>
      <c r="D1962" s="234"/>
      <c r="E1962" s="38"/>
      <c r="F1962" s="38"/>
      <c r="G1962" s="38"/>
      <c r="H1962" s="2"/>
      <c r="I1962" s="2"/>
      <c r="J1962" s="2"/>
      <c r="K1962" s="2"/>
      <c r="L1962" s="19"/>
    </row>
    <row r="1963" spans="2:12" x14ac:dyDescent="0.35">
      <c r="B1963" s="43"/>
      <c r="C1963" s="44"/>
      <c r="D1963" s="45"/>
      <c r="G1963" s="20"/>
      <c r="H1963" s="1"/>
      <c r="I1963" s="1"/>
      <c r="J1963" s="39"/>
      <c r="K1963" s="27"/>
      <c r="L1963" s="40"/>
    </row>
    <row r="1964" spans="2:12" x14ac:dyDescent="0.35">
      <c r="B1964" s="150"/>
      <c r="C1964" s="87"/>
      <c r="D1964" s="69" t="s">
        <v>34</v>
      </c>
      <c r="E1964" s="70"/>
      <c r="F1964" s="71" t="s">
        <v>223</v>
      </c>
      <c r="G1964" s="27"/>
      <c r="H1964" s="80"/>
      <c r="I1964" s="60"/>
      <c r="J1964" s="151"/>
      <c r="K1964" s="152"/>
      <c r="L1964" s="153"/>
    </row>
    <row r="1965" spans="2:12" x14ac:dyDescent="0.35">
      <c r="B1965" s="150"/>
      <c r="C1965" s="87"/>
      <c r="D1965" s="69"/>
      <c r="E1965" s="70"/>
      <c r="F1965" s="71" t="s">
        <v>90</v>
      </c>
      <c r="G1965" s="27" t="s">
        <v>1170</v>
      </c>
      <c r="H1965" s="80">
        <f>6.1*1.83*12*7.85</f>
        <v>1051.5546000000002</v>
      </c>
      <c r="I1965" s="60" t="s">
        <v>91</v>
      </c>
      <c r="J1965" s="26">
        <v>30500</v>
      </c>
      <c r="K1965" s="47"/>
      <c r="L1965" s="42">
        <f t="shared" ref="L1965:L2001" si="113">J1965*H1965</f>
        <v>32072415.300000004</v>
      </c>
    </row>
    <row r="1966" spans="2:12" x14ac:dyDescent="0.35">
      <c r="B1966" s="150"/>
      <c r="C1966" s="87"/>
      <c r="D1966" s="69"/>
      <c r="E1966" s="70"/>
      <c r="F1966" s="71" t="s">
        <v>90</v>
      </c>
      <c r="G1966" s="27" t="s">
        <v>204</v>
      </c>
      <c r="H1966" s="80">
        <f t="shared" ref="H1966:H1970" si="114">6.1*1.83*12*7.85</f>
        <v>1051.5546000000002</v>
      </c>
      <c r="I1966" s="60" t="s">
        <v>91</v>
      </c>
      <c r="J1966" s="26">
        <v>30500</v>
      </c>
      <c r="K1966" s="47"/>
      <c r="L1966" s="42">
        <f t="shared" si="113"/>
        <v>32072415.300000004</v>
      </c>
    </row>
    <row r="1967" spans="2:12" x14ac:dyDescent="0.35">
      <c r="B1967" s="150"/>
      <c r="C1967" s="87"/>
      <c r="D1967" s="69"/>
      <c r="E1967" s="70"/>
      <c r="F1967" s="71" t="s">
        <v>90</v>
      </c>
      <c r="G1967" s="27" t="s">
        <v>221</v>
      </c>
      <c r="H1967" s="80">
        <f t="shared" si="114"/>
        <v>1051.5546000000002</v>
      </c>
      <c r="I1967" s="60" t="s">
        <v>91</v>
      </c>
      <c r="J1967" s="26">
        <v>30500</v>
      </c>
      <c r="K1967" s="47"/>
      <c r="L1967" s="42">
        <f t="shared" si="113"/>
        <v>32072415.300000004</v>
      </c>
    </row>
    <row r="1968" spans="2:12" x14ac:dyDescent="0.35">
      <c r="B1968" s="150"/>
      <c r="C1968" s="87"/>
      <c r="D1968" s="69"/>
      <c r="E1968" s="70"/>
      <c r="F1968" s="71" t="s">
        <v>90</v>
      </c>
      <c r="G1968" s="27" t="s">
        <v>206</v>
      </c>
      <c r="H1968" s="80">
        <f t="shared" si="114"/>
        <v>1051.5546000000002</v>
      </c>
      <c r="I1968" s="60" t="s">
        <v>91</v>
      </c>
      <c r="J1968" s="26">
        <v>30500</v>
      </c>
      <c r="K1968" s="55"/>
      <c r="L1968" s="42">
        <f t="shared" si="113"/>
        <v>32072415.300000004</v>
      </c>
    </row>
    <row r="1969" spans="2:12" x14ac:dyDescent="0.35">
      <c r="B1969" s="150"/>
      <c r="C1969" s="87"/>
      <c r="D1969" s="69"/>
      <c r="E1969" s="70"/>
      <c r="F1969" s="71" t="s">
        <v>90</v>
      </c>
      <c r="G1969" s="27" t="s">
        <v>209</v>
      </c>
      <c r="H1969" s="80">
        <f t="shared" si="114"/>
        <v>1051.5546000000002</v>
      </c>
      <c r="I1969" s="60" t="s">
        <v>91</v>
      </c>
      <c r="J1969" s="26">
        <v>30500</v>
      </c>
      <c r="K1969" s="47"/>
      <c r="L1969" s="42">
        <f t="shared" si="113"/>
        <v>32072415.300000004</v>
      </c>
    </row>
    <row r="1970" spans="2:12" x14ac:dyDescent="0.35">
      <c r="B1970" s="150"/>
      <c r="C1970" s="87"/>
      <c r="D1970" s="69"/>
      <c r="E1970" s="70"/>
      <c r="F1970" s="71" t="s">
        <v>90</v>
      </c>
      <c r="G1970" s="27" t="s">
        <v>208</v>
      </c>
      <c r="H1970" s="80">
        <f t="shared" si="114"/>
        <v>1051.5546000000002</v>
      </c>
      <c r="I1970" s="60" t="s">
        <v>91</v>
      </c>
      <c r="J1970" s="26">
        <v>30500</v>
      </c>
      <c r="K1970" s="55"/>
      <c r="L1970" s="42">
        <f t="shared" si="113"/>
        <v>32072415.300000004</v>
      </c>
    </row>
    <row r="1971" spans="2:12" x14ac:dyDescent="0.35">
      <c r="B1971" s="150"/>
      <c r="C1971" s="87"/>
      <c r="D1971" s="130"/>
      <c r="E1971" s="70"/>
      <c r="F1971" s="71" t="s">
        <v>90</v>
      </c>
      <c r="G1971" s="27" t="s">
        <v>222</v>
      </c>
      <c r="H1971" s="80">
        <f>6.1*1.53*12*7.85</f>
        <v>879.16860000000008</v>
      </c>
      <c r="I1971" s="60" t="s">
        <v>91</v>
      </c>
      <c r="J1971" s="26">
        <v>30500</v>
      </c>
      <c r="K1971" s="47"/>
      <c r="L1971" s="42">
        <f t="shared" si="113"/>
        <v>26814642.300000001</v>
      </c>
    </row>
    <row r="1972" spans="2:12" x14ac:dyDescent="0.35">
      <c r="B1972" s="150"/>
      <c r="C1972" s="87"/>
      <c r="D1972" s="69" t="s">
        <v>36</v>
      </c>
      <c r="E1972" s="70"/>
      <c r="F1972" s="71" t="s">
        <v>1171</v>
      </c>
      <c r="G1972" s="27"/>
      <c r="H1972" s="80"/>
      <c r="I1972" s="60"/>
      <c r="J1972" s="26"/>
      <c r="K1972" s="47"/>
      <c r="L1972" s="42"/>
    </row>
    <row r="1973" spans="2:12" x14ac:dyDescent="0.35">
      <c r="B1973" s="150"/>
      <c r="C1973" s="87"/>
      <c r="D1973" s="69"/>
      <c r="E1973" s="70"/>
      <c r="F1973" s="71" t="s">
        <v>90</v>
      </c>
      <c r="G1973" s="27" t="s">
        <v>219</v>
      </c>
      <c r="H1973" s="80">
        <f>6.1*1.83*12*7.85</f>
        <v>1051.5546000000002</v>
      </c>
      <c r="I1973" s="60" t="s">
        <v>91</v>
      </c>
      <c r="J1973" s="26">
        <v>30500</v>
      </c>
      <c r="K1973" s="47"/>
      <c r="L1973" s="42">
        <f t="shared" si="113"/>
        <v>32072415.300000004</v>
      </c>
    </row>
    <row r="1974" spans="2:12" x14ac:dyDescent="0.35">
      <c r="B1974" s="150"/>
      <c r="C1974" s="87"/>
      <c r="D1974" s="69" t="s">
        <v>38</v>
      </c>
      <c r="E1974" s="70"/>
      <c r="F1974" s="71" t="s">
        <v>1172</v>
      </c>
      <c r="G1974" s="27"/>
      <c r="H1974" s="80"/>
      <c r="I1974" s="60"/>
      <c r="J1974" s="26"/>
      <c r="K1974" s="47"/>
      <c r="L1974" s="42"/>
    </row>
    <row r="1975" spans="2:12" x14ac:dyDescent="0.35">
      <c r="B1975" s="150"/>
      <c r="C1975" s="87"/>
      <c r="D1975" s="69"/>
      <c r="E1975" s="70"/>
      <c r="F1975" s="71" t="s">
        <v>90</v>
      </c>
      <c r="G1975" s="27" t="s">
        <v>219</v>
      </c>
      <c r="H1975" s="80">
        <f>6.1*1.83*12*7.85</f>
        <v>1051.5546000000002</v>
      </c>
      <c r="I1975" s="60" t="s">
        <v>91</v>
      </c>
      <c r="J1975" s="26">
        <v>30500</v>
      </c>
      <c r="K1975" s="42"/>
      <c r="L1975" s="42">
        <f t="shared" si="113"/>
        <v>32072415.300000004</v>
      </c>
    </row>
    <row r="1976" spans="2:12" x14ac:dyDescent="0.35">
      <c r="B1976" s="150"/>
      <c r="C1976" s="87"/>
      <c r="D1976" s="69" t="s">
        <v>39</v>
      </c>
      <c r="E1976" s="70"/>
      <c r="F1976" s="71" t="s">
        <v>224</v>
      </c>
      <c r="G1976" s="27"/>
      <c r="H1976" s="80"/>
      <c r="I1976" s="60"/>
      <c r="J1976" s="55"/>
      <c r="K1976" s="55"/>
      <c r="L1976" s="42"/>
    </row>
    <row r="1977" spans="2:12" x14ac:dyDescent="0.35">
      <c r="B1977" s="150"/>
      <c r="C1977" s="87"/>
      <c r="D1977" s="69"/>
      <c r="E1977" s="70"/>
      <c r="F1977" s="71" t="s">
        <v>90</v>
      </c>
      <c r="G1977" s="27" t="s">
        <v>1173</v>
      </c>
      <c r="H1977" s="80">
        <f>6.1*1.84*12*7.85</f>
        <v>1057.3007999999998</v>
      </c>
      <c r="I1977" s="60" t="s">
        <v>91</v>
      </c>
      <c r="J1977" s="26">
        <v>30500</v>
      </c>
      <c r="K1977" s="26"/>
      <c r="L1977" s="42">
        <f t="shared" si="113"/>
        <v>32247674.399999991</v>
      </c>
    </row>
    <row r="1978" spans="2:12" x14ac:dyDescent="0.35">
      <c r="B1978" s="150"/>
      <c r="C1978" s="87"/>
      <c r="D1978" s="69"/>
      <c r="E1978" s="70"/>
      <c r="F1978" s="71" t="s">
        <v>90</v>
      </c>
      <c r="G1978" s="27" t="s">
        <v>1174</v>
      </c>
      <c r="H1978" s="80">
        <f>1.1*1.84*12*7.85</f>
        <v>190.66080000000002</v>
      </c>
      <c r="I1978" s="60" t="s">
        <v>91</v>
      </c>
      <c r="J1978" s="26">
        <v>30500</v>
      </c>
      <c r="K1978" s="26"/>
      <c r="L1978" s="42">
        <f t="shared" si="113"/>
        <v>5815154.4000000004</v>
      </c>
    </row>
    <row r="1979" spans="2:12" x14ac:dyDescent="0.35">
      <c r="B1979" s="150"/>
      <c r="C1979" s="87"/>
      <c r="D1979" s="69" t="s">
        <v>41</v>
      </c>
      <c r="E1979" s="70"/>
      <c r="F1979" s="71" t="s">
        <v>1175</v>
      </c>
      <c r="G1979" s="27"/>
      <c r="H1979" s="80"/>
      <c r="I1979" s="60"/>
      <c r="J1979" s="26"/>
      <c r="K1979" s="26"/>
      <c r="L1979" s="48"/>
    </row>
    <row r="1980" spans="2:12" x14ac:dyDescent="0.35">
      <c r="B1980" s="150"/>
      <c r="C1980" s="87"/>
      <c r="D1980" s="69"/>
      <c r="E1980" s="70"/>
      <c r="F1980" s="71" t="s">
        <v>90</v>
      </c>
      <c r="G1980" s="27" t="s">
        <v>1173</v>
      </c>
      <c r="H1980" s="80">
        <f>6.1*1.84*12*7.85</f>
        <v>1057.3007999999998</v>
      </c>
      <c r="I1980" s="60" t="s">
        <v>91</v>
      </c>
      <c r="J1980" s="26">
        <v>30500</v>
      </c>
      <c r="K1980" s="26"/>
      <c r="L1980" s="42">
        <f t="shared" si="113"/>
        <v>32247674.399999991</v>
      </c>
    </row>
    <row r="1981" spans="2:12" x14ac:dyDescent="0.35">
      <c r="B1981" s="150"/>
      <c r="C1981" s="87"/>
      <c r="D1981" s="69"/>
      <c r="E1981" s="70"/>
      <c r="F1981" s="71" t="s">
        <v>90</v>
      </c>
      <c r="G1981" s="27" t="s">
        <v>1174</v>
      </c>
      <c r="H1981" s="80">
        <f>1.1*1.84*12*7.85</f>
        <v>190.66080000000002</v>
      </c>
      <c r="I1981" s="60" t="s">
        <v>91</v>
      </c>
      <c r="J1981" s="26">
        <v>30500</v>
      </c>
      <c r="K1981" s="26"/>
      <c r="L1981" s="42">
        <f t="shared" si="113"/>
        <v>5815154.4000000004</v>
      </c>
    </row>
    <row r="1982" spans="2:12" x14ac:dyDescent="0.35">
      <c r="B1982" s="150"/>
      <c r="C1982" s="87"/>
      <c r="D1982" s="69" t="s">
        <v>43</v>
      </c>
      <c r="E1982" s="70"/>
      <c r="F1982" s="71" t="s">
        <v>1176</v>
      </c>
      <c r="G1982" s="27"/>
      <c r="H1982" s="80"/>
      <c r="I1982" s="60"/>
      <c r="J1982" s="26"/>
      <c r="K1982" s="26"/>
      <c r="L1982" s="48"/>
    </row>
    <row r="1983" spans="2:12" x14ac:dyDescent="0.35">
      <c r="B1983" s="150"/>
      <c r="C1983" s="87"/>
      <c r="D1983" s="69"/>
      <c r="E1983" s="70"/>
      <c r="F1983" s="71" t="s">
        <v>90</v>
      </c>
      <c r="G1983" s="27" t="s">
        <v>1173</v>
      </c>
      <c r="H1983" s="80">
        <f>6.1*1.84*12*7.85</f>
        <v>1057.3007999999998</v>
      </c>
      <c r="I1983" s="60" t="s">
        <v>91</v>
      </c>
      <c r="J1983" s="26">
        <v>30500</v>
      </c>
      <c r="K1983" s="26"/>
      <c r="L1983" s="42">
        <f t="shared" si="113"/>
        <v>32247674.399999991</v>
      </c>
    </row>
    <row r="1984" spans="2:12" x14ac:dyDescent="0.35">
      <c r="B1984" s="150"/>
      <c r="C1984" s="87"/>
      <c r="D1984" s="69"/>
      <c r="E1984" s="70"/>
      <c r="F1984" s="71" t="s">
        <v>90</v>
      </c>
      <c r="G1984" s="27" t="s">
        <v>1174</v>
      </c>
      <c r="H1984" s="80">
        <f>1.1*1.84*12*7.85</f>
        <v>190.66080000000002</v>
      </c>
      <c r="I1984" s="60" t="s">
        <v>91</v>
      </c>
      <c r="J1984" s="26">
        <v>30500</v>
      </c>
      <c r="K1984" s="26"/>
      <c r="L1984" s="42">
        <f t="shared" si="113"/>
        <v>5815154.4000000004</v>
      </c>
    </row>
    <row r="1985" spans="2:12" x14ac:dyDescent="0.35">
      <c r="B1985" s="150"/>
      <c r="C1985" s="87"/>
      <c r="D1985" s="69" t="s">
        <v>44</v>
      </c>
      <c r="E1985" s="70"/>
      <c r="F1985" s="71" t="s">
        <v>1177</v>
      </c>
      <c r="G1985" s="27"/>
      <c r="H1985" s="80"/>
      <c r="I1985" s="60"/>
      <c r="J1985" s="26"/>
      <c r="K1985" s="26"/>
      <c r="L1985" s="48"/>
    </row>
    <row r="1986" spans="2:12" x14ac:dyDescent="0.35">
      <c r="B1986" s="150"/>
      <c r="C1986" s="87"/>
      <c r="D1986" s="69"/>
      <c r="E1986" s="70"/>
      <c r="F1986" s="71" t="s">
        <v>90</v>
      </c>
      <c r="G1986" s="27" t="s">
        <v>1178</v>
      </c>
      <c r="H1986" s="80">
        <f>3.07*1.84*12*7.85</f>
        <v>532.11695999999984</v>
      </c>
      <c r="I1986" s="60" t="s">
        <v>91</v>
      </c>
      <c r="J1986" s="26">
        <v>30500</v>
      </c>
      <c r="K1986" s="26"/>
      <c r="L1986" s="42">
        <f t="shared" si="113"/>
        <v>16229567.279999996</v>
      </c>
    </row>
    <row r="1987" spans="2:12" x14ac:dyDescent="0.35">
      <c r="B1987" s="150"/>
      <c r="C1987" s="87"/>
      <c r="D1987" s="69" t="s">
        <v>54</v>
      </c>
      <c r="E1987" s="70"/>
      <c r="F1987" s="71" t="s">
        <v>1179</v>
      </c>
      <c r="G1987" s="27"/>
      <c r="H1987" s="80"/>
      <c r="I1987" s="60"/>
      <c r="J1987" s="26"/>
      <c r="K1987" s="26"/>
      <c r="L1987" s="48"/>
    </row>
    <row r="1988" spans="2:12" x14ac:dyDescent="0.35">
      <c r="B1988" s="150"/>
      <c r="C1988" s="87"/>
      <c r="D1988" s="69"/>
      <c r="E1988" s="70"/>
      <c r="F1988" s="71" t="s">
        <v>90</v>
      </c>
      <c r="G1988" s="27" t="s">
        <v>219</v>
      </c>
      <c r="H1988" s="80">
        <f>6.1*1.83*12*7.85</f>
        <v>1051.5546000000002</v>
      </c>
      <c r="I1988" s="60" t="s">
        <v>91</v>
      </c>
      <c r="J1988" s="26">
        <v>30500</v>
      </c>
      <c r="K1988" s="26"/>
      <c r="L1988" s="42">
        <f t="shared" si="113"/>
        <v>32072415.300000004</v>
      </c>
    </row>
    <row r="1989" spans="2:12" x14ac:dyDescent="0.35">
      <c r="B1989" s="150"/>
      <c r="C1989" s="87"/>
      <c r="D1989" s="69" t="s">
        <v>56</v>
      </c>
      <c r="E1989" s="70"/>
      <c r="F1989" s="71" t="s">
        <v>1180</v>
      </c>
      <c r="G1989" s="27"/>
      <c r="H1989" s="80"/>
      <c r="I1989" s="60"/>
      <c r="J1989" s="26"/>
      <c r="K1989" s="26"/>
      <c r="L1989" s="48"/>
    </row>
    <row r="1990" spans="2:12" x14ac:dyDescent="0.35">
      <c r="B1990" s="150"/>
      <c r="C1990" s="87"/>
      <c r="D1990" s="69"/>
      <c r="E1990" s="70"/>
      <c r="F1990" s="71" t="s">
        <v>90</v>
      </c>
      <c r="G1990" s="27" t="s">
        <v>1173</v>
      </c>
      <c r="H1990" s="80">
        <f>6.1*1.84*12*7.85</f>
        <v>1057.3007999999998</v>
      </c>
      <c r="I1990" s="60" t="s">
        <v>91</v>
      </c>
      <c r="J1990" s="26">
        <v>30500</v>
      </c>
      <c r="K1990" s="26"/>
      <c r="L1990" s="42">
        <f t="shared" si="113"/>
        <v>32247674.399999991</v>
      </c>
    </row>
    <row r="1991" spans="2:12" x14ac:dyDescent="0.35">
      <c r="B1991" s="150"/>
      <c r="C1991" s="87"/>
      <c r="D1991" s="69"/>
      <c r="E1991" s="70"/>
      <c r="F1991" s="71" t="s">
        <v>90</v>
      </c>
      <c r="G1991" s="27" t="s">
        <v>1174</v>
      </c>
      <c r="H1991" s="80">
        <f>1.1*1.84*12*7.85</f>
        <v>190.66080000000002</v>
      </c>
      <c r="I1991" s="60" t="s">
        <v>91</v>
      </c>
      <c r="J1991" s="26">
        <v>30500</v>
      </c>
      <c r="K1991" s="26"/>
      <c r="L1991" s="42">
        <f t="shared" si="113"/>
        <v>5815154.4000000004</v>
      </c>
    </row>
    <row r="1992" spans="2:12" x14ac:dyDescent="0.35">
      <c r="B1992" s="150"/>
      <c r="C1992" s="87"/>
      <c r="D1992" s="69" t="s">
        <v>58</v>
      </c>
      <c r="E1992" s="70"/>
      <c r="F1992" s="71" t="s">
        <v>1181</v>
      </c>
      <c r="G1992" s="27"/>
      <c r="H1992" s="80"/>
      <c r="I1992" s="60"/>
      <c r="J1992" s="26"/>
      <c r="K1992" s="26"/>
      <c r="L1992" s="48"/>
    </row>
    <row r="1993" spans="2:12" x14ac:dyDescent="0.35">
      <c r="B1993" s="150"/>
      <c r="C1993" s="87"/>
      <c r="D1993" s="69"/>
      <c r="E1993" s="70"/>
      <c r="F1993" s="71" t="s">
        <v>90</v>
      </c>
      <c r="G1993" s="27" t="s">
        <v>1182</v>
      </c>
      <c r="H1993" s="80">
        <f>2.77*1.84*12*7.85</f>
        <v>480.11856</v>
      </c>
      <c r="I1993" s="60" t="s">
        <v>91</v>
      </c>
      <c r="J1993" s="26">
        <v>30500</v>
      </c>
      <c r="K1993" s="26"/>
      <c r="L1993" s="42">
        <f t="shared" si="113"/>
        <v>14643616.08</v>
      </c>
    </row>
    <row r="1994" spans="2:12" x14ac:dyDescent="0.35">
      <c r="B1994" s="150"/>
      <c r="C1994" s="87"/>
      <c r="D1994" s="69"/>
      <c r="E1994" s="70"/>
      <c r="F1994" s="71" t="s">
        <v>90</v>
      </c>
      <c r="G1994" s="27" t="s">
        <v>1183</v>
      </c>
      <c r="H1994" s="80">
        <f>4.45*0.8*12*7.85</f>
        <v>335.35200000000003</v>
      </c>
      <c r="I1994" s="60" t="s">
        <v>91</v>
      </c>
      <c r="J1994" s="26">
        <v>30500</v>
      </c>
      <c r="K1994" s="26"/>
      <c r="L1994" s="42">
        <f t="shared" si="113"/>
        <v>10228236.000000002</v>
      </c>
    </row>
    <row r="1995" spans="2:12" x14ac:dyDescent="0.35">
      <c r="B1995" s="150"/>
      <c r="C1995" s="87"/>
      <c r="D1995" s="69" t="s">
        <v>60</v>
      </c>
      <c r="E1995" s="70"/>
      <c r="F1995" s="71" t="s">
        <v>1184</v>
      </c>
      <c r="G1995" s="27"/>
      <c r="H1995" s="80"/>
      <c r="I1995" s="60"/>
      <c r="J1995" s="26"/>
      <c r="K1995" s="26"/>
      <c r="L1995" s="48"/>
    </row>
    <row r="1996" spans="2:12" x14ac:dyDescent="0.35">
      <c r="B1996" s="150"/>
      <c r="C1996" s="87"/>
      <c r="D1996" s="69"/>
      <c r="E1996" s="70"/>
      <c r="F1996" s="71" t="s">
        <v>90</v>
      </c>
      <c r="G1996" s="27" t="s">
        <v>219</v>
      </c>
      <c r="H1996" s="80">
        <f>6.1*1.83*12*7.85</f>
        <v>1051.5546000000002</v>
      </c>
      <c r="I1996" s="60" t="s">
        <v>91</v>
      </c>
      <c r="J1996" s="26">
        <v>30500</v>
      </c>
      <c r="K1996" s="26"/>
      <c r="L1996" s="42">
        <f t="shared" si="113"/>
        <v>32072415.300000004</v>
      </c>
    </row>
    <row r="1997" spans="2:12" x14ac:dyDescent="0.35">
      <c r="B1997" s="150"/>
      <c r="C1997" s="87"/>
      <c r="D1997" s="69"/>
      <c r="E1997" s="70"/>
      <c r="F1997" s="71" t="s">
        <v>90</v>
      </c>
      <c r="G1997" s="27" t="s">
        <v>1185</v>
      </c>
      <c r="H1997" s="80">
        <f>2.77*0.58*12*7.85*1.2</f>
        <v>181.61006399999994</v>
      </c>
      <c r="I1997" s="60" t="s">
        <v>91</v>
      </c>
      <c r="J1997" s="26">
        <v>30500</v>
      </c>
      <c r="K1997" s="26"/>
      <c r="L1997" s="42">
        <f t="shared" si="113"/>
        <v>5539106.9519999977</v>
      </c>
    </row>
    <row r="1998" spans="2:12" x14ac:dyDescent="0.35">
      <c r="B1998" s="86"/>
      <c r="C1998" s="89"/>
      <c r="D1998" s="69" t="s">
        <v>62</v>
      </c>
      <c r="E1998" s="70"/>
      <c r="F1998" s="71" t="s">
        <v>1186</v>
      </c>
      <c r="G1998" s="27"/>
      <c r="H1998" s="80"/>
      <c r="I1998" s="60"/>
      <c r="J1998" s="26"/>
      <c r="K1998" s="26"/>
      <c r="L1998" s="48"/>
    </row>
    <row r="1999" spans="2:12" x14ac:dyDescent="0.35">
      <c r="B1999" s="150"/>
      <c r="C1999" s="87"/>
      <c r="D1999" s="88"/>
      <c r="E1999" s="70"/>
      <c r="F1999" s="71" t="s">
        <v>90</v>
      </c>
      <c r="G1999" s="27" t="s">
        <v>1187</v>
      </c>
      <c r="H1999" s="80">
        <f>2.57*1.77*12*7.85</f>
        <v>428.50637999999998</v>
      </c>
      <c r="I1999" s="60" t="s">
        <v>91</v>
      </c>
      <c r="J1999" s="26">
        <v>30500</v>
      </c>
      <c r="K1999" s="26"/>
      <c r="L1999" s="42">
        <f t="shared" si="113"/>
        <v>13069444.59</v>
      </c>
    </row>
    <row r="2000" spans="2:12" x14ac:dyDescent="0.35">
      <c r="B2000" s="86"/>
      <c r="C2000" s="89"/>
      <c r="D2000" s="69" t="s">
        <v>65</v>
      </c>
      <c r="E2000" s="70"/>
      <c r="F2000" s="71" t="s">
        <v>1188</v>
      </c>
      <c r="G2000" s="27"/>
      <c r="H2000" s="80"/>
      <c r="I2000" s="60"/>
      <c r="J2000" s="26"/>
      <c r="K2000" s="26"/>
      <c r="L2000" s="48"/>
    </row>
    <row r="2001" spans="2:12" x14ac:dyDescent="0.35">
      <c r="B2001" s="86"/>
      <c r="C2001" s="89"/>
      <c r="D2001" s="69"/>
      <c r="E2001" s="70"/>
      <c r="F2001" s="71" t="s">
        <v>90</v>
      </c>
      <c r="G2001" s="27" t="s">
        <v>1189</v>
      </c>
      <c r="H2001" s="80">
        <f>1.83*0.75*12*7.85*1.2</f>
        <v>155.14739999999998</v>
      </c>
      <c r="I2001" s="60" t="s">
        <v>91</v>
      </c>
      <c r="J2001" s="26">
        <v>30500</v>
      </c>
      <c r="K2001" s="26"/>
      <c r="L2001" s="42">
        <f t="shared" si="113"/>
        <v>4731995.6999999993</v>
      </c>
    </row>
    <row r="2002" spans="2:12" x14ac:dyDescent="0.35">
      <c r="B2002" s="148"/>
      <c r="C2002" s="87" t="s">
        <v>108</v>
      </c>
      <c r="D2002" s="69"/>
      <c r="E2002" s="128"/>
      <c r="F2002" s="129" t="s">
        <v>1190</v>
      </c>
      <c r="G2002" s="27"/>
      <c r="H2002" s="139"/>
      <c r="I2002" s="60"/>
      <c r="J2002" s="26"/>
      <c r="K2002" s="26"/>
      <c r="L2002" s="48"/>
    </row>
    <row r="2003" spans="2:12" x14ac:dyDescent="0.35">
      <c r="B2003" s="86"/>
      <c r="C2003" s="89"/>
      <c r="D2003" s="69" t="s">
        <v>29</v>
      </c>
      <c r="E2003" s="70"/>
      <c r="F2003" s="71" t="s">
        <v>1191</v>
      </c>
      <c r="G2003" s="27"/>
      <c r="H2003" s="80"/>
      <c r="I2003" s="60"/>
      <c r="J2003" s="26"/>
      <c r="K2003" s="26"/>
      <c r="L2003" s="48"/>
    </row>
    <row r="2004" spans="2:12" x14ac:dyDescent="0.35">
      <c r="B2004" s="86"/>
      <c r="C2004" s="89"/>
      <c r="D2004" s="69"/>
      <c r="E2004" s="70"/>
      <c r="F2004" s="71" t="s">
        <v>90</v>
      </c>
      <c r="G2004" s="27" t="s">
        <v>1192</v>
      </c>
      <c r="H2004" s="80">
        <f>1.03*0.29*12*7.85*1.2</f>
        <v>33.765047999999993</v>
      </c>
      <c r="I2004" s="60" t="s">
        <v>91</v>
      </c>
      <c r="J2004" s="26">
        <v>30500</v>
      </c>
      <c r="K2004" s="26"/>
      <c r="L2004" s="42">
        <f t="shared" ref="L2004:L2005" si="115">J2004*H2004</f>
        <v>1029833.9639999998</v>
      </c>
    </row>
    <row r="2005" spans="2:12" x14ac:dyDescent="0.35">
      <c r="B2005" s="86"/>
      <c r="C2005" s="89"/>
      <c r="D2005" s="69"/>
      <c r="E2005" s="70"/>
      <c r="F2005" s="71" t="s">
        <v>90</v>
      </c>
      <c r="G2005" s="27" t="s">
        <v>1193</v>
      </c>
      <c r="H2005" s="80">
        <f>0.45*0.27*12*7.85*1.2</f>
        <v>13.734360000000001</v>
      </c>
      <c r="I2005" s="60" t="s">
        <v>91</v>
      </c>
      <c r="J2005" s="26">
        <v>30500</v>
      </c>
      <c r="K2005" s="26"/>
      <c r="L2005" s="42">
        <f t="shared" si="115"/>
        <v>418897.98000000004</v>
      </c>
    </row>
    <row r="2006" spans="2:12" x14ac:dyDescent="0.35">
      <c r="B2006" s="150"/>
      <c r="C2006" s="87"/>
      <c r="D2006" s="130"/>
      <c r="E2006" s="89"/>
      <c r="F2006" s="124"/>
      <c r="G2006" s="49"/>
      <c r="H2006" s="139"/>
      <c r="I2006" s="60"/>
      <c r="J2006" s="26"/>
      <c r="K2006" s="26"/>
      <c r="L2006" s="48"/>
    </row>
    <row r="2007" spans="2:12" x14ac:dyDescent="0.35">
      <c r="B2007" s="86" t="s">
        <v>235</v>
      </c>
      <c r="C2007" s="89"/>
      <c r="D2007" s="69"/>
      <c r="E2007" s="75" t="s">
        <v>236</v>
      </c>
      <c r="F2007" s="76"/>
      <c r="G2007" s="77"/>
      <c r="H2007" s="80"/>
      <c r="I2007" s="60"/>
      <c r="J2007" s="26"/>
      <c r="K2007" s="26"/>
      <c r="L2007" s="48"/>
    </row>
    <row r="2008" spans="2:12" x14ac:dyDescent="0.35">
      <c r="B2008" s="148" t="s">
        <v>28</v>
      </c>
      <c r="C2008" s="154"/>
      <c r="D2008" s="155"/>
      <c r="E2008" s="135" t="s">
        <v>122</v>
      </c>
      <c r="F2008" s="135"/>
      <c r="G2008" s="206"/>
      <c r="H2008" s="139"/>
      <c r="I2008" s="60"/>
      <c r="J2008" s="26"/>
      <c r="K2008" s="26"/>
      <c r="L2008" s="48"/>
    </row>
    <row r="2009" spans="2:12" x14ac:dyDescent="0.35">
      <c r="B2009" s="207"/>
      <c r="C2009" s="87"/>
      <c r="D2009" s="130" t="s">
        <v>29</v>
      </c>
      <c r="E2009" s="208"/>
      <c r="F2009" s="124" t="s">
        <v>237</v>
      </c>
      <c r="G2009" s="141"/>
      <c r="H2009" s="209"/>
      <c r="I2009" s="210"/>
      <c r="J2009" s="26"/>
      <c r="K2009" s="26"/>
      <c r="L2009" s="48"/>
    </row>
    <row r="2010" spans="2:12" x14ac:dyDescent="0.35">
      <c r="B2010" s="86"/>
      <c r="C2010" s="89"/>
      <c r="D2010" s="89"/>
      <c r="E2010" s="140"/>
      <c r="F2010" s="124" t="s">
        <v>90</v>
      </c>
      <c r="G2010" s="49" t="s">
        <v>1194</v>
      </c>
      <c r="H2010" s="139">
        <f>49.91*1.5*1.2*8</f>
        <v>718.70399999999995</v>
      </c>
      <c r="I2010" s="95" t="s">
        <v>91</v>
      </c>
      <c r="J2010" s="26">
        <v>28500</v>
      </c>
      <c r="K2010" s="26"/>
      <c r="L2010" s="42">
        <f t="shared" ref="L2010:L2013" si="116">J2010*H2010</f>
        <v>20483064</v>
      </c>
    </row>
    <row r="2011" spans="2:12" x14ac:dyDescent="0.35">
      <c r="B2011" s="86"/>
      <c r="C2011" s="89"/>
      <c r="D2011" s="89"/>
      <c r="E2011" s="140"/>
      <c r="F2011" s="124" t="s">
        <v>90</v>
      </c>
      <c r="G2011" s="49" t="s">
        <v>1195</v>
      </c>
      <c r="H2011" s="139">
        <f>49.91*2.79*1.2*2</f>
        <v>334.19735999999995</v>
      </c>
      <c r="I2011" s="95" t="s">
        <v>91</v>
      </c>
      <c r="J2011" s="26">
        <v>28500</v>
      </c>
      <c r="K2011" s="26"/>
      <c r="L2011" s="42">
        <f t="shared" si="116"/>
        <v>9524624.7599999979</v>
      </c>
    </row>
    <row r="2012" spans="2:12" x14ac:dyDescent="0.35">
      <c r="B2012" s="148"/>
      <c r="C2012" s="87"/>
      <c r="D2012" s="89"/>
      <c r="E2012" s="140"/>
      <c r="F2012" s="124" t="s">
        <v>90</v>
      </c>
      <c r="G2012" s="49" t="s">
        <v>238</v>
      </c>
      <c r="H2012" s="139">
        <f>49.91*3*1.2*3</f>
        <v>539.02800000000002</v>
      </c>
      <c r="I2012" s="95" t="s">
        <v>91</v>
      </c>
      <c r="J2012" s="26">
        <v>28500</v>
      </c>
      <c r="K2012" s="26"/>
      <c r="L2012" s="42">
        <f t="shared" si="116"/>
        <v>15362298</v>
      </c>
    </row>
    <row r="2013" spans="2:12" x14ac:dyDescent="0.35">
      <c r="B2013" s="86"/>
      <c r="C2013" s="89"/>
      <c r="D2013" s="89"/>
      <c r="E2013" s="140"/>
      <c r="F2013" s="124" t="s">
        <v>90</v>
      </c>
      <c r="G2013" s="49" t="s">
        <v>1196</v>
      </c>
      <c r="H2013" s="139">
        <f>0.2*10*1.38*7.85*1.2*3</f>
        <v>77.997599999999977</v>
      </c>
      <c r="I2013" s="95" t="s">
        <v>91</v>
      </c>
      <c r="J2013" s="26">
        <v>28500</v>
      </c>
      <c r="K2013" s="26"/>
      <c r="L2013" s="42">
        <f t="shared" si="116"/>
        <v>2222931.5999999992</v>
      </c>
    </row>
    <row r="2014" spans="2:12" x14ac:dyDescent="0.35">
      <c r="B2014" s="115"/>
      <c r="C2014" s="88"/>
      <c r="D2014" s="69"/>
      <c r="E2014" s="201"/>
      <c r="F2014" s="71"/>
      <c r="G2014" s="27"/>
      <c r="H2014" s="125"/>
      <c r="I2014" s="126"/>
      <c r="J2014" s="26"/>
      <c r="K2014" s="26"/>
      <c r="L2014" s="48"/>
    </row>
    <row r="2015" spans="2:12" x14ac:dyDescent="0.35">
      <c r="B2015" s="148"/>
      <c r="C2015" s="87"/>
      <c r="D2015" s="51"/>
      <c r="E2015" s="136"/>
      <c r="F2015" s="105"/>
      <c r="G2015" s="106"/>
      <c r="H2015" s="100"/>
      <c r="I2015" s="60"/>
      <c r="J2015" s="46"/>
      <c r="K2015" s="26"/>
      <c r="L2015" s="48"/>
    </row>
    <row r="2016" spans="2:12" x14ac:dyDescent="0.35">
      <c r="B2016" s="8"/>
      <c r="C2016" s="9"/>
      <c r="D2016" s="10"/>
      <c r="E2016" s="4"/>
      <c r="F2016" s="4"/>
      <c r="G2016" s="4"/>
      <c r="H2016" s="1"/>
      <c r="I2016" s="1"/>
      <c r="J2016" s="11" t="s">
        <v>8</v>
      </c>
      <c r="K2016" s="7">
        <f>SUM(K1963:K2015)</f>
        <v>0</v>
      </c>
      <c r="L2016" s="7">
        <f>SUM(L1963:L2015)</f>
        <v>613273727.4059999</v>
      </c>
    </row>
    <row r="2017" spans="2:12" x14ac:dyDescent="0.35">
      <c r="B2017" s="8"/>
      <c r="C2017" s="9"/>
      <c r="D2017" s="9"/>
      <c r="E2017" s="4"/>
      <c r="F2017" s="4"/>
      <c r="G2017" s="4"/>
      <c r="H2017" s="1"/>
      <c r="I2017" s="1"/>
      <c r="J2017" s="11"/>
      <c r="K2017" s="32" t="s">
        <v>13</v>
      </c>
      <c r="L2017" s="33" t="s">
        <v>14</v>
      </c>
    </row>
    <row r="2018" spans="2:12" x14ac:dyDescent="0.35">
      <c r="B2018" s="3" t="s">
        <v>9</v>
      </c>
      <c r="C2018" s="4"/>
      <c r="D2018" s="4"/>
      <c r="E2018" s="4"/>
      <c r="F2018" s="4"/>
      <c r="G2018" s="4"/>
      <c r="H2018" s="1"/>
      <c r="I2018" s="1"/>
      <c r="J2018" s="12"/>
      <c r="K2018" s="12"/>
      <c r="L2018" s="13"/>
    </row>
    <row r="2019" spans="2:12" x14ac:dyDescent="0.35">
      <c r="B2019" s="34"/>
      <c r="C2019" s="1"/>
      <c r="D2019" s="1"/>
      <c r="E2019" s="35"/>
      <c r="F2019" s="35"/>
      <c r="G2019" s="35"/>
      <c r="H2019" s="1"/>
      <c r="I2019" s="1"/>
      <c r="J2019" s="1"/>
      <c r="K2019" s="1"/>
      <c r="L2019" s="17"/>
    </row>
    <row r="2020" spans="2:12" x14ac:dyDescent="0.35">
      <c r="B2020" s="25" t="s">
        <v>6</v>
      </c>
      <c r="C2020" s="24"/>
      <c r="D2020" s="24"/>
      <c r="E2020" s="23"/>
      <c r="F2020" s="23"/>
      <c r="G2020" s="5"/>
      <c r="K2020" s="227" t="s">
        <v>1292</v>
      </c>
      <c r="L2020" s="228"/>
    </row>
    <row r="2021" spans="2:12" x14ac:dyDescent="0.35">
      <c r="B2021" s="25">
        <v>1</v>
      </c>
      <c r="C2021" s="24"/>
      <c r="D2021" s="24"/>
      <c r="E2021" s="23" t="s">
        <v>7</v>
      </c>
      <c r="F2021" s="23"/>
      <c r="G2021" s="5"/>
      <c r="K2021" s="227" t="s">
        <v>18</v>
      </c>
      <c r="L2021" s="228"/>
    </row>
    <row r="2022" spans="2:12" x14ac:dyDescent="0.35">
      <c r="B2022" s="36"/>
      <c r="C2022" s="24"/>
      <c r="D2022" s="24"/>
      <c r="E2022" s="23"/>
      <c r="F2022" s="23"/>
      <c r="G2022" s="5"/>
      <c r="J2022" s="22"/>
      <c r="K2022" s="22"/>
      <c r="L2022" s="21"/>
    </row>
    <row r="2023" spans="2:12" x14ac:dyDescent="0.35">
      <c r="B2023" s="25"/>
      <c r="C2023" s="24"/>
      <c r="D2023" s="24"/>
      <c r="E2023" s="23"/>
      <c r="F2023" s="23"/>
      <c r="G2023" s="5"/>
      <c r="L2023" s="20"/>
    </row>
    <row r="2024" spans="2:12" x14ac:dyDescent="0.35">
      <c r="B2024" s="41"/>
      <c r="E2024" s="5"/>
      <c r="F2024" s="5"/>
      <c r="G2024" s="5"/>
      <c r="L2024" s="20"/>
    </row>
    <row r="2025" spans="2:12" x14ac:dyDescent="0.35">
      <c r="B2025" s="41"/>
      <c r="E2025" s="5"/>
      <c r="F2025" s="5"/>
      <c r="G2025" s="5"/>
      <c r="L2025" s="20"/>
    </row>
    <row r="2026" spans="2:12" x14ac:dyDescent="0.35">
      <c r="B2026" s="41"/>
      <c r="E2026" s="5"/>
      <c r="F2026" s="5"/>
      <c r="G2026" s="5"/>
      <c r="L2026" s="20"/>
    </row>
    <row r="2027" spans="2:12" x14ac:dyDescent="0.35">
      <c r="B2027" s="41"/>
      <c r="E2027" s="5"/>
      <c r="F2027" s="5"/>
      <c r="G2027" s="5"/>
      <c r="J2027" s="37"/>
      <c r="K2027" s="229" t="s">
        <v>26</v>
      </c>
      <c r="L2027" s="230"/>
    </row>
    <row r="2028" spans="2:12" x14ac:dyDescent="0.35">
      <c r="B2028" s="41"/>
      <c r="K2028" s="231" t="s">
        <v>27</v>
      </c>
      <c r="L2028" s="232"/>
    </row>
    <row r="2029" spans="2:12" x14ac:dyDescent="0.35">
      <c r="B2029" s="233"/>
      <c r="C2029" s="234"/>
      <c r="D2029" s="234"/>
      <c r="E2029" s="38"/>
      <c r="F2029" s="38"/>
      <c r="G2029" s="38"/>
      <c r="H2029" s="2"/>
      <c r="I2029" s="2"/>
      <c r="J2029" s="2"/>
      <c r="K2029" s="2"/>
      <c r="L2029" s="19"/>
    </row>
    <row r="2030" spans="2:12" x14ac:dyDescent="0.35">
      <c r="B2030" s="43"/>
      <c r="C2030" s="44"/>
      <c r="D2030" s="45"/>
      <c r="G2030" s="20"/>
      <c r="H2030" s="1"/>
      <c r="I2030" s="1"/>
      <c r="J2030" s="39"/>
      <c r="K2030" s="27"/>
      <c r="L2030" s="40"/>
    </row>
    <row r="2031" spans="2:12" x14ac:dyDescent="0.35">
      <c r="B2031" s="86"/>
      <c r="C2031" s="89"/>
      <c r="D2031" s="89"/>
      <c r="E2031" s="140"/>
      <c r="F2031" s="124" t="s">
        <v>90</v>
      </c>
      <c r="G2031" s="49" t="s">
        <v>1197</v>
      </c>
      <c r="H2031" s="139">
        <f>0.2*10*1.29*7.85*1.2*6</f>
        <v>145.82159999999999</v>
      </c>
      <c r="I2031" s="95" t="s">
        <v>91</v>
      </c>
      <c r="J2031" s="26">
        <v>28500</v>
      </c>
      <c r="K2031" s="152"/>
      <c r="L2031" s="42">
        <f t="shared" ref="L2031:L2052" si="117">J2031*H2031</f>
        <v>4155915.5999999996</v>
      </c>
    </row>
    <row r="2032" spans="2:12" x14ac:dyDescent="0.35">
      <c r="B2032" s="86"/>
      <c r="C2032" s="89"/>
      <c r="D2032" s="89"/>
      <c r="E2032" s="140"/>
      <c r="F2032" s="124" t="s">
        <v>90</v>
      </c>
      <c r="G2032" s="49" t="s">
        <v>1198</v>
      </c>
      <c r="H2032" s="139">
        <f>0.2*10*1.19*7.85*1.2*8</f>
        <v>179.35679999999999</v>
      </c>
      <c r="I2032" s="95" t="s">
        <v>91</v>
      </c>
      <c r="J2032" s="26">
        <v>28500</v>
      </c>
      <c r="K2032" s="47"/>
      <c r="L2032" s="42">
        <f t="shared" si="117"/>
        <v>5111668.8</v>
      </c>
    </row>
    <row r="2033" spans="2:12" x14ac:dyDescent="0.35">
      <c r="B2033" s="86"/>
      <c r="C2033" s="89"/>
      <c r="D2033" s="89"/>
      <c r="E2033" s="140"/>
      <c r="F2033" s="124" t="s">
        <v>90</v>
      </c>
      <c r="G2033" s="49" t="s">
        <v>1199</v>
      </c>
      <c r="H2033" s="139">
        <f>3*1.5*8*7.85*2</f>
        <v>565.19999999999993</v>
      </c>
      <c r="I2033" s="60" t="s">
        <v>91</v>
      </c>
      <c r="J2033" s="26">
        <v>28500</v>
      </c>
      <c r="K2033" s="47"/>
      <c r="L2033" s="42">
        <f t="shared" si="117"/>
        <v>16108199.999999998</v>
      </c>
    </row>
    <row r="2034" spans="2:12" x14ac:dyDescent="0.35">
      <c r="B2034" s="86"/>
      <c r="C2034" s="89"/>
      <c r="D2034" s="89"/>
      <c r="E2034" s="140"/>
      <c r="F2034" s="124" t="s">
        <v>90</v>
      </c>
      <c r="G2034" s="49" t="s">
        <v>1200</v>
      </c>
      <c r="H2034" s="139">
        <f>2.97*1.5*8*7.85*2</f>
        <v>559.548</v>
      </c>
      <c r="I2034" s="60" t="s">
        <v>91</v>
      </c>
      <c r="J2034" s="26">
        <v>28500</v>
      </c>
      <c r="K2034" s="47"/>
      <c r="L2034" s="42">
        <f t="shared" si="117"/>
        <v>15947118</v>
      </c>
    </row>
    <row r="2035" spans="2:12" x14ac:dyDescent="0.35">
      <c r="B2035" s="147"/>
      <c r="C2035" s="89"/>
      <c r="D2035" s="130"/>
      <c r="E2035" s="140"/>
      <c r="F2035" s="124" t="s">
        <v>90</v>
      </c>
      <c r="G2035" s="49" t="s">
        <v>1201</v>
      </c>
      <c r="H2035" s="139">
        <f>3*3.01*12*7.85</f>
        <v>850.62599999999986</v>
      </c>
      <c r="I2035" s="60" t="s">
        <v>91</v>
      </c>
      <c r="J2035" s="26">
        <v>28500</v>
      </c>
      <c r="K2035" s="55"/>
      <c r="L2035" s="42">
        <f t="shared" si="117"/>
        <v>24242840.999999996</v>
      </c>
    </row>
    <row r="2036" spans="2:12" x14ac:dyDescent="0.35">
      <c r="B2036" s="147"/>
      <c r="C2036" s="89"/>
      <c r="D2036" s="130"/>
      <c r="E2036" s="140"/>
      <c r="F2036" s="124" t="s">
        <v>90</v>
      </c>
      <c r="G2036" s="49" t="s">
        <v>1202</v>
      </c>
      <c r="H2036" s="139">
        <f>0.3*0.3*12*7.85*1.2*7</f>
        <v>71.215199999999996</v>
      </c>
      <c r="I2036" s="60" t="s">
        <v>91</v>
      </c>
      <c r="J2036" s="26">
        <v>28500</v>
      </c>
      <c r="K2036" s="47"/>
      <c r="L2036" s="42">
        <f t="shared" si="117"/>
        <v>2029633.2</v>
      </c>
    </row>
    <row r="2037" spans="2:12" x14ac:dyDescent="0.35">
      <c r="B2037" s="147"/>
      <c r="C2037" s="89"/>
      <c r="D2037" s="130"/>
      <c r="E2037" s="140"/>
      <c r="F2037" s="124" t="s">
        <v>90</v>
      </c>
      <c r="G2037" s="49" t="s">
        <v>1203</v>
      </c>
      <c r="H2037" s="139">
        <f>0.4*0.35*12*7.85*1.2*5</f>
        <v>79.127999999999986</v>
      </c>
      <c r="I2037" s="60" t="s">
        <v>91</v>
      </c>
      <c r="J2037" s="26">
        <v>28500</v>
      </c>
      <c r="K2037" s="55"/>
      <c r="L2037" s="42">
        <f t="shared" si="117"/>
        <v>2255147.9999999995</v>
      </c>
    </row>
    <row r="2038" spans="2:12" x14ac:dyDescent="0.35">
      <c r="B2038" s="147"/>
      <c r="C2038" s="89"/>
      <c r="D2038" s="130"/>
      <c r="E2038" s="140"/>
      <c r="F2038" s="124" t="s">
        <v>90</v>
      </c>
      <c r="G2038" s="49" t="s">
        <v>1204</v>
      </c>
      <c r="H2038" s="139">
        <f>0.2*0.19*25*7.85*1.2</f>
        <v>8.9490000000000016</v>
      </c>
      <c r="I2038" s="60" t="s">
        <v>91</v>
      </c>
      <c r="J2038" s="26">
        <v>28500</v>
      </c>
      <c r="K2038" s="47"/>
      <c r="L2038" s="42">
        <f t="shared" si="117"/>
        <v>255046.50000000006</v>
      </c>
    </row>
    <row r="2039" spans="2:12" x14ac:dyDescent="0.35">
      <c r="B2039" s="207"/>
      <c r="C2039" s="84"/>
      <c r="D2039" s="130" t="s">
        <v>32</v>
      </c>
      <c r="E2039" s="124"/>
      <c r="F2039" s="124" t="s">
        <v>239</v>
      </c>
      <c r="G2039" s="49"/>
      <c r="H2039" s="149"/>
      <c r="I2039" s="60"/>
      <c r="J2039" s="26"/>
      <c r="K2039" s="47"/>
      <c r="L2039" s="42"/>
    </row>
    <row r="2040" spans="2:12" x14ac:dyDescent="0.35">
      <c r="B2040" s="86"/>
      <c r="C2040" s="89"/>
      <c r="D2040" s="130"/>
      <c r="E2040" s="89"/>
      <c r="F2040" s="124" t="s">
        <v>90</v>
      </c>
      <c r="G2040" s="49" t="s">
        <v>1205</v>
      </c>
      <c r="H2040" s="139">
        <f>49.92*6.15*1.2</f>
        <v>368.40960000000001</v>
      </c>
      <c r="I2040" s="95" t="s">
        <v>91</v>
      </c>
      <c r="J2040" s="26">
        <v>28500</v>
      </c>
      <c r="K2040" s="47"/>
      <c r="L2040" s="42">
        <f t="shared" si="117"/>
        <v>10499673.6</v>
      </c>
    </row>
    <row r="2041" spans="2:12" x14ac:dyDescent="0.35">
      <c r="B2041" s="86"/>
      <c r="C2041" s="89"/>
      <c r="D2041" s="130" t="s">
        <v>34</v>
      </c>
      <c r="E2041" s="89"/>
      <c r="F2041" s="124" t="s">
        <v>240</v>
      </c>
      <c r="G2041" s="49"/>
      <c r="H2041" s="124"/>
      <c r="I2041" s="95"/>
      <c r="J2041" s="42"/>
      <c r="K2041" s="42"/>
      <c r="L2041" s="53"/>
    </row>
    <row r="2042" spans="2:12" x14ac:dyDescent="0.35">
      <c r="B2042" s="86"/>
      <c r="C2042" s="89"/>
      <c r="D2042" s="130"/>
      <c r="E2042" s="124"/>
      <c r="F2042" s="124" t="s">
        <v>90</v>
      </c>
      <c r="G2042" s="49" t="s">
        <v>1206</v>
      </c>
      <c r="H2042" s="139">
        <f>0.24*10*7.85*1.6*1.2</f>
        <v>36.172800000000002</v>
      </c>
      <c r="I2042" s="60" t="s">
        <v>91</v>
      </c>
      <c r="J2042" s="55">
        <v>28500</v>
      </c>
      <c r="K2042" s="55"/>
      <c r="L2042" s="42">
        <f t="shared" si="117"/>
        <v>1030924.8</v>
      </c>
    </row>
    <row r="2043" spans="2:12" x14ac:dyDescent="0.35">
      <c r="B2043" s="148"/>
      <c r="C2043" s="87"/>
      <c r="D2043" s="130"/>
      <c r="E2043" s="208"/>
      <c r="F2043" s="124" t="s">
        <v>90</v>
      </c>
      <c r="G2043" s="49" t="s">
        <v>1207</v>
      </c>
      <c r="H2043" s="139">
        <f>0.2*10*7.85*1*1.2*3</f>
        <v>56.519999999999996</v>
      </c>
      <c r="I2043" s="60" t="s">
        <v>91</v>
      </c>
      <c r="J2043" s="55">
        <v>28500</v>
      </c>
      <c r="K2043" s="26"/>
      <c r="L2043" s="42">
        <f t="shared" si="117"/>
        <v>1610820</v>
      </c>
    </row>
    <row r="2044" spans="2:12" x14ac:dyDescent="0.35">
      <c r="B2044" s="86"/>
      <c r="C2044" s="89"/>
      <c r="D2044" s="130"/>
      <c r="E2044" s="208"/>
      <c r="F2044" s="124" t="s">
        <v>90</v>
      </c>
      <c r="G2044" s="49" t="s">
        <v>1208</v>
      </c>
      <c r="H2044" s="139">
        <f>0.24*10*7.85*1.23*1.2*2</f>
        <v>55.61567999999999</v>
      </c>
      <c r="I2044" s="60" t="s">
        <v>91</v>
      </c>
      <c r="J2044" s="55">
        <v>28500</v>
      </c>
      <c r="K2044" s="26"/>
      <c r="L2044" s="42">
        <f t="shared" si="117"/>
        <v>1585046.8799999997</v>
      </c>
    </row>
    <row r="2045" spans="2:12" x14ac:dyDescent="0.35">
      <c r="B2045" s="148"/>
      <c r="C2045" s="87"/>
      <c r="D2045" s="193"/>
      <c r="E2045" s="89"/>
      <c r="F2045" s="124" t="s">
        <v>90</v>
      </c>
      <c r="G2045" s="49" t="s">
        <v>1209</v>
      </c>
      <c r="H2045" s="149">
        <v>5</v>
      </c>
      <c r="I2045" s="95" t="s">
        <v>72</v>
      </c>
      <c r="J2045" s="73">
        <v>1656000</v>
      </c>
      <c r="K2045" s="26"/>
      <c r="L2045" s="42">
        <f t="shared" si="117"/>
        <v>8280000</v>
      </c>
    </row>
    <row r="2046" spans="2:12" x14ac:dyDescent="0.35">
      <c r="B2046" s="86"/>
      <c r="C2046" s="89"/>
      <c r="D2046" s="193"/>
      <c r="E2046" s="89"/>
      <c r="F2046" s="124" t="s">
        <v>90</v>
      </c>
      <c r="G2046" s="49" t="s">
        <v>1210</v>
      </c>
      <c r="H2046" s="149">
        <v>15160</v>
      </c>
      <c r="I2046" s="95" t="s">
        <v>217</v>
      </c>
      <c r="J2046" s="26">
        <v>337</v>
      </c>
      <c r="K2046" s="26"/>
      <c r="L2046" s="42">
        <f t="shared" si="117"/>
        <v>5108920</v>
      </c>
    </row>
    <row r="2047" spans="2:12" x14ac:dyDescent="0.35">
      <c r="B2047" s="148"/>
      <c r="C2047" s="87"/>
      <c r="D2047" s="130"/>
      <c r="E2047" s="89"/>
      <c r="F2047" s="124" t="s">
        <v>90</v>
      </c>
      <c r="G2047" s="49" t="s">
        <v>241</v>
      </c>
      <c r="H2047" s="149">
        <v>6</v>
      </c>
      <c r="I2047" s="95" t="s">
        <v>72</v>
      </c>
      <c r="J2047" s="73">
        <v>90000</v>
      </c>
      <c r="K2047" s="26"/>
      <c r="L2047" s="42">
        <f t="shared" si="117"/>
        <v>540000</v>
      </c>
    </row>
    <row r="2048" spans="2:12" x14ac:dyDescent="0.35">
      <c r="B2048" s="140"/>
      <c r="C2048" s="89"/>
      <c r="D2048" s="89"/>
      <c r="E2048" s="140"/>
      <c r="F2048" s="124" t="s">
        <v>90</v>
      </c>
      <c r="G2048" s="49" t="s">
        <v>1211</v>
      </c>
      <c r="H2048" s="139">
        <f>0.2*0.2*10*7.85*1.2*3</f>
        <v>11.304000000000002</v>
      </c>
      <c r="I2048" s="60" t="s">
        <v>91</v>
      </c>
      <c r="J2048" s="55">
        <v>28500</v>
      </c>
      <c r="K2048" s="26"/>
      <c r="L2048" s="42">
        <f t="shared" si="117"/>
        <v>322164.00000000006</v>
      </c>
    </row>
    <row r="2049" spans="2:12" x14ac:dyDescent="0.35">
      <c r="B2049" s="140"/>
      <c r="C2049" s="89"/>
      <c r="D2049" s="89"/>
      <c r="E2049" s="140"/>
      <c r="F2049" s="124" t="s">
        <v>90</v>
      </c>
      <c r="G2049" s="49" t="s">
        <v>1212</v>
      </c>
      <c r="H2049" s="113">
        <f>2.85*0.55*1.2*6</f>
        <v>11.286</v>
      </c>
      <c r="I2049" s="60" t="s">
        <v>91</v>
      </c>
      <c r="J2049" s="55">
        <v>28500</v>
      </c>
      <c r="K2049" s="26"/>
      <c r="L2049" s="42">
        <f t="shared" si="117"/>
        <v>321651</v>
      </c>
    </row>
    <row r="2050" spans="2:12" x14ac:dyDescent="0.35">
      <c r="B2050" s="86"/>
      <c r="C2050" s="89"/>
      <c r="D2050" s="193"/>
      <c r="E2050" s="89"/>
      <c r="F2050" s="124" t="s">
        <v>90</v>
      </c>
      <c r="G2050" s="49" t="s">
        <v>1213</v>
      </c>
      <c r="H2050" s="139">
        <f>0.006165*19.05*19.05*0.89*1.2*2</f>
        <v>4.7788597971</v>
      </c>
      <c r="I2050" s="95" t="s">
        <v>91</v>
      </c>
      <c r="J2050" s="55">
        <v>28500</v>
      </c>
      <c r="K2050" s="26"/>
      <c r="L2050" s="42">
        <f t="shared" si="117"/>
        <v>136197.50421735001</v>
      </c>
    </row>
    <row r="2051" spans="2:12" x14ac:dyDescent="0.35">
      <c r="B2051" s="140"/>
      <c r="C2051" s="89"/>
      <c r="D2051" s="89"/>
      <c r="E2051" s="140"/>
      <c r="F2051" s="124" t="s">
        <v>90</v>
      </c>
      <c r="G2051" s="49" t="s">
        <v>1214</v>
      </c>
      <c r="H2051" s="139">
        <f>1.27*0.9*10*7.85</f>
        <v>89.725499999999997</v>
      </c>
      <c r="I2051" s="60" t="s">
        <v>91</v>
      </c>
      <c r="J2051" s="55">
        <v>28500</v>
      </c>
      <c r="K2051" s="26"/>
      <c r="L2051" s="42">
        <f t="shared" si="117"/>
        <v>2557176.75</v>
      </c>
    </row>
    <row r="2052" spans="2:12" x14ac:dyDescent="0.35">
      <c r="B2052" s="148"/>
      <c r="C2052" s="154"/>
      <c r="D2052" s="89" t="s">
        <v>36</v>
      </c>
      <c r="E2052" s="140"/>
      <c r="F2052" s="124" t="s">
        <v>242</v>
      </c>
      <c r="G2052" s="49"/>
      <c r="H2052" s="124">
        <v>1</v>
      </c>
      <c r="I2052" s="60" t="s">
        <v>82</v>
      </c>
      <c r="J2052" s="26">
        <v>4500000</v>
      </c>
      <c r="K2052" s="26"/>
      <c r="L2052" s="42">
        <f t="shared" si="117"/>
        <v>4500000</v>
      </c>
    </row>
    <row r="2053" spans="2:12" x14ac:dyDescent="0.35">
      <c r="B2053" s="86"/>
      <c r="C2053" s="89"/>
      <c r="D2053" s="89"/>
      <c r="E2053" s="140"/>
      <c r="F2053" s="124" t="s">
        <v>90</v>
      </c>
      <c r="G2053" s="49" t="s">
        <v>1215</v>
      </c>
      <c r="H2053" s="124"/>
      <c r="I2053" s="60"/>
      <c r="J2053" s="55"/>
      <c r="K2053" s="26"/>
      <c r="L2053" s="42"/>
    </row>
    <row r="2054" spans="2:12" x14ac:dyDescent="0.35">
      <c r="B2054" s="140"/>
      <c r="C2054" s="89"/>
      <c r="D2054" s="89"/>
      <c r="E2054" s="140"/>
      <c r="F2054" s="124" t="s">
        <v>90</v>
      </c>
      <c r="G2054" s="49" t="s">
        <v>1216</v>
      </c>
      <c r="H2054" s="139"/>
      <c r="I2054" s="60"/>
      <c r="J2054" s="55"/>
      <c r="K2054" s="26"/>
      <c r="L2054" s="48"/>
    </row>
    <row r="2055" spans="2:12" x14ac:dyDescent="0.35">
      <c r="B2055" s="148"/>
      <c r="C2055" s="154"/>
      <c r="D2055" s="89"/>
      <c r="E2055" s="140"/>
      <c r="F2055" s="124" t="s">
        <v>90</v>
      </c>
      <c r="G2055" s="49" t="s">
        <v>1217</v>
      </c>
      <c r="H2055" s="139"/>
      <c r="I2055" s="60"/>
      <c r="J2055" s="55"/>
      <c r="K2055" s="26"/>
      <c r="L2055" s="48"/>
    </row>
    <row r="2056" spans="2:12" x14ac:dyDescent="0.35">
      <c r="B2056" s="148"/>
      <c r="C2056" s="87"/>
      <c r="D2056" s="89"/>
      <c r="E2056" s="140"/>
      <c r="F2056" s="124" t="s">
        <v>90</v>
      </c>
      <c r="G2056" s="49" t="s">
        <v>1218</v>
      </c>
      <c r="H2056" s="139"/>
      <c r="I2056" s="60"/>
      <c r="J2056" s="55"/>
      <c r="K2056" s="26"/>
      <c r="L2056" s="48"/>
    </row>
    <row r="2057" spans="2:12" x14ac:dyDescent="0.35">
      <c r="B2057" s="148"/>
      <c r="C2057" s="87"/>
      <c r="D2057" s="89"/>
      <c r="E2057" s="140"/>
      <c r="F2057" s="124" t="s">
        <v>90</v>
      </c>
      <c r="G2057" s="49" t="s">
        <v>243</v>
      </c>
      <c r="H2057" s="139"/>
      <c r="I2057" s="60"/>
      <c r="J2057" s="55"/>
      <c r="K2057" s="26"/>
      <c r="L2057" s="48"/>
    </row>
    <row r="2058" spans="2:12" x14ac:dyDescent="0.35">
      <c r="B2058" s="86"/>
      <c r="C2058" s="89"/>
      <c r="D2058" s="89"/>
      <c r="E2058" s="140"/>
      <c r="F2058" s="124" t="s">
        <v>90</v>
      </c>
      <c r="G2058" s="49" t="s">
        <v>1219</v>
      </c>
      <c r="H2058" s="139"/>
      <c r="I2058" s="60"/>
      <c r="J2058" s="55"/>
      <c r="K2058" s="26"/>
      <c r="L2058" s="48"/>
    </row>
    <row r="2059" spans="2:12" x14ac:dyDescent="0.35">
      <c r="B2059" s="86"/>
      <c r="C2059" s="87"/>
      <c r="D2059" s="89"/>
      <c r="E2059" s="140"/>
      <c r="F2059" s="124" t="s">
        <v>90</v>
      </c>
      <c r="G2059" s="49" t="s">
        <v>1220</v>
      </c>
      <c r="H2059" s="139"/>
      <c r="I2059" s="60"/>
      <c r="J2059" s="55"/>
      <c r="K2059" s="26"/>
      <c r="L2059" s="48"/>
    </row>
    <row r="2060" spans="2:12" x14ac:dyDescent="0.35">
      <c r="B2060" s="86"/>
      <c r="C2060" s="87"/>
      <c r="D2060" s="89"/>
      <c r="E2060" s="140"/>
      <c r="F2060" s="124" t="s">
        <v>90</v>
      </c>
      <c r="G2060" s="49" t="s">
        <v>1221</v>
      </c>
      <c r="H2060" s="139"/>
      <c r="I2060" s="60"/>
      <c r="J2060" s="55"/>
      <c r="K2060" s="26"/>
      <c r="L2060" s="48"/>
    </row>
    <row r="2061" spans="2:12" x14ac:dyDescent="0.35">
      <c r="B2061" s="150"/>
      <c r="C2061" s="89"/>
      <c r="D2061" s="89"/>
      <c r="E2061" s="140"/>
      <c r="F2061" s="124" t="s">
        <v>90</v>
      </c>
      <c r="G2061" s="49" t="s">
        <v>1222</v>
      </c>
      <c r="H2061" s="139"/>
      <c r="I2061" s="60"/>
      <c r="J2061" s="55"/>
      <c r="K2061" s="26"/>
      <c r="L2061" s="48"/>
    </row>
    <row r="2062" spans="2:12" x14ac:dyDescent="0.35">
      <c r="B2062" s="150"/>
      <c r="C2062" s="89"/>
      <c r="D2062" s="89"/>
      <c r="E2062" s="140"/>
      <c r="F2062" s="124" t="s">
        <v>90</v>
      </c>
      <c r="G2062" s="49" t="s">
        <v>1223</v>
      </c>
      <c r="H2062" s="139"/>
      <c r="I2062" s="60"/>
      <c r="J2062" s="55"/>
      <c r="K2062" s="26"/>
      <c r="L2062" s="48"/>
    </row>
    <row r="2063" spans="2:12" x14ac:dyDescent="0.35">
      <c r="B2063" s="150"/>
      <c r="C2063" s="89"/>
      <c r="D2063" s="130"/>
      <c r="E2063" s="89"/>
      <c r="F2063" s="124" t="s">
        <v>90</v>
      </c>
      <c r="G2063" s="49" t="s">
        <v>244</v>
      </c>
      <c r="H2063" s="124"/>
      <c r="I2063" s="60"/>
      <c r="J2063" s="55"/>
      <c r="K2063" s="26"/>
      <c r="L2063" s="48"/>
    </row>
    <row r="2064" spans="2:12" x14ac:dyDescent="0.35">
      <c r="B2064" s="148"/>
      <c r="C2064" s="89"/>
      <c r="D2064" s="89" t="s">
        <v>38</v>
      </c>
      <c r="E2064" s="140"/>
      <c r="F2064" s="124" t="s">
        <v>245</v>
      </c>
      <c r="G2064" s="49"/>
      <c r="H2064" s="124">
        <v>1</v>
      </c>
      <c r="I2064" s="60" t="s">
        <v>82</v>
      </c>
      <c r="J2064" s="26">
        <v>2250000</v>
      </c>
      <c r="K2064" s="26"/>
      <c r="L2064" s="42">
        <f t="shared" ref="L2064" si="118">J2064*H2064</f>
        <v>2250000</v>
      </c>
    </row>
    <row r="2065" spans="2:12" x14ac:dyDescent="0.35">
      <c r="B2065" s="86"/>
      <c r="C2065" s="89"/>
      <c r="D2065" s="130"/>
      <c r="E2065" s="140"/>
      <c r="F2065" s="124" t="s">
        <v>90</v>
      </c>
      <c r="G2065" s="49" t="s">
        <v>1272</v>
      </c>
      <c r="H2065" s="124"/>
      <c r="I2065" s="60"/>
      <c r="J2065" s="26"/>
      <c r="K2065" s="26"/>
      <c r="L2065" s="48"/>
    </row>
    <row r="2066" spans="2:12" x14ac:dyDescent="0.35">
      <c r="B2066" s="86"/>
      <c r="C2066" s="89"/>
      <c r="D2066" s="130" t="s">
        <v>39</v>
      </c>
      <c r="E2066" s="140"/>
      <c r="F2066" s="124" t="s">
        <v>246</v>
      </c>
      <c r="G2066" s="49"/>
      <c r="H2066" s="139"/>
      <c r="I2066" s="60"/>
      <c r="J2066" s="26"/>
      <c r="K2066" s="26"/>
      <c r="L2066" s="48"/>
    </row>
    <row r="2067" spans="2:12" x14ac:dyDescent="0.35">
      <c r="B2067" s="86"/>
      <c r="C2067" s="89"/>
      <c r="D2067" s="130"/>
      <c r="E2067" s="140"/>
      <c r="F2067" s="124" t="s">
        <v>90</v>
      </c>
      <c r="G2067" s="49" t="s">
        <v>1224</v>
      </c>
      <c r="H2067" s="139">
        <f>94*2.7*1.2</f>
        <v>304.56</v>
      </c>
      <c r="I2067" s="60" t="s">
        <v>91</v>
      </c>
      <c r="J2067" s="26">
        <v>28500</v>
      </c>
      <c r="K2067" s="26"/>
      <c r="L2067" s="42">
        <f t="shared" ref="L2067:L2079" si="119">J2067*H2067</f>
        <v>8679960</v>
      </c>
    </row>
    <row r="2068" spans="2:12" x14ac:dyDescent="0.35">
      <c r="B2068" s="86"/>
      <c r="C2068" s="89"/>
      <c r="D2068" s="130"/>
      <c r="E2068" s="140"/>
      <c r="F2068" s="124" t="s">
        <v>90</v>
      </c>
      <c r="G2068" s="49" t="s">
        <v>1225</v>
      </c>
      <c r="H2068" s="139">
        <f>49.92*1.1*1.2</f>
        <v>65.894400000000005</v>
      </c>
      <c r="I2068" s="60" t="s">
        <v>91</v>
      </c>
      <c r="J2068" s="26">
        <v>28500</v>
      </c>
      <c r="K2068" s="26"/>
      <c r="L2068" s="42">
        <f t="shared" si="119"/>
        <v>1877990.4000000001</v>
      </c>
    </row>
    <row r="2069" spans="2:12" x14ac:dyDescent="0.35">
      <c r="B2069" s="86"/>
      <c r="C2069" s="89"/>
      <c r="D2069" s="130"/>
      <c r="E2069" s="140"/>
      <c r="F2069" s="124" t="s">
        <v>90</v>
      </c>
      <c r="G2069" s="49" t="s">
        <v>1226</v>
      </c>
      <c r="H2069" s="139">
        <f>0.4*0.35*12*7.85*1.2*2</f>
        <v>31.651199999999992</v>
      </c>
      <c r="I2069" s="60" t="s">
        <v>91</v>
      </c>
      <c r="J2069" s="26">
        <v>28500</v>
      </c>
      <c r="K2069" s="26"/>
      <c r="L2069" s="42">
        <f t="shared" si="119"/>
        <v>902059.19999999972</v>
      </c>
    </row>
    <row r="2070" spans="2:12" x14ac:dyDescent="0.35">
      <c r="B2070" s="140"/>
      <c r="C2070" s="89"/>
      <c r="D2070" s="130"/>
      <c r="E2070" s="147"/>
      <c r="F2070" s="124" t="s">
        <v>90</v>
      </c>
      <c r="G2070" s="49" t="s">
        <v>1227</v>
      </c>
      <c r="H2070" s="139">
        <f>0.3*0.25*12*7.85*1.2*2</f>
        <v>16.955999999999996</v>
      </c>
      <c r="I2070" s="60" t="s">
        <v>91</v>
      </c>
      <c r="J2070" s="26">
        <v>28500</v>
      </c>
      <c r="K2070" s="26"/>
      <c r="L2070" s="42">
        <f t="shared" si="119"/>
        <v>483245.99999999988</v>
      </c>
    </row>
    <row r="2071" spans="2:12" x14ac:dyDescent="0.35">
      <c r="B2071" s="140"/>
      <c r="C2071" s="89"/>
      <c r="D2071" s="130"/>
      <c r="E2071" s="147"/>
      <c r="F2071" s="124" t="s">
        <v>90</v>
      </c>
      <c r="G2071" s="49" t="s">
        <v>1228</v>
      </c>
      <c r="H2071" s="139">
        <f>0.9*0.85*12*7.85</f>
        <v>72.062999999999988</v>
      </c>
      <c r="I2071" s="60" t="s">
        <v>91</v>
      </c>
      <c r="J2071" s="26">
        <v>28500</v>
      </c>
      <c r="K2071" s="26"/>
      <c r="L2071" s="42">
        <f t="shared" si="119"/>
        <v>2053795.4999999998</v>
      </c>
    </row>
    <row r="2072" spans="2:12" x14ac:dyDescent="0.35">
      <c r="B2072" s="140"/>
      <c r="C2072" s="89"/>
      <c r="D2072" s="130"/>
      <c r="E2072" s="147"/>
      <c r="F2072" s="124" t="s">
        <v>90</v>
      </c>
      <c r="G2072" s="49" t="s">
        <v>1229</v>
      </c>
      <c r="H2072" s="139">
        <f>1.4*1*12*7.85</f>
        <v>131.87999999999997</v>
      </c>
      <c r="I2072" s="60" t="s">
        <v>91</v>
      </c>
      <c r="J2072" s="26">
        <v>28500</v>
      </c>
      <c r="K2072" s="26"/>
      <c r="L2072" s="42">
        <f t="shared" si="119"/>
        <v>3758579.9999999991</v>
      </c>
    </row>
    <row r="2073" spans="2:12" x14ac:dyDescent="0.35">
      <c r="B2073" s="140"/>
      <c r="C2073" s="89"/>
      <c r="D2073" s="130"/>
      <c r="E2073" s="147"/>
      <c r="F2073" s="124" t="s">
        <v>90</v>
      </c>
      <c r="G2073" s="49" t="s">
        <v>1230</v>
      </c>
      <c r="H2073" s="139">
        <f>1.4*1.32*12*7.85</f>
        <v>174.08159999999998</v>
      </c>
      <c r="I2073" s="60" t="s">
        <v>91</v>
      </c>
      <c r="J2073" s="26">
        <v>28500</v>
      </c>
      <c r="K2073" s="26"/>
      <c r="L2073" s="42">
        <f t="shared" si="119"/>
        <v>4961325.5999999996</v>
      </c>
    </row>
    <row r="2074" spans="2:12" x14ac:dyDescent="0.35">
      <c r="B2074" s="140"/>
      <c r="C2074" s="89"/>
      <c r="D2074" s="130"/>
      <c r="E2074" s="147"/>
      <c r="F2074" s="124" t="s">
        <v>90</v>
      </c>
      <c r="G2074" s="49" t="s">
        <v>1231</v>
      </c>
      <c r="H2074" s="139">
        <f>1.53*1.53*12*7.85</f>
        <v>220.51277999999999</v>
      </c>
      <c r="I2074" s="60" t="s">
        <v>91</v>
      </c>
      <c r="J2074" s="26">
        <v>28500</v>
      </c>
      <c r="K2074" s="26"/>
      <c r="L2074" s="42">
        <f t="shared" si="119"/>
        <v>6284614.2299999995</v>
      </c>
    </row>
    <row r="2075" spans="2:12" x14ac:dyDescent="0.35">
      <c r="B2075" s="148"/>
      <c r="C2075" s="87"/>
      <c r="D2075" s="137"/>
      <c r="E2075" s="138"/>
      <c r="F2075" s="124" t="s">
        <v>90</v>
      </c>
      <c r="G2075" s="49" t="s">
        <v>1232</v>
      </c>
      <c r="H2075" s="139">
        <f>0.006165*50.8*50.8*1.65*1.2</f>
        <v>31.501098287999994</v>
      </c>
      <c r="I2075" s="60" t="s">
        <v>91</v>
      </c>
      <c r="J2075" s="26">
        <v>28500</v>
      </c>
      <c r="K2075" s="26"/>
      <c r="L2075" s="42">
        <f t="shared" si="119"/>
        <v>897781.30120799982</v>
      </c>
    </row>
    <row r="2076" spans="2:12" x14ac:dyDescent="0.35">
      <c r="B2076" s="148"/>
      <c r="C2076" s="87"/>
      <c r="D2076" s="137"/>
      <c r="E2076" s="138"/>
      <c r="F2076" s="124" t="s">
        <v>90</v>
      </c>
      <c r="G2076" s="49" t="s">
        <v>1233</v>
      </c>
      <c r="H2076" s="139">
        <f>0.006165*50.8*50.8*1.5*1.2</f>
        <v>28.637362079999999</v>
      </c>
      <c r="I2076" s="60" t="s">
        <v>91</v>
      </c>
      <c r="J2076" s="26">
        <v>28500</v>
      </c>
      <c r="K2076" s="26"/>
      <c r="L2076" s="42">
        <f t="shared" si="119"/>
        <v>816164.81927999994</v>
      </c>
    </row>
    <row r="2077" spans="2:12" x14ac:dyDescent="0.35">
      <c r="B2077" s="148"/>
      <c r="C2077" s="87"/>
      <c r="D2077" s="130"/>
      <c r="E2077" s="135"/>
      <c r="F2077" s="124" t="s">
        <v>90</v>
      </c>
      <c r="G2077" s="49" t="s">
        <v>247</v>
      </c>
      <c r="H2077" s="149">
        <v>270</v>
      </c>
      <c r="I2077" s="60" t="s">
        <v>217</v>
      </c>
      <c r="J2077" s="26">
        <v>3393</v>
      </c>
      <c r="K2077" s="26"/>
      <c r="L2077" s="42">
        <f t="shared" si="119"/>
        <v>916110</v>
      </c>
    </row>
    <row r="2078" spans="2:12" x14ac:dyDescent="0.35">
      <c r="B2078" s="86"/>
      <c r="C2078" s="89"/>
      <c r="D2078" s="130"/>
      <c r="E2078" s="140"/>
      <c r="F2078" s="124" t="s">
        <v>90</v>
      </c>
      <c r="G2078" s="49" t="s">
        <v>248</v>
      </c>
      <c r="H2078" s="139">
        <f>0.2*0.2*12*7.85*1.2*2</f>
        <v>9.0432000000000006</v>
      </c>
      <c r="I2078" s="60" t="s">
        <v>91</v>
      </c>
      <c r="J2078" s="26">
        <v>28500</v>
      </c>
      <c r="K2078" s="26"/>
      <c r="L2078" s="42">
        <f t="shared" si="119"/>
        <v>257731.20000000001</v>
      </c>
    </row>
    <row r="2079" spans="2:12" x14ac:dyDescent="0.35">
      <c r="B2079" s="150"/>
      <c r="C2079" s="89"/>
      <c r="D2079" s="130"/>
      <c r="E2079" s="140"/>
      <c r="F2079" s="124" t="s">
        <v>90</v>
      </c>
      <c r="G2079" s="49" t="s">
        <v>249</v>
      </c>
      <c r="H2079" s="149">
        <v>1</v>
      </c>
      <c r="I2079" s="49" t="s">
        <v>31</v>
      </c>
      <c r="J2079" s="26">
        <v>150000</v>
      </c>
      <c r="K2079" s="26"/>
      <c r="L2079" s="42">
        <f t="shared" si="119"/>
        <v>150000</v>
      </c>
    </row>
    <row r="2080" spans="2:12" x14ac:dyDescent="0.35">
      <c r="B2080" s="150"/>
      <c r="C2080" s="89"/>
      <c r="D2080" s="130"/>
      <c r="E2080" s="89"/>
      <c r="F2080" s="124"/>
      <c r="G2080" s="49"/>
      <c r="H2080" s="149"/>
      <c r="I2080" s="124"/>
      <c r="J2080" s="26"/>
      <c r="K2080" s="26"/>
      <c r="L2080" s="48"/>
    </row>
    <row r="2081" spans="2:12" x14ac:dyDescent="0.35">
      <c r="B2081" s="115"/>
      <c r="C2081" s="88"/>
      <c r="D2081" s="69"/>
      <c r="E2081" s="201"/>
      <c r="F2081" s="71"/>
      <c r="G2081" s="27"/>
      <c r="H2081" s="125"/>
      <c r="I2081" s="126"/>
      <c r="J2081" s="26"/>
      <c r="K2081" s="26"/>
      <c r="L2081" s="48"/>
    </row>
    <row r="2082" spans="2:12" x14ac:dyDescent="0.35">
      <c r="B2082" s="148"/>
      <c r="C2082" s="87"/>
      <c r="D2082" s="51"/>
      <c r="E2082" s="136"/>
      <c r="F2082" s="105"/>
      <c r="G2082" s="106"/>
      <c r="H2082" s="100"/>
      <c r="I2082" s="60"/>
      <c r="J2082" s="46"/>
      <c r="K2082" s="26"/>
      <c r="L2082" s="48"/>
    </row>
    <row r="2083" spans="2:12" x14ac:dyDescent="0.35">
      <c r="B2083" s="8"/>
      <c r="C2083" s="9"/>
      <c r="D2083" s="10"/>
      <c r="E2083" s="4"/>
      <c r="F2083" s="4"/>
      <c r="G2083" s="4"/>
      <c r="H2083" s="1"/>
      <c r="I2083" s="1"/>
      <c r="J2083" s="11" t="s">
        <v>8</v>
      </c>
      <c r="K2083" s="7">
        <f>SUM(K2030:K2082)</f>
        <v>0</v>
      </c>
      <c r="L2083" s="7">
        <f>SUM(L2030:L2082)</f>
        <v>140887503.88470531</v>
      </c>
    </row>
    <row r="2084" spans="2:12" x14ac:dyDescent="0.35">
      <c r="B2084" s="8"/>
      <c r="C2084" s="9"/>
      <c r="D2084" s="9"/>
      <c r="E2084" s="4"/>
      <c r="F2084" s="4"/>
      <c r="G2084" s="4"/>
      <c r="H2084" s="1"/>
      <c r="I2084" s="1"/>
      <c r="J2084" s="11"/>
      <c r="K2084" s="32" t="s">
        <v>13</v>
      </c>
      <c r="L2084" s="33" t="s">
        <v>14</v>
      </c>
    </row>
    <row r="2085" spans="2:12" x14ac:dyDescent="0.35">
      <c r="B2085" s="3" t="s">
        <v>9</v>
      </c>
      <c r="C2085" s="4"/>
      <c r="D2085" s="4"/>
      <c r="E2085" s="4"/>
      <c r="F2085" s="4"/>
      <c r="G2085" s="4"/>
      <c r="H2085" s="1"/>
      <c r="I2085" s="1"/>
      <c r="J2085" s="12"/>
      <c r="K2085" s="12"/>
      <c r="L2085" s="13"/>
    </row>
    <row r="2086" spans="2:12" x14ac:dyDescent="0.35">
      <c r="B2086" s="34"/>
      <c r="C2086" s="1"/>
      <c r="D2086" s="1"/>
      <c r="E2086" s="35"/>
      <c r="F2086" s="35"/>
      <c r="G2086" s="35"/>
      <c r="H2086" s="1"/>
      <c r="I2086" s="1"/>
      <c r="J2086" s="1"/>
      <c r="K2086" s="1"/>
      <c r="L2086" s="17"/>
    </row>
    <row r="2087" spans="2:12" x14ac:dyDescent="0.35">
      <c r="B2087" s="25" t="s">
        <v>6</v>
      </c>
      <c r="C2087" s="24"/>
      <c r="D2087" s="24"/>
      <c r="E2087" s="23"/>
      <c r="F2087" s="23"/>
      <c r="G2087" s="5"/>
      <c r="K2087" s="227" t="s">
        <v>1292</v>
      </c>
      <c r="L2087" s="228"/>
    </row>
    <row r="2088" spans="2:12" x14ac:dyDescent="0.35">
      <c r="B2088" s="25">
        <v>1</v>
      </c>
      <c r="C2088" s="24"/>
      <c r="D2088" s="24"/>
      <c r="E2088" s="23" t="s">
        <v>7</v>
      </c>
      <c r="F2088" s="23"/>
      <c r="G2088" s="5"/>
      <c r="K2088" s="227" t="s">
        <v>18</v>
      </c>
      <c r="L2088" s="228"/>
    </row>
    <row r="2089" spans="2:12" x14ac:dyDescent="0.35">
      <c r="B2089" s="36"/>
      <c r="C2089" s="24"/>
      <c r="D2089" s="24"/>
      <c r="E2089" s="23"/>
      <c r="F2089" s="23"/>
      <c r="G2089" s="5"/>
      <c r="J2089" s="22"/>
      <c r="K2089" s="22"/>
      <c r="L2089" s="21"/>
    </row>
    <row r="2090" spans="2:12" x14ac:dyDescent="0.35">
      <c r="B2090" s="25"/>
      <c r="C2090" s="24"/>
      <c r="D2090" s="24"/>
      <c r="E2090" s="23"/>
      <c r="F2090" s="23"/>
      <c r="G2090" s="5"/>
      <c r="L2090" s="20"/>
    </row>
    <row r="2091" spans="2:12" x14ac:dyDescent="0.35">
      <c r="B2091" s="41"/>
      <c r="E2091" s="5"/>
      <c r="F2091" s="5"/>
      <c r="G2091" s="5"/>
      <c r="L2091" s="20"/>
    </row>
    <row r="2092" spans="2:12" x14ac:dyDescent="0.35">
      <c r="B2092" s="41"/>
      <c r="E2092" s="5"/>
      <c r="F2092" s="5"/>
      <c r="G2092" s="5"/>
      <c r="L2092" s="20"/>
    </row>
    <row r="2093" spans="2:12" x14ac:dyDescent="0.35">
      <c r="B2093" s="41"/>
      <c r="E2093" s="5"/>
      <c r="F2093" s="5"/>
      <c r="G2093" s="5"/>
      <c r="L2093" s="20"/>
    </row>
    <row r="2094" spans="2:12" x14ac:dyDescent="0.35">
      <c r="B2094" s="41"/>
      <c r="E2094" s="5"/>
      <c r="F2094" s="5"/>
      <c r="G2094" s="5"/>
      <c r="J2094" s="37"/>
      <c r="K2094" s="229" t="s">
        <v>26</v>
      </c>
      <c r="L2094" s="230"/>
    </row>
    <row r="2095" spans="2:12" x14ac:dyDescent="0.35">
      <c r="B2095" s="41"/>
      <c r="K2095" s="231" t="s">
        <v>27</v>
      </c>
      <c r="L2095" s="232"/>
    </row>
    <row r="2096" spans="2:12" x14ac:dyDescent="0.35">
      <c r="B2096" s="233"/>
      <c r="C2096" s="234"/>
      <c r="D2096" s="234"/>
      <c r="E2096" s="38"/>
      <c r="F2096" s="38"/>
      <c r="G2096" s="38"/>
      <c r="H2096" s="2"/>
      <c r="I2096" s="2"/>
      <c r="J2096" s="2"/>
      <c r="K2096" s="2"/>
      <c r="L2096" s="19"/>
    </row>
    <row r="2097" spans="2:12" x14ac:dyDescent="0.35">
      <c r="B2097" s="43"/>
      <c r="C2097" s="44"/>
      <c r="D2097" s="45"/>
      <c r="G2097" s="20"/>
      <c r="H2097" s="1"/>
      <c r="I2097" s="1"/>
      <c r="J2097" s="39"/>
      <c r="K2097" s="27"/>
      <c r="L2097" s="40"/>
    </row>
    <row r="2098" spans="2:12" x14ac:dyDescent="0.35">
      <c r="B2098" s="150"/>
      <c r="C2098" s="89"/>
      <c r="D2098" s="130"/>
      <c r="E2098" s="140"/>
      <c r="F2098" s="124" t="s">
        <v>90</v>
      </c>
      <c r="G2098" s="49" t="s">
        <v>1234</v>
      </c>
      <c r="H2098" s="149">
        <v>1</v>
      </c>
      <c r="I2098" s="49" t="s">
        <v>72</v>
      </c>
      <c r="J2098" s="151">
        <v>0</v>
      </c>
      <c r="K2098" s="152"/>
      <c r="L2098" s="42">
        <f t="shared" ref="L2098:L2105" si="120">J2098*H2098</f>
        <v>0</v>
      </c>
    </row>
    <row r="2099" spans="2:12" x14ac:dyDescent="0.35">
      <c r="B2099" s="148"/>
      <c r="C2099" s="87"/>
      <c r="D2099" s="137"/>
      <c r="E2099" s="138"/>
      <c r="F2099" s="124" t="s">
        <v>90</v>
      </c>
      <c r="G2099" s="49" t="s">
        <v>1235</v>
      </c>
      <c r="H2099" s="139">
        <f>0.006165*50.8*50.8*1.5*1.2</f>
        <v>28.637362079999999</v>
      </c>
      <c r="I2099" s="60" t="s">
        <v>91</v>
      </c>
      <c r="J2099" s="26">
        <v>28500</v>
      </c>
      <c r="K2099" s="47"/>
      <c r="L2099" s="42">
        <f t="shared" si="120"/>
        <v>816164.81927999994</v>
      </c>
    </row>
    <row r="2100" spans="2:12" x14ac:dyDescent="0.35">
      <c r="B2100" s="148"/>
      <c r="C2100" s="87"/>
      <c r="D2100" s="137"/>
      <c r="E2100" s="138"/>
      <c r="F2100" s="124" t="s">
        <v>90</v>
      </c>
      <c r="G2100" s="49" t="s">
        <v>1236</v>
      </c>
      <c r="H2100" s="139">
        <f>0.37*0.37*12*7.85*1.2</f>
        <v>15.475175999999998</v>
      </c>
      <c r="I2100" s="60" t="s">
        <v>91</v>
      </c>
      <c r="J2100" s="26">
        <v>28500</v>
      </c>
      <c r="K2100" s="47"/>
      <c r="L2100" s="42">
        <f t="shared" si="120"/>
        <v>441042.51599999995</v>
      </c>
    </row>
    <row r="2101" spans="2:12" x14ac:dyDescent="0.35">
      <c r="B2101" s="148"/>
      <c r="C2101" s="87"/>
      <c r="D2101" s="137"/>
      <c r="E2101" s="138"/>
      <c r="F2101" s="124" t="s">
        <v>90</v>
      </c>
      <c r="G2101" s="49" t="s">
        <v>1237</v>
      </c>
      <c r="H2101" s="139">
        <f>0.6*0.4*12*7.85*1.2*2</f>
        <v>54.259199999999993</v>
      </c>
      <c r="I2101" s="60" t="s">
        <v>91</v>
      </c>
      <c r="J2101" s="26">
        <v>28500</v>
      </c>
      <c r="K2101" s="47"/>
      <c r="L2101" s="42">
        <f t="shared" si="120"/>
        <v>1546387.1999999997</v>
      </c>
    </row>
    <row r="2102" spans="2:12" x14ac:dyDescent="0.35">
      <c r="B2102" s="148"/>
      <c r="C2102" s="87"/>
      <c r="D2102" s="137"/>
      <c r="E2102" s="138"/>
      <c r="F2102" s="124" t="s">
        <v>90</v>
      </c>
      <c r="G2102" s="49" t="s">
        <v>1238</v>
      </c>
      <c r="H2102" s="139">
        <f>0.4*0.29*12*7.85*1.2</f>
        <v>13.112639999999999</v>
      </c>
      <c r="I2102" s="60" t="s">
        <v>91</v>
      </c>
      <c r="J2102" s="26">
        <v>28500</v>
      </c>
      <c r="K2102" s="55"/>
      <c r="L2102" s="42">
        <f t="shared" si="120"/>
        <v>373710.24</v>
      </c>
    </row>
    <row r="2103" spans="2:12" x14ac:dyDescent="0.35">
      <c r="B2103" s="148"/>
      <c r="C2103" s="87"/>
      <c r="D2103" s="137"/>
      <c r="E2103" s="138"/>
      <c r="F2103" s="124" t="s">
        <v>90</v>
      </c>
      <c r="G2103" s="49" t="s">
        <v>1239</v>
      </c>
      <c r="H2103" s="139">
        <f>0.25*0.29*12*7.85*1.2</f>
        <v>8.1953999999999976</v>
      </c>
      <c r="I2103" s="60" t="s">
        <v>91</v>
      </c>
      <c r="J2103" s="26">
        <v>28500</v>
      </c>
      <c r="K2103" s="47"/>
      <c r="L2103" s="42">
        <f t="shared" si="120"/>
        <v>233568.89999999994</v>
      </c>
    </row>
    <row r="2104" spans="2:12" x14ac:dyDescent="0.35">
      <c r="B2104" s="148"/>
      <c r="C2104" s="87"/>
      <c r="D2104" s="137"/>
      <c r="E2104" s="138"/>
      <c r="F2104" s="124" t="s">
        <v>90</v>
      </c>
      <c r="G2104" s="49" t="s">
        <v>1240</v>
      </c>
      <c r="H2104" s="139">
        <f>0.17*0.17*12*7.85*1.2*2</f>
        <v>6.5337120000000004</v>
      </c>
      <c r="I2104" s="60" t="s">
        <v>91</v>
      </c>
      <c r="J2104" s="26">
        <v>28500</v>
      </c>
      <c r="K2104" s="55"/>
      <c r="L2104" s="42">
        <f t="shared" si="120"/>
        <v>186210.79200000002</v>
      </c>
    </row>
    <row r="2105" spans="2:12" x14ac:dyDescent="0.35">
      <c r="B2105" s="86"/>
      <c r="C2105" s="89"/>
      <c r="D2105" s="130" t="s">
        <v>41</v>
      </c>
      <c r="E2105" s="140"/>
      <c r="F2105" s="124" t="s">
        <v>1241</v>
      </c>
      <c r="G2105" s="49"/>
      <c r="H2105" s="149">
        <v>1</v>
      </c>
      <c r="I2105" s="60" t="s">
        <v>82</v>
      </c>
      <c r="J2105" s="26">
        <v>3000000</v>
      </c>
      <c r="K2105" s="47"/>
      <c r="L2105" s="42">
        <f t="shared" si="120"/>
        <v>3000000</v>
      </c>
    </row>
    <row r="2106" spans="2:12" x14ac:dyDescent="0.35">
      <c r="B2106" s="86"/>
      <c r="C2106" s="89"/>
      <c r="D2106" s="130"/>
      <c r="E2106" s="140"/>
      <c r="F2106" s="124" t="s">
        <v>90</v>
      </c>
      <c r="G2106" s="49" t="s">
        <v>1242</v>
      </c>
      <c r="H2106" s="139"/>
      <c r="I2106" s="60"/>
      <c r="J2106" s="26"/>
      <c r="K2106" s="47"/>
      <c r="L2106" s="42"/>
    </row>
    <row r="2107" spans="2:12" x14ac:dyDescent="0.35">
      <c r="B2107" s="86"/>
      <c r="C2107" s="89"/>
      <c r="D2107" s="130"/>
      <c r="E2107" s="140"/>
      <c r="F2107" s="124" t="s">
        <v>90</v>
      </c>
      <c r="G2107" s="49" t="s">
        <v>1243</v>
      </c>
      <c r="H2107" s="139"/>
      <c r="I2107" s="60"/>
      <c r="J2107" s="26"/>
      <c r="K2107" s="47"/>
      <c r="L2107" s="42"/>
    </row>
    <row r="2108" spans="2:12" x14ac:dyDescent="0.35">
      <c r="B2108" s="86"/>
      <c r="C2108" s="87"/>
      <c r="D2108" s="89"/>
      <c r="E2108" s="140"/>
      <c r="F2108" s="124" t="s">
        <v>90</v>
      </c>
      <c r="G2108" s="49" t="s">
        <v>1244</v>
      </c>
      <c r="H2108" s="139"/>
      <c r="I2108" s="60"/>
      <c r="J2108" s="26"/>
      <c r="K2108" s="47"/>
      <c r="L2108" s="42"/>
    </row>
    <row r="2109" spans="2:12" x14ac:dyDescent="0.35">
      <c r="B2109" s="148"/>
      <c r="C2109" s="154"/>
      <c r="D2109" s="155"/>
      <c r="E2109" s="128"/>
      <c r="F2109" s="71"/>
      <c r="G2109" s="27"/>
      <c r="H2109" s="80"/>
      <c r="I2109" s="49"/>
      <c r="J2109" s="42"/>
      <c r="K2109" s="42"/>
      <c r="L2109" s="53"/>
    </row>
    <row r="2110" spans="2:12" x14ac:dyDescent="0.35">
      <c r="B2110" s="70"/>
      <c r="C2110" s="89"/>
      <c r="D2110" s="193"/>
      <c r="E2110" s="75" t="s">
        <v>250</v>
      </c>
      <c r="F2110" s="76"/>
      <c r="G2110" s="77"/>
      <c r="H2110" s="139"/>
      <c r="I2110" s="60"/>
      <c r="J2110" s="55"/>
      <c r="K2110" s="55"/>
      <c r="L2110" s="42"/>
    </row>
    <row r="2111" spans="2:12" x14ac:dyDescent="0.35">
      <c r="B2111" s="148" t="s">
        <v>45</v>
      </c>
      <c r="C2111" s="87"/>
      <c r="D2111" s="62"/>
      <c r="E2111" s="67" t="s">
        <v>172</v>
      </c>
      <c r="F2111" s="64"/>
      <c r="G2111" s="65"/>
      <c r="H2111" s="139"/>
      <c r="I2111" s="60"/>
      <c r="J2111" s="26"/>
      <c r="K2111" s="26"/>
      <c r="L2111" s="48"/>
    </row>
    <row r="2112" spans="2:12" x14ac:dyDescent="0.35">
      <c r="B2112" s="86"/>
      <c r="C2112" s="89"/>
      <c r="D2112" s="89" t="s">
        <v>29</v>
      </c>
      <c r="E2112" s="140"/>
      <c r="F2112" s="124" t="s">
        <v>251</v>
      </c>
      <c r="G2112" s="49"/>
      <c r="H2112" s="139"/>
      <c r="I2112" s="60"/>
      <c r="J2112" s="26"/>
      <c r="K2112" s="26"/>
      <c r="L2112" s="48"/>
    </row>
    <row r="2113" spans="2:12" x14ac:dyDescent="0.35">
      <c r="B2113" s="148"/>
      <c r="C2113" s="87"/>
      <c r="D2113" s="89"/>
      <c r="E2113" s="140"/>
      <c r="F2113" s="124" t="s">
        <v>90</v>
      </c>
      <c r="G2113" s="49" t="s">
        <v>252</v>
      </c>
      <c r="H2113" s="149">
        <v>24</v>
      </c>
      <c r="I2113" s="60" t="s">
        <v>72</v>
      </c>
      <c r="J2113" s="26">
        <v>75000</v>
      </c>
      <c r="K2113" s="26"/>
      <c r="L2113" s="42">
        <f t="shared" ref="L2113" si="121">J2113*H2113</f>
        <v>1800000</v>
      </c>
    </row>
    <row r="2114" spans="2:12" x14ac:dyDescent="0.35">
      <c r="B2114" s="86"/>
      <c r="C2114" s="89"/>
      <c r="D2114" s="89" t="s">
        <v>32</v>
      </c>
      <c r="E2114" s="140"/>
      <c r="F2114" s="124" t="s">
        <v>253</v>
      </c>
      <c r="G2114" s="49"/>
      <c r="H2114" s="139"/>
      <c r="I2114" s="60"/>
      <c r="J2114" s="26"/>
      <c r="K2114" s="26"/>
      <c r="L2114" s="48"/>
    </row>
    <row r="2115" spans="2:12" x14ac:dyDescent="0.35">
      <c r="B2115" s="86"/>
      <c r="C2115" s="89"/>
      <c r="D2115" s="89"/>
      <c r="E2115" s="140"/>
      <c r="F2115" s="124" t="s">
        <v>90</v>
      </c>
      <c r="G2115" s="49" t="s">
        <v>252</v>
      </c>
      <c r="H2115" s="149">
        <v>24</v>
      </c>
      <c r="I2115" s="60" t="s">
        <v>72</v>
      </c>
      <c r="J2115" s="26">
        <v>75000</v>
      </c>
      <c r="K2115" s="26"/>
      <c r="L2115" s="42">
        <f t="shared" ref="L2115" si="122">J2115*H2115</f>
        <v>1800000</v>
      </c>
    </row>
    <row r="2116" spans="2:12" x14ac:dyDescent="0.35">
      <c r="B2116" s="86"/>
      <c r="C2116" s="89"/>
      <c r="D2116" s="89" t="s">
        <v>34</v>
      </c>
      <c r="E2116" s="140"/>
      <c r="F2116" s="124" t="s">
        <v>254</v>
      </c>
      <c r="G2116" s="49"/>
      <c r="H2116" s="139"/>
      <c r="I2116" s="60"/>
      <c r="J2116" s="26"/>
      <c r="K2116" s="26"/>
      <c r="L2116" s="48"/>
    </row>
    <row r="2117" spans="2:12" x14ac:dyDescent="0.35">
      <c r="B2117" s="147"/>
      <c r="C2117" s="89"/>
      <c r="D2117" s="89"/>
      <c r="E2117" s="140"/>
      <c r="F2117" s="124" t="s">
        <v>90</v>
      </c>
      <c r="G2117" s="49" t="s">
        <v>252</v>
      </c>
      <c r="H2117" s="149">
        <v>24</v>
      </c>
      <c r="I2117" s="60" t="s">
        <v>72</v>
      </c>
      <c r="J2117" s="26">
        <v>75000</v>
      </c>
      <c r="K2117" s="26"/>
      <c r="L2117" s="42">
        <f t="shared" ref="L2117" si="123">J2117*H2117</f>
        <v>1800000</v>
      </c>
    </row>
    <row r="2118" spans="2:12" x14ac:dyDescent="0.35">
      <c r="B2118" s="147"/>
      <c r="C2118" s="89"/>
      <c r="D2118" s="89" t="s">
        <v>36</v>
      </c>
      <c r="E2118" s="140"/>
      <c r="F2118" s="124" t="s">
        <v>255</v>
      </c>
      <c r="G2118" s="49"/>
      <c r="H2118" s="139"/>
      <c r="I2118" s="60"/>
      <c r="J2118" s="26"/>
      <c r="K2118" s="26"/>
      <c r="L2118" s="48"/>
    </row>
    <row r="2119" spans="2:12" x14ac:dyDescent="0.35">
      <c r="B2119" s="150"/>
      <c r="C2119" s="89"/>
      <c r="D2119" s="89"/>
      <c r="E2119" s="140"/>
      <c r="F2119" s="124" t="s">
        <v>90</v>
      </c>
      <c r="G2119" s="49" t="s">
        <v>252</v>
      </c>
      <c r="H2119" s="149">
        <v>24</v>
      </c>
      <c r="I2119" s="60" t="s">
        <v>72</v>
      </c>
      <c r="J2119" s="26">
        <v>75000</v>
      </c>
      <c r="K2119" s="26"/>
      <c r="L2119" s="42">
        <f t="shared" ref="L2119" si="124">J2119*H2119</f>
        <v>1800000</v>
      </c>
    </row>
    <row r="2120" spans="2:12" x14ac:dyDescent="0.35">
      <c r="B2120" s="207"/>
      <c r="C2120" s="84"/>
      <c r="D2120" s="89" t="s">
        <v>38</v>
      </c>
      <c r="E2120" s="140"/>
      <c r="F2120" s="124" t="s">
        <v>256</v>
      </c>
      <c r="G2120" s="49"/>
      <c r="H2120" s="139"/>
      <c r="I2120" s="60"/>
      <c r="J2120" s="26"/>
      <c r="K2120" s="26"/>
      <c r="L2120" s="48"/>
    </row>
    <row r="2121" spans="2:12" x14ac:dyDescent="0.35">
      <c r="B2121" s="86"/>
      <c r="C2121" s="89"/>
      <c r="D2121" s="89"/>
      <c r="E2121" s="140"/>
      <c r="F2121" s="124" t="s">
        <v>90</v>
      </c>
      <c r="G2121" s="49" t="s">
        <v>252</v>
      </c>
      <c r="H2121" s="149">
        <v>24</v>
      </c>
      <c r="I2121" s="60" t="s">
        <v>72</v>
      </c>
      <c r="J2121" s="26">
        <v>75000</v>
      </c>
      <c r="K2121" s="26"/>
      <c r="L2121" s="42">
        <f t="shared" ref="L2121" si="125">J2121*H2121</f>
        <v>1800000</v>
      </c>
    </row>
    <row r="2122" spans="2:12" x14ac:dyDescent="0.35">
      <c r="B2122" s="86"/>
      <c r="C2122" s="89"/>
      <c r="D2122" s="89" t="s">
        <v>39</v>
      </c>
      <c r="E2122" s="140"/>
      <c r="F2122" s="124" t="s">
        <v>257</v>
      </c>
      <c r="G2122" s="49"/>
      <c r="H2122" s="139"/>
      <c r="I2122" s="60"/>
      <c r="J2122" s="26"/>
      <c r="K2122" s="26"/>
      <c r="L2122" s="48"/>
    </row>
    <row r="2123" spans="2:12" x14ac:dyDescent="0.35">
      <c r="B2123" s="86"/>
      <c r="C2123" s="89"/>
      <c r="D2123" s="89"/>
      <c r="E2123" s="140"/>
      <c r="F2123" s="124" t="s">
        <v>90</v>
      </c>
      <c r="G2123" s="49" t="s">
        <v>252</v>
      </c>
      <c r="H2123" s="149">
        <v>24</v>
      </c>
      <c r="I2123" s="60" t="s">
        <v>72</v>
      </c>
      <c r="J2123" s="26">
        <v>75000</v>
      </c>
      <c r="K2123" s="26"/>
      <c r="L2123" s="42">
        <f t="shared" ref="L2123" si="126">J2123*H2123</f>
        <v>1800000</v>
      </c>
    </row>
    <row r="2124" spans="2:12" x14ac:dyDescent="0.35">
      <c r="B2124" s="211"/>
      <c r="C2124" s="119"/>
      <c r="D2124" s="89" t="s">
        <v>41</v>
      </c>
      <c r="E2124" s="140"/>
      <c r="F2124" s="124" t="s">
        <v>258</v>
      </c>
      <c r="G2124" s="49"/>
      <c r="H2124" s="139"/>
      <c r="I2124" s="60"/>
      <c r="J2124" s="26"/>
      <c r="K2124" s="26"/>
      <c r="L2124" s="48"/>
    </row>
    <row r="2125" spans="2:12" x14ac:dyDescent="0.35">
      <c r="B2125" s="148"/>
      <c r="C2125" s="87"/>
      <c r="D2125" s="89"/>
      <c r="E2125" s="140"/>
      <c r="F2125" s="124" t="s">
        <v>90</v>
      </c>
      <c r="G2125" s="49" t="s">
        <v>252</v>
      </c>
      <c r="H2125" s="149">
        <v>24</v>
      </c>
      <c r="I2125" s="60" t="s">
        <v>72</v>
      </c>
      <c r="J2125" s="26">
        <v>75000</v>
      </c>
      <c r="K2125" s="26"/>
      <c r="L2125" s="42">
        <f t="shared" ref="L2125" si="127">J2125*H2125</f>
        <v>1800000</v>
      </c>
    </row>
    <row r="2126" spans="2:12" x14ac:dyDescent="0.35">
      <c r="B2126" s="211"/>
      <c r="C2126" s="119"/>
      <c r="D2126" s="89" t="s">
        <v>43</v>
      </c>
      <c r="E2126" s="140"/>
      <c r="F2126" s="124" t="s">
        <v>259</v>
      </c>
      <c r="G2126" s="49"/>
      <c r="H2126" s="139"/>
      <c r="I2126" s="60"/>
      <c r="J2126" s="26"/>
      <c r="K2126" s="26"/>
      <c r="L2126" s="48"/>
    </row>
    <row r="2127" spans="2:12" x14ac:dyDescent="0.35">
      <c r="B2127" s="148"/>
      <c r="C2127" s="87"/>
      <c r="D2127" s="89"/>
      <c r="E2127" s="140"/>
      <c r="F2127" s="124" t="s">
        <v>90</v>
      </c>
      <c r="G2127" s="49" t="s">
        <v>252</v>
      </c>
      <c r="H2127" s="149">
        <v>24</v>
      </c>
      <c r="I2127" s="60" t="s">
        <v>72</v>
      </c>
      <c r="J2127" s="26">
        <v>75000</v>
      </c>
      <c r="K2127" s="26"/>
      <c r="L2127" s="42">
        <f t="shared" ref="L2127" si="128">J2127*H2127</f>
        <v>1800000</v>
      </c>
    </row>
    <row r="2128" spans="2:12" x14ac:dyDescent="0.35">
      <c r="B2128" s="148"/>
      <c r="C2128" s="87"/>
      <c r="D2128" s="89" t="s">
        <v>44</v>
      </c>
      <c r="E2128" s="140"/>
      <c r="F2128" s="124" t="s">
        <v>260</v>
      </c>
      <c r="G2128" s="49"/>
      <c r="H2128" s="139"/>
      <c r="I2128" s="60"/>
      <c r="J2128" s="26"/>
      <c r="K2128" s="26"/>
      <c r="L2128" s="48"/>
    </row>
    <row r="2129" spans="2:12" x14ac:dyDescent="0.35">
      <c r="B2129" s="86"/>
      <c r="C2129" s="89"/>
      <c r="D2129" s="89"/>
      <c r="E2129" s="140"/>
      <c r="F2129" s="124" t="s">
        <v>90</v>
      </c>
      <c r="G2129" s="49" t="s">
        <v>252</v>
      </c>
      <c r="H2129" s="149">
        <v>24</v>
      </c>
      <c r="I2129" s="60" t="s">
        <v>72</v>
      </c>
      <c r="J2129" s="26">
        <v>75000</v>
      </c>
      <c r="K2129" s="26"/>
      <c r="L2129" s="42">
        <f t="shared" ref="L2129" si="129">J2129*H2129</f>
        <v>1800000</v>
      </c>
    </row>
    <row r="2130" spans="2:12" x14ac:dyDescent="0.35">
      <c r="B2130" s="86"/>
      <c r="C2130" s="89"/>
      <c r="D2130" s="89" t="s">
        <v>54</v>
      </c>
      <c r="E2130" s="140"/>
      <c r="F2130" s="124" t="s">
        <v>261</v>
      </c>
      <c r="G2130" s="49"/>
      <c r="H2130" s="139"/>
      <c r="I2130" s="60"/>
      <c r="J2130" s="26"/>
      <c r="K2130" s="26"/>
      <c r="L2130" s="48"/>
    </row>
    <row r="2131" spans="2:12" x14ac:dyDescent="0.35">
      <c r="B2131" s="148"/>
      <c r="C2131" s="87"/>
      <c r="D2131" s="89"/>
      <c r="E2131" s="140"/>
      <c r="F2131" s="124" t="s">
        <v>90</v>
      </c>
      <c r="G2131" s="49" t="s">
        <v>252</v>
      </c>
      <c r="H2131" s="149">
        <v>24</v>
      </c>
      <c r="I2131" s="60" t="s">
        <v>72</v>
      </c>
      <c r="J2131" s="26">
        <v>75000</v>
      </c>
      <c r="K2131" s="26"/>
      <c r="L2131" s="42">
        <f t="shared" ref="L2131" si="130">J2131*H2131</f>
        <v>1800000</v>
      </c>
    </row>
    <row r="2132" spans="2:12" x14ac:dyDescent="0.35">
      <c r="B2132" s="86"/>
      <c r="C2132" s="89"/>
      <c r="D2132" s="89" t="s">
        <v>56</v>
      </c>
      <c r="E2132" s="140"/>
      <c r="F2132" s="124" t="s">
        <v>262</v>
      </c>
      <c r="G2132" s="49"/>
      <c r="H2132" s="139"/>
      <c r="I2132" s="60"/>
      <c r="J2132" s="26"/>
      <c r="K2132" s="26"/>
      <c r="L2132" s="48"/>
    </row>
    <row r="2133" spans="2:12" x14ac:dyDescent="0.35">
      <c r="B2133" s="86"/>
      <c r="C2133" s="89"/>
      <c r="D2133" s="89"/>
      <c r="E2133" s="140"/>
      <c r="F2133" s="124" t="s">
        <v>90</v>
      </c>
      <c r="G2133" s="49" t="s">
        <v>252</v>
      </c>
      <c r="H2133" s="149">
        <v>24</v>
      </c>
      <c r="I2133" s="60" t="s">
        <v>72</v>
      </c>
      <c r="J2133" s="26">
        <v>75000</v>
      </c>
      <c r="K2133" s="26"/>
      <c r="L2133" s="42">
        <f t="shared" ref="L2133" si="131">J2133*H2133</f>
        <v>1800000</v>
      </c>
    </row>
    <row r="2134" spans="2:12" x14ac:dyDescent="0.35">
      <c r="B2134" s="86"/>
      <c r="C2134" s="89"/>
      <c r="D2134" s="89" t="s">
        <v>58</v>
      </c>
      <c r="E2134" s="140"/>
      <c r="F2134" s="124" t="s">
        <v>263</v>
      </c>
      <c r="G2134" s="49"/>
      <c r="H2134" s="139"/>
      <c r="I2134" s="60"/>
      <c r="J2134" s="26"/>
      <c r="K2134" s="26"/>
      <c r="L2134" s="48"/>
    </row>
    <row r="2135" spans="2:12" x14ac:dyDescent="0.35">
      <c r="B2135" s="148"/>
      <c r="C2135" s="87"/>
      <c r="D2135" s="89"/>
      <c r="E2135" s="140"/>
      <c r="F2135" s="124" t="s">
        <v>90</v>
      </c>
      <c r="G2135" s="49" t="s">
        <v>252</v>
      </c>
      <c r="H2135" s="149">
        <v>24</v>
      </c>
      <c r="I2135" s="60" t="s">
        <v>72</v>
      </c>
      <c r="J2135" s="26">
        <v>75000</v>
      </c>
      <c r="K2135" s="26"/>
      <c r="L2135" s="42">
        <f t="shared" ref="L2135" si="132">J2135*H2135</f>
        <v>1800000</v>
      </c>
    </row>
    <row r="2136" spans="2:12" x14ac:dyDescent="0.35">
      <c r="B2136" s="86"/>
      <c r="C2136" s="89"/>
      <c r="D2136" s="89" t="s">
        <v>60</v>
      </c>
      <c r="E2136" s="140"/>
      <c r="F2136" s="124" t="s">
        <v>264</v>
      </c>
      <c r="G2136" s="49"/>
      <c r="H2136" s="139"/>
      <c r="I2136" s="60"/>
      <c r="J2136" s="26"/>
      <c r="K2136" s="26"/>
      <c r="L2136" s="48"/>
    </row>
    <row r="2137" spans="2:12" x14ac:dyDescent="0.35">
      <c r="B2137" s="148"/>
      <c r="C2137" s="87"/>
      <c r="D2137" s="89"/>
      <c r="E2137" s="140"/>
      <c r="F2137" s="124" t="s">
        <v>90</v>
      </c>
      <c r="G2137" s="49" t="s">
        <v>252</v>
      </c>
      <c r="H2137" s="149">
        <v>24</v>
      </c>
      <c r="I2137" s="60" t="s">
        <v>72</v>
      </c>
      <c r="J2137" s="26">
        <v>75000</v>
      </c>
      <c r="K2137" s="26"/>
      <c r="L2137" s="42">
        <f t="shared" ref="L2137" si="133">J2137*H2137</f>
        <v>1800000</v>
      </c>
    </row>
    <row r="2138" spans="2:12" x14ac:dyDescent="0.35">
      <c r="B2138" s="150"/>
      <c r="C2138" s="87"/>
      <c r="D2138" s="89" t="s">
        <v>62</v>
      </c>
      <c r="E2138" s="140"/>
      <c r="F2138" s="124" t="s">
        <v>265</v>
      </c>
      <c r="G2138" s="49"/>
      <c r="H2138" s="139"/>
      <c r="I2138" s="60"/>
      <c r="J2138" s="26"/>
      <c r="K2138" s="26"/>
      <c r="L2138" s="48"/>
    </row>
    <row r="2139" spans="2:12" x14ac:dyDescent="0.35">
      <c r="B2139" s="140"/>
      <c r="C2139" s="89"/>
      <c r="D2139" s="89"/>
      <c r="E2139" s="140"/>
      <c r="F2139" s="124" t="s">
        <v>90</v>
      </c>
      <c r="G2139" s="49" t="s">
        <v>252</v>
      </c>
      <c r="H2139" s="149">
        <v>24</v>
      </c>
      <c r="I2139" s="60" t="s">
        <v>72</v>
      </c>
      <c r="J2139" s="26">
        <v>75000</v>
      </c>
      <c r="K2139" s="26"/>
      <c r="L2139" s="42">
        <f t="shared" ref="L2139" si="134">J2139*H2139</f>
        <v>1800000</v>
      </c>
    </row>
    <row r="2140" spans="2:12" x14ac:dyDescent="0.35">
      <c r="B2140" s="140"/>
      <c r="C2140" s="89"/>
      <c r="D2140" s="89" t="s">
        <v>65</v>
      </c>
      <c r="E2140" s="140"/>
      <c r="F2140" s="124" t="s">
        <v>266</v>
      </c>
      <c r="G2140" s="49"/>
      <c r="H2140" s="139"/>
      <c r="I2140" s="60"/>
      <c r="J2140" s="26"/>
      <c r="K2140" s="26"/>
      <c r="L2140" s="48"/>
    </row>
    <row r="2141" spans="2:12" x14ac:dyDescent="0.35">
      <c r="B2141" s="148"/>
      <c r="C2141" s="154"/>
      <c r="D2141" s="89"/>
      <c r="E2141" s="140"/>
      <c r="F2141" s="124" t="s">
        <v>90</v>
      </c>
      <c r="G2141" s="49" t="s">
        <v>252</v>
      </c>
      <c r="H2141" s="149">
        <v>24</v>
      </c>
      <c r="I2141" s="60" t="s">
        <v>72</v>
      </c>
      <c r="J2141" s="26">
        <v>75000</v>
      </c>
      <c r="K2141" s="26"/>
      <c r="L2141" s="42">
        <f t="shared" ref="L2141" si="135">J2141*H2141</f>
        <v>1800000</v>
      </c>
    </row>
    <row r="2142" spans="2:12" x14ac:dyDescent="0.35">
      <c r="B2142" s="86"/>
      <c r="C2142" s="89"/>
      <c r="D2142" s="89" t="s">
        <v>67</v>
      </c>
      <c r="E2142" s="140"/>
      <c r="F2142" s="124" t="s">
        <v>267</v>
      </c>
      <c r="G2142" s="49"/>
      <c r="H2142" s="139"/>
      <c r="I2142" s="60"/>
      <c r="J2142" s="26"/>
      <c r="K2142" s="26"/>
      <c r="L2142" s="48"/>
    </row>
    <row r="2143" spans="2:12" x14ac:dyDescent="0.35">
      <c r="B2143" s="140"/>
      <c r="C2143" s="89"/>
      <c r="D2143" s="89"/>
      <c r="E2143" s="140"/>
      <c r="F2143" s="124" t="s">
        <v>90</v>
      </c>
      <c r="G2143" s="49" t="s">
        <v>252</v>
      </c>
      <c r="H2143" s="149">
        <v>24</v>
      </c>
      <c r="I2143" s="60" t="s">
        <v>72</v>
      </c>
      <c r="J2143" s="26">
        <v>75000</v>
      </c>
      <c r="K2143" s="26"/>
      <c r="L2143" s="42">
        <f t="shared" ref="L2143" si="136">J2143*H2143</f>
        <v>1800000</v>
      </c>
    </row>
    <row r="2144" spans="2:12" x14ac:dyDescent="0.35">
      <c r="B2144" s="148"/>
      <c r="C2144" s="154"/>
      <c r="D2144" s="89" t="s">
        <v>188</v>
      </c>
      <c r="E2144" s="140"/>
      <c r="F2144" s="124" t="s">
        <v>268</v>
      </c>
      <c r="G2144" s="49"/>
      <c r="H2144" s="139"/>
      <c r="I2144" s="60"/>
      <c r="J2144" s="26"/>
      <c r="K2144" s="26"/>
      <c r="L2144" s="48"/>
    </row>
    <row r="2145" spans="2:12" x14ac:dyDescent="0.35">
      <c r="B2145" s="148"/>
      <c r="C2145" s="87"/>
      <c r="D2145" s="89"/>
      <c r="E2145" s="140"/>
      <c r="F2145" s="124" t="s">
        <v>90</v>
      </c>
      <c r="G2145" s="49" t="s">
        <v>252</v>
      </c>
      <c r="H2145" s="149">
        <v>24</v>
      </c>
      <c r="I2145" s="60" t="s">
        <v>72</v>
      </c>
      <c r="J2145" s="26">
        <v>75000</v>
      </c>
      <c r="K2145" s="26"/>
      <c r="L2145" s="42">
        <f t="shared" ref="L2145" si="137">J2145*H2145</f>
        <v>1800000</v>
      </c>
    </row>
    <row r="2146" spans="2:12" x14ac:dyDescent="0.35">
      <c r="B2146" s="148"/>
      <c r="C2146" s="87"/>
      <c r="D2146" s="89" t="s">
        <v>190</v>
      </c>
      <c r="E2146" s="140"/>
      <c r="F2146" s="124" t="s">
        <v>269</v>
      </c>
      <c r="G2146" s="49"/>
      <c r="H2146" s="139"/>
      <c r="I2146" s="60"/>
      <c r="J2146" s="26"/>
      <c r="K2146" s="26"/>
      <c r="L2146" s="48"/>
    </row>
    <row r="2147" spans="2:12" x14ac:dyDescent="0.35">
      <c r="B2147" s="86"/>
      <c r="C2147" s="89"/>
      <c r="D2147" s="89"/>
      <c r="E2147" s="140"/>
      <c r="F2147" s="124" t="s">
        <v>90</v>
      </c>
      <c r="G2147" s="49" t="s">
        <v>252</v>
      </c>
      <c r="H2147" s="149">
        <v>24</v>
      </c>
      <c r="I2147" s="60" t="s">
        <v>72</v>
      </c>
      <c r="J2147" s="26">
        <v>75000</v>
      </c>
      <c r="K2147" s="26"/>
      <c r="L2147" s="42">
        <f t="shared" ref="L2147" si="138">J2147*H2147</f>
        <v>1800000</v>
      </c>
    </row>
    <row r="2148" spans="2:12" x14ac:dyDescent="0.35">
      <c r="B2148" s="115"/>
      <c r="C2148" s="88"/>
      <c r="D2148" s="69"/>
      <c r="E2148" s="201"/>
      <c r="F2148" s="71"/>
      <c r="G2148" s="27"/>
      <c r="H2148" s="125"/>
      <c r="I2148" s="126"/>
      <c r="J2148" s="26"/>
      <c r="K2148" s="26"/>
      <c r="L2148" s="48"/>
    </row>
    <row r="2149" spans="2:12" x14ac:dyDescent="0.35">
      <c r="B2149" s="148"/>
      <c r="C2149" s="87"/>
      <c r="D2149" s="51"/>
      <c r="E2149" s="136"/>
      <c r="F2149" s="105"/>
      <c r="G2149" s="106"/>
      <c r="H2149" s="100"/>
      <c r="I2149" s="60"/>
      <c r="J2149" s="46"/>
      <c r="K2149" s="26"/>
      <c r="L2149" s="48"/>
    </row>
    <row r="2150" spans="2:12" x14ac:dyDescent="0.35">
      <c r="B2150" s="8"/>
      <c r="C2150" s="9"/>
      <c r="D2150" s="10"/>
      <c r="E2150" s="4"/>
      <c r="F2150" s="4"/>
      <c r="G2150" s="4"/>
      <c r="H2150" s="1"/>
      <c r="I2150" s="1"/>
      <c r="J2150" s="11" t="s">
        <v>8</v>
      </c>
      <c r="K2150" s="7">
        <f>SUM(K2097:K2149)</f>
        <v>0</v>
      </c>
      <c r="L2150" s="7">
        <f>SUM(L2097:L2149)</f>
        <v>38997084.46728</v>
      </c>
    </row>
    <row r="2151" spans="2:12" x14ac:dyDescent="0.35">
      <c r="B2151" s="8"/>
      <c r="C2151" s="9"/>
      <c r="D2151" s="9"/>
      <c r="E2151" s="4"/>
      <c r="F2151" s="4"/>
      <c r="G2151" s="4"/>
      <c r="H2151" s="1"/>
      <c r="I2151" s="1"/>
      <c r="J2151" s="11"/>
      <c r="K2151" s="32" t="s">
        <v>13</v>
      </c>
      <c r="L2151" s="33" t="s">
        <v>14</v>
      </c>
    </row>
    <row r="2152" spans="2:12" x14ac:dyDescent="0.35">
      <c r="B2152" s="3" t="s">
        <v>9</v>
      </c>
      <c r="C2152" s="4"/>
      <c r="D2152" s="4"/>
      <c r="E2152" s="4"/>
      <c r="F2152" s="4"/>
      <c r="G2152" s="4"/>
      <c r="H2152" s="1"/>
      <c r="I2152" s="1"/>
      <c r="J2152" s="12"/>
      <c r="K2152" s="12"/>
      <c r="L2152" s="13"/>
    </row>
    <row r="2153" spans="2:12" x14ac:dyDescent="0.35">
      <c r="B2153" s="34"/>
      <c r="C2153" s="1"/>
      <c r="D2153" s="1"/>
      <c r="E2153" s="35"/>
      <c r="F2153" s="35"/>
      <c r="G2153" s="35"/>
      <c r="H2153" s="1"/>
      <c r="I2153" s="1"/>
      <c r="J2153" s="1"/>
      <c r="K2153" s="1"/>
      <c r="L2153" s="17"/>
    </row>
    <row r="2154" spans="2:12" x14ac:dyDescent="0.35">
      <c r="B2154" s="25" t="s">
        <v>6</v>
      </c>
      <c r="C2154" s="24"/>
      <c r="D2154" s="24"/>
      <c r="E2154" s="23"/>
      <c r="F2154" s="23"/>
      <c r="G2154" s="5"/>
      <c r="K2154" s="227" t="s">
        <v>1292</v>
      </c>
      <c r="L2154" s="228"/>
    </row>
    <row r="2155" spans="2:12" x14ac:dyDescent="0.35">
      <c r="B2155" s="25">
        <v>1</v>
      </c>
      <c r="C2155" s="24"/>
      <c r="D2155" s="24"/>
      <c r="E2155" s="23" t="s">
        <v>7</v>
      </c>
      <c r="F2155" s="23"/>
      <c r="G2155" s="5"/>
      <c r="K2155" s="227" t="s">
        <v>18</v>
      </c>
      <c r="L2155" s="228"/>
    </row>
    <row r="2156" spans="2:12" x14ac:dyDescent="0.35">
      <c r="B2156" s="36"/>
      <c r="C2156" s="24"/>
      <c r="D2156" s="24"/>
      <c r="E2156" s="23"/>
      <c r="F2156" s="23"/>
      <c r="G2156" s="5"/>
      <c r="J2156" s="22"/>
      <c r="K2156" s="22"/>
      <c r="L2156" s="21"/>
    </row>
    <row r="2157" spans="2:12" x14ac:dyDescent="0.35">
      <c r="B2157" s="25"/>
      <c r="C2157" s="24"/>
      <c r="D2157" s="24"/>
      <c r="E2157" s="23"/>
      <c r="F2157" s="23"/>
      <c r="G2157" s="5"/>
      <c r="L2157" s="20"/>
    </row>
    <row r="2158" spans="2:12" x14ac:dyDescent="0.35">
      <c r="B2158" s="41"/>
      <c r="E2158" s="5"/>
      <c r="F2158" s="5"/>
      <c r="G2158" s="5"/>
      <c r="L2158" s="20"/>
    </row>
    <row r="2159" spans="2:12" x14ac:dyDescent="0.35">
      <c r="B2159" s="41"/>
      <c r="E2159" s="5"/>
      <c r="F2159" s="5"/>
      <c r="G2159" s="5"/>
      <c r="L2159" s="20"/>
    </row>
    <row r="2160" spans="2:12" x14ac:dyDescent="0.35">
      <c r="B2160" s="41"/>
      <c r="E2160" s="5"/>
      <c r="F2160" s="5"/>
      <c r="G2160" s="5"/>
      <c r="L2160" s="20"/>
    </row>
    <row r="2161" spans="2:12" x14ac:dyDescent="0.35">
      <c r="B2161" s="41"/>
      <c r="E2161" s="5"/>
      <c r="F2161" s="5"/>
      <c r="G2161" s="5"/>
      <c r="J2161" s="37"/>
      <c r="K2161" s="229" t="s">
        <v>26</v>
      </c>
      <c r="L2161" s="230"/>
    </row>
    <row r="2162" spans="2:12" x14ac:dyDescent="0.35">
      <c r="B2162" s="41"/>
      <c r="K2162" s="231" t="s">
        <v>27</v>
      </c>
      <c r="L2162" s="232"/>
    </row>
    <row r="2163" spans="2:12" x14ac:dyDescent="0.35">
      <c r="B2163" s="233"/>
      <c r="C2163" s="234"/>
      <c r="D2163" s="234"/>
      <c r="E2163" s="38"/>
      <c r="F2163" s="38"/>
      <c r="G2163" s="38"/>
      <c r="H2163" s="2"/>
      <c r="I2163" s="2"/>
      <c r="J2163" s="2"/>
      <c r="K2163" s="2"/>
      <c r="L2163" s="19"/>
    </row>
    <row r="2164" spans="2:12" x14ac:dyDescent="0.35">
      <c r="B2164" s="43"/>
      <c r="C2164" s="44"/>
      <c r="D2164" s="45"/>
      <c r="G2164" s="20"/>
      <c r="H2164" s="1"/>
      <c r="I2164" s="1"/>
      <c r="J2164" s="39"/>
      <c r="K2164" s="27"/>
      <c r="L2164" s="40"/>
    </row>
    <row r="2165" spans="2:12" x14ac:dyDescent="0.35">
      <c r="B2165" s="86"/>
      <c r="C2165" s="87"/>
      <c r="D2165" s="89" t="s">
        <v>192</v>
      </c>
      <c r="E2165" s="140"/>
      <c r="F2165" s="124" t="s">
        <v>270</v>
      </c>
      <c r="G2165" s="49"/>
      <c r="H2165" s="139"/>
      <c r="I2165" s="60"/>
      <c r="J2165" s="151"/>
      <c r="K2165" s="152"/>
      <c r="L2165" s="153"/>
    </row>
    <row r="2166" spans="2:12" x14ac:dyDescent="0.35">
      <c r="B2166" s="86"/>
      <c r="C2166" s="87"/>
      <c r="D2166" s="89"/>
      <c r="E2166" s="140"/>
      <c r="F2166" s="124" t="s">
        <v>90</v>
      </c>
      <c r="G2166" s="49" t="s">
        <v>252</v>
      </c>
      <c r="H2166" s="149">
        <v>24</v>
      </c>
      <c r="I2166" s="60" t="s">
        <v>72</v>
      </c>
      <c r="J2166" s="26">
        <v>75000</v>
      </c>
      <c r="K2166" s="47"/>
      <c r="L2166" s="42">
        <f t="shared" ref="L2166" si="139">J2166*H2166</f>
        <v>1800000</v>
      </c>
    </row>
    <row r="2167" spans="2:12" x14ac:dyDescent="0.35">
      <c r="B2167" s="86"/>
      <c r="C2167" s="87"/>
      <c r="D2167" s="89" t="s">
        <v>194</v>
      </c>
      <c r="E2167" s="140"/>
      <c r="F2167" s="124" t="s">
        <v>271</v>
      </c>
      <c r="G2167" s="49"/>
      <c r="H2167" s="139"/>
      <c r="I2167" s="60"/>
      <c r="J2167" s="26"/>
      <c r="K2167" s="47"/>
      <c r="L2167" s="42"/>
    </row>
    <row r="2168" spans="2:12" x14ac:dyDescent="0.35">
      <c r="B2168" s="150"/>
      <c r="C2168" s="89"/>
      <c r="D2168" s="89"/>
      <c r="E2168" s="140"/>
      <c r="F2168" s="124" t="s">
        <v>90</v>
      </c>
      <c r="G2168" s="49" t="s">
        <v>252</v>
      </c>
      <c r="H2168" s="149">
        <v>24</v>
      </c>
      <c r="I2168" s="60" t="s">
        <v>72</v>
      </c>
      <c r="J2168" s="26">
        <v>75000</v>
      </c>
      <c r="K2168" s="47"/>
      <c r="L2168" s="42">
        <f t="shared" ref="L2168" si="140">J2168*H2168</f>
        <v>1800000</v>
      </c>
    </row>
    <row r="2169" spans="2:12" x14ac:dyDescent="0.35">
      <c r="B2169" s="150"/>
      <c r="C2169" s="89"/>
      <c r="D2169" s="89" t="s">
        <v>196</v>
      </c>
      <c r="E2169" s="140"/>
      <c r="F2169" s="124" t="s">
        <v>272</v>
      </c>
      <c r="G2169" s="49"/>
      <c r="H2169" s="139"/>
      <c r="I2169" s="60"/>
      <c r="J2169" s="26"/>
      <c r="K2169" s="55"/>
      <c r="L2169" s="42"/>
    </row>
    <row r="2170" spans="2:12" x14ac:dyDescent="0.35">
      <c r="B2170" s="150"/>
      <c r="C2170" s="89"/>
      <c r="D2170" s="89"/>
      <c r="E2170" s="140"/>
      <c r="F2170" s="124" t="s">
        <v>90</v>
      </c>
      <c r="G2170" s="49" t="s">
        <v>252</v>
      </c>
      <c r="H2170" s="149">
        <v>24</v>
      </c>
      <c r="I2170" s="60" t="s">
        <v>72</v>
      </c>
      <c r="J2170" s="26">
        <v>75000</v>
      </c>
      <c r="K2170" s="47"/>
      <c r="L2170" s="42">
        <f t="shared" ref="L2170" si="141">J2170*H2170</f>
        <v>1800000</v>
      </c>
    </row>
    <row r="2171" spans="2:12" x14ac:dyDescent="0.35">
      <c r="B2171" s="148"/>
      <c r="C2171" s="89"/>
      <c r="D2171" s="89" t="s">
        <v>273</v>
      </c>
      <c r="E2171" s="140"/>
      <c r="F2171" s="124" t="s">
        <v>274</v>
      </c>
      <c r="G2171" s="49"/>
      <c r="H2171" s="139"/>
      <c r="I2171" s="60"/>
      <c r="J2171" s="26"/>
      <c r="K2171" s="55"/>
      <c r="L2171" s="42"/>
    </row>
    <row r="2172" spans="2:12" x14ac:dyDescent="0.35">
      <c r="B2172" s="86"/>
      <c r="C2172" s="89"/>
      <c r="D2172" s="89"/>
      <c r="E2172" s="140"/>
      <c r="F2172" s="124" t="s">
        <v>90</v>
      </c>
      <c r="G2172" s="49" t="s">
        <v>252</v>
      </c>
      <c r="H2172" s="149">
        <v>24</v>
      </c>
      <c r="I2172" s="60" t="s">
        <v>72</v>
      </c>
      <c r="J2172" s="26">
        <v>75000</v>
      </c>
      <c r="K2172" s="47"/>
      <c r="L2172" s="42">
        <f t="shared" ref="L2172" si="142">J2172*H2172</f>
        <v>1800000</v>
      </c>
    </row>
    <row r="2173" spans="2:12" x14ac:dyDescent="0.35">
      <c r="B2173" s="86"/>
      <c r="C2173" s="89"/>
      <c r="D2173" s="89" t="s">
        <v>275</v>
      </c>
      <c r="E2173" s="140"/>
      <c r="F2173" s="124" t="s">
        <v>276</v>
      </c>
      <c r="G2173" s="49"/>
      <c r="H2173" s="139"/>
      <c r="I2173" s="60"/>
      <c r="J2173" s="26"/>
      <c r="K2173" s="47"/>
      <c r="L2173" s="42"/>
    </row>
    <row r="2174" spans="2:12" x14ac:dyDescent="0.35">
      <c r="B2174" s="86"/>
      <c r="C2174" s="89"/>
      <c r="D2174" s="89"/>
      <c r="E2174" s="140"/>
      <c r="F2174" s="124" t="s">
        <v>90</v>
      </c>
      <c r="G2174" s="49" t="s">
        <v>252</v>
      </c>
      <c r="H2174" s="149">
        <v>24</v>
      </c>
      <c r="I2174" s="60" t="s">
        <v>72</v>
      </c>
      <c r="J2174" s="26">
        <v>75000</v>
      </c>
      <c r="K2174" s="47"/>
      <c r="L2174" s="42">
        <f t="shared" ref="L2174" si="143">J2174*H2174</f>
        <v>1800000</v>
      </c>
    </row>
    <row r="2175" spans="2:12" x14ac:dyDescent="0.35">
      <c r="B2175" s="86"/>
      <c r="C2175" s="89"/>
      <c r="D2175" s="89" t="s">
        <v>277</v>
      </c>
      <c r="E2175" s="140"/>
      <c r="F2175" s="124" t="s">
        <v>278</v>
      </c>
      <c r="G2175" s="49"/>
      <c r="H2175" s="139"/>
      <c r="I2175" s="60"/>
      <c r="J2175" s="26"/>
      <c r="K2175" s="47"/>
      <c r="L2175" s="42"/>
    </row>
    <row r="2176" spans="2:12" x14ac:dyDescent="0.35">
      <c r="B2176" s="86"/>
      <c r="C2176" s="89"/>
      <c r="D2176" s="89"/>
      <c r="E2176" s="140"/>
      <c r="F2176" s="124" t="s">
        <v>90</v>
      </c>
      <c r="G2176" s="49" t="s">
        <v>252</v>
      </c>
      <c r="H2176" s="149">
        <v>24</v>
      </c>
      <c r="I2176" s="60" t="s">
        <v>72</v>
      </c>
      <c r="J2176" s="26">
        <v>75000</v>
      </c>
      <c r="K2176" s="42"/>
      <c r="L2176" s="42">
        <f t="shared" ref="L2176" si="144">J2176*H2176</f>
        <v>1800000</v>
      </c>
    </row>
    <row r="2177" spans="2:12" x14ac:dyDescent="0.35">
      <c r="B2177" s="86"/>
      <c r="C2177" s="89"/>
      <c r="D2177" s="89" t="s">
        <v>279</v>
      </c>
      <c r="E2177" s="140"/>
      <c r="F2177" s="124" t="s">
        <v>280</v>
      </c>
      <c r="G2177" s="49"/>
      <c r="H2177" s="139"/>
      <c r="I2177" s="60"/>
      <c r="J2177" s="55"/>
      <c r="K2177" s="55"/>
      <c r="L2177" s="42"/>
    </row>
    <row r="2178" spans="2:12" x14ac:dyDescent="0.35">
      <c r="B2178" s="140"/>
      <c r="C2178" s="89"/>
      <c r="D2178" s="89"/>
      <c r="E2178" s="140"/>
      <c r="F2178" s="124" t="s">
        <v>90</v>
      </c>
      <c r="G2178" s="49" t="s">
        <v>252</v>
      </c>
      <c r="H2178" s="149">
        <v>24</v>
      </c>
      <c r="I2178" s="60" t="s">
        <v>72</v>
      </c>
      <c r="J2178" s="26">
        <v>75000</v>
      </c>
      <c r="K2178" s="26"/>
      <c r="L2178" s="42">
        <f t="shared" ref="L2178" si="145">J2178*H2178</f>
        <v>1800000</v>
      </c>
    </row>
    <row r="2179" spans="2:12" x14ac:dyDescent="0.35">
      <c r="B2179" s="148"/>
      <c r="C2179" s="87"/>
      <c r="D2179" s="89" t="s">
        <v>281</v>
      </c>
      <c r="E2179" s="140"/>
      <c r="F2179" s="124" t="s">
        <v>282</v>
      </c>
      <c r="G2179" s="49"/>
      <c r="H2179" s="139"/>
      <c r="I2179" s="60"/>
      <c r="J2179" s="26"/>
      <c r="K2179" s="26"/>
      <c r="L2179" s="48"/>
    </row>
    <row r="2180" spans="2:12" x14ac:dyDescent="0.35">
      <c r="B2180" s="148"/>
      <c r="C2180" s="87"/>
      <c r="D2180" s="89"/>
      <c r="E2180" s="140"/>
      <c r="F2180" s="124" t="s">
        <v>90</v>
      </c>
      <c r="G2180" s="49" t="s">
        <v>252</v>
      </c>
      <c r="H2180" s="149">
        <v>24</v>
      </c>
      <c r="I2180" s="60" t="s">
        <v>72</v>
      </c>
      <c r="J2180" s="26">
        <v>75000</v>
      </c>
      <c r="K2180" s="26"/>
      <c r="L2180" s="42">
        <f t="shared" ref="L2180" si="146">J2180*H2180</f>
        <v>1800000</v>
      </c>
    </row>
    <row r="2181" spans="2:12" x14ac:dyDescent="0.35">
      <c r="B2181" s="86"/>
      <c r="C2181" s="89"/>
      <c r="D2181" s="89" t="s">
        <v>283</v>
      </c>
      <c r="E2181" s="140"/>
      <c r="F2181" s="124" t="s">
        <v>284</v>
      </c>
      <c r="G2181" s="49"/>
      <c r="H2181" s="139"/>
      <c r="I2181" s="60"/>
      <c r="J2181" s="26"/>
      <c r="K2181" s="26"/>
      <c r="L2181" s="48"/>
    </row>
    <row r="2182" spans="2:12" x14ac:dyDescent="0.35">
      <c r="B2182" s="148"/>
      <c r="C2182" s="87"/>
      <c r="D2182" s="89"/>
      <c r="E2182" s="140"/>
      <c r="F2182" s="124" t="s">
        <v>90</v>
      </c>
      <c r="G2182" s="49" t="s">
        <v>252</v>
      </c>
      <c r="H2182" s="149">
        <v>24</v>
      </c>
      <c r="I2182" s="60" t="s">
        <v>72</v>
      </c>
      <c r="J2182" s="26">
        <v>75000</v>
      </c>
      <c r="K2182" s="26"/>
      <c r="L2182" s="42">
        <f t="shared" ref="L2182" si="147">J2182*H2182</f>
        <v>1800000</v>
      </c>
    </row>
    <row r="2183" spans="2:12" x14ac:dyDescent="0.35">
      <c r="B2183" s="86"/>
      <c r="C2183" s="89"/>
      <c r="D2183" s="89" t="s">
        <v>285</v>
      </c>
      <c r="E2183" s="140"/>
      <c r="F2183" s="124" t="s">
        <v>286</v>
      </c>
      <c r="G2183" s="49"/>
      <c r="H2183" s="139"/>
      <c r="I2183" s="60"/>
      <c r="J2183" s="26"/>
      <c r="K2183" s="26"/>
      <c r="L2183" s="48"/>
    </row>
    <row r="2184" spans="2:12" x14ac:dyDescent="0.35">
      <c r="B2184" s="148"/>
      <c r="C2184" s="154"/>
      <c r="D2184" s="89"/>
      <c r="E2184" s="140"/>
      <c r="F2184" s="124" t="s">
        <v>90</v>
      </c>
      <c r="G2184" s="49" t="s">
        <v>252</v>
      </c>
      <c r="H2184" s="149">
        <v>24</v>
      </c>
      <c r="I2184" s="60" t="s">
        <v>72</v>
      </c>
      <c r="J2184" s="26">
        <v>75000</v>
      </c>
      <c r="K2184" s="26"/>
      <c r="L2184" s="42">
        <f t="shared" ref="L2184" si="148">J2184*H2184</f>
        <v>1800000</v>
      </c>
    </row>
    <row r="2185" spans="2:12" x14ac:dyDescent="0.35">
      <c r="B2185" s="86"/>
      <c r="C2185" s="89"/>
      <c r="D2185" s="89" t="s">
        <v>287</v>
      </c>
      <c r="E2185" s="140"/>
      <c r="F2185" s="124" t="s">
        <v>288</v>
      </c>
      <c r="G2185" s="49"/>
      <c r="H2185" s="139"/>
      <c r="I2185" s="60"/>
      <c r="J2185" s="26"/>
      <c r="K2185" s="26"/>
      <c r="L2185" s="48"/>
    </row>
    <row r="2186" spans="2:12" x14ac:dyDescent="0.35">
      <c r="B2186" s="148"/>
      <c r="C2186" s="154"/>
      <c r="D2186" s="89"/>
      <c r="E2186" s="140"/>
      <c r="F2186" s="124" t="s">
        <v>90</v>
      </c>
      <c r="G2186" s="49" t="s">
        <v>252</v>
      </c>
      <c r="H2186" s="149">
        <v>24</v>
      </c>
      <c r="I2186" s="60" t="s">
        <v>72</v>
      </c>
      <c r="J2186" s="26">
        <v>75000</v>
      </c>
      <c r="K2186" s="26"/>
      <c r="L2186" s="42">
        <f t="shared" ref="L2186" si="149">J2186*H2186</f>
        <v>1800000</v>
      </c>
    </row>
    <row r="2187" spans="2:12" x14ac:dyDescent="0.35">
      <c r="B2187" s="207"/>
      <c r="C2187" s="87"/>
      <c r="D2187" s="89" t="s">
        <v>289</v>
      </c>
      <c r="E2187" s="140"/>
      <c r="F2187" s="124" t="s">
        <v>290</v>
      </c>
      <c r="G2187" s="49"/>
      <c r="H2187" s="139"/>
      <c r="I2187" s="60"/>
      <c r="J2187" s="26"/>
      <c r="K2187" s="26"/>
      <c r="L2187" s="48"/>
    </row>
    <row r="2188" spans="2:12" x14ac:dyDescent="0.35">
      <c r="B2188" s="212"/>
      <c r="C2188" s="89"/>
      <c r="D2188" s="89"/>
      <c r="E2188" s="140"/>
      <c r="F2188" s="124" t="s">
        <v>90</v>
      </c>
      <c r="G2188" s="49" t="s">
        <v>252</v>
      </c>
      <c r="H2188" s="149">
        <v>24</v>
      </c>
      <c r="I2188" s="60" t="s">
        <v>72</v>
      </c>
      <c r="J2188" s="26">
        <v>75000</v>
      </c>
      <c r="K2188" s="26"/>
      <c r="L2188" s="42">
        <f t="shared" ref="L2188" si="150">J2188*H2188</f>
        <v>1800000</v>
      </c>
    </row>
    <row r="2189" spans="2:12" x14ac:dyDescent="0.35">
      <c r="B2189" s="207"/>
      <c r="C2189" s="87"/>
      <c r="D2189" s="89" t="s">
        <v>1127</v>
      </c>
      <c r="E2189" s="140"/>
      <c r="F2189" s="124" t="s">
        <v>1245</v>
      </c>
      <c r="G2189" s="49"/>
      <c r="H2189" s="139"/>
      <c r="I2189" s="60"/>
      <c r="J2189" s="26"/>
      <c r="K2189" s="26"/>
      <c r="L2189" s="48"/>
    </row>
    <row r="2190" spans="2:12" x14ac:dyDescent="0.35">
      <c r="B2190" s="212"/>
      <c r="C2190" s="89"/>
      <c r="D2190" s="89"/>
      <c r="E2190" s="140"/>
      <c r="F2190" s="124" t="s">
        <v>90</v>
      </c>
      <c r="G2190" s="49" t="s">
        <v>252</v>
      </c>
      <c r="H2190" s="149">
        <v>30</v>
      </c>
      <c r="I2190" s="60" t="s">
        <v>72</v>
      </c>
      <c r="J2190" s="26">
        <v>75000</v>
      </c>
      <c r="K2190" s="26"/>
      <c r="L2190" s="42">
        <f t="shared" ref="L2190" si="151">J2190*H2190</f>
        <v>2250000</v>
      </c>
    </row>
    <row r="2191" spans="2:12" x14ac:dyDescent="0.35">
      <c r="B2191" s="86"/>
      <c r="C2191" s="89"/>
      <c r="D2191" s="130"/>
      <c r="E2191" s="89"/>
      <c r="F2191" s="124"/>
      <c r="G2191" s="49"/>
      <c r="H2191" s="139"/>
      <c r="I2191" s="60"/>
      <c r="J2191" s="26"/>
      <c r="K2191" s="26"/>
      <c r="L2191" s="48"/>
    </row>
    <row r="2192" spans="2:12" x14ac:dyDescent="0.35">
      <c r="B2192" s="70"/>
      <c r="C2192" s="89"/>
      <c r="D2192" s="193"/>
      <c r="E2192" s="75" t="s">
        <v>291</v>
      </c>
      <c r="F2192" s="76"/>
      <c r="G2192" s="77"/>
      <c r="H2192" s="139"/>
      <c r="I2192" s="60"/>
      <c r="J2192" s="26"/>
      <c r="K2192" s="26"/>
      <c r="L2192" s="48"/>
    </row>
    <row r="2193" spans="2:12" x14ac:dyDescent="0.35">
      <c r="B2193" s="148" t="s">
        <v>28</v>
      </c>
      <c r="C2193" s="87"/>
      <c r="D2193" s="62"/>
      <c r="E2193" s="67" t="s">
        <v>292</v>
      </c>
      <c r="F2193" s="64"/>
      <c r="G2193" s="65"/>
      <c r="H2193" s="139"/>
      <c r="I2193" s="60"/>
      <c r="J2193" s="26"/>
      <c r="K2193" s="26"/>
      <c r="L2193" s="48"/>
    </row>
    <row r="2194" spans="2:12" x14ac:dyDescent="0.35">
      <c r="B2194" s="150"/>
      <c r="C2194" s="89"/>
      <c r="D2194" s="130" t="s">
        <v>29</v>
      </c>
      <c r="E2194" s="140"/>
      <c r="F2194" s="124" t="s">
        <v>293</v>
      </c>
      <c r="G2194" s="49"/>
      <c r="H2194" s="149">
        <v>1</v>
      </c>
      <c r="I2194" s="60" t="s">
        <v>82</v>
      </c>
      <c r="J2194" s="26">
        <v>56500000</v>
      </c>
      <c r="K2194" s="26"/>
      <c r="L2194" s="42">
        <f t="shared" ref="L2194" si="152">J2194*H2194</f>
        <v>56500000</v>
      </c>
    </row>
    <row r="2195" spans="2:12" x14ac:dyDescent="0.35">
      <c r="B2195" s="207"/>
      <c r="C2195" s="84"/>
      <c r="D2195" s="130"/>
      <c r="E2195" s="124"/>
      <c r="F2195" s="124" t="s">
        <v>90</v>
      </c>
      <c r="G2195" s="49" t="s">
        <v>1246</v>
      </c>
      <c r="H2195" s="149"/>
      <c r="I2195" s="60"/>
      <c r="J2195" s="26"/>
      <c r="K2195" s="26"/>
      <c r="L2195" s="48"/>
    </row>
    <row r="2196" spans="2:12" x14ac:dyDescent="0.35">
      <c r="B2196" s="86"/>
      <c r="C2196" s="89"/>
      <c r="D2196" s="130"/>
      <c r="E2196" s="89"/>
      <c r="F2196" s="124" t="s">
        <v>90</v>
      </c>
      <c r="G2196" s="49" t="s">
        <v>1247</v>
      </c>
      <c r="H2196" s="139"/>
      <c r="I2196" s="60"/>
      <c r="J2196" s="26"/>
      <c r="K2196" s="26"/>
      <c r="L2196" s="48"/>
    </row>
    <row r="2197" spans="2:12" x14ac:dyDescent="0.35">
      <c r="B2197" s="86"/>
      <c r="C2197" s="89"/>
      <c r="D2197" s="130"/>
      <c r="E2197" s="89"/>
      <c r="F2197" s="124" t="s">
        <v>90</v>
      </c>
      <c r="G2197" s="49" t="s">
        <v>1248</v>
      </c>
      <c r="H2197" s="139"/>
      <c r="I2197" s="60"/>
      <c r="J2197" s="26"/>
      <c r="K2197" s="26"/>
      <c r="L2197" s="48"/>
    </row>
    <row r="2198" spans="2:12" x14ac:dyDescent="0.35">
      <c r="B2198" s="86"/>
      <c r="C2198" s="89"/>
      <c r="D2198" s="130"/>
      <c r="E2198" s="140"/>
      <c r="F2198" s="124" t="s">
        <v>90</v>
      </c>
      <c r="G2198" s="49" t="s">
        <v>1249</v>
      </c>
      <c r="H2198" s="139"/>
      <c r="I2198" s="60"/>
      <c r="J2198" s="26"/>
      <c r="K2198" s="26"/>
      <c r="L2198" s="48"/>
    </row>
    <row r="2199" spans="2:12" x14ac:dyDescent="0.35">
      <c r="B2199" s="211"/>
      <c r="C2199" s="119"/>
      <c r="D2199" s="130"/>
      <c r="E2199" s="213"/>
      <c r="F2199" s="210" t="s">
        <v>90</v>
      </c>
      <c r="G2199" s="214" t="s">
        <v>1273</v>
      </c>
      <c r="H2199" s="210"/>
      <c r="I2199" s="210"/>
      <c r="J2199" s="26"/>
      <c r="K2199" s="26"/>
      <c r="L2199" s="48"/>
    </row>
    <row r="2200" spans="2:12" x14ac:dyDescent="0.35">
      <c r="B2200" s="148"/>
      <c r="C2200" s="87"/>
      <c r="D2200" s="130"/>
      <c r="E2200" s="208"/>
      <c r="F2200" s="210" t="s">
        <v>90</v>
      </c>
      <c r="G2200" s="214" t="s">
        <v>294</v>
      </c>
      <c r="H2200" s="210"/>
      <c r="I2200" s="210"/>
      <c r="J2200" s="26"/>
      <c r="K2200" s="26"/>
      <c r="L2200" s="48"/>
    </row>
    <row r="2201" spans="2:12" x14ac:dyDescent="0.35">
      <c r="B2201" s="211"/>
      <c r="C2201" s="119"/>
      <c r="D2201" s="130"/>
      <c r="E2201" s="213"/>
      <c r="F2201" s="210" t="s">
        <v>90</v>
      </c>
      <c r="G2201" s="214" t="s">
        <v>1250</v>
      </c>
      <c r="H2201" s="139"/>
      <c r="I2201" s="60"/>
      <c r="J2201" s="26"/>
      <c r="K2201" s="26"/>
      <c r="L2201" s="48"/>
    </row>
    <row r="2202" spans="2:12" x14ac:dyDescent="0.35">
      <c r="B2202" s="211"/>
      <c r="C2202" s="119"/>
      <c r="D2202" s="130"/>
      <c r="E2202" s="213"/>
      <c r="F2202" s="210" t="s">
        <v>90</v>
      </c>
      <c r="G2202" s="214" t="s">
        <v>1251</v>
      </c>
      <c r="H2202" s="139"/>
      <c r="I2202" s="60"/>
      <c r="J2202" s="26"/>
      <c r="K2202" s="26"/>
      <c r="L2202" s="42"/>
    </row>
    <row r="2203" spans="2:12" x14ac:dyDescent="0.35">
      <c r="B2203" s="148"/>
      <c r="C2203" s="87"/>
      <c r="D2203" s="130" t="s">
        <v>32</v>
      </c>
      <c r="E2203" s="140"/>
      <c r="F2203" s="124" t="s">
        <v>295</v>
      </c>
      <c r="G2203" s="49"/>
      <c r="H2203" s="149">
        <v>1</v>
      </c>
      <c r="I2203" s="60" t="s">
        <v>82</v>
      </c>
      <c r="J2203" s="26">
        <v>56500000</v>
      </c>
      <c r="K2203" s="26"/>
      <c r="L2203" s="42">
        <f t="shared" ref="L2203" si="153">J2203*H2203</f>
        <v>56500000</v>
      </c>
    </row>
    <row r="2204" spans="2:12" x14ac:dyDescent="0.35">
      <c r="B2204" s="207"/>
      <c r="C2204" s="84"/>
      <c r="D2204" s="130"/>
      <c r="E2204" s="124"/>
      <c r="F2204" s="124" t="s">
        <v>90</v>
      </c>
      <c r="G2204" s="49" t="s">
        <v>1246</v>
      </c>
      <c r="H2204" s="149"/>
      <c r="I2204" s="60"/>
      <c r="J2204" s="26"/>
      <c r="K2204" s="26"/>
      <c r="L2204" s="48"/>
    </row>
    <row r="2205" spans="2:12" x14ac:dyDescent="0.35">
      <c r="B2205" s="86"/>
      <c r="C2205" s="89"/>
      <c r="D2205" s="130"/>
      <c r="E2205" s="89"/>
      <c r="F2205" s="124" t="s">
        <v>90</v>
      </c>
      <c r="G2205" s="49" t="s">
        <v>1247</v>
      </c>
      <c r="H2205" s="139"/>
      <c r="I2205" s="60"/>
      <c r="J2205" s="26"/>
      <c r="K2205" s="26"/>
      <c r="L2205" s="48"/>
    </row>
    <row r="2206" spans="2:12" x14ac:dyDescent="0.35">
      <c r="B2206" s="86"/>
      <c r="C2206" s="89"/>
      <c r="D2206" s="130"/>
      <c r="E2206" s="89"/>
      <c r="F2206" s="124" t="s">
        <v>90</v>
      </c>
      <c r="G2206" s="49" t="s">
        <v>1248</v>
      </c>
      <c r="H2206" s="139"/>
      <c r="I2206" s="60"/>
      <c r="J2206" s="26"/>
      <c r="K2206" s="26"/>
      <c r="L2206" s="48"/>
    </row>
    <row r="2207" spans="2:12" x14ac:dyDescent="0.35">
      <c r="B2207" s="86"/>
      <c r="C2207" s="89"/>
      <c r="D2207" s="130"/>
      <c r="E2207" s="140"/>
      <c r="F2207" s="124" t="s">
        <v>90</v>
      </c>
      <c r="G2207" s="49" t="s">
        <v>1249</v>
      </c>
      <c r="H2207" s="139"/>
      <c r="I2207" s="60"/>
      <c r="J2207" s="26"/>
      <c r="K2207" s="26"/>
      <c r="L2207" s="48"/>
    </row>
    <row r="2208" spans="2:12" x14ac:dyDescent="0.35">
      <c r="B2208" s="211"/>
      <c r="C2208" s="119"/>
      <c r="D2208" s="130"/>
      <c r="E2208" s="213"/>
      <c r="F2208" s="210" t="s">
        <v>90</v>
      </c>
      <c r="G2208" s="214" t="s">
        <v>1273</v>
      </c>
      <c r="H2208" s="210"/>
      <c r="I2208" s="210"/>
      <c r="J2208" s="26"/>
      <c r="K2208" s="26"/>
      <c r="L2208" s="48"/>
    </row>
    <row r="2209" spans="2:12" x14ac:dyDescent="0.35">
      <c r="B2209" s="148"/>
      <c r="C2209" s="87"/>
      <c r="D2209" s="130"/>
      <c r="E2209" s="208"/>
      <c r="F2209" s="210" t="s">
        <v>90</v>
      </c>
      <c r="G2209" s="214" t="s">
        <v>294</v>
      </c>
      <c r="H2209" s="210"/>
      <c r="I2209" s="210"/>
      <c r="J2209" s="26"/>
      <c r="K2209" s="26"/>
      <c r="L2209" s="48"/>
    </row>
    <row r="2210" spans="2:12" x14ac:dyDescent="0.35">
      <c r="B2210" s="211"/>
      <c r="C2210" s="119"/>
      <c r="D2210" s="130"/>
      <c r="E2210" s="213"/>
      <c r="F2210" s="210" t="s">
        <v>90</v>
      </c>
      <c r="G2210" s="214" t="s">
        <v>1250</v>
      </c>
      <c r="H2210" s="139"/>
      <c r="I2210" s="60"/>
      <c r="J2210" s="26"/>
      <c r="K2210" s="26"/>
      <c r="L2210" s="48"/>
    </row>
    <row r="2211" spans="2:12" x14ac:dyDescent="0.35">
      <c r="B2211" s="211"/>
      <c r="C2211" s="119"/>
      <c r="D2211" s="130"/>
      <c r="E2211" s="213"/>
      <c r="F2211" s="210" t="s">
        <v>90</v>
      </c>
      <c r="G2211" s="214" t="s">
        <v>1251</v>
      </c>
      <c r="H2211" s="139"/>
      <c r="I2211" s="60"/>
      <c r="J2211" s="26"/>
      <c r="K2211" s="26"/>
      <c r="L2211" s="48"/>
    </row>
    <row r="2212" spans="2:12" x14ac:dyDescent="0.35">
      <c r="B2212" s="195"/>
      <c r="C2212" s="196"/>
      <c r="D2212" s="131"/>
      <c r="E2212" s="132"/>
      <c r="F2212" s="71"/>
      <c r="G2212" s="27"/>
      <c r="H2212" s="125"/>
      <c r="I2212" s="126"/>
      <c r="J2212" s="26"/>
      <c r="K2212" s="26"/>
      <c r="L2212" s="48"/>
    </row>
    <row r="2213" spans="2:12" x14ac:dyDescent="0.35">
      <c r="B2213" s="86"/>
      <c r="C2213" s="89"/>
      <c r="D2213" s="193"/>
      <c r="E2213" s="75" t="s">
        <v>1252</v>
      </c>
      <c r="F2213" s="76"/>
      <c r="G2213" s="77"/>
      <c r="H2213" s="149"/>
      <c r="I2213" s="60"/>
      <c r="J2213" s="26"/>
      <c r="K2213" s="26"/>
      <c r="L2213" s="48"/>
    </row>
    <row r="2214" spans="2:12" x14ac:dyDescent="0.35">
      <c r="B2214" s="148" t="s">
        <v>28</v>
      </c>
      <c r="C2214" s="87"/>
      <c r="D2214" s="62"/>
      <c r="E2214" s="67" t="s">
        <v>1253</v>
      </c>
      <c r="F2214" s="64"/>
      <c r="G2214" s="65"/>
      <c r="H2214" s="149"/>
      <c r="I2214" s="60"/>
      <c r="J2214" s="26"/>
      <c r="K2214" s="26"/>
      <c r="L2214" s="48"/>
    </row>
    <row r="2215" spans="2:12" x14ac:dyDescent="0.35">
      <c r="B2215" s="148"/>
      <c r="C2215" s="87"/>
      <c r="D2215" s="62" t="s">
        <v>29</v>
      </c>
      <c r="E2215" s="67"/>
      <c r="F2215" s="64" t="s">
        <v>1275</v>
      </c>
      <c r="G2215" s="65"/>
      <c r="H2215" s="149">
        <v>10</v>
      </c>
      <c r="I2215" s="60" t="s">
        <v>1254</v>
      </c>
      <c r="J2215" s="26">
        <v>200000</v>
      </c>
      <c r="K2215" s="26"/>
      <c r="L2215" s="48">
        <f>J2215*H2215</f>
        <v>2000000</v>
      </c>
    </row>
    <row r="2216" spans="2:12" x14ac:dyDescent="0.35">
      <c r="B2216" s="148"/>
      <c r="C2216" s="87"/>
      <c r="D2216" s="62"/>
      <c r="E2216" s="67"/>
      <c r="F2216" s="64"/>
      <c r="G2216" s="65"/>
      <c r="H2216" s="149"/>
      <c r="I2216" s="60"/>
      <c r="J2216" s="46"/>
      <c r="K2216" s="26"/>
      <c r="L2216" s="48"/>
    </row>
    <row r="2217" spans="2:12" x14ac:dyDescent="0.35">
      <c r="B2217" s="8"/>
      <c r="C2217" s="9"/>
      <c r="D2217" s="10"/>
      <c r="E2217" s="4"/>
      <c r="F2217" s="4"/>
      <c r="G2217" s="4"/>
      <c r="H2217" s="1"/>
      <c r="I2217" s="1"/>
      <c r="J2217" s="11" t="s">
        <v>8</v>
      </c>
      <c r="K2217" s="7">
        <f>SUM(K2164:K2216)</f>
        <v>0</v>
      </c>
      <c r="L2217" s="7">
        <f>SUM(L2164:L2216)</f>
        <v>138850000</v>
      </c>
    </row>
    <row r="2218" spans="2:12" x14ac:dyDescent="0.35">
      <c r="B2218" s="8"/>
      <c r="C2218" s="9"/>
      <c r="D2218" s="9"/>
      <c r="E2218" s="4"/>
      <c r="F2218" s="4"/>
      <c r="G2218" s="4"/>
      <c r="H2218" s="1"/>
      <c r="I2218" s="1"/>
      <c r="J2218" s="11"/>
      <c r="K2218" s="32" t="s">
        <v>13</v>
      </c>
      <c r="L2218" s="33" t="s">
        <v>14</v>
      </c>
    </row>
    <row r="2219" spans="2:12" x14ac:dyDescent="0.35">
      <c r="B2219" s="3" t="s">
        <v>9</v>
      </c>
      <c r="C2219" s="4"/>
      <c r="D2219" s="4"/>
      <c r="E2219" s="4"/>
      <c r="F2219" s="4"/>
      <c r="G2219" s="4"/>
      <c r="H2219" s="1"/>
      <c r="I2219" s="1"/>
      <c r="J2219" s="12"/>
      <c r="K2219" s="12"/>
      <c r="L2219" s="13"/>
    </row>
    <row r="2220" spans="2:12" x14ac:dyDescent="0.35">
      <c r="B2220" s="34"/>
      <c r="C2220" s="1"/>
      <c r="D2220" s="1"/>
      <c r="E2220" s="35"/>
      <c r="F2220" s="35"/>
      <c r="G2220" s="35"/>
      <c r="H2220" s="1"/>
      <c r="I2220" s="1"/>
      <c r="J2220" s="1"/>
      <c r="K2220" s="1"/>
      <c r="L2220" s="17"/>
    </row>
    <row r="2221" spans="2:12" x14ac:dyDescent="0.35">
      <c r="B2221" s="25" t="s">
        <v>6</v>
      </c>
      <c r="C2221" s="24"/>
      <c r="D2221" s="24"/>
      <c r="E2221" s="23"/>
      <c r="F2221" s="23"/>
      <c r="G2221" s="5"/>
      <c r="K2221" s="227" t="s">
        <v>1292</v>
      </c>
      <c r="L2221" s="228"/>
    </row>
    <row r="2222" spans="2:12" x14ac:dyDescent="0.35">
      <c r="B2222" s="25">
        <v>1</v>
      </c>
      <c r="C2222" s="24"/>
      <c r="D2222" s="24"/>
      <c r="E2222" s="23" t="s">
        <v>7</v>
      </c>
      <c r="F2222" s="23"/>
      <c r="G2222" s="5"/>
      <c r="K2222" s="227" t="s">
        <v>18</v>
      </c>
      <c r="L2222" s="228"/>
    </row>
    <row r="2223" spans="2:12" x14ac:dyDescent="0.35">
      <c r="B2223" s="36"/>
      <c r="C2223" s="24"/>
      <c r="D2223" s="24"/>
      <c r="E2223" s="23"/>
      <c r="F2223" s="23"/>
      <c r="G2223" s="5"/>
      <c r="J2223" s="22"/>
      <c r="K2223" s="22"/>
      <c r="L2223" s="21"/>
    </row>
    <row r="2224" spans="2:12" x14ac:dyDescent="0.35">
      <c r="B2224" s="25"/>
      <c r="C2224" s="24"/>
      <c r="D2224" s="24"/>
      <c r="E2224" s="23"/>
      <c r="F2224" s="23"/>
      <c r="G2224" s="5"/>
      <c r="L2224" s="20"/>
    </row>
    <row r="2225" spans="2:12" x14ac:dyDescent="0.35">
      <c r="B2225" s="41"/>
      <c r="E2225" s="5"/>
      <c r="F2225" s="5"/>
      <c r="G2225" s="5"/>
      <c r="L2225" s="20"/>
    </row>
    <row r="2226" spans="2:12" x14ac:dyDescent="0.35">
      <c r="B2226" s="41"/>
      <c r="E2226" s="5"/>
      <c r="F2226" s="5"/>
      <c r="G2226" s="5"/>
      <c r="L2226" s="20"/>
    </row>
    <row r="2227" spans="2:12" x14ac:dyDescent="0.35">
      <c r="B2227" s="41"/>
      <c r="E2227" s="5"/>
      <c r="F2227" s="5"/>
      <c r="G2227" s="5"/>
      <c r="L2227" s="20"/>
    </row>
    <row r="2228" spans="2:12" x14ac:dyDescent="0.35">
      <c r="B2228" s="41"/>
      <c r="E2228" s="5"/>
      <c r="F2228" s="5"/>
      <c r="G2228" s="5"/>
      <c r="J2228" s="37"/>
      <c r="K2228" s="229" t="s">
        <v>26</v>
      </c>
      <c r="L2228" s="230"/>
    </row>
    <row r="2229" spans="2:12" x14ac:dyDescent="0.35">
      <c r="B2229" s="41"/>
      <c r="K2229" s="231" t="s">
        <v>27</v>
      </c>
      <c r="L2229" s="232"/>
    </row>
    <row r="2230" spans="2:12" x14ac:dyDescent="0.35">
      <c r="B2230" s="233"/>
      <c r="C2230" s="234"/>
      <c r="D2230" s="234"/>
      <c r="E2230" s="38"/>
      <c r="F2230" s="38"/>
      <c r="G2230" s="38"/>
      <c r="H2230" s="2"/>
      <c r="I2230" s="2"/>
      <c r="J2230" s="2"/>
      <c r="K2230" s="2"/>
      <c r="L2230" s="19"/>
    </row>
    <row r="2231" spans="2:12" x14ac:dyDescent="0.35">
      <c r="B2231" s="43"/>
      <c r="C2231" s="44"/>
      <c r="D2231" s="45"/>
      <c r="G2231" s="20"/>
      <c r="H2231" s="1"/>
      <c r="I2231" s="1"/>
      <c r="J2231" s="39"/>
      <c r="K2231" s="27"/>
      <c r="L2231" s="40"/>
    </row>
    <row r="2232" spans="2:12" x14ac:dyDescent="0.35">
      <c r="B2232" s="148"/>
      <c r="C2232" s="87"/>
      <c r="D2232" s="62" t="s">
        <v>32</v>
      </c>
      <c r="E2232" s="67"/>
      <c r="F2232" s="64" t="s">
        <v>1274</v>
      </c>
      <c r="G2232" s="65"/>
      <c r="H2232" s="149">
        <v>10</v>
      </c>
      <c r="I2232" s="60" t="s">
        <v>1254</v>
      </c>
      <c r="J2232" s="26">
        <v>200000</v>
      </c>
      <c r="K2232" s="55">
        <f>J2232*H2232</f>
        <v>2000000</v>
      </c>
      <c r="L2232" s="153"/>
    </row>
    <row r="2233" spans="2:12" x14ac:dyDescent="0.35">
      <c r="B2233" s="150"/>
      <c r="C2233" s="89"/>
      <c r="D2233" s="62" t="s">
        <v>34</v>
      </c>
      <c r="E2233" s="67"/>
      <c r="F2233" s="64" t="s">
        <v>1276</v>
      </c>
      <c r="G2233" s="65"/>
      <c r="H2233" s="149">
        <v>10</v>
      </c>
      <c r="I2233" s="60" t="s">
        <v>1254</v>
      </c>
      <c r="J2233" s="26">
        <v>200000</v>
      </c>
      <c r="K2233" s="55">
        <f>J2233*H2233</f>
        <v>2000000</v>
      </c>
      <c r="L2233" s="42"/>
    </row>
    <row r="2234" spans="2:12" x14ac:dyDescent="0.35">
      <c r="B2234" s="150"/>
      <c r="C2234" s="89"/>
      <c r="D2234" s="62" t="s">
        <v>36</v>
      </c>
      <c r="E2234" s="67"/>
      <c r="F2234" s="64" t="s">
        <v>1255</v>
      </c>
      <c r="G2234" s="65"/>
      <c r="H2234" s="149">
        <v>29</v>
      </c>
      <c r="I2234" s="60" t="s">
        <v>1254</v>
      </c>
      <c r="J2234" s="26">
        <v>2000000</v>
      </c>
      <c r="K2234" s="55">
        <f>J2234*H2234</f>
        <v>58000000</v>
      </c>
      <c r="L2234" s="42"/>
    </row>
    <row r="2235" spans="2:12" x14ac:dyDescent="0.35">
      <c r="B2235" s="148" t="s">
        <v>45</v>
      </c>
      <c r="C2235" s="87"/>
      <c r="D2235" s="62"/>
      <c r="E2235" s="67" t="s">
        <v>1287</v>
      </c>
      <c r="F2235" s="64"/>
      <c r="G2235" s="65"/>
      <c r="H2235" s="149"/>
      <c r="I2235" s="60"/>
      <c r="J2235" s="26"/>
      <c r="K2235" s="47"/>
      <c r="L2235" s="42"/>
    </row>
    <row r="2236" spans="2:12" s="31" customFormat="1" x14ac:dyDescent="0.35">
      <c r="B2236" s="86"/>
      <c r="C2236" s="89"/>
      <c r="D2236" s="89" t="s">
        <v>29</v>
      </c>
      <c r="E2236" s="140"/>
      <c r="F2236" s="124" t="s">
        <v>1278</v>
      </c>
      <c r="G2236" s="49"/>
      <c r="H2236" s="124">
        <v>1</v>
      </c>
      <c r="I2236" s="49" t="s">
        <v>31</v>
      </c>
      <c r="J2236" s="26">
        <v>5000000</v>
      </c>
      <c r="K2236" s="55">
        <f>J2236*H2236</f>
        <v>5000000</v>
      </c>
      <c r="L2236" s="42"/>
    </row>
    <row r="2237" spans="2:12" s="31" customFormat="1" x14ac:dyDescent="0.35">
      <c r="B2237" s="148" t="s">
        <v>120</v>
      </c>
      <c r="C2237" s="87"/>
      <c r="D2237" s="62"/>
      <c r="E2237" s="67" t="s">
        <v>86</v>
      </c>
      <c r="F2237" s="64"/>
      <c r="G2237" s="65"/>
      <c r="H2237" s="80"/>
      <c r="I2237" s="49"/>
      <c r="J2237" s="26"/>
      <c r="K2237" s="26"/>
      <c r="L2237" s="48"/>
    </row>
    <row r="2238" spans="2:12" s="31" customFormat="1" x14ac:dyDescent="0.35">
      <c r="B2238" s="50"/>
      <c r="C2238" s="44" t="s">
        <v>87</v>
      </c>
      <c r="D2238" s="62"/>
      <c r="E2238" s="67"/>
      <c r="F2238" s="64" t="s">
        <v>155</v>
      </c>
      <c r="G2238" s="65"/>
      <c r="H2238" s="23"/>
      <c r="I2238" s="68"/>
      <c r="J2238" s="55"/>
      <c r="K2238" s="55"/>
      <c r="L2238" s="42"/>
    </row>
    <row r="2239" spans="2:12" s="31" customFormat="1" x14ac:dyDescent="0.35">
      <c r="B2239" s="58"/>
      <c r="C2239" s="51"/>
      <c r="D2239" s="52" t="s">
        <v>29</v>
      </c>
      <c r="E2239" s="136"/>
      <c r="F2239" s="105" t="s">
        <v>1001</v>
      </c>
      <c r="G2239" s="106"/>
      <c r="H2239" s="116"/>
      <c r="I2239" s="56"/>
      <c r="J2239" s="26"/>
      <c r="K2239" s="47"/>
      <c r="L2239" s="42"/>
    </row>
    <row r="2240" spans="2:12" s="31" customFormat="1" x14ac:dyDescent="0.35">
      <c r="B2240" s="58"/>
      <c r="C2240" s="51"/>
      <c r="D2240" s="130"/>
      <c r="E2240" s="140"/>
      <c r="F2240" s="124" t="s">
        <v>90</v>
      </c>
      <c r="G2240" s="49" t="s">
        <v>1288</v>
      </c>
      <c r="H2240" s="139">
        <f>0.5*0.4*8*7.85*1.2*4</f>
        <v>60.287999999999997</v>
      </c>
      <c r="I2240" s="60" t="s">
        <v>91</v>
      </c>
      <c r="J2240" s="26">
        <v>30500</v>
      </c>
      <c r="K2240" s="47"/>
      <c r="L2240" s="42">
        <f>J2240*H2240</f>
        <v>1838784</v>
      </c>
    </row>
    <row r="2241" spans="2:13" s="31" customFormat="1" x14ac:dyDescent="0.35">
      <c r="B2241" s="142"/>
      <c r="C2241" s="146"/>
      <c r="D2241" s="89"/>
      <c r="E2241" s="140"/>
      <c r="F2241" s="124" t="s">
        <v>90</v>
      </c>
      <c r="G2241" s="49" t="s">
        <v>1289</v>
      </c>
      <c r="H2241" s="139">
        <f>0.5*0.4*8*7.85*1.2*4</f>
        <v>60.287999999999997</v>
      </c>
      <c r="I2241" s="60" t="s">
        <v>91</v>
      </c>
      <c r="J2241" s="26">
        <v>30500</v>
      </c>
      <c r="K2241" s="47"/>
      <c r="L2241" s="42">
        <f t="shared" ref="L2241:L2242" si="154">J2241*H2241</f>
        <v>1838784</v>
      </c>
    </row>
    <row r="2242" spans="2:13" s="31" customFormat="1" x14ac:dyDescent="0.35">
      <c r="B2242" s="133"/>
      <c r="C2242" s="134"/>
      <c r="D2242" s="89"/>
      <c r="E2242" s="140"/>
      <c r="F2242" s="124" t="s">
        <v>90</v>
      </c>
      <c r="G2242" s="49" t="s">
        <v>1290</v>
      </c>
      <c r="H2242" s="139">
        <f>0.5*0.4*8*7.85*1.2*4</f>
        <v>60.287999999999997</v>
      </c>
      <c r="I2242" s="60" t="s">
        <v>91</v>
      </c>
      <c r="J2242" s="26">
        <v>30500</v>
      </c>
      <c r="K2242" s="47"/>
      <c r="L2242" s="42">
        <f t="shared" si="154"/>
        <v>1838784</v>
      </c>
    </row>
    <row r="2243" spans="2:13" s="31" customFormat="1" x14ac:dyDescent="0.35">
      <c r="B2243" s="145"/>
      <c r="C2243" s="134"/>
      <c r="D2243" s="52" t="s">
        <v>32</v>
      </c>
      <c r="E2243" s="136"/>
      <c r="F2243" s="105" t="s">
        <v>156</v>
      </c>
      <c r="G2243" s="106"/>
      <c r="H2243" s="116"/>
      <c r="I2243" s="56"/>
      <c r="J2243" s="26"/>
      <c r="K2243" s="47"/>
      <c r="L2243" s="42"/>
    </row>
    <row r="2244" spans="2:13" s="31" customFormat="1" x14ac:dyDescent="0.35">
      <c r="B2244" s="142"/>
      <c r="C2244" s="146"/>
      <c r="D2244" s="130"/>
      <c r="E2244" s="140"/>
      <c r="F2244" s="124" t="s">
        <v>90</v>
      </c>
      <c r="G2244" s="49" t="s">
        <v>1288</v>
      </c>
      <c r="H2244" s="139">
        <f>0.5*0.4*8*7.85*1.2*4</f>
        <v>60.287999999999997</v>
      </c>
      <c r="I2244" s="60" t="s">
        <v>91</v>
      </c>
      <c r="J2244" s="26">
        <v>30500</v>
      </c>
      <c r="K2244" s="47"/>
      <c r="L2244" s="42">
        <f t="shared" ref="L2244:L2246" si="155">J2244*H2244</f>
        <v>1838784</v>
      </c>
    </row>
    <row r="2245" spans="2:13" s="31" customFormat="1" x14ac:dyDescent="0.35">
      <c r="B2245" s="142"/>
      <c r="C2245" s="143"/>
      <c r="D2245" s="89"/>
      <c r="E2245" s="140"/>
      <c r="F2245" s="124" t="s">
        <v>90</v>
      </c>
      <c r="G2245" s="49" t="s">
        <v>1289</v>
      </c>
      <c r="H2245" s="139">
        <f>0.5*0.4*8*7.85*1.2*4</f>
        <v>60.287999999999997</v>
      </c>
      <c r="I2245" s="60" t="s">
        <v>91</v>
      </c>
      <c r="J2245" s="26">
        <v>30500</v>
      </c>
      <c r="K2245" s="47"/>
      <c r="L2245" s="42">
        <f t="shared" si="155"/>
        <v>1838784</v>
      </c>
    </row>
    <row r="2246" spans="2:13" s="31" customFormat="1" x14ac:dyDescent="0.35">
      <c r="B2246" s="142"/>
      <c r="C2246" s="143"/>
      <c r="D2246" s="89"/>
      <c r="E2246" s="140"/>
      <c r="F2246" s="124" t="s">
        <v>90</v>
      </c>
      <c r="G2246" s="49" t="s">
        <v>1290</v>
      </c>
      <c r="H2246" s="139">
        <f>0.5*0.4*8*7.85*1.2*4</f>
        <v>60.287999999999997</v>
      </c>
      <c r="I2246" s="60" t="s">
        <v>91</v>
      </c>
      <c r="J2246" s="26">
        <v>30500</v>
      </c>
      <c r="K2246" s="47"/>
      <c r="L2246" s="42">
        <f t="shared" si="155"/>
        <v>1838784</v>
      </c>
    </row>
    <row r="2247" spans="2:13" s="31" customFormat="1" x14ac:dyDescent="0.35">
      <c r="B2247" s="133"/>
      <c r="C2247" s="134"/>
      <c r="D2247" s="52" t="s">
        <v>34</v>
      </c>
      <c r="E2247" s="136"/>
      <c r="F2247" s="105" t="s">
        <v>157</v>
      </c>
      <c r="G2247" s="106"/>
      <c r="H2247" s="116"/>
      <c r="I2247" s="56"/>
      <c r="J2247" s="26"/>
      <c r="K2247" s="47"/>
      <c r="L2247" s="42"/>
    </row>
    <row r="2248" spans="2:13" s="31" customFormat="1" x14ac:dyDescent="0.35">
      <c r="B2248" s="133"/>
      <c r="C2248" s="143"/>
      <c r="D2248" s="130"/>
      <c r="E2248" s="140"/>
      <c r="F2248" s="124" t="s">
        <v>90</v>
      </c>
      <c r="G2248" s="49" t="s">
        <v>1288</v>
      </c>
      <c r="H2248" s="139">
        <f>0.5*0.4*8*7.85*1.2*4</f>
        <v>60.287999999999997</v>
      </c>
      <c r="I2248" s="60" t="s">
        <v>91</v>
      </c>
      <c r="J2248" s="26">
        <v>30500</v>
      </c>
      <c r="K2248" s="47"/>
      <c r="L2248" s="42">
        <f t="shared" ref="L2248:L2250" si="156">J2248*H2248</f>
        <v>1838784</v>
      </c>
    </row>
    <row r="2249" spans="2:13" s="31" customFormat="1" x14ac:dyDescent="0.35">
      <c r="B2249" s="133"/>
      <c r="C2249" s="143"/>
      <c r="D2249" s="89"/>
      <c r="E2249" s="140"/>
      <c r="F2249" s="124" t="s">
        <v>90</v>
      </c>
      <c r="G2249" s="49" t="s">
        <v>1289</v>
      </c>
      <c r="H2249" s="139">
        <f>0.5*0.4*8*7.85*1.2*4</f>
        <v>60.287999999999997</v>
      </c>
      <c r="I2249" s="60" t="s">
        <v>91</v>
      </c>
      <c r="J2249" s="26">
        <v>30500</v>
      </c>
      <c r="K2249" s="47"/>
      <c r="L2249" s="42">
        <f t="shared" si="156"/>
        <v>1838784</v>
      </c>
    </row>
    <row r="2250" spans="2:13" s="31" customFormat="1" x14ac:dyDescent="0.35">
      <c r="B2250" s="133"/>
      <c r="C2250" s="143"/>
      <c r="D2250" s="89"/>
      <c r="E2250" s="140"/>
      <c r="F2250" s="124" t="s">
        <v>90</v>
      </c>
      <c r="G2250" s="49" t="s">
        <v>1290</v>
      </c>
      <c r="H2250" s="139">
        <f>0.5*0.4*8*7.85*1.2*4</f>
        <v>60.287999999999997</v>
      </c>
      <c r="I2250" s="60" t="s">
        <v>91</v>
      </c>
      <c r="J2250" s="26">
        <v>30500</v>
      </c>
      <c r="K2250" s="47"/>
      <c r="L2250" s="42">
        <f t="shared" si="156"/>
        <v>1838784</v>
      </c>
    </row>
    <row r="2251" spans="2:13" s="31" customFormat="1" x14ac:dyDescent="0.35">
      <c r="B2251" s="144"/>
      <c r="C2251" s="134"/>
      <c r="D2251" s="52" t="s">
        <v>36</v>
      </c>
      <c r="E2251" s="136"/>
      <c r="F2251" s="105" t="s">
        <v>968</v>
      </c>
      <c r="G2251" s="106"/>
      <c r="H2251" s="116"/>
      <c r="I2251" s="56"/>
      <c r="J2251" s="26"/>
      <c r="K2251" s="47"/>
      <c r="L2251" s="42"/>
      <c r="M2251" s="222"/>
    </row>
    <row r="2252" spans="2:13" s="31" customFormat="1" x14ac:dyDescent="0.35">
      <c r="B2252" s="144"/>
      <c r="C2252" s="134"/>
      <c r="D2252" s="130"/>
      <c r="E2252" s="140"/>
      <c r="F2252" s="124" t="s">
        <v>90</v>
      </c>
      <c r="G2252" s="49" t="s">
        <v>1288</v>
      </c>
      <c r="H2252" s="139">
        <f>0.5*0.4*8*7.85*1.2*4</f>
        <v>60.287999999999997</v>
      </c>
      <c r="I2252" s="60" t="s">
        <v>91</v>
      </c>
      <c r="J2252" s="26">
        <v>30500</v>
      </c>
      <c r="K2252" s="47"/>
      <c r="L2252" s="42">
        <f t="shared" ref="L2252:L2254" si="157">J2252*H2252</f>
        <v>1838784</v>
      </c>
      <c r="M2252" s="222"/>
    </row>
    <row r="2253" spans="2:13" s="31" customFormat="1" x14ac:dyDescent="0.35">
      <c r="B2253" s="144"/>
      <c r="C2253" s="134"/>
      <c r="D2253" s="89"/>
      <c r="E2253" s="140"/>
      <c r="F2253" s="124" t="s">
        <v>90</v>
      </c>
      <c r="G2253" s="49" t="s">
        <v>1289</v>
      </c>
      <c r="H2253" s="139">
        <f>0.5*0.4*8*7.85*1.2*4</f>
        <v>60.287999999999997</v>
      </c>
      <c r="I2253" s="60" t="s">
        <v>91</v>
      </c>
      <c r="J2253" s="26">
        <v>30500</v>
      </c>
      <c r="K2253" s="47"/>
      <c r="L2253" s="42">
        <f t="shared" si="157"/>
        <v>1838784</v>
      </c>
      <c r="M2253" s="222"/>
    </row>
    <row r="2254" spans="2:13" s="31" customFormat="1" x14ac:dyDescent="0.35">
      <c r="B2254" s="142"/>
      <c r="C2254" s="134"/>
      <c r="D2254" s="89"/>
      <c r="E2254" s="140"/>
      <c r="F2254" s="124" t="s">
        <v>90</v>
      </c>
      <c r="G2254" s="49" t="s">
        <v>1290</v>
      </c>
      <c r="H2254" s="139">
        <f>0.5*0.4*8*7.85*1.2*4</f>
        <v>60.287999999999997</v>
      </c>
      <c r="I2254" s="60" t="s">
        <v>91</v>
      </c>
      <c r="J2254" s="26">
        <v>30500</v>
      </c>
      <c r="K2254" s="47"/>
      <c r="L2254" s="42">
        <f t="shared" si="157"/>
        <v>1838784</v>
      </c>
      <c r="M2254" s="222"/>
    </row>
    <row r="2255" spans="2:13" s="31" customFormat="1" x14ac:dyDescent="0.35">
      <c r="B2255" s="133"/>
      <c r="C2255" s="134"/>
      <c r="D2255" s="52" t="s">
        <v>38</v>
      </c>
      <c r="E2255" s="136"/>
      <c r="F2255" s="105" t="s">
        <v>158</v>
      </c>
      <c r="G2255" s="106"/>
      <c r="H2255" s="116"/>
      <c r="I2255" s="56"/>
      <c r="J2255" s="26"/>
      <c r="K2255" s="47"/>
      <c r="L2255" s="42"/>
      <c r="M2255" s="222"/>
    </row>
    <row r="2256" spans="2:13" s="31" customFormat="1" x14ac:dyDescent="0.35">
      <c r="B2256" s="133"/>
      <c r="C2256" s="134"/>
      <c r="D2256" s="130"/>
      <c r="E2256" s="140"/>
      <c r="F2256" s="124" t="s">
        <v>90</v>
      </c>
      <c r="G2256" s="49" t="s">
        <v>1288</v>
      </c>
      <c r="H2256" s="139">
        <f>0.5*0.4*8*7.85*1.2*4</f>
        <v>60.287999999999997</v>
      </c>
      <c r="I2256" s="60" t="s">
        <v>91</v>
      </c>
      <c r="J2256" s="26">
        <v>30500</v>
      </c>
      <c r="K2256" s="47"/>
      <c r="L2256" s="42">
        <f t="shared" ref="L2256:L2258" si="158">J2256*H2256</f>
        <v>1838784</v>
      </c>
      <c r="M2256" s="222"/>
    </row>
    <row r="2257" spans="2:15" s="31" customFormat="1" x14ac:dyDescent="0.35">
      <c r="B2257" s="86"/>
      <c r="C2257" s="89"/>
      <c r="D2257" s="89"/>
      <c r="E2257" s="140"/>
      <c r="F2257" s="124" t="s">
        <v>90</v>
      </c>
      <c r="G2257" s="49" t="s">
        <v>1289</v>
      </c>
      <c r="H2257" s="139">
        <f>0.5*0.4*8*7.85*1.2*4</f>
        <v>60.287999999999997</v>
      </c>
      <c r="I2257" s="60" t="s">
        <v>91</v>
      </c>
      <c r="J2257" s="26">
        <v>30500</v>
      </c>
      <c r="K2257" s="47"/>
      <c r="L2257" s="42">
        <f t="shared" si="158"/>
        <v>1838784</v>
      </c>
      <c r="M2257" s="222"/>
      <c r="N2257" s="223"/>
      <c r="O2257" s="224"/>
    </row>
    <row r="2258" spans="2:15" s="31" customFormat="1" x14ac:dyDescent="0.35">
      <c r="B2258" s="86"/>
      <c r="C2258" s="89"/>
      <c r="D2258" s="89"/>
      <c r="E2258" s="140"/>
      <c r="F2258" s="124" t="s">
        <v>90</v>
      </c>
      <c r="G2258" s="49" t="s">
        <v>1290</v>
      </c>
      <c r="H2258" s="139">
        <f>0.5*0.4*8*7.85*1.2*4</f>
        <v>60.287999999999997</v>
      </c>
      <c r="I2258" s="60" t="s">
        <v>91</v>
      </c>
      <c r="J2258" s="26">
        <v>30500</v>
      </c>
      <c r="K2258" s="47"/>
      <c r="L2258" s="42">
        <f t="shared" si="158"/>
        <v>1838784</v>
      </c>
    </row>
    <row r="2259" spans="2:15" s="31" customFormat="1" x14ac:dyDescent="0.35">
      <c r="B2259" s="86"/>
      <c r="C2259" s="89"/>
      <c r="D2259" s="52" t="s">
        <v>39</v>
      </c>
      <c r="E2259" s="136"/>
      <c r="F2259" s="105" t="s">
        <v>1291</v>
      </c>
      <c r="G2259" s="106"/>
      <c r="H2259" s="116"/>
      <c r="I2259" s="56"/>
      <c r="J2259" s="26"/>
      <c r="K2259" s="47"/>
      <c r="L2259" s="42"/>
      <c r="M2259" s="222"/>
    </row>
    <row r="2260" spans="2:15" s="31" customFormat="1" x14ac:dyDescent="0.35">
      <c r="B2260" s="86"/>
      <c r="C2260" s="89"/>
      <c r="D2260" s="130"/>
      <c r="E2260" s="140"/>
      <c r="F2260" s="124" t="s">
        <v>90</v>
      </c>
      <c r="G2260" s="49" t="s">
        <v>1288</v>
      </c>
      <c r="H2260" s="139">
        <f>0.5*0.4*8*7.85*1.2*4</f>
        <v>60.287999999999997</v>
      </c>
      <c r="I2260" s="60" t="s">
        <v>91</v>
      </c>
      <c r="J2260" s="26">
        <v>30500</v>
      </c>
      <c r="K2260" s="47"/>
      <c r="L2260" s="42">
        <f t="shared" ref="L2260:L2262" si="159">J2260*H2260</f>
        <v>1838784</v>
      </c>
      <c r="M2260" s="222"/>
    </row>
    <row r="2261" spans="2:15" s="31" customFormat="1" x14ac:dyDescent="0.35">
      <c r="B2261" s="140"/>
      <c r="C2261" s="89"/>
      <c r="D2261" s="89"/>
      <c r="E2261" s="140"/>
      <c r="F2261" s="124" t="s">
        <v>90</v>
      </c>
      <c r="G2261" s="49" t="s">
        <v>1289</v>
      </c>
      <c r="H2261" s="139">
        <f>0.5*0.4*8*7.85*1.2*4</f>
        <v>60.287999999999997</v>
      </c>
      <c r="I2261" s="60" t="s">
        <v>91</v>
      </c>
      <c r="J2261" s="26">
        <v>30500</v>
      </c>
      <c r="K2261" s="47"/>
      <c r="L2261" s="42">
        <f t="shared" si="159"/>
        <v>1838784</v>
      </c>
      <c r="M2261" s="222"/>
    </row>
    <row r="2262" spans="2:15" s="31" customFormat="1" x14ac:dyDescent="0.35">
      <c r="B2262" s="148"/>
      <c r="C2262" s="87"/>
      <c r="D2262" s="89"/>
      <c r="E2262" s="140"/>
      <c r="F2262" s="124" t="s">
        <v>90</v>
      </c>
      <c r="G2262" s="49" t="s">
        <v>1290</v>
      </c>
      <c r="H2262" s="139">
        <f>0.5*0.4*8*7.85*1.2*4</f>
        <v>60.287999999999997</v>
      </c>
      <c r="I2262" s="60" t="s">
        <v>91</v>
      </c>
      <c r="J2262" s="26">
        <v>30500</v>
      </c>
      <c r="K2262" s="47"/>
      <c r="L2262" s="42">
        <f t="shared" si="159"/>
        <v>1838784</v>
      </c>
    </row>
    <row r="2263" spans="2:15" s="31" customFormat="1" x14ac:dyDescent="0.35">
      <c r="B2263" s="148"/>
      <c r="C2263" s="87" t="s">
        <v>108</v>
      </c>
      <c r="D2263" s="69"/>
      <c r="E2263" s="128"/>
      <c r="F2263" s="129" t="s">
        <v>88</v>
      </c>
      <c r="G2263" s="27"/>
      <c r="H2263" s="80"/>
      <c r="I2263" s="49"/>
      <c r="J2263" s="26"/>
      <c r="K2263" s="26"/>
      <c r="L2263" s="48"/>
    </row>
    <row r="2264" spans="2:15" s="31" customFormat="1" x14ac:dyDescent="0.35">
      <c r="B2264" s="86"/>
      <c r="C2264" s="89"/>
      <c r="D2264" s="69" t="s">
        <v>29</v>
      </c>
      <c r="E2264" s="70"/>
      <c r="F2264" s="71" t="s">
        <v>228</v>
      </c>
      <c r="G2264" s="27"/>
      <c r="H2264" s="80"/>
      <c r="I2264" s="49"/>
      <c r="J2264" s="26"/>
      <c r="K2264" s="26"/>
      <c r="L2264" s="48"/>
    </row>
    <row r="2265" spans="2:15" s="31" customFormat="1" x14ac:dyDescent="0.35">
      <c r="B2265" s="148"/>
      <c r="C2265" s="87"/>
      <c r="D2265" s="62"/>
      <c r="E2265" s="67"/>
      <c r="F2265" s="71" t="s">
        <v>90</v>
      </c>
      <c r="G2265" s="27" t="s">
        <v>1258</v>
      </c>
      <c r="H2265" s="80">
        <f>49.9*3.6*1.2</f>
        <v>215.56799999999998</v>
      </c>
      <c r="I2265" s="49" t="s">
        <v>91</v>
      </c>
      <c r="J2265" s="26">
        <v>28500</v>
      </c>
      <c r="K2265" s="26"/>
      <c r="L2265" s="48">
        <f>J2265*H2265</f>
        <v>6143687.9999999991</v>
      </c>
    </row>
    <row r="2266" spans="2:15" s="31" customFormat="1" x14ac:dyDescent="0.35">
      <c r="B2266" s="150"/>
      <c r="C2266" s="89"/>
      <c r="D2266" s="69"/>
      <c r="E2266" s="70"/>
      <c r="F2266" s="71" t="s">
        <v>90</v>
      </c>
      <c r="G2266" s="27" t="s">
        <v>229</v>
      </c>
      <c r="H2266" s="80">
        <f>49.9*3.1*1.2</f>
        <v>185.62799999999999</v>
      </c>
      <c r="I2266" s="49" t="s">
        <v>91</v>
      </c>
      <c r="J2266" s="26">
        <v>28500</v>
      </c>
      <c r="K2266" s="26"/>
      <c r="L2266" s="48">
        <f>J2266*H2266</f>
        <v>5290398</v>
      </c>
    </row>
    <row r="2267" spans="2:15" x14ac:dyDescent="0.35">
      <c r="B2267" s="148" t="s">
        <v>45</v>
      </c>
      <c r="C2267" s="87"/>
      <c r="D2267" s="62"/>
      <c r="E2267" s="67" t="s">
        <v>1277</v>
      </c>
      <c r="F2267" s="64"/>
      <c r="G2267" s="65"/>
      <c r="H2267" s="149"/>
      <c r="I2267" s="60"/>
      <c r="J2267" s="26"/>
      <c r="K2267" s="47"/>
      <c r="L2267" s="42"/>
    </row>
    <row r="2268" spans="2:15" x14ac:dyDescent="0.35">
      <c r="B2268" s="150"/>
      <c r="C2268" s="87"/>
      <c r="D2268" s="130" t="s">
        <v>29</v>
      </c>
      <c r="E2268" s="89"/>
      <c r="F2268" s="124" t="s">
        <v>1256</v>
      </c>
      <c r="G2268" s="49"/>
      <c r="H2268" s="149">
        <v>1</v>
      </c>
      <c r="I2268" s="60" t="s">
        <v>31</v>
      </c>
      <c r="J2268" s="26">
        <v>1500000</v>
      </c>
      <c r="K2268" s="55">
        <f>J2268*H2268</f>
        <v>1500000</v>
      </c>
      <c r="L2268" s="42"/>
    </row>
    <row r="2269" spans="2:15" x14ac:dyDescent="0.35">
      <c r="B2269" s="86"/>
      <c r="C2269" s="89"/>
      <c r="D2269" s="89" t="s">
        <v>32</v>
      </c>
      <c r="E2269" s="140"/>
      <c r="F2269" s="124" t="s">
        <v>1278</v>
      </c>
      <c r="G2269" s="49"/>
      <c r="H2269" s="124">
        <v>1</v>
      </c>
      <c r="I2269" s="49" t="s">
        <v>31</v>
      </c>
      <c r="J2269" s="26">
        <v>5000000</v>
      </c>
      <c r="K2269" s="55">
        <f>J2269*H2269</f>
        <v>5000000</v>
      </c>
      <c r="L2269" s="42"/>
    </row>
    <row r="2270" spans="2:15" x14ac:dyDescent="0.35">
      <c r="B2270" s="150"/>
      <c r="C2270" s="87"/>
      <c r="D2270" s="130" t="s">
        <v>34</v>
      </c>
      <c r="E2270" s="89"/>
      <c r="F2270" s="124" t="s">
        <v>1279</v>
      </c>
      <c r="G2270" s="49"/>
      <c r="H2270" s="149">
        <v>1</v>
      </c>
      <c r="I2270" s="60" t="s">
        <v>31</v>
      </c>
      <c r="J2270" s="26">
        <v>7000000</v>
      </c>
      <c r="K2270" s="55">
        <f>J2270*H2270</f>
        <v>7000000</v>
      </c>
      <c r="L2270" s="42"/>
    </row>
    <row r="2271" spans="2:15" x14ac:dyDescent="0.35">
      <c r="B2271" s="148" t="s">
        <v>120</v>
      </c>
      <c r="C2271" s="87"/>
      <c r="D2271" s="62"/>
      <c r="E2271" s="67" t="s">
        <v>1257</v>
      </c>
      <c r="F2271" s="64"/>
      <c r="G2271" s="65"/>
      <c r="H2271" s="80"/>
      <c r="I2271" s="49"/>
      <c r="J2271" s="26"/>
      <c r="K2271" s="26"/>
      <c r="L2271" s="48"/>
    </row>
    <row r="2272" spans="2:15" x14ac:dyDescent="0.35">
      <c r="B2272" s="148"/>
      <c r="C2272" s="87" t="s">
        <v>87</v>
      </c>
      <c r="D2272" s="69"/>
      <c r="E2272" s="128"/>
      <c r="F2272" s="129" t="s">
        <v>88</v>
      </c>
      <c r="G2272" s="27"/>
      <c r="H2272" s="80"/>
      <c r="I2272" s="49"/>
      <c r="J2272" s="26"/>
      <c r="K2272" s="26"/>
      <c r="L2272" s="48"/>
    </row>
    <row r="2273" spans="2:13" x14ac:dyDescent="0.35">
      <c r="B2273" s="86"/>
      <c r="C2273" s="89"/>
      <c r="D2273" s="69" t="s">
        <v>29</v>
      </c>
      <c r="E2273" s="70"/>
      <c r="F2273" s="71" t="s">
        <v>228</v>
      </c>
      <c r="G2273" s="27"/>
      <c r="H2273" s="80"/>
      <c r="I2273" s="49"/>
      <c r="J2273" s="26"/>
      <c r="K2273" s="26"/>
      <c r="L2273" s="48"/>
    </row>
    <row r="2274" spans="2:13" x14ac:dyDescent="0.35">
      <c r="B2274" s="148"/>
      <c r="C2274" s="87"/>
      <c r="D2274" s="62"/>
      <c r="E2274" s="67"/>
      <c r="F2274" s="71" t="s">
        <v>90</v>
      </c>
      <c r="G2274" s="27" t="s">
        <v>1258</v>
      </c>
      <c r="H2274" s="80">
        <f>49.9*3.6*1.2</f>
        <v>215.56799999999998</v>
      </c>
      <c r="I2274" s="49" t="s">
        <v>91</v>
      </c>
      <c r="J2274" s="26">
        <v>28500</v>
      </c>
      <c r="K2274" s="26"/>
      <c r="L2274" s="48">
        <f>J2274*H2274</f>
        <v>6143687.9999999991</v>
      </c>
    </row>
    <row r="2275" spans="2:13" x14ac:dyDescent="0.35">
      <c r="B2275" s="150"/>
      <c r="C2275" s="89"/>
      <c r="D2275" s="69"/>
      <c r="E2275" s="70"/>
      <c r="F2275" s="71" t="s">
        <v>90</v>
      </c>
      <c r="G2275" s="27" t="s">
        <v>229</v>
      </c>
      <c r="H2275" s="80">
        <f>49.9*3.1*1.2</f>
        <v>185.62799999999999</v>
      </c>
      <c r="I2275" s="49" t="s">
        <v>91</v>
      </c>
      <c r="J2275" s="26">
        <v>28500</v>
      </c>
      <c r="K2275" s="26"/>
      <c r="L2275" s="48">
        <f>J2275*H2275</f>
        <v>5290398</v>
      </c>
    </row>
    <row r="2276" spans="2:13" x14ac:dyDescent="0.35">
      <c r="B2276" s="86"/>
      <c r="C2276" s="89"/>
      <c r="D2276" s="69"/>
      <c r="E2276" s="70"/>
      <c r="F2276" s="71"/>
      <c r="G2276" s="27"/>
      <c r="H2276" s="80"/>
      <c r="I2276" s="60"/>
      <c r="J2276" s="26"/>
      <c r="K2276" s="26"/>
      <c r="L2276" s="48"/>
    </row>
    <row r="2277" spans="2:13" x14ac:dyDescent="0.35">
      <c r="B2277" s="86"/>
      <c r="C2277" s="89"/>
      <c r="D2277" s="69"/>
      <c r="E2277" s="70"/>
      <c r="F2277" s="71"/>
      <c r="G2277" s="220" t="s">
        <v>1281</v>
      </c>
      <c r="H2277" s="218">
        <f>SUM(H2004:H2005,H1965:H2001,H1940:H1947,H1764:H1784,H1730:H1744,H1714:H1728,H1696:H1712,H1629:H1678,H1595:H1611,H1562:H1593,H1496:H1544,H1464:H1478,H1160:H1194,H1119:H1142,)</f>
        <v>239177.21599345966</v>
      </c>
      <c r="I2277" s="219" t="s">
        <v>1286</v>
      </c>
      <c r="J2277" s="26"/>
      <c r="K2277" s="26"/>
      <c r="L2277" s="48"/>
    </row>
    <row r="2278" spans="2:13" x14ac:dyDescent="0.35">
      <c r="B2278" s="86"/>
      <c r="C2278" s="89"/>
      <c r="D2278" s="69"/>
      <c r="E2278" s="70"/>
      <c r="F2278" s="71"/>
      <c r="G2278" s="220" t="s">
        <v>1282</v>
      </c>
      <c r="H2278" s="218">
        <f>SUM(H2274:H2275,H2100:H2103,H2099,H2104,H2067:H2076,H2078,H2048:H2051,H2042:H2044,H2040,H2031:H2038,H2010:H2013,H1043:H1053,H892:H897,H872:H874,H864:H870,H852:H862,H840:H850,H787:H792,H782:H785,H776:H780,H758:H774,H691:H740,H624:H673,H595:H606,H557:H593,H532:H539,H496:H530,H494,H490:H492,H423:H472,H377:H405,H356:H375,H289:H338,H250:H271,H222:H247,H155:H204,H88:H138,H61:H68)</f>
        <v>84756.237191142151</v>
      </c>
      <c r="I2278" s="219" t="s">
        <v>1286</v>
      </c>
      <c r="J2278" s="26"/>
      <c r="K2278" s="26"/>
      <c r="L2278" s="48"/>
    </row>
    <row r="2279" spans="2:13" x14ac:dyDescent="0.35">
      <c r="B2279" s="86"/>
      <c r="C2279" s="89"/>
      <c r="D2279" s="69"/>
      <c r="E2279" s="70"/>
      <c r="F2279" s="71"/>
      <c r="G2279" s="220" t="s">
        <v>1283</v>
      </c>
      <c r="H2279" s="218">
        <f>SUM(H825:H837,H794:H807,H495,H493,H376,H248)</f>
        <v>10803.58136</v>
      </c>
      <c r="I2279" s="219" t="s">
        <v>1286</v>
      </c>
      <c r="J2279" s="26"/>
      <c r="K2279" s="26"/>
      <c r="L2279" s="48"/>
    </row>
    <row r="2280" spans="2:13" x14ac:dyDescent="0.35">
      <c r="B2280" s="86"/>
      <c r="C2280" s="89"/>
      <c r="D2280" s="69"/>
      <c r="E2280" s="70"/>
      <c r="F2280" s="71"/>
      <c r="G2280" s="220" t="s">
        <v>1285</v>
      </c>
      <c r="H2280" s="218">
        <f>SUM(H1365:H1369,H1295:H1308,H1227:H1277,H1197:H1209,)</f>
        <v>17424.7392</v>
      </c>
      <c r="I2280" s="219" t="s">
        <v>1286</v>
      </c>
      <c r="J2280" s="26"/>
      <c r="K2280" s="26"/>
      <c r="L2280" s="48"/>
    </row>
    <row r="2281" spans="2:13" x14ac:dyDescent="0.35">
      <c r="B2281" s="86"/>
      <c r="C2281" s="89"/>
      <c r="D2281" s="69"/>
      <c r="E2281" s="70"/>
      <c r="F2281" s="71"/>
      <c r="G2281" s="220" t="s">
        <v>1284</v>
      </c>
      <c r="H2281" s="218">
        <f>H2280+H2279+H2278+H2277</f>
        <v>352161.77374460181</v>
      </c>
      <c r="I2281" s="219" t="s">
        <v>1286</v>
      </c>
      <c r="J2281" s="26"/>
      <c r="K2281" s="26"/>
      <c r="L2281" s="48"/>
    </row>
    <row r="2282" spans="2:13" x14ac:dyDescent="0.35">
      <c r="B2282" s="148"/>
      <c r="C2282" s="87"/>
      <c r="D2282" s="51"/>
      <c r="E2282" s="136"/>
      <c r="F2282" s="105"/>
      <c r="G2282" s="106"/>
      <c r="H2282" s="100"/>
      <c r="I2282" s="60"/>
      <c r="J2282" s="46"/>
      <c r="K2282" s="26"/>
      <c r="L2282" s="48"/>
    </row>
    <row r="2283" spans="2:13" x14ac:dyDescent="0.35">
      <c r="B2283" s="8"/>
      <c r="C2283" s="9"/>
      <c r="D2283" s="10"/>
      <c r="E2283" s="4"/>
      <c r="F2283" s="4"/>
      <c r="G2283" s="4"/>
      <c r="H2283" s="1"/>
      <c r="I2283" s="1"/>
      <c r="J2283" s="11" t="s">
        <v>8</v>
      </c>
      <c r="K2283" s="7">
        <f>SUM(K2231:K2282)</f>
        <v>80500000</v>
      </c>
      <c r="L2283" s="7">
        <f>SUM(L2231:L2282)</f>
        <v>55966284</v>
      </c>
    </row>
    <row r="2284" spans="2:13" x14ac:dyDescent="0.35">
      <c r="B2284" s="8"/>
      <c r="C2284" s="9"/>
      <c r="D2284" s="9"/>
      <c r="E2284" s="4"/>
      <c r="F2284" s="4"/>
      <c r="G2284" s="4"/>
      <c r="H2284" s="1"/>
      <c r="I2284" s="1"/>
      <c r="J2284" s="11" t="s">
        <v>1280</v>
      </c>
      <c r="K2284" s="217">
        <f>SUM(K2283,K2217,K2150,K2083,K2016,K1949,K1882,K1815,K1748,K1681,K1614,K1547,K1480,K1413,K1346,K1279,K1212,K1145,K1078,K1011,K944,K877,K810,K743,K676,K609,K542,K475,K408,K341,K274,K207,K140,K73)</f>
        <v>2011248220.4000001</v>
      </c>
      <c r="L2284" s="217">
        <f>SUM(L2283,L2217,L2150,L2083,L2016,L1949,L1882,L1815,L1748,L1681,L1614,L1547,L1480,L1413,L1346,L1279,L1212,L1145,L1078,L1011,L944,L877,L810,L743,L676,L609,L542,L475,L408,L341,L274,L207,L140,L73)</f>
        <v>10751696261.348051</v>
      </c>
      <c r="M2284" s="221">
        <f>L2284+K2284</f>
        <v>12762944481.748051</v>
      </c>
    </row>
    <row r="2285" spans="2:13" x14ac:dyDescent="0.35">
      <c r="B2285" s="8"/>
      <c r="C2285" s="9"/>
      <c r="D2285" s="9"/>
      <c r="E2285" s="4"/>
      <c r="F2285" s="4"/>
      <c r="G2285" s="4"/>
      <c r="H2285" s="1"/>
      <c r="I2285" s="1"/>
      <c r="J2285" s="11"/>
      <c r="K2285" s="32" t="s">
        <v>13</v>
      </c>
      <c r="L2285" s="33" t="s">
        <v>14</v>
      </c>
    </row>
    <row r="2286" spans="2:13" x14ac:dyDescent="0.35">
      <c r="B2286" s="3" t="s">
        <v>9</v>
      </c>
      <c r="C2286" s="4"/>
      <c r="D2286" s="4"/>
      <c r="E2286" s="4"/>
      <c r="F2286" s="4"/>
      <c r="G2286" s="4"/>
      <c r="H2286" s="1"/>
      <c r="I2286" s="1"/>
      <c r="J2286" s="12"/>
      <c r="K2286" s="12"/>
      <c r="L2286" s="13"/>
    </row>
    <row r="2287" spans="2:13" x14ac:dyDescent="0.35">
      <c r="B2287" s="34"/>
      <c r="C2287" s="1"/>
      <c r="D2287" s="1"/>
      <c r="E2287" s="35"/>
      <c r="F2287" s="35"/>
      <c r="G2287" s="35"/>
      <c r="H2287" s="1"/>
      <c r="I2287" s="1"/>
      <c r="J2287" s="1"/>
      <c r="K2287" s="1"/>
      <c r="L2287" s="17"/>
    </row>
    <row r="2288" spans="2:13" x14ac:dyDescent="0.35">
      <c r="B2288" s="25" t="s">
        <v>6</v>
      </c>
      <c r="C2288" s="24"/>
      <c r="D2288" s="24"/>
      <c r="E2288" s="23"/>
      <c r="F2288" s="23"/>
      <c r="G2288" s="5"/>
      <c r="K2288" s="227" t="s">
        <v>1292</v>
      </c>
      <c r="L2288" s="228"/>
    </row>
    <row r="2289" spans="2:12" x14ac:dyDescent="0.35">
      <c r="B2289" s="25">
        <v>1</v>
      </c>
      <c r="C2289" s="24"/>
      <c r="D2289" s="24"/>
      <c r="E2289" s="23" t="s">
        <v>7</v>
      </c>
      <c r="F2289" s="23"/>
      <c r="G2289" s="5"/>
      <c r="K2289" s="227" t="s">
        <v>18</v>
      </c>
      <c r="L2289" s="228"/>
    </row>
    <row r="2290" spans="2:12" x14ac:dyDescent="0.35">
      <c r="B2290" s="36"/>
      <c r="C2290" s="24"/>
      <c r="D2290" s="24"/>
      <c r="E2290" s="23"/>
      <c r="F2290" s="23"/>
      <c r="G2290" s="5"/>
      <c r="J2290" s="22"/>
      <c r="K2290" s="22"/>
      <c r="L2290" s="21"/>
    </row>
    <row r="2291" spans="2:12" x14ac:dyDescent="0.35">
      <c r="B2291" s="25"/>
      <c r="C2291" s="24"/>
      <c r="D2291" s="24"/>
      <c r="E2291" s="23"/>
      <c r="F2291" s="23"/>
      <c r="G2291" s="5"/>
      <c r="L2291" s="20"/>
    </row>
    <row r="2292" spans="2:12" x14ac:dyDescent="0.35">
      <c r="B2292" s="41"/>
      <c r="E2292" s="5"/>
      <c r="F2292" s="5"/>
      <c r="G2292" s="5"/>
      <c r="L2292" s="20"/>
    </row>
    <row r="2293" spans="2:12" x14ac:dyDescent="0.35">
      <c r="B2293" s="41"/>
      <c r="E2293" s="5"/>
      <c r="F2293" s="5"/>
      <c r="G2293" s="5"/>
      <c r="L2293" s="20"/>
    </row>
    <row r="2294" spans="2:12" x14ac:dyDescent="0.35">
      <c r="B2294" s="41"/>
      <c r="E2294" s="5"/>
      <c r="F2294" s="5"/>
      <c r="G2294" s="5"/>
      <c r="L2294" s="20"/>
    </row>
    <row r="2295" spans="2:12" x14ac:dyDescent="0.35">
      <c r="B2295" s="41"/>
      <c r="E2295" s="5"/>
      <c r="F2295" s="5"/>
      <c r="G2295" s="5"/>
      <c r="J2295" s="37"/>
      <c r="K2295" s="229" t="s">
        <v>26</v>
      </c>
      <c r="L2295" s="230"/>
    </row>
    <row r="2296" spans="2:12" x14ac:dyDescent="0.35">
      <c r="B2296" s="41"/>
      <c r="K2296" s="231" t="s">
        <v>27</v>
      </c>
      <c r="L2296" s="232"/>
    </row>
    <row r="2297" spans="2:12" x14ac:dyDescent="0.35">
      <c r="B2297" s="233"/>
      <c r="C2297" s="234"/>
      <c r="D2297" s="234"/>
      <c r="E2297" s="38"/>
      <c r="F2297" s="38"/>
      <c r="G2297" s="38"/>
      <c r="H2297" s="2"/>
      <c r="I2297" s="2"/>
      <c r="J2297" s="2"/>
      <c r="K2297" s="2"/>
      <c r="L2297" s="19"/>
    </row>
  </sheetData>
  <mergeCells count="177">
    <mergeCell ref="K2295:L2295"/>
    <mergeCell ref="K2296:L2296"/>
    <mergeCell ref="B2297:D2297"/>
    <mergeCell ref="K2222:L2222"/>
    <mergeCell ref="K2228:L2228"/>
    <mergeCell ref="K2229:L2229"/>
    <mergeCell ref="B2230:D2230"/>
    <mergeCell ref="K2288:L2288"/>
    <mergeCell ref="K2289:L2289"/>
    <mergeCell ref="K2154:L2154"/>
    <mergeCell ref="K2155:L2155"/>
    <mergeCell ref="K2161:L2161"/>
    <mergeCell ref="K2162:L2162"/>
    <mergeCell ref="B2163:D2163"/>
    <mergeCell ref="K2221:L2221"/>
    <mergeCell ref="B2029:D2029"/>
    <mergeCell ref="K2087:L2087"/>
    <mergeCell ref="K2088:L2088"/>
    <mergeCell ref="K2094:L2094"/>
    <mergeCell ref="K2095:L2095"/>
    <mergeCell ref="B2096:D2096"/>
    <mergeCell ref="K1961:L1961"/>
    <mergeCell ref="B1962:D1962"/>
    <mergeCell ref="K2020:L2020"/>
    <mergeCell ref="K2021:L2021"/>
    <mergeCell ref="K2027:L2027"/>
    <mergeCell ref="K2028:L2028"/>
    <mergeCell ref="K1893:L1893"/>
    <mergeCell ref="K1894:L1894"/>
    <mergeCell ref="B1895:D1895"/>
    <mergeCell ref="K1953:L1953"/>
    <mergeCell ref="K1954:L1954"/>
    <mergeCell ref="K1960:L1960"/>
    <mergeCell ref="K1820:L1820"/>
    <mergeCell ref="K1826:L1826"/>
    <mergeCell ref="K1827:L1827"/>
    <mergeCell ref="B1828:D1828"/>
    <mergeCell ref="K1886:L1886"/>
    <mergeCell ref="K1887:L1887"/>
    <mergeCell ref="K1752:L1752"/>
    <mergeCell ref="K1753:L1753"/>
    <mergeCell ref="K1759:L1759"/>
    <mergeCell ref="K1760:L1760"/>
    <mergeCell ref="B1761:D1761"/>
    <mergeCell ref="K1819:L1819"/>
    <mergeCell ref="B1627:D1627"/>
    <mergeCell ref="K1685:L1685"/>
    <mergeCell ref="K1686:L1686"/>
    <mergeCell ref="K1692:L1692"/>
    <mergeCell ref="K1693:L1693"/>
    <mergeCell ref="B1694:D1694"/>
    <mergeCell ref="K1559:L1559"/>
    <mergeCell ref="B1560:D1560"/>
    <mergeCell ref="K1618:L1618"/>
    <mergeCell ref="K1619:L1619"/>
    <mergeCell ref="K1625:L1625"/>
    <mergeCell ref="K1626:L1626"/>
    <mergeCell ref="K1491:L1491"/>
    <mergeCell ref="K1492:L1492"/>
    <mergeCell ref="B1493:D1493"/>
    <mergeCell ref="K1551:L1551"/>
    <mergeCell ref="K1552:L1552"/>
    <mergeCell ref="K1558:L1558"/>
    <mergeCell ref="K1418:L1418"/>
    <mergeCell ref="K1424:L1424"/>
    <mergeCell ref="K1425:L1425"/>
    <mergeCell ref="B1426:D1426"/>
    <mergeCell ref="K1484:L1484"/>
    <mergeCell ref="K1485:L1485"/>
    <mergeCell ref="K1350:L1350"/>
    <mergeCell ref="K1351:L1351"/>
    <mergeCell ref="K1357:L1357"/>
    <mergeCell ref="K1358:L1358"/>
    <mergeCell ref="B1359:D1359"/>
    <mergeCell ref="K1417:L1417"/>
    <mergeCell ref="B1225:D1225"/>
    <mergeCell ref="K1283:L1283"/>
    <mergeCell ref="K1284:L1284"/>
    <mergeCell ref="K1290:L1290"/>
    <mergeCell ref="K1291:L1291"/>
    <mergeCell ref="B1292:D1292"/>
    <mergeCell ref="K1157:L1157"/>
    <mergeCell ref="B1158:D1158"/>
    <mergeCell ref="K1216:L1216"/>
    <mergeCell ref="K1217:L1217"/>
    <mergeCell ref="K1223:L1223"/>
    <mergeCell ref="K1224:L1224"/>
    <mergeCell ref="K1089:L1089"/>
    <mergeCell ref="K1090:L1090"/>
    <mergeCell ref="B1091:D1091"/>
    <mergeCell ref="K1149:L1149"/>
    <mergeCell ref="K1150:L1150"/>
    <mergeCell ref="K1156:L1156"/>
    <mergeCell ref="K1016:L1016"/>
    <mergeCell ref="K1022:L1022"/>
    <mergeCell ref="K1023:L1023"/>
    <mergeCell ref="B1024:D1024"/>
    <mergeCell ref="K1082:L1082"/>
    <mergeCell ref="K1083:L1083"/>
    <mergeCell ref="K948:L948"/>
    <mergeCell ref="K949:L949"/>
    <mergeCell ref="K955:L955"/>
    <mergeCell ref="K956:L956"/>
    <mergeCell ref="B957:D957"/>
    <mergeCell ref="K1015:L1015"/>
    <mergeCell ref="B823:D823"/>
    <mergeCell ref="K881:L881"/>
    <mergeCell ref="K882:L882"/>
    <mergeCell ref="K888:L888"/>
    <mergeCell ref="K889:L889"/>
    <mergeCell ref="B890:D890"/>
    <mergeCell ref="K755:L755"/>
    <mergeCell ref="B756:D756"/>
    <mergeCell ref="K814:L814"/>
    <mergeCell ref="K815:L815"/>
    <mergeCell ref="K821:L821"/>
    <mergeCell ref="K822:L822"/>
    <mergeCell ref="K687:L687"/>
    <mergeCell ref="K688:L688"/>
    <mergeCell ref="B689:D689"/>
    <mergeCell ref="K747:L747"/>
    <mergeCell ref="K748:L748"/>
    <mergeCell ref="K754:L754"/>
    <mergeCell ref="K614:L614"/>
    <mergeCell ref="K620:L620"/>
    <mergeCell ref="K621:L621"/>
    <mergeCell ref="B622:D622"/>
    <mergeCell ref="K680:L680"/>
    <mergeCell ref="K681:L681"/>
    <mergeCell ref="K546:L546"/>
    <mergeCell ref="K547:L547"/>
    <mergeCell ref="K553:L553"/>
    <mergeCell ref="K554:L554"/>
    <mergeCell ref="B555:D555"/>
    <mergeCell ref="K613:L613"/>
    <mergeCell ref="B421:D421"/>
    <mergeCell ref="K479:L479"/>
    <mergeCell ref="K480:L480"/>
    <mergeCell ref="K486:L486"/>
    <mergeCell ref="K487:L487"/>
    <mergeCell ref="B488:D488"/>
    <mergeCell ref="K353:L353"/>
    <mergeCell ref="B354:D354"/>
    <mergeCell ref="K412:L412"/>
    <mergeCell ref="K413:L413"/>
    <mergeCell ref="K419:L419"/>
    <mergeCell ref="K420:L420"/>
    <mergeCell ref="K285:L285"/>
    <mergeCell ref="K286:L286"/>
    <mergeCell ref="B287:D287"/>
    <mergeCell ref="K345:L345"/>
    <mergeCell ref="K346:L346"/>
    <mergeCell ref="K352:L352"/>
    <mergeCell ref="K212:L212"/>
    <mergeCell ref="K218:L218"/>
    <mergeCell ref="K219:L219"/>
    <mergeCell ref="B220:D220"/>
    <mergeCell ref="K278:L278"/>
    <mergeCell ref="K279:L279"/>
    <mergeCell ref="K144:L144"/>
    <mergeCell ref="K145:L145"/>
    <mergeCell ref="K151:L151"/>
    <mergeCell ref="K152:L152"/>
    <mergeCell ref="B153:D153"/>
    <mergeCell ref="K211:L211"/>
    <mergeCell ref="L18:L19"/>
    <mergeCell ref="K77:L77"/>
    <mergeCell ref="K78:L78"/>
    <mergeCell ref="K84:L84"/>
    <mergeCell ref="K85:L85"/>
    <mergeCell ref="B86:D86"/>
    <mergeCell ref="F15:G15"/>
    <mergeCell ref="B18:D19"/>
    <mergeCell ref="E18:G19"/>
    <mergeCell ref="H18:I19"/>
    <mergeCell ref="J18:J19"/>
    <mergeCell ref="K18:K19"/>
  </mergeCells>
  <conditionalFormatting sqref="E838">
    <cfRule type="expression" dxfId="83" priority="88">
      <formula>AND((ISBLANK($B838)=FALSE),(ISBLANK($E838)=FALSE))</formula>
    </cfRule>
  </conditionalFormatting>
  <conditionalFormatting sqref="E900:E901">
    <cfRule type="expression" dxfId="82" priority="87">
      <formula>AND((ISBLANK($B900)=FALSE),(ISBLANK($E900)=FALSE))</formula>
    </cfRule>
  </conditionalFormatting>
  <conditionalFormatting sqref="E908">
    <cfRule type="expression" dxfId="81" priority="86">
      <formula>AND((ISBLANK($B908)=FALSE),(ISBLANK($E908)=FALSE))</formula>
    </cfRule>
  </conditionalFormatting>
  <conditionalFormatting sqref="E914">
    <cfRule type="expression" dxfId="80" priority="85">
      <formula>AND((ISBLANK($B914)=FALSE),(ISBLANK($E914)=FALSE))</formula>
    </cfRule>
  </conditionalFormatting>
  <conditionalFormatting sqref="E922">
    <cfRule type="expression" dxfId="79" priority="84">
      <formula>AND((ISBLANK($B922)=FALSE),(ISBLANK($E922)=FALSE))</formula>
    </cfRule>
  </conditionalFormatting>
  <conditionalFormatting sqref="E930">
    <cfRule type="expression" dxfId="78" priority="83">
      <formula>AND((ISBLANK($B930)=FALSE),(ISBLANK($E930)=FALSE))</formula>
    </cfRule>
  </conditionalFormatting>
  <conditionalFormatting sqref="E938">
    <cfRule type="expression" dxfId="77" priority="82">
      <formula>AND((ISBLANK($B938)=FALSE),(ISBLANK($E938)=FALSE))</formula>
    </cfRule>
  </conditionalFormatting>
  <conditionalFormatting sqref="E963">
    <cfRule type="expression" dxfId="76" priority="81">
      <formula>AND((ISBLANK($B963)=FALSE),(ISBLANK($E963)=FALSE))</formula>
    </cfRule>
  </conditionalFormatting>
  <conditionalFormatting sqref="E971">
    <cfRule type="expression" dxfId="75" priority="80">
      <formula>AND((ISBLANK($B971)=FALSE),(ISBLANK($E971)=FALSE))</formula>
    </cfRule>
  </conditionalFormatting>
  <conditionalFormatting sqref="E979">
    <cfRule type="expression" dxfId="74" priority="78">
      <formula>AND((ISBLANK($B979)=FALSE),(ISBLANK($E979)=FALSE))</formula>
    </cfRule>
  </conditionalFormatting>
  <conditionalFormatting sqref="E984">
    <cfRule type="expression" dxfId="73" priority="77">
      <formula>AND((ISBLANK($B984)=FALSE),(ISBLANK($E984)=FALSE))</formula>
    </cfRule>
  </conditionalFormatting>
  <conditionalFormatting sqref="E989">
    <cfRule type="expression" dxfId="72" priority="79">
      <formula>AND((ISBLANK($B989)=FALSE),(ISBLANK($E989)=FALSE))</formula>
    </cfRule>
  </conditionalFormatting>
  <conditionalFormatting sqref="E994">
    <cfRule type="expression" dxfId="71" priority="76">
      <formula>AND((ISBLANK($B994)=FALSE),(ISBLANK($E994)=FALSE))</formula>
    </cfRule>
  </conditionalFormatting>
  <conditionalFormatting sqref="E1000">
    <cfRule type="expression" dxfId="70" priority="75">
      <formula>AND((ISBLANK($B1000)=FALSE),(ISBLANK($E1000)=FALSE))</formula>
    </cfRule>
  </conditionalFormatting>
  <conditionalFormatting sqref="E1005">
    <cfRule type="expression" dxfId="69" priority="74">
      <formula>AND((ISBLANK($B1005)=FALSE),(ISBLANK($E1005)=FALSE))</formula>
    </cfRule>
  </conditionalFormatting>
  <conditionalFormatting sqref="E1028">
    <cfRule type="expression" dxfId="68" priority="71">
      <formula>AND((ISBLANK($B1028)=FALSE),(ISBLANK($E1028)=FALSE))</formula>
    </cfRule>
  </conditionalFormatting>
  <conditionalFormatting sqref="E1033">
    <cfRule type="expression" dxfId="67" priority="72">
      <formula>AND((ISBLANK($B1033)=FALSE),(ISBLANK($E1033)=FALSE))</formula>
    </cfRule>
  </conditionalFormatting>
  <conditionalFormatting sqref="E1042">
    <cfRule type="expression" dxfId="66" priority="73">
      <formula>AND((ISBLANK($B1042)=FALSE),(ISBLANK($E1042)=FALSE))</formula>
    </cfRule>
  </conditionalFormatting>
  <conditionalFormatting sqref="E1108:E1109">
    <cfRule type="expression" dxfId="65" priority="69">
      <formula>AND((ISBLANK($B1108)=FALSE),(ISBLANK($E1108)=FALSE))</formula>
    </cfRule>
  </conditionalFormatting>
  <conditionalFormatting sqref="E1114">
    <cfRule type="expression" dxfId="64" priority="70">
      <formula>AND((ISBLANK($B1114)=FALSE),(ISBLANK($E1114)=FALSE))</formula>
    </cfRule>
  </conditionalFormatting>
  <conditionalFormatting sqref="E1371:E1372">
    <cfRule type="expression" dxfId="63" priority="68">
      <formula>AND((ISBLANK($B1371)=FALSE),(ISBLANK($E1371)=FALSE))</formula>
    </cfRule>
  </conditionalFormatting>
  <conditionalFormatting sqref="E1374">
    <cfRule type="expression" dxfId="62" priority="67">
      <formula>AND((ISBLANK($B1374)=FALSE),(ISBLANK($E1374)=FALSE))</formula>
    </cfRule>
  </conditionalFormatting>
  <conditionalFormatting sqref="E1376">
    <cfRule type="expression" dxfId="61" priority="66">
      <formula>AND((ISBLANK($B1376)=FALSE),(ISBLANK($E1376)=FALSE))</formula>
    </cfRule>
  </conditionalFormatting>
  <conditionalFormatting sqref="E1378">
    <cfRule type="expression" dxfId="60" priority="65">
      <formula>AND((ISBLANK($B1378)=FALSE),(ISBLANK($E1378)=FALSE))</formula>
    </cfRule>
  </conditionalFormatting>
  <conditionalFormatting sqref="E1380">
    <cfRule type="expression" dxfId="59" priority="64">
      <formula>AND((ISBLANK($B1380)=FALSE),(ISBLANK($E1380)=FALSE))</formula>
    </cfRule>
  </conditionalFormatting>
  <conditionalFormatting sqref="E1382">
    <cfRule type="expression" dxfId="58" priority="63">
      <formula>AND((ISBLANK($B1382)=FALSE),(ISBLANK($E1382)=FALSE))</formula>
    </cfRule>
  </conditionalFormatting>
  <conditionalFormatting sqref="E1384">
    <cfRule type="expression" dxfId="57" priority="62">
      <formula>AND((ISBLANK($B1384)=FALSE),(ISBLANK($E1384)=FALSE))</formula>
    </cfRule>
  </conditionalFormatting>
  <conditionalFormatting sqref="E1386">
    <cfRule type="expression" dxfId="56" priority="61">
      <formula>AND((ISBLANK($B1386)=FALSE),(ISBLANK($E1386)=FALSE))</formula>
    </cfRule>
  </conditionalFormatting>
  <conditionalFormatting sqref="E1388">
    <cfRule type="expression" dxfId="55" priority="60">
      <formula>AND((ISBLANK($B1388)=FALSE),(ISBLANK($E1388)=FALSE))</formula>
    </cfRule>
  </conditionalFormatting>
  <conditionalFormatting sqref="E1390">
    <cfRule type="expression" dxfId="54" priority="58">
      <formula>AND((ISBLANK($B1390)=FALSE),(ISBLANK($E1390)=FALSE))</formula>
    </cfRule>
  </conditionalFormatting>
  <conditionalFormatting sqref="E1392">
    <cfRule type="expression" dxfId="53" priority="57">
      <formula>AND((ISBLANK($B1392)=FALSE),(ISBLANK($E1392)=FALSE))</formula>
    </cfRule>
  </conditionalFormatting>
  <conditionalFormatting sqref="E1394">
    <cfRule type="expression" dxfId="52" priority="56">
      <formula>AND((ISBLANK($B1394)=FALSE),(ISBLANK($E1394)=FALSE))</formula>
    </cfRule>
  </conditionalFormatting>
  <conditionalFormatting sqref="E1396">
    <cfRule type="expression" dxfId="51" priority="55">
      <formula>AND((ISBLANK($B1396)=FALSE),(ISBLANK($E1396)=FALSE))</formula>
    </cfRule>
  </conditionalFormatting>
  <conditionalFormatting sqref="E1398">
    <cfRule type="expression" dxfId="50" priority="54">
      <formula>AND((ISBLANK($B1398)=FALSE),(ISBLANK($E1398)=FALSE))</formula>
    </cfRule>
  </conditionalFormatting>
  <conditionalFormatting sqref="E1400">
    <cfRule type="expression" dxfId="49" priority="53">
      <formula>AND((ISBLANK($B1400)=FALSE),(ISBLANK($E1400)=FALSE))</formula>
    </cfRule>
  </conditionalFormatting>
  <conditionalFormatting sqref="E1402">
    <cfRule type="expression" dxfId="48" priority="52">
      <formula>AND((ISBLANK($B1402)=FALSE),(ISBLANK($E1402)=FALSE))</formula>
    </cfRule>
  </conditionalFormatting>
  <conditionalFormatting sqref="E1404">
    <cfRule type="expression" dxfId="47" priority="51">
      <formula>AND((ISBLANK($B1404)=FALSE),(ISBLANK($E1404)=FALSE))</formula>
    </cfRule>
  </conditionalFormatting>
  <conditionalFormatting sqref="E1406">
    <cfRule type="expression" dxfId="46" priority="50">
      <formula>AND((ISBLANK($B1406)=FALSE),(ISBLANK($E1406)=FALSE))</formula>
    </cfRule>
  </conditionalFormatting>
  <conditionalFormatting sqref="E1408">
    <cfRule type="expression" dxfId="45" priority="59">
      <formula>AND((ISBLANK($B1408)=FALSE),(ISBLANK($E1408)=FALSE))</formula>
    </cfRule>
  </conditionalFormatting>
  <conditionalFormatting sqref="E1428">
    <cfRule type="expression" dxfId="44" priority="49">
      <formula>AND((ISBLANK($B1428)=FALSE),(ISBLANK($E1428)=FALSE))</formula>
    </cfRule>
  </conditionalFormatting>
  <conditionalFormatting sqref="E1430">
    <cfRule type="expression" dxfId="43" priority="48">
      <formula>AND((ISBLANK($B1430)=FALSE),(ISBLANK($E1430)=FALSE))</formula>
    </cfRule>
  </conditionalFormatting>
  <conditionalFormatting sqref="E1432">
    <cfRule type="expression" dxfId="42" priority="47">
      <formula>AND((ISBLANK($B1432)=FALSE),(ISBLANK($E1432)=FALSE))</formula>
    </cfRule>
  </conditionalFormatting>
  <conditionalFormatting sqref="E1434">
    <cfRule type="expression" dxfId="41" priority="46">
      <formula>AND((ISBLANK($B1434)=FALSE),(ISBLANK($E1434)=FALSE))</formula>
    </cfRule>
  </conditionalFormatting>
  <conditionalFormatting sqref="E1436">
    <cfRule type="expression" dxfId="40" priority="45">
      <formula>AND((ISBLANK($B1436)=FALSE),(ISBLANK($E1436)=FALSE))</formula>
    </cfRule>
  </conditionalFormatting>
  <conditionalFormatting sqref="E1438">
    <cfRule type="expression" dxfId="39" priority="44">
      <formula>AND((ISBLANK($B1438)=FALSE),(ISBLANK($E1438)=FALSE))</formula>
    </cfRule>
  </conditionalFormatting>
  <conditionalFormatting sqref="E1440">
    <cfRule type="expression" dxfId="38" priority="43">
      <formula>AND((ISBLANK($B1440)=FALSE),(ISBLANK($E1440)=FALSE))</formula>
    </cfRule>
  </conditionalFormatting>
  <conditionalFormatting sqref="E1442">
    <cfRule type="expression" dxfId="37" priority="42">
      <formula>AND((ISBLANK($B1442)=FALSE),(ISBLANK($E1442)=FALSE))</formula>
    </cfRule>
  </conditionalFormatting>
  <conditionalFormatting sqref="E1445">
    <cfRule type="expression" dxfId="36" priority="41">
      <formula>AND((ISBLANK($B1445)=FALSE),(ISBLANK($E1445)=FALSE))</formula>
    </cfRule>
  </conditionalFormatting>
  <conditionalFormatting sqref="E1450:E1453 E1456:E1457 E1459">
    <cfRule type="expression" dxfId="35" priority="40">
      <formula>AND((ISBLANK($B1450)=FALSE),(ISBLANK($E1450)=FALSE))</formula>
    </cfRule>
  </conditionalFormatting>
  <conditionalFormatting sqref="E1788:E1790">
    <cfRule type="expression" dxfId="34" priority="39">
      <formula>AND((ISBLANK(#REF!)=FALSE),(ISBLANK($E1788)=FALSE))</formula>
    </cfRule>
  </conditionalFormatting>
  <conditionalFormatting sqref="E1794:E1795">
    <cfRule type="expression" dxfId="33" priority="38">
      <formula>AND((ISBLANK(#REF!)=FALSE),(ISBLANK($E1794)=FALSE))</formula>
    </cfRule>
  </conditionalFormatting>
  <conditionalFormatting sqref="E1799:E1800">
    <cfRule type="expression" dxfId="32" priority="37">
      <formula>AND((ISBLANK(#REF!)=FALSE),(ISBLANK($E1799)=FALSE))</formula>
    </cfRule>
  </conditionalFormatting>
  <conditionalFormatting sqref="E1804:E1805">
    <cfRule type="expression" dxfId="31" priority="36">
      <formula>AND((ISBLANK(#REF!)=FALSE),(ISBLANK($E1804)=FALSE))</formula>
    </cfRule>
  </conditionalFormatting>
  <conditionalFormatting sqref="E1809:E1810">
    <cfRule type="expression" dxfId="30" priority="35">
      <formula>AND((ISBLANK(#REF!)=FALSE),(ISBLANK($E1809)=FALSE))</formula>
    </cfRule>
  </conditionalFormatting>
  <conditionalFormatting sqref="E1830:E1831">
    <cfRule type="expression" dxfId="29" priority="26">
      <formula>AND((ISBLANK(#REF!)=FALSE),(ISBLANK($E1830)=FALSE))</formula>
    </cfRule>
  </conditionalFormatting>
  <conditionalFormatting sqref="E1835:E1836">
    <cfRule type="expression" dxfId="28" priority="25">
      <formula>AND((ISBLANK(#REF!)=FALSE),(ISBLANK($E1835)=FALSE))</formula>
    </cfRule>
  </conditionalFormatting>
  <conditionalFormatting sqref="E1840:E1841">
    <cfRule type="expression" dxfId="27" priority="24">
      <formula>AND((ISBLANK(#REF!)=FALSE),(ISBLANK($E1840)=FALSE))</formula>
    </cfRule>
  </conditionalFormatting>
  <conditionalFormatting sqref="E1845:E1846">
    <cfRule type="expression" dxfId="26" priority="23">
      <formula>AND((ISBLANK(#REF!)=FALSE),(ISBLANK($E1845)=FALSE))</formula>
    </cfRule>
  </conditionalFormatting>
  <conditionalFormatting sqref="E1850:E1851 E1855:E1856">
    <cfRule type="expression" dxfId="25" priority="30">
      <formula>AND((ISBLANK(#REF!)=FALSE),(ISBLANK($E1850)=FALSE))</formula>
    </cfRule>
  </conditionalFormatting>
  <conditionalFormatting sqref="E1860:E1861">
    <cfRule type="expression" dxfId="24" priority="29">
      <formula>AND((ISBLANK(#REF!)=FALSE),(ISBLANK($E1860)=FALSE))</formula>
    </cfRule>
  </conditionalFormatting>
  <conditionalFormatting sqref="E1865:E1866">
    <cfRule type="expression" dxfId="23" priority="28">
      <formula>AND((ISBLANK(#REF!)=FALSE),(ISBLANK($E1865)=FALSE))</formula>
    </cfRule>
  </conditionalFormatting>
  <conditionalFormatting sqref="E1870:E1871">
    <cfRule type="expression" dxfId="22" priority="27">
      <formula>AND((ISBLANK(#REF!)=FALSE),(ISBLANK($E1870)=FALSE))</formula>
    </cfRule>
  </conditionalFormatting>
  <conditionalFormatting sqref="E1875:E1876">
    <cfRule type="expression" dxfId="21" priority="22">
      <formula>AND((ISBLANK(#REF!)=FALSE),(ISBLANK($E1875)=FALSE))</formula>
    </cfRule>
  </conditionalFormatting>
  <conditionalFormatting sqref="E1897:E1898">
    <cfRule type="expression" dxfId="20" priority="20">
      <formula>AND((ISBLANK(#REF!)=FALSE),(ISBLANK($E1897)=FALSE))</formula>
    </cfRule>
  </conditionalFormatting>
  <conditionalFormatting sqref="E1903:E1904">
    <cfRule type="expression" dxfId="19" priority="19">
      <formula>AND((ISBLANK(#REF!)=FALSE),(ISBLANK($E1903)=FALSE))</formula>
    </cfRule>
  </conditionalFormatting>
  <conditionalFormatting sqref="E1909:E1910">
    <cfRule type="expression" dxfId="18" priority="18">
      <formula>AND((ISBLANK(#REF!)=FALSE),(ISBLANK($E1909)=FALSE))</formula>
    </cfRule>
  </conditionalFormatting>
  <conditionalFormatting sqref="E1915:E1916">
    <cfRule type="expression" dxfId="17" priority="17">
      <formula>AND((ISBLANK(#REF!)=FALSE),(ISBLANK($E1915)=FALSE))</formula>
    </cfRule>
  </conditionalFormatting>
  <conditionalFormatting sqref="E1921:E1922">
    <cfRule type="expression" dxfId="16" priority="16">
      <formula>AND((ISBLANK(#REF!)=FALSE),(ISBLANK($E1921)=FALSE))</formula>
    </cfRule>
  </conditionalFormatting>
  <conditionalFormatting sqref="E1927:E1928">
    <cfRule type="expression" dxfId="15" priority="21">
      <formula>AND((ISBLANK(#REF!)=FALSE),(ISBLANK($E1927)=FALSE))</formula>
    </cfRule>
  </conditionalFormatting>
  <conditionalFormatting sqref="E2039:E2042">
    <cfRule type="expression" dxfId="14" priority="14">
      <formula>AND((ISBLANK($B2039)=FALSE),(ISBLANK($E2039)=FALSE))</formula>
    </cfRule>
  </conditionalFormatting>
  <conditionalFormatting sqref="E2045:E2046">
    <cfRule type="expression" dxfId="13" priority="15">
      <formula>AND((ISBLANK($B2045)=FALSE),(ISBLANK($E2045)=FALSE))</formula>
    </cfRule>
  </conditionalFormatting>
  <conditionalFormatting sqref="E2050">
    <cfRule type="expression" dxfId="12" priority="13">
      <formula>AND((ISBLANK($B2050)=FALSE),(ISBLANK($E2050)=FALSE))</formula>
    </cfRule>
  </conditionalFormatting>
  <conditionalFormatting sqref="E2110">
    <cfRule type="expression" dxfId="11" priority="12">
      <formula>AND((ISBLANK($B2118)=FALSE),(ISBLANK($E2110)=FALSE))</formula>
    </cfRule>
  </conditionalFormatting>
  <conditionalFormatting sqref="E2120:E2122">
    <cfRule type="expression" dxfId="10" priority="11">
      <formula>AND((ISBLANK($B2120)=FALSE),(ISBLANK($E2120)=FALSE))</formula>
    </cfRule>
  </conditionalFormatting>
  <conditionalFormatting sqref="E2129:E2130">
    <cfRule type="expression" dxfId="9" priority="10">
      <formula>AND((ISBLANK($B2129)=FALSE),(ISBLANK($E2129)=FALSE))</formula>
    </cfRule>
  </conditionalFormatting>
  <conditionalFormatting sqref="E2140:E2142">
    <cfRule type="expression" dxfId="8" priority="9">
      <formula>AND((ISBLANK($B2140)=FALSE),(ISBLANK($E2140)=FALSE))</formula>
    </cfRule>
  </conditionalFormatting>
  <conditionalFormatting sqref="E2166:E2167">
    <cfRule type="expression" dxfId="7" priority="7">
      <formula>AND((ISBLANK($B2166)=FALSE),(ISBLANK($E2166)=FALSE))</formula>
    </cfRule>
  </conditionalFormatting>
  <conditionalFormatting sqref="E2177:E2179">
    <cfRule type="expression" dxfId="6" priority="6">
      <formula>AND((ISBLANK($B2177)=FALSE),(ISBLANK($E2177)=FALSE))</formula>
    </cfRule>
  </conditionalFormatting>
  <conditionalFormatting sqref="E2186:E2187">
    <cfRule type="expression" dxfId="5" priority="5">
      <formula>AND((ISBLANK($B2186)=FALSE),(ISBLANK($E2186)=FALSE))</formula>
    </cfRule>
  </conditionalFormatting>
  <conditionalFormatting sqref="E2189">
    <cfRule type="expression" dxfId="4" priority="2">
      <formula>AND((ISBLANK($B2189)=FALSE),(ISBLANK($E2189)=FALSE))</formula>
    </cfRule>
  </conditionalFormatting>
  <conditionalFormatting sqref="E2192">
    <cfRule type="expression" dxfId="3" priority="8">
      <formula>AND((ISBLANK(#REF!)=FALSE),(ISBLANK($E2192)=FALSE))</formula>
    </cfRule>
  </conditionalFormatting>
  <conditionalFormatting sqref="E2195:E2197">
    <cfRule type="expression" dxfId="2" priority="4">
      <formula>AND((ISBLANK($B2195)=FALSE),(ISBLANK($E2195)=FALSE))</formula>
    </cfRule>
  </conditionalFormatting>
  <conditionalFormatting sqref="E2204:E2206">
    <cfRule type="expression" dxfId="1" priority="3">
      <formula>AND((ISBLANK($B2204)=FALSE),(ISBLANK($E2204)=FALSE))</formula>
    </cfRule>
  </conditionalFormatting>
  <conditionalFormatting sqref="E2212:E2213">
    <cfRule type="expression" dxfId="0" priority="1">
      <formula>AND((ISBLANK(#REF!)=FALSE),(ISBLANK($E2212)=FALSE))</formula>
    </cfRule>
  </conditionalFormatting>
  <printOptions horizontalCentered="1"/>
  <pageMargins left="0.80870078740157503" right="0.39370078740157499" top="0.39370078740157499" bottom="0.39370078740157499" header="0.31496062992126" footer="0.31496062992126"/>
  <pageSetup scale="55" fitToHeight="0" orientation="portrait" r:id="rId1"/>
  <headerFooter>
    <oddFooter>&amp;LMKT-FM-002/Rev.01/18 Des 15/&amp;K00B050Green&amp;RPage &amp;P of &amp;N</oddFooter>
  </headerFooter>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1</vt:i4>
      </vt:variant>
      <vt:variant>
        <vt:lpstr>Named Ranges</vt:lpstr>
      </vt:variant>
      <vt:variant>
        <vt:i4>2</vt:i4>
      </vt:variant>
    </vt:vector>
  </HeadingPairs>
  <TitlesOfParts>
    <vt:vector size="3" baseType="lpstr">
      <vt:lpstr>Rincian Biaya rev.02</vt:lpstr>
      <vt:lpstr>'Rincian Biaya rev.02'!Print_Area</vt:lpstr>
      <vt:lpstr>'Rincian Biaya rev.02'!Print_Titles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wimba prambada</dc:creator>
  <cp:lastModifiedBy>sigit hartono</cp:lastModifiedBy>
  <cp:lastPrinted>2025-03-03T01:46:50Z</cp:lastPrinted>
  <dcterms:created xsi:type="dcterms:W3CDTF">2015-07-30T04:54:41Z</dcterms:created>
  <dcterms:modified xsi:type="dcterms:W3CDTF">2025-12-23T07:48:40Z</dcterms:modified>
</cp:coreProperties>
</file>