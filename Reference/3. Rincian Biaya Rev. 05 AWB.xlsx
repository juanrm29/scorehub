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:\Shared drives\HO-A.1 MANAGEMENT REPRESENTATIF\TUGAS\MARKETING JUAN\"/>
    </mc:Choice>
  </mc:AlternateContent>
  <xr:revisionPtr revIDLastSave="0" documentId="13_ncr:1_{92FE0A10-0986-4ECC-8F79-8B85927384E2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incian Biaya rev.05" sheetId="52" r:id="rId1"/>
  </sheets>
  <definedNames>
    <definedName name="_xlnm.Print_Area" localSheetId="0">'Rincian Biaya rev.05'!$B$2:$L$754</definedName>
    <definedName name="_xlnm.Print_Titles" localSheetId="0">'Rincian Biaya rev.05'!$2:$19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718" i="52" l="1"/>
  <c r="K717" i="52"/>
  <c r="H716" i="52"/>
  <c r="H715" i="52"/>
  <c r="H714" i="52"/>
  <c r="H713" i="52"/>
  <c r="H712" i="52"/>
  <c r="L709" i="52"/>
  <c r="L708" i="52"/>
  <c r="L707" i="52"/>
  <c r="L706" i="52"/>
  <c r="L705" i="52"/>
  <c r="L704" i="52"/>
  <c r="K703" i="52"/>
  <c r="K740" i="52"/>
  <c r="L698" i="52"/>
  <c r="L697" i="52"/>
  <c r="L696" i="52"/>
  <c r="L695" i="52"/>
  <c r="L694" i="52"/>
  <c r="L693" i="52"/>
  <c r="L670" i="52"/>
  <c r="L666" i="52"/>
  <c r="L665" i="52"/>
  <c r="L675" i="52" s="1"/>
  <c r="L664" i="52"/>
  <c r="K659" i="52"/>
  <c r="K658" i="52"/>
  <c r="K657" i="52"/>
  <c r="K655" i="52"/>
  <c r="H654" i="52"/>
  <c r="H653" i="52"/>
  <c r="H652" i="52"/>
  <c r="H651" i="52"/>
  <c r="H649" i="52"/>
  <c r="H648" i="52"/>
  <c r="K596" i="52"/>
  <c r="K594" i="52"/>
  <c r="K591" i="52"/>
  <c r="K588" i="52"/>
  <c r="K585" i="52"/>
  <c r="K583" i="52"/>
  <c r="K580" i="52"/>
  <c r="K575" i="52"/>
  <c r="K572" i="52"/>
  <c r="K568" i="52"/>
  <c r="L566" i="52"/>
  <c r="L608" i="52" s="1"/>
  <c r="H563" i="52"/>
  <c r="H524" i="52"/>
  <c r="K509" i="52"/>
  <c r="K508" i="52"/>
  <c r="K507" i="52"/>
  <c r="K506" i="52"/>
  <c r="H495" i="52"/>
  <c r="K489" i="52"/>
  <c r="K471" i="52"/>
  <c r="K466" i="52"/>
  <c r="L463" i="52"/>
  <c r="L462" i="52"/>
  <c r="L461" i="52"/>
  <c r="L460" i="52"/>
  <c r="L459" i="52"/>
  <c r="K458" i="52"/>
  <c r="L456" i="52"/>
  <c r="L455" i="52"/>
  <c r="K454" i="52"/>
  <c r="K453" i="52"/>
  <c r="K449" i="52"/>
  <c r="K447" i="52"/>
  <c r="K444" i="52"/>
  <c r="K441" i="52"/>
  <c r="K439" i="52"/>
  <c r="K436" i="52"/>
  <c r="K433" i="52"/>
  <c r="K430" i="52"/>
  <c r="K428" i="52"/>
  <c r="L427" i="52"/>
  <c r="L426" i="52"/>
  <c r="L425" i="52"/>
  <c r="K424" i="52"/>
  <c r="K388" i="52"/>
  <c r="K377" i="52"/>
  <c r="K375" i="52"/>
  <c r="K373" i="52"/>
  <c r="K371" i="52"/>
  <c r="K369" i="52"/>
  <c r="K368" i="52"/>
  <c r="K362" i="52"/>
  <c r="K361" i="52"/>
  <c r="H359" i="52"/>
  <c r="K332" i="52"/>
  <c r="K329" i="52"/>
  <c r="K326" i="52"/>
  <c r="K324" i="52"/>
  <c r="K320" i="52"/>
  <c r="K317" i="52"/>
  <c r="K314" i="52"/>
  <c r="K311" i="52"/>
  <c r="K308" i="52"/>
  <c r="K305" i="52"/>
  <c r="K303" i="52"/>
  <c r="K301" i="52"/>
  <c r="L296" i="52"/>
  <c r="L340" i="52" s="1"/>
  <c r="K295" i="52"/>
  <c r="K256" i="52"/>
  <c r="L273" i="52"/>
  <c r="K248" i="52"/>
  <c r="K247" i="52"/>
  <c r="K236" i="52"/>
  <c r="K235" i="52"/>
  <c r="K223" i="52"/>
  <c r="K221" i="52"/>
  <c r="K196" i="52"/>
  <c r="K192" i="52"/>
  <c r="L191" i="52"/>
  <c r="L190" i="52"/>
  <c r="L189" i="52"/>
  <c r="L188" i="52"/>
  <c r="L187" i="52"/>
  <c r="L186" i="52"/>
  <c r="L185" i="52"/>
  <c r="L184" i="52"/>
  <c r="L183" i="52"/>
  <c r="L182" i="52"/>
  <c r="L181" i="52"/>
  <c r="K180" i="52"/>
  <c r="L179" i="52"/>
  <c r="K178" i="52"/>
  <c r="L177" i="52"/>
  <c r="L176" i="52"/>
  <c r="L175" i="52"/>
  <c r="L174" i="52"/>
  <c r="L173" i="52"/>
  <c r="L172" i="52"/>
  <c r="L171" i="52"/>
  <c r="L170" i="52"/>
  <c r="L169" i="52"/>
  <c r="L168" i="52"/>
  <c r="L167" i="52"/>
  <c r="L166" i="52"/>
  <c r="L165" i="52"/>
  <c r="K164" i="52"/>
  <c r="L163" i="52"/>
  <c r="L162" i="52"/>
  <c r="L161" i="52"/>
  <c r="L160" i="52"/>
  <c r="L159" i="52"/>
  <c r="K158" i="52"/>
  <c r="L157" i="52"/>
  <c r="L156" i="52"/>
  <c r="L155" i="52"/>
  <c r="L154" i="52"/>
  <c r="L136" i="52"/>
  <c r="K135" i="52"/>
  <c r="H131" i="52"/>
  <c r="K130" i="52"/>
  <c r="L129" i="52"/>
  <c r="L128" i="52"/>
  <c r="H127" i="52"/>
  <c r="L127" i="52" s="1"/>
  <c r="K126" i="52"/>
  <c r="L125" i="52"/>
  <c r="H124" i="52"/>
  <c r="L124" i="52" s="1"/>
  <c r="H123" i="52"/>
  <c r="K123" i="52" s="1"/>
  <c r="L122" i="52"/>
  <c r="L121" i="52"/>
  <c r="H120" i="52"/>
  <c r="L120" i="52" s="1"/>
  <c r="K119" i="52"/>
  <c r="K117" i="52"/>
  <c r="K116" i="52"/>
  <c r="K115" i="52"/>
  <c r="K114" i="52"/>
  <c r="K113" i="52"/>
  <c r="K112" i="52"/>
  <c r="K111" i="52"/>
  <c r="K110" i="52"/>
  <c r="K109" i="52"/>
  <c r="K108" i="52"/>
  <c r="K107" i="52"/>
  <c r="K106" i="52"/>
  <c r="K105" i="52"/>
  <c r="K101" i="52"/>
  <c r="K99" i="52"/>
  <c r="K98" i="52"/>
  <c r="K97" i="52"/>
  <c r="K96" i="52"/>
  <c r="K95" i="52"/>
  <c r="H89" i="52"/>
  <c r="H68" i="52"/>
  <c r="K43" i="52"/>
  <c r="K41" i="52"/>
  <c r="K40" i="52"/>
  <c r="K38" i="52"/>
  <c r="K37" i="52"/>
  <c r="K36" i="52"/>
  <c r="K35" i="52"/>
  <c r="K34" i="52"/>
  <c r="K33" i="52"/>
  <c r="K32" i="52"/>
  <c r="K31" i="52"/>
  <c r="K29" i="52"/>
  <c r="K28" i="52"/>
  <c r="K27" i="52"/>
  <c r="K26" i="52"/>
  <c r="K25" i="52"/>
  <c r="K24" i="52"/>
  <c r="K23" i="52"/>
  <c r="L541" i="52"/>
  <c r="L407" i="52"/>
  <c r="K143" i="52"/>
  <c r="K210" i="52" s="1"/>
  <c r="K277" i="52" s="1"/>
  <c r="K344" i="52" s="1"/>
  <c r="K411" i="52" s="1"/>
  <c r="K478" i="52" s="1"/>
  <c r="K545" i="52" s="1"/>
  <c r="K612" i="52" s="1"/>
  <c r="K608" i="52" l="1"/>
  <c r="K273" i="52"/>
  <c r="K474" i="52"/>
  <c r="K541" i="52"/>
  <c r="L474" i="52"/>
  <c r="K206" i="52"/>
  <c r="K407" i="52"/>
  <c r="K675" i="52"/>
  <c r="L740" i="52"/>
  <c r="K679" i="52"/>
  <c r="K745" i="52" s="1"/>
  <c r="K340" i="52"/>
  <c r="L206" i="52"/>
  <c r="K139" i="52"/>
  <c r="K72" i="52"/>
  <c r="L72" i="52"/>
  <c r="L139" i="52"/>
  <c r="K741" i="52" l="1"/>
  <c r="L741" i="52"/>
  <c r="M741" i="52" l="1"/>
</calcChain>
</file>

<file path=xl/sharedStrings.xml><?xml version="1.0" encoding="utf-8"?>
<sst xmlns="http://schemas.openxmlformats.org/spreadsheetml/2006/main" count="1553" uniqueCount="524">
  <si>
    <t>No</t>
  </si>
  <si>
    <t>Item</t>
  </si>
  <si>
    <t>Volume</t>
  </si>
  <si>
    <t>Unit Price</t>
  </si>
  <si>
    <t>Client</t>
  </si>
  <si>
    <t>Contact</t>
  </si>
  <si>
    <t>Note :</t>
  </si>
  <si>
    <t>Cara pembayaran :</t>
  </si>
  <si>
    <t xml:space="preserve">Total   </t>
  </si>
  <si>
    <t>Say   :</t>
  </si>
  <si>
    <t>PELAYANAN UMUM</t>
  </si>
  <si>
    <t>PERAWATAN LAMBUNG</t>
  </si>
  <si>
    <t>PERLENGKAPAN DECK</t>
  </si>
  <si>
    <t>Panjang Sideboard</t>
  </si>
  <si>
    <t>Lebar Sideboard</t>
  </si>
  <si>
    <t>Service</t>
  </si>
  <si>
    <t>Material</t>
  </si>
  <si>
    <t>DETAIL OF DOCKING AND REPAIR COST</t>
  </si>
  <si>
    <t>Rincian Biaya Docking Dan Perbaikan</t>
  </si>
  <si>
    <t>: All</t>
  </si>
  <si>
    <t>PT. Meranti Nusa Bahari</t>
  </si>
  <si>
    <t>Project Information</t>
  </si>
  <si>
    <t>Name</t>
  </si>
  <si>
    <t>Length</t>
  </si>
  <si>
    <t>Breadth</t>
  </si>
  <si>
    <t>Depth</t>
  </si>
  <si>
    <t>Klass</t>
  </si>
  <si>
    <t>Type</t>
  </si>
  <si>
    <t>Aditya Agung H.</t>
  </si>
  <si>
    <t>General Manager</t>
  </si>
  <si>
    <t>: 3/FIN/MKT-MNB/I/2025</t>
  </si>
  <si>
    <t>:  48.00 Meter</t>
  </si>
  <si>
    <t>:  22.00 Meter</t>
  </si>
  <si>
    <t>:    3.50 Meter</t>
  </si>
  <si>
    <t>: BKI</t>
  </si>
  <si>
    <t>I</t>
  </si>
  <si>
    <t>a</t>
  </si>
  <si>
    <t>Ls</t>
  </si>
  <si>
    <t>b</t>
  </si>
  <si>
    <t>c</t>
  </si>
  <si>
    <t>d</t>
  </si>
  <si>
    <t>Hari</t>
  </si>
  <si>
    <t>e</t>
  </si>
  <si>
    <t>f</t>
  </si>
  <si>
    <t>g</t>
  </si>
  <si>
    <t>h</t>
  </si>
  <si>
    <t>i</t>
  </si>
  <si>
    <t>j</t>
  </si>
  <si>
    <t>k</t>
  </si>
  <si>
    <t>m</t>
  </si>
  <si>
    <t>II</t>
  </si>
  <si>
    <t>Sekrap Bagian Bawah Air</t>
  </si>
  <si>
    <t>m2</t>
  </si>
  <si>
    <t>Sandblasting Bottom Sampai Waterline (S.A 2.0)</t>
  </si>
  <si>
    <t>Sandblasting Top Side (S.A 2.0)</t>
  </si>
  <si>
    <t>Cuci Air Tawar</t>
  </si>
  <si>
    <t>Pengecatan Draft Mark, Nama Kapal</t>
  </si>
  <si>
    <t>Pemasangan Zinc Anode</t>
  </si>
  <si>
    <t>pcs</t>
  </si>
  <si>
    <t>-</t>
  </si>
  <si>
    <t>III</t>
  </si>
  <si>
    <t>bh</t>
  </si>
  <si>
    <t>set</t>
  </si>
  <si>
    <t>Pcs</t>
  </si>
  <si>
    <t>mm</t>
  </si>
  <si>
    <t>IV</t>
  </si>
  <si>
    <t>REPLATING</t>
  </si>
  <si>
    <t>Kg</t>
  </si>
  <si>
    <t>I.1</t>
  </si>
  <si>
    <t>I.2</t>
  </si>
  <si>
    <t>I.3</t>
  </si>
  <si>
    <t>I.4</t>
  </si>
  <si>
    <t>II.1</t>
  </si>
  <si>
    <t>Joint</t>
  </si>
  <si>
    <t>|Flange plate size. 1 1/2" 5K</t>
  </si>
  <si>
    <t>|B/N galvanized size. 12mm X 50mm</t>
  </si>
  <si>
    <t>II.3</t>
  </si>
  <si>
    <t>III.1</t>
  </si>
  <si>
    <t>Set</t>
  </si>
  <si>
    <t>PERLENGKAPAN LAMBUNG</t>
  </si>
  <si>
    <t>Docking / Undocking</t>
  </si>
  <si>
    <t>Asistensi naik/ turun dock, termasuk persiapan ganjal</t>
  </si>
  <si>
    <t>Asistensi dengan mooring Boat</t>
  </si>
  <si>
    <t>Disediakan Tempat penyimpanan logistik selama perbaikan</t>
  </si>
  <si>
    <t>Pengecatan Bagian Bawah Air (1x primer,1x sealer,1 xAF)</t>
  </si>
  <si>
    <t>Pengecatan Top Side (1x primer,1x top coat)</t>
  </si>
  <si>
    <t>III.2</t>
  </si>
  <si>
    <t>TANGKI - TANGKI</t>
  </si>
  <si>
    <t>Dilakukan Freegas Sebelum Pemeriksaan Kedalam Tangki</t>
  </si>
  <si>
    <t>Tank</t>
  </si>
  <si>
    <t>Air Test tangki</t>
  </si>
  <si>
    <t>LAPORAN DAN GAMBAR</t>
  </si>
  <si>
    <t>Dibuatkan laporan pengedockan dan gambar bukaan kulit sesuai posisi replating</t>
  </si>
  <si>
    <t>JR rev.00 Additional Work by Owner (18/11/24)</t>
  </si>
  <si>
    <t>Sandblasting main deck</t>
  </si>
  <si>
    <t>Sandblasting super structure</t>
  </si>
  <si>
    <t>Sandblasting deck super structure (include kanopi 1st floor)</t>
  </si>
  <si>
    <t>Surface preparation leader crane</t>
  </si>
  <si>
    <t>Surface preparation boom rest crane</t>
  </si>
  <si>
    <t>Painting main deck</t>
  </si>
  <si>
    <t>Painting super structure</t>
  </si>
  <si>
    <t>Painting deck super structure (include kanopi 1st floor)</t>
  </si>
  <si>
    <t>Painting leader crane</t>
  </si>
  <si>
    <t>Painting boom rest crane</t>
  </si>
  <si>
    <t>Painting crane (include cabin)</t>
  </si>
  <si>
    <t>Bongkar pasang ban dapra Ps/Sb (loader size. 18-25)</t>
  </si>
  <si>
    <t>buat lubang baru (loader size. 18-25), 3 lubang</t>
  </si>
  <si>
    <t>Fabrikasi selongsong rantai dapra</t>
  </si>
  <si>
    <t>plate safety | Plate (A) thickness 10 mm | 150 X 150 mm @ 200 sht</t>
  </si>
  <si>
    <t>Instal baru ban dapra Corner Ap/Fp &amp; Ps/Sb (loader size. 18-25)</t>
  </si>
  <si>
    <t>suplai | Tire fender (Loader) size. 18-25</t>
  </si>
  <si>
    <t>plate safety | Plate (A) thickness 10 mm | 150 X 150 mm @ 16 sht</t>
  </si>
  <si>
    <t>PUMP ROOM</t>
  </si>
  <si>
    <t>Piping system</t>
  </si>
  <si>
    <t>Pipa hisap got</t>
  </si>
  <si>
    <t>Pipa ballast FW Ps</t>
  </si>
  <si>
    <t>Pipa manifold terminal Pompa No. 1</t>
  </si>
  <si>
    <t>Pipa outlet Pompa No. 1</t>
  </si>
  <si>
    <t>Pipa bypass Pompa No. 1 to Pompa No. 2</t>
  </si>
  <si>
    <t>Pipa got</t>
  </si>
  <si>
    <t>Pipa Pompa No. 2 to manifold terminal</t>
  </si>
  <si>
    <t>Pipa pembuangan</t>
  </si>
  <si>
    <t>Pipa transfer fresh water</t>
  </si>
  <si>
    <t>Pipa outlet Pompa No. 2</t>
  </si>
  <si>
    <t>Pondasi-Pondasi</t>
  </si>
  <si>
    <t>Pondasi Pompa dan Elmot No. 1</t>
  </si>
  <si>
    <t>bongkar pasang elmot (include electrical)</t>
  </si>
  <si>
    <t>bongkar pasang pompa</t>
  </si>
  <si>
    <t>Pondasi Pompa dan Elmot No. 2</t>
  </si>
  <si>
    <t>Pondasi support manifold terminal</t>
  </si>
  <si>
    <t>Pondasi strainer Pompa No. 1</t>
  </si>
  <si>
    <t>III.3</t>
  </si>
  <si>
    <t>Lantai</t>
  </si>
  <si>
    <t>Lantai pump room</t>
  </si>
  <si>
    <t>III.4</t>
  </si>
  <si>
    <t>Internal member</t>
  </si>
  <si>
    <t>Internal member pump room (left to right)</t>
  </si>
  <si>
    <t>bracket long bottom to TBHD | Plate (A) thickness 12 mm | 300 X 300 mm @ 2 sht</t>
  </si>
  <si>
    <t>SEACHEST DAN VALVE</t>
  </si>
  <si>
    <t>Servis strainer seachest, Cast steel strainer size. 8" 5K</t>
  </si>
  <si>
    <t>Servis valve ballast FW Ps, Angle valve size. 5" 5K</t>
  </si>
  <si>
    <t>Servis valve discharge sea chest, Angle valve size. 6" 10K</t>
  </si>
  <si>
    <t>Servis strainer outlet pompa to cooler crane, Cast steel strainer size. 3" 5K</t>
  </si>
  <si>
    <t>Servis strainer inlet pompa, Cast steel strainer size. 5" 5K</t>
  </si>
  <si>
    <t>JR rev.01 Additional Work by Owner (8/12/24)</t>
  </si>
  <si>
    <t>Pilar Main deck To 2nd deck</t>
  </si>
  <si>
    <t>Rekondisi pilar No. 1 PS</t>
  </si>
  <si>
    <t>Rekondisi pilar No. 2 PS</t>
  </si>
  <si>
    <t>Rekondisi pilar No. 1 SB</t>
  </si>
  <si>
    <t>Tangga main deck to 2nd deck</t>
  </si>
  <si>
    <t>Rekondisi tangga PS</t>
  </si>
  <si>
    <t>Rekondisi tangga SB</t>
  </si>
  <si>
    <t>I.6</t>
  </si>
  <si>
    <t>Pintu-Pintu</t>
  </si>
  <si>
    <t>Pintu dapur SB</t>
  </si>
  <si>
    <t>karet pintu | Watertight rubber size. 30 x 20mm</t>
  </si>
  <si>
    <t>Pintu dapur PS</t>
  </si>
  <si>
    <t>Pintu Store SB</t>
  </si>
  <si>
    <t>Pintu pump room PS</t>
  </si>
  <si>
    <t>I.7</t>
  </si>
  <si>
    <t xml:space="preserve">Railing </t>
  </si>
  <si>
    <t>Replating anjungan</t>
  </si>
  <si>
    <t>Toilet main Deck</t>
  </si>
  <si>
    <t>Toilet 2nd deck (include material)</t>
  </si>
  <si>
    <t>Bongkar dinding luar dan keramik</t>
  </si>
  <si>
    <t>Replating cabin crane</t>
  </si>
  <si>
    <t>joint</t>
  </si>
  <si>
    <t>tube | Pipe seamless size. 5" Sch 40</t>
  </si>
  <si>
    <t>bolt | B/N galvanized size. 6mm X 30mm</t>
  </si>
  <si>
    <t>Replating leader crane</t>
  </si>
  <si>
    <t>Leader crane</t>
  </si>
  <si>
    <t>Sandblasting dan painting</t>
  </si>
  <si>
    <t>Sandblasting dan painting bollard dan roller sling</t>
  </si>
  <si>
    <t>Suplai cat epoxy merah (winch dan platform)</t>
  </si>
  <si>
    <t>pail</t>
  </si>
  <si>
    <t>Suplai cat epoxy hitam (bollard dan roller)</t>
  </si>
  <si>
    <t>Suplai cat epoxy kuning (bollard dan roller)</t>
  </si>
  <si>
    <t>ltr</t>
  </si>
  <si>
    <t>Turun dan naikkan barang dari deck untuk akses blasting (Crane 70ton)</t>
  </si>
  <si>
    <t>Pad Eyes</t>
  </si>
  <si>
    <t>Kupingan dapra</t>
  </si>
  <si>
    <t xml:space="preserve">Elektrikal anjungan </t>
  </si>
  <si>
    <t xml:space="preserve">Servis AC indor dan outdoor </t>
  </si>
  <si>
    <t xml:space="preserve">Pengecekan dan fungsikan kembali lampu TL anjungan </t>
  </si>
  <si>
    <t>Pipa goose neck</t>
  </si>
  <si>
    <t>Pipa gooseneck FW tank PS</t>
  </si>
  <si>
    <t>PERMESINAN</t>
  </si>
  <si>
    <t>Pompa keong No. 1</t>
  </si>
  <si>
    <t>Fabrikasi shaft coupling</t>
  </si>
  <si>
    <t>JR rev.01 Additional Work by Class Surveyor (8/12/24)</t>
  </si>
  <si>
    <t>JANGKAR DAN PERLENGKAPANNYA</t>
  </si>
  <si>
    <t>Kalibrasi rantai jangkar</t>
  </si>
  <si>
    <t>Timbang jangkar</t>
  </si>
  <si>
    <t>Replating hull</t>
  </si>
  <si>
    <t>Replating bottom plate</t>
  </si>
  <si>
    <t>Replating deck plate</t>
  </si>
  <si>
    <t>JR rev.02 Additional Work by Owner (18/12/24)</t>
  </si>
  <si>
    <t>Replating Hull</t>
  </si>
  <si>
    <t>Replating transome plate</t>
  </si>
  <si>
    <t>Rest anchor kanan</t>
  </si>
  <si>
    <t>Plate web</t>
  </si>
  <si>
    <t>Plate bracket</t>
  </si>
  <si>
    <t>Rest anchor tengah</t>
  </si>
  <si>
    <t>Plate sisi</t>
  </si>
  <si>
    <t>Rest anchor kiri</t>
  </si>
  <si>
    <t>Pressure test valve seachest, Globe valve size. 8" 10K</t>
  </si>
  <si>
    <t>JR rev.03 Additional work by OS (28/12/24)</t>
  </si>
  <si>
    <t>Replating transome lis doubling plate SB</t>
  </si>
  <si>
    <t>vertical plate | Plate (A) thickness 12 mm | 550 X 300 mm @ 1 sht</t>
  </si>
  <si>
    <t>horizontal plate | Plate (A) thickness 12 mm | 1700 X 300 mm @ 1 sht</t>
  </si>
  <si>
    <t>Replating transome lis doubling plate tengah</t>
  </si>
  <si>
    <t>vertical plate | Plate (A) thickness 12 mm | 890 X 300 mm @ 1 sht</t>
  </si>
  <si>
    <t>JR rev.04 Additional work by OS (30/12/24)</t>
  </si>
  <si>
    <t>Replating Deck</t>
  </si>
  <si>
    <t>Doubling 2nd deck SB</t>
  </si>
  <si>
    <t>Doubling 2nd depan</t>
  </si>
  <si>
    <t>JR rev.04 Additional work by OS (2/1/25)</t>
  </si>
  <si>
    <t xml:space="preserve">Supply cat epoxy putih </t>
  </si>
  <si>
    <t>Supply cat epoxy merah</t>
  </si>
  <si>
    <t xml:space="preserve">Supply thiner  </t>
  </si>
  <si>
    <t>JR rev.06 Additional work by Owner (7/1/25)</t>
  </si>
  <si>
    <t xml:space="preserve"> Pompa dan Elmot No. 1 &amp; 2</t>
  </si>
  <si>
    <t>suplai | Baut dan rubber copling Fcl (sesuai Contoh lama)</t>
  </si>
  <si>
    <t>Keramik Toilet 2 main Deck</t>
  </si>
  <si>
    <t>Pasang keramik; material all vendor | Estimasi luas 6,25 m2</t>
  </si>
  <si>
    <t>Keramik Toilet main Deck</t>
  </si>
  <si>
    <t>Pasang keramik; material all vendor | Estimasi luas 7,1 m2</t>
  </si>
  <si>
    <t>kaleng</t>
  </si>
  <si>
    <t>JR rev.09 Additional work by owner  (16/1/25)</t>
  </si>
  <si>
    <t xml:space="preserve">Grand Total   </t>
  </si>
  <si>
    <t>Penggunaan alat angkat (&lt;10 Ton)</t>
  </si>
  <si>
    <t>Suplai air tawar</t>
  </si>
  <si>
    <t>Ton</t>
  </si>
  <si>
    <t>PERAWATAN BADAN KAPAL (Supplai Material by Owner)</t>
  </si>
  <si>
    <t>Sandblasting dan painting 2nd deck</t>
  </si>
  <si>
    <t>Sandblasting dan painting nav deck</t>
  </si>
  <si>
    <t>l</t>
  </si>
  <si>
    <t>suplai | Chain galvanized size. 3/4" | 2200 mm @ 108 pcs</t>
  </si>
  <si>
    <t>suplai | Shackle-D galvanized size. M20 : 3/4" @ 4 pcs</t>
  </si>
  <si>
    <t>pipe safety | Pipe seamless size. 3" Sch 40 | 100 mm @ 108 pcs</t>
  </si>
  <si>
    <t>suplai | Chain galvanized size. 3/4" | 2200 mm @ 8 pcs</t>
  </si>
  <si>
    <t>suplai | Shackle-D galvanized size. M20 : 3/4" 4 pcs</t>
  </si>
  <si>
    <t>Fabrikasi selongsong rantai dapra baru</t>
  </si>
  <si>
    <t>pipe safety | Pipe seamless size. 3" Sch 40 | 100 mm @ 8 pcs</t>
  </si>
  <si>
    <t xml:space="preserve"> | Pipe seamless size. 2 1/2" Sch 80</t>
  </si>
  <si>
    <t xml:space="preserve"> | Elbow black size. 2 1/2" Sch. 80</t>
  </si>
  <si>
    <t xml:space="preserve"> | Flange plate size. 2 1/2" 5K</t>
  </si>
  <si>
    <t xml:space="preserve"> | B/N galvanized size. 12mm X 45mm</t>
  </si>
  <si>
    <t xml:space="preserve"> | Rubber packing size. 3.2 mm | 160 X 160 mm</t>
  </si>
  <si>
    <t xml:space="preserve"> | Pipe seamless size. 5" Sch 80</t>
  </si>
  <si>
    <t xml:space="preserve"> | Elbow black size. 5" Sch. 80</t>
  </si>
  <si>
    <t xml:space="preserve"> | Flange plate size. 5" 5K</t>
  </si>
  <si>
    <t xml:space="preserve"> | B/N galvanized size. 16mm X 50mm</t>
  </si>
  <si>
    <t xml:space="preserve"> | Rubber packing size. 3.2 mm | 250 X 250 mm</t>
  </si>
  <si>
    <t xml:space="preserve"> | Pipe seamless size. 2 1/2" Sch 80 | 190 mm</t>
  </si>
  <si>
    <t>flange custom | Plate (A) thickness 12 mm | 240 X 240 mm</t>
  </si>
  <si>
    <t xml:space="preserve"> | B/N galvanized size. 5/8" X 2"</t>
  </si>
  <si>
    <t xml:space="preserve"> | B/N galvanized size. 5/8" X 2 1/2"</t>
  </si>
  <si>
    <t xml:space="preserve"> | B/N galvanized size. 5/8" X 3"</t>
  </si>
  <si>
    <t xml:space="preserve"> | Rubber packing size. 3.2 mm | 240 X 240 mm</t>
  </si>
  <si>
    <t xml:space="preserve"> | Rubber packing size. 5 mm | 240 X 240 mm</t>
  </si>
  <si>
    <t xml:space="preserve"> | Elbow black size. 6" Sch. 80</t>
  </si>
  <si>
    <t xml:space="preserve"> | Pipe seamless size. 2" Sch 80</t>
  </si>
  <si>
    <t xml:space="preserve"> | Pipe seamless size. 1" Sch 80</t>
  </si>
  <si>
    <t xml:space="preserve"> | Flange plate size. 1" 5K</t>
  </si>
  <si>
    <t xml:space="preserve"> | Ball valve type flange size. 1" 5K</t>
  </si>
  <si>
    <t xml:space="preserve"> | B/N galvanized size. 10mm X 40mm</t>
  </si>
  <si>
    <t xml:space="preserve"> | B/N galvanized size. 16mm X 60mm</t>
  </si>
  <si>
    <t xml:space="preserve"> | Rubber packing size. 3.2 mm | 150 X 150 mm</t>
  </si>
  <si>
    <t xml:space="preserve"> | Rubber packing size. 3.2 mm | 100 X 100 mm</t>
  </si>
  <si>
    <t xml:space="preserve"> | Flange plate size. 1 1/2" 5K</t>
  </si>
  <si>
    <t xml:space="preserve"> | Flange plate size. 2" 10K</t>
  </si>
  <si>
    <t xml:space="preserve"> | Flange plate size. 5" 10K</t>
  </si>
  <si>
    <t xml:space="preserve"> | Flange plate size. 6" 10K</t>
  </si>
  <si>
    <t xml:space="preserve"> | Pipe galvanized size. 2" Sch 80</t>
  </si>
  <si>
    <t xml:space="preserve"> | Elbow black size. 2" Sch. 80</t>
  </si>
  <si>
    <t xml:space="preserve"> | Elbow black 45° size. 2" Sch. 80</t>
  </si>
  <si>
    <t xml:space="preserve"> | Flange plate size. 2" 5K</t>
  </si>
  <si>
    <t xml:space="preserve"> | Rubber packing size. 3.2 mm | 150 X 150</t>
  </si>
  <si>
    <t>plat meja | Plate (A) thickness 12 mm | 1155 X 510 mm</t>
  </si>
  <si>
    <t>plat strip samping | Plate (A) thickness 12 mm | 1150 X 100 mm @ 2 sht</t>
  </si>
  <si>
    <t>siku long. meja | Angle bar size. 100 x 100 x 10 mm | 1145 mm @ 2 pcs</t>
  </si>
  <si>
    <t>siku trans. meja | Angle bar size. 100 x 100 x 10 mm | 540 mm @ 3 pcs</t>
  </si>
  <si>
    <t>siku trans. pondasi | Angle bar size. 100 x 100 x 10 mm | 1200 mm @ 3 pcs</t>
  </si>
  <si>
    <t>siku kaki pondasi | Angle bar size. 100 x 100 x 10 mm | 530 mm @ 6 pcs</t>
  </si>
  <si>
    <t>baut elmot | B/N galvanis size.  12mm X 50mm</t>
  </si>
  <si>
    <t>baut elmot | B/N CS size. 12mm X 50mm</t>
  </si>
  <si>
    <t>plat meja | Plate (A) thickness 12 mm | 1145 X 500 mm</t>
  </si>
  <si>
    <t>plat strip samping | Plate (A) thickness 12 mm | 1150 X 110 mm @ 2 sht</t>
  </si>
  <si>
    <t>siku trans. meja | Angle bar size. 100 x 100 x 10 mm | 530 mm @ 3 pcs</t>
  </si>
  <si>
    <t>siku trans. meja | Angle bar size. 70 x 70 x 7 mm | 500 mm @ 1 pcs</t>
  </si>
  <si>
    <t>siku trans. pondasi | Angle bar size. 100 x 100 x 10 mm | 730 mm @ 3 pcs</t>
  </si>
  <si>
    <t>siku kaki pondasi | Angle bar size. 100 x 100 x 10 mm | 535 mm @ 6 pcs</t>
  </si>
  <si>
    <t xml:space="preserve"> | Angle bar size. 80 x 80 x 8 mm | 400 mm</t>
  </si>
  <si>
    <t xml:space="preserve"> | Angle bar size. 100 x 100 x 10 mm | 340 mm</t>
  </si>
  <si>
    <t xml:space="preserve"> | Plate (A) thickness 12 mm | 350 X 130 mm</t>
  </si>
  <si>
    <t xml:space="preserve"> | B/N galvanized size. 12mm X 55mm</t>
  </si>
  <si>
    <t xml:space="preserve"> | Plate (Checker) thickness 6 mm | 500 X 600 mm</t>
  </si>
  <si>
    <t xml:space="preserve"> | Plate (Checker) thickness 6 mm | 400 X 400 mm</t>
  </si>
  <si>
    <t xml:space="preserve"> | Plate (Checker) thickness 6 mm | 500 X 270 mm</t>
  </si>
  <si>
    <t xml:space="preserve"> | Plate (Checker) thickness 6 mm | 1100 X 590 mm</t>
  </si>
  <si>
    <t xml:space="preserve"> | Plate (Checker) thickness 6 mm | 300 X 600 mm</t>
  </si>
  <si>
    <t xml:space="preserve"> | Plate (Checker) thickness 6 mm | 600 X 440 mm</t>
  </si>
  <si>
    <t xml:space="preserve"> | Plate (Checker) thickness 6 mm | 450 X 320 mm</t>
  </si>
  <si>
    <t xml:space="preserve"> | Plate (Checker) thickness 6 mm | 510 X 360 mm</t>
  </si>
  <si>
    <t xml:space="preserve"> | Plate (Checker) thickness 6 mm | 550 X 360 mm</t>
  </si>
  <si>
    <t>pondasi lantai | Angle bar size. 70 x 70 x 7 mm | 3190 mm @ 1 pcs</t>
  </si>
  <si>
    <t>pondasi Vert lantai | Angle bar size. 70 x 70 x 7 mm | 810 mm @ 1 pcs</t>
  </si>
  <si>
    <t>long bottom No. 2 &amp; 3 | Angle bar size. 150 x 150 x 12 mm | 2200 mm @ 2 pcs</t>
  </si>
  <si>
    <t>bracket long bottom to TBHD | Plate (A) thickness 12 mm | 270 X 290 mm @ 2 sht</t>
  </si>
  <si>
    <t>long bottom No. 6 &amp; 7 | Angle bar size. 150 x 150 x 12 mm | 2200 mm @ 2 pcs</t>
  </si>
  <si>
    <t>JR rev.01 Revisi by Engineer (8/12/24)</t>
  </si>
  <si>
    <t>bracket pillar | Plate (KI) thickness 10 mm | 200 X 300 mm</t>
  </si>
  <si>
    <t>bracket pillar | Plate (KI) thickness 10 mm | 160 X 330 mm</t>
  </si>
  <si>
    <t>bracket pillar | Plate (A) thickness 10 mm | 210 X 330 mm</t>
  </si>
  <si>
    <t>plat lantai | Plate (Checker) thickness 6 mm | 600 X 210 mm @ 7 sht</t>
  </si>
  <si>
    <t>anti slip | Roundbar size. 3/4" | 600 mm @ 7 pcs</t>
  </si>
  <si>
    <t>plat sisi | Plate (A) thickness 8 mm | 300 X 240 mm @ 2 sht</t>
  </si>
  <si>
    <t>bongkar pasang anak tangga (material lama) | Plate (Checker) thickness 6 mm | 600 X 240 mm</t>
  </si>
  <si>
    <t>Rekondisi tangga store room SB</t>
  </si>
  <si>
    <t>plat sisi | Plate (A) thickness 8 mm | 150 X 250 mm @ 2 sht</t>
  </si>
  <si>
    <t>Plat grating 250 x 580 (material by owner)</t>
  </si>
  <si>
    <t>Rekondisi boom rest buritan (akibat replating deck)</t>
  </si>
  <si>
    <t>bracket | Plate (A) thickness 10 mm | 250 X 390 mm @ 4 sht</t>
  </si>
  <si>
    <t>plat strip luar | Flat bar size. 1" x 8 mm | 850</t>
  </si>
  <si>
    <t>plat strip dalam | Flat bar size. 1" x 8 mm | 1700</t>
  </si>
  <si>
    <t>step ladder | Plat grating | 570 X 250 mm</t>
  </si>
  <si>
    <t xml:space="preserve"> | Pipe seamless size. 1 1/2" Sch 40 | 530 mm @ 2 pcs</t>
  </si>
  <si>
    <t xml:space="preserve"> | Pipe seamless size. 2" Sch 40 | 2540 mm @ 1 pcs</t>
  </si>
  <si>
    <t>I.9</t>
  </si>
  <si>
    <t>dinding luar | Plate (A) thickness 8 mm | 910 X 850 mm</t>
  </si>
  <si>
    <t>doubling dinding  | Plate (A) thickness 8 mm | 310 X 350 mm</t>
  </si>
  <si>
    <t>doubling dinding  | Plate (A) thickness 8 mm | 490 X 310 mm</t>
  </si>
  <si>
    <t>plat dinding depan | Plate (A) thickness 8 mm | 900 X 290 mm</t>
  </si>
  <si>
    <t>plat deck | Plate (A) thickness 8 mm | 980 X 650 mm</t>
  </si>
  <si>
    <t>plat deck internal | Plate (A) thickness 8 mm | 290 X 600 mm @2 pcs</t>
  </si>
  <si>
    <t>tutup siku | Plate (A) thickness 8 mm | 60 X 10 mm @ 3 sht</t>
  </si>
  <si>
    <t>Bongkar pasang kloset dan semen toilet (material all vendor)</t>
  </si>
  <si>
    <t>bongkar pasang kloset pipa seawage</t>
  </si>
  <si>
    <t>plat dinding samping | Plate (A) thickness 8 mm | 1200 X 900 mm</t>
  </si>
  <si>
    <t>plat dinding depan | Plate (A) thickness 8 mm | 900 X 860 mm</t>
  </si>
  <si>
    <t>plat deck | Plate (A) thickness 8 mm | 990 X 830 mm</t>
  </si>
  <si>
    <t>siku dinding | Angle bar size. 70 x 70 x 7 mm | 1000 mm @ 3 pcs</t>
  </si>
  <si>
    <t>Suplai | Non-sag Epoxy A-B</t>
  </si>
  <si>
    <t>bongkar pasang pipa pembuangan air kamar mandi 2 joint | B/N galvanized size. 16mm X 65mm</t>
  </si>
  <si>
    <t>I.10</t>
  </si>
  <si>
    <t>side cover | Plate (A) thickness 6 mm | 1700 X 290 mm @ 2 sht</t>
  </si>
  <si>
    <t>top cover | Plate (A) thickness 6 mm | 550 X 550 mm</t>
  </si>
  <si>
    <t>flange | Plate (A) thickness 6 mm | 590 X 590 mm @ 2 sht</t>
  </si>
  <si>
    <t>flange | Plate (A) thickness 6 mm | 550 X 550 mm</t>
  </si>
  <si>
    <t>ring dalam | Plate (A) thickness 6 mm | 550 X 550 mm</t>
  </si>
  <si>
    <t>bracket | Plate (A) thickness 6 mm | 80 X 150 mm @ 3 sht</t>
  </si>
  <si>
    <t>bracket | Plate (A) thickness 10 mm | 90 X 150 mm</t>
  </si>
  <si>
    <t>gasket | rubber packing size. 5mm | 600 X 600 mm</t>
  </si>
  <si>
    <t>bracket | Plate (A) thickness 6 mm | 80 X 150 mm @ 4 sht</t>
  </si>
  <si>
    <t>I.11</t>
  </si>
  <si>
    <t>side wall | Plate (A) thickness 10 mm | 3980 X 740 mm</t>
  </si>
  <si>
    <t>side wall | Plate (A) thickness 10 mm | 300 X 160 mm</t>
  </si>
  <si>
    <t>doubling side wall | Plate (A) thickness 10 mm | 500 X 790 mm</t>
  </si>
  <si>
    <t>tulangan dalam | Plate (A) thickness 10 mm | 840 X 310 mm @ 6 sht</t>
  </si>
  <si>
    <t>step leader luar | Plate (A) thickness 10 mm | 600 X 250 mm @ 13 sht</t>
  </si>
  <si>
    <t>lug | Roundbar size. 1" | 420 mm</t>
  </si>
  <si>
    <t>doubling plate | Plate (A) thickness 12 mm | 100 X 220 mm</t>
  </si>
  <si>
    <t>lug | Roundbar size. 1" | 580 mm</t>
  </si>
  <si>
    <t>lug | Roundbar size. 1" | 500 mm</t>
  </si>
  <si>
    <t>doubling plate | Plate (A) thickness 12 mm | 100 X 200 mm</t>
  </si>
  <si>
    <t>lug | Roundbar size. 1" | 250 mm</t>
  </si>
  <si>
    <t>lug | Plate (A) thickness 12 mm | 170 X 120 mm</t>
  </si>
  <si>
    <t>doubling plate | Plate (A) thickness 12 mm | 200 X 100 mm</t>
  </si>
  <si>
    <t>lug | Plate (A) thickness 12 mm | 180 X 120 mm</t>
  </si>
  <si>
    <t>lug (belah 2) | Anchor chain size. 1 1/4"</t>
  </si>
  <si>
    <t>doubling plate | Plate (A) thickness 12 mm | 170 X 100 mm</t>
  </si>
  <si>
    <t>II.9</t>
  </si>
  <si>
    <t>lampu TL | Lampu TL 4 - 22 watt (ukuran sesuai contoh) @ 2 pcs</t>
  </si>
  <si>
    <t>Starter | Starter Philips S2-P</t>
  </si>
  <si>
    <t>II.11</t>
  </si>
  <si>
    <t xml:space="preserve"> | Pipe seamless size. 4" Sch 40</t>
  </si>
  <si>
    <t xml:space="preserve"> | Flange plate size. 4" 5K</t>
  </si>
  <si>
    <t xml:space="preserve"> | Elbow black size. 4" Sch. 40</t>
  </si>
  <si>
    <t xml:space="preserve"> | Rubber packing size. 5mm | 200 X 200 mm</t>
  </si>
  <si>
    <t>shaft (include bubut) | Roundbar (SS) size. 2" | 550 mm @ 3 pcs</t>
  </si>
  <si>
    <t>Fr. 0/1 s/d Fr. 1/2 Lajur K - A SB | Plate (KI) thickness 10 mm | 1550 X 1500 mm</t>
  </si>
  <si>
    <t>Fr. 0/1 s/d Fr. 1/2 Lajur A SB | Plate (KI) thickness 10 mm | 1550 X 1500 mm</t>
  </si>
  <si>
    <t>Fr. 0/1 s/d Fr. 1/2 Lajur A - B SB | Plate (KI) thickness 10 mm | 1550 X 1500 mm</t>
  </si>
  <si>
    <t>Fr. 0/1 s/d Fr. 1/2 Lajur B SB | Plate (KI) thickness 10 mm | 1550 X 1620 mm</t>
  </si>
  <si>
    <t>Fr. 0/1 s/d Fr. 1/2 Lajur B - C SB | Plate (KI) thickness 10 mm | 2150 X 1550 mm</t>
  </si>
  <si>
    <t>Fr. 0/1 s/d Fr. 1/2 Lajur C SB | Plate (KI) thickness 10 mm | 1730 X 1550 mm</t>
  </si>
  <si>
    <t>Fr. 0/1 s/d Fr. 1/2 Lajur A PS | Plate (KI) thickness 10 mm | 1530 X 1560 mm</t>
  </si>
  <si>
    <t>Fr. 0/1 s/d Fr. 1/2 Lajur B PS | Plate (KI) thickness 10 mm | 1530 X 1570 mm</t>
  </si>
  <si>
    <t>Fr. 0/1 s/d Fr. 1/2 Lajur B PS-C PS | Plate (KI) thickness 10 mm | 1540 X 1550 mm</t>
  </si>
  <si>
    <t>Fr. 0/1 s/d Fr. 1/2 Lajur C PS | Plate (KI) thickness 10 mm | 1550 X 1530 mm</t>
  </si>
  <si>
    <t>Fr. 0/1 s/d Fr. 1/2 Lajur D PS | Plate (KI) thickness 10 mm | 1550 X 1390 mm</t>
  </si>
  <si>
    <t>Fr. 0/1 s/d Fr. 1/2 Lajur E PS | Plate (KI) thickness 10 mm | 1530 X 1550 mm</t>
  </si>
  <si>
    <t>Fr. 9/10 s/d Fr. 10/22 Lajur A SB | Plate (KI) thickness 10 mm | 800 X 710 mm</t>
  </si>
  <si>
    <t>lis bottom-sideshell buritan SB | Angle bar size. 100 x 100 x 10 mm | 1750 mm</t>
  </si>
  <si>
    <t>Fr. 20/21 s/d Fr. 21/22 Lajur A PS-B PS | Plate (KI) thickness 10 mm | 1220 X 460 mm</t>
  </si>
  <si>
    <t>Fr. 20/21 s/d Fr. 21/22 Lajur B PS | Plate (KI) thickness 10 mm | 3100 X 1530 mm</t>
  </si>
  <si>
    <t>Fr. 20/21 s/d Fr. 21/22 Lajur A SB - B SB | Plate (KI) thickness 10 mm | 5700 X 920 mm</t>
  </si>
  <si>
    <t>Fr. 20/21 s/d Fr. 21/22 Lajur B PS-C PS | Plate (KI) thickness 10 mm | 3100 X 1540 mm</t>
  </si>
  <si>
    <t>Fr. 20/21 s/d Fr. 21/22 Lajur C PS | Plate (KI) thickness 10 mm | 960 X 530 mm</t>
  </si>
  <si>
    <t>Fr. 20/21 s/d Fr. 21/22 Lajur C PS-D PS | Plate (KI) thickness 10 mm | 1540 X 2120 mm</t>
  </si>
  <si>
    <t>Fr. 20/21 s/d Fr. 21/22 Lajur D PS | Plate (KI) thickness 10 mm | 1410 X 2120 mm</t>
  </si>
  <si>
    <t>Fr. 20/21 s/d Fr. 21/22 Lajur C SB | Plate (KI) thickness 10 mm | 2080 X 1540 mm</t>
  </si>
  <si>
    <t>Fr. 20/21 s/d Fr. 21/22 Lajur C SB | Plate (KI) thickness 10 mm | 2080 X 940 mm</t>
  </si>
  <si>
    <t>Fr. 20/21 s/d Fr. 21/22 Lajur C SB | Plate (KI) thickness 10 mm | 1540 X 920 mm</t>
  </si>
  <si>
    <t>lis bottom-sideshell haluan SB | Angle bar size. 100 x 100 x 10 mm | 2170 mm</t>
  </si>
  <si>
    <t>Fr. 0 s/d Fr. 1/2 Lajur D PS-B PS | Plate (KI) thickness 10 mm | 5910 X 1540 mm</t>
  </si>
  <si>
    <t>Fr. 0 s/d Fr. 1 Lajur D PS-B PS | Plate (KI) thickness 10 mm | 3100 X 600 mm</t>
  </si>
  <si>
    <t>Fr. 0 s/d Fr. 1 Lajur D PS | Plate (KI) thickness 10 mm | 720 X 580 mm</t>
  </si>
  <si>
    <t>Fr. 0 s/d Fr. 1/2 Lajur B PS-K | Plate (KI) thickness 10 mm | 6150 X 1540 mm</t>
  </si>
  <si>
    <t>Fr. 0 s/d Fr. 1 Lajur B PS-K | Plate (KI) thickness 10 mm | 6150 X 600 mm</t>
  </si>
  <si>
    <t>Fr. 0 s/d Fr. 1 Lajur K | Plate (KI) thickness 10 mm | 2000 X 400 mm</t>
  </si>
  <si>
    <t>Fr. 0 s/d Fr. 1/2 Lajur B SB-D PS | Plate (KI) thickness 10 mm | 6130 X 1530 mm</t>
  </si>
  <si>
    <t>Fr. 0 s/d Fr. 1/2 Lajur B SB-D PS | Plate (KI) thickness 10 mm | 3060 X 580 mm</t>
  </si>
  <si>
    <t>Fr. 0 s/d Fr. 1/2 Lajur B SB-D PS | Plate (KI) thickness 10 mm | 2950 X 580 mm</t>
  </si>
  <si>
    <t>Bongkar pasang bollard dan roller Ps</t>
  </si>
  <si>
    <t>Bongkar pasang bollard dan roller Sb</t>
  </si>
  <si>
    <t>Bongkar pasang bollard Tengah</t>
  </si>
  <si>
    <t>Bongkar pasang bracket smith SB/PS</t>
  </si>
  <si>
    <t>transome AP Sb | Plate (KI) thickness 10 mm | 1550 X 920 mm</t>
  </si>
  <si>
    <t>transome AP Sb | Plate (KI) thickness 10 mm | 1510 X 910 mm</t>
  </si>
  <si>
    <t>trasome AP Ps | Plate (KI) thickness 10 mm | 2140 X 930 mm</t>
  </si>
  <si>
    <t xml:space="preserve"> | Plate (A) thickness 12 mm | 400 X 270 mm @ 1 sht</t>
  </si>
  <si>
    <t xml:space="preserve"> | Plate (A) thickness 12 mm | 970 X 270 mm @ 1 sht</t>
  </si>
  <si>
    <t xml:space="preserve"> | Plate (A) thickness 12 mm | 380 X 260 mm @ 1 sht</t>
  </si>
  <si>
    <t xml:space="preserve"> | Plate (A) thickness 12 mm | 300 X 300 mm @ 1 sht</t>
  </si>
  <si>
    <t>web pondasi kecil | Plate (A) thickness 12 mm | 500 X 150 mm @ 1 sht</t>
  </si>
  <si>
    <t>Top | Plate (A) thickness 12 mm | 230 X 580 mm @ 2 sht</t>
  </si>
  <si>
    <t>Top | Plate (A) thickness 12 mm | 530 X 360 mm @ 2 sht</t>
  </si>
  <si>
    <t xml:space="preserve"> | Plate (A) thickness 12 mm | 440 X 400 mm @ 1 sht</t>
  </si>
  <si>
    <t xml:space="preserve"> | Plate (A) thickness 12 mm | 930 X 150 mm @ 1 sht</t>
  </si>
  <si>
    <t xml:space="preserve"> | Plate (A) thickness 12 mm | 280 X 180 mm @ 1 sht</t>
  </si>
  <si>
    <t xml:space="preserve"> | Plate (A) thickness 12 mm | 970 X 580 mm @ 1 sht</t>
  </si>
  <si>
    <t xml:space="preserve"> | Plate (A) thickness 12 mm | 250 X 120 mm @ 1 sht</t>
  </si>
  <si>
    <t xml:space="preserve"> | Plate (A) thickness 12 mm | 630 X 520 mm @ 1 sht</t>
  </si>
  <si>
    <t xml:space="preserve"> | Plate (A) thickness 12 mm | 270 X 210 mm</t>
  </si>
  <si>
    <t xml:space="preserve"> | Plate (A) thickness 12 mm | 910 X 180 mm</t>
  </si>
  <si>
    <t xml:space="preserve"> | Plate (A) thickness 12 mm | 590 X 70 mm</t>
  </si>
  <si>
    <t xml:space="preserve"> | Plate (A) thickness 12 mm | 250 X 160 mm</t>
  </si>
  <si>
    <t xml:space="preserve"> | Plate (A) thickness 12 mm | 250 X 170 mm</t>
  </si>
  <si>
    <t xml:space="preserve"> | Plate (A) thickness 12 mm | 600 X 370 mm</t>
  </si>
  <si>
    <t>plat alas roller | Plate (A) thickness 12 mm | 500 X 290 mm</t>
  </si>
  <si>
    <t>web pondasi roller | Plate (A) thickness 12 mm | 500 X 120 mm</t>
  </si>
  <si>
    <t>pipa (material lama) | Pipe seamless size. 1 1/4" Sch 40</t>
  </si>
  <si>
    <t>JR rev.02 Aktualisasi (18/12/24)</t>
  </si>
  <si>
    <t>Bongkar dan pasang baru valve induk seachest, Globe valve 8" 10K</t>
  </si>
  <si>
    <t xml:space="preserve"> | Reinforced rubber packing size. 5mm | 330 X 330 mm</t>
  </si>
  <si>
    <t xml:space="preserve"> | B/N SS size. 3/4" X 3"</t>
  </si>
  <si>
    <t>modifikasi line (material lama) | Pipe seamless size. 8" Sch 80</t>
  </si>
  <si>
    <t>modifikasi line (material lama) | Flange plate size. 8" 10K</t>
  </si>
  <si>
    <t>modifikasi line (material lama) | B/N SS size. 3/4" X 3"</t>
  </si>
  <si>
    <t>Servis valve bantu seachest, Globe valve size. 8" 5K</t>
  </si>
  <si>
    <t xml:space="preserve"> | Rames packing white size. 3/8"</t>
  </si>
  <si>
    <t xml:space="preserve"> | Reinforced rubber packing size. 5mm | 380 X 380 mm</t>
  </si>
  <si>
    <t xml:space="preserve"> | Reinforced rubber packing size. 5mm | 240 X 240 mm</t>
  </si>
  <si>
    <t>Servis valve ballast FW Sb, Angle valve size. 5" 5K</t>
  </si>
  <si>
    <t xml:space="preserve"> | Reinforced rubber packing size. 5mm | 280 X 280 mm</t>
  </si>
  <si>
    <t xml:space="preserve"> | Reinforced rubber packing size. 5mm | 200 X 200 mm</t>
  </si>
  <si>
    <t>horizontal plate | Plate (A) thickness 12 mm | 1700 X 310 mm @ 1 sht</t>
  </si>
  <si>
    <t>Replating transome lis doubling plate PS</t>
  </si>
  <si>
    <t>vertical plate | Plate (A) thickness 12 mm | 880 X 300 mm @ 1 sht</t>
  </si>
  <si>
    <t>horizontal plate | Plate (A) thickness 12 mm | 2130 X 250 mm @ 1 sht</t>
  </si>
  <si>
    <t xml:space="preserve"> | Plate (A) thickness 10 mm | 1500 X 600 mm @ 1 sht</t>
  </si>
  <si>
    <t xml:space="preserve"> | Plate (A) thickness 10 mm | 550 X 330 mm @ 1 sht</t>
  </si>
  <si>
    <t xml:space="preserve"> | Plate (A) thickness 10 mm | 490 X 320 mm @ 1 sht</t>
  </si>
  <si>
    <t xml:space="preserve"> | Plate (A) thickness 10 mm | 300 X 300 mm @ 1 sht</t>
  </si>
  <si>
    <t xml:space="preserve"> | Plate (A) thickness 10 mm | 460 X 450 mm @ 1 sht</t>
  </si>
  <si>
    <t xml:space="preserve"> | Plate (A) thickness 10 mm | 500 X 500 mm @ 1 sht</t>
  </si>
  <si>
    <t xml:space="preserve"> | Plate (A) thickness 10 mm | 390 X 400 mm @ 1 sht</t>
  </si>
  <si>
    <t xml:space="preserve"> | Plate (A) thickness 10 mm | 480 X 820 mm @ 1 sht</t>
  </si>
  <si>
    <t xml:space="preserve"> | Plate (A) thickness 10 mm | 710 X 930 mm @ 1 sht</t>
  </si>
  <si>
    <t xml:space="preserve"> | Plate (A) thickness 10 mm | 2010 X 210 mm @ 1 sht</t>
  </si>
  <si>
    <t xml:space="preserve"> | Plate (A) thickness 10 mm | 1000 X 910 mm @ 1 sht</t>
  </si>
  <si>
    <t xml:space="preserve"> | Plate (A) thickness 10 mm | 1010 X 190 mm @ 1 sht</t>
  </si>
  <si>
    <t xml:space="preserve"> | Plate (A) thickness 10 mm | 300 X 210 mm @ 1 sht</t>
  </si>
  <si>
    <t xml:space="preserve"> | Plate (A) thickness 10 mm | 800 X 470 mm @ 1 sht</t>
  </si>
  <si>
    <t>3rd deck</t>
  </si>
  <si>
    <t xml:space="preserve"> | Plate (A) thickness 8 mm | 310 X 310 mm @ 1 sht</t>
  </si>
  <si>
    <t xml:space="preserve"> | Plate (A) thickness 8 mm | 1410 X 1150 mm @ 1 sht</t>
  </si>
  <si>
    <t xml:space="preserve"> | Plate (A) thickness 8 mm | 1310 X 720 mm @ 1 sht</t>
  </si>
  <si>
    <t xml:space="preserve"> | Plate (A) thickness 8 mm | 270 X 270 mm @ 1 sht</t>
  </si>
  <si>
    <t>Buka pasang plafon dan ranjang kamar kkm</t>
  </si>
  <si>
    <t>Penyemenan 3rd deck</t>
  </si>
  <si>
    <t>Penyemenan area | 1300 X 1200 mm</t>
  </si>
  <si>
    <t>Penyemenan nat | 1310 X 710 mm</t>
  </si>
  <si>
    <t>Penyemenan nat | 1400 X 1150 mm</t>
  </si>
  <si>
    <t>Connect strainer to pompa No.1 dan pompa No. 1 to manifold transfer</t>
  </si>
  <si>
    <t xml:space="preserve"> | Studbolt SS size. 3/4" | 75 mm @ 8 pcs</t>
  </si>
  <si>
    <t xml:space="preserve"> | Nut SS size. 3/4"</t>
  </si>
  <si>
    <t xml:space="preserve"> | B/N CS size. 5/8" X 2 1/2"</t>
  </si>
  <si>
    <t xml:space="preserve"> | Rubber packing size. 3.2mm | 240 X 240 mm</t>
  </si>
  <si>
    <t xml:space="preserve"> | Rubber packing size. 3.2mm | 200 X 200 mm</t>
  </si>
  <si>
    <t xml:space="preserve"> | Rubber packing size. 5mm | 240 X 240 mm</t>
  </si>
  <si>
    <t>JR rev.10 Additional work by owner  (28/02/25)</t>
  </si>
  <si>
    <t>Pipa pendingin mesin generator</t>
  </si>
  <si>
    <t>|Pipe seamless size. 1 1/2" Sch 80</t>
  </si>
  <si>
    <t>|Elbow black size. 1 1/2" Sch. 80</t>
  </si>
  <si>
    <t>|Rubber packing size. 5mm | 150 X 150 mm</t>
  </si>
  <si>
    <t>Supply Non sag epoxy A-B @ 1 kaleng</t>
  </si>
  <si>
    <t>Doubling plat bottom (Bocor)</t>
  </si>
  <si>
    <t xml:space="preserve"> | Plate (A) thickness 6 mm | 150 X 600 mm @ 1 sht</t>
  </si>
  <si>
    <t>kg</t>
  </si>
  <si>
    <t xml:space="preserve"> | Plate (A) thickness 6 mm | 150 X 200 mm @ 1 sht</t>
  </si>
  <si>
    <t xml:space="preserve"> | Plate (A) thickness 6 mm | 150 X 650 mm @ 1 sht</t>
  </si>
  <si>
    <t>Top | Plate (A) thickness 8 mm | 80 X 80 mm @ 1 sht</t>
  </si>
  <si>
    <t>Colar | Plate (A) thickness 6 mm | 160 X 160 mm @ 1 sht</t>
  </si>
  <si>
    <t>Pipe 3" Sch 80 @100 mm</t>
  </si>
  <si>
    <t>Penyemenan area bocor</t>
  </si>
  <si>
    <t>ls</t>
  </si>
  <si>
    <t>1</t>
  </si>
  <si>
    <t>Exhaust pipe PS</t>
  </si>
  <si>
    <t>2</t>
  </si>
  <si>
    <t>Exhaust pipe SB</t>
  </si>
  <si>
    <t>Modifikasi line akibat valve baru, 4 joint</t>
  </si>
  <si>
    <t>Rekondisi railing main deck buritan, 1 set</t>
  </si>
  <si>
    <t>Penyambungan Listrik Darat Ke Kapal</t>
  </si>
  <si>
    <t>Suplai Listrik  16A 380V selama diatas dock dan sandar (15 November 2024- 3 Maret 2025)</t>
  </si>
  <si>
    <t xml:space="preserve">Fasilitas sandar sesudah docking (sewa sandar) </t>
  </si>
  <si>
    <t xml:space="preserve">Sewa dock selama tongkang dalam perbaikan </t>
  </si>
  <si>
    <t>lis bottom-sideshell haluan PS | Angle bar size. 100 x 100 x 10 mm | 1987 mm</t>
  </si>
  <si>
    <t>lis bottom-sideshell haluan SB | Angle bar size. 100 x 100 x 10 mm | 213 mm</t>
  </si>
  <si>
    <t>MAIN JOB</t>
  </si>
  <si>
    <t>ADDITIONAL JOB</t>
  </si>
  <si>
    <t>Balikpapan, 17 November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</si>
</sst>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5" formatCode="_-&quot;IDR&quot;* #,##0_-;\-&quot;IDR&quot;* #,##0_-;_-&quot;IDR&quot;* &quot;-&quot;_-;_-@_-"/>
    <numFmt numFmtId="166" formatCode="_([$IDR]\ * #,##0_);_([$IDR]\ * \(#,##0\);_([$IDR]\ * &quot;-&quot;??_);_(@_)"/>
    <numFmt numFmtId="167" formatCode="_(&quot;IDR&quot;* #,##0_);_(&quot;IDR&quot;* \(#,##0\);_(&quot;IDR&quot;* &quot;-&quot;_);_(@_)"/>
    <numFmt numFmtId="168" formatCode="_-* #,##0_-;\-* #,##0_-;_-* &quot;-&quot;??_-;_-@_-"/>
  </numFmts>
  <fonts count="2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222222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u/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0"/>
      <name val="Arial"/>
      <family val="2"/>
    </font>
    <font>
      <b/>
      <sz val="11"/>
      <name val="Arial"/>
      <family val="2"/>
    </font>
    <font>
      <sz val="12"/>
      <name val="Calibri"/>
      <family val="2"/>
      <scheme val="minor"/>
    </font>
    <font>
      <sz val="12"/>
      <name val="Arial"/>
      <family val="2"/>
    </font>
    <font>
      <sz val="12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</borders>
  <cellStyleXfs count="130">
    <xf numFmtId="0" fontId="0" fillId="0" borderId="0"/>
    <xf numFmtId="165" fontId="3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43" fontId="2" fillId="0" borderId="0" applyFont="0" applyFill="0" applyBorder="0" applyAlignment="0" applyProtection="0"/>
    <xf numFmtId="0" fontId="2" fillId="0" borderId="0"/>
    <xf numFmtId="0" fontId="1" fillId="0" borderId="0"/>
  </cellStyleXfs>
  <cellXfs count="296">
    <xf numFmtId="0" fontId="0" fillId="0" borderId="0" xfId="0"/>
    <xf numFmtId="0" fontId="4" fillId="2" borderId="3" xfId="0" applyFont="1" applyFill="1" applyBorder="1"/>
    <xf numFmtId="0" fontId="4" fillId="2" borderId="8" xfId="0" applyFont="1" applyFill="1" applyBorder="1"/>
    <xf numFmtId="0" fontId="4" fillId="2" borderId="13" xfId="0" applyFont="1" applyFill="1" applyBorder="1"/>
    <xf numFmtId="0" fontId="4" fillId="2" borderId="14" xfId="0" applyFont="1" applyFill="1" applyBorder="1"/>
    <xf numFmtId="0" fontId="5" fillId="2" borderId="0" xfId="0" applyFont="1" applyFill="1"/>
    <xf numFmtId="0" fontId="8" fillId="0" borderId="0" xfId="0" applyFont="1"/>
    <xf numFmtId="165" fontId="4" fillId="2" borderId="1" xfId="1" applyFont="1" applyFill="1" applyBorder="1"/>
    <xf numFmtId="0" fontId="10" fillId="2" borderId="13" xfId="0" quotePrefix="1" applyFont="1" applyFill="1" applyBorder="1" applyAlignment="1">
      <alignment horizontal="left" vertical="center"/>
    </xf>
    <xf numFmtId="0" fontId="10" fillId="2" borderId="14" xfId="0" quotePrefix="1" applyFont="1" applyFill="1" applyBorder="1" applyAlignment="1">
      <alignment horizontal="center" vertical="center"/>
    </xf>
    <xf numFmtId="0" fontId="10" fillId="2" borderId="15" xfId="0" quotePrefix="1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right"/>
    </xf>
    <xf numFmtId="0" fontId="4" fillId="2" borderId="15" xfId="0" applyFont="1" applyFill="1" applyBorder="1"/>
    <xf numFmtId="0" fontId="5" fillId="2" borderId="1" xfId="0" applyFont="1" applyFill="1" applyBorder="1" applyAlignment="1">
      <alignment horizontal="center"/>
    </xf>
    <xf numFmtId="165" fontId="0" fillId="0" borderId="0" xfId="0" applyNumberFormat="1"/>
    <xf numFmtId="0" fontId="0" fillId="2" borderId="5" xfId="0" applyFill="1" applyBorder="1"/>
    <xf numFmtId="0" fontId="0" fillId="2" borderId="6" xfId="0" applyFill="1" applyBorder="1"/>
    <xf numFmtId="0" fontId="13" fillId="2" borderId="0" xfId="0" applyFont="1" applyFill="1"/>
    <xf numFmtId="0" fontId="4" fillId="2" borderId="0" xfId="0" applyFont="1" applyFill="1"/>
    <xf numFmtId="0" fontId="4" fillId="2" borderId="4" xfId="0" applyFont="1" applyFill="1" applyBorder="1"/>
    <xf numFmtId="0" fontId="14" fillId="2" borderId="0" xfId="0" applyFont="1" applyFill="1"/>
    <xf numFmtId="0" fontId="4" fillId="2" borderId="9" xfId="0" applyFont="1" applyFill="1" applyBorder="1"/>
    <xf numFmtId="0" fontId="4" fillId="2" borderId="6" xfId="0" applyFont="1" applyFill="1" applyBorder="1"/>
    <xf numFmtId="0" fontId="0" fillId="0" borderId="1" xfId="0" applyBorder="1"/>
    <xf numFmtId="0" fontId="4" fillId="2" borderId="6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4" borderId="0" xfId="0" applyFont="1" applyFill="1"/>
    <xf numFmtId="0" fontId="10" fillId="4" borderId="0" xfId="0" applyFont="1" applyFill="1" applyAlignment="1">
      <alignment horizontal="center"/>
    </xf>
    <xf numFmtId="0" fontId="10" fillId="4" borderId="5" xfId="0" applyFont="1" applyFill="1" applyBorder="1" applyAlignment="1">
      <alignment horizontal="left"/>
    </xf>
    <xf numFmtId="166" fontId="10" fillId="4" borderId="11" xfId="0" applyNumberFormat="1" applyFont="1" applyFill="1" applyBorder="1" applyAlignment="1">
      <alignment vertical="center"/>
    </xf>
    <xf numFmtId="0" fontId="9" fillId="2" borderId="6" xfId="0" applyFont="1" applyFill="1" applyBorder="1"/>
    <xf numFmtId="0" fontId="13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0" fillId="0" borderId="0" xfId="0" applyAlignment="1">
      <alignment vertical="center"/>
    </xf>
    <xf numFmtId="0" fontId="0" fillId="2" borderId="0" xfId="0" applyFill="1"/>
    <xf numFmtId="0" fontId="5" fillId="2" borderId="15" xfId="0" applyFont="1" applyFill="1" applyBorder="1" applyAlignment="1">
      <alignment horizontal="center"/>
    </xf>
    <xf numFmtId="165" fontId="5" fillId="2" borderId="1" xfId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5" fillId="2" borderId="3" xfId="0" applyFont="1" applyFill="1" applyBorder="1"/>
    <xf numFmtId="20" fontId="10" fillId="4" borderId="5" xfId="0" applyNumberFormat="1" applyFont="1" applyFill="1" applyBorder="1" applyAlignment="1">
      <alignment horizontal="left"/>
    </xf>
    <xf numFmtId="0" fontId="11" fillId="2" borderId="0" xfId="0" applyFont="1" applyFill="1"/>
    <xf numFmtId="0" fontId="5" fillId="2" borderId="8" xfId="0" applyFont="1" applyFill="1" applyBorder="1"/>
    <xf numFmtId="0" fontId="4" fillId="2" borderId="0" xfId="0" applyFont="1" applyFill="1" applyAlignment="1">
      <alignment vertical="top"/>
    </xf>
    <xf numFmtId="0" fontId="9" fillId="2" borderId="10" xfId="0" applyFont="1" applyFill="1" applyBorder="1"/>
    <xf numFmtId="0" fontId="9" fillId="2" borderId="11" xfId="0" applyFont="1" applyFill="1" applyBorder="1"/>
    <xf numFmtId="0" fontId="4" fillId="2" borderId="5" xfId="0" applyFont="1" applyFill="1" applyBorder="1" applyAlignment="1">
      <alignment horizontal="left"/>
    </xf>
    <xf numFmtId="165" fontId="4" fillId="2" borderId="11" xfId="1" applyFont="1" applyFill="1" applyBorder="1"/>
    <xf numFmtId="0" fontId="10" fillId="2" borderId="5" xfId="0" quotePrefix="1" applyFont="1" applyFill="1" applyBorder="1" applyAlignment="1">
      <alignment horizontal="left" vertical="center"/>
    </xf>
    <xf numFmtId="0" fontId="10" fillId="2" borderId="0" xfId="0" quotePrefix="1" applyFont="1" applyFill="1" applyAlignment="1">
      <alignment horizontal="center" vertical="center"/>
    </xf>
    <xf numFmtId="0" fontId="10" fillId="2" borderId="6" xfId="0" quotePrefix="1" applyFont="1" applyFill="1" applyBorder="1" applyAlignment="1">
      <alignment horizontal="center" vertical="center"/>
    </xf>
    <xf numFmtId="166" fontId="10" fillId="3" borderId="11" xfId="0" applyNumberFormat="1" applyFont="1" applyFill="1" applyBorder="1" applyAlignment="1">
      <alignment vertical="center"/>
    </xf>
    <xf numFmtId="165" fontId="4" fillId="2" borderId="6" xfId="1" applyFont="1" applyFill="1" applyBorder="1"/>
    <xf numFmtId="0" fontId="15" fillId="2" borderId="5" xfId="0" quotePrefix="1" applyFont="1" applyFill="1" applyBorder="1" applyAlignment="1">
      <alignment horizontal="left" vertical="center"/>
    </xf>
    <xf numFmtId="165" fontId="4" fillId="2" borderId="15" xfId="1" applyFont="1" applyFill="1" applyBorder="1"/>
    <xf numFmtId="166" fontId="10" fillId="3" borderId="0" xfId="0" applyNumberFormat="1" applyFont="1" applyFill="1" applyAlignment="1">
      <alignment vertical="center"/>
    </xf>
    <xf numFmtId="165" fontId="10" fillId="3" borderId="0" xfId="1" applyFont="1" applyFill="1" applyBorder="1" applyAlignment="1">
      <alignment vertical="center"/>
    </xf>
    <xf numFmtId="167" fontId="10" fillId="3" borderId="6" xfId="0" applyNumberFormat="1" applyFont="1" applyFill="1" applyBorder="1"/>
    <xf numFmtId="167" fontId="10" fillId="3" borderId="0" xfId="0" applyNumberFormat="1" applyFont="1" applyFill="1"/>
    <xf numFmtId="0" fontId="9" fillId="5" borderId="0" xfId="112" quotePrefix="1" applyFont="1" applyFill="1" applyAlignment="1">
      <alignment horizontal="center" vertical="center"/>
    </xf>
    <xf numFmtId="0" fontId="9" fillId="5" borderId="0" xfId="112" applyFont="1" applyFill="1"/>
    <xf numFmtId="0" fontId="9" fillId="5" borderId="6" xfId="112" applyFont="1" applyFill="1" applyBorder="1"/>
    <xf numFmtId="166" fontId="10" fillId="3" borderId="6" xfId="0" applyNumberFormat="1" applyFont="1" applyFill="1" applyBorder="1" applyAlignment="1">
      <alignment vertical="center"/>
    </xf>
    <xf numFmtId="168" fontId="16" fillId="5" borderId="5" xfId="127" applyNumberFormat="1" applyFont="1" applyFill="1" applyBorder="1" applyAlignment="1">
      <alignment horizontal="right"/>
    </xf>
    <xf numFmtId="0" fontId="16" fillId="5" borderId="6" xfId="112" applyFont="1" applyFill="1" applyBorder="1"/>
    <xf numFmtId="165" fontId="10" fillId="3" borderId="11" xfId="1" applyFont="1" applyFill="1" applyBorder="1" applyAlignment="1">
      <alignment vertical="center"/>
    </xf>
    <xf numFmtId="0" fontId="9" fillId="2" borderId="0" xfId="112" quotePrefix="1" applyFont="1" applyFill="1" applyAlignment="1">
      <alignment horizontal="center" vertical="center"/>
    </xf>
    <xf numFmtId="165" fontId="12" fillId="2" borderId="11" xfId="1" applyFont="1" applyFill="1" applyBorder="1"/>
    <xf numFmtId="166" fontId="10" fillId="4" borderId="6" xfId="0" applyNumberFormat="1" applyFont="1" applyFill="1" applyBorder="1" applyAlignment="1">
      <alignment vertical="center"/>
    </xf>
    <xf numFmtId="0" fontId="9" fillId="5" borderId="0" xfId="112" applyFont="1" applyFill="1" applyAlignment="1">
      <alignment horizontal="left"/>
    </xf>
    <xf numFmtId="0" fontId="9" fillId="5" borderId="6" xfId="128" applyFont="1" applyFill="1" applyBorder="1"/>
    <xf numFmtId="0" fontId="9" fillId="5" borderId="5" xfId="112" applyFont="1" applyFill="1" applyBorder="1" applyAlignment="1">
      <alignment horizontal="center" vertical="center"/>
    </xf>
    <xf numFmtId="0" fontId="9" fillId="5" borderId="0" xfId="112" applyFont="1" applyFill="1" applyAlignment="1">
      <alignment horizontal="center" vertical="center"/>
    </xf>
    <xf numFmtId="165" fontId="10" fillId="3" borderId="6" xfId="1" applyFont="1" applyFill="1" applyBorder="1" applyAlignment="1">
      <alignment vertical="center"/>
    </xf>
    <xf numFmtId="165" fontId="10" fillId="4" borderId="6" xfId="1" applyFont="1" applyFill="1" applyBorder="1" applyAlignment="1">
      <alignment vertical="center"/>
    </xf>
    <xf numFmtId="0" fontId="9" fillId="2" borderId="0" xfId="112" applyFont="1" applyFill="1" applyAlignment="1">
      <alignment horizontal="left"/>
    </xf>
    <xf numFmtId="0" fontId="18" fillId="5" borderId="5" xfId="112" applyFont="1" applyFill="1" applyBorder="1" applyAlignment="1">
      <alignment horizontal="center"/>
    </xf>
    <xf numFmtId="0" fontId="19" fillId="5" borderId="0" xfId="112" applyFont="1" applyFill="1" applyAlignment="1">
      <alignment horizontal="center"/>
    </xf>
    <xf numFmtId="0" fontId="16" fillId="5" borderId="6" xfId="128" applyFont="1" applyFill="1" applyBorder="1"/>
    <xf numFmtId="0" fontId="9" fillId="5" borderId="6" xfId="112" applyFont="1" applyFill="1" applyBorder="1" applyAlignment="1">
      <alignment vertical="center"/>
    </xf>
    <xf numFmtId="0" fontId="9" fillId="5" borderId="5" xfId="112" quotePrefix="1" applyFont="1" applyFill="1" applyBorder="1" applyAlignment="1">
      <alignment horizontal="center" vertical="center"/>
    </xf>
    <xf numFmtId="0" fontId="9" fillId="2" borderId="5" xfId="112" quotePrefix="1" applyFont="1" applyFill="1" applyBorder="1" applyAlignment="1">
      <alignment horizontal="center" vertical="center"/>
    </xf>
    <xf numFmtId="0" fontId="4" fillId="2" borderId="11" xfId="0" applyFont="1" applyFill="1" applyBorder="1"/>
    <xf numFmtId="165" fontId="4" fillId="0" borderId="11" xfId="1" applyFont="1" applyFill="1" applyBorder="1"/>
    <xf numFmtId="0" fontId="4" fillId="0" borderId="11" xfId="0" applyFont="1" applyBorder="1"/>
    <xf numFmtId="0" fontId="9" fillId="5" borderId="5" xfId="128" quotePrefix="1" applyFont="1" applyFill="1" applyBorder="1" applyAlignment="1">
      <alignment horizontal="center" vertical="center"/>
    </xf>
    <xf numFmtId="0" fontId="9" fillId="5" borderId="0" xfId="112" applyFont="1" applyFill="1" applyAlignment="1">
      <alignment vertical="center"/>
    </xf>
    <xf numFmtId="165" fontId="9" fillId="4" borderId="11" xfId="1" applyFont="1" applyFill="1" applyBorder="1" applyAlignment="1">
      <alignment vertical="center"/>
    </xf>
    <xf numFmtId="165" fontId="9" fillId="2" borderId="11" xfId="1" applyFont="1" applyFill="1" applyBorder="1"/>
    <xf numFmtId="165" fontId="10" fillId="4" borderId="11" xfId="1" applyFont="1" applyFill="1" applyBorder="1" applyAlignment="1">
      <alignment vertical="center"/>
    </xf>
    <xf numFmtId="0" fontId="9" fillId="5" borderId="0" xfId="128" applyFont="1" applyFill="1"/>
    <xf numFmtId="0" fontId="16" fillId="5" borderId="0" xfId="128" applyFont="1" applyFill="1"/>
    <xf numFmtId="0" fontId="16" fillId="5" borderId="0" xfId="112" applyFont="1" applyFill="1"/>
    <xf numFmtId="168" fontId="9" fillId="5" borderId="0" xfId="127" applyNumberFormat="1" applyFont="1" applyFill="1" applyBorder="1" applyAlignment="1">
      <alignment horizontal="right"/>
    </xf>
    <xf numFmtId="0" fontId="9" fillId="5" borderId="6" xfId="112" quotePrefix="1" applyFont="1" applyFill="1" applyBorder="1" applyAlignment="1">
      <alignment horizontal="center" vertical="center"/>
    </xf>
    <xf numFmtId="168" fontId="9" fillId="5" borderId="0" xfId="127" applyNumberFormat="1" applyFont="1" applyFill="1" applyAlignment="1">
      <alignment horizontal="right"/>
    </xf>
    <xf numFmtId="0" fontId="9" fillId="2" borderId="6" xfId="112" quotePrefix="1" applyFont="1" applyFill="1" applyBorder="1" applyAlignment="1">
      <alignment horizontal="center" vertical="center"/>
    </xf>
    <xf numFmtId="0" fontId="17" fillId="5" borderId="0" xfId="112" quotePrefix="1" applyFont="1" applyFill="1" applyAlignment="1">
      <alignment horizontal="center" vertical="center"/>
    </xf>
    <xf numFmtId="0" fontId="17" fillId="5" borderId="6" xfId="112" quotePrefix="1" applyFont="1" applyFill="1" applyBorder="1" applyAlignment="1">
      <alignment horizontal="center" vertical="center"/>
    </xf>
    <xf numFmtId="0" fontId="17" fillId="6" borderId="0" xfId="112" applyFont="1" applyFill="1"/>
    <xf numFmtId="0" fontId="17" fillId="6" borderId="6" xfId="112" applyFont="1" applyFill="1" applyBorder="1"/>
    <xf numFmtId="0" fontId="17" fillId="5" borderId="6" xfId="112" applyFont="1" applyFill="1" applyBorder="1"/>
    <xf numFmtId="0" fontId="12" fillId="2" borderId="11" xfId="0" applyFont="1" applyFill="1" applyBorder="1"/>
    <xf numFmtId="168" fontId="16" fillId="5" borderId="0" xfId="127" applyNumberFormat="1" applyFont="1" applyFill="1" applyAlignment="1">
      <alignment horizontal="right"/>
    </xf>
    <xf numFmtId="165" fontId="16" fillId="4" borderId="6" xfId="1" applyFont="1" applyFill="1" applyBorder="1" applyAlignment="1">
      <alignment vertical="center"/>
    </xf>
    <xf numFmtId="0" fontId="17" fillId="5" borderId="5" xfId="112" quotePrefix="1" applyFont="1" applyFill="1" applyBorder="1" applyAlignment="1">
      <alignment horizontal="left" vertical="center"/>
    </xf>
    <xf numFmtId="0" fontId="17" fillId="5" borderId="0" xfId="112" applyFont="1" applyFill="1"/>
    <xf numFmtId="0" fontId="9" fillId="5" borderId="5" xfId="112" applyFont="1" applyFill="1" applyBorder="1" applyAlignment="1">
      <alignment horizontal="left" vertical="center"/>
    </xf>
    <xf numFmtId="0" fontId="9" fillId="5" borderId="6" xfId="112" applyFont="1" applyFill="1" applyBorder="1" applyAlignment="1">
      <alignment horizontal="center"/>
    </xf>
    <xf numFmtId="0" fontId="9" fillId="5" borderId="0" xfId="112" applyFont="1" applyFill="1" applyAlignment="1">
      <alignment horizontal="center"/>
    </xf>
    <xf numFmtId="0" fontId="9" fillId="3" borderId="5" xfId="112" applyFont="1" applyFill="1" applyBorder="1" applyAlignment="1">
      <alignment horizontal="left"/>
    </xf>
    <xf numFmtId="0" fontId="9" fillId="5" borderId="6" xfId="112" applyFont="1" applyFill="1" applyBorder="1" applyAlignment="1">
      <alignment horizontal="center" vertical="center"/>
    </xf>
    <xf numFmtId="0" fontId="9" fillId="3" borderId="0" xfId="112" applyFont="1" applyFill="1" applyAlignment="1">
      <alignment vertical="center"/>
    </xf>
    <xf numFmtId="0" fontId="17" fillId="3" borderId="5" xfId="112" applyFont="1" applyFill="1" applyBorder="1" applyAlignment="1">
      <alignment horizontal="left"/>
    </xf>
    <xf numFmtId="0" fontId="17" fillId="5" borderId="5" xfId="112" applyFont="1" applyFill="1" applyBorder="1" applyAlignment="1">
      <alignment horizontal="left"/>
    </xf>
    <xf numFmtId="0" fontId="17" fillId="5" borderId="0" xfId="112" applyFont="1" applyFill="1" applyAlignment="1">
      <alignment horizontal="left"/>
    </xf>
    <xf numFmtId="0" fontId="17" fillId="5" borderId="5" xfId="112" applyFont="1" applyFill="1" applyBorder="1" applyAlignment="1">
      <alignment horizontal="center"/>
    </xf>
    <xf numFmtId="0" fontId="17" fillId="5" borderId="6" xfId="112" applyFont="1" applyFill="1" applyBorder="1" applyAlignment="1">
      <alignment horizontal="center"/>
    </xf>
    <xf numFmtId="0" fontId="9" fillId="5" borderId="5" xfId="112" applyFont="1" applyFill="1" applyBorder="1" applyAlignment="1">
      <alignment horizontal="center"/>
    </xf>
    <xf numFmtId="0" fontId="9" fillId="3" borderId="6" xfId="112" applyFont="1" applyFill="1" applyBorder="1" applyAlignment="1">
      <alignment horizontal="center"/>
    </xf>
    <xf numFmtId="0" fontId="9" fillId="3" borderId="0" xfId="112" applyFont="1" applyFill="1"/>
    <xf numFmtId="0" fontId="9" fillId="3" borderId="0" xfId="112" quotePrefix="1" applyFont="1" applyFill="1"/>
    <xf numFmtId="0" fontId="9" fillId="3" borderId="6" xfId="112" applyFont="1" applyFill="1" applyBorder="1"/>
    <xf numFmtId="1" fontId="9" fillId="3" borderId="0" xfId="112" applyNumberFormat="1" applyFont="1" applyFill="1"/>
    <xf numFmtId="0" fontId="17" fillId="3" borderId="6" xfId="112" applyFont="1" applyFill="1" applyBorder="1" applyAlignment="1">
      <alignment horizontal="center"/>
    </xf>
    <xf numFmtId="0" fontId="17" fillId="3" borderId="0" xfId="112" applyFont="1" applyFill="1"/>
    <xf numFmtId="0" fontId="17" fillId="3" borderId="0" xfId="112" quotePrefix="1" applyFont="1" applyFill="1"/>
    <xf numFmtId="0" fontId="17" fillId="3" borderId="6" xfId="112" applyFont="1" applyFill="1" applyBorder="1"/>
    <xf numFmtId="0" fontId="10" fillId="5" borderId="5" xfId="112" quotePrefix="1" applyFont="1" applyFill="1" applyBorder="1" applyAlignment="1">
      <alignment horizontal="left" vertical="center"/>
    </xf>
    <xf numFmtId="0" fontId="10" fillId="5" borderId="6" xfId="112" quotePrefix="1" applyFont="1" applyFill="1" applyBorder="1" applyAlignment="1">
      <alignment horizontal="center" vertical="center"/>
    </xf>
    <xf numFmtId="0" fontId="10" fillId="5" borderId="0" xfId="112" applyFont="1" applyFill="1" applyAlignment="1">
      <alignment horizontal="left"/>
    </xf>
    <xf numFmtId="0" fontId="10" fillId="5" borderId="0" xfId="128" applyFont="1" applyFill="1" applyAlignment="1">
      <alignment horizontal="left"/>
    </xf>
    <xf numFmtId="0" fontId="10" fillId="5" borderId="6" xfId="112" applyFont="1" applyFill="1" applyBorder="1" applyAlignment="1">
      <alignment horizontal="left"/>
    </xf>
    <xf numFmtId="0" fontId="10" fillId="5" borderId="0" xfId="112" applyFont="1" applyFill="1"/>
    <xf numFmtId="0" fontId="10" fillId="6" borderId="0" xfId="112" applyFont="1" applyFill="1" applyAlignment="1">
      <alignment horizontal="left"/>
    </xf>
    <xf numFmtId="0" fontId="10" fillId="6" borderId="6" xfId="112" applyFont="1" applyFill="1" applyBorder="1" applyAlignment="1">
      <alignment horizontal="left"/>
    </xf>
    <xf numFmtId="0" fontId="9" fillId="5" borderId="6" xfId="112" applyFont="1" applyFill="1" applyBorder="1" applyAlignment="1">
      <alignment horizontal="left"/>
    </xf>
    <xf numFmtId="0" fontId="9" fillId="5" borderId="6" xfId="128" applyFont="1" applyFill="1" applyBorder="1" applyAlignment="1">
      <alignment horizontal="center"/>
    </xf>
    <xf numFmtId="0" fontId="9" fillId="5" borderId="0" xfId="112" quotePrefix="1" applyFont="1" applyFill="1" applyAlignment="1">
      <alignment horizontal="left"/>
    </xf>
    <xf numFmtId="0" fontId="9" fillId="5" borderId="0" xfId="128" quotePrefix="1" applyFont="1" applyFill="1"/>
    <xf numFmtId="0" fontId="10" fillId="5" borderId="5" xfId="112" applyFont="1" applyFill="1" applyBorder="1" applyAlignment="1">
      <alignment horizontal="center" vertical="center"/>
    </xf>
    <xf numFmtId="0" fontId="10" fillId="5" borderId="6" xfId="112" applyFont="1" applyFill="1" applyBorder="1" applyAlignment="1">
      <alignment horizontal="center" vertical="center"/>
    </xf>
    <xf numFmtId="168" fontId="10" fillId="5" borderId="0" xfId="127" applyNumberFormat="1" applyFont="1" applyFill="1" applyBorder="1" applyAlignment="1">
      <alignment horizontal="right"/>
    </xf>
    <xf numFmtId="0" fontId="10" fillId="5" borderId="0" xfId="128" applyFont="1" applyFill="1"/>
    <xf numFmtId="43" fontId="9" fillId="5" borderId="0" xfId="127" applyFont="1" applyFill="1" applyBorder="1" applyAlignment="1">
      <alignment horizontal="right"/>
    </xf>
    <xf numFmtId="0" fontId="19" fillId="5" borderId="6" xfId="112" applyFont="1" applyFill="1" applyBorder="1" applyAlignment="1">
      <alignment horizontal="center"/>
    </xf>
    <xf numFmtId="49" fontId="9" fillId="5" borderId="0" xfId="127" applyNumberFormat="1" applyFont="1" applyFill="1" applyBorder="1" applyAlignment="1">
      <alignment horizontal="right"/>
    </xf>
    <xf numFmtId="168" fontId="19" fillId="5" borderId="0" xfId="127" applyNumberFormat="1" applyFont="1" applyFill="1" applyBorder="1" applyAlignment="1">
      <alignment horizontal="right"/>
    </xf>
    <xf numFmtId="0" fontId="9" fillId="5" borderId="5" xfId="112" quotePrefix="1" applyFont="1" applyFill="1" applyBorder="1" applyAlignment="1">
      <alignment horizontal="left" vertical="center"/>
    </xf>
    <xf numFmtId="2" fontId="9" fillId="3" borderId="0" xfId="112" applyNumberFormat="1" applyFont="1" applyFill="1"/>
    <xf numFmtId="2" fontId="9" fillId="5" borderId="0" xfId="127" applyNumberFormat="1" applyFont="1" applyFill="1" applyBorder="1" applyAlignment="1">
      <alignment horizontal="right"/>
    </xf>
    <xf numFmtId="0" fontId="15" fillId="6" borderId="0" xfId="112" applyFont="1" applyFill="1" applyAlignment="1">
      <alignment horizontal="left"/>
    </xf>
    <xf numFmtId="0" fontId="15" fillId="6" borderId="6" xfId="112" applyFont="1" applyFill="1" applyBorder="1" applyAlignment="1">
      <alignment horizontal="left"/>
    </xf>
    <xf numFmtId="0" fontId="10" fillId="5" borderId="6" xfId="128" applyFont="1" applyFill="1" applyBorder="1"/>
    <xf numFmtId="43" fontId="9" fillId="5" borderId="0" xfId="127" applyFont="1" applyFill="1" applyAlignment="1">
      <alignment horizontal="right"/>
    </xf>
    <xf numFmtId="0" fontId="10" fillId="5" borderId="5" xfId="112" quotePrefix="1" applyFont="1" applyFill="1" applyBorder="1" applyAlignment="1">
      <alignment horizontal="center" vertical="center"/>
    </xf>
    <xf numFmtId="0" fontId="10" fillId="5" borderId="6" xfId="112" applyFont="1" applyFill="1" applyBorder="1"/>
    <xf numFmtId="49" fontId="10" fillId="5" borderId="0" xfId="127" applyNumberFormat="1" applyFont="1" applyFill="1" applyBorder="1" applyAlignment="1">
      <alignment horizontal="right"/>
    </xf>
    <xf numFmtId="0" fontId="10" fillId="6" borderId="0" xfId="112" applyFont="1" applyFill="1"/>
    <xf numFmtId="0" fontId="10" fillId="6" borderId="6" xfId="112" applyFont="1" applyFill="1" applyBorder="1"/>
    <xf numFmtId="0" fontId="10" fillId="3" borderId="6" xfId="112" applyFont="1" applyFill="1" applyBorder="1" applyAlignment="1">
      <alignment horizontal="center"/>
    </xf>
    <xf numFmtId="0" fontId="10" fillId="3" borderId="0" xfId="112" applyFont="1" applyFill="1"/>
    <xf numFmtId="0" fontId="10" fillId="3" borderId="0" xfId="112" quotePrefix="1" applyFont="1" applyFill="1"/>
    <xf numFmtId="0" fontId="10" fillId="3" borderId="6" xfId="112" applyFont="1" applyFill="1" applyBorder="1"/>
    <xf numFmtId="168" fontId="10" fillId="5" borderId="0" xfId="127" applyNumberFormat="1" applyFont="1" applyFill="1" applyAlignment="1">
      <alignment horizontal="right"/>
    </xf>
    <xf numFmtId="0" fontId="9" fillId="3" borderId="5" xfId="112" applyFont="1" applyFill="1" applyBorder="1" applyAlignment="1">
      <alignment horizontal="center" vertical="center"/>
    </xf>
    <xf numFmtId="0" fontId="9" fillId="3" borderId="6" xfId="112" applyFont="1" applyFill="1" applyBorder="1" applyAlignment="1">
      <alignment horizontal="center" vertical="center"/>
    </xf>
    <xf numFmtId="0" fontId="10" fillId="5" borderId="6" xfId="114" applyFont="1" applyFill="1" applyBorder="1"/>
    <xf numFmtId="43" fontId="9" fillId="5" borderId="5" xfId="127" applyFont="1" applyFill="1" applyBorder="1" applyAlignment="1">
      <alignment horizontal="right"/>
    </xf>
    <xf numFmtId="0" fontId="9" fillId="5" borderId="5" xfId="128" quotePrefix="1" applyFont="1" applyFill="1" applyBorder="1" applyAlignment="1">
      <alignment horizontal="left" vertical="center"/>
    </xf>
    <xf numFmtId="0" fontId="9" fillId="5" borderId="6" xfId="128" quotePrefix="1" applyFont="1" applyFill="1" applyBorder="1" applyAlignment="1">
      <alignment horizontal="center" vertical="center"/>
    </xf>
    <xf numFmtId="43" fontId="9" fillId="5" borderId="0" xfId="128" applyNumberFormat="1" applyFont="1" applyFill="1"/>
    <xf numFmtId="0" fontId="10" fillId="5" borderId="6" xfId="112" quotePrefix="1" applyFont="1" applyFill="1" applyBorder="1" applyAlignment="1">
      <alignment horizontal="right" vertical="center"/>
    </xf>
    <xf numFmtId="0" fontId="15" fillId="5" borderId="0" xfId="112" applyFont="1" applyFill="1"/>
    <xf numFmtId="1" fontId="10" fillId="5" borderId="0" xfId="112" applyNumberFormat="1" applyFont="1" applyFill="1"/>
    <xf numFmtId="0" fontId="15" fillId="6" borderId="0" xfId="112" applyFont="1" applyFill="1"/>
    <xf numFmtId="0" fontId="9" fillId="5" borderId="6" xfId="112" quotePrefix="1" applyFont="1" applyFill="1" applyBorder="1" applyAlignment="1">
      <alignment horizontal="right" vertical="center"/>
    </xf>
    <xf numFmtId="1" fontId="9" fillId="5" borderId="0" xfId="112" applyNumberFormat="1" applyFont="1" applyFill="1"/>
    <xf numFmtId="0" fontId="9" fillId="5" borderId="0" xfId="114" applyFont="1" applyFill="1"/>
    <xf numFmtId="0" fontId="9" fillId="5" borderId="6" xfId="114" applyFont="1" applyFill="1" applyBorder="1" applyAlignment="1">
      <alignment horizontal="right"/>
    </xf>
    <xf numFmtId="0" fontId="9" fillId="5" borderId="0" xfId="114" applyFont="1" applyFill="1" applyAlignment="1">
      <alignment vertical="center"/>
    </xf>
    <xf numFmtId="0" fontId="9" fillId="5" borderId="6" xfId="114" applyFont="1" applyFill="1" applyBorder="1"/>
    <xf numFmtId="1" fontId="9" fillId="5" borderId="0" xfId="114" applyNumberFormat="1" applyFont="1" applyFill="1" applyAlignment="1">
      <alignment vertical="center"/>
    </xf>
    <xf numFmtId="0" fontId="12" fillId="6" borderId="5" xfId="129" applyFont="1" applyFill="1" applyBorder="1" applyAlignment="1">
      <alignment horizontal="left"/>
    </xf>
    <xf numFmtId="0" fontId="12" fillId="6" borderId="0" xfId="129" applyFont="1" applyFill="1"/>
    <xf numFmtId="0" fontId="12" fillId="6" borderId="6" xfId="129" applyFont="1" applyFill="1" applyBorder="1"/>
    <xf numFmtId="0" fontId="15" fillId="5" borderId="5" xfId="129" applyFont="1" applyFill="1" applyBorder="1" applyAlignment="1">
      <alignment horizontal="left" vertical="center"/>
    </xf>
    <xf numFmtId="0" fontId="12" fillId="5" borderId="5" xfId="129" applyFont="1" applyFill="1" applyBorder="1" applyAlignment="1">
      <alignment horizontal="left"/>
    </xf>
    <xf numFmtId="0" fontId="4" fillId="5" borderId="0" xfId="129" applyFont="1" applyFill="1"/>
    <xf numFmtId="0" fontId="4" fillId="5" borderId="6" xfId="129" applyFont="1" applyFill="1" applyBorder="1"/>
    <xf numFmtId="0" fontId="17" fillId="5" borderId="5" xfId="129" applyFont="1" applyFill="1" applyBorder="1" applyAlignment="1">
      <alignment horizontal="left" vertical="center"/>
    </xf>
    <xf numFmtId="0" fontId="17" fillId="5" borderId="5" xfId="129" applyFont="1" applyFill="1" applyBorder="1" applyAlignment="1">
      <alignment horizontal="left"/>
    </xf>
    <xf numFmtId="0" fontId="9" fillId="5" borderId="0" xfId="129" applyFont="1" applyFill="1"/>
    <xf numFmtId="0" fontId="9" fillId="2" borderId="6" xfId="129" applyFont="1" applyFill="1" applyBorder="1"/>
    <xf numFmtId="0" fontId="9" fillId="5" borderId="6" xfId="129" applyFont="1" applyFill="1" applyBorder="1"/>
    <xf numFmtId="0" fontId="4" fillId="2" borderId="6" xfId="129" applyFont="1" applyFill="1" applyBorder="1"/>
    <xf numFmtId="1" fontId="9" fillId="5" borderId="5" xfId="114" applyNumberFormat="1" applyFont="1" applyFill="1" applyBorder="1" applyAlignment="1">
      <alignment vertical="center"/>
    </xf>
    <xf numFmtId="2" fontId="9" fillId="5" borderId="5" xfId="114" applyNumberFormat="1" applyFont="1" applyFill="1" applyBorder="1" applyAlignment="1">
      <alignment vertical="center"/>
    </xf>
    <xf numFmtId="0" fontId="10" fillId="5" borderId="6" xfId="114" applyFont="1" applyFill="1" applyBorder="1" applyAlignment="1">
      <alignment horizontal="right"/>
    </xf>
    <xf numFmtId="0" fontId="10" fillId="5" borderId="0" xfId="114" applyFont="1" applyFill="1" applyAlignment="1">
      <alignment vertical="center"/>
    </xf>
    <xf numFmtId="165" fontId="4" fillId="0" borderId="6" xfId="1" applyFont="1" applyFill="1" applyBorder="1"/>
    <xf numFmtId="0" fontId="9" fillId="5" borderId="5" xfId="129" applyFont="1" applyFill="1" applyBorder="1"/>
    <xf numFmtId="0" fontId="4" fillId="5" borderId="5" xfId="129" applyFont="1" applyFill="1" applyBorder="1"/>
    <xf numFmtId="0" fontId="9" fillId="5" borderId="6" xfId="114" applyFont="1" applyFill="1" applyBorder="1" applyAlignment="1">
      <alignment vertical="center"/>
    </xf>
    <xf numFmtId="1" fontId="10" fillId="5" borderId="5" xfId="114" applyNumberFormat="1" applyFont="1" applyFill="1" applyBorder="1" applyAlignment="1">
      <alignment vertical="center"/>
    </xf>
    <xf numFmtId="0" fontId="10" fillId="5" borderId="6" xfId="114" applyFont="1" applyFill="1" applyBorder="1" applyAlignment="1">
      <alignment vertical="center"/>
    </xf>
    <xf numFmtId="0" fontId="15" fillId="6" borderId="0" xfId="114" applyFont="1" applyFill="1"/>
    <xf numFmtId="0" fontId="15" fillId="6" borderId="0" xfId="114" applyFont="1" applyFill="1" applyAlignment="1">
      <alignment vertical="center"/>
    </xf>
    <xf numFmtId="166" fontId="15" fillId="3" borderId="11" xfId="0" applyNumberFormat="1" applyFont="1" applyFill="1" applyBorder="1" applyAlignment="1">
      <alignment vertical="center"/>
    </xf>
    <xf numFmtId="166" fontId="15" fillId="4" borderId="11" xfId="0" applyNumberFormat="1" applyFont="1" applyFill="1" applyBorder="1" applyAlignment="1">
      <alignment vertical="center"/>
    </xf>
    <xf numFmtId="165" fontId="12" fillId="2" borderId="6" xfId="1" applyFont="1" applyFill="1" applyBorder="1"/>
    <xf numFmtId="0" fontId="15" fillId="6" borderId="6" xfId="112" applyFont="1" applyFill="1" applyBorder="1"/>
    <xf numFmtId="165" fontId="17" fillId="4" borderId="11" xfId="1" applyFont="1" applyFill="1" applyBorder="1" applyAlignment="1">
      <alignment vertical="center"/>
    </xf>
    <xf numFmtId="165" fontId="17" fillId="2" borderId="11" xfId="1" applyFont="1" applyFill="1" applyBorder="1"/>
    <xf numFmtId="165" fontId="9" fillId="4" borderId="6" xfId="1" applyFont="1" applyFill="1" applyBorder="1" applyAlignment="1">
      <alignment vertical="center"/>
    </xf>
    <xf numFmtId="0" fontId="9" fillId="3" borderId="6" xfId="112" applyFont="1" applyFill="1" applyBorder="1" applyAlignment="1">
      <alignment vertical="center"/>
    </xf>
    <xf numFmtId="168" fontId="16" fillId="5" borderId="0" xfId="127" applyNumberFormat="1" applyFont="1" applyFill="1" applyBorder="1" applyAlignment="1">
      <alignment horizontal="right"/>
    </xf>
    <xf numFmtId="0" fontId="16" fillId="5" borderId="0" xfId="112" applyFont="1" applyFill="1" applyAlignment="1">
      <alignment vertical="center"/>
    </xf>
    <xf numFmtId="165" fontId="16" fillId="3" borderId="11" xfId="1" applyFont="1" applyFill="1" applyBorder="1" applyAlignment="1">
      <alignment vertical="center"/>
    </xf>
    <xf numFmtId="43" fontId="16" fillId="5" borderId="0" xfId="127" applyFont="1" applyFill="1" applyBorder="1" applyAlignment="1">
      <alignment horizontal="right"/>
    </xf>
    <xf numFmtId="0" fontId="20" fillId="5" borderId="0" xfId="112" applyFont="1" applyFill="1"/>
    <xf numFmtId="167" fontId="15" fillId="3" borderId="6" xfId="0" applyNumberFormat="1" applyFont="1" applyFill="1" applyBorder="1"/>
    <xf numFmtId="167" fontId="15" fillId="3" borderId="0" xfId="0" applyNumberFormat="1" applyFont="1" applyFill="1"/>
    <xf numFmtId="166" fontId="16" fillId="4" borderId="11" xfId="0" applyNumberFormat="1" applyFont="1" applyFill="1" applyBorder="1" applyAlignment="1">
      <alignment vertical="center"/>
    </xf>
    <xf numFmtId="165" fontId="16" fillId="4" borderId="11" xfId="1" applyFont="1" applyFill="1" applyBorder="1" applyAlignment="1">
      <alignment vertical="center"/>
    </xf>
    <xf numFmtId="49" fontId="16" fillId="5" borderId="0" xfId="127" applyNumberFormat="1" applyFont="1" applyFill="1" applyBorder="1" applyAlignment="1">
      <alignment horizontal="right"/>
    </xf>
    <xf numFmtId="166" fontId="16" fillId="3" borderId="11" xfId="0" applyNumberFormat="1" applyFont="1" applyFill="1" applyBorder="1" applyAlignment="1">
      <alignment vertical="center"/>
    </xf>
    <xf numFmtId="0" fontId="17" fillId="5" borderId="0" xfId="114" applyFont="1" applyFill="1"/>
    <xf numFmtId="0" fontId="17" fillId="5" borderId="6" xfId="114" applyFont="1" applyFill="1" applyBorder="1" applyAlignment="1">
      <alignment horizontal="right"/>
    </xf>
    <xf numFmtId="0" fontId="17" fillId="5" borderId="0" xfId="114" applyFont="1" applyFill="1" applyAlignment="1">
      <alignment vertical="center"/>
    </xf>
    <xf numFmtId="0" fontId="17" fillId="5" borderId="6" xfId="114" applyFont="1" applyFill="1" applyBorder="1"/>
    <xf numFmtId="1" fontId="17" fillId="5" borderId="0" xfId="114" applyNumberFormat="1" applyFont="1" applyFill="1" applyAlignment="1">
      <alignment vertical="center"/>
    </xf>
    <xf numFmtId="165" fontId="15" fillId="3" borderId="11" xfId="1" applyFont="1" applyFill="1" applyBorder="1" applyAlignment="1">
      <alignment vertical="center"/>
    </xf>
    <xf numFmtId="0" fontId="10" fillId="2" borderId="2" xfId="0" quotePrefix="1" applyFont="1" applyFill="1" applyBorder="1" applyAlignment="1">
      <alignment horizontal="left" vertical="center"/>
    </xf>
    <xf numFmtId="0" fontId="10" fillId="2" borderId="3" xfId="0" quotePrefix="1" applyFont="1" applyFill="1" applyBorder="1" applyAlignment="1">
      <alignment horizontal="center" vertical="center"/>
    </xf>
    <xf numFmtId="0" fontId="10" fillId="2" borderId="4" xfId="0" quotePrefix="1" applyFont="1" applyFill="1" applyBorder="1" applyAlignment="1">
      <alignment horizontal="center" vertical="center"/>
    </xf>
    <xf numFmtId="0" fontId="9" fillId="3" borderId="0" xfId="112" applyFont="1" applyFill="1" applyAlignment="1">
      <alignment horizontal="center"/>
    </xf>
    <xf numFmtId="0" fontId="17" fillId="5" borderId="0" xfId="112" applyFont="1" applyFill="1" applyAlignment="1">
      <alignment horizontal="center"/>
    </xf>
    <xf numFmtId="0" fontId="10" fillId="5" borderId="0" xfId="112" quotePrefix="1" applyFont="1" applyFill="1" applyAlignment="1">
      <alignment horizontal="center" vertical="center"/>
    </xf>
    <xf numFmtId="0" fontId="9" fillId="5" borderId="0" xfId="128" quotePrefix="1" applyFont="1" applyFill="1" applyAlignment="1">
      <alignment horizontal="center" vertical="center"/>
    </xf>
    <xf numFmtId="0" fontId="10" fillId="5" borderId="0" xfId="112" applyFont="1" applyFill="1" applyAlignment="1">
      <alignment horizontal="center" vertical="center"/>
    </xf>
    <xf numFmtId="0" fontId="9" fillId="3" borderId="0" xfId="112" applyFont="1" applyFill="1" applyAlignment="1">
      <alignment horizontal="center" vertical="center"/>
    </xf>
    <xf numFmtId="0" fontId="15" fillId="5" borderId="5" xfId="112" quotePrefix="1" applyFont="1" applyFill="1" applyBorder="1" applyAlignment="1">
      <alignment horizontal="left" vertical="center"/>
    </xf>
    <xf numFmtId="0" fontId="17" fillId="5" borderId="5" xfId="114" applyFont="1" applyFill="1" applyBorder="1"/>
    <xf numFmtId="0" fontId="17" fillId="5" borderId="0" xfId="114" applyFont="1" applyFill="1" applyAlignment="1">
      <alignment horizontal="center" vertical="center"/>
    </xf>
    <xf numFmtId="0" fontId="9" fillId="5" borderId="5" xfId="114" applyFont="1" applyFill="1" applyBorder="1"/>
    <xf numFmtId="0" fontId="9" fillId="5" borderId="0" xfId="114" applyFont="1" applyFill="1" applyAlignment="1">
      <alignment horizontal="center" vertical="center"/>
    </xf>
    <xf numFmtId="0" fontId="10" fillId="5" borderId="0" xfId="129" applyFont="1" applyFill="1" applyAlignment="1">
      <alignment horizontal="center" vertical="center"/>
    </xf>
    <xf numFmtId="0" fontId="4" fillId="5" borderId="0" xfId="129" applyFont="1" applyFill="1" applyAlignment="1">
      <alignment horizontal="center"/>
    </xf>
    <xf numFmtId="0" fontId="9" fillId="5" borderId="0" xfId="129" applyFont="1" applyFill="1" applyAlignment="1">
      <alignment horizontal="center" vertical="center"/>
    </xf>
    <xf numFmtId="0" fontId="9" fillId="5" borderId="0" xfId="129" applyFont="1" applyFill="1" applyAlignment="1">
      <alignment horizontal="center"/>
    </xf>
    <xf numFmtId="0" fontId="10" fillId="5" borderId="5" xfId="114" applyFont="1" applyFill="1" applyBorder="1"/>
    <xf numFmtId="0" fontId="10" fillId="5" borderId="0" xfId="114" applyFont="1" applyFill="1" applyAlignment="1">
      <alignment horizontal="center" vertical="center"/>
    </xf>
    <xf numFmtId="0" fontId="17" fillId="2" borderId="5" xfId="112" quotePrefix="1" applyFont="1" applyFill="1" applyBorder="1" applyAlignment="1">
      <alignment horizontal="left" vertical="center"/>
    </xf>
    <xf numFmtId="0" fontId="17" fillId="2" borderId="0" xfId="112" applyFont="1" applyFill="1"/>
    <xf numFmtId="165" fontId="4" fillId="2" borderId="0" xfId="0" applyNumberFormat="1" applyFont="1" applyFill="1"/>
    <xf numFmtId="0" fontId="10" fillId="2" borderId="0" xfId="112" quotePrefix="1" applyFont="1" applyFill="1" applyAlignment="1">
      <alignment horizontal="center" vertical="center"/>
    </xf>
    <xf numFmtId="0" fontId="10" fillId="2" borderId="6" xfId="112" quotePrefix="1" applyFont="1" applyFill="1" applyBorder="1" applyAlignment="1">
      <alignment horizontal="center" vertical="center"/>
    </xf>
    <xf numFmtId="0" fontId="10" fillId="2" borderId="0" xfId="112" applyFont="1" applyFill="1"/>
    <xf numFmtId="0" fontId="10" fillId="2" borderId="6" xfId="112" applyFont="1" applyFill="1" applyBorder="1"/>
    <xf numFmtId="0" fontId="10" fillId="2" borderId="0" xfId="112" applyFont="1" applyFill="1" applyAlignment="1">
      <alignment horizontal="left"/>
    </xf>
    <xf numFmtId="0" fontId="10" fillId="2" borderId="0" xfId="128" quotePrefix="1" applyFont="1" applyFill="1" applyAlignment="1">
      <alignment horizontal="left"/>
    </xf>
    <xf numFmtId="0" fontId="10" fillId="2" borderId="6" xfId="112" applyFont="1" applyFill="1" applyBorder="1" applyAlignment="1">
      <alignment horizontal="left"/>
    </xf>
    <xf numFmtId="2" fontId="0" fillId="0" borderId="0" xfId="0" applyNumberFormat="1"/>
    <xf numFmtId="0" fontId="10" fillId="2" borderId="5" xfId="112" quotePrefix="1" applyFont="1" applyFill="1" applyBorder="1" applyAlignment="1">
      <alignment horizontal="left" vertical="center"/>
    </xf>
    <xf numFmtId="0" fontId="0" fillId="0" borderId="11" xfId="0" applyBorder="1"/>
    <xf numFmtId="1" fontId="17" fillId="2" borderId="0" xfId="112" applyNumberFormat="1" applyFont="1" applyFill="1"/>
    <xf numFmtId="0" fontId="17" fillId="2" borderId="0" xfId="112" quotePrefix="1" applyFont="1" applyFill="1" applyAlignment="1">
      <alignment horizontal="center" vertical="center"/>
    </xf>
    <xf numFmtId="0" fontId="17" fillId="2" borderId="6" xfId="112" quotePrefix="1" applyFont="1" applyFill="1" applyBorder="1" applyAlignment="1">
      <alignment horizontal="right" vertical="center"/>
    </xf>
    <xf numFmtId="0" fontId="15" fillId="2" borderId="5" xfId="114" applyFont="1" applyFill="1" applyBorder="1"/>
    <xf numFmtId="0" fontId="15" fillId="2" borderId="0" xfId="114" applyFont="1" applyFill="1" applyAlignment="1">
      <alignment horizontal="center" vertical="center"/>
    </xf>
    <xf numFmtId="0" fontId="15" fillId="2" borderId="6" xfId="114" applyFont="1" applyFill="1" applyBorder="1" applyAlignment="1">
      <alignment horizontal="right"/>
    </xf>
    <xf numFmtId="0" fontId="4" fillId="6" borderId="0" xfId="0" applyFont="1" applyFill="1"/>
    <xf numFmtId="0" fontId="4" fillId="6" borderId="6" xfId="0" applyFont="1" applyFill="1" applyBorder="1"/>
    <xf numFmtId="0" fontId="17" fillId="6" borderId="0" xfId="112" applyFont="1" applyFill="1" applyAlignment="1">
      <alignment horizontal="left"/>
    </xf>
    <xf numFmtId="0" fontId="9" fillId="6" borderId="0" xfId="112" applyFont="1" applyFill="1" applyAlignment="1">
      <alignment horizontal="left"/>
    </xf>
    <xf numFmtId="0" fontId="9" fillId="6" borderId="6" xfId="112" applyFont="1" applyFill="1" applyBorder="1" applyAlignment="1">
      <alignment horizontal="left"/>
    </xf>
    <xf numFmtId="0" fontId="0" fillId="2" borderId="11" xfId="0" applyFill="1" applyBorder="1"/>
    <xf numFmtId="1" fontId="17" fillId="5" borderId="5" xfId="114" applyNumberFormat="1" applyFont="1" applyFill="1" applyBorder="1" applyAlignment="1">
      <alignment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4" fillId="2" borderId="0" xfId="0" applyFont="1" applyFill="1" applyAlignment="1">
      <alignment horizontal="center" vertical="top"/>
    </xf>
    <xf numFmtId="0" fontId="4" fillId="2" borderId="6" xfId="0" applyFont="1" applyFill="1" applyBorder="1" applyAlignment="1">
      <alignment horizontal="center" vertical="top"/>
    </xf>
    <xf numFmtId="0" fontId="4" fillId="2" borderId="10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49" fontId="4" fillId="2" borderId="0" xfId="0" quotePrefix="1" applyNumberFormat="1" applyFont="1" applyFill="1" applyAlignment="1">
      <alignment horizontal="left"/>
    </xf>
  </cellXfs>
  <cellStyles count="130">
    <cellStyle name="Comma 2" xfId="127" xr:uid="{831FD918-B8B4-4145-A4B8-D9FC7EE9CDED}"/>
    <cellStyle name="Currency [0]" xfId="1" builtinId="7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Normal" xfId="0" builtinId="0"/>
    <cellStyle name="Normal 2" xfId="112" xr:uid="{00000000-0005-0000-0000-000070000000}"/>
    <cellStyle name="Normal 2 2" xfId="116" xr:uid="{00000000-0005-0000-0000-000071000000}"/>
    <cellStyle name="Normal 2 2 2" xfId="123" xr:uid="{00000000-0005-0000-0000-000072000000}"/>
    <cellStyle name="Normal 2 2 3" xfId="121" xr:uid="{00000000-0005-0000-0000-000073000000}"/>
    <cellStyle name="Normal 2 2 7" xfId="119" xr:uid="{00000000-0005-0000-0000-000074000000}"/>
    <cellStyle name="Normal 3" xfId="115" xr:uid="{00000000-0005-0000-0000-000075000000}"/>
    <cellStyle name="Normal 3 2" xfId="125" xr:uid="{00000000-0005-0000-0000-000076000000}"/>
    <cellStyle name="Normal 4 2 2 2" xfId="117" xr:uid="{00000000-0005-0000-0000-000077000000}"/>
    <cellStyle name="Normal 5 2 2" xfId="118" xr:uid="{00000000-0005-0000-0000-000078000000}"/>
    <cellStyle name="Normal 5 3" xfId="124" xr:uid="{00000000-0005-0000-0000-000079000000}"/>
    <cellStyle name="Normal 6" xfId="113" xr:uid="{00000000-0005-0000-0000-00007A000000}"/>
    <cellStyle name="Normal 6 2" xfId="126" xr:uid="{00000000-0005-0000-0000-00007B000000}"/>
    <cellStyle name="Normal 6 3" xfId="120" xr:uid="{00000000-0005-0000-0000-00007C000000}"/>
    <cellStyle name="Normal 7" xfId="128" xr:uid="{8AA147E7-015B-4568-872B-50A6045CF9AB}"/>
    <cellStyle name="Normal 7 2" xfId="114" xr:uid="{00000000-0005-0000-0000-00007D000000}"/>
    <cellStyle name="Normal 7 3" xfId="129" xr:uid="{5C019011-C7E3-4690-B47E-C98AB6D669B8}"/>
    <cellStyle name="Normal 8" xfId="122" xr:uid="{00000000-0005-0000-0000-00007E000000}"/>
  </cellStyles>
  <dxfs count="161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strike val="0"/>
        <color rgb="FF00000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strike val="0"/>
        <color rgb="FF00000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  <dxf>
      <font>
        <b/>
        <i val="0"/>
        <color auto="1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17779</xdr:colOff>
      <xdr:row>2</xdr:row>
      <xdr:rowOff>153264</xdr:rowOff>
    </xdr:from>
    <xdr:to>
      <xdr:col>11</xdr:col>
      <xdr:colOff>868383</xdr:colOff>
      <xdr:row>7</xdr:row>
      <xdr:rowOff>82224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DEC9FA-7E19-413C-A64A-949C9BA42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00719" y="549504"/>
          <a:ext cx="3502364" cy="911940"/>
        </a:xfrm>
        <a:prstGeom prst="rect">
          <a:avLst/>
        </a:prstGeom>
      </xdr:spPr>
    </xdr:pic>
    <xdr:clientData/>
  </xdr:twoCellAnchor>
  <xdr:twoCellAnchor editAs="oneCell">
    <xdr:from>
      <xdr:col>1</xdr:col>
      <xdr:colOff>125506</xdr:colOff>
      <xdr:row>1</xdr:row>
      <xdr:rowOff>71717</xdr:rowOff>
    </xdr:from>
    <xdr:to>
      <xdr:col>6</xdr:col>
      <xdr:colOff>2419009</xdr:colOff>
      <xdr:row>6</xdr:row>
      <xdr:rowOff>152012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C7D4D1-6323-4A5D-8B65-B1AC19348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3706" y="269837"/>
          <a:ext cx="3154563" cy="10708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21C1-9BA2-431D-BE16-9AE7D72E5307}">
  <sheetPr>
    <tabColor theme="0"/>
  </sheetPr>
  <dimension ref="B7:W754"/>
  <sheetViews>
    <sheetView tabSelected="1" view="pageBreakPreview" topLeftCell="A154" zoomScale="85" zoomScaleSheetLayoutView="85" workbookViewId="0">
      <selection activeCell="F14" sqref="F14"/>
    </sheetView>
  </sheetViews>
  <sheetFormatPr defaultColWidth="11" defaultRowHeight="15.5" x14ac:dyDescent="0.35"/>
  <cols>
    <col min="2" max="4" width="1.83203125" style="18" customWidth="1"/>
    <col min="5" max="5" width="3.08203125" style="18" customWidth="1"/>
    <col min="6" max="6" width="2.83203125" style="18" customWidth="1"/>
    <col min="7" max="7" width="70.58203125" style="18" customWidth="1"/>
    <col min="8" max="8" width="9.5" style="18" customWidth="1"/>
    <col min="9" max="9" width="6.33203125" style="18" customWidth="1"/>
    <col min="10" max="10" width="16" style="18" customWidth="1"/>
    <col min="11" max="11" width="18.83203125" style="18" customWidth="1"/>
    <col min="12" max="12" width="20.5" style="18" customWidth="1"/>
    <col min="13" max="13" width="18.33203125" customWidth="1"/>
    <col min="14" max="14" width="18.33203125" bestFit="1" customWidth="1"/>
    <col min="17" max="17" width="17.1640625" bestFit="1" customWidth="1"/>
    <col min="18" max="18" width="15.6640625" bestFit="1" customWidth="1"/>
    <col min="19" max="19" width="17.1640625" bestFit="1" customWidth="1"/>
  </cols>
  <sheetData>
    <row r="7" spans="2:13" ht="15" customHeight="1" x14ac:dyDescent="0.35"/>
    <row r="8" spans="2:13" ht="18" x14ac:dyDescent="0.4">
      <c r="B8" s="31" t="s">
        <v>17</v>
      </c>
      <c r="C8" s="17"/>
      <c r="D8" s="17"/>
    </row>
    <row r="9" spans="2:13" x14ac:dyDescent="0.35">
      <c r="B9" s="32" t="s">
        <v>18</v>
      </c>
      <c r="C9" s="5"/>
      <c r="D9" s="5"/>
      <c r="E9" s="5"/>
      <c r="F9" s="5"/>
      <c r="G9" s="5"/>
    </row>
    <row r="10" spans="2:13" x14ac:dyDescent="0.35">
      <c r="H10" s="20"/>
      <c r="I10" s="20"/>
      <c r="J10" s="20" t="s">
        <v>21</v>
      </c>
      <c r="L10" s="20"/>
      <c r="M10" s="18"/>
    </row>
    <row r="11" spans="2:13" x14ac:dyDescent="0.35">
      <c r="B11" s="18" t="s">
        <v>0</v>
      </c>
      <c r="F11" s="18" t="s">
        <v>30</v>
      </c>
      <c r="J11" s="18" t="s">
        <v>22</v>
      </c>
      <c r="M11" s="18"/>
    </row>
    <row r="12" spans="2:13" x14ac:dyDescent="0.35">
      <c r="B12" s="18" t="s">
        <v>27</v>
      </c>
      <c r="F12" s="18" t="s">
        <v>19</v>
      </c>
      <c r="J12" s="18" t="s">
        <v>23</v>
      </c>
      <c r="K12" s="18" t="s">
        <v>31</v>
      </c>
      <c r="M12" s="18"/>
    </row>
    <row r="13" spans="2:13" x14ac:dyDescent="0.35">
      <c r="B13" s="18" t="s">
        <v>4</v>
      </c>
      <c r="J13" s="18" t="s">
        <v>24</v>
      </c>
      <c r="K13" s="18" t="s">
        <v>32</v>
      </c>
      <c r="M13" s="18"/>
    </row>
    <row r="14" spans="2:13" x14ac:dyDescent="0.35">
      <c r="B14" s="18" t="s">
        <v>5</v>
      </c>
      <c r="J14" s="18" t="s">
        <v>25</v>
      </c>
      <c r="K14" s="18" t="s">
        <v>33</v>
      </c>
      <c r="M14" s="18"/>
    </row>
    <row r="15" spans="2:13" x14ac:dyDescent="0.35">
      <c r="F15" s="295"/>
      <c r="G15" s="295"/>
      <c r="J15" s="18" t="s">
        <v>26</v>
      </c>
      <c r="K15" s="18" t="s">
        <v>34</v>
      </c>
      <c r="M15" s="18"/>
    </row>
    <row r="16" spans="2:13" x14ac:dyDescent="0.35">
      <c r="F16" s="6"/>
    </row>
    <row r="18" spans="2:15" s="33" customFormat="1" ht="15" customHeight="1" x14ac:dyDescent="0.35">
      <c r="B18" s="280" t="s">
        <v>0</v>
      </c>
      <c r="C18" s="281"/>
      <c r="D18" s="282"/>
      <c r="E18" s="280" t="s">
        <v>1</v>
      </c>
      <c r="F18" s="281"/>
      <c r="G18" s="282"/>
      <c r="H18" s="280" t="s">
        <v>2</v>
      </c>
      <c r="I18" s="282"/>
      <c r="J18" s="293" t="s">
        <v>3</v>
      </c>
      <c r="K18" s="293" t="s">
        <v>15</v>
      </c>
      <c r="L18" s="293" t="s">
        <v>16</v>
      </c>
    </row>
    <row r="19" spans="2:15" s="33" customFormat="1" ht="15" customHeight="1" x14ac:dyDescent="0.35">
      <c r="B19" s="283"/>
      <c r="C19" s="284"/>
      <c r="D19" s="285"/>
      <c r="E19" s="283"/>
      <c r="F19" s="284"/>
      <c r="G19" s="285"/>
      <c r="H19" s="283"/>
      <c r="I19" s="285"/>
      <c r="J19" s="294"/>
      <c r="K19" s="294"/>
      <c r="L19" s="294"/>
    </row>
    <row r="20" spans="2:15" x14ac:dyDescent="0.35">
      <c r="B20" s="232"/>
      <c r="C20" s="233"/>
      <c r="D20" s="234"/>
      <c r="G20" s="22"/>
      <c r="H20" s="1"/>
      <c r="I20" s="1"/>
      <c r="J20" s="43"/>
      <c r="K20" s="30"/>
      <c r="L20" s="44"/>
    </row>
    <row r="21" spans="2:15" x14ac:dyDescent="0.35">
      <c r="B21" s="52"/>
      <c r="C21" s="48"/>
      <c r="D21" s="49"/>
      <c r="E21" s="98" t="s">
        <v>521</v>
      </c>
      <c r="F21" s="271"/>
      <c r="G21" s="272"/>
      <c r="J21" s="44"/>
      <c r="K21" s="30"/>
      <c r="L21" s="44"/>
    </row>
    <row r="22" spans="2:15" x14ac:dyDescent="0.35">
      <c r="B22" s="104" t="s">
        <v>35</v>
      </c>
      <c r="C22" s="96"/>
      <c r="D22" s="97"/>
      <c r="E22" s="105" t="s">
        <v>10</v>
      </c>
      <c r="F22" s="105"/>
      <c r="G22" s="100"/>
      <c r="H22" s="59"/>
      <c r="I22" s="59"/>
      <c r="J22" s="46"/>
      <c r="K22" s="46"/>
      <c r="L22" s="81"/>
      <c r="M22" s="254"/>
      <c r="N22" s="286"/>
      <c r="O22" s="286"/>
    </row>
    <row r="23" spans="2:15" x14ac:dyDescent="0.35">
      <c r="B23" s="106"/>
      <c r="C23" s="71"/>
      <c r="D23" s="107" t="s">
        <v>36</v>
      </c>
      <c r="E23" s="108"/>
      <c r="F23" s="59" t="s">
        <v>80</v>
      </c>
      <c r="G23" s="60"/>
      <c r="H23" s="59">
        <v>1</v>
      </c>
      <c r="I23" s="59" t="s">
        <v>37</v>
      </c>
      <c r="J23" s="64">
        <v>22000000</v>
      </c>
      <c r="K23" s="64">
        <f t="shared" ref="K23:K29" si="0">J23*H23</f>
        <v>22000000</v>
      </c>
      <c r="L23" s="46"/>
      <c r="M23" s="18"/>
      <c r="N23" s="23"/>
      <c r="O23" s="23"/>
    </row>
    <row r="24" spans="2:15" x14ac:dyDescent="0.35">
      <c r="B24" s="106"/>
      <c r="C24" s="71"/>
      <c r="D24" s="107" t="s">
        <v>38</v>
      </c>
      <c r="E24" s="108"/>
      <c r="F24" s="59" t="s">
        <v>81</v>
      </c>
      <c r="G24" s="60"/>
      <c r="H24" s="59">
        <v>1</v>
      </c>
      <c r="I24" s="59" t="s">
        <v>37</v>
      </c>
      <c r="J24" s="64">
        <v>6500000</v>
      </c>
      <c r="K24" s="64">
        <f t="shared" si="0"/>
        <v>6500000</v>
      </c>
      <c r="L24" s="46"/>
      <c r="M24" s="18"/>
      <c r="N24" s="23"/>
      <c r="O24" s="23"/>
    </row>
    <row r="25" spans="2:15" x14ac:dyDescent="0.35">
      <c r="B25" s="106"/>
      <c r="C25" s="71"/>
      <c r="D25" s="107" t="s">
        <v>39</v>
      </c>
      <c r="E25" s="108"/>
      <c r="F25" s="59" t="s">
        <v>82</v>
      </c>
      <c r="G25" s="60"/>
      <c r="H25" s="59">
        <v>1</v>
      </c>
      <c r="I25" s="60" t="s">
        <v>37</v>
      </c>
      <c r="J25" s="64">
        <v>5500000</v>
      </c>
      <c r="K25" s="64">
        <f t="shared" si="0"/>
        <v>5500000</v>
      </c>
      <c r="L25" s="46"/>
      <c r="M25" s="18"/>
      <c r="N25" s="23"/>
      <c r="O25" s="23"/>
    </row>
    <row r="26" spans="2:15" x14ac:dyDescent="0.35">
      <c r="B26" s="106"/>
      <c r="C26" s="71"/>
      <c r="D26" s="107" t="s">
        <v>40</v>
      </c>
      <c r="E26" s="108"/>
      <c r="F26" s="59" t="s">
        <v>518</v>
      </c>
      <c r="G26" s="60"/>
      <c r="H26" s="59">
        <v>25</v>
      </c>
      <c r="I26" s="78" t="s">
        <v>41</v>
      </c>
      <c r="J26" s="64">
        <v>1500000</v>
      </c>
      <c r="K26" s="64">
        <f t="shared" si="0"/>
        <v>37500000</v>
      </c>
      <c r="L26" s="46"/>
      <c r="M26" s="18"/>
      <c r="N26" s="23"/>
      <c r="O26" s="23"/>
    </row>
    <row r="27" spans="2:15" x14ac:dyDescent="0.35">
      <c r="B27" s="106"/>
      <c r="C27" s="71"/>
      <c r="D27" s="107" t="s">
        <v>42</v>
      </c>
      <c r="E27" s="108"/>
      <c r="F27" s="59" t="s">
        <v>517</v>
      </c>
      <c r="G27" s="60"/>
      <c r="H27" s="59">
        <v>2</v>
      </c>
      <c r="I27" s="60" t="s">
        <v>41</v>
      </c>
      <c r="J27" s="64">
        <v>450000</v>
      </c>
      <c r="K27" s="64">
        <f t="shared" si="0"/>
        <v>900000</v>
      </c>
      <c r="L27" s="46"/>
      <c r="M27" s="18"/>
      <c r="N27" s="23"/>
      <c r="O27" s="23"/>
    </row>
    <row r="28" spans="2:15" x14ac:dyDescent="0.35">
      <c r="B28" s="109"/>
      <c r="C28" s="235"/>
      <c r="D28" s="107" t="s">
        <v>43</v>
      </c>
      <c r="E28" s="108"/>
      <c r="F28" s="59" t="s">
        <v>83</v>
      </c>
      <c r="G28" s="60"/>
      <c r="H28" s="59">
        <v>1</v>
      </c>
      <c r="I28" s="60" t="s">
        <v>37</v>
      </c>
      <c r="J28" s="64">
        <v>2000000</v>
      </c>
      <c r="K28" s="64">
        <f t="shared" si="0"/>
        <v>2000000</v>
      </c>
      <c r="L28" s="46"/>
      <c r="M28" s="254"/>
      <c r="N28" s="23"/>
      <c r="O28" s="23"/>
    </row>
    <row r="29" spans="2:15" x14ac:dyDescent="0.35">
      <c r="B29" s="109"/>
      <c r="C29" s="235"/>
      <c r="D29" s="107" t="s">
        <v>44</v>
      </c>
      <c r="E29" s="108"/>
      <c r="F29" s="59" t="s">
        <v>230</v>
      </c>
      <c r="G29" s="60"/>
      <c r="H29" s="59">
        <v>1</v>
      </c>
      <c r="I29" s="60" t="s">
        <v>37</v>
      </c>
      <c r="J29" s="64">
        <v>9000000</v>
      </c>
      <c r="K29" s="64">
        <f t="shared" si="0"/>
        <v>9000000</v>
      </c>
      <c r="L29" s="46"/>
      <c r="M29" s="18"/>
      <c r="N29" s="23"/>
      <c r="O29" s="23"/>
    </row>
    <row r="30" spans="2:15" x14ac:dyDescent="0.35">
      <c r="B30" s="104" t="s">
        <v>50</v>
      </c>
      <c r="C30" s="96"/>
      <c r="D30" s="97"/>
      <c r="E30" s="105" t="s">
        <v>233</v>
      </c>
      <c r="F30" s="105"/>
      <c r="G30" s="100"/>
      <c r="H30" s="59"/>
      <c r="I30" s="60"/>
      <c r="J30" s="72"/>
      <c r="K30" s="64"/>
      <c r="L30" s="46"/>
      <c r="M30" s="18"/>
      <c r="N30" s="23"/>
      <c r="O30" s="23"/>
    </row>
    <row r="31" spans="2:15" x14ac:dyDescent="0.35">
      <c r="B31" s="106"/>
      <c r="C31" s="71"/>
      <c r="D31" s="107" t="s">
        <v>36</v>
      </c>
      <c r="E31" s="108"/>
      <c r="F31" s="59" t="s">
        <v>51</v>
      </c>
      <c r="G31" s="60"/>
      <c r="H31" s="59">
        <v>1404</v>
      </c>
      <c r="I31" s="214" t="s">
        <v>52</v>
      </c>
      <c r="J31" s="64">
        <v>6500</v>
      </c>
      <c r="K31" s="64">
        <f>J31*H31</f>
        <v>9126000</v>
      </c>
      <c r="L31" s="46"/>
      <c r="M31" s="18"/>
      <c r="N31" s="23"/>
      <c r="O31" s="23"/>
    </row>
    <row r="32" spans="2:15" x14ac:dyDescent="0.35">
      <c r="B32" s="106"/>
      <c r="C32" s="71"/>
      <c r="D32" s="107" t="s">
        <v>38</v>
      </c>
      <c r="E32" s="108"/>
      <c r="F32" s="59" t="s">
        <v>53</v>
      </c>
      <c r="G32" s="60"/>
      <c r="H32" s="59">
        <v>1404</v>
      </c>
      <c r="I32" s="214" t="s">
        <v>52</v>
      </c>
      <c r="J32" s="64">
        <v>65000</v>
      </c>
      <c r="K32" s="64">
        <f>J32*H32</f>
        <v>91260000</v>
      </c>
      <c r="L32" s="46"/>
      <c r="M32" s="254"/>
      <c r="N32" s="23"/>
      <c r="O32" s="23"/>
    </row>
    <row r="33" spans="2:15" x14ac:dyDescent="0.35">
      <c r="B33" s="106"/>
      <c r="C33" s="71"/>
      <c r="D33" s="107" t="s">
        <v>39</v>
      </c>
      <c r="E33" s="108"/>
      <c r="F33" s="59" t="s">
        <v>54</v>
      </c>
      <c r="G33" s="60"/>
      <c r="H33" s="59">
        <v>346</v>
      </c>
      <c r="I33" s="214" t="s">
        <v>52</v>
      </c>
      <c r="J33" s="64">
        <v>65000</v>
      </c>
      <c r="K33" s="64">
        <f>J33*H33</f>
        <v>22490000</v>
      </c>
      <c r="L33" s="46"/>
      <c r="M33" s="18"/>
      <c r="N33" s="23"/>
      <c r="O33" s="23"/>
    </row>
    <row r="34" spans="2:15" x14ac:dyDescent="0.35">
      <c r="B34" s="112"/>
      <c r="C34" s="235"/>
      <c r="D34" s="107" t="s">
        <v>40</v>
      </c>
      <c r="E34" s="108"/>
      <c r="F34" s="59" t="s">
        <v>55</v>
      </c>
      <c r="G34" s="60"/>
      <c r="H34" s="59">
        <v>1750</v>
      </c>
      <c r="I34" s="214" t="s">
        <v>52</v>
      </c>
      <c r="J34" s="64">
        <v>6000</v>
      </c>
      <c r="K34" s="64">
        <f>J34*H34</f>
        <v>10500000</v>
      </c>
      <c r="L34" s="46"/>
      <c r="M34" s="18"/>
      <c r="N34" s="23"/>
      <c r="O34" s="23"/>
    </row>
    <row r="35" spans="2:15" x14ac:dyDescent="0.35">
      <c r="B35" s="109"/>
      <c r="C35" s="235"/>
      <c r="D35" s="107" t="s">
        <v>42</v>
      </c>
      <c r="E35" s="108"/>
      <c r="F35" s="59" t="s">
        <v>84</v>
      </c>
      <c r="G35" s="60"/>
      <c r="H35" s="59">
        <v>1404</v>
      </c>
      <c r="I35" s="214" t="s">
        <v>52</v>
      </c>
      <c r="J35" s="64">
        <v>19500</v>
      </c>
      <c r="K35" s="64">
        <f t="shared" ref="K35:K43" si="1">J35*H35</f>
        <v>27378000</v>
      </c>
      <c r="L35" s="46"/>
      <c r="M35" s="18"/>
      <c r="N35" s="23"/>
      <c r="O35" s="23"/>
    </row>
    <row r="36" spans="2:15" x14ac:dyDescent="0.35">
      <c r="B36" s="113"/>
      <c r="C36" s="108"/>
      <c r="D36" s="107" t="s">
        <v>43</v>
      </c>
      <c r="E36" s="108"/>
      <c r="F36" s="59" t="s">
        <v>85</v>
      </c>
      <c r="G36" s="60"/>
      <c r="H36" s="59">
        <v>346</v>
      </c>
      <c r="I36" s="214" t="s">
        <v>52</v>
      </c>
      <c r="J36" s="64">
        <v>13000</v>
      </c>
      <c r="K36" s="64">
        <f t="shared" si="1"/>
        <v>4498000</v>
      </c>
      <c r="L36" s="46"/>
      <c r="M36" s="18"/>
      <c r="N36" s="23"/>
      <c r="O36" s="23"/>
    </row>
    <row r="37" spans="2:15" x14ac:dyDescent="0.35">
      <c r="B37" s="113"/>
      <c r="C37" s="236"/>
      <c r="D37" s="107" t="s">
        <v>44</v>
      </c>
      <c r="E37" s="108"/>
      <c r="F37" s="59" t="s">
        <v>57</v>
      </c>
      <c r="G37" s="60"/>
      <c r="H37" s="59">
        <v>40</v>
      </c>
      <c r="I37" s="214" t="s">
        <v>61</v>
      </c>
      <c r="J37" s="64">
        <v>100000</v>
      </c>
      <c r="K37" s="64">
        <f t="shared" si="1"/>
        <v>4000000</v>
      </c>
      <c r="L37" s="46"/>
      <c r="M37" s="18"/>
      <c r="N37" s="23"/>
      <c r="O37" s="23"/>
    </row>
    <row r="38" spans="2:15" x14ac:dyDescent="0.35">
      <c r="B38" s="113"/>
      <c r="C38" s="108"/>
      <c r="D38" s="107" t="s">
        <v>45</v>
      </c>
      <c r="E38" s="114"/>
      <c r="F38" s="59" t="s">
        <v>56</v>
      </c>
      <c r="G38" s="60"/>
      <c r="H38" s="59">
        <v>1</v>
      </c>
      <c r="I38" s="214" t="s">
        <v>37</v>
      </c>
      <c r="J38" s="64">
        <v>1200000</v>
      </c>
      <c r="K38" s="64">
        <f t="shared" si="1"/>
        <v>1200000</v>
      </c>
      <c r="L38" s="46"/>
      <c r="M38" s="18"/>
      <c r="N38" s="23"/>
      <c r="O38" s="23"/>
    </row>
    <row r="39" spans="2:15" x14ac:dyDescent="0.35">
      <c r="B39" s="115" t="s">
        <v>60</v>
      </c>
      <c r="C39" s="236"/>
      <c r="D39" s="116"/>
      <c r="E39" s="105" t="s">
        <v>87</v>
      </c>
      <c r="F39" s="105"/>
      <c r="G39" s="100"/>
      <c r="H39" s="105"/>
      <c r="I39" s="100"/>
      <c r="J39" s="56"/>
      <c r="K39" s="64"/>
      <c r="L39" s="46"/>
      <c r="M39" s="18"/>
      <c r="N39" s="23"/>
      <c r="O39" s="23"/>
    </row>
    <row r="40" spans="2:15" x14ac:dyDescent="0.35">
      <c r="B40" s="117"/>
      <c r="C40" s="108"/>
      <c r="D40" s="118" t="s">
        <v>36</v>
      </c>
      <c r="E40" s="119"/>
      <c r="F40" s="120" t="s">
        <v>88</v>
      </c>
      <c r="G40" s="121"/>
      <c r="H40" s="122">
        <v>12</v>
      </c>
      <c r="I40" s="214" t="s">
        <v>89</v>
      </c>
      <c r="J40" s="51">
        <v>250000</v>
      </c>
      <c r="K40" s="64">
        <f t="shared" si="1"/>
        <v>3000000</v>
      </c>
      <c r="L40" s="46"/>
      <c r="M40" s="18"/>
      <c r="N40" s="23"/>
      <c r="O40" s="23"/>
    </row>
    <row r="41" spans="2:15" x14ac:dyDescent="0.35">
      <c r="B41" s="104"/>
      <c r="C41" s="96"/>
      <c r="D41" s="118" t="s">
        <v>38</v>
      </c>
      <c r="E41" s="124"/>
      <c r="F41" s="120" t="s">
        <v>90</v>
      </c>
      <c r="G41" s="121"/>
      <c r="H41" s="122">
        <v>1</v>
      </c>
      <c r="I41" s="121" t="s">
        <v>89</v>
      </c>
      <c r="J41" s="51">
        <v>1700000</v>
      </c>
      <c r="K41" s="64">
        <f t="shared" si="1"/>
        <v>1700000</v>
      </c>
      <c r="L41" s="46"/>
      <c r="M41" s="18"/>
      <c r="N41" s="23"/>
      <c r="O41" s="23"/>
    </row>
    <row r="42" spans="2:15" x14ac:dyDescent="0.35">
      <c r="B42" s="104" t="s">
        <v>65</v>
      </c>
      <c r="C42" s="96"/>
      <c r="D42" s="123"/>
      <c r="E42" s="124" t="s">
        <v>91</v>
      </c>
      <c r="F42" s="125"/>
      <c r="G42" s="126"/>
      <c r="H42" s="124"/>
      <c r="I42" s="126"/>
      <c r="J42" s="56"/>
      <c r="K42" s="64"/>
      <c r="L42" s="46"/>
      <c r="M42" s="18"/>
      <c r="N42" s="23"/>
      <c r="O42" s="23"/>
    </row>
    <row r="43" spans="2:15" x14ac:dyDescent="0.35">
      <c r="B43" s="70"/>
      <c r="C43" s="71"/>
      <c r="D43" s="110" t="s">
        <v>36</v>
      </c>
      <c r="E43" s="85"/>
      <c r="F43" s="85" t="s">
        <v>92</v>
      </c>
      <c r="G43" s="78"/>
      <c r="H43" s="85">
        <v>1</v>
      </c>
      <c r="I43" s="78" t="s">
        <v>62</v>
      </c>
      <c r="J43" s="51">
        <v>2000000</v>
      </c>
      <c r="K43" s="64">
        <f t="shared" si="1"/>
        <v>2000000</v>
      </c>
      <c r="L43" s="46"/>
      <c r="M43" s="18"/>
      <c r="N43" s="23"/>
      <c r="O43" s="23"/>
    </row>
    <row r="44" spans="2:15" x14ac:dyDescent="0.35">
      <c r="B44" s="70"/>
      <c r="C44" s="71"/>
      <c r="D44" s="110"/>
      <c r="E44" s="85"/>
      <c r="F44" s="85"/>
      <c r="G44" s="78"/>
      <c r="H44" s="85"/>
      <c r="I44" s="78"/>
      <c r="J44" s="51"/>
      <c r="K44" s="64"/>
      <c r="L44" s="46"/>
      <c r="M44" s="18"/>
      <c r="N44" s="23"/>
      <c r="O44" s="23"/>
    </row>
    <row r="45" spans="2:15" x14ac:dyDescent="0.35">
      <c r="B45" s="127"/>
      <c r="C45" s="237"/>
      <c r="D45" s="128"/>
      <c r="E45" s="157"/>
      <c r="F45" s="157" t="s">
        <v>189</v>
      </c>
      <c r="G45" s="158"/>
      <c r="H45" s="132"/>
      <c r="I45" s="155"/>
      <c r="J45" s="56"/>
      <c r="K45" s="64"/>
      <c r="L45" s="46"/>
      <c r="M45" s="18"/>
      <c r="N45" s="23"/>
      <c r="O45" s="23"/>
    </row>
    <row r="46" spans="2:15" x14ac:dyDescent="0.35">
      <c r="B46" s="154" t="s">
        <v>35</v>
      </c>
      <c r="C46" s="237"/>
      <c r="D46" s="128"/>
      <c r="E46" s="132" t="s">
        <v>66</v>
      </c>
      <c r="F46" s="132"/>
      <c r="G46" s="155"/>
      <c r="H46" s="141"/>
      <c r="I46" s="155"/>
      <c r="J46" s="51"/>
      <c r="K46" s="64"/>
      <c r="L46" s="46"/>
      <c r="M46" s="18"/>
      <c r="N46" s="23"/>
      <c r="O46" s="23"/>
    </row>
    <row r="47" spans="2:15" x14ac:dyDescent="0.35">
      <c r="B47" s="127"/>
      <c r="C47" s="237" t="s">
        <v>68</v>
      </c>
      <c r="D47" s="159"/>
      <c r="E47" s="160"/>
      <c r="F47" s="161" t="s">
        <v>193</v>
      </c>
      <c r="G47" s="162"/>
      <c r="H47" s="160"/>
      <c r="I47" s="162"/>
      <c r="J47" s="61"/>
      <c r="K47" s="54"/>
      <c r="L47" s="46"/>
      <c r="M47" s="254"/>
      <c r="N47" s="23"/>
      <c r="O47" s="23"/>
    </row>
    <row r="48" spans="2:15" x14ac:dyDescent="0.35">
      <c r="B48" s="154"/>
      <c r="C48" s="237"/>
      <c r="D48" s="128" t="s">
        <v>36</v>
      </c>
      <c r="E48" s="132"/>
      <c r="F48" s="132" t="s">
        <v>194</v>
      </c>
      <c r="G48" s="155"/>
      <c r="H48" s="141"/>
      <c r="I48" s="155"/>
      <c r="J48" s="51"/>
      <c r="K48" s="64"/>
      <c r="L48" s="46"/>
      <c r="M48" s="18">
        <v>78408000.000000015</v>
      </c>
      <c r="N48" s="23"/>
      <c r="O48" s="23"/>
    </row>
    <row r="49" spans="2:15" x14ac:dyDescent="0.35">
      <c r="B49" s="79"/>
      <c r="C49" s="58"/>
      <c r="D49" s="93"/>
      <c r="E49" s="59"/>
      <c r="F49" s="59" t="s">
        <v>59</v>
      </c>
      <c r="G49" s="60" t="s">
        <v>381</v>
      </c>
      <c r="H49" s="143">
        <v>182.51249999999999</v>
      </c>
      <c r="I49" s="60" t="s">
        <v>67</v>
      </c>
      <c r="J49" s="51">
        <v>30000</v>
      </c>
      <c r="K49" s="64"/>
      <c r="L49" s="46">
        <v>5475300</v>
      </c>
      <c r="M49" s="18">
        <v>17400000</v>
      </c>
      <c r="N49" s="23"/>
      <c r="O49" s="23"/>
    </row>
    <row r="50" spans="2:15" x14ac:dyDescent="0.35">
      <c r="B50" s="79"/>
      <c r="C50" s="58"/>
      <c r="D50" s="93"/>
      <c r="E50" s="59"/>
      <c r="F50" s="59" t="s">
        <v>59</v>
      </c>
      <c r="G50" s="60" t="s">
        <v>382</v>
      </c>
      <c r="H50" s="143">
        <v>182.51249999999999</v>
      </c>
      <c r="I50" s="60" t="s">
        <v>67</v>
      </c>
      <c r="J50" s="51">
        <v>30000</v>
      </c>
      <c r="K50" s="54"/>
      <c r="L50" s="46">
        <v>5475300</v>
      </c>
      <c r="M50" s="18">
        <v>25000000</v>
      </c>
      <c r="N50" s="23"/>
      <c r="O50" s="23"/>
    </row>
    <row r="51" spans="2:15" x14ac:dyDescent="0.35">
      <c r="B51" s="79"/>
      <c r="C51" s="58"/>
      <c r="D51" s="93"/>
      <c r="E51" s="59"/>
      <c r="F51" s="59" t="s">
        <v>59</v>
      </c>
      <c r="G51" s="60" t="s">
        <v>382</v>
      </c>
      <c r="H51" s="143">
        <v>182.51249999999999</v>
      </c>
      <c r="I51" s="60" t="s">
        <v>67</v>
      </c>
      <c r="J51" s="51">
        <v>30000</v>
      </c>
      <c r="K51" s="64"/>
      <c r="L51" s="46">
        <v>5475300</v>
      </c>
      <c r="M51" s="254"/>
      <c r="N51" s="23"/>
      <c r="O51" s="23"/>
    </row>
    <row r="52" spans="2:15" x14ac:dyDescent="0.35">
      <c r="B52" s="79"/>
      <c r="C52" s="58"/>
      <c r="D52" s="93"/>
      <c r="E52" s="59"/>
      <c r="F52" s="59" t="s">
        <v>59</v>
      </c>
      <c r="G52" s="60" t="s">
        <v>382</v>
      </c>
      <c r="H52" s="143">
        <v>182.51249999999999</v>
      </c>
      <c r="I52" s="60" t="s">
        <v>67</v>
      </c>
      <c r="J52" s="51">
        <v>30000</v>
      </c>
      <c r="K52" s="55"/>
      <c r="L52" s="46">
        <v>5475300</v>
      </c>
      <c r="M52" s="18">
        <v>6426000</v>
      </c>
      <c r="N52" s="23"/>
      <c r="O52" s="23"/>
    </row>
    <row r="53" spans="2:15" x14ac:dyDescent="0.35">
      <c r="B53" s="79"/>
      <c r="C53" s="58"/>
      <c r="D53" s="93"/>
      <c r="E53" s="59"/>
      <c r="F53" s="59" t="s">
        <v>59</v>
      </c>
      <c r="G53" s="60" t="s">
        <v>383</v>
      </c>
      <c r="H53" s="143">
        <v>182.51249999999999</v>
      </c>
      <c r="I53" s="60" t="s">
        <v>67</v>
      </c>
      <c r="J53" s="51">
        <v>30000</v>
      </c>
      <c r="K53" s="82"/>
      <c r="L53" s="46">
        <v>5475300</v>
      </c>
      <c r="M53" s="18">
        <v>12717000</v>
      </c>
      <c r="N53" s="23"/>
      <c r="O53" s="23"/>
    </row>
    <row r="54" spans="2:15" x14ac:dyDescent="0.35">
      <c r="B54" s="79"/>
      <c r="C54" s="58"/>
      <c r="D54" s="93"/>
      <c r="E54" s="59"/>
      <c r="F54" s="59" t="s">
        <v>59</v>
      </c>
      <c r="G54" s="60" t="s">
        <v>384</v>
      </c>
      <c r="H54" s="143">
        <v>197.11349999999999</v>
      </c>
      <c r="I54" s="60" t="s">
        <v>67</v>
      </c>
      <c r="J54" s="51">
        <v>30000</v>
      </c>
      <c r="K54" s="64"/>
      <c r="L54" s="46">
        <v>5913300</v>
      </c>
      <c r="M54" s="18"/>
      <c r="N54" s="23"/>
      <c r="O54" s="23"/>
    </row>
    <row r="55" spans="2:15" x14ac:dyDescent="0.35">
      <c r="B55" s="79"/>
      <c r="C55" s="58"/>
      <c r="D55" s="93"/>
      <c r="E55" s="59"/>
      <c r="F55" s="59" t="s">
        <v>59</v>
      </c>
      <c r="G55" s="60" t="s">
        <v>385</v>
      </c>
      <c r="H55" s="143">
        <v>261.60124999999999</v>
      </c>
      <c r="I55" s="60" t="s">
        <v>67</v>
      </c>
      <c r="J55" s="51">
        <v>30000</v>
      </c>
      <c r="K55" s="64"/>
      <c r="L55" s="46">
        <v>7848000.0000000009</v>
      </c>
      <c r="M55" s="18"/>
      <c r="N55" s="23"/>
      <c r="O55" s="23"/>
    </row>
    <row r="56" spans="2:15" x14ac:dyDescent="0.35">
      <c r="B56" s="79"/>
      <c r="C56" s="58"/>
      <c r="D56" s="93"/>
      <c r="E56" s="59"/>
      <c r="F56" s="59" t="s">
        <v>59</v>
      </c>
      <c r="G56" s="60" t="s">
        <v>386</v>
      </c>
      <c r="H56" s="143">
        <v>210.49774999999997</v>
      </c>
      <c r="I56" s="60" t="s">
        <v>67</v>
      </c>
      <c r="J56" s="51">
        <v>30000</v>
      </c>
      <c r="K56" s="86"/>
      <c r="L56" s="46">
        <v>6315000</v>
      </c>
      <c r="M56" s="18"/>
      <c r="N56" s="23"/>
      <c r="O56" s="23"/>
    </row>
    <row r="57" spans="2:15" x14ac:dyDescent="0.35">
      <c r="B57" s="79"/>
      <c r="C57" s="58"/>
      <c r="D57" s="93"/>
      <c r="E57" s="59"/>
      <c r="F57" s="59" t="s">
        <v>59</v>
      </c>
      <c r="G57" s="60" t="s">
        <v>387</v>
      </c>
      <c r="H57" s="143">
        <v>187.3638</v>
      </c>
      <c r="I57" s="60" t="s">
        <v>67</v>
      </c>
      <c r="J57" s="51">
        <v>30000</v>
      </c>
      <c r="K57" s="86"/>
      <c r="L57" s="46">
        <v>5620800</v>
      </c>
      <c r="M57" s="18"/>
      <c r="N57" s="23"/>
      <c r="O57" s="23"/>
    </row>
    <row r="58" spans="2:15" x14ac:dyDescent="0.35">
      <c r="B58" s="79"/>
      <c r="C58" s="58"/>
      <c r="D58" s="93"/>
      <c r="E58" s="59"/>
      <c r="F58" s="59" t="s">
        <v>59</v>
      </c>
      <c r="G58" s="60" t="s">
        <v>388</v>
      </c>
      <c r="H58" s="143">
        <v>188.56484999999998</v>
      </c>
      <c r="I58" s="60" t="s">
        <v>67</v>
      </c>
      <c r="J58" s="51">
        <v>30000</v>
      </c>
      <c r="K58" s="86"/>
      <c r="L58" s="46">
        <v>5656800</v>
      </c>
      <c r="M58" s="18"/>
      <c r="N58" s="23"/>
      <c r="O58" s="23"/>
    </row>
    <row r="59" spans="2:15" x14ac:dyDescent="0.35">
      <c r="B59" s="79"/>
      <c r="C59" s="58"/>
      <c r="D59" s="93"/>
      <c r="E59" s="59"/>
      <c r="F59" s="59" t="s">
        <v>59</v>
      </c>
      <c r="G59" s="60" t="s">
        <v>389</v>
      </c>
      <c r="H59" s="143">
        <v>187.37950000000001</v>
      </c>
      <c r="I59" s="60" t="s">
        <v>67</v>
      </c>
      <c r="J59" s="51">
        <v>30000</v>
      </c>
      <c r="K59" s="86"/>
      <c r="L59" s="46">
        <v>5621400</v>
      </c>
      <c r="M59" s="18"/>
      <c r="N59" s="23"/>
      <c r="O59" s="23"/>
    </row>
    <row r="60" spans="2:15" x14ac:dyDescent="0.35">
      <c r="B60" s="79"/>
      <c r="C60" s="58"/>
      <c r="D60" s="93"/>
      <c r="E60" s="59"/>
      <c r="F60" s="59" t="s">
        <v>59</v>
      </c>
      <c r="G60" s="60" t="s">
        <v>390</v>
      </c>
      <c r="H60" s="143">
        <v>186.16274999999999</v>
      </c>
      <c r="I60" s="60" t="s">
        <v>67</v>
      </c>
      <c r="J60" s="51">
        <v>30000</v>
      </c>
      <c r="K60" s="88"/>
      <c r="L60" s="46">
        <v>5584800</v>
      </c>
      <c r="M60" s="18">
        <v>5808000.0000000009</v>
      </c>
      <c r="N60" s="23"/>
      <c r="O60" s="23"/>
    </row>
    <row r="61" spans="2:15" x14ac:dyDescent="0.35">
      <c r="B61" s="79"/>
      <c r="C61" s="58"/>
      <c r="D61" s="93"/>
      <c r="E61" s="59"/>
      <c r="F61" s="59" t="s">
        <v>59</v>
      </c>
      <c r="G61" s="60" t="s">
        <v>391</v>
      </c>
      <c r="H61" s="143">
        <v>169.12824999999998</v>
      </c>
      <c r="I61" s="60" t="s">
        <v>67</v>
      </c>
      <c r="J61" s="51">
        <v>30000</v>
      </c>
      <c r="K61" s="88"/>
      <c r="L61" s="46">
        <v>5073900</v>
      </c>
      <c r="M61" s="18">
        <v>1392000</v>
      </c>
      <c r="N61" s="23"/>
      <c r="O61" s="23"/>
    </row>
    <row r="62" spans="2:15" x14ac:dyDescent="0.35">
      <c r="B62" s="79"/>
      <c r="C62" s="58"/>
      <c r="D62" s="93"/>
      <c r="E62" s="59"/>
      <c r="F62" s="59" t="s">
        <v>59</v>
      </c>
      <c r="G62" s="60" t="s">
        <v>392</v>
      </c>
      <c r="H62" s="143">
        <v>186.16274999999999</v>
      </c>
      <c r="I62" s="60" t="s">
        <v>67</v>
      </c>
      <c r="J62" s="51">
        <v>30000</v>
      </c>
      <c r="K62" s="88"/>
      <c r="L62" s="46">
        <v>5584800</v>
      </c>
      <c r="M62" s="18">
        <v>8000000</v>
      </c>
      <c r="N62" s="23"/>
      <c r="O62" s="23"/>
    </row>
    <row r="63" spans="2:15" x14ac:dyDescent="0.35">
      <c r="B63" s="79"/>
      <c r="C63" s="58"/>
      <c r="D63" s="93"/>
      <c r="E63" s="59"/>
      <c r="F63" s="59" t="s">
        <v>59</v>
      </c>
      <c r="G63" s="60" t="s">
        <v>393</v>
      </c>
      <c r="H63" s="143">
        <v>44.587999999999994</v>
      </c>
      <c r="I63" s="60" t="s">
        <v>67</v>
      </c>
      <c r="J63" s="51">
        <v>30000</v>
      </c>
      <c r="K63" s="88"/>
      <c r="L63" s="46">
        <v>1337700</v>
      </c>
      <c r="M63" s="18"/>
      <c r="N63" s="23"/>
      <c r="O63" s="23"/>
    </row>
    <row r="64" spans="2:15" x14ac:dyDescent="0.35">
      <c r="B64" s="79"/>
      <c r="C64" s="58"/>
      <c r="D64" s="93"/>
      <c r="E64" s="59"/>
      <c r="F64" s="59" t="s">
        <v>59</v>
      </c>
      <c r="G64" s="60" t="s">
        <v>394</v>
      </c>
      <c r="H64" s="143">
        <v>32.970000000000006</v>
      </c>
      <c r="I64" s="60" t="s">
        <v>67</v>
      </c>
      <c r="J64" s="51">
        <v>30000</v>
      </c>
      <c r="K64" s="88"/>
      <c r="L64" s="46">
        <v>989100</v>
      </c>
      <c r="M64" s="18"/>
      <c r="N64" s="23"/>
      <c r="O64" s="23"/>
    </row>
    <row r="65" spans="2:23" x14ac:dyDescent="0.35">
      <c r="B65" s="79"/>
      <c r="C65" s="58"/>
      <c r="D65" s="93"/>
      <c r="E65" s="59"/>
      <c r="F65" s="59" t="s">
        <v>59</v>
      </c>
      <c r="G65" s="60" t="s">
        <v>395</v>
      </c>
      <c r="H65" s="143">
        <v>52.865039999999993</v>
      </c>
      <c r="I65" s="60" t="s">
        <v>67</v>
      </c>
      <c r="J65" s="51">
        <v>30000</v>
      </c>
      <c r="K65" s="88"/>
      <c r="L65" s="46">
        <v>1586100</v>
      </c>
      <c r="M65" s="18"/>
      <c r="N65" s="23"/>
      <c r="O65" s="23"/>
    </row>
    <row r="66" spans="2:23" x14ac:dyDescent="0.35">
      <c r="B66" s="79"/>
      <c r="C66" s="58"/>
      <c r="D66" s="93"/>
      <c r="E66" s="59"/>
      <c r="F66" s="59" t="s">
        <v>59</v>
      </c>
      <c r="G66" s="60" t="s">
        <v>396</v>
      </c>
      <c r="H66" s="143">
        <v>372.32549999999998</v>
      </c>
      <c r="I66" s="60" t="s">
        <v>67</v>
      </c>
      <c r="J66" s="51">
        <v>30000</v>
      </c>
      <c r="K66" s="29"/>
      <c r="L66" s="46">
        <v>11169900</v>
      </c>
      <c r="M66" s="18"/>
      <c r="N66" s="23"/>
      <c r="O66" s="23"/>
    </row>
    <row r="67" spans="2:23" x14ac:dyDescent="0.35">
      <c r="B67" s="79"/>
      <c r="C67" s="58"/>
      <c r="D67" s="93"/>
      <c r="E67" s="59"/>
      <c r="F67" s="59" t="s">
        <v>59</v>
      </c>
      <c r="G67" s="60" t="s">
        <v>396</v>
      </c>
      <c r="H67" s="143">
        <v>372.32549999999998</v>
      </c>
      <c r="I67" s="60" t="s">
        <v>67</v>
      </c>
      <c r="J67" s="51">
        <v>30000</v>
      </c>
      <c r="K67" s="29"/>
      <c r="L67" s="46">
        <v>11169900</v>
      </c>
      <c r="M67" s="18"/>
      <c r="N67" s="23"/>
      <c r="O67" s="23"/>
    </row>
    <row r="68" spans="2:23" x14ac:dyDescent="0.35">
      <c r="B68" s="79"/>
      <c r="C68" s="58"/>
      <c r="D68" s="93"/>
      <c r="E68" s="59"/>
      <c r="F68" s="59" t="s">
        <v>59</v>
      </c>
      <c r="G68" s="60" t="s">
        <v>397</v>
      </c>
      <c r="H68" s="143">
        <f>5.7*0.92*10*7.85*1.2</f>
        <v>493.98479999999995</v>
      </c>
      <c r="I68" s="60" t="s">
        <v>67</v>
      </c>
      <c r="J68" s="51">
        <v>30000</v>
      </c>
      <c r="K68" s="29"/>
      <c r="L68" s="46">
        <v>14819400</v>
      </c>
      <c r="M68" s="18"/>
      <c r="N68" s="23"/>
      <c r="O68" s="23"/>
    </row>
    <row r="69" spans="2:23" x14ac:dyDescent="0.35">
      <c r="B69" s="79"/>
      <c r="C69" s="58"/>
      <c r="D69" s="93"/>
      <c r="E69" s="59"/>
      <c r="F69" s="59" t="s">
        <v>59</v>
      </c>
      <c r="G69" s="60" t="s">
        <v>398</v>
      </c>
      <c r="H69" s="143">
        <v>374.75899999999996</v>
      </c>
      <c r="I69" s="60" t="s">
        <v>67</v>
      </c>
      <c r="J69" s="51">
        <v>30000</v>
      </c>
      <c r="K69" s="29"/>
      <c r="L69" s="46">
        <v>11242800</v>
      </c>
      <c r="M69" s="18">
        <v>701100</v>
      </c>
      <c r="N69" s="23"/>
      <c r="O69" s="23"/>
    </row>
    <row r="70" spans="2:23" x14ac:dyDescent="0.35">
      <c r="B70" s="79"/>
      <c r="C70" s="58"/>
      <c r="D70" s="93"/>
      <c r="E70" s="59"/>
      <c r="F70" s="59" t="s">
        <v>59</v>
      </c>
      <c r="G70" s="60" t="s">
        <v>399</v>
      </c>
      <c r="H70" s="143">
        <v>47.928959999999996</v>
      </c>
      <c r="I70" s="59" t="s">
        <v>67</v>
      </c>
      <c r="J70" s="46">
        <v>30000</v>
      </c>
      <c r="K70" s="46"/>
      <c r="L70" s="46">
        <v>1437900</v>
      </c>
      <c r="M70" s="18">
        <v>440000</v>
      </c>
      <c r="N70" s="23"/>
      <c r="O70" s="23"/>
    </row>
    <row r="71" spans="2:23" x14ac:dyDescent="0.35">
      <c r="B71" s="79"/>
      <c r="C71" s="58"/>
      <c r="D71" s="93"/>
      <c r="E71" s="59"/>
      <c r="F71" s="59"/>
      <c r="G71" s="60"/>
      <c r="H71" s="143"/>
      <c r="I71" s="59"/>
      <c r="J71" s="46"/>
      <c r="K71" s="64"/>
      <c r="L71" s="46"/>
      <c r="M71" s="18">
        <v>495000</v>
      </c>
      <c r="N71" s="23"/>
      <c r="O71" s="23"/>
    </row>
    <row r="72" spans="2:23" x14ac:dyDescent="0.35">
      <c r="B72" s="8"/>
      <c r="C72" s="9"/>
      <c r="D72" s="10"/>
      <c r="E72" s="4"/>
      <c r="F72" s="4"/>
      <c r="G72" s="4"/>
      <c r="H72" s="1"/>
      <c r="I72" s="1"/>
      <c r="J72" s="11" t="s">
        <v>8</v>
      </c>
      <c r="K72" s="7">
        <f>SUM(K20:K71)</f>
        <v>260552000</v>
      </c>
      <c r="L72" s="7">
        <f>SUM(L20:L71)</f>
        <v>134348100</v>
      </c>
      <c r="M72" s="14"/>
      <c r="N72" s="15"/>
      <c r="O72" s="34"/>
      <c r="P72" s="34"/>
      <c r="Q72" s="34"/>
      <c r="R72" s="34"/>
      <c r="S72">
        <v>102.15</v>
      </c>
      <c r="T72" s="34" t="s">
        <v>13</v>
      </c>
      <c r="U72" s="34"/>
      <c r="V72" s="34"/>
      <c r="W72" s="16"/>
    </row>
    <row r="73" spans="2:23" x14ac:dyDescent="0.35">
      <c r="B73" s="8"/>
      <c r="C73" s="9"/>
      <c r="D73" s="9"/>
      <c r="E73" s="4"/>
      <c r="F73" s="4"/>
      <c r="G73" s="4"/>
      <c r="H73" s="1"/>
      <c r="I73" s="1"/>
      <c r="J73" s="11"/>
      <c r="K73" s="35" t="s">
        <v>15</v>
      </c>
      <c r="L73" s="36" t="s">
        <v>16</v>
      </c>
      <c r="M73" s="14"/>
      <c r="N73" s="15"/>
      <c r="O73" s="34"/>
      <c r="P73" s="34"/>
      <c r="Q73" s="34"/>
      <c r="R73" s="34"/>
      <c r="T73" s="34"/>
      <c r="U73" s="34"/>
      <c r="V73" s="34"/>
      <c r="W73" s="16"/>
    </row>
    <row r="74" spans="2:23" x14ac:dyDescent="0.35">
      <c r="B74" s="3" t="s">
        <v>9</v>
      </c>
      <c r="C74" s="4"/>
      <c r="D74" s="4"/>
      <c r="E74" s="4"/>
      <c r="F74" s="4"/>
      <c r="G74" s="4"/>
      <c r="H74" s="1"/>
      <c r="I74" s="1"/>
      <c r="J74" s="12"/>
      <c r="K74" s="12"/>
      <c r="L74" s="13"/>
      <c r="N74" s="15"/>
      <c r="O74" s="34"/>
      <c r="P74" s="34"/>
      <c r="Q74" s="34"/>
      <c r="R74" s="34"/>
      <c r="S74">
        <v>26.04</v>
      </c>
      <c r="T74" s="34" t="s">
        <v>14</v>
      </c>
      <c r="U74" s="34"/>
      <c r="V74" s="34"/>
      <c r="W74" s="16"/>
    </row>
    <row r="75" spans="2:23" x14ac:dyDescent="0.35">
      <c r="B75" s="37"/>
      <c r="C75" s="1"/>
      <c r="D75" s="1"/>
      <c r="E75" s="38"/>
      <c r="F75" s="38"/>
      <c r="G75" s="38"/>
      <c r="H75" s="1"/>
      <c r="I75" s="1"/>
      <c r="J75" s="1"/>
      <c r="K75" s="1"/>
      <c r="L75" s="19"/>
    </row>
    <row r="76" spans="2:23" x14ac:dyDescent="0.35">
      <c r="B76" s="28" t="s">
        <v>6</v>
      </c>
      <c r="C76" s="27"/>
      <c r="D76" s="27"/>
      <c r="E76" s="26"/>
      <c r="F76" s="26"/>
      <c r="G76" s="5"/>
      <c r="K76" s="287" t="s">
        <v>523</v>
      </c>
      <c r="L76" s="288"/>
    </row>
    <row r="77" spans="2:23" x14ac:dyDescent="0.35">
      <c r="B77" s="28">
        <v>1</v>
      </c>
      <c r="C77" s="27"/>
      <c r="D77" s="27"/>
      <c r="E77" s="26" t="s">
        <v>7</v>
      </c>
      <c r="F77" s="26"/>
      <c r="G77" s="5"/>
      <c r="K77" s="287" t="s">
        <v>20</v>
      </c>
      <c r="L77" s="288"/>
    </row>
    <row r="78" spans="2:23" x14ac:dyDescent="0.35">
      <c r="B78" s="39"/>
      <c r="C78" s="27"/>
      <c r="D78" s="27"/>
      <c r="E78" s="26"/>
      <c r="F78" s="26"/>
      <c r="G78" s="5"/>
      <c r="J78" s="25"/>
      <c r="K78" s="25"/>
      <c r="L78" s="24"/>
    </row>
    <row r="79" spans="2:23" x14ac:dyDescent="0.35">
      <c r="B79" s="28"/>
      <c r="C79" s="27"/>
      <c r="D79" s="27"/>
      <c r="E79" s="26"/>
      <c r="F79" s="26"/>
      <c r="G79" s="5"/>
      <c r="L79" s="22"/>
    </row>
    <row r="80" spans="2:23" x14ac:dyDescent="0.35">
      <c r="B80" s="45"/>
      <c r="E80" s="5"/>
      <c r="F80" s="5"/>
      <c r="G80" s="5"/>
      <c r="L80" s="22"/>
    </row>
    <row r="81" spans="2:13" x14ac:dyDescent="0.35">
      <c r="B81" s="45"/>
      <c r="E81" s="5"/>
      <c r="F81" s="5"/>
      <c r="G81" s="5"/>
      <c r="L81" s="22"/>
    </row>
    <row r="82" spans="2:13" x14ac:dyDescent="0.35">
      <c r="B82" s="45"/>
      <c r="E82" s="5"/>
      <c r="F82" s="5"/>
      <c r="G82" s="5"/>
      <c r="L82" s="22"/>
    </row>
    <row r="83" spans="2:13" x14ac:dyDescent="0.35">
      <c r="B83" s="45"/>
      <c r="E83" s="5"/>
      <c r="F83" s="5"/>
      <c r="G83" s="5"/>
      <c r="J83" s="40"/>
      <c r="K83" s="289" t="s">
        <v>28</v>
      </c>
      <c r="L83" s="290"/>
      <c r="M83" s="40"/>
    </row>
    <row r="84" spans="2:13" x14ac:dyDescent="0.35">
      <c r="B84" s="45"/>
      <c r="K84" s="291" t="s">
        <v>29</v>
      </c>
      <c r="L84" s="292"/>
      <c r="M84" s="42"/>
    </row>
    <row r="85" spans="2:13" x14ac:dyDescent="0.35">
      <c r="B85" s="278"/>
      <c r="C85" s="279"/>
      <c r="D85" s="279"/>
      <c r="E85" s="41"/>
      <c r="F85" s="41"/>
      <c r="G85" s="41"/>
      <c r="H85" s="2"/>
      <c r="I85" s="2"/>
      <c r="J85" s="2"/>
      <c r="K85" s="2"/>
      <c r="L85" s="21"/>
    </row>
    <row r="86" spans="2:13" x14ac:dyDescent="0.35">
      <c r="B86" s="47"/>
      <c r="C86" s="48"/>
      <c r="D86" s="49"/>
      <c r="G86" s="22"/>
      <c r="H86" s="1"/>
      <c r="I86" s="1"/>
      <c r="J86" s="43"/>
      <c r="K86" s="30"/>
      <c r="L86" s="44"/>
    </row>
    <row r="87" spans="2:13" x14ac:dyDescent="0.35">
      <c r="B87" s="79"/>
      <c r="C87" s="58"/>
      <c r="D87" s="93"/>
      <c r="E87" s="59"/>
      <c r="F87" s="59" t="s">
        <v>59</v>
      </c>
      <c r="G87" s="60" t="s">
        <v>400</v>
      </c>
      <c r="H87" s="143">
        <v>256.28679999999997</v>
      </c>
      <c r="I87" s="59" t="s">
        <v>67</v>
      </c>
      <c r="J87" s="46">
        <v>30000</v>
      </c>
      <c r="K87" s="64"/>
      <c r="L87" s="46">
        <v>7688700.0000000009</v>
      </c>
    </row>
    <row r="88" spans="2:13" x14ac:dyDescent="0.35">
      <c r="B88" s="79"/>
      <c r="C88" s="58"/>
      <c r="D88" s="93"/>
      <c r="E88" s="59"/>
      <c r="F88" s="59" t="s">
        <v>59</v>
      </c>
      <c r="G88" s="60" t="s">
        <v>401</v>
      </c>
      <c r="H88" s="143">
        <v>234.65219999999999</v>
      </c>
      <c r="I88" s="59" t="s">
        <v>67</v>
      </c>
      <c r="J88" s="46">
        <v>30000</v>
      </c>
      <c r="K88" s="64"/>
      <c r="L88" s="46">
        <v>7039500</v>
      </c>
      <c r="M88">
        <v>280000</v>
      </c>
    </row>
    <row r="89" spans="2:13" x14ac:dyDescent="0.35">
      <c r="B89" s="79"/>
      <c r="C89" s="58"/>
      <c r="D89" s="93"/>
      <c r="E89" s="59"/>
      <c r="F89" s="59" t="s">
        <v>59</v>
      </c>
      <c r="G89" s="60" t="s">
        <v>519</v>
      </c>
      <c r="H89" s="262">
        <f>0.2*1.987436*10*7.85*1.2</f>
        <v>37.44329424</v>
      </c>
      <c r="I89" s="59" t="s">
        <v>67</v>
      </c>
      <c r="J89" s="46">
        <v>30000</v>
      </c>
      <c r="K89" s="64"/>
      <c r="L89" s="46">
        <v>1123200</v>
      </c>
      <c r="M89">
        <v>70000</v>
      </c>
    </row>
    <row r="90" spans="2:13" x14ac:dyDescent="0.35">
      <c r="B90" s="109"/>
      <c r="C90" s="235"/>
      <c r="D90" s="107"/>
      <c r="E90" s="108"/>
      <c r="F90" s="59" t="s">
        <v>59</v>
      </c>
      <c r="G90" s="60" t="s">
        <v>402</v>
      </c>
      <c r="H90" s="143">
        <v>251.45119999999997</v>
      </c>
      <c r="I90" s="59" t="s">
        <v>67</v>
      </c>
      <c r="J90" s="46">
        <v>30000</v>
      </c>
      <c r="K90" s="64"/>
      <c r="L90" s="46">
        <v>7543500</v>
      </c>
      <c r="M90" s="14"/>
    </row>
    <row r="91" spans="2:13" x14ac:dyDescent="0.35">
      <c r="B91" s="109"/>
      <c r="C91" s="235"/>
      <c r="D91" s="107"/>
      <c r="E91" s="108"/>
      <c r="F91" s="59" t="s">
        <v>59</v>
      </c>
      <c r="G91" s="60" t="s">
        <v>405</v>
      </c>
      <c r="H91" s="143">
        <v>40.882800000000003</v>
      </c>
      <c r="I91" s="59" t="s">
        <v>67</v>
      </c>
      <c r="J91" s="46">
        <v>30000</v>
      </c>
      <c r="K91" s="64"/>
      <c r="L91" s="46">
        <v>1226400</v>
      </c>
      <c r="M91">
        <v>268160</v>
      </c>
    </row>
    <row r="92" spans="2:13" x14ac:dyDescent="0.35">
      <c r="B92" s="70"/>
      <c r="C92" s="71"/>
      <c r="D92" s="110"/>
      <c r="E92" s="68"/>
      <c r="F92" s="68"/>
      <c r="G92" s="135"/>
      <c r="H92" s="92"/>
      <c r="I92" s="69"/>
      <c r="J92" s="51"/>
      <c r="K92" s="56"/>
      <c r="L92" s="46"/>
      <c r="M92">
        <v>1300000</v>
      </c>
    </row>
    <row r="93" spans="2:13" x14ac:dyDescent="0.35">
      <c r="B93" s="70"/>
      <c r="C93" s="71"/>
      <c r="D93" s="110"/>
      <c r="E93" s="273" t="s">
        <v>522</v>
      </c>
      <c r="F93" s="274"/>
      <c r="G93" s="275"/>
      <c r="H93" s="92"/>
      <c r="I93" s="89"/>
      <c r="J93" s="46"/>
      <c r="K93" s="56"/>
      <c r="L93" s="46"/>
    </row>
    <row r="94" spans="2:13" x14ac:dyDescent="0.35">
      <c r="B94" s="104" t="s">
        <v>35</v>
      </c>
      <c r="C94" s="96"/>
      <c r="D94" s="97"/>
      <c r="E94" s="105" t="s">
        <v>10</v>
      </c>
      <c r="F94" s="105"/>
      <c r="G94" s="100"/>
      <c r="H94" s="59"/>
      <c r="I94" s="59"/>
      <c r="J94" s="46"/>
      <c r="K94" s="46"/>
      <c r="L94" s="81"/>
      <c r="M94">
        <v>335000</v>
      </c>
    </row>
    <row r="95" spans="2:13" x14ac:dyDescent="0.35">
      <c r="B95" s="106"/>
      <c r="C95" s="71"/>
      <c r="D95" s="107" t="s">
        <v>36</v>
      </c>
      <c r="E95" s="108"/>
      <c r="F95" s="59" t="s">
        <v>518</v>
      </c>
      <c r="G95" s="60"/>
      <c r="H95" s="59">
        <v>20</v>
      </c>
      <c r="I95" s="78" t="s">
        <v>41</v>
      </c>
      <c r="J95" s="64">
        <v>1500000</v>
      </c>
      <c r="K95" s="64">
        <f t="shared" ref="K95:K99" si="2">J95*H95</f>
        <v>30000000</v>
      </c>
      <c r="L95" s="46"/>
      <c r="M95">
        <v>720000</v>
      </c>
    </row>
    <row r="96" spans="2:13" x14ac:dyDescent="0.35">
      <c r="B96" s="106"/>
      <c r="C96" s="71"/>
      <c r="D96" s="107" t="s">
        <v>38</v>
      </c>
      <c r="E96" s="108"/>
      <c r="F96" s="59" t="s">
        <v>517</v>
      </c>
      <c r="G96" s="60"/>
      <c r="H96" s="59">
        <v>44</v>
      </c>
      <c r="I96" s="60" t="s">
        <v>41</v>
      </c>
      <c r="J96" s="64">
        <v>450000</v>
      </c>
      <c r="K96" s="64">
        <f t="shared" si="2"/>
        <v>19800000</v>
      </c>
      <c r="L96" s="46"/>
      <c r="M96">
        <v>90000</v>
      </c>
    </row>
    <row r="97" spans="2:13" x14ac:dyDescent="0.35">
      <c r="B97" s="106"/>
      <c r="C97" s="71"/>
      <c r="D97" s="24" t="s">
        <v>39</v>
      </c>
      <c r="F97" s="18" t="s">
        <v>515</v>
      </c>
      <c r="G97" s="22"/>
      <c r="H97" s="18">
        <v>1</v>
      </c>
      <c r="I97" s="22" t="s">
        <v>37</v>
      </c>
      <c r="J97" s="50">
        <v>950000</v>
      </c>
      <c r="K97" s="64">
        <f t="shared" si="2"/>
        <v>950000</v>
      </c>
      <c r="L97" s="46"/>
      <c r="M97" s="14"/>
    </row>
    <row r="98" spans="2:13" x14ac:dyDescent="0.35">
      <c r="B98" s="106"/>
      <c r="C98" s="71"/>
      <c r="D98" s="24" t="s">
        <v>40</v>
      </c>
      <c r="F98" s="18" t="s">
        <v>516</v>
      </c>
      <c r="G98" s="22"/>
      <c r="H98" s="18">
        <v>109</v>
      </c>
      <c r="I98" s="22" t="s">
        <v>41</v>
      </c>
      <c r="J98" s="50">
        <v>650000</v>
      </c>
      <c r="K98" s="64">
        <f t="shared" si="2"/>
        <v>70850000</v>
      </c>
      <c r="L98" s="46"/>
      <c r="M98">
        <v>3419040</v>
      </c>
    </row>
    <row r="99" spans="2:13" x14ac:dyDescent="0.35">
      <c r="B99" s="106"/>
      <c r="C99" s="71"/>
      <c r="D99" s="110" t="s">
        <v>42</v>
      </c>
      <c r="E99" s="59"/>
      <c r="F99" s="59" t="s">
        <v>231</v>
      </c>
      <c r="G99" s="60"/>
      <c r="H99" s="59">
        <v>15</v>
      </c>
      <c r="I99" s="60" t="s">
        <v>232</v>
      </c>
      <c r="J99" s="61">
        <v>90000</v>
      </c>
      <c r="K99" s="64">
        <f t="shared" si="2"/>
        <v>1350000</v>
      </c>
      <c r="L99" s="46"/>
      <c r="M99">
        <v>108300</v>
      </c>
    </row>
    <row r="100" spans="2:13" x14ac:dyDescent="0.35">
      <c r="B100" s="115" t="s">
        <v>50</v>
      </c>
      <c r="C100" s="236"/>
      <c r="D100" s="116"/>
      <c r="E100" s="105" t="s">
        <v>87</v>
      </c>
      <c r="F100" s="105"/>
      <c r="G100" s="100"/>
      <c r="H100" s="105"/>
      <c r="I100" s="100"/>
      <c r="J100" s="56"/>
      <c r="K100" s="64"/>
      <c r="L100" s="46"/>
      <c r="M100">
        <v>2010000</v>
      </c>
    </row>
    <row r="101" spans="2:13" x14ac:dyDescent="0.35">
      <c r="B101" s="104"/>
      <c r="C101" s="96"/>
      <c r="D101" s="118" t="s">
        <v>36</v>
      </c>
      <c r="E101" s="124"/>
      <c r="F101" s="120" t="s">
        <v>90</v>
      </c>
      <c r="G101" s="121"/>
      <c r="H101" s="122">
        <v>4</v>
      </c>
      <c r="I101" s="121" t="s">
        <v>89</v>
      </c>
      <c r="J101" s="51">
        <v>1700000</v>
      </c>
      <c r="K101" s="64">
        <f t="shared" ref="K101:K117" si="3">J101*H101</f>
        <v>6800000</v>
      </c>
      <c r="L101" s="46"/>
      <c r="M101">
        <v>330000</v>
      </c>
    </row>
    <row r="102" spans="2:13" x14ac:dyDescent="0.35">
      <c r="B102" s="263"/>
      <c r="C102" s="255"/>
      <c r="D102" s="256"/>
      <c r="E102" s="129"/>
      <c r="F102" s="130"/>
      <c r="G102" s="131"/>
      <c r="H102" s="257"/>
      <c r="I102" s="258"/>
      <c r="J102" s="56"/>
      <c r="K102" s="64"/>
      <c r="L102" s="46"/>
      <c r="M102">
        <v>200000</v>
      </c>
    </row>
    <row r="103" spans="2:13" x14ac:dyDescent="0.35">
      <c r="B103" s="263"/>
      <c r="C103" s="255"/>
      <c r="D103" s="256"/>
      <c r="E103" s="259"/>
      <c r="F103" s="260" t="s">
        <v>93</v>
      </c>
      <c r="G103" s="261"/>
      <c r="H103" s="257"/>
      <c r="I103" s="258"/>
      <c r="J103" s="51"/>
      <c r="K103" s="64"/>
      <c r="L103" s="46"/>
      <c r="M103">
        <v>200000</v>
      </c>
    </row>
    <row r="104" spans="2:13" x14ac:dyDescent="0.35">
      <c r="B104" s="84" t="s">
        <v>35</v>
      </c>
      <c r="C104" s="71"/>
      <c r="D104" s="110"/>
      <c r="E104" s="89" t="s">
        <v>11</v>
      </c>
      <c r="F104" s="68"/>
      <c r="G104" s="135"/>
      <c r="H104" s="92"/>
      <c r="I104" s="78"/>
      <c r="J104" s="51"/>
      <c r="K104" s="64"/>
      <c r="L104" s="46"/>
      <c r="M104">
        <v>840000</v>
      </c>
    </row>
    <row r="105" spans="2:13" x14ac:dyDescent="0.35">
      <c r="B105" s="70"/>
      <c r="C105" s="71"/>
      <c r="D105" s="136" t="s">
        <v>36</v>
      </c>
      <c r="E105" s="68"/>
      <c r="F105" s="137" t="s">
        <v>94</v>
      </c>
      <c r="G105" s="135"/>
      <c r="H105" s="92">
        <v>1056</v>
      </c>
      <c r="I105" s="69" t="s">
        <v>52</v>
      </c>
      <c r="J105" s="61">
        <v>65000</v>
      </c>
      <c r="K105" s="64">
        <f t="shared" si="3"/>
        <v>68640000</v>
      </c>
      <c r="L105" s="46"/>
      <c r="M105">
        <v>840000</v>
      </c>
    </row>
    <row r="106" spans="2:13" x14ac:dyDescent="0.35">
      <c r="B106" s="70"/>
      <c r="C106" s="71"/>
      <c r="D106" s="136" t="s">
        <v>38</v>
      </c>
      <c r="E106" s="68"/>
      <c r="F106" s="137" t="s">
        <v>234</v>
      </c>
      <c r="G106" s="135"/>
      <c r="H106" s="92">
        <v>1</v>
      </c>
      <c r="I106" s="69" t="s">
        <v>37</v>
      </c>
      <c r="J106" s="51">
        <v>30000000</v>
      </c>
      <c r="K106" s="64">
        <f t="shared" si="3"/>
        <v>30000000</v>
      </c>
      <c r="L106" s="46"/>
      <c r="M106">
        <v>245000</v>
      </c>
    </row>
    <row r="107" spans="2:13" x14ac:dyDescent="0.35">
      <c r="B107" s="70"/>
      <c r="C107" s="71"/>
      <c r="D107" s="136" t="s">
        <v>39</v>
      </c>
      <c r="E107" s="68"/>
      <c r="F107" s="137" t="s">
        <v>235</v>
      </c>
      <c r="G107" s="135"/>
      <c r="H107" s="92">
        <v>1</v>
      </c>
      <c r="I107" s="69" t="s">
        <v>37</v>
      </c>
      <c r="J107" s="51">
        <v>26000000</v>
      </c>
      <c r="K107" s="64">
        <f t="shared" si="3"/>
        <v>26000000</v>
      </c>
      <c r="L107" s="46"/>
      <c r="M107">
        <v>280000</v>
      </c>
    </row>
    <row r="108" spans="2:13" x14ac:dyDescent="0.35">
      <c r="B108" s="70"/>
      <c r="C108" s="71"/>
      <c r="D108" s="110" t="s">
        <v>40</v>
      </c>
      <c r="E108" s="68"/>
      <c r="F108" s="68" t="s">
        <v>95</v>
      </c>
      <c r="G108" s="135"/>
      <c r="H108" s="92">
        <v>280</v>
      </c>
      <c r="I108" s="78" t="s">
        <v>52</v>
      </c>
      <c r="J108" s="51">
        <v>65000</v>
      </c>
      <c r="K108" s="64">
        <f t="shared" si="3"/>
        <v>18200000</v>
      </c>
      <c r="L108" s="46"/>
      <c r="M108">
        <v>70000</v>
      </c>
    </row>
    <row r="109" spans="2:13" x14ac:dyDescent="0.35">
      <c r="B109" s="70"/>
      <c r="C109" s="71"/>
      <c r="D109" s="110" t="s">
        <v>42</v>
      </c>
      <c r="E109" s="59"/>
      <c r="F109" s="68" t="s">
        <v>96</v>
      </c>
      <c r="G109" s="135"/>
      <c r="H109" s="92">
        <v>310</v>
      </c>
      <c r="I109" s="78" t="s">
        <v>52</v>
      </c>
      <c r="J109" s="51">
        <v>65000</v>
      </c>
      <c r="K109" s="64">
        <f t="shared" si="3"/>
        <v>20150000</v>
      </c>
      <c r="L109" s="46"/>
      <c r="M109">
        <v>140000</v>
      </c>
    </row>
    <row r="110" spans="2:13" x14ac:dyDescent="0.35">
      <c r="B110" s="84"/>
      <c r="C110" s="71"/>
      <c r="D110" s="110" t="s">
        <v>43</v>
      </c>
      <c r="E110" s="68"/>
      <c r="F110" s="74" t="s">
        <v>97</v>
      </c>
      <c r="G110" s="135"/>
      <c r="H110" s="92">
        <v>1</v>
      </c>
      <c r="I110" s="78" t="s">
        <v>37</v>
      </c>
      <c r="J110" s="51">
        <v>30000000</v>
      </c>
      <c r="K110" s="64">
        <f t="shared" si="3"/>
        <v>30000000</v>
      </c>
      <c r="L110" s="46"/>
      <c r="M110">
        <v>70000</v>
      </c>
    </row>
    <row r="111" spans="2:13" x14ac:dyDescent="0.35">
      <c r="B111" s="70"/>
      <c r="C111" s="238"/>
      <c r="D111" s="110" t="s">
        <v>44</v>
      </c>
      <c r="E111" s="68"/>
      <c r="F111" s="74" t="s">
        <v>98</v>
      </c>
      <c r="G111" s="135"/>
      <c r="H111" s="92">
        <v>1</v>
      </c>
      <c r="I111" s="78" t="s">
        <v>37</v>
      </c>
      <c r="J111" s="199">
        <v>15000000</v>
      </c>
      <c r="K111" s="64">
        <f t="shared" si="3"/>
        <v>15000000</v>
      </c>
      <c r="L111" s="83"/>
      <c r="M111" s="14"/>
    </row>
    <row r="112" spans="2:13" x14ac:dyDescent="0.35">
      <c r="B112" s="70"/>
      <c r="C112" s="238"/>
      <c r="D112" s="110" t="s">
        <v>45</v>
      </c>
      <c r="E112" s="68"/>
      <c r="F112" s="68" t="s">
        <v>99</v>
      </c>
      <c r="G112" s="135"/>
      <c r="H112" s="92">
        <v>1056</v>
      </c>
      <c r="I112" s="78" t="s">
        <v>52</v>
      </c>
      <c r="J112" s="72">
        <v>13000</v>
      </c>
      <c r="K112" s="64">
        <f t="shared" si="3"/>
        <v>13728000</v>
      </c>
      <c r="L112" s="46"/>
      <c r="M112">
        <v>1420000</v>
      </c>
    </row>
    <row r="113" spans="2:13" x14ac:dyDescent="0.35">
      <c r="B113" s="70"/>
      <c r="C113" s="71"/>
      <c r="D113" s="110" t="s">
        <v>46</v>
      </c>
      <c r="E113" s="68"/>
      <c r="F113" s="68" t="s">
        <v>100</v>
      </c>
      <c r="G113" s="135"/>
      <c r="H113" s="92">
        <v>280</v>
      </c>
      <c r="I113" s="69" t="s">
        <v>52</v>
      </c>
      <c r="J113" s="72">
        <v>18000</v>
      </c>
      <c r="K113" s="64">
        <f t="shared" si="3"/>
        <v>5040000</v>
      </c>
      <c r="L113" s="46"/>
      <c r="M113" s="14"/>
    </row>
    <row r="114" spans="2:13" x14ac:dyDescent="0.35">
      <c r="B114" s="70"/>
      <c r="C114" s="71"/>
      <c r="D114" s="110" t="s">
        <v>47</v>
      </c>
      <c r="E114" s="68"/>
      <c r="F114" s="68" t="s">
        <v>101</v>
      </c>
      <c r="G114" s="135"/>
      <c r="H114" s="92">
        <v>310</v>
      </c>
      <c r="I114" s="69" t="s">
        <v>52</v>
      </c>
      <c r="J114" s="72">
        <v>18000</v>
      </c>
      <c r="K114" s="64">
        <f t="shared" si="3"/>
        <v>5580000</v>
      </c>
      <c r="L114" s="87"/>
      <c r="M114">
        <v>69300</v>
      </c>
    </row>
    <row r="115" spans="2:13" x14ac:dyDescent="0.35">
      <c r="B115" s="70"/>
      <c r="C115" s="238"/>
      <c r="D115" s="110" t="s">
        <v>48</v>
      </c>
      <c r="E115" s="68"/>
      <c r="F115" s="138" t="s">
        <v>102</v>
      </c>
      <c r="G115" s="135"/>
      <c r="H115" s="92">
        <v>1</v>
      </c>
      <c r="I115" s="78" t="s">
        <v>37</v>
      </c>
      <c r="J115" s="213">
        <v>20000000</v>
      </c>
      <c r="K115" s="64">
        <f t="shared" si="3"/>
        <v>20000000</v>
      </c>
      <c r="L115" s="87"/>
      <c r="M115">
        <v>74250</v>
      </c>
    </row>
    <row r="116" spans="2:13" x14ac:dyDescent="0.35">
      <c r="B116" s="70"/>
      <c r="C116" s="71"/>
      <c r="D116" s="110" t="s">
        <v>236</v>
      </c>
      <c r="E116" s="68"/>
      <c r="F116" s="68" t="s">
        <v>103</v>
      </c>
      <c r="G116" s="135"/>
      <c r="H116" s="92">
        <v>1</v>
      </c>
      <c r="I116" s="69" t="s">
        <v>37</v>
      </c>
      <c r="J116" s="213">
        <v>14000000</v>
      </c>
      <c r="K116" s="64">
        <f t="shared" si="3"/>
        <v>14000000</v>
      </c>
      <c r="L116" s="87"/>
      <c r="M116">
        <v>210000</v>
      </c>
    </row>
    <row r="117" spans="2:13" x14ac:dyDescent="0.35">
      <c r="B117" s="70"/>
      <c r="C117" s="71"/>
      <c r="D117" s="110" t="s">
        <v>49</v>
      </c>
      <c r="E117" s="68"/>
      <c r="F117" s="68" t="s">
        <v>104</v>
      </c>
      <c r="G117" s="135"/>
      <c r="H117" s="92">
        <v>1</v>
      </c>
      <c r="I117" s="69" t="s">
        <v>37</v>
      </c>
      <c r="J117" s="213">
        <v>10000000</v>
      </c>
      <c r="K117" s="64">
        <f t="shared" si="3"/>
        <v>10000000</v>
      </c>
      <c r="L117" s="87"/>
      <c r="M117">
        <v>250000</v>
      </c>
    </row>
    <row r="118" spans="2:13" x14ac:dyDescent="0.35">
      <c r="B118" s="139" t="s">
        <v>50</v>
      </c>
      <c r="C118" s="239"/>
      <c r="D118" s="140"/>
      <c r="E118" s="129" t="s">
        <v>79</v>
      </c>
      <c r="F118" s="129"/>
      <c r="G118" s="131"/>
      <c r="H118" s="141"/>
      <c r="I118" s="142"/>
      <c r="J118" s="29"/>
      <c r="K118" s="88"/>
      <c r="L118" s="46"/>
      <c r="M118">
        <v>140000</v>
      </c>
    </row>
    <row r="119" spans="2:13" x14ac:dyDescent="0.35">
      <c r="B119" s="70"/>
      <c r="C119" s="71"/>
      <c r="D119" s="110" t="s">
        <v>36</v>
      </c>
      <c r="E119" s="68"/>
      <c r="F119" s="68" t="s">
        <v>105</v>
      </c>
      <c r="G119" s="135"/>
      <c r="H119" s="92">
        <v>50</v>
      </c>
      <c r="I119" s="89" t="s">
        <v>58</v>
      </c>
      <c r="J119" s="88">
        <v>550000</v>
      </c>
      <c r="K119" s="64">
        <f t="shared" ref="K119" si="4">J119*H119</f>
        <v>27500000</v>
      </c>
      <c r="L119" s="46"/>
      <c r="M119">
        <v>280000</v>
      </c>
    </row>
    <row r="120" spans="2:13" x14ac:dyDescent="0.35">
      <c r="B120" s="70"/>
      <c r="C120" s="71"/>
      <c r="D120" s="110"/>
      <c r="E120" s="68"/>
      <c r="F120" s="68" t="s">
        <v>59</v>
      </c>
      <c r="G120" s="135" t="s">
        <v>237</v>
      </c>
      <c r="H120" s="143">
        <f>2.2*108</f>
        <v>237.60000000000002</v>
      </c>
      <c r="I120" s="89" t="s">
        <v>49</v>
      </c>
      <c r="J120" s="88">
        <v>330000</v>
      </c>
      <c r="K120" s="88"/>
      <c r="L120" s="46">
        <f>J120*H120</f>
        <v>78408000.000000015</v>
      </c>
      <c r="M120">
        <v>140000</v>
      </c>
    </row>
    <row r="121" spans="2:13" x14ac:dyDescent="0.35">
      <c r="B121" s="70"/>
      <c r="C121" s="71"/>
      <c r="D121" s="110"/>
      <c r="E121" s="68"/>
      <c r="F121" s="68" t="s">
        <v>59</v>
      </c>
      <c r="G121" s="135" t="s">
        <v>238</v>
      </c>
      <c r="H121" s="92">
        <v>200</v>
      </c>
      <c r="I121" s="89" t="s">
        <v>63</v>
      </c>
      <c r="J121" s="88">
        <v>87000</v>
      </c>
      <c r="K121" s="88"/>
      <c r="L121" s="46">
        <f>J121*H121</f>
        <v>17400000</v>
      </c>
      <c r="M121">
        <v>70000</v>
      </c>
    </row>
    <row r="122" spans="2:13" x14ac:dyDescent="0.35">
      <c r="B122" s="70"/>
      <c r="C122" s="71"/>
      <c r="D122" s="110"/>
      <c r="E122" s="68"/>
      <c r="F122" s="68" t="s">
        <v>59</v>
      </c>
      <c r="G122" s="135" t="s">
        <v>106</v>
      </c>
      <c r="H122" s="92">
        <v>50</v>
      </c>
      <c r="I122" s="89" t="s">
        <v>58</v>
      </c>
      <c r="J122" s="88">
        <v>500000</v>
      </c>
      <c r="K122" s="88"/>
      <c r="L122" s="46">
        <f>J122*H122</f>
        <v>25000000</v>
      </c>
      <c r="M122">
        <v>70000</v>
      </c>
    </row>
    <row r="123" spans="2:13" x14ac:dyDescent="0.35">
      <c r="B123" s="70"/>
      <c r="C123" s="71"/>
      <c r="D123" s="110" t="s">
        <v>38</v>
      </c>
      <c r="E123" s="68"/>
      <c r="F123" s="68" t="s">
        <v>107</v>
      </c>
      <c r="G123" s="135"/>
      <c r="H123" s="92">
        <f>6*54</f>
        <v>324</v>
      </c>
      <c r="I123" s="89" t="s">
        <v>166</v>
      </c>
      <c r="J123" s="88">
        <v>270000</v>
      </c>
      <c r="K123" s="64">
        <f t="shared" ref="K123" si="5">J123*H123</f>
        <v>87480000</v>
      </c>
      <c r="L123" s="46"/>
      <c r="M123">
        <v>145000</v>
      </c>
    </row>
    <row r="124" spans="2:13" x14ac:dyDescent="0.35">
      <c r="B124" s="70"/>
      <c r="C124" s="71"/>
      <c r="D124" s="110"/>
      <c r="E124" s="68"/>
      <c r="F124" s="68" t="s">
        <v>59</v>
      </c>
      <c r="G124" s="135" t="s">
        <v>239</v>
      </c>
      <c r="H124" s="92">
        <f>100*108</f>
        <v>10800</v>
      </c>
      <c r="I124" s="89" t="s">
        <v>64</v>
      </c>
      <c r="J124" s="50">
        <v>595</v>
      </c>
      <c r="K124" s="29"/>
      <c r="L124" s="46">
        <f>J124*H124</f>
        <v>6426000</v>
      </c>
      <c r="M124">
        <v>160000</v>
      </c>
    </row>
    <row r="125" spans="2:13" x14ac:dyDescent="0.35">
      <c r="B125" s="70"/>
      <c r="C125" s="71"/>
      <c r="D125" s="110"/>
      <c r="E125" s="68"/>
      <c r="F125" s="68" t="s">
        <v>59</v>
      </c>
      <c r="G125" s="135" t="s">
        <v>108</v>
      </c>
      <c r="H125" s="143">
        <v>423.9</v>
      </c>
      <c r="I125" s="89" t="s">
        <v>67</v>
      </c>
      <c r="J125" s="50">
        <v>30000</v>
      </c>
      <c r="K125" s="29"/>
      <c r="L125" s="46">
        <f>J125*H125</f>
        <v>12717000</v>
      </c>
    </row>
    <row r="126" spans="2:13" x14ac:dyDescent="0.35">
      <c r="B126" s="70"/>
      <c r="C126" s="71"/>
      <c r="D126" s="110" t="s">
        <v>39</v>
      </c>
      <c r="E126" s="68"/>
      <c r="F126" s="68" t="s">
        <v>109</v>
      </c>
      <c r="G126" s="135"/>
      <c r="H126" s="92">
        <v>4</v>
      </c>
      <c r="I126" s="89" t="s">
        <v>58</v>
      </c>
      <c r="J126" s="46">
        <v>550000</v>
      </c>
      <c r="K126" s="64">
        <f t="shared" ref="K126" si="6">J126*H126</f>
        <v>2200000</v>
      </c>
      <c r="L126" s="81"/>
    </row>
    <row r="127" spans="2:13" x14ac:dyDescent="0.35">
      <c r="B127" s="70"/>
      <c r="C127" s="71"/>
      <c r="D127" s="110"/>
      <c r="E127" s="68"/>
      <c r="F127" s="68" t="s">
        <v>59</v>
      </c>
      <c r="G127" s="135" t="s">
        <v>240</v>
      </c>
      <c r="H127" s="143">
        <f>2.2*8</f>
        <v>17.600000000000001</v>
      </c>
      <c r="I127" s="89" t="s">
        <v>49</v>
      </c>
      <c r="J127" s="64">
        <v>330000</v>
      </c>
      <c r="K127" s="64"/>
      <c r="L127" s="46">
        <f>J127*H127</f>
        <v>5808000.0000000009</v>
      </c>
    </row>
    <row r="128" spans="2:13" x14ac:dyDescent="0.35">
      <c r="B128" s="70"/>
      <c r="C128" s="71"/>
      <c r="D128" s="110"/>
      <c r="E128" s="68"/>
      <c r="F128" s="68" t="s">
        <v>59</v>
      </c>
      <c r="G128" s="135" t="s">
        <v>241</v>
      </c>
      <c r="H128" s="92">
        <v>16</v>
      </c>
      <c r="I128" s="89" t="s">
        <v>63</v>
      </c>
      <c r="J128" s="64">
        <v>87000</v>
      </c>
      <c r="K128" s="64"/>
      <c r="L128" s="46">
        <f>J128*H128</f>
        <v>1392000</v>
      </c>
    </row>
    <row r="129" spans="2:12" x14ac:dyDescent="0.35">
      <c r="B129" s="70"/>
      <c r="C129" s="71"/>
      <c r="D129" s="110"/>
      <c r="E129" s="68"/>
      <c r="F129" s="68" t="s">
        <v>59</v>
      </c>
      <c r="G129" s="135" t="s">
        <v>110</v>
      </c>
      <c r="H129" s="92">
        <v>4</v>
      </c>
      <c r="I129" s="85" t="s">
        <v>58</v>
      </c>
      <c r="J129" s="64">
        <v>2000000</v>
      </c>
      <c r="K129" s="64"/>
      <c r="L129" s="46">
        <f>J129*H129</f>
        <v>8000000</v>
      </c>
    </row>
    <row r="130" spans="2:12" x14ac:dyDescent="0.35">
      <c r="B130" s="70"/>
      <c r="C130" s="71"/>
      <c r="D130" s="110" t="s">
        <v>40</v>
      </c>
      <c r="E130" s="68"/>
      <c r="F130" s="68" t="s">
        <v>242</v>
      </c>
      <c r="G130" s="135"/>
      <c r="H130" s="92">
        <v>1</v>
      </c>
      <c r="I130" s="85" t="s">
        <v>37</v>
      </c>
      <c r="J130" s="64">
        <v>8750000</v>
      </c>
      <c r="K130" s="64">
        <f t="shared" ref="K130" si="7">J130*H130</f>
        <v>8750000</v>
      </c>
      <c r="L130" s="46"/>
    </row>
    <row r="131" spans="2:12" x14ac:dyDescent="0.35">
      <c r="B131" s="70"/>
      <c r="C131" s="71"/>
      <c r="D131" s="110"/>
      <c r="E131" s="68"/>
      <c r="F131" s="68" t="s">
        <v>59</v>
      </c>
      <c r="G131" s="135" t="s">
        <v>243</v>
      </c>
      <c r="H131" s="215">
        <f>100*8</f>
        <v>800</v>
      </c>
      <c r="I131" s="216" t="s">
        <v>64</v>
      </c>
      <c r="J131" s="217">
        <v>595</v>
      </c>
      <c r="K131" s="64"/>
      <c r="L131" s="46"/>
    </row>
    <row r="132" spans="2:12" x14ac:dyDescent="0.35">
      <c r="B132" s="70"/>
      <c r="C132" s="71"/>
      <c r="D132" s="110"/>
      <c r="E132" s="68"/>
      <c r="F132" s="68" t="s">
        <v>59</v>
      </c>
      <c r="G132" s="135" t="s">
        <v>111</v>
      </c>
      <c r="H132" s="218">
        <v>33.911999999999999</v>
      </c>
      <c r="I132" s="90" t="s">
        <v>67</v>
      </c>
      <c r="J132" s="217">
        <v>30000</v>
      </c>
      <c r="K132" s="64"/>
      <c r="L132" s="46"/>
    </row>
    <row r="133" spans="2:12" x14ac:dyDescent="0.35">
      <c r="B133" s="139" t="s">
        <v>60</v>
      </c>
      <c r="C133" s="239"/>
      <c r="D133" s="140"/>
      <c r="E133" s="129" t="s">
        <v>112</v>
      </c>
      <c r="F133" s="129"/>
      <c r="G133" s="131"/>
      <c r="H133" s="141"/>
      <c r="I133" s="142"/>
      <c r="J133" s="64"/>
      <c r="K133" s="64"/>
      <c r="L133" s="46"/>
    </row>
    <row r="134" spans="2:12" x14ac:dyDescent="0.35">
      <c r="B134" s="139"/>
      <c r="C134" s="239" t="s">
        <v>77</v>
      </c>
      <c r="D134" s="140"/>
      <c r="E134" s="129"/>
      <c r="F134" s="129" t="s">
        <v>113</v>
      </c>
      <c r="G134" s="131"/>
      <c r="H134" s="141"/>
      <c r="I134" s="142"/>
      <c r="J134" s="50"/>
      <c r="K134" s="54"/>
      <c r="L134" s="46"/>
    </row>
    <row r="135" spans="2:12" x14ac:dyDescent="0.35">
      <c r="B135" s="75"/>
      <c r="C135" s="76"/>
      <c r="D135" s="144" t="s">
        <v>36</v>
      </c>
      <c r="E135" s="59"/>
      <c r="F135" s="59" t="s">
        <v>114</v>
      </c>
      <c r="G135" s="135"/>
      <c r="H135" s="92">
        <v>10</v>
      </c>
      <c r="I135" s="69" t="s">
        <v>73</v>
      </c>
      <c r="J135" s="61">
        <v>225000</v>
      </c>
      <c r="K135" s="64">
        <f t="shared" ref="K135" si="8">J135*H135</f>
        <v>2250000</v>
      </c>
      <c r="L135" s="46"/>
    </row>
    <row r="136" spans="2:12" x14ac:dyDescent="0.35">
      <c r="B136" s="75"/>
      <c r="C136" s="76"/>
      <c r="D136" s="144"/>
      <c r="E136" s="59"/>
      <c r="F136" s="59" t="s">
        <v>59</v>
      </c>
      <c r="G136" s="135" t="s">
        <v>244</v>
      </c>
      <c r="H136" s="92">
        <v>1230</v>
      </c>
      <c r="I136" s="69" t="s">
        <v>64</v>
      </c>
      <c r="J136" s="51">
        <v>570</v>
      </c>
      <c r="K136" s="64"/>
      <c r="L136" s="46">
        <f>J136*H136</f>
        <v>701100</v>
      </c>
    </row>
    <row r="137" spans="2:12" x14ac:dyDescent="0.35">
      <c r="B137" s="75"/>
      <c r="C137" s="76"/>
      <c r="D137" s="144"/>
      <c r="E137" s="59"/>
      <c r="F137" s="59"/>
      <c r="G137" s="135"/>
      <c r="H137" s="92"/>
      <c r="I137" s="69"/>
      <c r="J137" s="51"/>
      <c r="K137" s="64"/>
      <c r="L137" s="51"/>
    </row>
    <row r="138" spans="2:12" x14ac:dyDescent="0.35">
      <c r="B138" s="47"/>
      <c r="C138" s="48"/>
      <c r="D138" s="24"/>
      <c r="G138" s="22"/>
      <c r="I138" s="22"/>
      <c r="J138" s="50"/>
      <c r="K138" s="29"/>
      <c r="L138" s="51"/>
    </row>
    <row r="139" spans="2:12" x14ac:dyDescent="0.35">
      <c r="B139" s="8"/>
      <c r="C139" s="9"/>
      <c r="D139" s="10"/>
      <c r="E139" s="4"/>
      <c r="F139" s="4"/>
      <c r="G139" s="4"/>
      <c r="H139" s="1"/>
      <c r="I139" s="1"/>
      <c r="J139" s="11" t="s">
        <v>8</v>
      </c>
      <c r="K139" s="7">
        <f>SUM(K86:K138)</f>
        <v>534268000</v>
      </c>
      <c r="L139" s="7">
        <f>SUM(L86:L138)</f>
        <v>180473400</v>
      </c>
    </row>
    <row r="140" spans="2:12" x14ac:dyDescent="0.35">
      <c r="B140" s="8"/>
      <c r="C140" s="9"/>
      <c r="D140" s="9"/>
      <c r="E140" s="4"/>
      <c r="F140" s="4"/>
      <c r="G140" s="4"/>
      <c r="H140" s="1"/>
      <c r="I140" s="1"/>
      <c r="J140" s="11"/>
      <c r="K140" s="35" t="s">
        <v>15</v>
      </c>
      <c r="L140" s="36" t="s">
        <v>16</v>
      </c>
    </row>
    <row r="141" spans="2:12" x14ac:dyDescent="0.35">
      <c r="B141" s="3" t="s">
        <v>9</v>
      </c>
      <c r="C141" s="4"/>
      <c r="D141" s="4"/>
      <c r="E141" s="4"/>
      <c r="F141" s="4"/>
      <c r="G141" s="4"/>
      <c r="H141" s="1"/>
      <c r="I141" s="1"/>
      <c r="J141" s="12"/>
      <c r="K141" s="12"/>
      <c r="L141" s="13"/>
    </row>
    <row r="142" spans="2:12" x14ac:dyDescent="0.35">
      <c r="B142" s="37"/>
      <c r="C142" s="1"/>
      <c r="D142" s="1"/>
      <c r="E142" s="38"/>
      <c r="F142" s="38"/>
      <c r="G142" s="38"/>
      <c r="H142" s="1"/>
      <c r="I142" s="1"/>
      <c r="J142" s="1"/>
      <c r="K142" s="1"/>
      <c r="L142" s="19"/>
    </row>
    <row r="143" spans="2:12" x14ac:dyDescent="0.35">
      <c r="B143" s="28" t="s">
        <v>6</v>
      </c>
      <c r="C143" s="27"/>
      <c r="D143" s="27"/>
      <c r="E143" s="26"/>
      <c r="F143" s="26"/>
      <c r="G143" s="5"/>
      <c r="K143" s="287" t="str">
        <f>K76</f>
        <v>Balikpapan, 17 November 2025</v>
      </c>
      <c r="L143" s="288"/>
    </row>
    <row r="144" spans="2:12" x14ac:dyDescent="0.35">
      <c r="B144" s="28">
        <v>1</v>
      </c>
      <c r="C144" s="27"/>
      <c r="D144" s="27"/>
      <c r="E144" s="26" t="s">
        <v>7</v>
      </c>
      <c r="F144" s="26"/>
      <c r="G144" s="5"/>
      <c r="K144" s="287" t="s">
        <v>20</v>
      </c>
      <c r="L144" s="288"/>
    </row>
    <row r="145" spans="2:12" x14ac:dyDescent="0.35">
      <c r="B145" s="39"/>
      <c r="C145" s="27"/>
      <c r="D145" s="27"/>
      <c r="E145" s="26"/>
      <c r="F145" s="26"/>
      <c r="G145" s="5"/>
      <c r="J145" s="25"/>
      <c r="K145" s="25"/>
      <c r="L145" s="24"/>
    </row>
    <row r="146" spans="2:12" x14ac:dyDescent="0.35">
      <c r="B146" s="28"/>
      <c r="C146" s="27"/>
      <c r="D146" s="27"/>
      <c r="E146" s="26"/>
      <c r="F146" s="26"/>
      <c r="G146" s="5"/>
      <c r="L146" s="22"/>
    </row>
    <row r="147" spans="2:12" x14ac:dyDescent="0.35">
      <c r="B147" s="45"/>
      <c r="E147" s="5"/>
      <c r="F147" s="5"/>
      <c r="G147" s="5"/>
      <c r="L147" s="22"/>
    </row>
    <row r="148" spans="2:12" x14ac:dyDescent="0.35">
      <c r="B148" s="45"/>
      <c r="E148" s="5"/>
      <c r="F148" s="5"/>
      <c r="G148" s="5"/>
      <c r="L148" s="22"/>
    </row>
    <row r="149" spans="2:12" x14ac:dyDescent="0.35">
      <c r="B149" s="45"/>
      <c r="E149" s="5"/>
      <c r="F149" s="5"/>
      <c r="G149" s="5"/>
      <c r="L149" s="22"/>
    </row>
    <row r="150" spans="2:12" x14ac:dyDescent="0.35">
      <c r="B150" s="45"/>
      <c r="E150" s="5"/>
      <c r="F150" s="5"/>
      <c r="G150" s="5"/>
      <c r="J150" s="40"/>
      <c r="K150" s="289" t="s">
        <v>28</v>
      </c>
      <c r="L150" s="290"/>
    </row>
    <row r="151" spans="2:12" x14ac:dyDescent="0.35">
      <c r="B151" s="45"/>
      <c r="K151" s="291" t="s">
        <v>29</v>
      </c>
      <c r="L151" s="292"/>
    </row>
    <row r="152" spans="2:12" x14ac:dyDescent="0.35">
      <c r="B152" s="278"/>
      <c r="C152" s="279"/>
      <c r="D152" s="279"/>
      <c r="E152" s="41"/>
      <c r="F152" s="41"/>
      <c r="G152" s="41"/>
      <c r="H152" s="2"/>
      <c r="I152" s="2"/>
      <c r="J152" s="2"/>
      <c r="K152" s="2"/>
      <c r="L152" s="21"/>
    </row>
    <row r="153" spans="2:12" x14ac:dyDescent="0.35">
      <c r="B153" s="47"/>
      <c r="C153" s="48"/>
      <c r="D153" s="49"/>
      <c r="G153" s="22"/>
      <c r="H153" s="1"/>
      <c r="I153" s="1"/>
      <c r="J153" s="43"/>
      <c r="K153" s="30"/>
      <c r="L153" s="44"/>
    </row>
    <row r="154" spans="2:12" x14ac:dyDescent="0.35">
      <c r="B154" s="75"/>
      <c r="C154" s="76"/>
      <c r="D154" s="144"/>
      <c r="E154" s="59"/>
      <c r="F154" s="59" t="s">
        <v>59</v>
      </c>
      <c r="G154" s="135" t="s">
        <v>245</v>
      </c>
      <c r="H154" s="92">
        <v>2</v>
      </c>
      <c r="I154" s="69" t="s">
        <v>63</v>
      </c>
      <c r="J154" s="51">
        <v>220000</v>
      </c>
      <c r="K154" s="64"/>
      <c r="L154" s="46">
        <f t="shared" ref="L154:L191" si="9">J154*H154</f>
        <v>440000</v>
      </c>
    </row>
    <row r="155" spans="2:12" x14ac:dyDescent="0.35">
      <c r="B155" s="75"/>
      <c r="C155" s="76"/>
      <c r="D155" s="144"/>
      <c r="E155" s="59"/>
      <c r="F155" s="59" t="s">
        <v>59</v>
      </c>
      <c r="G155" s="135" t="s">
        <v>246</v>
      </c>
      <c r="H155" s="92">
        <v>3</v>
      </c>
      <c r="I155" s="69" t="s">
        <v>63</v>
      </c>
      <c r="J155" s="51">
        <v>165000</v>
      </c>
      <c r="K155" s="64"/>
      <c r="L155" s="46">
        <f t="shared" si="9"/>
        <v>495000</v>
      </c>
    </row>
    <row r="156" spans="2:12" x14ac:dyDescent="0.35">
      <c r="B156" s="75"/>
      <c r="C156" s="76"/>
      <c r="D156" s="144"/>
      <c r="E156" s="59"/>
      <c r="F156" s="59" t="s">
        <v>59</v>
      </c>
      <c r="G156" s="135" t="s">
        <v>247</v>
      </c>
      <c r="H156" s="92">
        <v>8</v>
      </c>
      <c r="I156" s="69" t="s">
        <v>63</v>
      </c>
      <c r="J156" s="51">
        <v>35000</v>
      </c>
      <c r="K156" s="64"/>
      <c r="L156" s="46">
        <f t="shared" si="9"/>
        <v>280000</v>
      </c>
    </row>
    <row r="157" spans="2:12" x14ac:dyDescent="0.35">
      <c r="B157" s="75"/>
      <c r="C157" s="76"/>
      <c r="D157" s="144"/>
      <c r="E157" s="59"/>
      <c r="F157" s="59" t="s">
        <v>59</v>
      </c>
      <c r="G157" s="135" t="s">
        <v>248</v>
      </c>
      <c r="H157" s="92">
        <v>2</v>
      </c>
      <c r="I157" s="69" t="s">
        <v>63</v>
      </c>
      <c r="J157" s="51">
        <v>35000</v>
      </c>
      <c r="K157" s="64"/>
      <c r="L157" s="46">
        <f t="shared" si="9"/>
        <v>70000</v>
      </c>
    </row>
    <row r="158" spans="2:12" x14ac:dyDescent="0.35">
      <c r="B158" s="75"/>
      <c r="C158" s="76"/>
      <c r="D158" s="144" t="s">
        <v>38</v>
      </c>
      <c r="E158" s="59"/>
      <c r="F158" s="59" t="s">
        <v>115</v>
      </c>
      <c r="G158" s="135"/>
      <c r="H158" s="92">
        <v>4</v>
      </c>
      <c r="I158" s="69" t="s">
        <v>73</v>
      </c>
      <c r="J158" s="51">
        <v>400000</v>
      </c>
      <c r="K158" s="64">
        <f t="shared" ref="K158" si="10">J158*H158</f>
        <v>1600000</v>
      </c>
      <c r="L158" s="46"/>
    </row>
    <row r="159" spans="2:12" x14ac:dyDescent="0.35">
      <c r="B159" s="70"/>
      <c r="C159" s="71"/>
      <c r="D159" s="110"/>
      <c r="E159" s="68"/>
      <c r="F159" s="68" t="s">
        <v>59</v>
      </c>
      <c r="G159" s="135" t="s">
        <v>249</v>
      </c>
      <c r="H159" s="92">
        <v>160</v>
      </c>
      <c r="I159" s="69" t="s">
        <v>64</v>
      </c>
      <c r="J159" s="51">
        <v>1676</v>
      </c>
      <c r="K159" s="64"/>
      <c r="L159" s="46">
        <f t="shared" si="9"/>
        <v>268160</v>
      </c>
    </row>
    <row r="160" spans="2:12" x14ac:dyDescent="0.35">
      <c r="B160" s="70"/>
      <c r="C160" s="71"/>
      <c r="D160" s="110"/>
      <c r="E160" s="68"/>
      <c r="F160" s="68" t="s">
        <v>59</v>
      </c>
      <c r="G160" s="135" t="s">
        <v>250</v>
      </c>
      <c r="H160" s="92">
        <v>1</v>
      </c>
      <c r="I160" s="69" t="s">
        <v>63</v>
      </c>
      <c r="J160" s="51">
        <v>1300000</v>
      </c>
      <c r="K160" s="56"/>
      <c r="L160" s="46">
        <f t="shared" si="9"/>
        <v>1300000</v>
      </c>
    </row>
    <row r="161" spans="2:12" x14ac:dyDescent="0.35">
      <c r="B161" s="70"/>
      <c r="C161" s="71"/>
      <c r="D161" s="110"/>
      <c r="E161" s="68"/>
      <c r="F161" s="68" t="s">
        <v>59</v>
      </c>
      <c r="G161" s="135" t="s">
        <v>251</v>
      </c>
      <c r="H161" s="92">
        <v>1</v>
      </c>
      <c r="I161" s="69" t="s">
        <v>63</v>
      </c>
      <c r="J161" s="51">
        <v>335000</v>
      </c>
      <c r="K161" s="56"/>
      <c r="L161" s="46">
        <f t="shared" si="9"/>
        <v>335000</v>
      </c>
    </row>
    <row r="162" spans="2:12" x14ac:dyDescent="0.35">
      <c r="B162" s="70"/>
      <c r="C162" s="71"/>
      <c r="D162" s="110"/>
      <c r="E162" s="68"/>
      <c r="F162" s="68" t="s">
        <v>59</v>
      </c>
      <c r="G162" s="135" t="s">
        <v>252</v>
      </c>
      <c r="H162" s="92">
        <v>16</v>
      </c>
      <c r="I162" s="69" t="s">
        <v>63</v>
      </c>
      <c r="J162" s="51">
        <v>45000</v>
      </c>
      <c r="K162" s="72"/>
      <c r="L162" s="46">
        <f t="shared" si="9"/>
        <v>720000</v>
      </c>
    </row>
    <row r="163" spans="2:12" x14ac:dyDescent="0.35">
      <c r="B163" s="70"/>
      <c r="C163" s="71"/>
      <c r="D163" s="110"/>
      <c r="E163" s="68"/>
      <c r="F163" s="68" t="s">
        <v>59</v>
      </c>
      <c r="G163" s="135" t="s">
        <v>253</v>
      </c>
      <c r="H163" s="92">
        <v>2</v>
      </c>
      <c r="I163" s="69" t="s">
        <v>63</v>
      </c>
      <c r="J163" s="51">
        <v>45000</v>
      </c>
      <c r="K163" s="54"/>
      <c r="L163" s="46">
        <f t="shared" si="9"/>
        <v>90000</v>
      </c>
    </row>
    <row r="164" spans="2:12" x14ac:dyDescent="0.35">
      <c r="B164" s="70"/>
      <c r="C164" s="71"/>
      <c r="D164" s="110" t="s">
        <v>39</v>
      </c>
      <c r="E164" s="68"/>
      <c r="F164" s="68" t="s">
        <v>116</v>
      </c>
      <c r="G164" s="135"/>
      <c r="H164" s="92">
        <v>22</v>
      </c>
      <c r="I164" s="69" t="s">
        <v>73</v>
      </c>
      <c r="J164" s="56">
        <v>380000</v>
      </c>
      <c r="K164" s="64">
        <f t="shared" ref="K164" si="11">J164*H164</f>
        <v>8360000</v>
      </c>
      <c r="L164" s="46"/>
    </row>
    <row r="165" spans="2:12" x14ac:dyDescent="0.35">
      <c r="B165" s="70"/>
      <c r="C165" s="71"/>
      <c r="D165" s="110"/>
      <c r="E165" s="68"/>
      <c r="F165" s="68" t="s">
        <v>59</v>
      </c>
      <c r="G165" s="135" t="s">
        <v>249</v>
      </c>
      <c r="H165" s="92">
        <v>2040</v>
      </c>
      <c r="I165" s="69" t="s">
        <v>64</v>
      </c>
      <c r="J165" s="56">
        <v>1676</v>
      </c>
      <c r="K165" s="57"/>
      <c r="L165" s="46">
        <f t="shared" si="9"/>
        <v>3419040</v>
      </c>
    </row>
    <row r="166" spans="2:12" x14ac:dyDescent="0.35">
      <c r="B166" s="70"/>
      <c r="C166" s="71"/>
      <c r="D166" s="110"/>
      <c r="E166" s="68"/>
      <c r="F166" s="68" t="s">
        <v>59</v>
      </c>
      <c r="G166" s="135" t="s">
        <v>254</v>
      </c>
      <c r="H166" s="92">
        <v>190</v>
      </c>
      <c r="I166" s="69" t="s">
        <v>64</v>
      </c>
      <c r="J166" s="56">
        <v>570</v>
      </c>
      <c r="K166" s="56"/>
      <c r="L166" s="46">
        <f t="shared" si="9"/>
        <v>108300</v>
      </c>
    </row>
    <row r="167" spans="2:12" x14ac:dyDescent="0.35">
      <c r="B167" s="70"/>
      <c r="C167" s="71"/>
      <c r="D167" s="110"/>
      <c r="E167" s="68"/>
      <c r="F167" s="68" t="s">
        <v>59</v>
      </c>
      <c r="G167" s="135" t="s">
        <v>251</v>
      </c>
      <c r="H167" s="92">
        <v>6</v>
      </c>
      <c r="I167" s="69" t="s">
        <v>63</v>
      </c>
      <c r="J167" s="51">
        <v>335000</v>
      </c>
      <c r="K167" s="64"/>
      <c r="L167" s="46">
        <f t="shared" si="9"/>
        <v>2010000</v>
      </c>
    </row>
    <row r="168" spans="2:12" x14ac:dyDescent="0.35">
      <c r="B168" s="70"/>
      <c r="C168" s="71"/>
      <c r="D168" s="110"/>
      <c r="E168" s="68"/>
      <c r="F168" s="68" t="s">
        <v>59</v>
      </c>
      <c r="G168" s="135" t="s">
        <v>246</v>
      </c>
      <c r="H168" s="92">
        <v>2</v>
      </c>
      <c r="I168" s="69" t="s">
        <v>63</v>
      </c>
      <c r="J168" s="51">
        <v>165000</v>
      </c>
      <c r="K168" s="64"/>
      <c r="L168" s="46">
        <f t="shared" si="9"/>
        <v>330000</v>
      </c>
    </row>
    <row r="169" spans="2:12" x14ac:dyDescent="0.35">
      <c r="B169" s="70"/>
      <c r="C169" s="71"/>
      <c r="D169" s="110"/>
      <c r="E169" s="68"/>
      <c r="F169" s="68" t="s">
        <v>59</v>
      </c>
      <c r="G169" s="135" t="s">
        <v>255</v>
      </c>
      <c r="H169" s="92">
        <v>1</v>
      </c>
      <c r="I169" s="69" t="s">
        <v>58</v>
      </c>
      <c r="J169" s="61">
        <v>200000</v>
      </c>
      <c r="K169" s="54"/>
      <c r="L169" s="46">
        <f t="shared" si="9"/>
        <v>200000</v>
      </c>
    </row>
    <row r="170" spans="2:12" x14ac:dyDescent="0.35">
      <c r="B170" s="70"/>
      <c r="C170" s="71"/>
      <c r="D170" s="110"/>
      <c r="E170" s="68"/>
      <c r="F170" s="68" t="s">
        <v>59</v>
      </c>
      <c r="G170" s="135" t="s">
        <v>255</v>
      </c>
      <c r="H170" s="92">
        <v>1</v>
      </c>
      <c r="I170" s="69" t="s">
        <v>58</v>
      </c>
      <c r="J170" s="51">
        <v>200000</v>
      </c>
      <c r="K170" s="64"/>
      <c r="L170" s="46">
        <f t="shared" si="9"/>
        <v>200000</v>
      </c>
    </row>
    <row r="171" spans="2:12" x14ac:dyDescent="0.35">
      <c r="B171" s="70"/>
      <c r="C171" s="71"/>
      <c r="D171" s="110"/>
      <c r="E171" s="68"/>
      <c r="F171" s="68" t="s">
        <v>59</v>
      </c>
      <c r="G171" s="135" t="s">
        <v>256</v>
      </c>
      <c r="H171" s="92">
        <v>24</v>
      </c>
      <c r="I171" s="69" t="s">
        <v>63</v>
      </c>
      <c r="J171" s="51">
        <v>35000</v>
      </c>
      <c r="K171" s="64"/>
      <c r="L171" s="46">
        <f t="shared" si="9"/>
        <v>840000</v>
      </c>
    </row>
    <row r="172" spans="2:12" x14ac:dyDescent="0.35">
      <c r="B172" s="70"/>
      <c r="C172" s="71"/>
      <c r="D172" s="110"/>
      <c r="E172" s="68"/>
      <c r="F172" s="68" t="s">
        <v>59</v>
      </c>
      <c r="G172" s="135" t="s">
        <v>257</v>
      </c>
      <c r="H172" s="92">
        <v>24</v>
      </c>
      <c r="I172" s="69" t="s">
        <v>63</v>
      </c>
      <c r="J172" s="51">
        <v>35000</v>
      </c>
      <c r="K172" s="54"/>
      <c r="L172" s="46">
        <f t="shared" si="9"/>
        <v>840000</v>
      </c>
    </row>
    <row r="173" spans="2:12" x14ac:dyDescent="0.35">
      <c r="B173" s="70"/>
      <c r="C173" s="71"/>
      <c r="D173" s="110"/>
      <c r="E173" s="68"/>
      <c r="F173" s="68" t="s">
        <v>59</v>
      </c>
      <c r="G173" s="135" t="s">
        <v>258</v>
      </c>
      <c r="H173" s="92">
        <v>7</v>
      </c>
      <c r="I173" s="69" t="s">
        <v>63</v>
      </c>
      <c r="J173" s="51">
        <v>35000</v>
      </c>
      <c r="K173" s="64"/>
      <c r="L173" s="46">
        <f t="shared" si="9"/>
        <v>245000</v>
      </c>
    </row>
    <row r="174" spans="2:12" x14ac:dyDescent="0.35">
      <c r="B174" s="70"/>
      <c r="C174" s="71"/>
      <c r="D174" s="110"/>
      <c r="E174" s="68"/>
      <c r="F174" s="68" t="s">
        <v>59</v>
      </c>
      <c r="G174" s="135" t="s">
        <v>247</v>
      </c>
      <c r="H174" s="92">
        <v>8</v>
      </c>
      <c r="I174" s="69" t="s">
        <v>63</v>
      </c>
      <c r="J174" s="51">
        <v>35000</v>
      </c>
      <c r="K174" s="55"/>
      <c r="L174" s="46">
        <f t="shared" si="9"/>
        <v>280000</v>
      </c>
    </row>
    <row r="175" spans="2:12" x14ac:dyDescent="0.35">
      <c r="B175" s="70"/>
      <c r="C175" s="71"/>
      <c r="D175" s="110"/>
      <c r="E175" s="68"/>
      <c r="F175" s="68" t="s">
        <v>59</v>
      </c>
      <c r="G175" s="135" t="s">
        <v>248</v>
      </c>
      <c r="H175" s="92">
        <v>2</v>
      </c>
      <c r="I175" s="69" t="s">
        <v>63</v>
      </c>
      <c r="J175" s="51">
        <v>35000</v>
      </c>
      <c r="K175" s="82"/>
      <c r="L175" s="46">
        <f t="shared" si="9"/>
        <v>70000</v>
      </c>
    </row>
    <row r="176" spans="2:12" x14ac:dyDescent="0.35">
      <c r="B176" s="70"/>
      <c r="C176" s="71"/>
      <c r="D176" s="110"/>
      <c r="E176" s="68"/>
      <c r="F176" s="68" t="s">
        <v>59</v>
      </c>
      <c r="G176" s="135" t="s">
        <v>259</v>
      </c>
      <c r="H176" s="145">
        <v>4</v>
      </c>
      <c r="I176" s="69" t="s">
        <v>63</v>
      </c>
      <c r="J176" s="51">
        <v>35000</v>
      </c>
      <c r="K176" s="64"/>
      <c r="L176" s="46">
        <f t="shared" si="9"/>
        <v>140000</v>
      </c>
    </row>
    <row r="177" spans="2:12" x14ac:dyDescent="0.35">
      <c r="B177" s="70"/>
      <c r="C177" s="71"/>
      <c r="D177" s="110"/>
      <c r="E177" s="68"/>
      <c r="F177" s="68" t="s">
        <v>59</v>
      </c>
      <c r="G177" s="135" t="s">
        <v>260</v>
      </c>
      <c r="H177" s="145">
        <v>2</v>
      </c>
      <c r="I177" s="69" t="s">
        <v>63</v>
      </c>
      <c r="J177" s="51">
        <v>35000</v>
      </c>
      <c r="K177" s="64"/>
      <c r="L177" s="46">
        <f t="shared" si="9"/>
        <v>70000</v>
      </c>
    </row>
    <row r="178" spans="2:12" x14ac:dyDescent="0.35">
      <c r="B178" s="70"/>
      <c r="C178" s="71"/>
      <c r="D178" s="110" t="s">
        <v>40</v>
      </c>
      <c r="E178" s="68"/>
      <c r="F178" s="68" t="s">
        <v>117</v>
      </c>
      <c r="G178" s="135"/>
      <c r="H178" s="92">
        <v>2</v>
      </c>
      <c r="I178" s="69" t="s">
        <v>73</v>
      </c>
      <c r="J178" s="213">
        <v>480000</v>
      </c>
      <c r="K178" s="64">
        <f t="shared" ref="K178" si="12">J178*H178</f>
        <v>960000</v>
      </c>
      <c r="L178" s="46"/>
    </row>
    <row r="179" spans="2:12" x14ac:dyDescent="0.35">
      <c r="B179" s="70"/>
      <c r="C179" s="71"/>
      <c r="D179" s="110"/>
      <c r="E179" s="68"/>
      <c r="F179" s="68" t="s">
        <v>59</v>
      </c>
      <c r="G179" s="135" t="s">
        <v>261</v>
      </c>
      <c r="H179" s="92">
        <v>1</v>
      </c>
      <c r="I179" s="69" t="s">
        <v>63</v>
      </c>
      <c r="J179" s="213">
        <v>1420000</v>
      </c>
      <c r="K179" s="86"/>
      <c r="L179" s="46">
        <f t="shared" si="9"/>
        <v>1420000</v>
      </c>
    </row>
    <row r="180" spans="2:12" x14ac:dyDescent="0.35">
      <c r="B180" s="70"/>
      <c r="C180" s="71"/>
      <c r="D180" s="110" t="s">
        <v>42</v>
      </c>
      <c r="E180" s="68"/>
      <c r="F180" s="68" t="s">
        <v>119</v>
      </c>
      <c r="G180" s="135"/>
      <c r="H180" s="92">
        <v>9</v>
      </c>
      <c r="I180" s="69" t="s">
        <v>73</v>
      </c>
      <c r="J180" s="213">
        <v>200000</v>
      </c>
      <c r="K180" s="64">
        <f t="shared" ref="K180" si="13">J180*H180</f>
        <v>1800000</v>
      </c>
      <c r="L180" s="46"/>
    </row>
    <row r="181" spans="2:12" x14ac:dyDescent="0.35">
      <c r="B181" s="75"/>
      <c r="C181" s="76"/>
      <c r="D181" s="144"/>
      <c r="E181" s="68"/>
      <c r="F181" s="68" t="s">
        <v>59</v>
      </c>
      <c r="G181" s="135" t="s">
        <v>262</v>
      </c>
      <c r="H181" s="92">
        <v>150</v>
      </c>
      <c r="I181" s="69" t="s">
        <v>64</v>
      </c>
      <c r="J181" s="213">
        <v>462</v>
      </c>
      <c r="K181" s="86"/>
      <c r="L181" s="46">
        <f t="shared" si="9"/>
        <v>69300</v>
      </c>
    </row>
    <row r="182" spans="2:12" x14ac:dyDescent="0.35">
      <c r="B182" s="75"/>
      <c r="C182" s="76"/>
      <c r="D182" s="144"/>
      <c r="E182" s="68"/>
      <c r="F182" s="68" t="s">
        <v>59</v>
      </c>
      <c r="G182" s="135" t="s">
        <v>263</v>
      </c>
      <c r="H182" s="92">
        <v>250</v>
      </c>
      <c r="I182" s="89" t="s">
        <v>64</v>
      </c>
      <c r="J182" s="29">
        <v>297</v>
      </c>
      <c r="K182" s="88"/>
      <c r="L182" s="46">
        <f t="shared" si="9"/>
        <v>74250</v>
      </c>
    </row>
    <row r="183" spans="2:12" x14ac:dyDescent="0.35">
      <c r="B183" s="75"/>
      <c r="C183" s="76"/>
      <c r="D183" s="144"/>
      <c r="E183" s="68"/>
      <c r="F183" s="68" t="s">
        <v>59</v>
      </c>
      <c r="G183" s="135" t="s">
        <v>264</v>
      </c>
      <c r="H183" s="92">
        <v>2</v>
      </c>
      <c r="I183" s="89" t="s">
        <v>63</v>
      </c>
      <c r="J183" s="88">
        <v>105000</v>
      </c>
      <c r="K183" s="88"/>
      <c r="L183" s="46">
        <f t="shared" si="9"/>
        <v>210000</v>
      </c>
    </row>
    <row r="184" spans="2:12" x14ac:dyDescent="0.35">
      <c r="B184" s="75"/>
      <c r="C184" s="76"/>
      <c r="D184" s="144"/>
      <c r="E184" s="68"/>
      <c r="F184" s="68" t="s">
        <v>59</v>
      </c>
      <c r="G184" s="135" t="s">
        <v>265</v>
      </c>
      <c r="H184" s="92">
        <v>1</v>
      </c>
      <c r="I184" s="89" t="s">
        <v>63</v>
      </c>
      <c r="J184" s="88">
        <v>250000</v>
      </c>
      <c r="K184" s="88"/>
      <c r="L184" s="46">
        <f t="shared" si="9"/>
        <v>250000</v>
      </c>
    </row>
    <row r="185" spans="2:12" x14ac:dyDescent="0.35">
      <c r="B185" s="75"/>
      <c r="C185" s="76"/>
      <c r="D185" s="144"/>
      <c r="E185" s="68"/>
      <c r="F185" s="68" t="s">
        <v>59</v>
      </c>
      <c r="G185" s="135" t="s">
        <v>247</v>
      </c>
      <c r="H185" s="92">
        <v>4</v>
      </c>
      <c r="I185" s="89" t="s">
        <v>63</v>
      </c>
      <c r="J185" s="88">
        <v>35000</v>
      </c>
      <c r="K185" s="88"/>
      <c r="L185" s="46">
        <f t="shared" si="9"/>
        <v>140000</v>
      </c>
    </row>
    <row r="186" spans="2:12" x14ac:dyDescent="0.35">
      <c r="B186" s="75"/>
      <c r="C186" s="76"/>
      <c r="D186" s="144"/>
      <c r="E186" s="68"/>
      <c r="F186" s="68" t="s">
        <v>59</v>
      </c>
      <c r="G186" s="135" t="s">
        <v>266</v>
      </c>
      <c r="H186" s="92">
        <v>8</v>
      </c>
      <c r="I186" s="89" t="s">
        <v>63</v>
      </c>
      <c r="J186" s="88">
        <v>35000</v>
      </c>
      <c r="K186" s="88"/>
      <c r="L186" s="46">
        <f t="shared" si="9"/>
        <v>280000</v>
      </c>
    </row>
    <row r="187" spans="2:12" x14ac:dyDescent="0.35">
      <c r="B187" s="75"/>
      <c r="C187" s="76"/>
      <c r="D187" s="144"/>
      <c r="E187" s="68"/>
      <c r="F187" s="68" t="s">
        <v>59</v>
      </c>
      <c r="G187" s="135" t="s">
        <v>267</v>
      </c>
      <c r="H187" s="92">
        <v>4</v>
      </c>
      <c r="I187" s="89" t="s">
        <v>63</v>
      </c>
      <c r="J187" s="88">
        <v>35000</v>
      </c>
      <c r="K187" s="88"/>
      <c r="L187" s="46">
        <f t="shared" si="9"/>
        <v>140000</v>
      </c>
    </row>
    <row r="188" spans="2:12" x14ac:dyDescent="0.35">
      <c r="B188" s="75"/>
      <c r="C188" s="76"/>
      <c r="D188" s="144"/>
      <c r="E188" s="68"/>
      <c r="F188" s="68" t="s">
        <v>59</v>
      </c>
      <c r="G188" s="135" t="s">
        <v>268</v>
      </c>
      <c r="H188" s="92">
        <v>2</v>
      </c>
      <c r="I188" s="89" t="s">
        <v>63</v>
      </c>
      <c r="J188" s="88">
        <v>35000</v>
      </c>
      <c r="K188" s="29"/>
      <c r="L188" s="46">
        <f t="shared" si="9"/>
        <v>70000</v>
      </c>
    </row>
    <row r="189" spans="2:12" x14ac:dyDescent="0.35">
      <c r="B189" s="75"/>
      <c r="C189" s="76"/>
      <c r="D189" s="144"/>
      <c r="E189" s="68"/>
      <c r="F189" s="68" t="s">
        <v>59</v>
      </c>
      <c r="G189" s="135" t="s">
        <v>269</v>
      </c>
      <c r="H189" s="92">
        <v>2</v>
      </c>
      <c r="I189" s="89" t="s">
        <v>63</v>
      </c>
      <c r="J189" s="88">
        <v>35000</v>
      </c>
      <c r="K189" s="29"/>
      <c r="L189" s="46">
        <f t="shared" si="9"/>
        <v>70000</v>
      </c>
    </row>
    <row r="190" spans="2:12" x14ac:dyDescent="0.35">
      <c r="B190" s="75"/>
      <c r="C190" s="76"/>
      <c r="D190" s="144"/>
      <c r="E190" s="68"/>
      <c r="F190" s="68" t="s">
        <v>59</v>
      </c>
      <c r="G190" s="135" t="s">
        <v>270</v>
      </c>
      <c r="H190" s="92">
        <v>1</v>
      </c>
      <c r="I190" s="89" t="s">
        <v>63</v>
      </c>
      <c r="J190" s="50">
        <v>145000</v>
      </c>
      <c r="K190" s="29"/>
      <c r="L190" s="46">
        <f t="shared" si="9"/>
        <v>145000</v>
      </c>
    </row>
    <row r="191" spans="2:12" x14ac:dyDescent="0.35">
      <c r="B191" s="75"/>
      <c r="C191" s="76"/>
      <c r="D191" s="144"/>
      <c r="E191" s="68"/>
      <c r="F191" s="68" t="s">
        <v>59</v>
      </c>
      <c r="G191" s="135" t="s">
        <v>271</v>
      </c>
      <c r="H191" s="92">
        <v>1</v>
      </c>
      <c r="I191" s="89" t="s">
        <v>63</v>
      </c>
      <c r="J191" s="50">
        <v>160000</v>
      </c>
      <c r="K191" s="29"/>
      <c r="L191" s="46">
        <f t="shared" si="9"/>
        <v>160000</v>
      </c>
    </row>
    <row r="192" spans="2:12" x14ac:dyDescent="0.35">
      <c r="B192" s="75"/>
      <c r="C192" s="76"/>
      <c r="D192" s="144" t="s">
        <v>43</v>
      </c>
      <c r="E192" s="68"/>
      <c r="F192" s="68" t="s">
        <v>120</v>
      </c>
      <c r="G192" s="135"/>
      <c r="H192" s="92">
        <v>4</v>
      </c>
      <c r="I192" s="89" t="s">
        <v>73</v>
      </c>
      <c r="J192" s="46">
        <v>400000</v>
      </c>
      <c r="K192" s="64">
        <f t="shared" ref="K192" si="14">J192*H192</f>
        <v>1600000</v>
      </c>
      <c r="L192" s="81"/>
    </row>
    <row r="193" spans="2:12" x14ac:dyDescent="0.35">
      <c r="B193" s="75"/>
      <c r="C193" s="76"/>
      <c r="D193" s="144"/>
      <c r="E193" s="68"/>
      <c r="F193" s="68" t="s">
        <v>59</v>
      </c>
      <c r="G193" s="135" t="s">
        <v>250</v>
      </c>
      <c r="H193" s="92">
        <v>1</v>
      </c>
      <c r="I193" s="89" t="s">
        <v>63</v>
      </c>
      <c r="J193" s="64">
        <v>460000</v>
      </c>
      <c r="K193" s="64"/>
      <c r="L193" s="46">
        <v>460000</v>
      </c>
    </row>
    <row r="194" spans="2:12" x14ac:dyDescent="0.35">
      <c r="B194" s="70"/>
      <c r="C194" s="71"/>
      <c r="D194" s="110"/>
      <c r="E194" s="68"/>
      <c r="F194" s="68" t="s">
        <v>59</v>
      </c>
      <c r="G194" s="135" t="s">
        <v>272</v>
      </c>
      <c r="H194" s="92">
        <v>1</v>
      </c>
      <c r="I194" s="89" t="s">
        <v>63</v>
      </c>
      <c r="J194" s="64">
        <v>330000</v>
      </c>
      <c r="K194" s="64"/>
      <c r="L194" s="46">
        <v>330000</v>
      </c>
    </row>
    <row r="195" spans="2:12" x14ac:dyDescent="0.35">
      <c r="B195" s="70"/>
      <c r="C195" s="71"/>
      <c r="D195" s="110"/>
      <c r="E195" s="68"/>
      <c r="F195" s="68" t="s">
        <v>59</v>
      </c>
      <c r="G195" s="135" t="s">
        <v>273</v>
      </c>
      <c r="H195" s="92">
        <v>1</v>
      </c>
      <c r="I195" s="89" t="s">
        <v>63</v>
      </c>
      <c r="J195" s="64">
        <v>415000</v>
      </c>
      <c r="K195" s="64"/>
      <c r="L195" s="46">
        <v>415000</v>
      </c>
    </row>
    <row r="196" spans="2:12" x14ac:dyDescent="0.35">
      <c r="B196" s="70"/>
      <c r="C196" s="71"/>
      <c r="D196" s="110" t="s">
        <v>44</v>
      </c>
      <c r="E196" s="68"/>
      <c r="F196" s="68" t="s">
        <v>121</v>
      </c>
      <c r="G196" s="135"/>
      <c r="H196" s="92">
        <v>26</v>
      </c>
      <c r="I196" s="89" t="s">
        <v>73</v>
      </c>
      <c r="J196" s="64">
        <v>200000</v>
      </c>
      <c r="K196" s="64">
        <f t="shared" ref="K196" si="15">J196*H196</f>
        <v>5200000</v>
      </c>
      <c r="L196" s="46"/>
    </row>
    <row r="197" spans="2:12" x14ac:dyDescent="0.35">
      <c r="B197" s="70"/>
      <c r="C197" s="71"/>
      <c r="D197" s="110"/>
      <c r="E197" s="68"/>
      <c r="F197" s="68" t="s">
        <v>59</v>
      </c>
      <c r="G197" s="135" t="s">
        <v>274</v>
      </c>
      <c r="H197" s="92">
        <v>7820</v>
      </c>
      <c r="I197" s="89" t="s">
        <v>64</v>
      </c>
      <c r="J197" s="64">
        <v>462</v>
      </c>
      <c r="K197" s="64"/>
      <c r="L197" s="46">
        <v>3612840</v>
      </c>
    </row>
    <row r="198" spans="2:12" x14ac:dyDescent="0.35">
      <c r="B198" s="70"/>
      <c r="C198" s="71"/>
      <c r="D198" s="110"/>
      <c r="E198" s="68"/>
      <c r="F198" s="68" t="s">
        <v>59</v>
      </c>
      <c r="G198" s="135" t="s">
        <v>275</v>
      </c>
      <c r="H198" s="92">
        <v>4</v>
      </c>
      <c r="I198" s="89" t="s">
        <v>63</v>
      </c>
      <c r="J198" s="64">
        <v>120000</v>
      </c>
      <c r="K198" s="64"/>
      <c r="L198" s="46">
        <v>480000</v>
      </c>
    </row>
    <row r="199" spans="2:12" x14ac:dyDescent="0.35">
      <c r="B199" s="70"/>
      <c r="C199" s="71"/>
      <c r="D199" s="110"/>
      <c r="E199" s="68"/>
      <c r="F199" s="68" t="s">
        <v>59</v>
      </c>
      <c r="G199" s="135" t="s">
        <v>276</v>
      </c>
      <c r="H199" s="92">
        <v>3</v>
      </c>
      <c r="I199" s="89" t="s">
        <v>63</v>
      </c>
      <c r="J199" s="64">
        <v>120000</v>
      </c>
      <c r="K199" s="64"/>
      <c r="L199" s="46">
        <v>360000</v>
      </c>
    </row>
    <row r="200" spans="2:12" x14ac:dyDescent="0.35">
      <c r="B200" s="75"/>
      <c r="C200" s="76"/>
      <c r="D200" s="144"/>
      <c r="E200" s="68"/>
      <c r="F200" s="68" t="s">
        <v>59</v>
      </c>
      <c r="G200" s="135" t="s">
        <v>277</v>
      </c>
      <c r="H200" s="92">
        <v>5</v>
      </c>
      <c r="I200" s="69" t="s">
        <v>63</v>
      </c>
      <c r="J200" s="61">
        <v>195000</v>
      </c>
      <c r="K200" s="54"/>
      <c r="L200" s="46">
        <v>975000</v>
      </c>
    </row>
    <row r="201" spans="2:12" x14ac:dyDescent="0.35">
      <c r="B201" s="75"/>
      <c r="C201" s="76"/>
      <c r="D201" s="144"/>
      <c r="E201" s="68"/>
      <c r="F201" s="68" t="s">
        <v>59</v>
      </c>
      <c r="G201" s="135" t="s">
        <v>252</v>
      </c>
      <c r="H201" s="92">
        <v>4</v>
      </c>
      <c r="I201" s="69" t="s">
        <v>63</v>
      </c>
      <c r="J201" s="72">
        <v>35000</v>
      </c>
      <c r="K201" s="64"/>
      <c r="L201" s="46">
        <v>140000</v>
      </c>
    </row>
    <row r="202" spans="2:12" x14ac:dyDescent="0.35">
      <c r="B202" s="75"/>
      <c r="C202" s="76"/>
      <c r="D202" s="144"/>
      <c r="E202" s="68"/>
      <c r="F202" s="68" t="s">
        <v>59</v>
      </c>
      <c r="G202" s="135" t="s">
        <v>247</v>
      </c>
      <c r="H202" s="92">
        <v>12</v>
      </c>
      <c r="I202" s="69" t="s">
        <v>63</v>
      </c>
      <c r="J202" s="72">
        <v>35000</v>
      </c>
      <c r="K202" s="64"/>
      <c r="L202" s="46">
        <v>420000</v>
      </c>
    </row>
    <row r="203" spans="2:12" x14ac:dyDescent="0.35">
      <c r="B203" s="75"/>
      <c r="C203" s="76"/>
      <c r="D203" s="144"/>
      <c r="E203" s="68"/>
      <c r="F203" s="68" t="s">
        <v>59</v>
      </c>
      <c r="G203" s="135" t="s">
        <v>278</v>
      </c>
      <c r="H203" s="92">
        <v>5</v>
      </c>
      <c r="I203" s="69" t="s">
        <v>63</v>
      </c>
      <c r="J203" s="72">
        <v>35000</v>
      </c>
      <c r="K203" s="64"/>
      <c r="L203" s="46">
        <v>175000</v>
      </c>
    </row>
    <row r="204" spans="2:12" x14ac:dyDescent="0.35">
      <c r="B204" s="75"/>
      <c r="C204" s="76"/>
      <c r="D204" s="144"/>
      <c r="E204" s="68"/>
      <c r="F204" s="68"/>
      <c r="G204" s="135"/>
      <c r="H204" s="92"/>
      <c r="I204" s="69"/>
      <c r="J204" s="72"/>
      <c r="K204" s="64"/>
      <c r="L204" s="51"/>
    </row>
    <row r="205" spans="2:12" x14ac:dyDescent="0.35">
      <c r="B205" s="47"/>
      <c r="C205" s="48"/>
      <c r="D205" s="24"/>
      <c r="G205" s="22"/>
      <c r="I205" s="22"/>
      <c r="J205" s="50"/>
      <c r="K205" s="29"/>
      <c r="L205" s="51"/>
    </row>
    <row r="206" spans="2:12" x14ac:dyDescent="0.35">
      <c r="B206" s="8"/>
      <c r="C206" s="9"/>
      <c r="D206" s="10"/>
      <c r="E206" s="4"/>
      <c r="F206" s="4"/>
      <c r="G206" s="4"/>
      <c r="H206" s="1"/>
      <c r="I206" s="1"/>
      <c r="J206" s="11" t="s">
        <v>8</v>
      </c>
      <c r="K206" s="7">
        <f>SUM(K153:K205)</f>
        <v>19520000</v>
      </c>
      <c r="L206" s="7">
        <f>SUM(L153:L205)</f>
        <v>23146890</v>
      </c>
    </row>
    <row r="207" spans="2:12" x14ac:dyDescent="0.35">
      <c r="B207" s="8"/>
      <c r="C207" s="9"/>
      <c r="D207" s="9"/>
      <c r="E207" s="4"/>
      <c r="F207" s="4"/>
      <c r="G207" s="4"/>
      <c r="H207" s="1"/>
      <c r="I207" s="1"/>
      <c r="J207" s="11"/>
      <c r="K207" s="35" t="s">
        <v>15</v>
      </c>
      <c r="L207" s="36" t="s">
        <v>16</v>
      </c>
    </row>
    <row r="208" spans="2:12" x14ac:dyDescent="0.35">
      <c r="B208" s="3" t="s">
        <v>9</v>
      </c>
      <c r="C208" s="4"/>
      <c r="D208" s="4"/>
      <c r="E208" s="4"/>
      <c r="F208" s="4"/>
      <c r="G208" s="4"/>
      <c r="H208" s="1"/>
      <c r="I208" s="1"/>
      <c r="J208" s="12"/>
      <c r="K208" s="12"/>
      <c r="L208" s="13"/>
    </row>
    <row r="209" spans="2:12" x14ac:dyDescent="0.35">
      <c r="B209" s="37"/>
      <c r="C209" s="1"/>
      <c r="D209" s="1"/>
      <c r="E209" s="38"/>
      <c r="F209" s="38"/>
      <c r="G209" s="38"/>
      <c r="H209" s="1"/>
      <c r="I209" s="1"/>
      <c r="J209" s="1"/>
      <c r="K209" s="1"/>
      <c r="L209" s="19"/>
    </row>
    <row r="210" spans="2:12" x14ac:dyDescent="0.35">
      <c r="B210" s="28" t="s">
        <v>6</v>
      </c>
      <c r="C210" s="27"/>
      <c r="D210" s="27"/>
      <c r="E210" s="26"/>
      <c r="F210" s="26"/>
      <c r="G210" s="5"/>
      <c r="K210" s="287" t="str">
        <f>K143</f>
        <v>Balikpapan, 17 November 2025</v>
      </c>
      <c r="L210" s="288"/>
    </row>
    <row r="211" spans="2:12" x14ac:dyDescent="0.35">
      <c r="B211" s="28">
        <v>1</v>
      </c>
      <c r="C211" s="27"/>
      <c r="D211" s="27"/>
      <c r="E211" s="26" t="s">
        <v>7</v>
      </c>
      <c r="F211" s="26"/>
      <c r="G211" s="5"/>
      <c r="K211" s="287" t="s">
        <v>20</v>
      </c>
      <c r="L211" s="288"/>
    </row>
    <row r="212" spans="2:12" x14ac:dyDescent="0.35">
      <c r="B212" s="39"/>
      <c r="C212" s="27"/>
      <c r="D212" s="27"/>
      <c r="E212" s="26"/>
      <c r="F212" s="26"/>
      <c r="G212" s="5"/>
      <c r="J212" s="25"/>
      <c r="K212" s="25"/>
      <c r="L212" s="24"/>
    </row>
    <row r="213" spans="2:12" x14ac:dyDescent="0.35">
      <c r="B213" s="28"/>
      <c r="C213" s="27"/>
      <c r="D213" s="27"/>
      <c r="E213" s="26"/>
      <c r="F213" s="26"/>
      <c r="G213" s="5"/>
      <c r="L213" s="22"/>
    </row>
    <row r="214" spans="2:12" x14ac:dyDescent="0.35">
      <c r="B214" s="45"/>
      <c r="E214" s="5"/>
      <c r="F214" s="5"/>
      <c r="G214" s="5"/>
      <c r="L214" s="22"/>
    </row>
    <row r="215" spans="2:12" x14ac:dyDescent="0.35">
      <c r="B215" s="45"/>
      <c r="E215" s="5"/>
      <c r="F215" s="5"/>
      <c r="G215" s="5"/>
      <c r="L215" s="22"/>
    </row>
    <row r="216" spans="2:12" x14ac:dyDescent="0.35">
      <c r="B216" s="45"/>
      <c r="E216" s="5"/>
      <c r="F216" s="5"/>
      <c r="G216" s="5"/>
      <c r="L216" s="22"/>
    </row>
    <row r="217" spans="2:12" x14ac:dyDescent="0.35">
      <c r="B217" s="45"/>
      <c r="E217" s="5"/>
      <c r="F217" s="5"/>
      <c r="G217" s="5"/>
      <c r="J217" s="40"/>
      <c r="K217" s="289" t="s">
        <v>28</v>
      </c>
      <c r="L217" s="290"/>
    </row>
    <row r="218" spans="2:12" x14ac:dyDescent="0.35">
      <c r="B218" s="45"/>
      <c r="K218" s="291" t="s">
        <v>29</v>
      </c>
      <c r="L218" s="292"/>
    </row>
    <row r="219" spans="2:12" x14ac:dyDescent="0.35">
      <c r="B219" s="278"/>
      <c r="C219" s="279"/>
      <c r="D219" s="279"/>
      <c r="E219" s="41"/>
      <c r="F219" s="41"/>
      <c r="G219" s="41"/>
      <c r="H219" s="2"/>
      <c r="I219" s="2"/>
      <c r="J219" s="2"/>
      <c r="K219" s="2"/>
      <c r="L219" s="21"/>
    </row>
    <row r="220" spans="2:12" x14ac:dyDescent="0.35">
      <c r="B220" s="47"/>
      <c r="C220" s="48"/>
      <c r="D220" s="49"/>
      <c r="G220" s="22"/>
      <c r="H220" s="1"/>
      <c r="I220" s="1"/>
      <c r="J220" s="43"/>
      <c r="K220" s="30"/>
      <c r="L220" s="44"/>
    </row>
    <row r="221" spans="2:12" x14ac:dyDescent="0.35">
      <c r="B221" s="75"/>
      <c r="C221" s="76"/>
      <c r="D221" s="144" t="s">
        <v>45</v>
      </c>
      <c r="E221" s="68"/>
      <c r="F221" s="68" t="s">
        <v>122</v>
      </c>
      <c r="G221" s="135"/>
      <c r="H221" s="92">
        <v>4</v>
      </c>
      <c r="I221" s="69" t="s">
        <v>73</v>
      </c>
      <c r="J221" s="72">
        <v>400000</v>
      </c>
      <c r="K221" s="64">
        <f t="shared" ref="K221" si="16">J221*H221</f>
        <v>1600000</v>
      </c>
      <c r="L221" s="46"/>
    </row>
    <row r="222" spans="2:12" x14ac:dyDescent="0.35">
      <c r="B222" s="75"/>
      <c r="C222" s="76"/>
      <c r="D222" s="144"/>
      <c r="E222" s="68"/>
      <c r="F222" s="68" t="s">
        <v>59</v>
      </c>
      <c r="G222" s="135" t="s">
        <v>249</v>
      </c>
      <c r="H222" s="92">
        <v>1320</v>
      </c>
      <c r="I222" s="69" t="s">
        <v>64</v>
      </c>
      <c r="J222" s="72">
        <v>1676</v>
      </c>
      <c r="K222" s="64"/>
      <c r="L222" s="46">
        <v>2212320</v>
      </c>
    </row>
    <row r="223" spans="2:12" x14ac:dyDescent="0.35">
      <c r="B223" s="75"/>
      <c r="C223" s="76"/>
      <c r="D223" s="144" t="s">
        <v>46</v>
      </c>
      <c r="E223" s="68"/>
      <c r="F223" s="68" t="s">
        <v>123</v>
      </c>
      <c r="G223" s="135"/>
      <c r="H223" s="92">
        <v>2</v>
      </c>
      <c r="I223" s="69" t="s">
        <v>73</v>
      </c>
      <c r="J223" s="72">
        <v>480000</v>
      </c>
      <c r="K223" s="64">
        <f t="shared" ref="K223" si="17">J223*H223</f>
        <v>960000</v>
      </c>
      <c r="L223" s="46"/>
    </row>
    <row r="224" spans="2:12" x14ac:dyDescent="0.35">
      <c r="B224" s="75"/>
      <c r="C224" s="76"/>
      <c r="D224" s="144"/>
      <c r="E224" s="68"/>
      <c r="F224" s="68" t="s">
        <v>59</v>
      </c>
      <c r="G224" s="135" t="s">
        <v>261</v>
      </c>
      <c r="H224" s="146">
        <v>1</v>
      </c>
      <c r="I224" s="69" t="s">
        <v>63</v>
      </c>
      <c r="J224" s="72">
        <v>1420000</v>
      </c>
      <c r="K224" s="64"/>
      <c r="L224" s="46">
        <v>1420000</v>
      </c>
    </row>
    <row r="225" spans="2:12" x14ac:dyDescent="0.35">
      <c r="B225" s="75"/>
      <c r="C225" s="76" t="s">
        <v>86</v>
      </c>
      <c r="D225" s="144"/>
      <c r="E225" s="68"/>
      <c r="F225" s="68" t="s">
        <v>124</v>
      </c>
      <c r="G225" s="135"/>
      <c r="H225" s="92"/>
      <c r="I225" s="69"/>
      <c r="J225" s="72"/>
      <c r="K225" s="64"/>
      <c r="L225" s="46"/>
    </row>
    <row r="226" spans="2:12" x14ac:dyDescent="0.35">
      <c r="B226" s="75"/>
      <c r="C226" s="76"/>
      <c r="D226" s="144" t="s">
        <v>36</v>
      </c>
      <c r="E226" s="68"/>
      <c r="F226" s="68" t="s">
        <v>125</v>
      </c>
      <c r="G226" s="135"/>
      <c r="H226" s="92"/>
      <c r="I226" s="69"/>
      <c r="J226" s="56"/>
      <c r="K226" s="56"/>
      <c r="L226" s="46"/>
    </row>
    <row r="227" spans="2:12" x14ac:dyDescent="0.35">
      <c r="B227" s="75"/>
      <c r="C227" s="76"/>
      <c r="D227" s="144"/>
      <c r="E227" s="68"/>
      <c r="F227" s="68" t="s">
        <v>59</v>
      </c>
      <c r="G227" s="135" t="s">
        <v>279</v>
      </c>
      <c r="H227" s="143">
        <v>66.586211999999989</v>
      </c>
      <c r="I227" s="69" t="s">
        <v>67</v>
      </c>
      <c r="J227" s="56">
        <v>30000</v>
      </c>
      <c r="K227" s="56"/>
      <c r="L227" s="46">
        <v>1997700</v>
      </c>
    </row>
    <row r="228" spans="2:12" x14ac:dyDescent="0.35">
      <c r="B228" s="75"/>
      <c r="C228" s="76"/>
      <c r="D228" s="144"/>
      <c r="E228" s="68"/>
      <c r="F228" s="68" t="s">
        <v>59</v>
      </c>
      <c r="G228" s="135" t="s">
        <v>280</v>
      </c>
      <c r="H228" s="143">
        <v>25.999199999999995</v>
      </c>
      <c r="I228" s="69" t="s">
        <v>67</v>
      </c>
      <c r="J228" s="56">
        <v>30000</v>
      </c>
      <c r="K228" s="72"/>
      <c r="L228" s="46">
        <v>780000</v>
      </c>
    </row>
    <row r="229" spans="2:12" x14ac:dyDescent="0.35">
      <c r="B229" s="75"/>
      <c r="C229" s="76"/>
      <c r="D229" s="144"/>
      <c r="E229" s="68"/>
      <c r="F229" s="68" t="s">
        <v>59</v>
      </c>
      <c r="G229" s="135" t="s">
        <v>281</v>
      </c>
      <c r="H229" s="143">
        <v>43.143600000000006</v>
      </c>
      <c r="I229" s="69" t="s">
        <v>67</v>
      </c>
      <c r="J229" s="56">
        <v>30000</v>
      </c>
      <c r="K229" s="54"/>
      <c r="L229" s="46">
        <v>1294200</v>
      </c>
    </row>
    <row r="230" spans="2:12" x14ac:dyDescent="0.35">
      <c r="B230" s="75"/>
      <c r="C230" s="76"/>
      <c r="D230" s="144"/>
      <c r="E230" s="68"/>
      <c r="F230" s="68" t="s">
        <v>59</v>
      </c>
      <c r="G230" s="135" t="s">
        <v>282</v>
      </c>
      <c r="H230" s="143">
        <v>30.520800000000008</v>
      </c>
      <c r="I230" s="69" t="s">
        <v>67</v>
      </c>
      <c r="J230" s="56">
        <v>30000</v>
      </c>
      <c r="K230" s="56"/>
      <c r="L230" s="46">
        <v>915600</v>
      </c>
    </row>
    <row r="231" spans="2:12" x14ac:dyDescent="0.35">
      <c r="B231" s="75"/>
      <c r="C231" s="76"/>
      <c r="D231" s="144"/>
      <c r="E231" s="68"/>
      <c r="F231" s="68" t="s">
        <v>59</v>
      </c>
      <c r="G231" s="135" t="s">
        <v>283</v>
      </c>
      <c r="H231" s="143">
        <v>67.824000000000012</v>
      </c>
      <c r="I231" s="69" t="s">
        <v>67</v>
      </c>
      <c r="J231" s="56">
        <v>30000</v>
      </c>
      <c r="K231" s="57"/>
      <c r="L231" s="46">
        <v>2034599.9999999998</v>
      </c>
    </row>
    <row r="232" spans="2:12" x14ac:dyDescent="0.35">
      <c r="B232" s="75"/>
      <c r="C232" s="76"/>
      <c r="D232" s="144"/>
      <c r="E232" s="68"/>
      <c r="F232" s="68" t="s">
        <v>59</v>
      </c>
      <c r="G232" s="135" t="s">
        <v>284</v>
      </c>
      <c r="H232" s="143">
        <v>59.911200000000008</v>
      </c>
      <c r="I232" s="69" t="s">
        <v>67</v>
      </c>
      <c r="J232" s="56">
        <v>30000</v>
      </c>
      <c r="K232" s="56"/>
      <c r="L232" s="46">
        <v>1797300</v>
      </c>
    </row>
    <row r="233" spans="2:12" x14ac:dyDescent="0.35">
      <c r="B233" s="70"/>
      <c r="C233" s="71"/>
      <c r="D233" s="110"/>
      <c r="E233" s="68"/>
      <c r="F233" s="68" t="s">
        <v>59</v>
      </c>
      <c r="G233" s="135" t="s">
        <v>285</v>
      </c>
      <c r="H233" s="92">
        <v>4</v>
      </c>
      <c r="I233" s="69" t="s">
        <v>63</v>
      </c>
      <c r="J233" s="51">
        <v>35000</v>
      </c>
      <c r="K233" s="64"/>
      <c r="L233" s="46">
        <v>140000</v>
      </c>
    </row>
    <row r="234" spans="2:12" x14ac:dyDescent="0.35">
      <c r="B234" s="70"/>
      <c r="C234" s="71"/>
      <c r="D234" s="110"/>
      <c r="E234" s="68"/>
      <c r="F234" s="68" t="s">
        <v>59</v>
      </c>
      <c r="G234" s="135" t="s">
        <v>286</v>
      </c>
      <c r="H234" s="92">
        <v>4</v>
      </c>
      <c r="I234" s="69" t="s">
        <v>63</v>
      </c>
      <c r="J234" s="51">
        <v>35000</v>
      </c>
      <c r="K234" s="64"/>
      <c r="L234" s="46">
        <v>140000</v>
      </c>
    </row>
    <row r="235" spans="2:12" x14ac:dyDescent="0.35">
      <c r="B235" s="70"/>
      <c r="C235" s="71"/>
      <c r="D235" s="110"/>
      <c r="E235" s="68"/>
      <c r="F235" s="68" t="s">
        <v>59</v>
      </c>
      <c r="G235" s="135" t="s">
        <v>126</v>
      </c>
      <c r="H235" s="92">
        <v>1</v>
      </c>
      <c r="I235" s="69" t="s">
        <v>62</v>
      </c>
      <c r="J235" s="61">
        <v>9000000</v>
      </c>
      <c r="K235" s="64">
        <f t="shared" ref="K235:K236" si="18">J235*H235</f>
        <v>9000000</v>
      </c>
      <c r="L235" s="46"/>
    </row>
    <row r="236" spans="2:12" x14ac:dyDescent="0.35">
      <c r="B236" s="75"/>
      <c r="C236" s="76"/>
      <c r="D236" s="144"/>
      <c r="E236" s="59"/>
      <c r="F236" s="59" t="s">
        <v>59</v>
      </c>
      <c r="G236" s="135" t="s">
        <v>127</v>
      </c>
      <c r="H236" s="92">
        <v>1</v>
      </c>
      <c r="I236" s="69" t="s">
        <v>62</v>
      </c>
      <c r="J236" s="51">
        <v>8000000</v>
      </c>
      <c r="K236" s="64">
        <f t="shared" si="18"/>
        <v>8000000</v>
      </c>
      <c r="L236" s="46"/>
    </row>
    <row r="237" spans="2:12" x14ac:dyDescent="0.35">
      <c r="B237" s="75"/>
      <c r="C237" s="76"/>
      <c r="D237" s="144" t="s">
        <v>38</v>
      </c>
      <c r="E237" s="59"/>
      <c r="F237" s="59" t="s">
        <v>128</v>
      </c>
      <c r="G237" s="135"/>
      <c r="H237" s="92"/>
      <c r="I237" s="69"/>
      <c r="J237" s="51"/>
      <c r="K237" s="64"/>
      <c r="L237" s="46"/>
    </row>
    <row r="238" spans="2:12" x14ac:dyDescent="0.35">
      <c r="B238" s="75"/>
      <c r="C238" s="76"/>
      <c r="D238" s="144"/>
      <c r="E238" s="59"/>
      <c r="F238" s="59" t="s">
        <v>59</v>
      </c>
      <c r="G238" s="135" t="s">
        <v>287</v>
      </c>
      <c r="H238" s="143">
        <v>64.715399999999988</v>
      </c>
      <c r="I238" s="69" t="s">
        <v>67</v>
      </c>
      <c r="J238" s="61">
        <v>30000</v>
      </c>
      <c r="K238" s="54"/>
      <c r="L238" s="46">
        <v>1941600</v>
      </c>
    </row>
    <row r="239" spans="2:12" x14ac:dyDescent="0.35">
      <c r="B239" s="75"/>
      <c r="C239" s="76"/>
      <c r="D239" s="144"/>
      <c r="E239" s="59"/>
      <c r="F239" s="59" t="s">
        <v>59</v>
      </c>
      <c r="G239" s="135" t="s">
        <v>288</v>
      </c>
      <c r="H239" s="143">
        <v>28.599119999999996</v>
      </c>
      <c r="I239" s="69" t="s">
        <v>67</v>
      </c>
      <c r="J239" s="61">
        <v>30000</v>
      </c>
      <c r="K239" s="64"/>
      <c r="L239" s="46">
        <v>858000</v>
      </c>
    </row>
    <row r="240" spans="2:12" x14ac:dyDescent="0.35">
      <c r="B240" s="75"/>
      <c r="C240" s="76"/>
      <c r="D240" s="144"/>
      <c r="E240" s="59"/>
      <c r="F240" s="68" t="s">
        <v>59</v>
      </c>
      <c r="G240" s="135" t="s">
        <v>281</v>
      </c>
      <c r="H240" s="143">
        <v>43.143600000000006</v>
      </c>
      <c r="I240" s="69" t="s">
        <v>67</v>
      </c>
      <c r="J240" s="61">
        <v>30000</v>
      </c>
      <c r="K240" s="55"/>
      <c r="L240" s="46">
        <v>1294200</v>
      </c>
    </row>
    <row r="241" spans="2:12" x14ac:dyDescent="0.35">
      <c r="B241" s="75"/>
      <c r="C241" s="76"/>
      <c r="D241" s="144"/>
      <c r="E241" s="59"/>
      <c r="F241" s="68" t="s">
        <v>59</v>
      </c>
      <c r="G241" s="135" t="s">
        <v>289</v>
      </c>
      <c r="H241" s="143">
        <v>29.955600000000004</v>
      </c>
      <c r="I241" s="69" t="s">
        <v>67</v>
      </c>
      <c r="J241" s="61">
        <v>30000</v>
      </c>
      <c r="K241" s="82"/>
      <c r="L241" s="46">
        <v>898800</v>
      </c>
    </row>
    <row r="242" spans="2:12" x14ac:dyDescent="0.35">
      <c r="B242" s="75"/>
      <c r="C242" s="76"/>
      <c r="D242" s="144"/>
      <c r="E242" s="59"/>
      <c r="F242" s="68" t="s">
        <v>59</v>
      </c>
      <c r="G242" s="135" t="s">
        <v>290</v>
      </c>
      <c r="H242" s="143">
        <v>4.6158000000000001</v>
      </c>
      <c r="I242" s="69" t="s">
        <v>67</v>
      </c>
      <c r="J242" s="61">
        <v>30000</v>
      </c>
      <c r="K242" s="64"/>
      <c r="L242" s="46">
        <v>138600</v>
      </c>
    </row>
    <row r="243" spans="2:12" x14ac:dyDescent="0.35">
      <c r="B243" s="75"/>
      <c r="C243" s="76"/>
      <c r="D243" s="144"/>
      <c r="E243" s="59"/>
      <c r="F243" s="68" t="s">
        <v>59</v>
      </c>
      <c r="G243" s="135" t="s">
        <v>291</v>
      </c>
      <c r="H243" s="143">
        <v>41.259600000000006</v>
      </c>
      <c r="I243" s="69" t="s">
        <v>67</v>
      </c>
      <c r="J243" s="61">
        <v>30000</v>
      </c>
      <c r="K243" s="64"/>
      <c r="L243" s="46">
        <v>1237800</v>
      </c>
    </row>
    <row r="244" spans="2:12" x14ac:dyDescent="0.35">
      <c r="B244" s="75"/>
      <c r="C244" s="76"/>
      <c r="D244" s="144"/>
      <c r="E244" s="59"/>
      <c r="F244" s="59" t="s">
        <v>59</v>
      </c>
      <c r="G244" s="135" t="s">
        <v>292</v>
      </c>
      <c r="H244" s="143">
        <v>60.476400000000012</v>
      </c>
      <c r="I244" s="69" t="s">
        <v>67</v>
      </c>
      <c r="J244" s="61">
        <v>30000</v>
      </c>
      <c r="K244" s="86"/>
      <c r="L244" s="46">
        <v>1814400</v>
      </c>
    </row>
    <row r="245" spans="2:12" x14ac:dyDescent="0.35">
      <c r="B245" s="75"/>
      <c r="C245" s="76"/>
      <c r="D245" s="144"/>
      <c r="E245" s="59"/>
      <c r="F245" s="59" t="s">
        <v>59</v>
      </c>
      <c r="G245" s="135" t="s">
        <v>285</v>
      </c>
      <c r="H245" s="92">
        <v>4</v>
      </c>
      <c r="I245" s="89" t="s">
        <v>63</v>
      </c>
      <c r="J245" s="86">
        <v>35000</v>
      </c>
      <c r="K245" s="86"/>
      <c r="L245" s="46">
        <v>140000</v>
      </c>
    </row>
    <row r="246" spans="2:12" x14ac:dyDescent="0.35">
      <c r="B246" s="75"/>
      <c r="C246" s="76"/>
      <c r="D246" s="110"/>
      <c r="E246" s="68"/>
      <c r="F246" s="68" t="s">
        <v>59</v>
      </c>
      <c r="G246" s="135" t="s">
        <v>286</v>
      </c>
      <c r="H246" s="92">
        <v>4</v>
      </c>
      <c r="I246" s="89" t="s">
        <v>63</v>
      </c>
      <c r="J246" s="86">
        <v>35000</v>
      </c>
      <c r="K246" s="86"/>
      <c r="L246" s="46">
        <v>140000</v>
      </c>
    </row>
    <row r="247" spans="2:12" x14ac:dyDescent="0.35">
      <c r="B247" s="75"/>
      <c r="C247" s="76"/>
      <c r="D247" s="144"/>
      <c r="E247" s="68"/>
      <c r="F247" s="68" t="s">
        <v>59</v>
      </c>
      <c r="G247" s="135" t="s">
        <v>126</v>
      </c>
      <c r="H247" s="92">
        <v>1</v>
      </c>
      <c r="I247" s="89" t="s">
        <v>62</v>
      </c>
      <c r="J247" s="86">
        <v>9000000</v>
      </c>
      <c r="K247" s="64">
        <f t="shared" ref="K247:K248" si="19">J247*H247</f>
        <v>9000000</v>
      </c>
      <c r="L247" s="46"/>
    </row>
    <row r="248" spans="2:12" x14ac:dyDescent="0.35">
      <c r="B248" s="75"/>
      <c r="C248" s="76"/>
      <c r="D248" s="144"/>
      <c r="E248" s="68"/>
      <c r="F248" s="68" t="s">
        <v>59</v>
      </c>
      <c r="G248" s="135" t="s">
        <v>127</v>
      </c>
      <c r="H248" s="92">
        <v>1</v>
      </c>
      <c r="I248" s="89" t="s">
        <v>62</v>
      </c>
      <c r="J248" s="29">
        <v>8000000</v>
      </c>
      <c r="K248" s="64">
        <f t="shared" si="19"/>
        <v>8000000</v>
      </c>
      <c r="L248" s="46"/>
    </row>
    <row r="249" spans="2:12" x14ac:dyDescent="0.35">
      <c r="B249" s="75"/>
      <c r="C249" s="76"/>
      <c r="D249" s="144" t="s">
        <v>39</v>
      </c>
      <c r="E249" s="68"/>
      <c r="F249" s="68" t="s">
        <v>129</v>
      </c>
      <c r="G249" s="135"/>
      <c r="H249" s="92"/>
      <c r="I249" s="89"/>
      <c r="J249" s="88"/>
      <c r="K249" s="88"/>
      <c r="L249" s="46"/>
    </row>
    <row r="250" spans="2:12" x14ac:dyDescent="0.35">
      <c r="B250" s="75"/>
      <c r="C250" s="76"/>
      <c r="D250" s="144"/>
      <c r="E250" s="68"/>
      <c r="F250" s="68" t="s">
        <v>59</v>
      </c>
      <c r="G250" s="135" t="s">
        <v>293</v>
      </c>
      <c r="H250" s="143">
        <v>4.8230399999999998</v>
      </c>
      <c r="I250" s="89" t="s">
        <v>67</v>
      </c>
      <c r="J250" s="88">
        <v>30000</v>
      </c>
      <c r="K250" s="88"/>
      <c r="L250" s="46">
        <v>144600</v>
      </c>
    </row>
    <row r="251" spans="2:12" x14ac:dyDescent="0.35">
      <c r="B251" s="75"/>
      <c r="C251" s="76"/>
      <c r="D251" s="144" t="s">
        <v>40</v>
      </c>
      <c r="E251" s="68"/>
      <c r="F251" s="68" t="s">
        <v>130</v>
      </c>
      <c r="G251" s="135"/>
      <c r="H251" s="143"/>
      <c r="I251" s="89"/>
      <c r="J251" s="88"/>
      <c r="K251" s="88"/>
      <c r="L251" s="46"/>
    </row>
    <row r="252" spans="2:12" x14ac:dyDescent="0.35">
      <c r="B252" s="75"/>
      <c r="C252" s="76"/>
      <c r="D252" s="144"/>
      <c r="E252" s="68"/>
      <c r="F252" s="68" t="s">
        <v>59</v>
      </c>
      <c r="G252" s="135" t="s">
        <v>294</v>
      </c>
      <c r="H252" s="143">
        <v>6.4056000000000006</v>
      </c>
      <c r="I252" s="89" t="s">
        <v>67</v>
      </c>
      <c r="J252" s="88">
        <v>30000</v>
      </c>
      <c r="K252" s="88"/>
      <c r="L252" s="46">
        <v>192300</v>
      </c>
    </row>
    <row r="253" spans="2:12" x14ac:dyDescent="0.35">
      <c r="B253" s="75"/>
      <c r="C253" s="76"/>
      <c r="D253" s="144"/>
      <c r="E253" s="68"/>
      <c r="F253" s="68" t="s">
        <v>59</v>
      </c>
      <c r="G253" s="135" t="s">
        <v>295</v>
      </c>
      <c r="H253" s="143">
        <v>5.1433199999999992</v>
      </c>
      <c r="I253" s="89" t="s">
        <v>67</v>
      </c>
      <c r="J253" s="88">
        <v>30000</v>
      </c>
      <c r="K253" s="88"/>
      <c r="L253" s="46">
        <v>154200</v>
      </c>
    </row>
    <row r="254" spans="2:12" x14ac:dyDescent="0.35">
      <c r="B254" s="75"/>
      <c r="C254" s="76"/>
      <c r="D254" s="144"/>
      <c r="E254" s="68"/>
      <c r="F254" s="68" t="s">
        <v>59</v>
      </c>
      <c r="G254" s="135" t="s">
        <v>296</v>
      </c>
      <c r="H254" s="92">
        <v>4</v>
      </c>
      <c r="I254" s="89" t="s">
        <v>63</v>
      </c>
      <c r="J254" s="50">
        <v>35000</v>
      </c>
      <c r="K254" s="29"/>
      <c r="L254" s="46">
        <v>140000</v>
      </c>
    </row>
    <row r="255" spans="2:12" x14ac:dyDescent="0.35">
      <c r="B255" s="75"/>
      <c r="C255" s="76" t="s">
        <v>131</v>
      </c>
      <c r="D255" s="144"/>
      <c r="E255" s="68"/>
      <c r="F255" s="68" t="s">
        <v>132</v>
      </c>
      <c r="G255" s="135"/>
      <c r="H255" s="92"/>
      <c r="I255" s="89"/>
      <c r="J255" s="46"/>
      <c r="K255" s="46"/>
      <c r="L255" s="81"/>
    </row>
    <row r="256" spans="2:12" x14ac:dyDescent="0.35">
      <c r="B256" s="75"/>
      <c r="C256" s="76"/>
      <c r="D256" s="144" t="s">
        <v>36</v>
      </c>
      <c r="E256" s="68"/>
      <c r="F256" s="68" t="s">
        <v>133</v>
      </c>
      <c r="G256" s="135"/>
      <c r="H256" s="92">
        <v>1</v>
      </c>
      <c r="I256" s="89" t="s">
        <v>62</v>
      </c>
      <c r="J256" s="64">
        <v>7750000</v>
      </c>
      <c r="K256" s="64">
        <f t="shared" ref="K256" si="20">J256*H256</f>
        <v>7750000</v>
      </c>
      <c r="L256" s="46"/>
    </row>
    <row r="257" spans="2:12" x14ac:dyDescent="0.35">
      <c r="B257" s="75"/>
      <c r="C257" s="76"/>
      <c r="D257" s="144"/>
      <c r="E257" s="68"/>
      <c r="F257" s="68" t="s">
        <v>59</v>
      </c>
      <c r="G257" s="135" t="s">
        <v>297</v>
      </c>
      <c r="H257" s="218"/>
      <c r="I257" s="90" t="s">
        <v>67</v>
      </c>
      <c r="J257" s="217">
        <v>37000</v>
      </c>
      <c r="K257" s="64"/>
      <c r="L257" s="46"/>
    </row>
    <row r="258" spans="2:12" x14ac:dyDescent="0.35">
      <c r="B258" s="75"/>
      <c r="C258" s="76"/>
      <c r="D258" s="144"/>
      <c r="E258" s="68"/>
      <c r="F258" s="68" t="s">
        <v>59</v>
      </c>
      <c r="G258" s="135" t="s">
        <v>298</v>
      </c>
      <c r="H258" s="218"/>
      <c r="I258" s="90" t="s">
        <v>67</v>
      </c>
      <c r="J258" s="217">
        <v>37000</v>
      </c>
      <c r="K258" s="64"/>
      <c r="L258" s="46"/>
    </row>
    <row r="259" spans="2:12" x14ac:dyDescent="0.35">
      <c r="B259" s="75"/>
      <c r="C259" s="76"/>
      <c r="D259" s="144"/>
      <c r="E259" s="68"/>
      <c r="F259" s="68" t="s">
        <v>59</v>
      </c>
      <c r="G259" s="135" t="s">
        <v>299</v>
      </c>
      <c r="H259" s="218">
        <v>7.7759999999999998</v>
      </c>
      <c r="I259" s="90" t="s">
        <v>67</v>
      </c>
      <c r="J259" s="217">
        <v>37000</v>
      </c>
      <c r="K259" s="64"/>
      <c r="L259" s="46"/>
    </row>
    <row r="260" spans="2:12" x14ac:dyDescent="0.35">
      <c r="B260" s="75"/>
      <c r="C260" s="76"/>
      <c r="D260" s="144"/>
      <c r="E260" s="68"/>
      <c r="F260" s="68" t="s">
        <v>59</v>
      </c>
      <c r="G260" s="135" t="s">
        <v>300</v>
      </c>
      <c r="H260" s="218">
        <v>37.382399999999997</v>
      </c>
      <c r="I260" s="90" t="s">
        <v>67</v>
      </c>
      <c r="J260" s="217">
        <v>37000</v>
      </c>
      <c r="K260" s="64"/>
      <c r="L260" s="46"/>
    </row>
    <row r="261" spans="2:12" x14ac:dyDescent="0.35">
      <c r="B261" s="75"/>
      <c r="C261" s="76"/>
      <c r="D261" s="144"/>
      <c r="E261" s="59"/>
      <c r="F261" s="68" t="s">
        <v>59</v>
      </c>
      <c r="G261" s="135" t="s">
        <v>301</v>
      </c>
      <c r="H261" s="218">
        <v>10.368</v>
      </c>
      <c r="I261" s="219" t="s">
        <v>67</v>
      </c>
      <c r="J261" s="217">
        <v>37000</v>
      </c>
      <c r="K261" s="64"/>
      <c r="L261" s="46"/>
    </row>
    <row r="262" spans="2:12" x14ac:dyDescent="0.35">
      <c r="B262" s="75"/>
      <c r="C262" s="76"/>
      <c r="D262" s="144"/>
      <c r="E262" s="59"/>
      <c r="F262" s="68" t="s">
        <v>59</v>
      </c>
      <c r="G262" s="135" t="s">
        <v>302</v>
      </c>
      <c r="H262" s="218">
        <v>15.206399999999999</v>
      </c>
      <c r="I262" s="219" t="s">
        <v>67</v>
      </c>
      <c r="J262" s="217">
        <v>37000</v>
      </c>
      <c r="K262" s="64"/>
      <c r="L262" s="46"/>
    </row>
    <row r="263" spans="2:12" x14ac:dyDescent="0.35">
      <c r="B263" s="75"/>
      <c r="C263" s="76"/>
      <c r="D263" s="144"/>
      <c r="E263" s="59"/>
      <c r="F263" s="59" t="s">
        <v>59</v>
      </c>
      <c r="G263" s="135" t="s">
        <v>303</v>
      </c>
      <c r="H263" s="218">
        <v>8.2944000000000013</v>
      </c>
      <c r="I263" s="90" t="s">
        <v>67</v>
      </c>
      <c r="J263" s="217">
        <v>37000</v>
      </c>
      <c r="K263" s="54"/>
      <c r="L263" s="46"/>
    </row>
    <row r="264" spans="2:12" x14ac:dyDescent="0.35">
      <c r="B264" s="75"/>
      <c r="C264" s="76"/>
      <c r="D264" s="144"/>
      <c r="E264" s="59"/>
      <c r="F264" s="59" t="s">
        <v>59</v>
      </c>
      <c r="G264" s="135" t="s">
        <v>304</v>
      </c>
      <c r="H264" s="218">
        <v>10.575360000000002</v>
      </c>
      <c r="I264" s="90" t="s">
        <v>67</v>
      </c>
      <c r="J264" s="217">
        <v>37000</v>
      </c>
      <c r="K264" s="64"/>
      <c r="L264" s="46"/>
    </row>
    <row r="265" spans="2:12" x14ac:dyDescent="0.35">
      <c r="B265" s="75"/>
      <c r="C265" s="76"/>
      <c r="D265" s="144"/>
      <c r="E265" s="59"/>
      <c r="F265" s="59" t="s">
        <v>59</v>
      </c>
      <c r="G265" s="135" t="s">
        <v>305</v>
      </c>
      <c r="H265" s="218">
        <v>11.4048</v>
      </c>
      <c r="I265" s="90" t="s">
        <v>67</v>
      </c>
      <c r="J265" s="217">
        <v>37000</v>
      </c>
      <c r="K265" s="64"/>
      <c r="L265" s="46"/>
    </row>
    <row r="266" spans="2:12" x14ac:dyDescent="0.35">
      <c r="B266" s="75"/>
      <c r="C266" s="76"/>
      <c r="D266" s="144"/>
      <c r="E266" s="59"/>
      <c r="F266" s="59" t="s">
        <v>59</v>
      </c>
      <c r="G266" s="135" t="s">
        <v>306</v>
      </c>
      <c r="H266" s="218">
        <v>29.448803999999999</v>
      </c>
      <c r="I266" s="90" t="s">
        <v>67</v>
      </c>
      <c r="J266" s="217">
        <v>30000</v>
      </c>
      <c r="K266" s="64"/>
      <c r="L266" s="46"/>
    </row>
    <row r="267" spans="2:12" x14ac:dyDescent="0.35">
      <c r="B267" s="75"/>
      <c r="C267" s="76"/>
      <c r="D267" s="110"/>
      <c r="E267" s="68"/>
      <c r="F267" s="68" t="s">
        <v>59</v>
      </c>
      <c r="G267" s="135" t="s">
        <v>307</v>
      </c>
      <c r="H267" s="218">
        <v>7.4775959999999992</v>
      </c>
      <c r="I267" s="216" t="s">
        <v>67</v>
      </c>
      <c r="J267" s="217">
        <v>30000</v>
      </c>
      <c r="K267" s="64"/>
      <c r="L267" s="46"/>
    </row>
    <row r="268" spans="2:12" x14ac:dyDescent="0.35">
      <c r="B268" s="70"/>
      <c r="C268" s="71" t="s">
        <v>134</v>
      </c>
      <c r="D268" s="110"/>
      <c r="E268" s="68"/>
      <c r="F268" s="68" t="s">
        <v>135</v>
      </c>
      <c r="G268" s="135"/>
      <c r="H268" s="145"/>
      <c r="I268" s="89"/>
      <c r="J268" s="64"/>
      <c r="K268" s="64"/>
      <c r="L268" s="46"/>
    </row>
    <row r="269" spans="2:12" x14ac:dyDescent="0.35">
      <c r="B269" s="70"/>
      <c r="C269" s="71"/>
      <c r="D269" s="110" t="s">
        <v>36</v>
      </c>
      <c r="E269" s="68"/>
      <c r="F269" s="68" t="s">
        <v>136</v>
      </c>
      <c r="G269" s="135"/>
      <c r="H269" s="145"/>
      <c r="I269" s="89"/>
      <c r="J269" s="64"/>
      <c r="K269" s="64"/>
      <c r="L269" s="46"/>
    </row>
    <row r="270" spans="2:12" x14ac:dyDescent="0.35">
      <c r="B270" s="147"/>
      <c r="C270" s="58"/>
      <c r="D270" s="118"/>
      <c r="E270" s="119"/>
      <c r="F270" s="120" t="s">
        <v>59</v>
      </c>
      <c r="G270" s="121" t="s">
        <v>308</v>
      </c>
      <c r="H270" s="148">
        <v>149.21279999999999</v>
      </c>
      <c r="I270" s="119" t="s">
        <v>67</v>
      </c>
      <c r="J270" s="64">
        <v>30000</v>
      </c>
      <c r="K270" s="64"/>
      <c r="L270" s="46">
        <v>4476300</v>
      </c>
    </row>
    <row r="271" spans="2:12" x14ac:dyDescent="0.35">
      <c r="B271" s="147"/>
      <c r="C271" s="58"/>
      <c r="D271" s="118"/>
      <c r="E271" s="119"/>
      <c r="F271" s="120"/>
      <c r="G271" s="121"/>
      <c r="H271" s="148"/>
      <c r="I271" s="119"/>
      <c r="J271" s="64"/>
      <c r="K271" s="64"/>
      <c r="L271" s="51"/>
    </row>
    <row r="272" spans="2:12" x14ac:dyDescent="0.35">
      <c r="B272" s="47"/>
      <c r="C272" s="48"/>
      <c r="D272" s="24"/>
      <c r="G272" s="22"/>
      <c r="I272" s="22"/>
      <c r="J272" s="50"/>
      <c r="K272" s="29"/>
      <c r="L272" s="51"/>
    </row>
    <row r="273" spans="2:12" x14ac:dyDescent="0.35">
      <c r="B273" s="8"/>
      <c r="C273" s="9"/>
      <c r="D273" s="10"/>
      <c r="E273" s="4"/>
      <c r="F273" s="4"/>
      <c r="G273" s="4"/>
      <c r="H273" s="1"/>
      <c r="I273" s="1"/>
      <c r="J273" s="11" t="s">
        <v>8</v>
      </c>
      <c r="K273" s="7">
        <f>SUM(K220:K272)</f>
        <v>44310000</v>
      </c>
      <c r="L273" s="7">
        <f>SUM(L220:L272)</f>
        <v>26302520</v>
      </c>
    </row>
    <row r="274" spans="2:12" x14ac:dyDescent="0.35">
      <c r="B274" s="8"/>
      <c r="C274" s="9"/>
      <c r="D274" s="9"/>
      <c r="E274" s="4"/>
      <c r="F274" s="4"/>
      <c r="G274" s="4"/>
      <c r="H274" s="1"/>
      <c r="I274" s="1"/>
      <c r="J274" s="11"/>
      <c r="K274" s="35" t="s">
        <v>15</v>
      </c>
      <c r="L274" s="36" t="s">
        <v>16</v>
      </c>
    </row>
    <row r="275" spans="2:12" x14ac:dyDescent="0.35">
      <c r="B275" s="3" t="s">
        <v>9</v>
      </c>
      <c r="C275" s="4"/>
      <c r="D275" s="4"/>
      <c r="E275" s="4"/>
      <c r="F275" s="4"/>
      <c r="G275" s="4"/>
      <c r="H275" s="1"/>
      <c r="I275" s="1"/>
      <c r="J275" s="12"/>
      <c r="K275" s="12"/>
      <c r="L275" s="13"/>
    </row>
    <row r="276" spans="2:12" x14ac:dyDescent="0.35">
      <c r="B276" s="37"/>
      <c r="C276" s="1"/>
      <c r="D276" s="1"/>
      <c r="E276" s="38"/>
      <c r="F276" s="38"/>
      <c r="G276" s="38"/>
      <c r="H276" s="1"/>
      <c r="I276" s="1"/>
      <c r="J276" s="1"/>
      <c r="K276" s="1"/>
      <c r="L276" s="19"/>
    </row>
    <row r="277" spans="2:12" x14ac:dyDescent="0.35">
      <c r="B277" s="28" t="s">
        <v>6</v>
      </c>
      <c r="C277" s="27"/>
      <c r="D277" s="27"/>
      <c r="E277" s="26"/>
      <c r="F277" s="26"/>
      <c r="G277" s="5"/>
      <c r="K277" s="287" t="str">
        <f>K210</f>
        <v>Balikpapan, 17 November 2025</v>
      </c>
      <c r="L277" s="288"/>
    </row>
    <row r="278" spans="2:12" x14ac:dyDescent="0.35">
      <c r="B278" s="28">
        <v>1</v>
      </c>
      <c r="C278" s="27"/>
      <c r="D278" s="27"/>
      <c r="E278" s="26" t="s">
        <v>7</v>
      </c>
      <c r="F278" s="26"/>
      <c r="G278" s="5"/>
      <c r="K278" s="287" t="s">
        <v>20</v>
      </c>
      <c r="L278" s="288"/>
    </row>
    <row r="279" spans="2:12" x14ac:dyDescent="0.35">
      <c r="B279" s="39"/>
      <c r="C279" s="27"/>
      <c r="D279" s="27"/>
      <c r="E279" s="26"/>
      <c r="F279" s="26"/>
      <c r="G279" s="5"/>
      <c r="J279" s="25"/>
      <c r="K279" s="25"/>
      <c r="L279" s="24"/>
    </row>
    <row r="280" spans="2:12" x14ac:dyDescent="0.35">
      <c r="B280" s="28"/>
      <c r="C280" s="27"/>
      <c r="D280" s="27"/>
      <c r="E280" s="26"/>
      <c r="F280" s="26"/>
      <c r="G280" s="5"/>
      <c r="L280" s="22"/>
    </row>
    <row r="281" spans="2:12" x14ac:dyDescent="0.35">
      <c r="B281" s="45"/>
      <c r="E281" s="5"/>
      <c r="F281" s="5"/>
      <c r="G281" s="5"/>
      <c r="L281" s="22"/>
    </row>
    <row r="282" spans="2:12" x14ac:dyDescent="0.35">
      <c r="B282" s="45"/>
      <c r="E282" s="5"/>
      <c r="F282" s="5"/>
      <c r="G282" s="5"/>
      <c r="L282" s="22"/>
    </row>
    <row r="283" spans="2:12" x14ac:dyDescent="0.35">
      <c r="B283" s="45"/>
      <c r="E283" s="5"/>
      <c r="F283" s="5"/>
      <c r="G283" s="5"/>
      <c r="L283" s="22"/>
    </row>
    <row r="284" spans="2:12" x14ac:dyDescent="0.35">
      <c r="B284" s="45"/>
      <c r="E284" s="5"/>
      <c r="F284" s="5"/>
      <c r="G284" s="5"/>
      <c r="J284" s="40"/>
      <c r="K284" s="289" t="s">
        <v>28</v>
      </c>
      <c r="L284" s="290"/>
    </row>
    <row r="285" spans="2:12" x14ac:dyDescent="0.35">
      <c r="B285" s="45"/>
      <c r="K285" s="291" t="s">
        <v>29</v>
      </c>
      <c r="L285" s="292"/>
    </row>
    <row r="286" spans="2:12" x14ac:dyDescent="0.35">
      <c r="B286" s="278"/>
      <c r="C286" s="279"/>
      <c r="D286" s="279"/>
      <c r="E286" s="41"/>
      <c r="F286" s="41"/>
      <c r="G286" s="41"/>
      <c r="H286" s="2"/>
      <c r="I286" s="2"/>
      <c r="J286" s="2"/>
      <c r="K286" s="2"/>
      <c r="L286" s="21"/>
    </row>
    <row r="287" spans="2:12" x14ac:dyDescent="0.35">
      <c r="B287" s="47"/>
      <c r="C287" s="48"/>
      <c r="D287" s="49"/>
      <c r="G287" s="22"/>
      <c r="H287" s="1"/>
      <c r="I287" s="1"/>
      <c r="J287" s="43"/>
      <c r="K287" s="30"/>
      <c r="L287" s="44"/>
    </row>
    <row r="288" spans="2:12" x14ac:dyDescent="0.35">
      <c r="B288" s="147"/>
      <c r="C288" s="58"/>
      <c r="D288" s="118"/>
      <c r="E288" s="68"/>
      <c r="F288" s="68" t="s">
        <v>59</v>
      </c>
      <c r="G288" s="135" t="s">
        <v>309</v>
      </c>
      <c r="H288" s="148">
        <v>17.702063999999996</v>
      </c>
      <c r="I288" s="121" t="s">
        <v>67</v>
      </c>
      <c r="J288" s="64">
        <v>30000</v>
      </c>
      <c r="K288" s="64"/>
      <c r="L288" s="46">
        <v>531000</v>
      </c>
    </row>
    <row r="289" spans="2:12" x14ac:dyDescent="0.35">
      <c r="D289" s="22"/>
      <c r="E289" s="68"/>
      <c r="F289" s="68" t="s">
        <v>59</v>
      </c>
      <c r="G289" s="135" t="s">
        <v>310</v>
      </c>
      <c r="H289" s="149">
        <v>149.21279999999999</v>
      </c>
      <c r="I289" s="69" t="s">
        <v>67</v>
      </c>
      <c r="J289" s="64">
        <v>30000</v>
      </c>
      <c r="K289" s="56"/>
      <c r="L289" s="46">
        <v>4476300</v>
      </c>
    </row>
    <row r="290" spans="2:12" x14ac:dyDescent="0.35">
      <c r="B290" s="70"/>
      <c r="C290" s="71"/>
      <c r="D290" s="110"/>
      <c r="E290" s="68"/>
      <c r="F290" s="68" t="s">
        <v>59</v>
      </c>
      <c r="G290" s="135" t="s">
        <v>137</v>
      </c>
      <c r="H290" s="149">
        <v>20.347199999999997</v>
      </c>
      <c r="I290" s="69" t="s">
        <v>67</v>
      </c>
      <c r="J290" s="64">
        <v>30000</v>
      </c>
      <c r="K290" s="56"/>
      <c r="L290" s="46">
        <v>610500</v>
      </c>
    </row>
    <row r="291" spans="2:12" x14ac:dyDescent="0.35">
      <c r="B291" s="70"/>
      <c r="C291" s="71"/>
      <c r="D291" s="110"/>
      <c r="E291" s="129"/>
      <c r="F291" s="129"/>
      <c r="G291" s="131"/>
      <c r="I291" s="22"/>
      <c r="J291" s="72"/>
      <c r="K291" s="72"/>
      <c r="L291" s="46"/>
    </row>
    <row r="292" spans="2:12" x14ac:dyDescent="0.35">
      <c r="B292" s="70"/>
      <c r="C292" s="71"/>
      <c r="D292" s="110"/>
      <c r="E292" s="150"/>
      <c r="F292" s="150" t="s">
        <v>311</v>
      </c>
      <c r="G292" s="151"/>
      <c r="H292" s="141"/>
      <c r="I292" s="152"/>
      <c r="J292" s="61"/>
      <c r="K292" s="54"/>
      <c r="L292" s="46"/>
    </row>
    <row r="293" spans="2:12" x14ac:dyDescent="0.35">
      <c r="B293" s="104" t="s">
        <v>35</v>
      </c>
      <c r="C293" s="96"/>
      <c r="D293" s="97"/>
      <c r="E293" s="105" t="s">
        <v>112</v>
      </c>
      <c r="F293" s="105"/>
      <c r="G293" s="100"/>
      <c r="H293" s="105"/>
      <c r="I293" s="100"/>
      <c r="J293" s="220"/>
      <c r="K293" s="221"/>
      <c r="L293" s="66"/>
    </row>
    <row r="294" spans="2:12" x14ac:dyDescent="0.35">
      <c r="B294" s="70"/>
      <c r="C294" s="71" t="s">
        <v>68</v>
      </c>
      <c r="D294" s="110"/>
      <c r="E294" s="68"/>
      <c r="F294" s="68" t="s">
        <v>113</v>
      </c>
      <c r="G294" s="135"/>
      <c r="H294" s="92"/>
      <c r="I294" s="69"/>
      <c r="J294" s="56"/>
      <c r="K294" s="56"/>
      <c r="L294" s="46"/>
    </row>
    <row r="295" spans="2:12" x14ac:dyDescent="0.35">
      <c r="B295" s="70"/>
      <c r="C295" s="71"/>
      <c r="D295" s="110" t="s">
        <v>36</v>
      </c>
      <c r="E295" s="68"/>
      <c r="F295" s="68" t="s">
        <v>118</v>
      </c>
      <c r="G295" s="135"/>
      <c r="H295" s="92">
        <v>2</v>
      </c>
      <c r="I295" s="69" t="s">
        <v>73</v>
      </c>
      <c r="J295" s="51">
        <v>400000</v>
      </c>
      <c r="K295" s="64">
        <f t="shared" ref="K295" si="21">J295*H295</f>
        <v>800000</v>
      </c>
      <c r="L295" s="46"/>
    </row>
    <row r="296" spans="2:12" x14ac:dyDescent="0.35">
      <c r="D296" s="22"/>
      <c r="E296" s="68"/>
      <c r="F296" s="68" t="s">
        <v>59</v>
      </c>
      <c r="G296" s="135" t="s">
        <v>250</v>
      </c>
      <c r="H296" s="92">
        <v>1</v>
      </c>
      <c r="I296" s="69" t="s">
        <v>63</v>
      </c>
      <c r="J296" s="51">
        <v>1032000</v>
      </c>
      <c r="K296" s="64"/>
      <c r="L296" s="46">
        <f t="shared" ref="L296" si="22">J296*H296</f>
        <v>1032000</v>
      </c>
    </row>
    <row r="297" spans="2:12" x14ac:dyDescent="0.35">
      <c r="B297" s="139"/>
      <c r="C297" s="239"/>
      <c r="D297" s="140"/>
      <c r="E297" s="129"/>
      <c r="F297" s="129"/>
      <c r="G297" s="131"/>
      <c r="I297" s="22"/>
      <c r="J297" s="61"/>
      <c r="K297" s="54"/>
      <c r="L297" s="46"/>
    </row>
    <row r="298" spans="2:12" x14ac:dyDescent="0.35">
      <c r="B298" s="70"/>
      <c r="C298" s="71"/>
      <c r="D298" s="110"/>
      <c r="E298" s="133"/>
      <c r="F298" s="133" t="s">
        <v>144</v>
      </c>
      <c r="G298" s="134"/>
      <c r="H298" s="141"/>
      <c r="I298" s="152"/>
      <c r="J298" s="51"/>
      <c r="K298" s="64"/>
      <c r="L298" s="46"/>
    </row>
    <row r="299" spans="2:12" x14ac:dyDescent="0.35">
      <c r="B299" s="139" t="s">
        <v>35</v>
      </c>
      <c r="C299" s="239"/>
      <c r="D299" s="140"/>
      <c r="E299" s="129" t="s">
        <v>66</v>
      </c>
      <c r="F299" s="129"/>
      <c r="G299" s="131"/>
      <c r="H299" s="141"/>
      <c r="I299" s="152"/>
      <c r="J299" s="51"/>
      <c r="K299" s="64"/>
      <c r="L299" s="46"/>
    </row>
    <row r="300" spans="2:12" x14ac:dyDescent="0.35">
      <c r="B300" s="70"/>
      <c r="C300" s="71" t="s">
        <v>68</v>
      </c>
      <c r="D300" s="110"/>
      <c r="E300" s="68"/>
      <c r="F300" s="68" t="s">
        <v>145</v>
      </c>
      <c r="G300" s="135"/>
      <c r="H300" s="92"/>
      <c r="I300" s="69"/>
      <c r="J300" s="61"/>
      <c r="K300" s="54"/>
      <c r="L300" s="46"/>
    </row>
    <row r="301" spans="2:12" x14ac:dyDescent="0.35">
      <c r="B301" s="70"/>
      <c r="C301" s="71"/>
      <c r="D301" s="110" t="s">
        <v>36</v>
      </c>
      <c r="E301" s="68"/>
      <c r="F301" s="68" t="s">
        <v>146</v>
      </c>
      <c r="G301" s="135"/>
      <c r="H301" s="92">
        <v>1</v>
      </c>
      <c r="I301" s="69" t="s">
        <v>62</v>
      </c>
      <c r="J301" s="51">
        <v>2250000</v>
      </c>
      <c r="K301" s="64">
        <f t="shared" ref="K301" si="23">J301*H301</f>
        <v>2250000</v>
      </c>
      <c r="L301" s="46"/>
    </row>
    <row r="302" spans="2:12" x14ac:dyDescent="0.35">
      <c r="B302" s="70"/>
      <c r="C302" s="71"/>
      <c r="D302" s="110"/>
      <c r="E302" s="68"/>
      <c r="F302" s="68" t="s">
        <v>59</v>
      </c>
      <c r="G302" s="135" t="s">
        <v>312</v>
      </c>
      <c r="H302" s="218">
        <v>5.6520000000000001</v>
      </c>
      <c r="I302" s="77" t="s">
        <v>67</v>
      </c>
      <c r="J302" s="51"/>
      <c r="K302" s="55"/>
      <c r="L302" s="46"/>
    </row>
    <row r="303" spans="2:12" x14ac:dyDescent="0.35">
      <c r="B303" s="70"/>
      <c r="C303" s="71"/>
      <c r="D303" s="110" t="s">
        <v>38</v>
      </c>
      <c r="E303" s="68"/>
      <c r="F303" s="68" t="s">
        <v>147</v>
      </c>
      <c r="G303" s="135"/>
      <c r="H303" s="92">
        <v>1</v>
      </c>
      <c r="I303" s="69" t="s">
        <v>62</v>
      </c>
      <c r="J303" s="199">
        <v>1750000</v>
      </c>
      <c r="K303" s="64">
        <f t="shared" ref="K303" si="24">J303*H303</f>
        <v>1750000</v>
      </c>
      <c r="L303" s="83"/>
    </row>
    <row r="304" spans="2:12" x14ac:dyDescent="0.35">
      <c r="B304" s="70"/>
      <c r="C304" s="71"/>
      <c r="D304" s="110"/>
      <c r="E304" s="68"/>
      <c r="F304" s="68" t="s">
        <v>59</v>
      </c>
      <c r="G304" s="135" t="s">
        <v>313</v>
      </c>
      <c r="H304" s="218">
        <v>4.9737599999999995</v>
      </c>
      <c r="I304" s="77" t="s">
        <v>67</v>
      </c>
      <c r="J304" s="51"/>
      <c r="K304" s="64"/>
      <c r="L304" s="46"/>
    </row>
    <row r="305" spans="2:12" x14ac:dyDescent="0.35">
      <c r="B305" s="70"/>
      <c r="C305" s="71"/>
      <c r="D305" s="110" t="s">
        <v>39</v>
      </c>
      <c r="E305" s="68"/>
      <c r="F305" s="68" t="s">
        <v>148</v>
      </c>
      <c r="G305" s="135"/>
      <c r="H305" s="92">
        <v>1</v>
      </c>
      <c r="I305" s="69" t="s">
        <v>62</v>
      </c>
      <c r="J305" s="72">
        <v>4000000</v>
      </c>
      <c r="K305" s="64">
        <f t="shared" ref="K305" si="25">J305*H305</f>
        <v>4000000</v>
      </c>
      <c r="L305" s="46"/>
    </row>
    <row r="306" spans="2:12" x14ac:dyDescent="0.35">
      <c r="B306" s="70"/>
      <c r="C306" s="71"/>
      <c r="D306" s="110"/>
      <c r="E306" s="68"/>
      <c r="F306" s="68" t="s">
        <v>59</v>
      </c>
      <c r="G306" s="135" t="s">
        <v>314</v>
      </c>
      <c r="H306" s="218">
        <v>6.52806</v>
      </c>
      <c r="I306" s="77" t="s">
        <v>67</v>
      </c>
      <c r="J306" s="213"/>
      <c r="K306" s="86"/>
      <c r="L306" s="87"/>
    </row>
    <row r="307" spans="2:12" x14ac:dyDescent="0.35">
      <c r="B307" s="70"/>
      <c r="C307" s="71" t="s">
        <v>69</v>
      </c>
      <c r="D307" s="110"/>
      <c r="E307" s="68"/>
      <c r="F307" s="68" t="s">
        <v>149</v>
      </c>
      <c r="G307" s="135"/>
      <c r="H307" s="92"/>
      <c r="I307" s="69"/>
      <c r="J307" s="213"/>
      <c r="K307" s="86"/>
      <c r="L307" s="87"/>
    </row>
    <row r="308" spans="2:12" x14ac:dyDescent="0.35">
      <c r="B308" s="70"/>
      <c r="C308" s="71"/>
      <c r="D308" s="110" t="s">
        <v>36</v>
      </c>
      <c r="E308" s="68"/>
      <c r="F308" s="68" t="s">
        <v>150</v>
      </c>
      <c r="G308" s="135"/>
      <c r="H308" s="92">
        <v>1</v>
      </c>
      <c r="I308" s="69" t="s">
        <v>62</v>
      </c>
      <c r="J308" s="213">
        <v>3000000</v>
      </c>
      <c r="K308" s="64">
        <f t="shared" ref="K308" si="26">J308*H308</f>
        <v>3000000</v>
      </c>
      <c r="L308" s="87"/>
    </row>
    <row r="309" spans="2:12" x14ac:dyDescent="0.35">
      <c r="B309" s="70"/>
      <c r="C309" s="71"/>
      <c r="D309" s="110"/>
      <c r="E309" s="68"/>
      <c r="F309" s="68" t="s">
        <v>59</v>
      </c>
      <c r="G309" s="135" t="s">
        <v>315</v>
      </c>
      <c r="H309" s="218">
        <v>50.803200000000004</v>
      </c>
      <c r="I309" s="77" t="s">
        <v>67</v>
      </c>
      <c r="J309" s="103">
        <v>37000</v>
      </c>
      <c r="K309" s="86"/>
      <c r="L309" s="87"/>
    </row>
    <row r="310" spans="2:12" x14ac:dyDescent="0.35">
      <c r="B310" s="70"/>
      <c r="C310" s="71"/>
      <c r="D310" s="110"/>
      <c r="E310" s="68"/>
      <c r="F310" s="68" t="s">
        <v>59</v>
      </c>
      <c r="G310" s="135" t="s">
        <v>316</v>
      </c>
      <c r="H310" s="218">
        <v>11.2728</v>
      </c>
      <c r="I310" s="90" t="s">
        <v>67</v>
      </c>
      <c r="J310" s="222">
        <v>30000</v>
      </c>
      <c r="K310" s="88"/>
      <c r="L310" s="87"/>
    </row>
    <row r="311" spans="2:12" x14ac:dyDescent="0.35">
      <c r="B311" s="70"/>
      <c r="C311" s="71"/>
      <c r="D311" s="110" t="s">
        <v>38</v>
      </c>
      <c r="E311" s="68"/>
      <c r="F311" s="68" t="s">
        <v>151</v>
      </c>
      <c r="G311" s="135"/>
      <c r="H311" s="145" t="s">
        <v>509</v>
      </c>
      <c r="I311" s="89" t="s">
        <v>62</v>
      </c>
      <c r="J311" s="88">
        <v>750000</v>
      </c>
      <c r="K311" s="64">
        <f t="shared" ref="K311" si="27">J311*H311</f>
        <v>750000</v>
      </c>
      <c r="L311" s="46"/>
    </row>
    <row r="312" spans="2:12" x14ac:dyDescent="0.35">
      <c r="B312" s="70"/>
      <c r="C312" s="71"/>
      <c r="D312" s="110"/>
      <c r="E312" s="68"/>
      <c r="F312" s="68" t="s">
        <v>59</v>
      </c>
      <c r="G312" s="135" t="s">
        <v>317</v>
      </c>
      <c r="H312" s="218">
        <v>10.851839999999997</v>
      </c>
      <c r="I312" s="90" t="s">
        <v>67</v>
      </c>
      <c r="J312" s="223">
        <v>30000</v>
      </c>
      <c r="K312" s="88"/>
      <c r="L312" s="46"/>
    </row>
    <row r="313" spans="2:12" x14ac:dyDescent="0.35">
      <c r="B313" s="70"/>
      <c r="C313" s="71"/>
      <c r="D313" s="110"/>
      <c r="E313" s="68"/>
      <c r="F313" s="68" t="s">
        <v>59</v>
      </c>
      <c r="G313" s="135" t="s">
        <v>318</v>
      </c>
      <c r="H313" s="215">
        <v>8.2943999999999996</v>
      </c>
      <c r="I313" s="90" t="s">
        <v>67</v>
      </c>
      <c r="J313" s="223">
        <v>19000</v>
      </c>
      <c r="K313" s="88"/>
      <c r="L313" s="46"/>
    </row>
    <row r="314" spans="2:12" x14ac:dyDescent="0.35">
      <c r="B314" s="70"/>
      <c r="C314" s="71"/>
      <c r="D314" s="110" t="s">
        <v>39</v>
      </c>
      <c r="E314" s="68"/>
      <c r="F314" s="68" t="s">
        <v>319</v>
      </c>
      <c r="G314" s="135"/>
      <c r="H314" s="145" t="s">
        <v>509</v>
      </c>
      <c r="I314" s="89" t="s">
        <v>62</v>
      </c>
      <c r="J314" s="88">
        <v>500000</v>
      </c>
      <c r="K314" s="64">
        <f t="shared" ref="K314" si="28">J314*H314</f>
        <v>500000</v>
      </c>
      <c r="L314" s="46"/>
    </row>
    <row r="315" spans="2:12" x14ac:dyDescent="0.35">
      <c r="B315" s="79"/>
      <c r="C315" s="58"/>
      <c r="D315" s="93"/>
      <c r="E315" s="59"/>
      <c r="F315" s="59" t="s">
        <v>59</v>
      </c>
      <c r="G315" s="60" t="s">
        <v>320</v>
      </c>
      <c r="H315" s="218">
        <v>7.0649999999999986</v>
      </c>
      <c r="I315" s="91" t="s">
        <v>67</v>
      </c>
      <c r="J315" s="88"/>
      <c r="K315" s="88"/>
      <c r="L315" s="46"/>
    </row>
    <row r="316" spans="2:12" x14ac:dyDescent="0.35">
      <c r="B316" s="70"/>
      <c r="C316" s="71"/>
      <c r="D316" s="110"/>
      <c r="E316" s="68"/>
      <c r="F316" s="68" t="s">
        <v>59</v>
      </c>
      <c r="G316" s="135" t="s">
        <v>321</v>
      </c>
      <c r="H316" s="215">
        <v>1</v>
      </c>
      <c r="I316" s="90" t="s">
        <v>58</v>
      </c>
      <c r="J316" s="50"/>
      <c r="K316" s="29"/>
      <c r="L316" s="51"/>
    </row>
    <row r="317" spans="2:12" x14ac:dyDescent="0.35">
      <c r="B317" s="70"/>
      <c r="C317" s="71"/>
      <c r="D317" s="110" t="s">
        <v>40</v>
      </c>
      <c r="E317" s="68"/>
      <c r="F317" s="68" t="s">
        <v>322</v>
      </c>
      <c r="G317" s="135"/>
      <c r="H317" s="145" t="s">
        <v>509</v>
      </c>
      <c r="I317" s="89" t="s">
        <v>62</v>
      </c>
      <c r="J317" s="50">
        <v>1500000</v>
      </c>
      <c r="K317" s="64">
        <f t="shared" ref="K317" si="29">J317*H317</f>
        <v>1500000</v>
      </c>
      <c r="L317" s="51"/>
    </row>
    <row r="318" spans="2:12" x14ac:dyDescent="0.35">
      <c r="B318" s="70"/>
      <c r="C318" s="71"/>
      <c r="D318" s="110"/>
      <c r="E318" s="68"/>
      <c r="F318" s="68" t="s">
        <v>59</v>
      </c>
      <c r="G318" s="135" t="s">
        <v>323</v>
      </c>
      <c r="H318" s="224">
        <v>36.738</v>
      </c>
      <c r="I318" s="90" t="s">
        <v>67</v>
      </c>
      <c r="J318" s="225">
        <v>30000</v>
      </c>
      <c r="K318" s="29"/>
      <c r="L318" s="51"/>
    </row>
    <row r="319" spans="2:12" x14ac:dyDescent="0.35">
      <c r="B319" s="79"/>
      <c r="C319" s="58" t="s">
        <v>152</v>
      </c>
      <c r="D319" s="93"/>
      <c r="E319" s="59"/>
      <c r="F319" s="59" t="s">
        <v>153</v>
      </c>
      <c r="G319" s="60"/>
      <c r="H319" s="92"/>
      <c r="I319" s="59"/>
      <c r="J319" s="46"/>
      <c r="K319" s="46"/>
      <c r="L319" s="81"/>
    </row>
    <row r="320" spans="2:12" x14ac:dyDescent="0.35">
      <c r="B320" s="79"/>
      <c r="C320" s="58"/>
      <c r="D320" s="93" t="s">
        <v>36</v>
      </c>
      <c r="E320" s="59"/>
      <c r="F320" s="59" t="s">
        <v>154</v>
      </c>
      <c r="G320" s="60"/>
      <c r="H320" s="92">
        <v>1</v>
      </c>
      <c r="I320" s="59" t="s">
        <v>62</v>
      </c>
      <c r="J320" s="64">
        <v>2000000</v>
      </c>
      <c r="K320" s="64">
        <f t="shared" ref="K320" si="30">J320*H320</f>
        <v>2000000</v>
      </c>
      <c r="L320" s="46"/>
    </row>
    <row r="321" spans="2:12" x14ac:dyDescent="0.35">
      <c r="B321" s="79"/>
      <c r="C321" s="58"/>
      <c r="D321" s="93"/>
      <c r="E321" s="59"/>
      <c r="F321" s="59" t="s">
        <v>59</v>
      </c>
      <c r="G321" s="60" t="s">
        <v>155</v>
      </c>
      <c r="H321" s="215">
        <v>4600</v>
      </c>
      <c r="I321" s="91" t="s">
        <v>64</v>
      </c>
      <c r="J321" s="64"/>
      <c r="K321" s="64"/>
      <c r="L321" s="46"/>
    </row>
    <row r="322" spans="2:12" x14ac:dyDescent="0.35">
      <c r="B322" s="79"/>
      <c r="C322" s="58"/>
      <c r="D322" s="93"/>
      <c r="E322" s="59"/>
      <c r="F322" s="59" t="s">
        <v>59</v>
      </c>
      <c r="G322" s="60" t="s">
        <v>324</v>
      </c>
      <c r="H322" s="218">
        <v>1.6270223999999995</v>
      </c>
      <c r="I322" s="91" t="s">
        <v>67</v>
      </c>
      <c r="J322" s="64"/>
      <c r="K322" s="64"/>
      <c r="L322" s="46"/>
    </row>
    <row r="323" spans="2:12" x14ac:dyDescent="0.35">
      <c r="B323" s="79"/>
      <c r="C323" s="58"/>
      <c r="D323" s="93"/>
      <c r="E323" s="59"/>
      <c r="F323" s="59" t="s">
        <v>59</v>
      </c>
      <c r="G323" s="60" t="s">
        <v>325</v>
      </c>
      <c r="H323" s="218">
        <v>3.2540447999999991</v>
      </c>
      <c r="I323" s="91" t="s">
        <v>67</v>
      </c>
      <c r="J323" s="64"/>
      <c r="K323" s="64"/>
      <c r="L323" s="46"/>
    </row>
    <row r="324" spans="2:12" x14ac:dyDescent="0.35">
      <c r="B324" s="79"/>
      <c r="C324" s="58"/>
      <c r="D324" s="93" t="s">
        <v>38</v>
      </c>
      <c r="E324" s="59"/>
      <c r="F324" s="59" t="s">
        <v>156</v>
      </c>
      <c r="G324" s="60"/>
      <c r="H324" s="92">
        <v>1</v>
      </c>
      <c r="I324" s="89" t="s">
        <v>62</v>
      </c>
      <c r="J324" s="64">
        <v>1500000</v>
      </c>
      <c r="K324" s="64">
        <f t="shared" ref="K324" si="31">J324*H324</f>
        <v>1500000</v>
      </c>
      <c r="L324" s="46"/>
    </row>
    <row r="325" spans="2:12" x14ac:dyDescent="0.35">
      <c r="B325" s="79"/>
      <c r="C325" s="58"/>
      <c r="D325" s="93"/>
      <c r="E325" s="59"/>
      <c r="F325" s="59" t="s">
        <v>59</v>
      </c>
      <c r="G325" s="60" t="s">
        <v>155</v>
      </c>
      <c r="H325" s="215">
        <v>4600</v>
      </c>
      <c r="I325" s="91" t="s">
        <v>64</v>
      </c>
      <c r="J325" s="64"/>
      <c r="K325" s="64"/>
      <c r="L325" s="46"/>
    </row>
    <row r="326" spans="2:12" x14ac:dyDescent="0.35">
      <c r="B326" s="79"/>
      <c r="C326" s="58"/>
      <c r="D326" s="93" t="s">
        <v>39</v>
      </c>
      <c r="E326" s="59"/>
      <c r="F326" s="59" t="s">
        <v>157</v>
      </c>
      <c r="G326" s="60"/>
      <c r="H326" s="92">
        <v>1</v>
      </c>
      <c r="I326" s="60" t="s">
        <v>62</v>
      </c>
      <c r="J326" s="72">
        <v>2500000</v>
      </c>
      <c r="K326" s="64">
        <f t="shared" ref="K326" si="32">J326*H326</f>
        <v>2500000</v>
      </c>
      <c r="L326" s="46"/>
    </row>
    <row r="327" spans="2:12" x14ac:dyDescent="0.35">
      <c r="B327" s="79"/>
      <c r="C327" s="58"/>
      <c r="D327" s="93"/>
      <c r="E327" s="59"/>
      <c r="F327" s="59" t="s">
        <v>59</v>
      </c>
      <c r="G327" s="60" t="s">
        <v>155</v>
      </c>
      <c r="H327" s="224">
        <v>4600</v>
      </c>
      <c r="I327" s="77" t="s">
        <v>64</v>
      </c>
      <c r="J327" s="61"/>
      <c r="K327" s="54"/>
      <c r="L327" s="46"/>
    </row>
    <row r="328" spans="2:12" x14ac:dyDescent="0.35">
      <c r="B328" s="79"/>
      <c r="C328" s="58"/>
      <c r="D328" s="93"/>
      <c r="E328" s="59"/>
      <c r="F328" s="59" t="s">
        <v>59</v>
      </c>
      <c r="G328" s="60" t="s">
        <v>326</v>
      </c>
      <c r="H328" s="224">
        <v>1</v>
      </c>
      <c r="I328" s="63" t="s">
        <v>63</v>
      </c>
      <c r="J328" s="72"/>
      <c r="K328" s="64"/>
      <c r="L328" s="46"/>
    </row>
    <row r="329" spans="2:12" x14ac:dyDescent="0.35">
      <c r="B329" s="79"/>
      <c r="C329" s="58"/>
      <c r="D329" s="93" t="s">
        <v>40</v>
      </c>
      <c r="E329" s="59"/>
      <c r="F329" s="59" t="s">
        <v>158</v>
      </c>
      <c r="G329" s="60"/>
      <c r="H329" s="145">
        <v>1</v>
      </c>
      <c r="I329" s="60" t="s">
        <v>62</v>
      </c>
      <c r="J329" s="72">
        <v>1300000</v>
      </c>
      <c r="K329" s="64">
        <f t="shared" ref="K329" si="33">J329*H329</f>
        <v>1300000</v>
      </c>
      <c r="L329" s="46"/>
    </row>
    <row r="330" spans="2:12" x14ac:dyDescent="0.35">
      <c r="B330" s="79"/>
      <c r="C330" s="58"/>
      <c r="D330" s="93"/>
      <c r="E330" s="59"/>
      <c r="F330" s="59" t="s">
        <v>59</v>
      </c>
      <c r="G330" s="60" t="s">
        <v>155</v>
      </c>
      <c r="H330" s="224">
        <v>4600</v>
      </c>
      <c r="I330" s="77" t="s">
        <v>64</v>
      </c>
      <c r="J330" s="72"/>
      <c r="K330" s="64"/>
      <c r="L330" s="46"/>
    </row>
    <row r="331" spans="2:12" x14ac:dyDescent="0.35">
      <c r="B331" s="79"/>
      <c r="C331" s="58" t="s">
        <v>159</v>
      </c>
      <c r="D331" s="93"/>
      <c r="E331" s="59"/>
      <c r="F331" s="59" t="s">
        <v>160</v>
      </c>
      <c r="G331" s="60"/>
      <c r="H331" s="145"/>
      <c r="I331" s="60"/>
      <c r="J331" s="72"/>
      <c r="K331" s="64"/>
      <c r="L331" s="46"/>
    </row>
    <row r="332" spans="2:12" x14ac:dyDescent="0.35">
      <c r="B332" s="79"/>
      <c r="C332" s="58"/>
      <c r="D332" s="93" t="s">
        <v>36</v>
      </c>
      <c r="E332" s="59"/>
      <c r="F332" s="59" t="s">
        <v>514</v>
      </c>
      <c r="G332" s="60"/>
      <c r="H332" s="92">
        <v>1</v>
      </c>
      <c r="I332" s="60" t="s">
        <v>62</v>
      </c>
      <c r="J332" s="72">
        <v>14725000</v>
      </c>
      <c r="K332" s="64">
        <f t="shared" ref="K332" si="34">J332*H332</f>
        <v>14725000</v>
      </c>
      <c r="L332" s="46"/>
    </row>
    <row r="333" spans="2:12" x14ac:dyDescent="0.35">
      <c r="B333" s="79"/>
      <c r="C333" s="58"/>
      <c r="D333" s="93"/>
      <c r="E333" s="59"/>
      <c r="F333" s="59" t="s">
        <v>59</v>
      </c>
      <c r="G333" s="60" t="s">
        <v>327</v>
      </c>
      <c r="H333" s="215">
        <v>1060</v>
      </c>
      <c r="I333" s="77" t="s">
        <v>64</v>
      </c>
      <c r="J333" s="72"/>
      <c r="K333" s="64"/>
      <c r="L333" s="46"/>
    </row>
    <row r="334" spans="2:12" x14ac:dyDescent="0.35">
      <c r="B334" s="79"/>
      <c r="C334" s="58"/>
      <c r="D334" s="93"/>
      <c r="E334" s="59"/>
      <c r="F334" s="59" t="s">
        <v>59</v>
      </c>
      <c r="G334" s="60" t="s">
        <v>328</v>
      </c>
      <c r="H334" s="215">
        <v>2540</v>
      </c>
      <c r="I334" s="63" t="s">
        <v>64</v>
      </c>
      <c r="J334" s="72"/>
      <c r="K334" s="64"/>
      <c r="L334" s="46"/>
    </row>
    <row r="335" spans="2:12" x14ac:dyDescent="0.35">
      <c r="B335" s="79"/>
      <c r="C335" s="58" t="s">
        <v>329</v>
      </c>
      <c r="D335" s="93"/>
      <c r="E335" s="59"/>
      <c r="F335" s="59" t="s">
        <v>161</v>
      </c>
      <c r="G335" s="60"/>
      <c r="H335" s="92"/>
      <c r="I335" s="69"/>
      <c r="J335" s="72"/>
      <c r="K335" s="64"/>
      <c r="L335" s="46"/>
    </row>
    <row r="336" spans="2:12" x14ac:dyDescent="0.35">
      <c r="B336" s="79"/>
      <c r="C336" s="58"/>
      <c r="D336" s="93" t="s">
        <v>36</v>
      </c>
      <c r="E336" s="59"/>
      <c r="F336" s="59" t="s">
        <v>162</v>
      </c>
      <c r="G336" s="60"/>
      <c r="H336" s="92"/>
      <c r="I336" s="60"/>
      <c r="J336" s="56"/>
      <c r="K336" s="56"/>
      <c r="L336" s="46"/>
    </row>
    <row r="337" spans="2:12" x14ac:dyDescent="0.35">
      <c r="B337" s="79"/>
      <c r="C337" s="58"/>
      <c r="D337" s="93"/>
      <c r="E337" s="59"/>
      <c r="F337" s="59" t="s">
        <v>59</v>
      </c>
      <c r="G337" s="60" t="s">
        <v>330</v>
      </c>
      <c r="H337" s="143">
        <v>48.575800000000001</v>
      </c>
      <c r="I337" s="60" t="s">
        <v>67</v>
      </c>
      <c r="J337" s="56">
        <v>30000</v>
      </c>
      <c r="K337" s="56"/>
      <c r="L337" s="46">
        <v>1457400</v>
      </c>
    </row>
    <row r="338" spans="2:12" x14ac:dyDescent="0.35">
      <c r="B338" s="79"/>
      <c r="C338" s="58"/>
      <c r="D338" s="93"/>
      <c r="E338" s="59"/>
      <c r="F338" s="59"/>
      <c r="G338" s="60"/>
      <c r="H338" s="143"/>
      <c r="I338" s="60"/>
      <c r="J338" s="56"/>
      <c r="K338" s="56"/>
      <c r="L338" s="46"/>
    </row>
    <row r="339" spans="2:12" x14ac:dyDescent="0.35">
      <c r="B339" s="79"/>
      <c r="C339" s="58"/>
      <c r="D339" s="93"/>
      <c r="E339" s="59"/>
      <c r="F339" s="59"/>
      <c r="G339" s="60"/>
      <c r="H339" s="143"/>
      <c r="I339" s="69"/>
      <c r="J339" s="56"/>
      <c r="K339" s="72"/>
      <c r="L339" s="46"/>
    </row>
    <row r="340" spans="2:12" x14ac:dyDescent="0.35">
      <c r="B340" s="8"/>
      <c r="C340" s="9"/>
      <c r="D340" s="10"/>
      <c r="E340" s="4"/>
      <c r="F340" s="4"/>
      <c r="G340" s="4"/>
      <c r="H340" s="1"/>
      <c r="I340" s="1"/>
      <c r="J340" s="11" t="s">
        <v>8</v>
      </c>
      <c r="K340" s="7">
        <f>SUM(K287:K339)</f>
        <v>36575000</v>
      </c>
      <c r="L340" s="7">
        <f>SUM(L287:L339)</f>
        <v>8107200</v>
      </c>
    </row>
    <row r="341" spans="2:12" x14ac:dyDescent="0.35">
      <c r="B341" s="8"/>
      <c r="C341" s="9"/>
      <c r="D341" s="9"/>
      <c r="E341" s="4"/>
      <c r="F341" s="4"/>
      <c r="G341" s="4"/>
      <c r="H341" s="1"/>
      <c r="I341" s="1"/>
      <c r="J341" s="11"/>
      <c r="K341" s="35" t="s">
        <v>15</v>
      </c>
      <c r="L341" s="36" t="s">
        <v>16</v>
      </c>
    </row>
    <row r="342" spans="2:12" x14ac:dyDescent="0.35">
      <c r="B342" s="3" t="s">
        <v>9</v>
      </c>
      <c r="C342" s="4"/>
      <c r="D342" s="4"/>
      <c r="E342" s="4"/>
      <c r="F342" s="4"/>
      <c r="G342" s="4"/>
      <c r="H342" s="1"/>
      <c r="I342" s="1"/>
      <c r="J342" s="12"/>
      <c r="K342" s="12"/>
      <c r="L342" s="13"/>
    </row>
    <row r="343" spans="2:12" x14ac:dyDescent="0.35">
      <c r="B343" s="37"/>
      <c r="C343" s="1"/>
      <c r="D343" s="1"/>
      <c r="E343" s="38"/>
      <c r="F343" s="38"/>
      <c r="G343" s="38"/>
      <c r="H343" s="1"/>
      <c r="I343" s="1"/>
      <c r="J343" s="1"/>
      <c r="K343" s="1"/>
      <c r="L343" s="19"/>
    </row>
    <row r="344" spans="2:12" x14ac:dyDescent="0.35">
      <c r="B344" s="28" t="s">
        <v>6</v>
      </c>
      <c r="C344" s="27"/>
      <c r="D344" s="27"/>
      <c r="E344" s="26"/>
      <c r="F344" s="26"/>
      <c r="G344" s="5"/>
      <c r="K344" s="287" t="str">
        <f>K277</f>
        <v>Balikpapan, 17 November 2025</v>
      </c>
      <c r="L344" s="288"/>
    </row>
    <row r="345" spans="2:12" x14ac:dyDescent="0.35">
      <c r="B345" s="28">
        <v>1</v>
      </c>
      <c r="C345" s="27"/>
      <c r="D345" s="27"/>
      <c r="E345" s="26" t="s">
        <v>7</v>
      </c>
      <c r="F345" s="26"/>
      <c r="G345" s="5"/>
      <c r="K345" s="287" t="s">
        <v>20</v>
      </c>
      <c r="L345" s="288"/>
    </row>
    <row r="346" spans="2:12" x14ac:dyDescent="0.35">
      <c r="B346" s="39"/>
      <c r="C346" s="27"/>
      <c r="D346" s="27"/>
      <c r="E346" s="26"/>
      <c r="F346" s="26"/>
      <c r="G346" s="5"/>
      <c r="J346" s="25"/>
      <c r="K346" s="25"/>
      <c r="L346" s="24"/>
    </row>
    <row r="347" spans="2:12" x14ac:dyDescent="0.35">
      <c r="B347" s="28"/>
      <c r="C347" s="27"/>
      <c r="D347" s="27"/>
      <c r="E347" s="26"/>
      <c r="F347" s="26"/>
      <c r="G347" s="5"/>
      <c r="L347" s="22"/>
    </row>
    <row r="348" spans="2:12" x14ac:dyDescent="0.35">
      <c r="B348" s="45"/>
      <c r="E348" s="5"/>
      <c r="F348" s="5"/>
      <c r="G348" s="5"/>
      <c r="L348" s="22"/>
    </row>
    <row r="349" spans="2:12" x14ac:dyDescent="0.35">
      <c r="B349" s="45"/>
      <c r="E349" s="5"/>
      <c r="F349" s="5"/>
      <c r="G349" s="5"/>
      <c r="L349" s="22"/>
    </row>
    <row r="350" spans="2:12" x14ac:dyDescent="0.35">
      <c r="B350" s="45"/>
      <c r="E350" s="5"/>
      <c r="F350" s="5"/>
      <c r="G350" s="5"/>
      <c r="L350" s="22"/>
    </row>
    <row r="351" spans="2:12" x14ac:dyDescent="0.35">
      <c r="B351" s="45"/>
      <c r="E351" s="5"/>
      <c r="F351" s="5"/>
      <c r="G351" s="5"/>
      <c r="J351" s="40"/>
      <c r="K351" s="289" t="s">
        <v>28</v>
      </c>
      <c r="L351" s="290"/>
    </row>
    <row r="352" spans="2:12" x14ac:dyDescent="0.35">
      <c r="B352" s="45"/>
      <c r="K352" s="291" t="s">
        <v>29</v>
      </c>
      <c r="L352" s="292"/>
    </row>
    <row r="353" spans="2:12" x14ac:dyDescent="0.35">
      <c r="B353" s="278"/>
      <c r="C353" s="279"/>
      <c r="D353" s="279"/>
      <c r="E353" s="41"/>
      <c r="F353" s="41"/>
      <c r="G353" s="41"/>
      <c r="H353" s="2"/>
      <c r="I353" s="2"/>
      <c r="J353" s="2"/>
      <c r="K353" s="2"/>
      <c r="L353" s="21"/>
    </row>
    <row r="354" spans="2:12" x14ac:dyDescent="0.35">
      <c r="B354" s="47"/>
      <c r="C354" s="48"/>
      <c r="D354" s="49"/>
      <c r="G354" s="22"/>
      <c r="H354" s="1"/>
      <c r="I354" s="1"/>
      <c r="J354" s="43"/>
      <c r="K354" s="30"/>
      <c r="L354" s="44"/>
    </row>
    <row r="355" spans="2:12" x14ac:dyDescent="0.35">
      <c r="B355" s="79"/>
      <c r="C355" s="58"/>
      <c r="D355" s="93"/>
      <c r="E355" s="59"/>
      <c r="F355" s="59" t="s">
        <v>59</v>
      </c>
      <c r="G355" s="60" t="s">
        <v>331</v>
      </c>
      <c r="H355" s="143">
        <v>8.1765599999999985</v>
      </c>
      <c r="I355" s="69" t="s">
        <v>67</v>
      </c>
      <c r="J355" s="56">
        <v>30000</v>
      </c>
      <c r="K355" s="72"/>
      <c r="L355" s="46">
        <v>245400</v>
      </c>
    </row>
    <row r="356" spans="2:12" x14ac:dyDescent="0.35">
      <c r="B356" s="79"/>
      <c r="C356" s="58"/>
      <c r="D356" s="93"/>
      <c r="E356" s="59"/>
      <c r="F356" s="59" t="s">
        <v>59</v>
      </c>
      <c r="G356" s="60" t="s">
        <v>332</v>
      </c>
      <c r="H356" s="143">
        <v>11.447184</v>
      </c>
      <c r="I356" s="60" t="s">
        <v>67</v>
      </c>
      <c r="J356" s="56">
        <v>30000</v>
      </c>
      <c r="K356" s="54"/>
      <c r="L356" s="46">
        <v>343500</v>
      </c>
    </row>
    <row r="357" spans="2:12" x14ac:dyDescent="0.35">
      <c r="B357" s="79"/>
      <c r="C357" s="58"/>
      <c r="D357" s="93"/>
      <c r="E357" s="59"/>
      <c r="F357" s="59" t="s">
        <v>59</v>
      </c>
      <c r="G357" s="60" t="s">
        <v>333</v>
      </c>
      <c r="H357" s="143">
        <v>19.668959999999998</v>
      </c>
      <c r="I357" s="60" t="s">
        <v>67</v>
      </c>
      <c r="J357" s="56">
        <v>30000</v>
      </c>
      <c r="K357" s="56"/>
      <c r="L357" s="46">
        <v>590100</v>
      </c>
    </row>
    <row r="358" spans="2:12" x14ac:dyDescent="0.35">
      <c r="B358" s="79"/>
      <c r="C358" s="58"/>
      <c r="D358" s="93"/>
      <c r="E358" s="59"/>
      <c r="F358" s="59" t="s">
        <v>59</v>
      </c>
      <c r="G358" s="60" t="s">
        <v>334</v>
      </c>
      <c r="H358" s="143">
        <v>40.003599999999999</v>
      </c>
      <c r="I358" s="60" t="s">
        <v>67</v>
      </c>
      <c r="J358" s="56">
        <v>30000</v>
      </c>
      <c r="K358" s="57"/>
      <c r="L358" s="46">
        <v>1200000</v>
      </c>
    </row>
    <row r="359" spans="2:12" x14ac:dyDescent="0.35">
      <c r="B359" s="79"/>
      <c r="C359" s="58"/>
      <c r="D359" s="93"/>
      <c r="E359" s="59"/>
      <c r="F359" s="59"/>
      <c r="G359" s="60" t="s">
        <v>335</v>
      </c>
      <c r="H359" s="143">
        <f>0.29*0.6*8*7.85*2*1.2</f>
        <v>26.225279999999998</v>
      </c>
      <c r="I359" s="60" t="s">
        <v>67</v>
      </c>
      <c r="J359" s="56">
        <v>30000</v>
      </c>
      <c r="K359" s="56"/>
      <c r="L359" s="46">
        <v>786900</v>
      </c>
    </row>
    <row r="360" spans="2:12" x14ac:dyDescent="0.35">
      <c r="B360" s="79"/>
      <c r="C360" s="58"/>
      <c r="D360" s="93"/>
      <c r="E360" s="59"/>
      <c r="F360" s="59" t="s">
        <v>59</v>
      </c>
      <c r="G360" s="60" t="s">
        <v>336</v>
      </c>
      <c r="H360" s="143">
        <v>0.13564799999999999</v>
      </c>
      <c r="I360" s="60" t="s">
        <v>67</v>
      </c>
      <c r="J360" s="56">
        <v>30000</v>
      </c>
      <c r="K360" s="64"/>
      <c r="L360" s="46">
        <v>4200</v>
      </c>
    </row>
    <row r="361" spans="2:12" x14ac:dyDescent="0.35">
      <c r="B361" s="79"/>
      <c r="C361" s="58"/>
      <c r="D361" s="93"/>
      <c r="E361" s="59"/>
      <c r="F361" s="59" t="s">
        <v>59</v>
      </c>
      <c r="G361" s="60" t="s">
        <v>337</v>
      </c>
      <c r="H361" s="92">
        <v>1</v>
      </c>
      <c r="I361" s="60" t="s">
        <v>37</v>
      </c>
      <c r="J361" s="51">
        <v>8550000</v>
      </c>
      <c r="K361" s="64">
        <f t="shared" ref="K361:K362" si="35">J361*H361</f>
        <v>8550000</v>
      </c>
      <c r="L361" s="46"/>
    </row>
    <row r="362" spans="2:12" x14ac:dyDescent="0.35">
      <c r="B362" s="79"/>
      <c r="C362" s="58"/>
      <c r="D362" s="93"/>
      <c r="E362" s="59"/>
      <c r="F362" s="59" t="s">
        <v>59</v>
      </c>
      <c r="G362" s="60" t="s">
        <v>338</v>
      </c>
      <c r="H362" s="92">
        <v>1</v>
      </c>
      <c r="I362" s="60" t="s">
        <v>62</v>
      </c>
      <c r="J362" s="61">
        <v>2500000</v>
      </c>
      <c r="K362" s="64">
        <f t="shared" si="35"/>
        <v>2500000</v>
      </c>
      <c r="L362" s="46"/>
    </row>
    <row r="363" spans="2:12" x14ac:dyDescent="0.35">
      <c r="B363" s="79"/>
      <c r="C363" s="58"/>
      <c r="D363" s="93" t="s">
        <v>38</v>
      </c>
      <c r="E363" s="59"/>
      <c r="F363" s="59" t="s">
        <v>163</v>
      </c>
      <c r="G363" s="60"/>
      <c r="H363" s="92"/>
      <c r="I363" s="60"/>
      <c r="J363" s="51"/>
      <c r="K363" s="64"/>
      <c r="L363" s="46"/>
    </row>
    <row r="364" spans="2:12" x14ac:dyDescent="0.35">
      <c r="B364" s="79"/>
      <c r="C364" s="58"/>
      <c r="D364" s="93"/>
      <c r="E364" s="59"/>
      <c r="F364" s="59" t="s">
        <v>59</v>
      </c>
      <c r="G364" s="60" t="s">
        <v>339</v>
      </c>
      <c r="H364" s="143">
        <v>67.823999999999998</v>
      </c>
      <c r="I364" s="69" t="s">
        <v>67</v>
      </c>
      <c r="J364" s="51">
        <v>30000</v>
      </c>
      <c r="K364" s="64"/>
      <c r="L364" s="46">
        <v>2034599.9999999998</v>
      </c>
    </row>
    <row r="365" spans="2:12" x14ac:dyDescent="0.35">
      <c r="B365" s="79"/>
      <c r="C365" s="58"/>
      <c r="D365" s="93"/>
      <c r="E365" s="59"/>
      <c r="F365" s="59" t="s">
        <v>59</v>
      </c>
      <c r="G365" s="60" t="s">
        <v>340</v>
      </c>
      <c r="H365" s="153">
        <v>48.607199999999992</v>
      </c>
      <c r="I365" s="60" t="s">
        <v>67</v>
      </c>
      <c r="J365" s="51">
        <v>30000</v>
      </c>
      <c r="K365" s="54"/>
      <c r="L365" s="46">
        <v>1458300</v>
      </c>
    </row>
    <row r="366" spans="2:12" x14ac:dyDescent="0.35">
      <c r="B366" s="79"/>
      <c r="C366" s="58"/>
      <c r="D366" s="93"/>
      <c r="E366" s="59"/>
      <c r="F366" s="59" t="s">
        <v>59</v>
      </c>
      <c r="G366" s="60" t="s">
        <v>341</v>
      </c>
      <c r="H366" s="143">
        <v>51.602759999999996</v>
      </c>
      <c r="I366" s="60" t="s">
        <v>67</v>
      </c>
      <c r="J366" s="51">
        <v>30000</v>
      </c>
      <c r="K366" s="64"/>
      <c r="L366" s="46">
        <v>1548000</v>
      </c>
    </row>
    <row r="367" spans="2:12" x14ac:dyDescent="0.35">
      <c r="B367" s="79"/>
      <c r="C367" s="58"/>
      <c r="D367" s="93"/>
      <c r="E367" s="59"/>
      <c r="F367" s="59" t="s">
        <v>59</v>
      </c>
      <c r="G367" s="60" t="s">
        <v>342</v>
      </c>
      <c r="H367" s="143">
        <v>27.694800000000001</v>
      </c>
      <c r="I367" s="60" t="s">
        <v>67</v>
      </c>
      <c r="J367" s="51">
        <v>30000</v>
      </c>
      <c r="K367" s="55"/>
      <c r="L367" s="46">
        <v>830700</v>
      </c>
    </row>
    <row r="368" spans="2:12" x14ac:dyDescent="0.35">
      <c r="B368" s="79"/>
      <c r="C368" s="58"/>
      <c r="D368" s="93"/>
      <c r="E368" s="59"/>
      <c r="F368" s="59" t="s">
        <v>59</v>
      </c>
      <c r="G368" s="60" t="s">
        <v>164</v>
      </c>
      <c r="H368" s="145">
        <v>1</v>
      </c>
      <c r="I368" s="60" t="s">
        <v>37</v>
      </c>
      <c r="J368" s="199">
        <v>8550000</v>
      </c>
      <c r="K368" s="64">
        <f t="shared" ref="K368:K369" si="36">J368*H368</f>
        <v>8550000</v>
      </c>
      <c r="L368" s="83"/>
    </row>
    <row r="369" spans="2:12" x14ac:dyDescent="0.35">
      <c r="B369" s="79"/>
      <c r="C369" s="58"/>
      <c r="D369" s="93"/>
      <c r="E369" s="59"/>
      <c r="F369" s="59" t="s">
        <v>59</v>
      </c>
      <c r="G369" s="60" t="s">
        <v>337</v>
      </c>
      <c r="H369" s="145">
        <v>1</v>
      </c>
      <c r="I369" s="60" t="s">
        <v>37</v>
      </c>
      <c r="J369" s="72">
        <v>2500000</v>
      </c>
      <c r="K369" s="64">
        <f t="shared" si="36"/>
        <v>2500000</v>
      </c>
      <c r="L369" s="46"/>
    </row>
    <row r="370" spans="2:12" x14ac:dyDescent="0.35">
      <c r="B370" s="79"/>
      <c r="C370" s="58"/>
      <c r="D370" s="93"/>
      <c r="E370" s="59"/>
      <c r="F370" s="59" t="s">
        <v>59</v>
      </c>
      <c r="G370" s="60" t="s">
        <v>343</v>
      </c>
      <c r="H370" s="145">
        <v>2</v>
      </c>
      <c r="I370" s="60" t="s">
        <v>227</v>
      </c>
      <c r="J370" s="72">
        <v>160000</v>
      </c>
      <c r="K370" s="64"/>
      <c r="L370" s="46">
        <v>320000</v>
      </c>
    </row>
    <row r="371" spans="2:12" x14ac:dyDescent="0.35">
      <c r="B371" s="79"/>
      <c r="C371" s="58"/>
      <c r="D371" s="93"/>
      <c r="E371" s="59"/>
      <c r="F371" s="59" t="s">
        <v>59</v>
      </c>
      <c r="G371" s="60" t="s">
        <v>344</v>
      </c>
      <c r="H371" s="145" t="s">
        <v>509</v>
      </c>
      <c r="I371" s="60" t="s">
        <v>62</v>
      </c>
      <c r="J371" s="213">
        <v>1500000</v>
      </c>
      <c r="K371" s="64">
        <f t="shared" ref="K371" si="37">J371*H371</f>
        <v>1500000</v>
      </c>
      <c r="L371" s="87"/>
    </row>
    <row r="372" spans="2:12" x14ac:dyDescent="0.35">
      <c r="B372" s="79"/>
      <c r="C372" s="58"/>
      <c r="D372" s="93" t="s">
        <v>39</v>
      </c>
      <c r="E372" s="59"/>
      <c r="F372" s="59" t="s">
        <v>223</v>
      </c>
      <c r="G372" s="60"/>
      <c r="H372" s="145"/>
      <c r="I372" s="60"/>
      <c r="J372" s="213"/>
      <c r="K372" s="86"/>
      <c r="L372" s="87"/>
    </row>
    <row r="373" spans="2:12" x14ac:dyDescent="0.35">
      <c r="B373" s="79"/>
      <c r="C373" s="58"/>
      <c r="D373" s="93"/>
      <c r="E373" s="59"/>
      <c r="F373" s="59" t="s">
        <v>59</v>
      </c>
      <c r="G373" s="60" t="s">
        <v>224</v>
      </c>
      <c r="H373" s="145">
        <v>1</v>
      </c>
      <c r="I373" s="60" t="s">
        <v>37</v>
      </c>
      <c r="J373" s="213">
        <v>5700000</v>
      </c>
      <c r="K373" s="64">
        <f t="shared" ref="K373" si="38">J373*H373</f>
        <v>5700000</v>
      </c>
      <c r="L373" s="87"/>
    </row>
    <row r="374" spans="2:12" x14ac:dyDescent="0.35">
      <c r="B374" s="79"/>
      <c r="C374" s="58"/>
      <c r="D374" s="93" t="s">
        <v>40</v>
      </c>
      <c r="E374" s="59"/>
      <c r="F374" s="59" t="s">
        <v>225</v>
      </c>
      <c r="G374" s="60"/>
      <c r="H374" s="145"/>
      <c r="I374" s="69"/>
      <c r="J374" s="213"/>
      <c r="K374" s="86"/>
      <c r="L374" s="87"/>
    </row>
    <row r="375" spans="2:12" x14ac:dyDescent="0.35">
      <c r="B375" s="79"/>
      <c r="C375" s="58"/>
      <c r="D375" s="93"/>
      <c r="E375" s="59"/>
      <c r="F375" s="59" t="s">
        <v>59</v>
      </c>
      <c r="G375" s="60" t="s">
        <v>226</v>
      </c>
      <c r="H375" s="145">
        <v>1</v>
      </c>
      <c r="I375" s="60" t="s">
        <v>37</v>
      </c>
      <c r="J375" s="67">
        <v>7125000</v>
      </c>
      <c r="K375" s="64">
        <f t="shared" ref="K375" si="39">J375*H375</f>
        <v>7125000</v>
      </c>
      <c r="L375" s="46"/>
    </row>
    <row r="376" spans="2:12" x14ac:dyDescent="0.35">
      <c r="B376" s="79"/>
      <c r="C376" s="58" t="s">
        <v>345</v>
      </c>
      <c r="D376" s="93"/>
      <c r="E376" s="59"/>
      <c r="F376" s="59" t="s">
        <v>165</v>
      </c>
      <c r="G376" s="60"/>
      <c r="H376" s="92"/>
      <c r="I376" s="59"/>
      <c r="J376" s="88"/>
      <c r="K376" s="88"/>
      <c r="L376" s="46"/>
    </row>
    <row r="377" spans="2:12" x14ac:dyDescent="0.35">
      <c r="B377" s="79"/>
      <c r="C377" s="58"/>
      <c r="D377" s="93" t="s">
        <v>36</v>
      </c>
      <c r="E377" s="59"/>
      <c r="F377" s="59" t="s">
        <v>510</v>
      </c>
      <c r="G377" s="60"/>
      <c r="H377" s="92">
        <v>2</v>
      </c>
      <c r="I377" s="59" t="s">
        <v>166</v>
      </c>
      <c r="J377" s="88">
        <v>400000</v>
      </c>
      <c r="K377" s="64">
        <f t="shared" ref="K377" si="40">J377*H377</f>
        <v>800000</v>
      </c>
      <c r="L377" s="46"/>
    </row>
    <row r="378" spans="2:12" x14ac:dyDescent="0.35">
      <c r="B378" s="79"/>
      <c r="C378" s="58"/>
      <c r="D378" s="93"/>
      <c r="E378" s="59"/>
      <c r="F378" s="59" t="s">
        <v>59</v>
      </c>
      <c r="G378" s="60" t="s">
        <v>346</v>
      </c>
      <c r="H378" s="143">
        <v>55.728719999999996</v>
      </c>
      <c r="I378" s="59" t="s">
        <v>67</v>
      </c>
      <c r="J378" s="88">
        <v>30000</v>
      </c>
      <c r="K378" s="88"/>
      <c r="L378" s="46">
        <v>1671900</v>
      </c>
    </row>
    <row r="379" spans="2:12" x14ac:dyDescent="0.35">
      <c r="B379" s="79"/>
      <c r="C379" s="58"/>
      <c r="D379" s="93"/>
      <c r="E379" s="59"/>
      <c r="F379" s="59" t="s">
        <v>59</v>
      </c>
      <c r="G379" s="60" t="s">
        <v>347</v>
      </c>
      <c r="H379" s="143">
        <v>17.097299999999997</v>
      </c>
      <c r="I379" s="59" t="s">
        <v>67</v>
      </c>
      <c r="J379" s="88">
        <v>30000</v>
      </c>
      <c r="K379" s="88"/>
      <c r="L379" s="46">
        <v>513000.00000000006</v>
      </c>
    </row>
    <row r="380" spans="2:12" x14ac:dyDescent="0.35">
      <c r="B380" s="79"/>
      <c r="C380" s="58"/>
      <c r="D380" s="93"/>
      <c r="E380" s="59"/>
      <c r="F380" s="59" t="s">
        <v>59</v>
      </c>
      <c r="G380" s="60" t="s">
        <v>348</v>
      </c>
      <c r="H380" s="143">
        <v>39.349223999999992</v>
      </c>
      <c r="I380" s="59" t="s">
        <v>67</v>
      </c>
      <c r="J380" s="88">
        <v>30000</v>
      </c>
      <c r="K380" s="88"/>
      <c r="L380" s="46">
        <v>1180500</v>
      </c>
    </row>
    <row r="381" spans="2:12" x14ac:dyDescent="0.35">
      <c r="B381" s="79"/>
      <c r="C381" s="58"/>
      <c r="D381" s="93"/>
      <c r="E381" s="59"/>
      <c r="F381" s="59" t="s">
        <v>59</v>
      </c>
      <c r="G381" s="60" t="s">
        <v>349</v>
      </c>
      <c r="H381" s="143">
        <v>17.097299999999997</v>
      </c>
      <c r="I381" s="59" t="s">
        <v>67</v>
      </c>
      <c r="J381" s="88">
        <v>30000</v>
      </c>
      <c r="K381" s="29"/>
      <c r="L381" s="46">
        <v>513000.00000000006</v>
      </c>
    </row>
    <row r="382" spans="2:12" x14ac:dyDescent="0.35">
      <c r="B382" s="79"/>
      <c r="C382" s="58"/>
      <c r="D382" s="93"/>
      <c r="E382" s="59"/>
      <c r="F382" s="59" t="s">
        <v>59</v>
      </c>
      <c r="G382" s="60" t="s">
        <v>350</v>
      </c>
      <c r="H382" s="143">
        <v>17.097299999999997</v>
      </c>
      <c r="I382" s="59" t="s">
        <v>67</v>
      </c>
      <c r="J382" s="88">
        <v>30000</v>
      </c>
      <c r="K382" s="29"/>
      <c r="L382" s="46">
        <v>513000.00000000006</v>
      </c>
    </row>
    <row r="383" spans="2:12" x14ac:dyDescent="0.35">
      <c r="B383" s="79"/>
      <c r="C383" s="58"/>
      <c r="D383" s="93"/>
      <c r="E383" s="59"/>
      <c r="F383" s="59" t="s">
        <v>59</v>
      </c>
      <c r="G383" s="60" t="s">
        <v>351</v>
      </c>
      <c r="H383" s="143">
        <v>2.0347199999999996</v>
      </c>
      <c r="I383" s="59" t="s">
        <v>67</v>
      </c>
      <c r="J383" s="88">
        <v>30000</v>
      </c>
      <c r="K383" s="29"/>
      <c r="L383" s="46">
        <v>60899.999999999993</v>
      </c>
    </row>
    <row r="384" spans="2:12" x14ac:dyDescent="0.35">
      <c r="B384" s="79"/>
      <c r="C384" s="58"/>
      <c r="D384" s="93"/>
      <c r="E384" s="59"/>
      <c r="F384" s="59" t="s">
        <v>59</v>
      </c>
      <c r="G384" s="60" t="s">
        <v>352</v>
      </c>
      <c r="H384" s="143">
        <v>1.2716999999999998</v>
      </c>
      <c r="I384" s="59" t="s">
        <v>67</v>
      </c>
      <c r="J384" s="88">
        <v>30000</v>
      </c>
      <c r="K384" s="29"/>
      <c r="L384" s="46">
        <v>38100</v>
      </c>
    </row>
    <row r="385" spans="2:12" x14ac:dyDescent="0.35">
      <c r="B385" s="79"/>
      <c r="C385" s="58"/>
      <c r="D385" s="93"/>
      <c r="E385" s="59"/>
      <c r="F385" s="59" t="s">
        <v>59</v>
      </c>
      <c r="G385" s="60" t="s">
        <v>167</v>
      </c>
      <c r="H385" s="92">
        <v>570</v>
      </c>
      <c r="I385" s="59" t="s">
        <v>64</v>
      </c>
      <c r="J385" s="46">
        <v>853</v>
      </c>
      <c r="K385" s="46"/>
      <c r="L385" s="46">
        <v>486210</v>
      </c>
    </row>
    <row r="386" spans="2:12" x14ac:dyDescent="0.35">
      <c r="B386" s="79"/>
      <c r="C386" s="58"/>
      <c r="D386" s="93"/>
      <c r="E386" s="59"/>
      <c r="F386" s="59" t="s">
        <v>59</v>
      </c>
      <c r="G386" s="60" t="s">
        <v>168</v>
      </c>
      <c r="H386" s="92">
        <v>12</v>
      </c>
      <c r="I386" s="59" t="s">
        <v>58</v>
      </c>
      <c r="J386" s="64">
        <v>35000</v>
      </c>
      <c r="K386" s="64"/>
      <c r="L386" s="46">
        <v>420000</v>
      </c>
    </row>
    <row r="387" spans="2:12" x14ac:dyDescent="0.35">
      <c r="B387" s="79"/>
      <c r="C387" s="58"/>
      <c r="D387" s="93"/>
      <c r="E387" s="59"/>
      <c r="F387" s="59" t="s">
        <v>59</v>
      </c>
      <c r="G387" s="60" t="s">
        <v>353</v>
      </c>
      <c r="H387" s="92">
        <v>1</v>
      </c>
      <c r="I387" s="59" t="s">
        <v>58</v>
      </c>
      <c r="J387" s="64">
        <v>35000</v>
      </c>
      <c r="K387" s="64"/>
      <c r="L387" s="46">
        <v>35000</v>
      </c>
    </row>
    <row r="388" spans="2:12" x14ac:dyDescent="0.35">
      <c r="B388" s="79"/>
      <c r="C388" s="58"/>
      <c r="D388" s="93" t="s">
        <v>38</v>
      </c>
      <c r="E388" s="59"/>
      <c r="F388" s="59" t="s">
        <v>512</v>
      </c>
      <c r="G388" s="60"/>
      <c r="H388" s="145" t="s">
        <v>511</v>
      </c>
      <c r="I388" s="59" t="s">
        <v>166</v>
      </c>
      <c r="J388" s="64">
        <v>400000</v>
      </c>
      <c r="K388" s="64">
        <f t="shared" ref="K388" si="41">J388*H388</f>
        <v>800000</v>
      </c>
      <c r="L388" s="46"/>
    </row>
    <row r="389" spans="2:12" x14ac:dyDescent="0.35">
      <c r="B389" s="79"/>
      <c r="C389" s="58"/>
      <c r="D389" s="93"/>
      <c r="E389" s="59"/>
      <c r="F389" s="59" t="s">
        <v>59</v>
      </c>
      <c r="G389" s="60" t="s">
        <v>346</v>
      </c>
      <c r="H389" s="143">
        <v>55.728719999999996</v>
      </c>
      <c r="I389" s="59" t="s">
        <v>67</v>
      </c>
      <c r="J389" s="64">
        <v>30000</v>
      </c>
      <c r="K389" s="64"/>
      <c r="L389" s="46">
        <v>1671900</v>
      </c>
    </row>
    <row r="390" spans="2:12" x14ac:dyDescent="0.35">
      <c r="B390" s="79"/>
      <c r="C390" s="58"/>
      <c r="D390" s="93"/>
      <c r="E390" s="59"/>
      <c r="F390" s="59" t="s">
        <v>59</v>
      </c>
      <c r="G390" s="60" t="s">
        <v>347</v>
      </c>
      <c r="H390" s="143">
        <v>17.097299999999997</v>
      </c>
      <c r="I390" s="59" t="s">
        <v>67</v>
      </c>
      <c r="J390" s="64">
        <v>30000</v>
      </c>
      <c r="K390" s="64"/>
      <c r="L390" s="46">
        <v>513000.00000000006</v>
      </c>
    </row>
    <row r="391" spans="2:12" x14ac:dyDescent="0.35">
      <c r="B391" s="79"/>
      <c r="C391" s="58"/>
      <c r="D391" s="93"/>
      <c r="E391" s="59"/>
      <c r="F391" s="59" t="s">
        <v>59</v>
      </c>
      <c r="G391" s="60" t="s">
        <v>348</v>
      </c>
      <c r="H391" s="143">
        <v>39.349223999999992</v>
      </c>
      <c r="I391" s="59" t="s">
        <v>67</v>
      </c>
      <c r="J391" s="64">
        <v>30000</v>
      </c>
      <c r="K391" s="64"/>
      <c r="L391" s="46">
        <v>1180500</v>
      </c>
    </row>
    <row r="392" spans="2:12" x14ac:dyDescent="0.35">
      <c r="B392" s="79"/>
      <c r="C392" s="58"/>
      <c r="D392" s="93"/>
      <c r="E392" s="59"/>
      <c r="F392" s="59" t="s">
        <v>59</v>
      </c>
      <c r="G392" s="60" t="s">
        <v>349</v>
      </c>
      <c r="H392" s="143">
        <v>17.097299999999997</v>
      </c>
      <c r="I392" s="59" t="s">
        <v>67</v>
      </c>
      <c r="J392" s="64">
        <v>30000</v>
      </c>
      <c r="K392" s="64"/>
      <c r="L392" s="46">
        <v>513000.00000000006</v>
      </c>
    </row>
    <row r="393" spans="2:12" x14ac:dyDescent="0.35">
      <c r="B393" s="79"/>
      <c r="C393" s="58"/>
      <c r="D393" s="93"/>
      <c r="E393" s="59"/>
      <c r="F393" s="59" t="s">
        <v>59</v>
      </c>
      <c r="G393" s="60" t="s">
        <v>350</v>
      </c>
      <c r="H393" s="143">
        <v>17.097299999999997</v>
      </c>
      <c r="I393" s="59" t="s">
        <v>67</v>
      </c>
      <c r="J393" s="64">
        <v>30000</v>
      </c>
      <c r="K393" s="54"/>
      <c r="L393" s="46">
        <v>513000.00000000006</v>
      </c>
    </row>
    <row r="394" spans="2:12" x14ac:dyDescent="0.35">
      <c r="B394" s="79"/>
      <c r="C394" s="58"/>
      <c r="D394" s="93"/>
      <c r="E394" s="59"/>
      <c r="F394" s="59" t="s">
        <v>59</v>
      </c>
      <c r="G394" s="60" t="s">
        <v>354</v>
      </c>
      <c r="H394" s="143">
        <v>2.7129599999999994</v>
      </c>
      <c r="I394" s="60" t="s">
        <v>67</v>
      </c>
      <c r="J394" s="64">
        <v>30000</v>
      </c>
      <c r="K394" s="64"/>
      <c r="L394" s="46">
        <v>81300</v>
      </c>
    </row>
    <row r="395" spans="2:12" x14ac:dyDescent="0.35">
      <c r="B395" s="79"/>
      <c r="C395" s="58"/>
      <c r="D395" s="93"/>
      <c r="E395" s="59"/>
      <c r="F395" s="59" t="s">
        <v>59</v>
      </c>
      <c r="G395" s="60" t="s">
        <v>167</v>
      </c>
      <c r="H395" s="145">
        <v>570</v>
      </c>
      <c r="I395" s="60" t="s">
        <v>64</v>
      </c>
      <c r="J395" s="72">
        <v>853</v>
      </c>
      <c r="K395" s="64"/>
      <c r="L395" s="46">
        <v>486210</v>
      </c>
    </row>
    <row r="396" spans="2:12" x14ac:dyDescent="0.35">
      <c r="B396" s="79"/>
      <c r="C396" s="58"/>
      <c r="D396" s="93"/>
      <c r="E396" s="59"/>
      <c r="F396" s="59" t="s">
        <v>59</v>
      </c>
      <c r="G396" s="60" t="s">
        <v>168</v>
      </c>
      <c r="H396" s="145">
        <v>12</v>
      </c>
      <c r="I396" s="60" t="s">
        <v>58</v>
      </c>
      <c r="J396" s="72">
        <v>35000</v>
      </c>
      <c r="K396" s="64"/>
      <c r="L396" s="46">
        <v>420000</v>
      </c>
    </row>
    <row r="397" spans="2:12" x14ac:dyDescent="0.35">
      <c r="B397" s="79"/>
      <c r="C397" s="58"/>
      <c r="D397" s="93"/>
      <c r="E397" s="59"/>
      <c r="F397" s="59" t="s">
        <v>59</v>
      </c>
      <c r="G397" s="60" t="s">
        <v>353</v>
      </c>
      <c r="H397" s="145">
        <v>1</v>
      </c>
      <c r="I397" s="60" t="s">
        <v>58</v>
      </c>
      <c r="J397" s="72">
        <v>35000</v>
      </c>
      <c r="K397" s="64"/>
      <c r="L397" s="46">
        <v>35000</v>
      </c>
    </row>
    <row r="398" spans="2:12" x14ac:dyDescent="0.35">
      <c r="B398" s="154"/>
      <c r="C398" s="237" t="s">
        <v>355</v>
      </c>
      <c r="D398" s="128"/>
      <c r="E398" s="132"/>
      <c r="F398" s="132" t="s">
        <v>169</v>
      </c>
      <c r="G398" s="155"/>
      <c r="H398" s="156"/>
      <c r="I398" s="155"/>
      <c r="J398" s="72"/>
      <c r="K398" s="64"/>
      <c r="L398" s="46"/>
    </row>
    <row r="399" spans="2:12" x14ac:dyDescent="0.35">
      <c r="B399" s="79"/>
      <c r="C399" s="58"/>
      <c r="D399" s="93" t="s">
        <v>36</v>
      </c>
      <c r="E399" s="59"/>
      <c r="F399" s="59" t="s">
        <v>170</v>
      </c>
      <c r="G399" s="60"/>
      <c r="H399" s="145"/>
      <c r="I399" s="60"/>
      <c r="J399" s="72"/>
      <c r="K399" s="64"/>
      <c r="L399" s="46"/>
    </row>
    <row r="400" spans="2:12" x14ac:dyDescent="0.35">
      <c r="B400" s="79"/>
      <c r="C400" s="58"/>
      <c r="D400" s="93"/>
      <c r="E400" s="59"/>
      <c r="F400" s="59" t="s">
        <v>59</v>
      </c>
      <c r="G400" s="60" t="s">
        <v>356</v>
      </c>
      <c r="H400" s="143">
        <v>277.43783999999999</v>
      </c>
      <c r="I400" s="60" t="s">
        <v>67</v>
      </c>
      <c r="J400" s="72">
        <v>30000</v>
      </c>
      <c r="K400" s="64"/>
      <c r="L400" s="46">
        <v>8323200</v>
      </c>
    </row>
    <row r="401" spans="2:12" x14ac:dyDescent="0.35">
      <c r="B401" s="79"/>
      <c r="C401" s="58"/>
      <c r="D401" s="93"/>
      <c r="E401" s="59"/>
      <c r="F401" s="59" t="s">
        <v>59</v>
      </c>
      <c r="G401" s="60" t="s">
        <v>357</v>
      </c>
      <c r="H401" s="143">
        <v>4.5215999999999994</v>
      </c>
      <c r="I401" s="60" t="s">
        <v>67</v>
      </c>
      <c r="J401" s="72">
        <v>30000</v>
      </c>
      <c r="K401" s="64"/>
      <c r="L401" s="46">
        <v>135600</v>
      </c>
    </row>
    <row r="402" spans="2:12" x14ac:dyDescent="0.35">
      <c r="B402" s="79"/>
      <c r="C402" s="58"/>
      <c r="D402" s="93"/>
      <c r="E402" s="59"/>
      <c r="F402" s="59" t="s">
        <v>59</v>
      </c>
      <c r="G402" s="60" t="s">
        <v>358</v>
      </c>
      <c r="H402" s="143">
        <v>37.208999999999996</v>
      </c>
      <c r="I402" s="60" t="s">
        <v>67</v>
      </c>
      <c r="J402" s="72">
        <v>30000</v>
      </c>
      <c r="K402" s="56"/>
      <c r="L402" s="46">
        <v>1116300</v>
      </c>
    </row>
    <row r="403" spans="2:12" x14ac:dyDescent="0.35">
      <c r="B403" s="79"/>
      <c r="C403" s="58"/>
      <c r="D403" s="93"/>
      <c r="E403" s="59"/>
      <c r="F403" s="59" t="s">
        <v>59</v>
      </c>
      <c r="G403" s="60" t="s">
        <v>359</v>
      </c>
      <c r="H403" s="143">
        <v>147.17807999999997</v>
      </c>
      <c r="I403" s="60" t="s">
        <v>67</v>
      </c>
      <c r="J403" s="72">
        <v>30000</v>
      </c>
      <c r="K403" s="56"/>
      <c r="L403" s="46">
        <v>4415400</v>
      </c>
    </row>
    <row r="404" spans="2:12" x14ac:dyDescent="0.35">
      <c r="B404" s="79"/>
      <c r="C404" s="58"/>
      <c r="D404" s="93"/>
      <c r="E404" s="59"/>
      <c r="F404" s="59" t="s">
        <v>59</v>
      </c>
      <c r="G404" s="60" t="s">
        <v>360</v>
      </c>
      <c r="H404" s="143">
        <v>183.68999999999997</v>
      </c>
      <c r="I404" s="60" t="s">
        <v>67</v>
      </c>
      <c r="J404" s="72">
        <v>30000</v>
      </c>
      <c r="K404" s="72"/>
      <c r="L404" s="46">
        <v>5510699.9999999991</v>
      </c>
    </row>
    <row r="405" spans="2:12" x14ac:dyDescent="0.35">
      <c r="B405" s="79"/>
      <c r="C405" s="58"/>
      <c r="D405" s="93"/>
      <c r="E405" s="59"/>
      <c r="F405" s="59"/>
      <c r="G405" s="60"/>
      <c r="H405" s="143"/>
      <c r="I405" s="60"/>
      <c r="J405" s="72"/>
      <c r="K405" s="72"/>
      <c r="L405" s="51"/>
    </row>
    <row r="406" spans="2:12" x14ac:dyDescent="0.35">
      <c r="B406" s="47"/>
      <c r="C406" s="48"/>
      <c r="D406" s="24"/>
      <c r="G406" s="22"/>
      <c r="I406" s="22"/>
      <c r="J406" s="50"/>
      <c r="K406" s="29"/>
      <c r="L406" s="51"/>
    </row>
    <row r="407" spans="2:12" x14ac:dyDescent="0.35">
      <c r="B407" s="8"/>
      <c r="C407" s="9"/>
      <c r="D407" s="10"/>
      <c r="E407" s="4"/>
      <c r="F407" s="4"/>
      <c r="G407" s="4"/>
      <c r="H407" s="1"/>
      <c r="I407" s="1"/>
      <c r="J407" s="11" t="s">
        <v>8</v>
      </c>
      <c r="K407" s="7">
        <f>SUM(K354:K406)</f>
        <v>38025000</v>
      </c>
      <c r="L407" s="7">
        <f>SUM(L354:L406)</f>
        <v>39708420</v>
      </c>
    </row>
    <row r="408" spans="2:12" x14ac:dyDescent="0.35">
      <c r="B408" s="8"/>
      <c r="C408" s="9"/>
      <c r="D408" s="9"/>
      <c r="E408" s="4"/>
      <c r="F408" s="4"/>
      <c r="G408" s="4"/>
      <c r="H408" s="1"/>
      <c r="I408" s="1"/>
      <c r="J408" s="11"/>
      <c r="K408" s="35" t="s">
        <v>15</v>
      </c>
      <c r="L408" s="36" t="s">
        <v>16</v>
      </c>
    </row>
    <row r="409" spans="2:12" x14ac:dyDescent="0.35">
      <c r="B409" s="3" t="s">
        <v>9</v>
      </c>
      <c r="C409" s="4"/>
      <c r="D409" s="4"/>
      <c r="E409" s="4"/>
      <c r="F409" s="4"/>
      <c r="G409" s="4"/>
      <c r="H409" s="1"/>
      <c r="I409" s="1"/>
      <c r="J409" s="12"/>
      <c r="K409" s="12"/>
      <c r="L409" s="13"/>
    </row>
    <row r="410" spans="2:12" x14ac:dyDescent="0.35">
      <c r="B410" s="37"/>
      <c r="C410" s="1"/>
      <c r="D410" s="1"/>
      <c r="E410" s="38"/>
      <c r="F410" s="38"/>
      <c r="G410" s="38"/>
      <c r="H410" s="1"/>
      <c r="I410" s="1"/>
      <c r="J410" s="1"/>
      <c r="K410" s="1"/>
      <c r="L410" s="19"/>
    </row>
    <row r="411" spans="2:12" x14ac:dyDescent="0.35">
      <c r="B411" s="28" t="s">
        <v>6</v>
      </c>
      <c r="C411" s="27"/>
      <c r="D411" s="27"/>
      <c r="E411" s="26"/>
      <c r="F411" s="26"/>
      <c r="G411" s="5"/>
      <c r="K411" s="287" t="str">
        <f>K344</f>
        <v>Balikpapan, 17 November 2025</v>
      </c>
      <c r="L411" s="288"/>
    </row>
    <row r="412" spans="2:12" x14ac:dyDescent="0.35">
      <c r="B412" s="28">
        <v>1</v>
      </c>
      <c r="C412" s="27"/>
      <c r="D412" s="27"/>
      <c r="E412" s="26" t="s">
        <v>7</v>
      </c>
      <c r="F412" s="26"/>
      <c r="G412" s="5"/>
      <c r="K412" s="287" t="s">
        <v>20</v>
      </c>
      <c r="L412" s="288"/>
    </row>
    <row r="413" spans="2:12" x14ac:dyDescent="0.35">
      <c r="B413" s="39"/>
      <c r="C413" s="27"/>
      <c r="D413" s="27"/>
      <c r="E413" s="26"/>
      <c r="F413" s="26"/>
      <c r="G413" s="5"/>
      <c r="J413" s="25"/>
      <c r="K413" s="25"/>
      <c r="L413" s="24"/>
    </row>
    <row r="414" spans="2:12" x14ac:dyDescent="0.35">
      <c r="B414" s="28"/>
      <c r="C414" s="27"/>
      <c r="D414" s="27"/>
      <c r="E414" s="26"/>
      <c r="F414" s="26"/>
      <c r="G414" s="5"/>
      <c r="L414" s="22"/>
    </row>
    <row r="415" spans="2:12" x14ac:dyDescent="0.35">
      <c r="B415" s="45"/>
      <c r="E415" s="5"/>
      <c r="F415" s="5"/>
      <c r="G415" s="5"/>
      <c r="L415" s="22"/>
    </row>
    <row r="416" spans="2:12" x14ac:dyDescent="0.35">
      <c r="B416" s="45"/>
      <c r="E416" s="5"/>
      <c r="F416" s="5"/>
      <c r="G416" s="5"/>
      <c r="L416" s="22"/>
    </row>
    <row r="417" spans="2:12" x14ac:dyDescent="0.35">
      <c r="B417" s="45"/>
      <c r="E417" s="5"/>
      <c r="F417" s="5"/>
      <c r="G417" s="5"/>
      <c r="L417" s="22"/>
    </row>
    <row r="418" spans="2:12" x14ac:dyDescent="0.35">
      <c r="B418" s="45"/>
      <c r="E418" s="5"/>
      <c r="F418" s="5"/>
      <c r="G418" s="5"/>
      <c r="J418" s="40"/>
      <c r="K418" s="289" t="s">
        <v>28</v>
      </c>
      <c r="L418" s="290"/>
    </row>
    <row r="419" spans="2:12" x14ac:dyDescent="0.35">
      <c r="B419" s="45"/>
      <c r="K419" s="291" t="s">
        <v>29</v>
      </c>
      <c r="L419" s="292"/>
    </row>
    <row r="420" spans="2:12" x14ac:dyDescent="0.35">
      <c r="B420" s="278"/>
      <c r="C420" s="279"/>
      <c r="D420" s="279"/>
      <c r="E420" s="41"/>
      <c r="F420" s="41"/>
      <c r="G420" s="41"/>
      <c r="H420" s="2"/>
      <c r="I420" s="2"/>
      <c r="J420" s="2"/>
      <c r="K420" s="2"/>
      <c r="L420" s="21"/>
    </row>
    <row r="421" spans="2:12" x14ac:dyDescent="0.35">
      <c r="B421" s="47"/>
      <c r="C421" s="48"/>
      <c r="D421" s="49"/>
      <c r="G421" s="22"/>
      <c r="H421" s="1"/>
      <c r="I421" s="1"/>
      <c r="J421" s="43"/>
      <c r="K421" s="30"/>
      <c r="L421" s="44"/>
    </row>
    <row r="422" spans="2:12" x14ac:dyDescent="0.35">
      <c r="B422" s="154" t="s">
        <v>50</v>
      </c>
      <c r="C422" s="237"/>
      <c r="D422" s="128"/>
      <c r="E422" s="132" t="s">
        <v>12</v>
      </c>
      <c r="F422" s="132"/>
      <c r="G422" s="155"/>
      <c r="H422" s="141"/>
      <c r="I422" s="155"/>
      <c r="J422" s="61"/>
      <c r="K422" s="54"/>
      <c r="L422" s="46"/>
    </row>
    <row r="423" spans="2:12" x14ac:dyDescent="0.35">
      <c r="B423" s="154"/>
      <c r="C423" s="237" t="s">
        <v>72</v>
      </c>
      <c r="D423" s="128"/>
      <c r="E423" s="132"/>
      <c r="F423" s="132" t="s">
        <v>171</v>
      </c>
      <c r="G423" s="155"/>
      <c r="H423" s="141"/>
      <c r="I423" s="155"/>
      <c r="J423" s="56"/>
      <c r="K423" s="56"/>
      <c r="L423" s="46"/>
    </row>
    <row r="424" spans="2:12" x14ac:dyDescent="0.35">
      <c r="B424" s="79"/>
      <c r="C424" s="58"/>
      <c r="D424" s="93" t="s">
        <v>38</v>
      </c>
      <c r="E424" s="59"/>
      <c r="F424" s="59" t="s">
        <v>172</v>
      </c>
      <c r="G424" s="60"/>
      <c r="H424" s="145">
        <v>1</v>
      </c>
      <c r="I424" s="60" t="s">
        <v>37</v>
      </c>
      <c r="J424" s="56">
        <v>7500000</v>
      </c>
      <c r="K424" s="64">
        <f t="shared" ref="K424" si="42">J424*H424</f>
        <v>7500000</v>
      </c>
      <c r="L424" s="46"/>
    </row>
    <row r="425" spans="2:12" x14ac:dyDescent="0.35">
      <c r="B425" s="79"/>
      <c r="C425" s="58"/>
      <c r="D425" s="93" t="s">
        <v>39</v>
      </c>
      <c r="E425" s="59"/>
      <c r="F425" s="59" t="s">
        <v>173</v>
      </c>
      <c r="G425" s="60"/>
      <c r="H425" s="145">
        <v>2</v>
      </c>
      <c r="I425" s="60" t="s">
        <v>174</v>
      </c>
      <c r="J425" s="56">
        <v>4940000</v>
      </c>
      <c r="K425" s="56"/>
      <c r="L425" s="46">
        <f t="shared" ref="L425:L427" si="43">J425*H425</f>
        <v>9880000</v>
      </c>
    </row>
    <row r="426" spans="2:12" x14ac:dyDescent="0.35">
      <c r="B426" s="79"/>
      <c r="C426" s="58"/>
      <c r="D426" s="93" t="s">
        <v>40</v>
      </c>
      <c r="E426" s="59"/>
      <c r="F426" s="59" t="s">
        <v>175</v>
      </c>
      <c r="G426" s="60"/>
      <c r="H426" s="145">
        <v>2</v>
      </c>
      <c r="I426" s="60" t="s">
        <v>174</v>
      </c>
      <c r="J426" s="51">
        <v>4940000</v>
      </c>
      <c r="K426" s="64"/>
      <c r="L426" s="46">
        <f t="shared" si="43"/>
        <v>9880000</v>
      </c>
    </row>
    <row r="427" spans="2:12" x14ac:dyDescent="0.35">
      <c r="B427" s="79"/>
      <c r="C427" s="58"/>
      <c r="D427" s="93" t="s">
        <v>42</v>
      </c>
      <c r="E427" s="59"/>
      <c r="F427" s="59" t="s">
        <v>176</v>
      </c>
      <c r="G427" s="60"/>
      <c r="H427" s="145">
        <v>10</v>
      </c>
      <c r="I427" s="60" t="s">
        <v>177</v>
      </c>
      <c r="J427" s="51">
        <v>125000</v>
      </c>
      <c r="K427" s="64"/>
      <c r="L427" s="46">
        <f t="shared" si="43"/>
        <v>1250000</v>
      </c>
    </row>
    <row r="428" spans="2:12" x14ac:dyDescent="0.35">
      <c r="B428" s="79"/>
      <c r="C428" s="58"/>
      <c r="D428" s="93" t="s">
        <v>43</v>
      </c>
      <c r="E428" s="59"/>
      <c r="F428" s="59" t="s">
        <v>178</v>
      </c>
      <c r="G428" s="60"/>
      <c r="H428" s="145">
        <v>1</v>
      </c>
      <c r="I428" s="60" t="s">
        <v>37</v>
      </c>
      <c r="J428" s="61">
        <v>12000000</v>
      </c>
      <c r="K428" s="64">
        <f t="shared" ref="K428" si="44">J428*H428</f>
        <v>12000000</v>
      </c>
      <c r="L428" s="46"/>
    </row>
    <row r="429" spans="2:12" x14ac:dyDescent="0.35">
      <c r="B429" s="79"/>
      <c r="C429" s="58" t="s">
        <v>76</v>
      </c>
      <c r="D429" s="93"/>
      <c r="E429" s="59"/>
      <c r="F429" s="59" t="s">
        <v>179</v>
      </c>
      <c r="G429" s="60"/>
      <c r="H429" s="145"/>
      <c r="I429" s="60"/>
      <c r="J429" s="51"/>
      <c r="K429" s="64"/>
      <c r="L429" s="46"/>
    </row>
    <row r="430" spans="2:12" x14ac:dyDescent="0.35">
      <c r="B430" s="79"/>
      <c r="C430" s="58"/>
      <c r="D430" s="93" t="s">
        <v>36</v>
      </c>
      <c r="E430" s="59"/>
      <c r="F430" s="59" t="s">
        <v>180</v>
      </c>
      <c r="G430" s="60"/>
      <c r="H430" s="145">
        <v>1</v>
      </c>
      <c r="I430" s="60" t="s">
        <v>62</v>
      </c>
      <c r="J430" s="51">
        <v>250000</v>
      </c>
      <c r="K430" s="64">
        <f t="shared" ref="K430" si="45">J430*H430</f>
        <v>250000</v>
      </c>
      <c r="L430" s="46"/>
    </row>
    <row r="431" spans="2:12" x14ac:dyDescent="0.35">
      <c r="B431" s="79"/>
      <c r="C431" s="58"/>
      <c r="D431" s="93"/>
      <c r="E431" s="59"/>
      <c r="F431" s="59" t="s">
        <v>59</v>
      </c>
      <c r="G431" s="60" t="s">
        <v>361</v>
      </c>
      <c r="H431" s="218">
        <v>2.0034000000000001</v>
      </c>
      <c r="I431" s="63" t="s">
        <v>67</v>
      </c>
      <c r="J431" s="61"/>
      <c r="K431" s="54"/>
      <c r="L431" s="46"/>
    </row>
    <row r="432" spans="2:12" x14ac:dyDescent="0.35">
      <c r="B432" s="79"/>
      <c r="C432" s="58"/>
      <c r="D432" s="93"/>
      <c r="E432" s="59"/>
      <c r="F432" s="59" t="s">
        <v>59</v>
      </c>
      <c r="G432" s="60" t="s">
        <v>362</v>
      </c>
      <c r="H432" s="218">
        <v>2.4868799999999993</v>
      </c>
      <c r="I432" s="63" t="s">
        <v>67</v>
      </c>
      <c r="J432" s="51"/>
      <c r="K432" s="64"/>
      <c r="L432" s="46"/>
    </row>
    <row r="433" spans="2:12" x14ac:dyDescent="0.35">
      <c r="B433" s="79"/>
      <c r="C433" s="58"/>
      <c r="D433" s="93" t="s">
        <v>38</v>
      </c>
      <c r="E433" s="59"/>
      <c r="F433" s="59" t="s">
        <v>180</v>
      </c>
      <c r="G433" s="60"/>
      <c r="H433" s="145">
        <v>1</v>
      </c>
      <c r="I433" s="60" t="s">
        <v>62</v>
      </c>
      <c r="J433" s="51">
        <v>250000</v>
      </c>
      <c r="K433" s="64">
        <f t="shared" ref="K433" si="46">J433*H433</f>
        <v>250000</v>
      </c>
      <c r="L433" s="46"/>
    </row>
    <row r="434" spans="2:12" x14ac:dyDescent="0.35">
      <c r="B434" s="79"/>
      <c r="C434" s="58"/>
      <c r="D434" s="93"/>
      <c r="E434" s="59"/>
      <c r="F434" s="59" t="s">
        <v>59</v>
      </c>
      <c r="G434" s="60" t="s">
        <v>363</v>
      </c>
      <c r="H434" s="218">
        <v>2.7665999999999999</v>
      </c>
      <c r="I434" s="63" t="s">
        <v>67</v>
      </c>
      <c r="J434" s="199"/>
      <c r="K434" s="82"/>
      <c r="L434" s="83"/>
    </row>
    <row r="435" spans="2:12" x14ac:dyDescent="0.35">
      <c r="B435" s="79"/>
      <c r="C435" s="58"/>
      <c r="D435" s="93"/>
      <c r="E435" s="59"/>
      <c r="F435" s="59" t="s">
        <v>59</v>
      </c>
      <c r="G435" s="60" t="s">
        <v>362</v>
      </c>
      <c r="H435" s="218">
        <v>2.4868799999999993</v>
      </c>
      <c r="I435" s="63" t="s">
        <v>67</v>
      </c>
      <c r="J435" s="72"/>
      <c r="K435" s="64"/>
      <c r="L435" s="46"/>
    </row>
    <row r="436" spans="2:12" x14ac:dyDescent="0.35">
      <c r="B436" s="79"/>
      <c r="C436" s="58"/>
      <c r="D436" s="93" t="s">
        <v>39</v>
      </c>
      <c r="E436" s="59"/>
      <c r="F436" s="59" t="s">
        <v>180</v>
      </c>
      <c r="G436" s="60"/>
      <c r="H436" s="145">
        <v>1</v>
      </c>
      <c r="I436" s="60" t="s">
        <v>62</v>
      </c>
      <c r="J436" s="51">
        <v>250000</v>
      </c>
      <c r="K436" s="64">
        <f t="shared" ref="K436" si="47">J436*H436</f>
        <v>250000</v>
      </c>
      <c r="L436" s="46"/>
    </row>
    <row r="437" spans="2:12" x14ac:dyDescent="0.35">
      <c r="B437" s="79"/>
      <c r="C437" s="58"/>
      <c r="D437" s="93"/>
      <c r="E437" s="59"/>
      <c r="F437" s="59" t="s">
        <v>59</v>
      </c>
      <c r="G437" s="60" t="s">
        <v>364</v>
      </c>
      <c r="H437" s="218">
        <v>2.3849999999999998</v>
      </c>
      <c r="I437" s="63" t="s">
        <v>67</v>
      </c>
      <c r="J437" s="213"/>
      <c r="K437" s="86"/>
      <c r="L437" s="87"/>
    </row>
    <row r="438" spans="2:12" x14ac:dyDescent="0.35">
      <c r="B438" s="79"/>
      <c r="C438" s="58"/>
      <c r="D438" s="93"/>
      <c r="E438" s="59"/>
      <c r="F438" s="59" t="s">
        <v>59</v>
      </c>
      <c r="G438" s="60" t="s">
        <v>365</v>
      </c>
      <c r="H438" s="218">
        <v>2.2607999999999993</v>
      </c>
      <c r="I438" s="63" t="s">
        <v>67</v>
      </c>
      <c r="J438" s="213"/>
      <c r="K438" s="86"/>
      <c r="L438" s="87"/>
    </row>
    <row r="439" spans="2:12" x14ac:dyDescent="0.35">
      <c r="B439" s="79"/>
      <c r="C439" s="58"/>
      <c r="D439" s="93" t="s">
        <v>40</v>
      </c>
      <c r="E439" s="59"/>
      <c r="F439" s="59" t="s">
        <v>180</v>
      </c>
      <c r="G439" s="60"/>
      <c r="H439" s="145">
        <v>1</v>
      </c>
      <c r="I439" s="60" t="s">
        <v>62</v>
      </c>
      <c r="J439" s="51">
        <v>250000</v>
      </c>
      <c r="K439" s="64">
        <f t="shared" ref="K439" si="48">J439*H439</f>
        <v>250000</v>
      </c>
      <c r="L439" s="87"/>
    </row>
    <row r="440" spans="2:12" x14ac:dyDescent="0.35">
      <c r="B440" s="79"/>
      <c r="C440" s="58"/>
      <c r="D440" s="93"/>
      <c r="E440" s="59"/>
      <c r="F440" s="59" t="s">
        <v>59</v>
      </c>
      <c r="G440" s="60" t="s">
        <v>366</v>
      </c>
      <c r="H440" s="218">
        <v>1.1924999999999999</v>
      </c>
      <c r="I440" s="63" t="s">
        <v>67</v>
      </c>
      <c r="J440" s="213"/>
      <c r="K440" s="86"/>
      <c r="L440" s="87"/>
    </row>
    <row r="441" spans="2:12" x14ac:dyDescent="0.35">
      <c r="B441" s="79"/>
      <c r="C441" s="58"/>
      <c r="D441" s="93" t="s">
        <v>42</v>
      </c>
      <c r="E441" s="59"/>
      <c r="F441" s="59" t="s">
        <v>180</v>
      </c>
      <c r="G441" s="60"/>
      <c r="H441" s="145">
        <v>1</v>
      </c>
      <c r="I441" s="60" t="s">
        <v>62</v>
      </c>
      <c r="J441" s="51">
        <v>250000</v>
      </c>
      <c r="K441" s="64">
        <f t="shared" ref="K441" si="49">J441*H441</f>
        <v>250000</v>
      </c>
      <c r="L441" s="46"/>
    </row>
    <row r="442" spans="2:12" x14ac:dyDescent="0.35">
      <c r="B442" s="79"/>
      <c r="C442" s="58"/>
      <c r="D442" s="93"/>
      <c r="E442" s="59"/>
      <c r="F442" s="59" t="s">
        <v>59</v>
      </c>
      <c r="G442" s="60" t="s">
        <v>367</v>
      </c>
      <c r="H442" s="218">
        <v>2.3060159999999996</v>
      </c>
      <c r="I442" s="63" t="s">
        <v>67</v>
      </c>
      <c r="J442" s="73"/>
      <c r="K442" s="88"/>
      <c r="L442" s="46"/>
    </row>
    <row r="443" spans="2:12" x14ac:dyDescent="0.35">
      <c r="B443" s="79"/>
      <c r="C443" s="58"/>
      <c r="D443" s="93"/>
      <c r="E443" s="59"/>
      <c r="F443" s="59" t="s">
        <v>59</v>
      </c>
      <c r="G443" s="60" t="s">
        <v>368</v>
      </c>
      <c r="H443" s="218">
        <v>2.2607999999999993</v>
      </c>
      <c r="I443" s="63" t="s">
        <v>67</v>
      </c>
      <c r="J443" s="73"/>
      <c r="K443" s="88"/>
      <c r="L443" s="46"/>
    </row>
    <row r="444" spans="2:12" x14ac:dyDescent="0.35">
      <c r="B444" s="79"/>
      <c r="C444" s="58"/>
      <c r="D444" s="93" t="s">
        <v>43</v>
      </c>
      <c r="E444" s="59"/>
      <c r="F444" s="59" t="s">
        <v>180</v>
      </c>
      <c r="G444" s="60"/>
      <c r="H444" s="145">
        <v>1</v>
      </c>
      <c r="I444" s="60" t="s">
        <v>62</v>
      </c>
      <c r="J444" s="51">
        <v>250000</v>
      </c>
      <c r="K444" s="64">
        <f t="shared" ref="K444" si="50">J444*H444</f>
        <v>250000</v>
      </c>
      <c r="L444" s="46"/>
    </row>
    <row r="445" spans="2:12" x14ac:dyDescent="0.35">
      <c r="B445" s="79"/>
      <c r="C445" s="58"/>
      <c r="D445" s="93"/>
      <c r="E445" s="59"/>
      <c r="F445" s="59" t="s">
        <v>59</v>
      </c>
      <c r="G445" s="60" t="s">
        <v>367</v>
      </c>
      <c r="H445" s="218">
        <v>2.3060159999999996</v>
      </c>
      <c r="I445" s="63" t="s">
        <v>67</v>
      </c>
      <c r="J445" s="73"/>
      <c r="K445" s="88"/>
      <c r="L445" s="46"/>
    </row>
    <row r="446" spans="2:12" x14ac:dyDescent="0.35">
      <c r="B446" s="79"/>
      <c r="C446" s="58"/>
      <c r="D446" s="93"/>
      <c r="E446" s="59"/>
      <c r="F446" s="59" t="s">
        <v>59</v>
      </c>
      <c r="G446" s="60" t="s">
        <v>368</v>
      </c>
      <c r="H446" s="218">
        <v>2.2607999999999993</v>
      </c>
      <c r="I446" s="63" t="s">
        <v>67</v>
      </c>
      <c r="J446" s="73"/>
      <c r="K446" s="88"/>
      <c r="L446" s="46"/>
    </row>
    <row r="447" spans="2:12" x14ac:dyDescent="0.35">
      <c r="B447" s="79"/>
      <c r="C447" s="58"/>
      <c r="D447" s="93" t="s">
        <v>44</v>
      </c>
      <c r="E447" s="59"/>
      <c r="F447" s="59" t="s">
        <v>180</v>
      </c>
      <c r="G447" s="60"/>
      <c r="H447" s="145">
        <v>1</v>
      </c>
      <c r="I447" s="60" t="s">
        <v>62</v>
      </c>
      <c r="J447" s="51">
        <v>250000</v>
      </c>
      <c r="K447" s="64">
        <f t="shared" ref="K447" si="51">J447*H447</f>
        <v>250000</v>
      </c>
      <c r="L447" s="51"/>
    </row>
    <row r="448" spans="2:12" x14ac:dyDescent="0.35">
      <c r="B448" s="79"/>
      <c r="C448" s="58"/>
      <c r="D448" s="93"/>
      <c r="E448" s="59"/>
      <c r="F448" s="59" t="s">
        <v>59</v>
      </c>
      <c r="G448" s="60" t="s">
        <v>369</v>
      </c>
      <c r="H448" s="218">
        <v>2.4416639999999998</v>
      </c>
      <c r="I448" s="63" t="s">
        <v>67</v>
      </c>
      <c r="J448" s="61"/>
      <c r="K448" s="29"/>
      <c r="L448" s="51"/>
    </row>
    <row r="449" spans="2:12" x14ac:dyDescent="0.35">
      <c r="B449" s="79"/>
      <c r="C449" s="58"/>
      <c r="D449" s="93" t="s">
        <v>45</v>
      </c>
      <c r="E449" s="59"/>
      <c r="F449" s="59" t="s">
        <v>180</v>
      </c>
      <c r="G449" s="60"/>
      <c r="H449" s="145">
        <v>1</v>
      </c>
      <c r="I449" s="60" t="s">
        <v>62</v>
      </c>
      <c r="J449" s="51">
        <v>250000</v>
      </c>
      <c r="K449" s="64">
        <f t="shared" ref="K449" si="52">J449*H449</f>
        <v>250000</v>
      </c>
      <c r="L449" s="81"/>
    </row>
    <row r="450" spans="2:12" x14ac:dyDescent="0.35">
      <c r="B450" s="79"/>
      <c r="C450" s="58"/>
      <c r="D450" s="93"/>
      <c r="E450" s="59"/>
      <c r="F450" s="59" t="s">
        <v>59</v>
      </c>
      <c r="G450" s="60" t="s">
        <v>370</v>
      </c>
      <c r="H450" s="224">
        <v>1</v>
      </c>
      <c r="I450" s="63" t="s">
        <v>63</v>
      </c>
      <c r="J450" s="72"/>
      <c r="K450" s="64"/>
      <c r="L450" s="46"/>
    </row>
    <row r="451" spans="2:12" x14ac:dyDescent="0.35">
      <c r="B451" s="79"/>
      <c r="C451" s="58"/>
      <c r="D451" s="93"/>
      <c r="E451" s="59"/>
      <c r="F451" s="59" t="s">
        <v>59</v>
      </c>
      <c r="G451" s="60" t="s">
        <v>371</v>
      </c>
      <c r="H451" s="218">
        <v>1.9216799999999996</v>
      </c>
      <c r="I451" s="91" t="s">
        <v>67</v>
      </c>
      <c r="J451" s="64"/>
      <c r="K451" s="64"/>
      <c r="L451" s="46"/>
    </row>
    <row r="452" spans="2:12" x14ac:dyDescent="0.35">
      <c r="B452" s="79"/>
      <c r="C452" s="58" t="s">
        <v>372</v>
      </c>
      <c r="D452" s="93"/>
      <c r="E452" s="59"/>
      <c r="F452" s="59" t="s">
        <v>181</v>
      </c>
      <c r="G452" s="60"/>
      <c r="H452" s="92"/>
      <c r="I452" s="59"/>
      <c r="J452" s="64"/>
      <c r="K452" s="64"/>
      <c r="L452" s="46"/>
    </row>
    <row r="453" spans="2:12" x14ac:dyDescent="0.35">
      <c r="B453" s="79"/>
      <c r="C453" s="58"/>
      <c r="D453" s="93" t="s">
        <v>36</v>
      </c>
      <c r="E453" s="59"/>
      <c r="F453" s="59" t="s">
        <v>182</v>
      </c>
      <c r="G453" s="60"/>
      <c r="H453" s="92">
        <v>7</v>
      </c>
      <c r="I453" s="59" t="s">
        <v>78</v>
      </c>
      <c r="J453" s="64">
        <v>1425000</v>
      </c>
      <c r="K453" s="64">
        <f t="shared" ref="K453:K454" si="53">J453*H453</f>
        <v>9975000</v>
      </c>
      <c r="L453" s="46"/>
    </row>
    <row r="454" spans="2:12" x14ac:dyDescent="0.35">
      <c r="B454" s="79"/>
      <c r="C454" s="58"/>
      <c r="D454" s="93" t="s">
        <v>38</v>
      </c>
      <c r="E454" s="59"/>
      <c r="F454" s="59" t="s">
        <v>183</v>
      </c>
      <c r="G454" s="60"/>
      <c r="H454" s="92">
        <v>4</v>
      </c>
      <c r="I454" s="59" t="s">
        <v>78</v>
      </c>
      <c r="J454" s="64">
        <v>350000</v>
      </c>
      <c r="K454" s="64">
        <f t="shared" si="53"/>
        <v>1400000</v>
      </c>
      <c r="L454" s="46"/>
    </row>
    <row r="455" spans="2:12" x14ac:dyDescent="0.35">
      <c r="B455" s="79"/>
      <c r="C455" s="58"/>
      <c r="D455" s="93"/>
      <c r="E455" s="59"/>
      <c r="F455" s="59" t="s">
        <v>59</v>
      </c>
      <c r="G455" s="60" t="s">
        <v>373</v>
      </c>
      <c r="H455" s="92">
        <v>8</v>
      </c>
      <c r="I455" s="59" t="s">
        <v>63</v>
      </c>
      <c r="J455" s="64">
        <v>90000</v>
      </c>
      <c r="K455" s="64"/>
      <c r="L455" s="46">
        <f t="shared" ref="L455:L456" si="54">J455*H455</f>
        <v>720000</v>
      </c>
    </row>
    <row r="456" spans="2:12" x14ac:dyDescent="0.35">
      <c r="B456" s="79"/>
      <c r="C456" s="58"/>
      <c r="D456" s="93"/>
      <c r="E456" s="59"/>
      <c r="F456" s="59" t="s">
        <v>59</v>
      </c>
      <c r="G456" s="60" t="s">
        <v>374</v>
      </c>
      <c r="H456" s="92">
        <v>16</v>
      </c>
      <c r="I456" s="59" t="s">
        <v>63</v>
      </c>
      <c r="J456" s="64">
        <v>40000</v>
      </c>
      <c r="K456" s="64"/>
      <c r="L456" s="46">
        <f t="shared" si="54"/>
        <v>640000</v>
      </c>
    </row>
    <row r="457" spans="2:12" x14ac:dyDescent="0.35">
      <c r="B457" s="79"/>
      <c r="C457" s="58" t="s">
        <v>375</v>
      </c>
      <c r="D457" s="93"/>
      <c r="E457" s="59"/>
      <c r="F457" s="59" t="s">
        <v>184</v>
      </c>
      <c r="G457" s="60"/>
      <c r="H457" s="92"/>
      <c r="I457" s="59"/>
      <c r="J457" s="50"/>
      <c r="K457" s="54"/>
      <c r="L457" s="46"/>
    </row>
    <row r="458" spans="2:12" x14ac:dyDescent="0.35">
      <c r="B458" s="79"/>
      <c r="C458" s="58"/>
      <c r="D458" s="93" t="s">
        <v>36</v>
      </c>
      <c r="E458" s="59"/>
      <c r="F458" s="59" t="s">
        <v>185</v>
      </c>
      <c r="G458" s="60"/>
      <c r="H458" s="92">
        <v>7</v>
      </c>
      <c r="I458" s="59" t="s">
        <v>73</v>
      </c>
      <c r="J458" s="64">
        <v>360000</v>
      </c>
      <c r="K458" s="64">
        <f t="shared" ref="K458" si="55">J458*H458</f>
        <v>2520000</v>
      </c>
      <c r="L458" s="46"/>
    </row>
    <row r="459" spans="2:12" x14ac:dyDescent="0.35">
      <c r="B459" s="79"/>
      <c r="C459" s="58"/>
      <c r="D459" s="93"/>
      <c r="E459" s="59"/>
      <c r="F459" s="59" t="s">
        <v>59</v>
      </c>
      <c r="G459" s="60" t="s">
        <v>376</v>
      </c>
      <c r="H459" s="92">
        <v>650</v>
      </c>
      <c r="I459" s="59" t="s">
        <v>64</v>
      </c>
      <c r="J459" s="64">
        <v>747</v>
      </c>
      <c r="K459" s="64"/>
      <c r="L459" s="46">
        <f t="shared" ref="L459:L463" si="56">J459*H459</f>
        <v>485550</v>
      </c>
    </row>
    <row r="460" spans="2:12" x14ac:dyDescent="0.35">
      <c r="B460" s="79"/>
      <c r="C460" s="58"/>
      <c r="D460" s="93"/>
      <c r="E460" s="59"/>
      <c r="F460" s="59" t="s">
        <v>59</v>
      </c>
      <c r="G460" s="60" t="s">
        <v>377</v>
      </c>
      <c r="H460" s="92">
        <v>2</v>
      </c>
      <c r="I460" s="60" t="s">
        <v>63</v>
      </c>
      <c r="J460" s="72">
        <v>235000</v>
      </c>
      <c r="K460" s="64"/>
      <c r="L460" s="46">
        <f t="shared" si="56"/>
        <v>470000</v>
      </c>
    </row>
    <row r="461" spans="2:12" x14ac:dyDescent="0.35">
      <c r="B461" s="79"/>
      <c r="C461" s="58"/>
      <c r="D461" s="93"/>
      <c r="E461" s="59"/>
      <c r="F461" s="59" t="s">
        <v>59</v>
      </c>
      <c r="G461" s="60" t="s">
        <v>378</v>
      </c>
      <c r="H461" s="92">
        <v>2</v>
      </c>
      <c r="I461" s="60" t="s">
        <v>63</v>
      </c>
      <c r="J461" s="72">
        <v>300000</v>
      </c>
      <c r="K461" s="64"/>
      <c r="L461" s="46">
        <f t="shared" si="56"/>
        <v>600000</v>
      </c>
    </row>
    <row r="462" spans="2:12" x14ac:dyDescent="0.35">
      <c r="B462" s="79"/>
      <c r="C462" s="58"/>
      <c r="D462" s="93"/>
      <c r="E462" s="59"/>
      <c r="F462" s="59" t="s">
        <v>59</v>
      </c>
      <c r="G462" s="60" t="s">
        <v>252</v>
      </c>
      <c r="H462" s="92">
        <v>8</v>
      </c>
      <c r="I462" s="60" t="s">
        <v>63</v>
      </c>
      <c r="J462" s="72">
        <v>35000</v>
      </c>
      <c r="K462" s="64"/>
      <c r="L462" s="46">
        <f t="shared" si="56"/>
        <v>280000</v>
      </c>
    </row>
    <row r="463" spans="2:12" x14ac:dyDescent="0.35">
      <c r="B463" s="79"/>
      <c r="C463" s="58"/>
      <c r="D463" s="93"/>
      <c r="E463" s="59"/>
      <c r="F463" s="59" t="s">
        <v>59</v>
      </c>
      <c r="G463" s="60" t="s">
        <v>379</v>
      </c>
      <c r="H463" s="92">
        <v>1</v>
      </c>
      <c r="I463" s="60" t="s">
        <v>63</v>
      </c>
      <c r="J463" s="72">
        <v>35000</v>
      </c>
      <c r="K463" s="64"/>
      <c r="L463" s="46">
        <f t="shared" si="56"/>
        <v>35000</v>
      </c>
    </row>
    <row r="464" spans="2:12" x14ac:dyDescent="0.35">
      <c r="B464" s="79" t="s">
        <v>60</v>
      </c>
      <c r="C464" s="58"/>
      <c r="D464" s="93"/>
      <c r="E464" s="59" t="s">
        <v>186</v>
      </c>
      <c r="F464" s="59"/>
      <c r="G464" s="60"/>
      <c r="H464" s="92"/>
      <c r="I464" s="60"/>
      <c r="J464" s="72"/>
      <c r="K464" s="64"/>
      <c r="L464" s="46"/>
    </row>
    <row r="465" spans="2:12" x14ac:dyDescent="0.35">
      <c r="B465" s="79"/>
      <c r="C465" s="58" t="s">
        <v>77</v>
      </c>
      <c r="D465" s="93"/>
      <c r="E465" s="59"/>
      <c r="F465" s="59" t="s">
        <v>187</v>
      </c>
      <c r="G465" s="60"/>
      <c r="H465" s="92"/>
      <c r="I465" s="60"/>
      <c r="J465" s="72"/>
      <c r="K465" s="64"/>
      <c r="L465" s="46"/>
    </row>
    <row r="466" spans="2:12" x14ac:dyDescent="0.35">
      <c r="B466" s="79"/>
      <c r="C466" s="58"/>
      <c r="D466" s="93" t="s">
        <v>36</v>
      </c>
      <c r="E466" s="59"/>
      <c r="F466" s="59" t="s">
        <v>188</v>
      </c>
      <c r="G466" s="60"/>
      <c r="H466" s="92">
        <v>1</v>
      </c>
      <c r="I466" s="60" t="s">
        <v>62</v>
      </c>
      <c r="J466" s="56">
        <v>9500000</v>
      </c>
      <c r="K466" s="64">
        <f t="shared" ref="K466" si="57">J466*H466</f>
        <v>9500000</v>
      </c>
      <c r="L466" s="46"/>
    </row>
    <row r="467" spans="2:12" x14ac:dyDescent="0.35">
      <c r="B467" s="79"/>
      <c r="C467" s="58"/>
      <c r="D467" s="93"/>
      <c r="E467" s="59"/>
      <c r="F467" s="59" t="s">
        <v>59</v>
      </c>
      <c r="G467" s="60" t="s">
        <v>380</v>
      </c>
      <c r="I467" s="22"/>
      <c r="J467" s="56"/>
      <c r="K467" s="56"/>
      <c r="L467" s="46"/>
    </row>
    <row r="468" spans="2:12" x14ac:dyDescent="0.35">
      <c r="D468" s="22"/>
      <c r="E468" s="132"/>
      <c r="F468" s="132"/>
      <c r="G468" s="155"/>
      <c r="I468" s="22"/>
      <c r="J468" s="72"/>
      <c r="K468" s="72"/>
      <c r="L468" s="46"/>
    </row>
    <row r="469" spans="2:12" x14ac:dyDescent="0.35">
      <c r="B469" s="154"/>
      <c r="C469" s="237"/>
      <c r="D469" s="128"/>
      <c r="E469" s="157"/>
      <c r="F469" s="157" t="s">
        <v>189</v>
      </c>
      <c r="G469" s="158"/>
      <c r="I469" s="22"/>
      <c r="J469" s="61"/>
      <c r="K469" s="54"/>
      <c r="L469" s="46"/>
    </row>
    <row r="470" spans="2:12" x14ac:dyDescent="0.35">
      <c r="B470" s="79" t="s">
        <v>35</v>
      </c>
      <c r="C470" s="58"/>
      <c r="D470" s="93"/>
      <c r="E470" s="59" t="s">
        <v>190</v>
      </c>
      <c r="F470" s="59"/>
      <c r="G470" s="60"/>
      <c r="H470" s="92"/>
      <c r="I470" s="60"/>
      <c r="J470" s="56"/>
      <c r="K470" s="57"/>
      <c r="L470" s="46"/>
    </row>
    <row r="471" spans="2:12" x14ac:dyDescent="0.35">
      <c r="B471" s="79"/>
      <c r="C471" s="58"/>
      <c r="D471" s="93" t="s">
        <v>36</v>
      </c>
      <c r="E471" s="59"/>
      <c r="F471" s="59"/>
      <c r="G471" s="60" t="s">
        <v>191</v>
      </c>
      <c r="H471" s="92">
        <v>2</v>
      </c>
      <c r="I471" s="60" t="s">
        <v>62</v>
      </c>
      <c r="J471" s="56">
        <v>1800000</v>
      </c>
      <c r="K471" s="64">
        <f t="shared" ref="K471" si="58">J471*H471</f>
        <v>3600000</v>
      </c>
      <c r="L471" s="46"/>
    </row>
    <row r="472" spans="2:12" x14ac:dyDescent="0.35">
      <c r="B472" s="79"/>
      <c r="C472" s="58"/>
      <c r="D472" s="93"/>
      <c r="E472" s="59"/>
      <c r="F472" s="59"/>
      <c r="G472" s="60"/>
      <c r="H472" s="92"/>
      <c r="I472" s="60"/>
      <c r="J472" s="56"/>
      <c r="K472" s="64"/>
      <c r="L472" s="46"/>
    </row>
    <row r="473" spans="2:12" x14ac:dyDescent="0.35">
      <c r="B473" s="79"/>
      <c r="C473" s="58"/>
      <c r="D473" s="93"/>
      <c r="E473" s="59"/>
      <c r="F473" s="59"/>
      <c r="G473" s="60"/>
      <c r="H473" s="92"/>
      <c r="I473" s="60"/>
      <c r="J473" s="51"/>
      <c r="K473" s="64"/>
      <c r="L473" s="46"/>
    </row>
    <row r="474" spans="2:12" x14ac:dyDescent="0.35">
      <c r="B474" s="8"/>
      <c r="C474" s="9"/>
      <c r="D474" s="10"/>
      <c r="E474" s="4"/>
      <c r="F474" s="4"/>
      <c r="G474" s="4"/>
      <c r="H474" s="1"/>
      <c r="I474" s="1"/>
      <c r="J474" s="11" t="s">
        <v>8</v>
      </c>
      <c r="K474" s="7">
        <f>SUM(K421:K473)</f>
        <v>48495000</v>
      </c>
      <c r="L474" s="7">
        <f>SUM(L421:L473)</f>
        <v>24240550</v>
      </c>
    </row>
    <row r="475" spans="2:12" x14ac:dyDescent="0.35">
      <c r="B475" s="8"/>
      <c r="C475" s="9"/>
      <c r="D475" s="9"/>
      <c r="E475" s="4"/>
      <c r="F475" s="4"/>
      <c r="G475" s="4"/>
      <c r="H475" s="1"/>
      <c r="I475" s="1"/>
      <c r="J475" s="11"/>
      <c r="K475" s="35" t="s">
        <v>15</v>
      </c>
      <c r="L475" s="36" t="s">
        <v>16</v>
      </c>
    </row>
    <row r="476" spans="2:12" x14ac:dyDescent="0.35">
      <c r="B476" s="3" t="s">
        <v>9</v>
      </c>
      <c r="C476" s="4"/>
      <c r="D476" s="4"/>
      <c r="E476" s="4"/>
      <c r="F476" s="4"/>
      <c r="G476" s="4"/>
      <c r="H476" s="1"/>
      <c r="I476" s="1"/>
      <c r="J476" s="12"/>
      <c r="K476" s="12"/>
      <c r="L476" s="13"/>
    </row>
    <row r="477" spans="2:12" x14ac:dyDescent="0.35">
      <c r="B477" s="37"/>
      <c r="C477" s="1"/>
      <c r="D477" s="1"/>
      <c r="E477" s="38"/>
      <c r="F477" s="38"/>
      <c r="G477" s="38"/>
      <c r="H477" s="1"/>
      <c r="I477" s="1"/>
      <c r="J477" s="1"/>
      <c r="K477" s="1"/>
      <c r="L477" s="19"/>
    </row>
    <row r="478" spans="2:12" x14ac:dyDescent="0.35">
      <c r="B478" s="28" t="s">
        <v>6</v>
      </c>
      <c r="C478" s="27"/>
      <c r="D478" s="27"/>
      <c r="E478" s="26"/>
      <c r="F478" s="26"/>
      <c r="G478" s="5"/>
      <c r="K478" s="287" t="str">
        <f>K411</f>
        <v>Balikpapan, 17 November 2025</v>
      </c>
      <c r="L478" s="288"/>
    </row>
    <row r="479" spans="2:12" x14ac:dyDescent="0.35">
      <c r="B479" s="28">
        <v>1</v>
      </c>
      <c r="C479" s="27"/>
      <c r="D479" s="27"/>
      <c r="E479" s="26" t="s">
        <v>7</v>
      </c>
      <c r="F479" s="26"/>
      <c r="G479" s="5"/>
      <c r="K479" s="287" t="s">
        <v>20</v>
      </c>
      <c r="L479" s="288"/>
    </row>
    <row r="480" spans="2:12" x14ac:dyDescent="0.35">
      <c r="B480" s="39"/>
      <c r="C480" s="27"/>
      <c r="D480" s="27"/>
      <c r="E480" s="26"/>
      <c r="F480" s="26"/>
      <c r="G480" s="5"/>
      <c r="J480" s="25"/>
      <c r="K480" s="25"/>
      <c r="L480" s="24"/>
    </row>
    <row r="481" spans="2:12" x14ac:dyDescent="0.35">
      <c r="B481" s="28"/>
      <c r="C481" s="27"/>
      <c r="D481" s="27"/>
      <c r="E481" s="26"/>
      <c r="F481" s="26"/>
      <c r="G481" s="5"/>
      <c r="L481" s="22"/>
    </row>
    <row r="482" spans="2:12" x14ac:dyDescent="0.35">
      <c r="B482" s="45"/>
      <c r="E482" s="5"/>
      <c r="F482" s="5"/>
      <c r="G482" s="5"/>
      <c r="L482" s="22"/>
    </row>
    <row r="483" spans="2:12" x14ac:dyDescent="0.35">
      <c r="B483" s="45"/>
      <c r="E483" s="5"/>
      <c r="F483" s="5"/>
      <c r="G483" s="5"/>
      <c r="L483" s="22"/>
    </row>
    <row r="484" spans="2:12" x14ac:dyDescent="0.35">
      <c r="B484" s="45"/>
      <c r="E484" s="5"/>
      <c r="F484" s="5"/>
      <c r="G484" s="5"/>
      <c r="L484" s="22"/>
    </row>
    <row r="485" spans="2:12" x14ac:dyDescent="0.35">
      <c r="B485" s="45"/>
      <c r="E485" s="5"/>
      <c r="F485" s="5"/>
      <c r="G485" s="5"/>
      <c r="J485" s="40"/>
      <c r="K485" s="289" t="s">
        <v>28</v>
      </c>
      <c r="L485" s="290"/>
    </row>
    <row r="486" spans="2:12" x14ac:dyDescent="0.35">
      <c r="B486" s="45"/>
      <c r="K486" s="291" t="s">
        <v>29</v>
      </c>
      <c r="L486" s="292"/>
    </row>
    <row r="487" spans="2:12" x14ac:dyDescent="0.35">
      <c r="B487" s="278"/>
      <c r="C487" s="279"/>
      <c r="D487" s="279"/>
      <c r="E487" s="41"/>
      <c r="F487" s="41"/>
      <c r="G487" s="41"/>
      <c r="H487" s="2"/>
      <c r="I487" s="2"/>
      <c r="J487" s="2"/>
      <c r="K487" s="2"/>
      <c r="L487" s="21"/>
    </row>
    <row r="488" spans="2:12" x14ac:dyDescent="0.35">
      <c r="B488" s="47"/>
      <c r="C488" s="48"/>
      <c r="D488" s="49"/>
      <c r="G488" s="22"/>
      <c r="H488" s="1"/>
      <c r="I488" s="1"/>
      <c r="J488" s="43"/>
      <c r="K488" s="30"/>
      <c r="L488" s="44"/>
    </row>
    <row r="489" spans="2:12" x14ac:dyDescent="0.35">
      <c r="B489" s="79"/>
      <c r="C489" s="58"/>
      <c r="D489" s="93" t="s">
        <v>38</v>
      </c>
      <c r="E489" s="59"/>
      <c r="F489" s="59"/>
      <c r="G489" s="60" t="s">
        <v>192</v>
      </c>
      <c r="H489" s="92">
        <v>2</v>
      </c>
      <c r="I489" s="60" t="s">
        <v>62</v>
      </c>
      <c r="J489" s="51">
        <v>750000</v>
      </c>
      <c r="K489" s="64">
        <f t="shared" ref="K489" si="59">J489*H489</f>
        <v>1500000</v>
      </c>
      <c r="L489" s="46"/>
    </row>
    <row r="490" spans="2:12" x14ac:dyDescent="0.35">
      <c r="B490" s="154" t="s">
        <v>50</v>
      </c>
      <c r="C490" s="237"/>
      <c r="D490" s="128"/>
      <c r="E490" s="132" t="s">
        <v>66</v>
      </c>
      <c r="F490" s="132"/>
      <c r="G490" s="155"/>
      <c r="H490" s="141"/>
      <c r="I490" s="155"/>
      <c r="J490" s="51"/>
      <c r="K490" s="64"/>
      <c r="L490" s="46"/>
    </row>
    <row r="491" spans="2:12" x14ac:dyDescent="0.35">
      <c r="B491" s="127"/>
      <c r="C491" s="237" t="s">
        <v>72</v>
      </c>
      <c r="D491" s="159"/>
      <c r="E491" s="160"/>
      <c r="F491" s="161" t="s">
        <v>193</v>
      </c>
      <c r="G491" s="162"/>
      <c r="H491" s="160"/>
      <c r="I491" s="162"/>
      <c r="J491" s="61"/>
      <c r="K491" s="54"/>
      <c r="L491" s="46"/>
    </row>
    <row r="492" spans="2:12" x14ac:dyDescent="0.35">
      <c r="B492" s="154"/>
      <c r="C492" s="237"/>
      <c r="D492" s="128" t="s">
        <v>36</v>
      </c>
      <c r="E492" s="132"/>
      <c r="F492" s="132" t="s">
        <v>194</v>
      </c>
      <c r="G492" s="155"/>
      <c r="H492" s="141"/>
      <c r="I492" s="155"/>
      <c r="J492" s="51"/>
      <c r="K492" s="64"/>
      <c r="L492" s="46"/>
    </row>
    <row r="493" spans="2:12" x14ac:dyDescent="0.35">
      <c r="B493" s="79"/>
      <c r="C493" s="58"/>
      <c r="D493" s="93"/>
      <c r="E493" s="59"/>
      <c r="F493" s="59" t="s">
        <v>59</v>
      </c>
      <c r="G493" s="60" t="s">
        <v>403</v>
      </c>
      <c r="H493" s="143">
        <v>153.48319999999998</v>
      </c>
      <c r="I493" s="59" t="s">
        <v>67</v>
      </c>
      <c r="J493" s="46">
        <v>30000</v>
      </c>
      <c r="K493" s="64"/>
      <c r="L493" s="46">
        <v>4604400</v>
      </c>
    </row>
    <row r="494" spans="2:12" x14ac:dyDescent="0.35">
      <c r="B494" s="79"/>
      <c r="C494" s="58"/>
      <c r="D494" s="93"/>
      <c r="E494" s="59"/>
      <c r="F494" s="59" t="s">
        <v>59</v>
      </c>
      <c r="G494" s="60" t="s">
        <v>404</v>
      </c>
      <c r="H494" s="143">
        <v>111.2188</v>
      </c>
      <c r="I494" s="59" t="s">
        <v>67</v>
      </c>
      <c r="J494" s="46">
        <v>30000</v>
      </c>
      <c r="K494" s="64"/>
      <c r="L494" s="46">
        <v>3336600</v>
      </c>
    </row>
    <row r="495" spans="2:12" x14ac:dyDescent="0.35">
      <c r="B495" s="79"/>
      <c r="C495" s="58"/>
      <c r="D495" s="93"/>
      <c r="E495" s="59"/>
      <c r="F495" s="59" t="s">
        <v>59</v>
      </c>
      <c r="G495" s="60" t="s">
        <v>520</v>
      </c>
      <c r="H495" s="143">
        <f>0.2*0.232564*10*7.85*1.2</f>
        <v>4.3815057599999996</v>
      </c>
      <c r="I495" s="59" t="s">
        <v>67</v>
      </c>
      <c r="J495" s="46">
        <v>30000</v>
      </c>
      <c r="K495" s="64"/>
      <c r="L495" s="46">
        <v>131400</v>
      </c>
    </row>
    <row r="496" spans="2:12" x14ac:dyDescent="0.35">
      <c r="B496" s="79"/>
      <c r="C496" s="58"/>
      <c r="D496" s="93" t="s">
        <v>38</v>
      </c>
      <c r="E496" s="59"/>
      <c r="F496" s="59" t="s">
        <v>195</v>
      </c>
      <c r="G496" s="60"/>
      <c r="H496" s="92"/>
      <c r="I496" s="59"/>
      <c r="J496" s="50"/>
      <c r="K496" s="54"/>
      <c r="L496" s="46"/>
    </row>
    <row r="497" spans="2:12" x14ac:dyDescent="0.35">
      <c r="B497" s="79"/>
      <c r="C497" s="58"/>
      <c r="D497" s="93"/>
      <c r="E497" s="59"/>
      <c r="F497" s="59" t="s">
        <v>59</v>
      </c>
      <c r="G497" s="60" t="s">
        <v>406</v>
      </c>
      <c r="H497" s="143">
        <v>714.45989999999995</v>
      </c>
      <c r="I497" s="59" t="s">
        <v>67</v>
      </c>
      <c r="J497" s="64">
        <v>30000</v>
      </c>
      <c r="K497" s="64"/>
      <c r="L497" s="46">
        <v>21433800</v>
      </c>
    </row>
    <row r="498" spans="2:12" x14ac:dyDescent="0.35">
      <c r="B498" s="79"/>
      <c r="C498" s="58"/>
      <c r="D498" s="93"/>
      <c r="E498" s="59"/>
      <c r="F498" s="59" t="s">
        <v>59</v>
      </c>
      <c r="G498" s="60" t="s">
        <v>407</v>
      </c>
      <c r="H498" s="143">
        <v>175.21199999999999</v>
      </c>
      <c r="I498" s="59" t="s">
        <v>67</v>
      </c>
      <c r="J498" s="64">
        <v>30000</v>
      </c>
      <c r="K498" s="64"/>
      <c r="L498" s="46">
        <v>5256300</v>
      </c>
    </row>
    <row r="499" spans="2:12" x14ac:dyDescent="0.35">
      <c r="B499" s="79"/>
      <c r="C499" s="58"/>
      <c r="D499" s="93"/>
      <c r="E499" s="59"/>
      <c r="F499" s="59" t="s">
        <v>59</v>
      </c>
      <c r="G499" s="60" t="s">
        <v>408</v>
      </c>
      <c r="H499" s="143">
        <v>39.337919999999997</v>
      </c>
      <c r="I499" s="59" t="s">
        <v>67</v>
      </c>
      <c r="J499" s="64">
        <v>30000</v>
      </c>
      <c r="K499" s="64"/>
      <c r="L499" s="46">
        <v>1180200</v>
      </c>
    </row>
    <row r="500" spans="2:12" x14ac:dyDescent="0.35">
      <c r="B500" s="79"/>
      <c r="C500" s="58"/>
      <c r="D500" s="93"/>
      <c r="E500" s="59"/>
      <c r="F500" s="59" t="s">
        <v>59</v>
      </c>
      <c r="G500" s="60" t="s">
        <v>409</v>
      </c>
      <c r="H500" s="143">
        <v>743.47350000000006</v>
      </c>
      <c r="I500" s="59" t="s">
        <v>67</v>
      </c>
      <c r="J500" s="64">
        <v>30000</v>
      </c>
      <c r="K500" s="64"/>
      <c r="L500" s="46">
        <v>22304100</v>
      </c>
    </row>
    <row r="501" spans="2:12" x14ac:dyDescent="0.35">
      <c r="B501" s="79"/>
      <c r="C501" s="58"/>
      <c r="D501" s="93"/>
      <c r="E501" s="59"/>
      <c r="F501" s="59" t="s">
        <v>59</v>
      </c>
      <c r="G501" s="60" t="s">
        <v>410</v>
      </c>
      <c r="H501" s="143">
        <v>347.59800000000001</v>
      </c>
      <c r="I501" s="60" t="s">
        <v>67</v>
      </c>
      <c r="J501" s="64">
        <v>30000</v>
      </c>
      <c r="K501" s="64"/>
      <c r="L501" s="46">
        <v>10428000</v>
      </c>
    </row>
    <row r="502" spans="2:12" x14ac:dyDescent="0.35">
      <c r="B502" s="79"/>
      <c r="C502" s="58"/>
      <c r="D502" s="93"/>
      <c r="E502" s="59"/>
      <c r="F502" s="59" t="s">
        <v>59</v>
      </c>
      <c r="G502" s="60" t="s">
        <v>411</v>
      </c>
      <c r="H502" s="143">
        <v>75.36</v>
      </c>
      <c r="I502" s="60" t="s">
        <v>67</v>
      </c>
      <c r="J502" s="64">
        <v>30000</v>
      </c>
      <c r="K502" s="64"/>
      <c r="L502" s="46">
        <v>2260800</v>
      </c>
    </row>
    <row r="503" spans="2:12" x14ac:dyDescent="0.35">
      <c r="B503" s="75"/>
      <c r="C503" s="76"/>
      <c r="D503" s="144"/>
      <c r="E503" s="59"/>
      <c r="F503" s="68" t="s">
        <v>59</v>
      </c>
      <c r="G503" s="135" t="s">
        <v>412</v>
      </c>
      <c r="H503" s="143">
        <v>736.24365</v>
      </c>
      <c r="I503" s="60" t="s">
        <v>67</v>
      </c>
      <c r="J503" s="64">
        <v>30000</v>
      </c>
      <c r="K503" s="64"/>
      <c r="L503" s="46">
        <v>22087200</v>
      </c>
    </row>
    <row r="504" spans="2:12" x14ac:dyDescent="0.35">
      <c r="B504" s="79"/>
      <c r="C504" s="58"/>
      <c r="D504" s="93"/>
      <c r="E504" s="59"/>
      <c r="F504" s="59" t="s">
        <v>59</v>
      </c>
      <c r="G504" s="60" t="s">
        <v>413</v>
      </c>
      <c r="H504" s="143">
        <v>167.18616</v>
      </c>
      <c r="I504" s="60" t="s">
        <v>67</v>
      </c>
      <c r="J504" s="64">
        <v>30000</v>
      </c>
      <c r="K504" s="64"/>
      <c r="L504" s="46">
        <v>5015700</v>
      </c>
    </row>
    <row r="505" spans="2:12" x14ac:dyDescent="0.35">
      <c r="B505" s="79"/>
      <c r="C505" s="58"/>
      <c r="D505" s="93"/>
      <c r="E505" s="59"/>
      <c r="F505" s="59" t="s">
        <v>59</v>
      </c>
      <c r="G505" s="60" t="s">
        <v>414</v>
      </c>
      <c r="H505" s="143">
        <v>161.17619999999999</v>
      </c>
      <c r="I505" s="60" t="s">
        <v>67</v>
      </c>
      <c r="J505" s="64">
        <v>30000</v>
      </c>
      <c r="K505" s="56"/>
      <c r="L505" s="46">
        <v>4835400</v>
      </c>
    </row>
    <row r="506" spans="2:12" x14ac:dyDescent="0.35">
      <c r="B506" s="79"/>
      <c r="C506" s="58"/>
      <c r="D506" s="93"/>
      <c r="E506" s="59"/>
      <c r="F506" s="59" t="s">
        <v>59</v>
      </c>
      <c r="G506" s="60" t="s">
        <v>415</v>
      </c>
      <c r="H506" s="92">
        <v>1</v>
      </c>
      <c r="I506" s="60" t="s">
        <v>37</v>
      </c>
      <c r="J506" s="56">
        <v>2500000</v>
      </c>
      <c r="K506" s="64">
        <f t="shared" ref="K506:K509" si="60">J506*H506</f>
        <v>2500000</v>
      </c>
      <c r="L506" s="46"/>
    </row>
    <row r="507" spans="2:12" x14ac:dyDescent="0.35">
      <c r="B507" s="79"/>
      <c r="C507" s="58"/>
      <c r="D507" s="93"/>
      <c r="E507" s="59"/>
      <c r="F507" s="59" t="s">
        <v>59</v>
      </c>
      <c r="G507" s="60" t="s">
        <v>416</v>
      </c>
      <c r="H507" s="92">
        <v>1</v>
      </c>
      <c r="I507" s="60" t="s">
        <v>37</v>
      </c>
      <c r="J507" s="56">
        <v>2500000</v>
      </c>
      <c r="K507" s="64">
        <f t="shared" si="60"/>
        <v>2500000</v>
      </c>
      <c r="L507" s="46"/>
    </row>
    <row r="508" spans="2:12" x14ac:dyDescent="0.35">
      <c r="B508" s="79"/>
      <c r="C508" s="58"/>
      <c r="D508" s="93"/>
      <c r="E508" s="59"/>
      <c r="F508" s="59" t="s">
        <v>59</v>
      </c>
      <c r="G508" s="60" t="s">
        <v>417</v>
      </c>
      <c r="H508" s="92">
        <v>1</v>
      </c>
      <c r="I508" s="60" t="s">
        <v>63</v>
      </c>
      <c r="J508" s="56">
        <v>2500000</v>
      </c>
      <c r="K508" s="64">
        <f t="shared" si="60"/>
        <v>2500000</v>
      </c>
      <c r="L508" s="46"/>
    </row>
    <row r="509" spans="2:12" x14ac:dyDescent="0.35">
      <c r="B509" s="79"/>
      <c r="C509" s="58"/>
      <c r="D509" s="93"/>
      <c r="E509" s="59"/>
      <c r="F509" s="59" t="s">
        <v>59</v>
      </c>
      <c r="G509" s="60" t="s">
        <v>418</v>
      </c>
      <c r="H509" s="92">
        <v>2</v>
      </c>
      <c r="I509" s="60" t="s">
        <v>63</v>
      </c>
      <c r="J509" s="56">
        <v>3000000</v>
      </c>
      <c r="K509" s="64">
        <f t="shared" si="60"/>
        <v>6000000</v>
      </c>
      <c r="L509" s="46"/>
    </row>
    <row r="510" spans="2:12" x14ac:dyDescent="0.35">
      <c r="B510" s="80"/>
      <c r="C510" s="65"/>
      <c r="D510" s="95"/>
      <c r="E510" s="257"/>
      <c r="F510" s="257"/>
      <c r="G510" s="258"/>
      <c r="I510" s="22"/>
      <c r="J510" s="51"/>
      <c r="K510" s="276"/>
      <c r="L510" s="34"/>
    </row>
    <row r="511" spans="2:12" x14ac:dyDescent="0.35">
      <c r="B511" s="79"/>
      <c r="C511" s="58"/>
      <c r="D511" s="93"/>
      <c r="E511" s="157"/>
      <c r="F511" s="157" t="s">
        <v>196</v>
      </c>
      <c r="G511" s="158"/>
      <c r="I511" s="22"/>
      <c r="J511" s="51"/>
      <c r="K511" s="264"/>
      <c r="L511"/>
    </row>
    <row r="512" spans="2:12" x14ac:dyDescent="0.35">
      <c r="B512" s="79" t="s">
        <v>35</v>
      </c>
      <c r="C512" s="58"/>
      <c r="D512" s="93"/>
      <c r="E512" s="59" t="s">
        <v>66</v>
      </c>
      <c r="F512" s="59"/>
      <c r="G512" s="60"/>
      <c r="H512" s="92"/>
      <c r="I512" s="60"/>
      <c r="J512" s="56"/>
      <c r="K512" s="56"/>
      <c r="L512" s="46"/>
    </row>
    <row r="513" spans="2:12" x14ac:dyDescent="0.35">
      <c r="B513" s="79"/>
      <c r="C513" s="58" t="s">
        <v>68</v>
      </c>
      <c r="D513" s="93"/>
      <c r="E513" s="59"/>
      <c r="F513" s="59" t="s">
        <v>197</v>
      </c>
      <c r="G513" s="60"/>
      <c r="I513" s="22"/>
      <c r="J513" s="51"/>
      <c r="K513" s="64"/>
      <c r="L513" s="46"/>
    </row>
    <row r="514" spans="2:12" x14ac:dyDescent="0.35">
      <c r="B514" s="79"/>
      <c r="C514" s="58"/>
      <c r="D514" s="93" t="s">
        <v>36</v>
      </c>
      <c r="E514" s="59"/>
      <c r="F514" s="59" t="s">
        <v>198</v>
      </c>
      <c r="G514" s="60"/>
      <c r="H514" s="92"/>
      <c r="I514" s="60"/>
      <c r="J514" s="51"/>
      <c r="K514" s="64"/>
      <c r="L514" s="46"/>
    </row>
    <row r="515" spans="2:12" x14ac:dyDescent="0.35">
      <c r="B515" s="79"/>
      <c r="C515" s="58"/>
      <c r="D515" s="93"/>
      <c r="E515" s="59"/>
      <c r="F515" s="59" t="s">
        <v>59</v>
      </c>
      <c r="G515" s="60" t="s">
        <v>419</v>
      </c>
      <c r="H515" s="143">
        <v>111.94099999999999</v>
      </c>
      <c r="I515" s="60" t="s">
        <v>67</v>
      </c>
      <c r="J515" s="61">
        <v>30000</v>
      </c>
      <c r="K515" s="54"/>
      <c r="L515" s="46">
        <v>3358200</v>
      </c>
    </row>
    <row r="516" spans="2:12" x14ac:dyDescent="0.35">
      <c r="D516" s="22"/>
      <c r="E516" s="59"/>
      <c r="F516" s="59" t="s">
        <v>59</v>
      </c>
      <c r="G516" s="60" t="s">
        <v>420</v>
      </c>
      <c r="H516" s="143">
        <v>107.86685</v>
      </c>
      <c r="I516" s="60" t="s">
        <v>67</v>
      </c>
      <c r="J516" s="61">
        <v>30000</v>
      </c>
      <c r="K516" s="64"/>
      <c r="L516" s="46">
        <v>3236100</v>
      </c>
    </row>
    <row r="517" spans="2:12" x14ac:dyDescent="0.35">
      <c r="B517" s="79"/>
      <c r="C517" s="58"/>
      <c r="D517" s="93"/>
      <c r="E517" s="59"/>
      <c r="F517" s="59" t="s">
        <v>59</v>
      </c>
      <c r="G517" s="60" t="s">
        <v>421</v>
      </c>
      <c r="H517" s="143">
        <v>156.23070000000001</v>
      </c>
      <c r="I517" s="60" t="s">
        <v>67</v>
      </c>
      <c r="J517" s="61">
        <v>30000</v>
      </c>
      <c r="K517" s="64"/>
      <c r="L517" s="46">
        <v>4686900</v>
      </c>
    </row>
    <row r="518" spans="2:12" x14ac:dyDescent="0.35">
      <c r="B518" s="79"/>
      <c r="C518" s="58" t="s">
        <v>69</v>
      </c>
      <c r="D518" s="93"/>
      <c r="E518" s="59"/>
      <c r="F518" s="59" t="s">
        <v>199</v>
      </c>
      <c r="G518" s="60"/>
      <c r="H518" s="92"/>
      <c r="I518" s="60"/>
      <c r="J518" s="61"/>
      <c r="K518" s="54"/>
      <c r="L518" s="46"/>
    </row>
    <row r="519" spans="2:12" x14ac:dyDescent="0.35">
      <c r="B519" s="79"/>
      <c r="C519" s="58"/>
      <c r="D519" s="93" t="s">
        <v>36</v>
      </c>
      <c r="E519" s="59"/>
      <c r="F519" s="59" t="s">
        <v>201</v>
      </c>
      <c r="G519" s="60"/>
      <c r="H519" s="92"/>
      <c r="I519" s="60"/>
      <c r="J519" s="51"/>
      <c r="K519" s="64"/>
      <c r="L519" s="46"/>
    </row>
    <row r="520" spans="2:12" x14ac:dyDescent="0.35">
      <c r="B520" s="79"/>
      <c r="C520" s="58"/>
      <c r="D520" s="93"/>
      <c r="E520" s="59"/>
      <c r="F520" s="59" t="s">
        <v>59</v>
      </c>
      <c r="G520" s="60" t="s">
        <v>422</v>
      </c>
      <c r="H520" s="143">
        <v>12.208319999999995</v>
      </c>
      <c r="I520" s="60" t="s">
        <v>67</v>
      </c>
      <c r="J520" s="51">
        <v>30000</v>
      </c>
      <c r="K520" s="55"/>
      <c r="L520" s="46">
        <v>366300</v>
      </c>
    </row>
    <row r="521" spans="2:12" x14ac:dyDescent="0.35">
      <c r="B521" s="79"/>
      <c r="C521" s="58"/>
      <c r="D521" s="93"/>
      <c r="E521" s="59"/>
      <c r="F521" s="59" t="s">
        <v>59</v>
      </c>
      <c r="G521" s="60" t="s">
        <v>423</v>
      </c>
      <c r="H521" s="143">
        <v>29.605175999999993</v>
      </c>
      <c r="I521" s="60" t="s">
        <v>67</v>
      </c>
      <c r="J521" s="51">
        <v>30000</v>
      </c>
      <c r="K521" s="82"/>
      <c r="L521" s="46">
        <v>888300</v>
      </c>
    </row>
    <row r="522" spans="2:12" x14ac:dyDescent="0.35">
      <c r="B522" s="79"/>
      <c r="C522" s="58"/>
      <c r="D522" s="93"/>
      <c r="E522" s="59"/>
      <c r="F522" s="59" t="s">
        <v>59</v>
      </c>
      <c r="G522" s="60" t="s">
        <v>423</v>
      </c>
      <c r="H522" s="143">
        <v>29.605175999999993</v>
      </c>
      <c r="I522" s="60" t="s">
        <v>67</v>
      </c>
      <c r="J522" s="51">
        <v>30000</v>
      </c>
      <c r="K522" s="64"/>
      <c r="L522" s="46">
        <v>888300</v>
      </c>
    </row>
    <row r="523" spans="2:12" x14ac:dyDescent="0.35">
      <c r="B523" s="79"/>
      <c r="C523" s="58"/>
      <c r="D523" s="93"/>
      <c r="E523" s="59"/>
      <c r="F523" s="59" t="s">
        <v>59</v>
      </c>
      <c r="G523" s="60" t="s">
        <v>424</v>
      </c>
      <c r="H523" s="143">
        <v>11.168351999999997</v>
      </c>
      <c r="I523" s="60" t="s">
        <v>67</v>
      </c>
      <c r="J523" s="51">
        <v>30000</v>
      </c>
      <c r="K523" s="64"/>
      <c r="L523" s="46">
        <v>335100</v>
      </c>
    </row>
    <row r="524" spans="2:12" x14ac:dyDescent="0.35">
      <c r="B524" s="79"/>
      <c r="C524" s="58"/>
      <c r="D524" s="93"/>
      <c r="E524" s="59"/>
      <c r="F524" s="59" t="s">
        <v>59</v>
      </c>
      <c r="G524" s="60" t="s">
        <v>425</v>
      </c>
      <c r="H524" s="143">
        <f>0.3*0.3*12*7.85*1.2</f>
        <v>10.173599999999999</v>
      </c>
      <c r="I524" s="60" t="s">
        <v>67</v>
      </c>
      <c r="J524" s="51">
        <v>30000</v>
      </c>
      <c r="K524" s="86"/>
      <c r="L524" s="46">
        <v>305100</v>
      </c>
    </row>
    <row r="525" spans="2:12" x14ac:dyDescent="0.35">
      <c r="B525" s="79"/>
      <c r="C525" s="58"/>
      <c r="D525" s="93"/>
      <c r="E525" s="59"/>
      <c r="F525" s="59" t="s">
        <v>59</v>
      </c>
      <c r="G525" s="60" t="s">
        <v>426</v>
      </c>
      <c r="H525" s="143">
        <v>8.4779999999999998</v>
      </c>
      <c r="I525" s="60" t="s">
        <v>67</v>
      </c>
      <c r="J525" s="51">
        <v>30000</v>
      </c>
      <c r="K525" s="86"/>
      <c r="L525" s="46">
        <v>254400</v>
      </c>
    </row>
    <row r="526" spans="2:12" x14ac:dyDescent="0.35">
      <c r="B526" s="79"/>
      <c r="C526" s="58" t="s">
        <v>70</v>
      </c>
      <c r="D526" s="93"/>
      <c r="E526" s="59"/>
      <c r="F526" s="59" t="s">
        <v>202</v>
      </c>
      <c r="G526" s="60"/>
      <c r="H526" s="92"/>
      <c r="I526" s="60"/>
      <c r="J526" s="213"/>
      <c r="K526" s="86"/>
      <c r="L526" s="46"/>
    </row>
    <row r="527" spans="2:12" x14ac:dyDescent="0.35">
      <c r="B527" s="79"/>
      <c r="C527" s="58"/>
      <c r="D527" s="93" t="s">
        <v>36</v>
      </c>
      <c r="E527" s="59"/>
      <c r="F527" s="59" t="s">
        <v>200</v>
      </c>
      <c r="G527" s="60"/>
      <c r="H527" s="92"/>
      <c r="I527" s="60"/>
      <c r="J527" s="213"/>
      <c r="K527" s="86"/>
      <c r="L527" s="46"/>
    </row>
    <row r="528" spans="2:12" x14ac:dyDescent="0.35">
      <c r="B528" s="79"/>
      <c r="C528" s="58"/>
      <c r="D528" s="93"/>
      <c r="E528" s="59"/>
      <c r="F528" s="59" t="s">
        <v>59</v>
      </c>
      <c r="G528" s="60" t="s">
        <v>427</v>
      </c>
      <c r="H528" s="143">
        <v>30.159071999999995</v>
      </c>
      <c r="I528" s="60" t="s">
        <v>67</v>
      </c>
      <c r="J528" s="51">
        <v>30000</v>
      </c>
      <c r="K528" s="88"/>
      <c r="L528" s="46">
        <v>904800</v>
      </c>
    </row>
    <row r="529" spans="2:12" x14ac:dyDescent="0.35">
      <c r="B529" s="79"/>
      <c r="C529" s="58"/>
      <c r="D529" s="93"/>
      <c r="E529" s="59"/>
      <c r="F529" s="59" t="s">
        <v>59</v>
      </c>
      <c r="G529" s="60" t="s">
        <v>428</v>
      </c>
      <c r="H529" s="143">
        <v>43.13606399999999</v>
      </c>
      <c r="I529" s="60" t="s">
        <v>67</v>
      </c>
      <c r="J529" s="51">
        <v>30000</v>
      </c>
      <c r="K529" s="88"/>
      <c r="L529" s="46">
        <v>1294200</v>
      </c>
    </row>
    <row r="530" spans="2:12" x14ac:dyDescent="0.35">
      <c r="B530" s="79"/>
      <c r="C530" s="58"/>
      <c r="D530" s="93" t="s">
        <v>38</v>
      </c>
      <c r="E530" s="59"/>
      <c r="F530" s="59" t="s">
        <v>203</v>
      </c>
      <c r="G530" s="60"/>
      <c r="H530" s="92"/>
      <c r="I530" s="60"/>
      <c r="J530" s="73"/>
      <c r="K530" s="88"/>
      <c r="L530" s="46"/>
    </row>
    <row r="531" spans="2:12" x14ac:dyDescent="0.35">
      <c r="B531" s="79"/>
      <c r="C531" s="58"/>
      <c r="D531" s="93"/>
      <c r="E531" s="59"/>
      <c r="F531" s="59" t="s">
        <v>59</v>
      </c>
      <c r="G531" s="60" t="s">
        <v>429</v>
      </c>
      <c r="H531" s="143">
        <v>19.895039999999995</v>
      </c>
      <c r="I531" s="60" t="s">
        <v>67</v>
      </c>
      <c r="J531" s="51">
        <v>30000</v>
      </c>
      <c r="K531" s="88"/>
      <c r="L531" s="46">
        <v>597000</v>
      </c>
    </row>
    <row r="532" spans="2:12" x14ac:dyDescent="0.35">
      <c r="B532" s="79"/>
      <c r="C532" s="58"/>
      <c r="D532" s="93"/>
      <c r="E532" s="59"/>
      <c r="F532" s="59" t="s">
        <v>59</v>
      </c>
      <c r="G532" s="60" t="s">
        <v>430</v>
      </c>
      <c r="H532" s="143">
        <v>15.769079999999997</v>
      </c>
      <c r="I532" s="60" t="s">
        <v>67</v>
      </c>
      <c r="J532" s="51">
        <v>30000</v>
      </c>
      <c r="K532" s="88"/>
      <c r="L532" s="46">
        <v>473100</v>
      </c>
    </row>
    <row r="533" spans="2:12" x14ac:dyDescent="0.35">
      <c r="B533" s="79"/>
      <c r="C533" s="58"/>
      <c r="D533" s="93"/>
      <c r="E533" s="59"/>
      <c r="F533" s="59" t="s">
        <v>59</v>
      </c>
      <c r="G533" s="60" t="s">
        <v>431</v>
      </c>
      <c r="H533" s="143">
        <v>5.6972159999999983</v>
      </c>
      <c r="I533" s="60" t="s">
        <v>67</v>
      </c>
      <c r="J533" s="51">
        <v>30000</v>
      </c>
      <c r="K533" s="88"/>
      <c r="L533" s="46">
        <v>171000</v>
      </c>
    </row>
    <row r="534" spans="2:12" x14ac:dyDescent="0.35">
      <c r="B534" s="79"/>
      <c r="C534" s="58"/>
      <c r="D534" s="93"/>
      <c r="E534" s="59"/>
      <c r="F534" s="59" t="s">
        <v>59</v>
      </c>
      <c r="G534" s="60" t="s">
        <v>432</v>
      </c>
      <c r="H534" s="153">
        <v>63.596303999999982</v>
      </c>
      <c r="I534" s="60" t="s">
        <v>67</v>
      </c>
      <c r="J534" s="51">
        <v>30000</v>
      </c>
      <c r="K534" s="29"/>
      <c r="L534" s="46">
        <v>1908000</v>
      </c>
    </row>
    <row r="535" spans="2:12" x14ac:dyDescent="0.35">
      <c r="B535" s="79"/>
      <c r="C535" s="58"/>
      <c r="D535" s="93"/>
      <c r="E535" s="59"/>
      <c r="F535" s="59" t="s">
        <v>59</v>
      </c>
      <c r="G535" s="60" t="s">
        <v>433</v>
      </c>
      <c r="H535" s="153">
        <v>3.3911999999999995</v>
      </c>
      <c r="I535" s="60" t="s">
        <v>67</v>
      </c>
      <c r="J535" s="51">
        <v>30000</v>
      </c>
      <c r="K535" s="29"/>
      <c r="L535" s="46">
        <v>101700</v>
      </c>
    </row>
    <row r="536" spans="2:12" x14ac:dyDescent="0.35">
      <c r="B536" s="79"/>
      <c r="C536" s="58"/>
      <c r="D536" s="93"/>
      <c r="E536" s="59"/>
      <c r="F536" s="59" t="s">
        <v>59</v>
      </c>
      <c r="G536" s="60" t="s">
        <v>434</v>
      </c>
      <c r="H536" s="153">
        <v>37.03190399999999</v>
      </c>
      <c r="I536" s="60" t="s">
        <v>67</v>
      </c>
      <c r="J536" s="51">
        <v>30000</v>
      </c>
      <c r="K536" s="29"/>
      <c r="L536" s="46">
        <v>1110900</v>
      </c>
    </row>
    <row r="537" spans="2:12" x14ac:dyDescent="0.35">
      <c r="B537" s="79"/>
      <c r="C537" s="58"/>
      <c r="D537" s="93"/>
      <c r="E537" s="59"/>
      <c r="F537" s="59"/>
      <c r="G537" s="60"/>
      <c r="H537" s="92"/>
      <c r="I537" s="59"/>
      <c r="J537" s="64"/>
      <c r="K537" s="64"/>
      <c r="L537" s="46"/>
    </row>
    <row r="538" spans="2:12" x14ac:dyDescent="0.35">
      <c r="B538" s="79"/>
      <c r="C538" s="58"/>
      <c r="D538" s="93"/>
      <c r="E538" s="59"/>
      <c r="F538" s="59"/>
      <c r="G538" s="60"/>
      <c r="H538" s="92"/>
      <c r="I538" s="59"/>
      <c r="J538" s="72"/>
      <c r="K538" s="64"/>
      <c r="L538" s="46"/>
    </row>
    <row r="539" spans="2:12" x14ac:dyDescent="0.35">
      <c r="B539" s="79"/>
      <c r="C539" s="58"/>
      <c r="D539" s="93"/>
      <c r="E539" s="59"/>
      <c r="F539" s="59"/>
      <c r="G539" s="60"/>
      <c r="H539" s="143"/>
      <c r="I539" s="60"/>
      <c r="J539" s="72"/>
      <c r="K539" s="64"/>
      <c r="L539" s="46"/>
    </row>
    <row r="540" spans="2:12" x14ac:dyDescent="0.35">
      <c r="B540" s="79"/>
      <c r="C540" s="58"/>
      <c r="D540" s="93"/>
      <c r="E540" s="59"/>
      <c r="F540" s="59"/>
      <c r="G540" s="60"/>
      <c r="H540" s="143"/>
      <c r="I540" s="60"/>
      <c r="J540" s="72"/>
      <c r="K540" s="64"/>
      <c r="L540" s="46"/>
    </row>
    <row r="541" spans="2:12" x14ac:dyDescent="0.35">
      <c r="B541" s="8"/>
      <c r="C541" s="9"/>
      <c r="D541" s="10"/>
      <c r="E541" s="4"/>
      <c r="F541" s="4"/>
      <c r="G541" s="4"/>
      <c r="H541" s="1"/>
      <c r="I541" s="1"/>
      <c r="J541" s="11" t="s">
        <v>8</v>
      </c>
      <c r="K541" s="7">
        <f>SUM(K488:K540)</f>
        <v>15000000</v>
      </c>
      <c r="L541" s="7">
        <f>SUM(L488:L540)</f>
        <v>123753300</v>
      </c>
    </row>
    <row r="542" spans="2:12" x14ac:dyDescent="0.35">
      <c r="B542" s="8"/>
      <c r="C542" s="9"/>
      <c r="D542" s="9"/>
      <c r="E542" s="4"/>
      <c r="F542" s="4"/>
      <c r="G542" s="4"/>
      <c r="H542" s="1"/>
      <c r="I542" s="1"/>
      <c r="J542" s="11"/>
      <c r="K542" s="35" t="s">
        <v>15</v>
      </c>
      <c r="L542" s="36" t="s">
        <v>16</v>
      </c>
    </row>
    <row r="543" spans="2:12" x14ac:dyDescent="0.35">
      <c r="B543" s="3" t="s">
        <v>9</v>
      </c>
      <c r="C543" s="4"/>
      <c r="D543" s="4"/>
      <c r="E543" s="4"/>
      <c r="F543" s="4"/>
      <c r="G543" s="4"/>
      <c r="H543" s="1"/>
      <c r="I543" s="1"/>
      <c r="J543" s="12"/>
      <c r="K543" s="12"/>
      <c r="L543" s="13"/>
    </row>
    <row r="544" spans="2:12" x14ac:dyDescent="0.35">
      <c r="B544" s="37"/>
      <c r="C544" s="1"/>
      <c r="D544" s="1"/>
      <c r="E544" s="38"/>
      <c r="F544" s="38"/>
      <c r="G544" s="38"/>
      <c r="H544" s="1"/>
      <c r="I544" s="1"/>
      <c r="J544" s="1"/>
      <c r="K544" s="1"/>
      <c r="L544" s="19"/>
    </row>
    <row r="545" spans="2:12" x14ac:dyDescent="0.35">
      <c r="B545" s="28" t="s">
        <v>6</v>
      </c>
      <c r="C545" s="27"/>
      <c r="D545" s="27"/>
      <c r="E545" s="26"/>
      <c r="F545" s="26"/>
      <c r="G545" s="5"/>
      <c r="K545" s="287" t="str">
        <f>K478</f>
        <v>Balikpapan, 17 November 2025</v>
      </c>
      <c r="L545" s="288"/>
    </row>
    <row r="546" spans="2:12" x14ac:dyDescent="0.35">
      <c r="B546" s="28">
        <v>1</v>
      </c>
      <c r="C546" s="27"/>
      <c r="D546" s="27"/>
      <c r="E546" s="26" t="s">
        <v>7</v>
      </c>
      <c r="F546" s="26"/>
      <c r="G546" s="5"/>
      <c r="K546" s="287" t="s">
        <v>20</v>
      </c>
      <c r="L546" s="288"/>
    </row>
    <row r="547" spans="2:12" x14ac:dyDescent="0.35">
      <c r="B547" s="39"/>
      <c r="C547" s="27"/>
      <c r="D547" s="27"/>
      <c r="E547" s="26"/>
      <c r="F547" s="26"/>
      <c r="G547" s="5"/>
      <c r="J547" s="25"/>
      <c r="K547" s="25"/>
      <c r="L547" s="24"/>
    </row>
    <row r="548" spans="2:12" x14ac:dyDescent="0.35">
      <c r="B548" s="28"/>
      <c r="C548" s="27"/>
      <c r="D548" s="27"/>
      <c r="E548" s="26"/>
      <c r="F548" s="26"/>
      <c r="G548" s="5"/>
      <c r="L548" s="22"/>
    </row>
    <row r="549" spans="2:12" x14ac:dyDescent="0.35">
      <c r="B549" s="45"/>
      <c r="E549" s="5"/>
      <c r="F549" s="5"/>
      <c r="G549" s="5"/>
      <c r="L549" s="22"/>
    </row>
    <row r="550" spans="2:12" x14ac:dyDescent="0.35">
      <c r="B550" s="45"/>
      <c r="E550" s="5"/>
      <c r="F550" s="5"/>
      <c r="G550" s="5"/>
      <c r="L550" s="22"/>
    </row>
    <row r="551" spans="2:12" x14ac:dyDescent="0.35">
      <c r="B551" s="45"/>
      <c r="E551" s="5"/>
      <c r="F551" s="5"/>
      <c r="G551" s="5"/>
      <c r="L551" s="22"/>
    </row>
    <row r="552" spans="2:12" x14ac:dyDescent="0.35">
      <c r="B552" s="45"/>
      <c r="E552" s="5"/>
      <c r="F552" s="5"/>
      <c r="G552" s="5"/>
      <c r="J552" s="40"/>
      <c r="K552" s="289" t="s">
        <v>28</v>
      </c>
      <c r="L552" s="290"/>
    </row>
    <row r="553" spans="2:12" x14ac:dyDescent="0.35">
      <c r="B553" s="45"/>
      <c r="K553" s="291" t="s">
        <v>29</v>
      </c>
      <c r="L553" s="292"/>
    </row>
    <row r="554" spans="2:12" x14ac:dyDescent="0.35">
      <c r="B554" s="278"/>
      <c r="C554" s="279"/>
      <c r="D554" s="279"/>
      <c r="E554" s="41"/>
      <c r="F554" s="41"/>
      <c r="G554" s="41"/>
      <c r="H554" s="2"/>
      <c r="I554" s="2"/>
      <c r="J554" s="2"/>
      <c r="K554" s="2"/>
      <c r="L554" s="21"/>
    </row>
    <row r="555" spans="2:12" x14ac:dyDescent="0.35">
      <c r="B555" s="47"/>
      <c r="C555" s="48"/>
      <c r="D555" s="49"/>
      <c r="G555" s="22"/>
      <c r="H555" s="1"/>
      <c r="I555" s="1"/>
      <c r="J555" s="43"/>
      <c r="K555" s="30"/>
      <c r="L555" s="44"/>
    </row>
    <row r="556" spans="2:12" x14ac:dyDescent="0.35">
      <c r="B556" s="79"/>
      <c r="C556" s="58" t="s">
        <v>71</v>
      </c>
      <c r="D556" s="93"/>
      <c r="E556" s="59"/>
      <c r="F556" s="59" t="s">
        <v>204</v>
      </c>
      <c r="G556" s="60"/>
      <c r="H556" s="94"/>
      <c r="I556" s="59"/>
      <c r="J556" s="46"/>
      <c r="K556" s="46"/>
      <c r="L556" s="81"/>
    </row>
    <row r="557" spans="2:12" x14ac:dyDescent="0.35">
      <c r="B557" s="79"/>
      <c r="C557" s="58"/>
      <c r="D557" s="93" t="s">
        <v>36</v>
      </c>
      <c r="E557" s="59"/>
      <c r="F557" s="59" t="s">
        <v>203</v>
      </c>
      <c r="G557" s="60"/>
      <c r="H557" s="92"/>
      <c r="I557" s="59"/>
      <c r="J557" s="64"/>
      <c r="K557" s="64"/>
      <c r="L557" s="46"/>
    </row>
    <row r="558" spans="2:12" x14ac:dyDescent="0.35">
      <c r="B558" s="79"/>
      <c r="C558" s="58"/>
      <c r="D558" s="93"/>
      <c r="E558" s="59"/>
      <c r="F558" s="59" t="s">
        <v>59</v>
      </c>
      <c r="G558" s="60" t="s">
        <v>435</v>
      </c>
      <c r="H558" s="143">
        <v>6.4093679999999988</v>
      </c>
      <c r="I558" s="60" t="s">
        <v>67</v>
      </c>
      <c r="J558" s="72">
        <v>30000</v>
      </c>
      <c r="K558" s="64"/>
      <c r="L558" s="46">
        <v>192300</v>
      </c>
    </row>
    <row r="559" spans="2:12" x14ac:dyDescent="0.35">
      <c r="B559" s="79"/>
      <c r="C559" s="58"/>
      <c r="D559" s="93"/>
      <c r="E559" s="59"/>
      <c r="F559" s="59" t="s">
        <v>59</v>
      </c>
      <c r="G559" s="60" t="s">
        <v>436</v>
      </c>
      <c r="H559" s="143">
        <v>18.515951999999999</v>
      </c>
      <c r="I559" s="60" t="s">
        <v>67</v>
      </c>
      <c r="J559" s="72">
        <v>30000</v>
      </c>
      <c r="K559" s="64"/>
      <c r="L559" s="46">
        <v>555600</v>
      </c>
    </row>
    <row r="560" spans="2:12" x14ac:dyDescent="0.35">
      <c r="B560" s="79"/>
      <c r="C560" s="58"/>
      <c r="D560" s="93"/>
      <c r="E560" s="59"/>
      <c r="F560" s="59" t="s">
        <v>59</v>
      </c>
      <c r="G560" s="60" t="s">
        <v>437</v>
      </c>
      <c r="H560" s="143">
        <v>4.6685519999999991</v>
      </c>
      <c r="I560" s="60" t="s">
        <v>67</v>
      </c>
      <c r="J560" s="72">
        <v>30000</v>
      </c>
      <c r="K560" s="64"/>
      <c r="L560" s="46">
        <v>140100</v>
      </c>
    </row>
    <row r="561" spans="2:12" x14ac:dyDescent="0.35">
      <c r="B561" s="79"/>
      <c r="C561" s="58"/>
      <c r="D561" s="93"/>
      <c r="E561" s="59"/>
      <c r="F561" s="59" t="s">
        <v>59</v>
      </c>
      <c r="G561" s="60" t="s">
        <v>438</v>
      </c>
      <c r="H561" s="143">
        <v>4.5215999999999994</v>
      </c>
      <c r="I561" s="60" t="s">
        <v>67</v>
      </c>
      <c r="J561" s="72">
        <v>30000</v>
      </c>
      <c r="K561" s="64"/>
      <c r="L561" s="46">
        <v>135600</v>
      </c>
    </row>
    <row r="562" spans="2:12" x14ac:dyDescent="0.35">
      <c r="B562" s="79"/>
      <c r="C562" s="58"/>
      <c r="D562" s="93"/>
      <c r="E562" s="59"/>
      <c r="F562" s="59" t="s">
        <v>59</v>
      </c>
      <c r="G562" s="60" t="s">
        <v>439</v>
      </c>
      <c r="H562" s="143">
        <v>4.8041999999999998</v>
      </c>
      <c r="I562" s="60" t="s">
        <v>67</v>
      </c>
      <c r="J562" s="72">
        <v>30000</v>
      </c>
      <c r="K562" s="64"/>
      <c r="L562" s="46">
        <v>144000</v>
      </c>
    </row>
    <row r="563" spans="2:12" x14ac:dyDescent="0.35">
      <c r="B563" s="79"/>
      <c r="C563" s="58"/>
      <c r="D563" s="93"/>
      <c r="E563" s="59"/>
      <c r="F563" s="59" t="s">
        <v>59</v>
      </c>
      <c r="G563" s="60" t="s">
        <v>440</v>
      </c>
      <c r="H563" s="143">
        <f>0.6*0.37*12*7.85*1.2</f>
        <v>25.09488</v>
      </c>
      <c r="I563" s="60" t="s">
        <v>67</v>
      </c>
      <c r="J563" s="72">
        <v>30000</v>
      </c>
      <c r="K563" s="64"/>
      <c r="L563" s="46">
        <v>752700</v>
      </c>
    </row>
    <row r="564" spans="2:12" x14ac:dyDescent="0.35">
      <c r="B564" s="79"/>
      <c r="C564" s="58"/>
      <c r="D564" s="93"/>
      <c r="E564" s="59"/>
      <c r="F564" s="59" t="s">
        <v>59</v>
      </c>
      <c r="G564" s="60" t="s">
        <v>441</v>
      </c>
      <c r="H564" s="143">
        <v>16.390799999999999</v>
      </c>
      <c r="I564" s="60" t="s">
        <v>67</v>
      </c>
      <c r="J564" s="72">
        <v>30000</v>
      </c>
      <c r="K564" s="54"/>
      <c r="L564" s="46">
        <v>491700</v>
      </c>
    </row>
    <row r="565" spans="2:12" x14ac:dyDescent="0.35">
      <c r="B565" s="79"/>
      <c r="C565" s="58"/>
      <c r="D565" s="93"/>
      <c r="E565" s="59"/>
      <c r="F565" s="59" t="s">
        <v>59</v>
      </c>
      <c r="G565" s="60" t="s">
        <v>442</v>
      </c>
      <c r="H565" s="143">
        <v>6.7823999999999991</v>
      </c>
      <c r="I565" s="60" t="s">
        <v>67</v>
      </c>
      <c r="J565" s="72">
        <v>30000</v>
      </c>
      <c r="K565" s="64"/>
      <c r="L565" s="46">
        <v>203400</v>
      </c>
    </row>
    <row r="566" spans="2:12" x14ac:dyDescent="0.35">
      <c r="B566" s="79"/>
      <c r="C566" s="58"/>
      <c r="D566" s="93"/>
      <c r="E566" s="59"/>
      <c r="F566" s="59" t="s">
        <v>59</v>
      </c>
      <c r="G566" s="60" t="s">
        <v>443</v>
      </c>
      <c r="H566" s="94">
        <v>500</v>
      </c>
      <c r="I566" s="60" t="s">
        <v>64</v>
      </c>
      <c r="J566" s="72">
        <v>0</v>
      </c>
      <c r="K566" s="64"/>
      <c r="L566" s="46">
        <f t="shared" ref="L566" si="61">J566*H566</f>
        <v>0</v>
      </c>
    </row>
    <row r="567" spans="2:12" x14ac:dyDescent="0.35">
      <c r="B567" s="154" t="s">
        <v>50</v>
      </c>
      <c r="C567" s="237"/>
      <c r="D567" s="128"/>
      <c r="E567" s="132" t="s">
        <v>138</v>
      </c>
      <c r="F567" s="132"/>
      <c r="G567" s="155"/>
      <c r="H567" s="163"/>
      <c r="I567" s="155"/>
      <c r="J567" s="72"/>
      <c r="K567" s="64"/>
      <c r="L567" s="46"/>
    </row>
    <row r="568" spans="2:12" x14ac:dyDescent="0.35">
      <c r="B568" s="79"/>
      <c r="C568" s="58"/>
      <c r="D568" s="93" t="s">
        <v>36</v>
      </c>
      <c r="E568" s="59"/>
      <c r="F568" s="59" t="s">
        <v>205</v>
      </c>
      <c r="G568" s="60"/>
      <c r="H568" s="94">
        <v>1</v>
      </c>
      <c r="I568" s="60" t="s">
        <v>58</v>
      </c>
      <c r="J568" s="72">
        <v>2400000</v>
      </c>
      <c r="K568" s="64">
        <f t="shared" ref="K568" si="62">J568*H568</f>
        <v>2400000</v>
      </c>
      <c r="L568" s="46"/>
    </row>
    <row r="569" spans="2:12" x14ac:dyDescent="0.35">
      <c r="B569" s="79"/>
      <c r="C569" s="58"/>
      <c r="D569" s="93"/>
      <c r="E569" s="59"/>
      <c r="F569" s="59"/>
      <c r="G569" s="60"/>
      <c r="H569" s="94"/>
      <c r="I569" s="60"/>
      <c r="J569" s="72"/>
      <c r="K569" s="64"/>
      <c r="L569" s="46"/>
    </row>
    <row r="570" spans="2:12" x14ac:dyDescent="0.35">
      <c r="B570" s="154"/>
      <c r="C570" s="237"/>
      <c r="D570" s="128"/>
      <c r="E570" s="157"/>
      <c r="F570" s="157" t="s">
        <v>444</v>
      </c>
      <c r="G570" s="158"/>
      <c r="H570" s="141"/>
      <c r="I570" s="155"/>
      <c r="J570" s="72"/>
      <c r="K570" s="64"/>
      <c r="L570" s="46"/>
    </row>
    <row r="571" spans="2:12" x14ac:dyDescent="0.35">
      <c r="B571" s="79" t="s">
        <v>35</v>
      </c>
      <c r="C571" s="58"/>
      <c r="D571" s="93"/>
      <c r="E571" s="59" t="s">
        <v>138</v>
      </c>
      <c r="F571" s="59"/>
      <c r="G571" s="60"/>
      <c r="H571" s="94"/>
      <c r="I571" s="60"/>
      <c r="J571" s="72"/>
      <c r="K571" s="64"/>
      <c r="L571" s="46"/>
    </row>
    <row r="572" spans="2:12" x14ac:dyDescent="0.35">
      <c r="B572" s="79"/>
      <c r="C572" s="58"/>
      <c r="D572" s="93" t="s">
        <v>36</v>
      </c>
      <c r="E572" s="59"/>
      <c r="F572" s="59" t="s">
        <v>445</v>
      </c>
      <c r="G572" s="60"/>
      <c r="H572" s="94">
        <v>1</v>
      </c>
      <c r="I572" s="60" t="s">
        <v>62</v>
      </c>
      <c r="J572" s="72">
        <v>2400000</v>
      </c>
      <c r="K572" s="64">
        <f t="shared" ref="K572" si="63">J572*H572</f>
        <v>2400000</v>
      </c>
      <c r="L572" s="46"/>
    </row>
    <row r="573" spans="2:12" x14ac:dyDescent="0.35">
      <c r="B573" s="79"/>
      <c r="C573" s="58"/>
      <c r="D573" s="93"/>
      <c r="E573" s="59"/>
      <c r="F573" s="59" t="s">
        <v>59</v>
      </c>
      <c r="G573" s="60" t="s">
        <v>446</v>
      </c>
      <c r="H573" s="102">
        <v>1</v>
      </c>
      <c r="I573" s="63" t="s">
        <v>63</v>
      </c>
      <c r="J573" s="56"/>
      <c r="K573" s="56"/>
      <c r="L573" s="46"/>
    </row>
    <row r="574" spans="2:12" x14ac:dyDescent="0.35">
      <c r="B574" s="79"/>
      <c r="C574" s="58"/>
      <c r="D574" s="93"/>
      <c r="E574" s="59"/>
      <c r="F574" s="59" t="s">
        <v>59</v>
      </c>
      <c r="G574" s="60" t="s">
        <v>447</v>
      </c>
      <c r="H574" s="102">
        <v>16</v>
      </c>
      <c r="I574" s="63" t="s">
        <v>63</v>
      </c>
      <c r="J574" s="56"/>
      <c r="K574" s="56"/>
      <c r="L574" s="46"/>
    </row>
    <row r="575" spans="2:12" x14ac:dyDescent="0.35">
      <c r="B575" s="79"/>
      <c r="C575" s="58"/>
      <c r="D575" s="93" t="s">
        <v>38</v>
      </c>
      <c r="E575" s="59"/>
      <c r="F575" s="59" t="s">
        <v>513</v>
      </c>
      <c r="G575" s="60"/>
      <c r="H575" s="94">
        <v>1</v>
      </c>
      <c r="I575" s="60" t="s">
        <v>62</v>
      </c>
      <c r="J575" s="72">
        <v>2400000</v>
      </c>
      <c r="K575" s="64">
        <f t="shared" ref="K575" si="64">J575*H575</f>
        <v>2400000</v>
      </c>
      <c r="L575" s="46"/>
    </row>
    <row r="576" spans="2:12" x14ac:dyDescent="0.35">
      <c r="B576" s="79"/>
      <c r="C576" s="58"/>
      <c r="D576" s="93"/>
      <c r="E576" s="59"/>
      <c r="F576" s="59" t="s">
        <v>59</v>
      </c>
      <c r="G576" s="60" t="s">
        <v>448</v>
      </c>
      <c r="H576" s="102">
        <v>160</v>
      </c>
      <c r="I576" s="63" t="s">
        <v>64</v>
      </c>
      <c r="J576" s="61"/>
      <c r="K576" s="54"/>
      <c r="L576" s="46"/>
    </row>
    <row r="577" spans="2:12" x14ac:dyDescent="0.35">
      <c r="B577" s="79"/>
      <c r="C577" s="58"/>
      <c r="D577" s="93"/>
      <c r="E577" s="59"/>
      <c r="F577" s="59" t="s">
        <v>59</v>
      </c>
      <c r="G577" s="60" t="s">
        <v>449</v>
      </c>
      <c r="H577" s="102">
        <v>8</v>
      </c>
      <c r="I577" s="63" t="s">
        <v>63</v>
      </c>
      <c r="J577" s="56"/>
      <c r="K577" s="56"/>
      <c r="L577" s="46"/>
    </row>
    <row r="578" spans="2:12" x14ac:dyDescent="0.35">
      <c r="B578" s="79"/>
      <c r="C578" s="58"/>
      <c r="D578" s="93"/>
      <c r="E578" s="59"/>
      <c r="F578" s="59" t="s">
        <v>59</v>
      </c>
      <c r="G578" s="60" t="s">
        <v>450</v>
      </c>
      <c r="H578" s="102">
        <v>1</v>
      </c>
      <c r="I578" s="63" t="s">
        <v>63</v>
      </c>
      <c r="J578" s="56"/>
      <c r="K578" s="57"/>
      <c r="L578" s="46"/>
    </row>
    <row r="579" spans="2:12" x14ac:dyDescent="0.35">
      <c r="B579" s="79"/>
      <c r="C579" s="58"/>
      <c r="D579" s="93"/>
      <c r="E579" s="59"/>
      <c r="F579" s="59" t="s">
        <v>59</v>
      </c>
      <c r="G579" s="60" t="s">
        <v>446</v>
      </c>
      <c r="H579" s="102">
        <v>1</v>
      </c>
      <c r="I579" s="63" t="s">
        <v>63</v>
      </c>
      <c r="J579" s="56"/>
      <c r="K579" s="56"/>
      <c r="L579" s="46"/>
    </row>
    <row r="580" spans="2:12" x14ac:dyDescent="0.35">
      <c r="B580" s="79"/>
      <c r="C580" s="58"/>
      <c r="D580" s="93" t="s">
        <v>39</v>
      </c>
      <c r="E580" s="59"/>
      <c r="F580" s="59" t="s">
        <v>451</v>
      </c>
      <c r="G580" s="60"/>
      <c r="H580" s="94">
        <v>1</v>
      </c>
      <c r="I580" s="60" t="s">
        <v>62</v>
      </c>
      <c r="J580" s="51">
        <v>2400000</v>
      </c>
      <c r="K580" s="64">
        <f t="shared" ref="K580" si="65">J580*H580</f>
        <v>2400000</v>
      </c>
      <c r="L580" s="46"/>
    </row>
    <row r="581" spans="2:12" x14ac:dyDescent="0.35">
      <c r="B581" s="79"/>
      <c r="C581" s="58"/>
      <c r="D581" s="93"/>
      <c r="E581" s="59"/>
      <c r="F581" s="59" t="s">
        <v>59</v>
      </c>
      <c r="G581" s="60" t="s">
        <v>446</v>
      </c>
      <c r="H581" s="102">
        <v>1</v>
      </c>
      <c r="I581" s="63" t="s">
        <v>63</v>
      </c>
      <c r="J581" s="51"/>
      <c r="K581" s="64"/>
      <c r="L581" s="46"/>
    </row>
    <row r="582" spans="2:12" x14ac:dyDescent="0.35">
      <c r="B582" s="79"/>
      <c r="C582" s="58"/>
      <c r="D582" s="93"/>
      <c r="E582" s="59"/>
      <c r="F582" s="59" t="s">
        <v>59</v>
      </c>
      <c r="G582" s="60" t="s">
        <v>452</v>
      </c>
      <c r="H582" s="102">
        <v>500</v>
      </c>
      <c r="I582" s="63" t="s">
        <v>64</v>
      </c>
      <c r="J582" s="61"/>
      <c r="K582" s="54"/>
      <c r="L582" s="46"/>
    </row>
    <row r="583" spans="2:12" x14ac:dyDescent="0.35">
      <c r="B583" s="79"/>
      <c r="C583" s="58"/>
      <c r="D583" s="93" t="s">
        <v>40</v>
      </c>
      <c r="E583" s="59"/>
      <c r="F583" s="59" t="s">
        <v>139</v>
      </c>
      <c r="G583" s="60"/>
      <c r="H583" s="94">
        <v>1</v>
      </c>
      <c r="I583" s="60" t="s">
        <v>62</v>
      </c>
      <c r="J583" s="51">
        <v>2400000</v>
      </c>
      <c r="K583" s="64">
        <f t="shared" ref="K583" si="66">J583*H583</f>
        <v>2400000</v>
      </c>
      <c r="L583" s="46"/>
    </row>
    <row r="584" spans="2:12" x14ac:dyDescent="0.35">
      <c r="B584" s="79"/>
      <c r="C584" s="58"/>
      <c r="D584" s="93"/>
      <c r="E584" s="59"/>
      <c r="F584" s="59" t="s">
        <v>59</v>
      </c>
      <c r="G584" s="60" t="s">
        <v>453</v>
      </c>
      <c r="H584" s="102">
        <v>1</v>
      </c>
      <c r="I584" s="63" t="s">
        <v>63</v>
      </c>
      <c r="J584" s="51"/>
      <c r="K584" s="64"/>
      <c r="L584" s="46"/>
    </row>
    <row r="585" spans="2:12" x14ac:dyDescent="0.35">
      <c r="B585" s="79"/>
      <c r="C585" s="58"/>
      <c r="D585" s="93" t="s">
        <v>42</v>
      </c>
      <c r="E585" s="59"/>
      <c r="F585" s="59" t="s">
        <v>140</v>
      </c>
      <c r="G585" s="60"/>
      <c r="H585" s="94">
        <v>1</v>
      </c>
      <c r="I585" s="60" t="s">
        <v>62</v>
      </c>
      <c r="J585" s="61">
        <v>1700000</v>
      </c>
      <c r="K585" s="64">
        <f t="shared" ref="K585" si="67">J585*H585</f>
        <v>1700000</v>
      </c>
      <c r="L585" s="46"/>
    </row>
    <row r="586" spans="2:12" x14ac:dyDescent="0.35">
      <c r="B586" s="79"/>
      <c r="C586" s="58"/>
      <c r="D586" s="93"/>
      <c r="E586" s="59"/>
      <c r="F586" s="59" t="s">
        <v>59</v>
      </c>
      <c r="G586" s="60" t="s">
        <v>454</v>
      </c>
      <c r="H586" s="102">
        <v>1</v>
      </c>
      <c r="I586" s="63" t="s">
        <v>63</v>
      </c>
      <c r="J586" s="51"/>
      <c r="K586" s="64"/>
      <c r="L586" s="46"/>
    </row>
    <row r="587" spans="2:12" x14ac:dyDescent="0.35">
      <c r="B587" s="79"/>
      <c r="C587" s="58"/>
      <c r="D587" s="93"/>
      <c r="E587" s="59"/>
      <c r="F587" s="59" t="s">
        <v>59</v>
      </c>
      <c r="G587" s="60" t="s">
        <v>452</v>
      </c>
      <c r="H587" s="102">
        <v>500</v>
      </c>
      <c r="I587" s="63" t="s">
        <v>64</v>
      </c>
      <c r="J587" s="51"/>
      <c r="K587" s="55"/>
      <c r="L587" s="46"/>
    </row>
    <row r="588" spans="2:12" x14ac:dyDescent="0.35">
      <c r="B588" s="79"/>
      <c r="C588" s="58"/>
      <c r="D588" s="93" t="s">
        <v>43</v>
      </c>
      <c r="E588" s="59"/>
      <c r="F588" s="59" t="s">
        <v>455</v>
      </c>
      <c r="G588" s="60"/>
      <c r="H588" s="94">
        <v>1</v>
      </c>
      <c r="I588" s="60" t="s">
        <v>62</v>
      </c>
      <c r="J588" s="199">
        <v>1700000</v>
      </c>
      <c r="K588" s="64">
        <f t="shared" ref="K588" si="68">J588*H588</f>
        <v>1700000</v>
      </c>
      <c r="L588" s="83"/>
    </row>
    <row r="589" spans="2:12" x14ac:dyDescent="0.35">
      <c r="B589" s="79"/>
      <c r="C589" s="58"/>
      <c r="D589" s="93"/>
      <c r="E589" s="59"/>
      <c r="F589" s="59" t="s">
        <v>59</v>
      </c>
      <c r="G589" s="60" t="s">
        <v>454</v>
      </c>
      <c r="H589" s="102">
        <v>1</v>
      </c>
      <c r="I589" s="63" t="s">
        <v>63</v>
      </c>
      <c r="J589" s="72"/>
      <c r="K589" s="64"/>
      <c r="L589" s="46"/>
    </row>
    <row r="590" spans="2:12" x14ac:dyDescent="0.35">
      <c r="B590" s="79"/>
      <c r="C590" s="58"/>
      <c r="D590" s="93"/>
      <c r="E590" s="59"/>
      <c r="F590" s="59" t="s">
        <v>59</v>
      </c>
      <c r="G590" s="60" t="s">
        <v>452</v>
      </c>
      <c r="H590" s="102">
        <v>500</v>
      </c>
      <c r="I590" s="63" t="s">
        <v>64</v>
      </c>
      <c r="J590" s="72"/>
      <c r="K590" s="64"/>
      <c r="L590" s="46"/>
    </row>
    <row r="591" spans="2:12" x14ac:dyDescent="0.35">
      <c r="B591" s="164"/>
      <c r="C591" s="240"/>
      <c r="D591" s="165" t="s">
        <v>44</v>
      </c>
      <c r="E591" s="111"/>
      <c r="F591" s="111" t="s">
        <v>141</v>
      </c>
      <c r="G591" s="78"/>
      <c r="H591" s="85">
        <v>1</v>
      </c>
      <c r="I591" s="78" t="s">
        <v>62</v>
      </c>
      <c r="J591" s="213">
        <v>2000000</v>
      </c>
      <c r="K591" s="64">
        <f t="shared" ref="K591" si="69">J591*H591</f>
        <v>2000000</v>
      </c>
      <c r="L591" s="87"/>
    </row>
    <row r="592" spans="2:12" x14ac:dyDescent="0.35">
      <c r="B592" s="79"/>
      <c r="C592" s="58"/>
      <c r="D592" s="93"/>
      <c r="E592" s="59"/>
      <c r="F592" s="59" t="s">
        <v>59</v>
      </c>
      <c r="G592" s="60" t="s">
        <v>456</v>
      </c>
      <c r="H592" s="102">
        <v>1</v>
      </c>
      <c r="I592" s="63" t="s">
        <v>63</v>
      </c>
      <c r="J592" s="213"/>
      <c r="K592" s="86"/>
      <c r="L592" s="87"/>
    </row>
    <row r="593" spans="2:12" x14ac:dyDescent="0.35">
      <c r="B593" s="79"/>
      <c r="C593" s="58"/>
      <c r="D593" s="93"/>
      <c r="E593" s="59"/>
      <c r="F593" s="59" t="s">
        <v>59</v>
      </c>
      <c r="G593" s="60" t="s">
        <v>452</v>
      </c>
      <c r="H593" s="215">
        <v>500</v>
      </c>
      <c r="I593" s="63" t="s">
        <v>64</v>
      </c>
      <c r="J593" s="213"/>
      <c r="K593" s="86"/>
      <c r="L593" s="87"/>
    </row>
    <row r="594" spans="2:12" x14ac:dyDescent="0.35">
      <c r="B594" s="79"/>
      <c r="C594" s="58"/>
      <c r="D594" s="93" t="s">
        <v>45</v>
      </c>
      <c r="E594" s="59"/>
      <c r="F594" s="59" t="s">
        <v>142</v>
      </c>
      <c r="G594" s="60"/>
      <c r="H594" s="92">
        <v>1</v>
      </c>
      <c r="I594" s="60" t="s">
        <v>62</v>
      </c>
      <c r="J594" s="213">
        <v>1100000</v>
      </c>
      <c r="K594" s="64">
        <f t="shared" ref="K594" si="70">J594*H594</f>
        <v>1100000</v>
      </c>
      <c r="L594" s="87"/>
    </row>
    <row r="595" spans="2:12" x14ac:dyDescent="0.35">
      <c r="B595" s="79"/>
      <c r="C595" s="58"/>
      <c r="D595" s="93"/>
      <c r="E595" s="59"/>
      <c r="F595" s="59" t="s">
        <v>59</v>
      </c>
      <c r="G595" s="60" t="s">
        <v>457</v>
      </c>
      <c r="H595" s="215">
        <v>1</v>
      </c>
      <c r="I595" s="63" t="s">
        <v>63</v>
      </c>
      <c r="J595" s="67"/>
      <c r="K595" s="88"/>
      <c r="L595" s="46"/>
    </row>
    <row r="596" spans="2:12" x14ac:dyDescent="0.35">
      <c r="B596" s="79"/>
      <c r="C596" s="58"/>
      <c r="D596" s="93" t="s">
        <v>46</v>
      </c>
      <c r="E596" s="59"/>
      <c r="F596" s="59" t="s">
        <v>143</v>
      </c>
      <c r="G596" s="60"/>
      <c r="H596" s="92">
        <v>1</v>
      </c>
      <c r="I596" s="60" t="s">
        <v>62</v>
      </c>
      <c r="J596" s="73">
        <v>1700000</v>
      </c>
      <c r="K596" s="64">
        <f t="shared" ref="K596" si="71">J596*H596</f>
        <v>1700000</v>
      </c>
      <c r="L596" s="46"/>
    </row>
    <row r="597" spans="2:12" x14ac:dyDescent="0.35">
      <c r="B597" s="79"/>
      <c r="C597" s="58"/>
      <c r="D597" s="93"/>
      <c r="E597" s="59"/>
      <c r="F597" s="59" t="s">
        <v>59</v>
      </c>
      <c r="G597" s="59" t="s">
        <v>456</v>
      </c>
      <c r="H597" s="62">
        <v>1</v>
      </c>
      <c r="I597" s="63" t="s">
        <v>63</v>
      </c>
      <c r="J597" s="73"/>
      <c r="K597" s="88"/>
      <c r="L597" s="46"/>
    </row>
    <row r="598" spans="2:12" x14ac:dyDescent="0.35">
      <c r="B598" s="127"/>
      <c r="C598" s="237"/>
      <c r="D598" s="128"/>
      <c r="E598" s="132"/>
      <c r="F598" s="132"/>
      <c r="G598" s="155"/>
      <c r="H598" s="132"/>
      <c r="I598" s="132"/>
      <c r="J598" s="88"/>
      <c r="K598" s="88"/>
      <c r="L598" s="46"/>
    </row>
    <row r="599" spans="2:12" x14ac:dyDescent="0.35">
      <c r="B599" s="127"/>
      <c r="C599" s="237"/>
      <c r="D599" s="128"/>
      <c r="E599" s="157"/>
      <c r="F599" s="157" t="s">
        <v>206</v>
      </c>
      <c r="G599" s="158"/>
      <c r="H599" s="132"/>
      <c r="I599" s="132"/>
      <c r="J599" s="88"/>
      <c r="K599" s="88"/>
      <c r="L599" s="46"/>
    </row>
    <row r="600" spans="2:12" x14ac:dyDescent="0.35">
      <c r="B600" s="154" t="s">
        <v>35</v>
      </c>
      <c r="C600" s="237"/>
      <c r="D600" s="128"/>
      <c r="E600" s="132" t="s">
        <v>66</v>
      </c>
      <c r="F600" s="132"/>
      <c r="G600" s="166"/>
      <c r="H600" s="141"/>
      <c r="I600" s="132"/>
      <c r="J600" s="88"/>
      <c r="K600" s="88"/>
      <c r="L600" s="46"/>
    </row>
    <row r="601" spans="2:12" x14ac:dyDescent="0.35">
      <c r="B601" s="79"/>
      <c r="C601" s="58" t="s">
        <v>68</v>
      </c>
      <c r="D601" s="93"/>
      <c r="E601" s="59"/>
      <c r="F601" s="59" t="s">
        <v>197</v>
      </c>
      <c r="G601" s="60"/>
      <c r="H601" s="92"/>
      <c r="I601" s="59"/>
      <c r="J601" s="50"/>
      <c r="K601" s="29"/>
      <c r="L601" s="51"/>
    </row>
    <row r="602" spans="2:12" x14ac:dyDescent="0.35">
      <c r="B602" s="79"/>
      <c r="C602" s="58"/>
      <c r="D602" s="93" t="s">
        <v>36</v>
      </c>
      <c r="E602" s="59"/>
      <c r="F602" s="59" t="s">
        <v>207</v>
      </c>
      <c r="G602" s="60"/>
      <c r="H602" s="92"/>
      <c r="I602" s="59"/>
      <c r="J602" s="50"/>
      <c r="K602" s="29"/>
      <c r="L602" s="51"/>
    </row>
    <row r="603" spans="2:12" x14ac:dyDescent="0.35">
      <c r="B603" s="79"/>
      <c r="C603" s="58"/>
      <c r="D603" s="93"/>
      <c r="E603" s="59"/>
      <c r="F603" s="59" t="s">
        <v>59</v>
      </c>
      <c r="G603" s="60" t="s">
        <v>208</v>
      </c>
      <c r="H603" s="143">
        <v>18.651599999999998</v>
      </c>
      <c r="I603" s="59" t="s">
        <v>67</v>
      </c>
      <c r="J603" s="50">
        <v>30000</v>
      </c>
      <c r="K603" s="29"/>
      <c r="L603" s="46">
        <v>559500</v>
      </c>
    </row>
    <row r="604" spans="2:12" x14ac:dyDescent="0.35">
      <c r="B604" s="79"/>
      <c r="C604" s="58"/>
      <c r="D604" s="93"/>
      <c r="E604" s="59"/>
      <c r="F604" s="59" t="s">
        <v>59</v>
      </c>
      <c r="G604" s="60" t="s">
        <v>458</v>
      </c>
      <c r="H604" s="143">
        <v>59.572079999999985</v>
      </c>
      <c r="I604" s="59" t="s">
        <v>67</v>
      </c>
      <c r="J604" s="50">
        <v>30000</v>
      </c>
      <c r="K604" s="29"/>
      <c r="L604" s="46">
        <v>1787100</v>
      </c>
    </row>
    <row r="605" spans="2:12" x14ac:dyDescent="0.35">
      <c r="B605" s="79"/>
      <c r="C605" s="58"/>
      <c r="D605" s="93"/>
      <c r="E605" s="59"/>
      <c r="F605" s="59"/>
      <c r="G605" s="60"/>
      <c r="H605" s="143"/>
      <c r="I605" s="59"/>
      <c r="J605" s="50"/>
      <c r="K605" s="29"/>
      <c r="L605" s="51"/>
    </row>
    <row r="606" spans="2:12" x14ac:dyDescent="0.35">
      <c r="B606" s="47"/>
      <c r="C606" s="48"/>
      <c r="D606" s="24"/>
      <c r="G606" s="22"/>
      <c r="I606" s="22"/>
      <c r="J606" s="50"/>
      <c r="K606" s="29"/>
      <c r="L606" s="51"/>
    </row>
    <row r="607" spans="2:12" x14ac:dyDescent="0.35">
      <c r="B607" s="47"/>
      <c r="C607" s="48"/>
      <c r="D607" s="24"/>
      <c r="G607" s="22"/>
      <c r="I607" s="22"/>
      <c r="J607" s="50"/>
      <c r="K607" s="29"/>
      <c r="L607" s="51"/>
    </row>
    <row r="608" spans="2:12" x14ac:dyDescent="0.35">
      <c r="B608" s="8"/>
      <c r="C608" s="9"/>
      <c r="D608" s="10"/>
      <c r="E608" s="4"/>
      <c r="F608" s="4"/>
      <c r="G608" s="4"/>
      <c r="H608" s="1"/>
      <c r="I608" s="1"/>
      <c r="J608" s="11" t="s">
        <v>8</v>
      </c>
      <c r="K608" s="7">
        <f>SUM(K555:K607)</f>
        <v>20200000</v>
      </c>
      <c r="L608" s="7">
        <f>SUM(L555:L607)</f>
        <v>4962000</v>
      </c>
    </row>
    <row r="609" spans="2:12" x14ac:dyDescent="0.35">
      <c r="B609" s="8"/>
      <c r="C609" s="9"/>
      <c r="D609" s="9"/>
      <c r="E609" s="4"/>
      <c r="F609" s="4"/>
      <c r="G609" s="4"/>
      <c r="H609" s="1"/>
      <c r="I609" s="1"/>
      <c r="J609" s="11"/>
      <c r="K609" s="35" t="s">
        <v>15</v>
      </c>
      <c r="L609" s="36" t="s">
        <v>16</v>
      </c>
    </row>
    <row r="610" spans="2:12" x14ac:dyDescent="0.35">
      <c r="B610" s="3" t="s">
        <v>9</v>
      </c>
      <c r="C610" s="4"/>
      <c r="D610" s="4"/>
      <c r="E610" s="4"/>
      <c r="F610" s="4"/>
      <c r="G610" s="4"/>
      <c r="H610" s="1"/>
      <c r="I610" s="1"/>
      <c r="J610" s="12"/>
      <c r="K610" s="12"/>
      <c r="L610" s="13"/>
    </row>
    <row r="611" spans="2:12" x14ac:dyDescent="0.35">
      <c r="B611" s="37"/>
      <c r="C611" s="1"/>
      <c r="D611" s="1"/>
      <c r="E611" s="38"/>
      <c r="F611" s="38"/>
      <c r="G611" s="38"/>
      <c r="H611" s="1"/>
      <c r="I611" s="1"/>
      <c r="J611" s="1"/>
      <c r="K611" s="1"/>
      <c r="L611" s="19"/>
    </row>
    <row r="612" spans="2:12" x14ac:dyDescent="0.35">
      <c r="B612" s="28" t="s">
        <v>6</v>
      </c>
      <c r="C612" s="27"/>
      <c r="D612" s="27"/>
      <c r="E612" s="26"/>
      <c r="F612" s="26"/>
      <c r="G612" s="5"/>
      <c r="K612" s="287" t="str">
        <f>K545</f>
        <v>Balikpapan, 17 November 2025</v>
      </c>
      <c r="L612" s="288"/>
    </row>
    <row r="613" spans="2:12" x14ac:dyDescent="0.35">
      <c r="B613" s="28">
        <v>1</v>
      </c>
      <c r="C613" s="27"/>
      <c r="D613" s="27"/>
      <c r="E613" s="26" t="s">
        <v>7</v>
      </c>
      <c r="F613" s="26"/>
      <c r="G613" s="5"/>
      <c r="K613" s="287" t="s">
        <v>20</v>
      </c>
      <c r="L613" s="288"/>
    </row>
    <row r="614" spans="2:12" x14ac:dyDescent="0.35">
      <c r="B614" s="39"/>
      <c r="C614" s="27"/>
      <c r="D614" s="27"/>
      <c r="E614" s="26"/>
      <c r="F614" s="26"/>
      <c r="G614" s="5"/>
      <c r="J614" s="25"/>
      <c r="K614" s="25"/>
      <c r="L614" s="24"/>
    </row>
    <row r="615" spans="2:12" x14ac:dyDescent="0.35">
      <c r="B615" s="28"/>
      <c r="C615" s="27"/>
      <c r="D615" s="27"/>
      <c r="E615" s="26"/>
      <c r="F615" s="26"/>
      <c r="G615" s="5"/>
      <c r="L615" s="22"/>
    </row>
    <row r="616" spans="2:12" x14ac:dyDescent="0.35">
      <c r="B616" s="45"/>
      <c r="E616" s="5"/>
      <c r="F616" s="5"/>
      <c r="G616" s="5"/>
      <c r="L616" s="22"/>
    </row>
    <row r="617" spans="2:12" x14ac:dyDescent="0.35">
      <c r="B617" s="45"/>
      <c r="E617" s="5"/>
      <c r="F617" s="5"/>
      <c r="G617" s="5"/>
      <c r="L617" s="22"/>
    </row>
    <row r="618" spans="2:12" x14ac:dyDescent="0.35">
      <c r="B618" s="45"/>
      <c r="E618" s="5"/>
      <c r="F618" s="5"/>
      <c r="G618" s="5"/>
      <c r="L618" s="22"/>
    </row>
    <row r="619" spans="2:12" x14ac:dyDescent="0.35">
      <c r="B619" s="45"/>
      <c r="E619" s="5"/>
      <c r="F619" s="5"/>
      <c r="G619" s="5"/>
      <c r="J619" s="40"/>
      <c r="K619" s="289" t="s">
        <v>28</v>
      </c>
      <c r="L619" s="290"/>
    </row>
    <row r="620" spans="2:12" x14ac:dyDescent="0.35">
      <c r="B620" s="45"/>
      <c r="K620" s="291" t="s">
        <v>29</v>
      </c>
      <c r="L620" s="292"/>
    </row>
    <row r="621" spans="2:12" x14ac:dyDescent="0.35">
      <c r="B621" s="278"/>
      <c r="C621" s="279"/>
      <c r="D621" s="279"/>
      <c r="E621" s="41"/>
      <c r="F621" s="41"/>
      <c r="G621" s="41"/>
      <c r="H621" s="2"/>
      <c r="I621" s="2"/>
      <c r="J621" s="2"/>
      <c r="K621" s="2"/>
      <c r="L621" s="21"/>
    </row>
    <row r="622" spans="2:12" x14ac:dyDescent="0.35">
      <c r="B622" s="47"/>
      <c r="C622" s="48"/>
      <c r="D622" s="49"/>
      <c r="G622" s="22"/>
      <c r="H622" s="1"/>
      <c r="I622" s="1"/>
      <c r="J622" s="43"/>
      <c r="K622" s="30"/>
      <c r="L622" s="44"/>
    </row>
    <row r="623" spans="2:12" x14ac:dyDescent="0.35">
      <c r="B623" s="79"/>
      <c r="C623" s="58"/>
      <c r="D623" s="93" t="s">
        <v>38</v>
      </c>
      <c r="E623" s="59"/>
      <c r="F623" s="59" t="s">
        <v>210</v>
      </c>
      <c r="G623" s="60"/>
      <c r="H623" s="143"/>
      <c r="I623" s="59"/>
      <c r="J623" s="46"/>
      <c r="K623" s="46"/>
      <c r="L623" s="81"/>
    </row>
    <row r="624" spans="2:12" x14ac:dyDescent="0.35">
      <c r="B624" s="79"/>
      <c r="C624" s="58"/>
      <c r="D624" s="93"/>
      <c r="E624" s="59"/>
      <c r="F624" s="59" t="s">
        <v>59</v>
      </c>
      <c r="G624" s="60" t="s">
        <v>211</v>
      </c>
      <c r="H624" s="153">
        <v>30.181679999999993</v>
      </c>
      <c r="I624" s="59" t="s">
        <v>67</v>
      </c>
      <c r="J624" s="50">
        <v>30000</v>
      </c>
      <c r="K624" s="64"/>
      <c r="L624" s="46">
        <v>905400</v>
      </c>
    </row>
    <row r="625" spans="2:12" x14ac:dyDescent="0.35">
      <c r="B625" s="79"/>
      <c r="C625" s="58"/>
      <c r="D625" s="93"/>
      <c r="E625" s="59"/>
      <c r="F625" s="59" t="s">
        <v>59</v>
      </c>
      <c r="G625" s="60" t="s">
        <v>209</v>
      </c>
      <c r="H625" s="153">
        <v>57.650399999999991</v>
      </c>
      <c r="I625" s="59" t="s">
        <v>67</v>
      </c>
      <c r="J625" s="50">
        <v>30000</v>
      </c>
      <c r="K625" s="64"/>
      <c r="L625" s="46">
        <v>1729500</v>
      </c>
    </row>
    <row r="626" spans="2:12" x14ac:dyDescent="0.35">
      <c r="B626" s="79"/>
      <c r="C626" s="58"/>
      <c r="D626" s="93" t="s">
        <v>39</v>
      </c>
      <c r="E626" s="59"/>
      <c r="F626" s="59" t="s">
        <v>459</v>
      </c>
      <c r="G626" s="60"/>
      <c r="H626" s="143"/>
      <c r="I626" s="59"/>
      <c r="J626" s="64"/>
      <c r="K626" s="64"/>
      <c r="L626" s="46"/>
    </row>
    <row r="627" spans="2:12" x14ac:dyDescent="0.35">
      <c r="B627" s="79"/>
      <c r="C627" s="58"/>
      <c r="D627" s="93"/>
      <c r="E627" s="59"/>
      <c r="F627" s="59" t="s">
        <v>59</v>
      </c>
      <c r="G627" s="60" t="s">
        <v>460</v>
      </c>
      <c r="H627" s="143">
        <v>29.842559999999995</v>
      </c>
      <c r="I627" s="60" t="s">
        <v>67</v>
      </c>
      <c r="J627" s="50">
        <v>30000</v>
      </c>
      <c r="K627" s="64"/>
      <c r="L627" s="46">
        <v>895200</v>
      </c>
    </row>
    <row r="628" spans="2:12" x14ac:dyDescent="0.35">
      <c r="D628" s="22"/>
      <c r="E628" s="59"/>
      <c r="F628" s="59" t="s">
        <v>59</v>
      </c>
      <c r="G628" s="60" t="s">
        <v>461</v>
      </c>
      <c r="H628" s="143">
        <v>60.193799999999982</v>
      </c>
      <c r="I628" s="60" t="s">
        <v>67</v>
      </c>
      <c r="J628" s="50">
        <v>30000</v>
      </c>
      <c r="K628" s="64"/>
      <c r="L628" s="46">
        <v>1805700</v>
      </c>
    </row>
    <row r="629" spans="2:12" x14ac:dyDescent="0.35">
      <c r="B629" s="154"/>
      <c r="C629" s="237"/>
      <c r="D629" s="128"/>
      <c r="E629" s="132"/>
      <c r="F629" s="132"/>
      <c r="G629" s="155"/>
      <c r="H629" s="163"/>
      <c r="I629" s="155"/>
      <c r="J629" s="72"/>
      <c r="K629" s="64"/>
      <c r="L629" s="46"/>
    </row>
    <row r="630" spans="2:12" x14ac:dyDescent="0.35">
      <c r="B630" s="79"/>
      <c r="C630" s="58"/>
      <c r="D630" s="93"/>
      <c r="E630" s="157"/>
      <c r="F630" s="157" t="s">
        <v>212</v>
      </c>
      <c r="G630" s="158"/>
      <c r="H630" s="92"/>
      <c r="I630" s="60"/>
      <c r="J630" s="72"/>
      <c r="K630" s="64"/>
      <c r="L630" s="46"/>
    </row>
    <row r="631" spans="2:12" x14ac:dyDescent="0.35">
      <c r="B631" s="154" t="s">
        <v>35</v>
      </c>
      <c r="C631" s="237"/>
      <c r="D631" s="128"/>
      <c r="E631" s="132" t="s">
        <v>66</v>
      </c>
      <c r="F631" s="132"/>
      <c r="G631" s="155"/>
      <c r="H631" s="141"/>
      <c r="I631" s="155"/>
      <c r="J631" s="61"/>
      <c r="K631" s="54"/>
      <c r="L631" s="46"/>
    </row>
    <row r="632" spans="2:12" x14ac:dyDescent="0.35">
      <c r="B632" s="79"/>
      <c r="C632" s="58" t="s">
        <v>68</v>
      </c>
      <c r="D632" s="93"/>
      <c r="E632" s="59"/>
      <c r="F632" s="59" t="s">
        <v>213</v>
      </c>
      <c r="G632" s="60"/>
      <c r="I632" s="22"/>
      <c r="J632" s="72"/>
      <c r="K632" s="64"/>
      <c r="L632" s="46"/>
    </row>
    <row r="633" spans="2:12" x14ac:dyDescent="0.35">
      <c r="B633" s="79"/>
      <c r="C633" s="58"/>
      <c r="D633" s="93" t="s">
        <v>36</v>
      </c>
      <c r="E633" s="59"/>
      <c r="F633" s="59" t="s">
        <v>214</v>
      </c>
      <c r="G633" s="60"/>
      <c r="H633" s="94"/>
      <c r="I633" s="60"/>
      <c r="J633" s="72"/>
      <c r="K633" s="64"/>
      <c r="L633" s="46"/>
    </row>
    <row r="634" spans="2:12" x14ac:dyDescent="0.35">
      <c r="B634" s="79"/>
      <c r="C634" s="58"/>
      <c r="D634" s="93"/>
      <c r="E634" s="59"/>
      <c r="F634" s="59" t="s">
        <v>59</v>
      </c>
      <c r="G634" s="60" t="s">
        <v>462</v>
      </c>
      <c r="H634" s="153">
        <v>84.779999999999987</v>
      </c>
      <c r="I634" s="60" t="s">
        <v>67</v>
      </c>
      <c r="J634" s="72">
        <v>30000</v>
      </c>
      <c r="K634" s="64"/>
      <c r="L634" s="46">
        <v>2543400</v>
      </c>
    </row>
    <row r="635" spans="2:12" x14ac:dyDescent="0.35">
      <c r="B635" s="79"/>
      <c r="C635" s="58"/>
      <c r="D635" s="93"/>
      <c r="E635" s="59"/>
      <c r="F635" s="59" t="s">
        <v>59</v>
      </c>
      <c r="G635" s="60" t="s">
        <v>463</v>
      </c>
      <c r="H635" s="153">
        <v>17.097300000000001</v>
      </c>
      <c r="I635" s="60" t="s">
        <v>67</v>
      </c>
      <c r="J635" s="72">
        <v>30000</v>
      </c>
      <c r="K635" s="64"/>
      <c r="L635" s="46">
        <v>513000.00000000006</v>
      </c>
    </row>
    <row r="636" spans="2:12" x14ac:dyDescent="0.35">
      <c r="B636" s="79"/>
      <c r="C636" s="58"/>
      <c r="D636" s="93"/>
      <c r="E636" s="59"/>
      <c r="F636" s="59" t="s">
        <v>59</v>
      </c>
      <c r="G636" s="60" t="s">
        <v>464</v>
      </c>
      <c r="H636" s="153">
        <v>14.77056</v>
      </c>
      <c r="I636" s="60" t="s">
        <v>67</v>
      </c>
      <c r="J636" s="72">
        <v>30000</v>
      </c>
      <c r="K636" s="64"/>
      <c r="L636" s="46">
        <v>443100</v>
      </c>
    </row>
    <row r="637" spans="2:12" x14ac:dyDescent="0.35">
      <c r="B637" s="79"/>
      <c r="C637" s="58"/>
      <c r="D637" s="93"/>
      <c r="E637" s="59"/>
      <c r="F637" s="59" t="s">
        <v>59</v>
      </c>
      <c r="G637" s="60" t="s">
        <v>465</v>
      </c>
      <c r="H637" s="153">
        <v>8.4779999999999998</v>
      </c>
      <c r="I637" s="60" t="s">
        <v>67</v>
      </c>
      <c r="J637" s="72">
        <v>30000</v>
      </c>
      <c r="K637" s="64"/>
      <c r="L637" s="46">
        <v>254400</v>
      </c>
    </row>
    <row r="638" spans="2:12" x14ac:dyDescent="0.35">
      <c r="B638" s="79"/>
      <c r="C638" s="58"/>
      <c r="D638" s="93"/>
      <c r="E638" s="59"/>
      <c r="F638" s="59" t="s">
        <v>59</v>
      </c>
      <c r="G638" s="60" t="s">
        <v>466</v>
      </c>
      <c r="H638" s="153">
        <v>19.499399999999998</v>
      </c>
      <c r="I638" s="60" t="s">
        <v>67</v>
      </c>
      <c r="J638" s="72">
        <v>30000</v>
      </c>
      <c r="K638" s="64"/>
      <c r="L638" s="46">
        <v>585000</v>
      </c>
    </row>
    <row r="639" spans="2:12" x14ac:dyDescent="0.35">
      <c r="B639" s="79"/>
      <c r="C639" s="58"/>
      <c r="D639" s="93"/>
      <c r="E639" s="59"/>
      <c r="F639" s="59" t="s">
        <v>59</v>
      </c>
      <c r="G639" s="60" t="s">
        <v>467</v>
      </c>
      <c r="H639" s="153">
        <v>23.55</v>
      </c>
      <c r="I639" s="60" t="s">
        <v>67</v>
      </c>
      <c r="J639" s="72">
        <v>30000</v>
      </c>
      <c r="K639" s="64"/>
      <c r="L639" s="46">
        <v>706500</v>
      </c>
    </row>
    <row r="640" spans="2:12" x14ac:dyDescent="0.35">
      <c r="B640" s="79"/>
      <c r="C640" s="58"/>
      <c r="D640" s="93"/>
      <c r="E640" s="59"/>
      <c r="F640" s="59" t="s">
        <v>59</v>
      </c>
      <c r="G640" s="60" t="s">
        <v>468</v>
      </c>
      <c r="H640" s="153">
        <v>14.6952</v>
      </c>
      <c r="I640" s="60" t="s">
        <v>67</v>
      </c>
      <c r="J640" s="72">
        <v>30000</v>
      </c>
      <c r="K640" s="56"/>
      <c r="L640" s="46">
        <v>441000</v>
      </c>
    </row>
    <row r="641" spans="2:12" x14ac:dyDescent="0.35">
      <c r="B641" s="79"/>
      <c r="C641" s="58"/>
      <c r="D641" s="93"/>
      <c r="E641" s="59"/>
      <c r="F641" s="59" t="s">
        <v>59</v>
      </c>
      <c r="G641" s="60" t="s">
        <v>469</v>
      </c>
      <c r="H641" s="153">
        <v>37.077119999999994</v>
      </c>
      <c r="I641" s="60" t="s">
        <v>67</v>
      </c>
      <c r="J641" s="72">
        <v>30000</v>
      </c>
      <c r="K641" s="56"/>
      <c r="L641" s="46">
        <v>1112400</v>
      </c>
    </row>
    <row r="642" spans="2:12" x14ac:dyDescent="0.35">
      <c r="B642" s="79"/>
      <c r="C642" s="58"/>
      <c r="D642" s="93"/>
      <c r="E642" s="59"/>
      <c r="F642" s="59" t="s">
        <v>59</v>
      </c>
      <c r="G642" s="60" t="s">
        <v>470</v>
      </c>
      <c r="H642" s="153">
        <v>51.833550000000002</v>
      </c>
      <c r="I642" s="60" t="s">
        <v>67</v>
      </c>
      <c r="J642" s="72">
        <v>30000</v>
      </c>
      <c r="K642" s="72"/>
      <c r="L642" s="46">
        <v>1554900</v>
      </c>
    </row>
    <row r="643" spans="2:12" x14ac:dyDescent="0.35">
      <c r="B643" s="79"/>
      <c r="C643" s="58"/>
      <c r="D643" s="93" t="s">
        <v>38</v>
      </c>
      <c r="E643" s="59"/>
      <c r="F643" s="59" t="s">
        <v>215</v>
      </c>
      <c r="G643" s="60"/>
      <c r="H643" s="94"/>
      <c r="I643" s="60"/>
      <c r="J643" s="72"/>
      <c r="K643" s="54"/>
      <c r="L643" s="46"/>
    </row>
    <row r="644" spans="2:12" x14ac:dyDescent="0.35">
      <c r="B644" s="79"/>
      <c r="C644" s="58"/>
      <c r="D644" s="93"/>
      <c r="E644" s="59"/>
      <c r="F644" s="59" t="s">
        <v>59</v>
      </c>
      <c r="G644" s="59" t="s">
        <v>471</v>
      </c>
      <c r="H644" s="167">
        <v>39.761819999999993</v>
      </c>
      <c r="I644" s="60" t="s">
        <v>67</v>
      </c>
      <c r="J644" s="72">
        <v>30000</v>
      </c>
      <c r="K644" s="56"/>
      <c r="L644" s="46">
        <v>1192800</v>
      </c>
    </row>
    <row r="645" spans="2:12" x14ac:dyDescent="0.35">
      <c r="B645" s="168"/>
      <c r="C645" s="238"/>
      <c r="D645" s="169"/>
      <c r="E645" s="89"/>
      <c r="F645" s="89" t="s">
        <v>59</v>
      </c>
      <c r="G645" s="69" t="s">
        <v>472</v>
      </c>
      <c r="H645" s="170">
        <v>71.435000000000002</v>
      </c>
      <c r="I645" s="69" t="s">
        <v>67</v>
      </c>
      <c r="J645" s="72">
        <v>30000</v>
      </c>
      <c r="K645" s="57"/>
      <c r="L645" s="46">
        <v>2143200</v>
      </c>
    </row>
    <row r="646" spans="2:12" x14ac:dyDescent="0.35">
      <c r="B646" s="79"/>
      <c r="C646" s="58"/>
      <c r="D646" s="93"/>
      <c r="E646" s="59"/>
      <c r="F646" s="59" t="s">
        <v>59</v>
      </c>
      <c r="G646" s="60" t="s">
        <v>473</v>
      </c>
      <c r="H646" s="153">
        <v>18.076979999999999</v>
      </c>
      <c r="I646" s="60" t="s">
        <v>67</v>
      </c>
      <c r="J646" s="72">
        <v>30000</v>
      </c>
      <c r="K646" s="56"/>
      <c r="L646" s="46">
        <v>542400</v>
      </c>
    </row>
    <row r="647" spans="2:12" x14ac:dyDescent="0.35">
      <c r="B647" s="79"/>
      <c r="C647" s="58"/>
      <c r="D647" s="93"/>
      <c r="E647" s="59"/>
      <c r="F647" s="59" t="s">
        <v>59</v>
      </c>
      <c r="G647" s="60" t="s">
        <v>474</v>
      </c>
      <c r="H647" s="153">
        <v>5.9345999999999997</v>
      </c>
      <c r="I647" s="60" t="s">
        <v>67</v>
      </c>
      <c r="J647" s="72">
        <v>30000</v>
      </c>
      <c r="K647" s="64"/>
      <c r="L647" s="46">
        <v>177900</v>
      </c>
    </row>
    <row r="648" spans="2:12" x14ac:dyDescent="0.35">
      <c r="B648" s="79"/>
      <c r="C648" s="58"/>
      <c r="D648" s="93"/>
      <c r="E648" s="59"/>
      <c r="F648" s="59" t="s">
        <v>59</v>
      </c>
      <c r="G648" s="60" t="s">
        <v>475</v>
      </c>
      <c r="H648" s="153">
        <f>0.8*0.47*10*7.85*1.2</f>
        <v>35.419199999999996</v>
      </c>
      <c r="I648" s="60" t="s">
        <v>67</v>
      </c>
      <c r="J648" s="72">
        <v>30000</v>
      </c>
      <c r="K648" s="64"/>
      <c r="L648" s="46">
        <v>1062600</v>
      </c>
    </row>
    <row r="649" spans="2:12" x14ac:dyDescent="0.35">
      <c r="B649" s="79"/>
      <c r="C649" s="58"/>
      <c r="D649" s="93"/>
      <c r="E649" s="59"/>
      <c r="F649" s="59" t="s">
        <v>59</v>
      </c>
      <c r="G649" s="60" t="s">
        <v>470</v>
      </c>
      <c r="H649" s="153">
        <f>0.7*0.93*10*7.85</f>
        <v>51.103499999999997</v>
      </c>
      <c r="I649" s="60" t="s">
        <v>67</v>
      </c>
      <c r="J649" s="72">
        <v>30000</v>
      </c>
      <c r="K649" s="54"/>
      <c r="L649" s="46">
        <v>1533000</v>
      </c>
    </row>
    <row r="650" spans="2:12" x14ac:dyDescent="0.35">
      <c r="B650" s="79"/>
      <c r="C650" s="58"/>
      <c r="D650" s="93" t="s">
        <v>39</v>
      </c>
      <c r="E650" s="59"/>
      <c r="F650" s="59" t="s">
        <v>476</v>
      </c>
      <c r="G650" s="60"/>
      <c r="H650" s="94"/>
      <c r="I650" s="60"/>
      <c r="J650" s="72"/>
      <c r="K650" s="64"/>
      <c r="L650" s="46"/>
    </row>
    <row r="651" spans="2:12" x14ac:dyDescent="0.35">
      <c r="B651" s="79"/>
      <c r="C651" s="58"/>
      <c r="D651" s="93"/>
      <c r="E651" s="59"/>
      <c r="F651" s="59" t="s">
        <v>59</v>
      </c>
      <c r="G651" s="60" t="s">
        <v>477</v>
      </c>
      <c r="H651" s="153">
        <f>0.31*0.31*8*7.85*1.2</f>
        <v>7.2420959999999992</v>
      </c>
      <c r="I651" s="60" t="s">
        <v>67</v>
      </c>
      <c r="J651" s="72">
        <v>30000</v>
      </c>
      <c r="K651" s="64"/>
      <c r="L651" s="46">
        <v>217200</v>
      </c>
    </row>
    <row r="652" spans="2:12" x14ac:dyDescent="0.35">
      <c r="B652" s="79"/>
      <c r="C652" s="58"/>
      <c r="D652" s="93"/>
      <c r="E652" s="59"/>
      <c r="F652" s="59" t="s">
        <v>59</v>
      </c>
      <c r="G652" s="60" t="s">
        <v>478</v>
      </c>
      <c r="H652" s="153">
        <f>1.41*1.15*8*7.85</f>
        <v>101.83019999999998</v>
      </c>
      <c r="I652" s="60" t="s">
        <v>67</v>
      </c>
      <c r="J652" s="72">
        <v>30000</v>
      </c>
      <c r="K652" s="54"/>
      <c r="L652" s="46">
        <v>3054900</v>
      </c>
    </row>
    <row r="653" spans="2:12" x14ac:dyDescent="0.35">
      <c r="B653" s="79"/>
      <c r="C653" s="58"/>
      <c r="D653" s="93"/>
      <c r="E653" s="59"/>
      <c r="F653" s="59" t="s">
        <v>59</v>
      </c>
      <c r="G653" s="60" t="s">
        <v>479</v>
      </c>
      <c r="H653" s="153">
        <f>1.31*8*0.72*7.85</f>
        <v>59.232959999999999</v>
      </c>
      <c r="I653" s="60" t="s">
        <v>67</v>
      </c>
      <c r="J653" s="72">
        <v>30000</v>
      </c>
      <c r="K653" s="64"/>
      <c r="L653" s="46">
        <v>1776900</v>
      </c>
    </row>
    <row r="654" spans="2:12" x14ac:dyDescent="0.35">
      <c r="B654" s="79"/>
      <c r="C654" s="58"/>
      <c r="D654" s="93"/>
      <c r="E654" s="59"/>
      <c r="F654" s="59" t="s">
        <v>59</v>
      </c>
      <c r="G654" s="60" t="s">
        <v>480</v>
      </c>
      <c r="H654" s="153">
        <f>0.27*0.27*8*7.85*1.2</f>
        <v>5.4937440000000004</v>
      </c>
      <c r="I654" s="60" t="s">
        <v>67</v>
      </c>
      <c r="J654" s="72">
        <v>30000</v>
      </c>
      <c r="K654" s="55"/>
      <c r="L654" s="46">
        <v>164700</v>
      </c>
    </row>
    <row r="655" spans="2:12" x14ac:dyDescent="0.35">
      <c r="B655" s="79"/>
      <c r="C655" s="58"/>
      <c r="D655" s="93"/>
      <c r="E655" s="59"/>
      <c r="F655" s="59" t="s">
        <v>59</v>
      </c>
      <c r="G655" s="60" t="s">
        <v>481</v>
      </c>
      <c r="H655" s="94">
        <v>1</v>
      </c>
      <c r="I655" s="59" t="s">
        <v>37</v>
      </c>
      <c r="J655" s="82">
        <v>1500000</v>
      </c>
      <c r="K655" s="64">
        <f t="shared" ref="K655" si="72">J655*H655</f>
        <v>1500000</v>
      </c>
      <c r="L655" s="83"/>
    </row>
    <row r="656" spans="2:12" x14ac:dyDescent="0.35">
      <c r="B656" s="79"/>
      <c r="C656" s="58"/>
      <c r="D656" s="93" t="s">
        <v>40</v>
      </c>
      <c r="E656" s="59"/>
      <c r="F656" s="59" t="s">
        <v>482</v>
      </c>
      <c r="G656" s="60"/>
      <c r="H656" s="94"/>
      <c r="I656" s="59"/>
      <c r="J656" s="64"/>
      <c r="K656" s="64"/>
      <c r="L656" s="46"/>
    </row>
    <row r="657" spans="2:12" x14ac:dyDescent="0.35">
      <c r="B657" s="79"/>
      <c r="C657" s="58"/>
      <c r="D657" s="93"/>
      <c r="E657" s="59"/>
      <c r="F657" s="59" t="s">
        <v>59</v>
      </c>
      <c r="G657" s="60" t="s">
        <v>483</v>
      </c>
      <c r="H657" s="94">
        <v>1</v>
      </c>
      <c r="I657" s="59" t="s">
        <v>37</v>
      </c>
      <c r="J657" s="64">
        <v>1000000</v>
      </c>
      <c r="K657" s="64">
        <f t="shared" ref="K657:K659" si="73">J657*H657</f>
        <v>1000000</v>
      </c>
      <c r="L657" s="46"/>
    </row>
    <row r="658" spans="2:12" x14ac:dyDescent="0.35">
      <c r="B658" s="79"/>
      <c r="C658" s="58"/>
      <c r="D658" s="93"/>
      <c r="E658" s="59"/>
      <c r="F658" s="59" t="s">
        <v>59</v>
      </c>
      <c r="G658" s="60" t="s">
        <v>484</v>
      </c>
      <c r="H658" s="94">
        <v>1</v>
      </c>
      <c r="I658" s="59" t="s">
        <v>37</v>
      </c>
      <c r="J658" s="86">
        <v>750000</v>
      </c>
      <c r="K658" s="64">
        <f t="shared" si="73"/>
        <v>750000</v>
      </c>
      <c r="L658" s="87"/>
    </row>
    <row r="659" spans="2:12" x14ac:dyDescent="0.35">
      <c r="D659" s="22"/>
      <c r="E659" s="59"/>
      <c r="F659" s="59" t="s">
        <v>59</v>
      </c>
      <c r="G659" s="60" t="s">
        <v>485</v>
      </c>
      <c r="H659" s="94">
        <v>1</v>
      </c>
      <c r="I659" s="59" t="s">
        <v>37</v>
      </c>
      <c r="J659" s="86">
        <v>1000000</v>
      </c>
      <c r="K659" s="64">
        <f t="shared" si="73"/>
        <v>1000000</v>
      </c>
      <c r="L659" s="87"/>
    </row>
    <row r="660" spans="2:12" x14ac:dyDescent="0.35">
      <c r="B660" s="241"/>
      <c r="C660" s="237"/>
      <c r="D660" s="171"/>
      <c r="E660" s="172"/>
      <c r="F660" s="132"/>
      <c r="G660" s="155"/>
      <c r="H660" s="173"/>
      <c r="I660" s="132"/>
      <c r="J660" s="86"/>
      <c r="K660" s="86"/>
      <c r="L660" s="87"/>
    </row>
    <row r="661" spans="2:12" x14ac:dyDescent="0.35">
      <c r="B661" s="79"/>
      <c r="C661" s="58"/>
      <c r="D661" s="93"/>
      <c r="E661" s="174"/>
      <c r="F661" s="174" t="s">
        <v>216</v>
      </c>
      <c r="G661" s="210"/>
      <c r="H661" s="176"/>
      <c r="I661" s="59"/>
      <c r="J661" s="211"/>
      <c r="K661" s="211"/>
      <c r="L661" s="212"/>
    </row>
    <row r="662" spans="2:12" x14ac:dyDescent="0.35">
      <c r="B662" s="104" t="s">
        <v>35</v>
      </c>
      <c r="C662" s="58"/>
      <c r="D662" s="175"/>
      <c r="E662" s="105" t="s">
        <v>12</v>
      </c>
      <c r="F662" s="59"/>
      <c r="G662" s="60"/>
      <c r="J662" s="29"/>
      <c r="K662" s="88"/>
      <c r="L662" s="46"/>
    </row>
    <row r="663" spans="2:12" x14ac:dyDescent="0.35">
      <c r="B663" s="104"/>
      <c r="C663" s="58" t="s">
        <v>68</v>
      </c>
      <c r="D663" s="175"/>
      <c r="E663" s="105"/>
      <c r="F663" s="59" t="s">
        <v>171</v>
      </c>
      <c r="G663" s="60"/>
      <c r="J663" s="88"/>
      <c r="K663" s="88"/>
      <c r="L663" s="46"/>
    </row>
    <row r="664" spans="2:12" x14ac:dyDescent="0.35">
      <c r="B664" s="104"/>
      <c r="C664" s="58"/>
      <c r="D664" s="175" t="s">
        <v>36</v>
      </c>
      <c r="E664" s="105"/>
      <c r="F664" s="59" t="s">
        <v>217</v>
      </c>
      <c r="G664" s="60"/>
      <c r="H664" s="176">
        <v>60</v>
      </c>
      <c r="I664" s="59" t="s">
        <v>177</v>
      </c>
      <c r="J664" s="88">
        <v>123500</v>
      </c>
      <c r="K664" s="88"/>
      <c r="L664" s="46">
        <f t="shared" ref="L664:L666" si="74">J664*H664</f>
        <v>7410000</v>
      </c>
    </row>
    <row r="665" spans="2:12" x14ac:dyDescent="0.35">
      <c r="B665" s="104"/>
      <c r="C665" s="58"/>
      <c r="D665" s="175" t="s">
        <v>38</v>
      </c>
      <c r="E665" s="105"/>
      <c r="F665" s="59" t="s">
        <v>218</v>
      </c>
      <c r="G665" s="60"/>
      <c r="H665" s="176">
        <v>40</v>
      </c>
      <c r="I665" s="59" t="s">
        <v>177</v>
      </c>
      <c r="J665" s="88">
        <v>123500</v>
      </c>
      <c r="K665" s="88"/>
      <c r="L665" s="46">
        <f t="shared" si="74"/>
        <v>4940000</v>
      </c>
    </row>
    <row r="666" spans="2:12" x14ac:dyDescent="0.35">
      <c r="B666" s="104"/>
      <c r="C666" s="58"/>
      <c r="D666" s="175" t="s">
        <v>39</v>
      </c>
      <c r="E666" s="105"/>
      <c r="F666" s="59" t="s">
        <v>219</v>
      </c>
      <c r="G666" s="60"/>
      <c r="H666" s="176">
        <v>20</v>
      </c>
      <c r="I666" s="59" t="s">
        <v>177</v>
      </c>
      <c r="J666" s="88">
        <v>48600</v>
      </c>
      <c r="K666" s="88"/>
      <c r="L666" s="46">
        <f t="shared" si="74"/>
        <v>972000</v>
      </c>
    </row>
    <row r="667" spans="2:12" x14ac:dyDescent="0.35">
      <c r="B667" s="241"/>
      <c r="C667" s="237"/>
      <c r="D667" s="171"/>
      <c r="E667" s="172"/>
      <c r="F667" s="132"/>
      <c r="G667" s="155"/>
      <c r="H667" s="173"/>
      <c r="I667" s="132"/>
      <c r="J667" s="88"/>
      <c r="K667" s="88"/>
      <c r="L667" s="46"/>
    </row>
    <row r="668" spans="2:12" x14ac:dyDescent="0.35">
      <c r="B668" s="252"/>
      <c r="C668" s="266"/>
      <c r="D668" s="267"/>
      <c r="E668" s="98"/>
      <c r="F668" s="98" t="s">
        <v>220</v>
      </c>
      <c r="G668" s="99"/>
      <c r="H668" s="265"/>
      <c r="I668" s="253"/>
      <c r="J668" s="207"/>
      <c r="K668" s="208"/>
      <c r="L668" s="209"/>
    </row>
    <row r="669" spans="2:12" x14ac:dyDescent="0.35">
      <c r="B669" s="104"/>
      <c r="C669" s="58"/>
      <c r="D669" s="175" t="s">
        <v>36</v>
      </c>
      <c r="E669" s="105"/>
      <c r="F669" s="59" t="s">
        <v>221</v>
      </c>
      <c r="G669" s="60"/>
      <c r="H669" s="176"/>
      <c r="I669" s="59"/>
      <c r="J669" s="50"/>
      <c r="K669" s="29"/>
      <c r="L669" s="51"/>
    </row>
    <row r="670" spans="2:12" x14ac:dyDescent="0.35">
      <c r="B670" s="104"/>
      <c r="C670" s="58"/>
      <c r="D670" s="175"/>
      <c r="E670" s="105"/>
      <c r="F670" s="59" t="s">
        <v>59</v>
      </c>
      <c r="G670" s="60" t="s">
        <v>222</v>
      </c>
      <c r="H670" s="176">
        <v>16</v>
      </c>
      <c r="I670" s="59" t="s">
        <v>63</v>
      </c>
      <c r="J670" s="50">
        <v>50000</v>
      </c>
      <c r="K670" s="29"/>
      <c r="L670" s="46">
        <f t="shared" ref="L670" si="75">J670*H670</f>
        <v>800000</v>
      </c>
    </row>
    <row r="671" spans="2:12" x14ac:dyDescent="0.35">
      <c r="B671" s="104"/>
      <c r="C671" s="58"/>
      <c r="D671" s="175"/>
      <c r="E671" s="105"/>
      <c r="F671" s="59"/>
      <c r="G671" s="60"/>
      <c r="H671" s="176"/>
      <c r="I671" s="59"/>
      <c r="J671" s="50"/>
      <c r="K671" s="29"/>
      <c r="L671" s="51"/>
    </row>
    <row r="672" spans="2:12" x14ac:dyDescent="0.35">
      <c r="B672" s="244"/>
      <c r="C672" s="245"/>
      <c r="D672" s="178"/>
      <c r="E672" s="179"/>
      <c r="F672" s="177"/>
      <c r="G672" s="180"/>
      <c r="H672" s="181"/>
      <c r="I672" s="179"/>
      <c r="J672" s="64"/>
      <c r="K672" s="64"/>
      <c r="L672" s="46"/>
    </row>
    <row r="673" spans="2:12" x14ac:dyDescent="0.35">
      <c r="B673" s="244"/>
      <c r="C673" s="245"/>
      <c r="D673" s="178"/>
      <c r="E673" s="179"/>
      <c r="F673" s="177"/>
      <c r="G673" s="180"/>
      <c r="H673" s="181"/>
      <c r="I673" s="179"/>
      <c r="J673" s="64"/>
      <c r="K673" s="64"/>
      <c r="L673" s="46"/>
    </row>
    <row r="674" spans="2:12" x14ac:dyDescent="0.35">
      <c r="B674" s="244"/>
      <c r="C674" s="245"/>
      <c r="D674" s="178"/>
      <c r="E674" s="179"/>
      <c r="F674" s="177"/>
      <c r="G674" s="180"/>
      <c r="H674" s="181"/>
      <c r="I674" s="179"/>
      <c r="J674" s="64"/>
      <c r="K674" s="64"/>
      <c r="L674" s="46"/>
    </row>
    <row r="675" spans="2:12" x14ac:dyDescent="0.35">
      <c r="B675" s="8"/>
      <c r="C675" s="9"/>
      <c r="D675" s="10"/>
      <c r="E675" s="4"/>
      <c r="F675" s="4"/>
      <c r="G675" s="4"/>
      <c r="H675" s="1"/>
      <c r="I675" s="1"/>
      <c r="J675" s="11" t="s">
        <v>8</v>
      </c>
      <c r="K675" s="7">
        <f>SUM(K622:K674)</f>
        <v>4250000</v>
      </c>
      <c r="L675" s="7">
        <f>SUM(L622:L674)</f>
        <v>39477100</v>
      </c>
    </row>
    <row r="676" spans="2:12" x14ac:dyDescent="0.35">
      <c r="B676" s="8"/>
      <c r="C676" s="9"/>
      <c r="D676" s="9"/>
      <c r="E676" s="4"/>
      <c r="F676" s="4"/>
      <c r="G676" s="4"/>
      <c r="H676" s="1"/>
      <c r="I676" s="1"/>
      <c r="J676" s="11"/>
      <c r="K676" s="35" t="s">
        <v>15</v>
      </c>
      <c r="L676" s="36" t="s">
        <v>16</v>
      </c>
    </row>
    <row r="677" spans="2:12" x14ac:dyDescent="0.35">
      <c r="B677" s="3" t="s">
        <v>9</v>
      </c>
      <c r="C677" s="4"/>
      <c r="D677" s="4"/>
      <c r="E677" s="4"/>
      <c r="F677" s="4"/>
      <c r="G677" s="4"/>
      <c r="H677" s="1"/>
      <c r="I677" s="1"/>
      <c r="J677" s="12"/>
      <c r="K677" s="12"/>
      <c r="L677" s="13"/>
    </row>
    <row r="678" spans="2:12" x14ac:dyDescent="0.35">
      <c r="B678" s="37"/>
      <c r="C678" s="1"/>
      <c r="D678" s="1"/>
      <c r="E678" s="38"/>
      <c r="F678" s="38"/>
      <c r="G678" s="38"/>
      <c r="H678" s="1"/>
      <c r="I678" s="1"/>
      <c r="J678" s="1"/>
      <c r="K678" s="1"/>
      <c r="L678" s="19"/>
    </row>
    <row r="679" spans="2:12" x14ac:dyDescent="0.35">
      <c r="B679" s="28" t="s">
        <v>6</v>
      </c>
      <c r="C679" s="27"/>
      <c r="D679" s="27"/>
      <c r="E679" s="26"/>
      <c r="F679" s="26"/>
      <c r="G679" s="5"/>
      <c r="K679" s="287" t="str">
        <f>K612</f>
        <v>Balikpapan, 17 November 2025</v>
      </c>
      <c r="L679" s="288"/>
    </row>
    <row r="680" spans="2:12" x14ac:dyDescent="0.35">
      <c r="B680" s="28">
        <v>1</v>
      </c>
      <c r="C680" s="27"/>
      <c r="D680" s="27"/>
      <c r="E680" s="26" t="s">
        <v>7</v>
      </c>
      <c r="F680" s="26"/>
      <c r="G680" s="5"/>
      <c r="K680" s="287" t="s">
        <v>20</v>
      </c>
      <c r="L680" s="288"/>
    </row>
    <row r="681" spans="2:12" x14ac:dyDescent="0.35">
      <c r="B681" s="39"/>
      <c r="C681" s="27"/>
      <c r="D681" s="27"/>
      <c r="E681" s="26"/>
      <c r="F681" s="26"/>
      <c r="G681" s="5"/>
      <c r="J681" s="25"/>
      <c r="K681" s="25"/>
      <c r="L681" s="24"/>
    </row>
    <row r="682" spans="2:12" x14ac:dyDescent="0.35">
      <c r="B682" s="28"/>
      <c r="C682" s="27"/>
      <c r="D682" s="27"/>
      <c r="E682" s="26"/>
      <c r="F682" s="26"/>
      <c r="G682" s="5"/>
      <c r="L682" s="22"/>
    </row>
    <row r="683" spans="2:12" x14ac:dyDescent="0.35">
      <c r="B683" s="45"/>
      <c r="E683" s="5"/>
      <c r="F683" s="5"/>
      <c r="G683" s="5"/>
      <c r="L683" s="22"/>
    </row>
    <row r="684" spans="2:12" x14ac:dyDescent="0.35">
      <c r="B684" s="45"/>
      <c r="E684" s="5"/>
      <c r="F684" s="5"/>
      <c r="G684" s="5"/>
      <c r="L684" s="22"/>
    </row>
    <row r="685" spans="2:12" x14ac:dyDescent="0.35">
      <c r="B685" s="45"/>
      <c r="E685" s="5"/>
      <c r="F685" s="5"/>
      <c r="G685" s="5"/>
      <c r="L685" s="22"/>
    </row>
    <row r="686" spans="2:12" x14ac:dyDescent="0.35">
      <c r="B686" s="45"/>
      <c r="E686" s="5"/>
      <c r="F686" s="5"/>
      <c r="G686" s="5"/>
      <c r="J686" s="40"/>
      <c r="K686" s="289" t="s">
        <v>28</v>
      </c>
      <c r="L686" s="290"/>
    </row>
    <row r="687" spans="2:12" x14ac:dyDescent="0.35">
      <c r="B687" s="45"/>
      <c r="K687" s="291" t="s">
        <v>29</v>
      </c>
      <c r="L687" s="292"/>
    </row>
    <row r="688" spans="2:12" x14ac:dyDescent="0.35">
      <c r="B688" s="278"/>
      <c r="C688" s="279"/>
      <c r="D688" s="279"/>
      <c r="E688" s="41"/>
      <c r="F688" s="41"/>
      <c r="G688" s="41"/>
      <c r="H688" s="2"/>
      <c r="I688" s="2"/>
      <c r="J688" s="2"/>
      <c r="K688" s="2"/>
      <c r="L688" s="21"/>
    </row>
    <row r="689" spans="2:12" x14ac:dyDescent="0.35">
      <c r="B689" s="47"/>
      <c r="C689" s="48"/>
      <c r="D689" s="49"/>
      <c r="G689" s="22"/>
      <c r="H689" s="1"/>
      <c r="I689" s="1"/>
      <c r="J689" s="43"/>
      <c r="K689" s="30"/>
      <c r="L689" s="44"/>
    </row>
    <row r="690" spans="2:12" x14ac:dyDescent="0.35">
      <c r="B690" s="268"/>
      <c r="C690" s="269"/>
      <c r="D690" s="270"/>
      <c r="E690" s="206"/>
      <c r="F690" s="205" t="s">
        <v>228</v>
      </c>
      <c r="G690" s="205"/>
      <c r="H690" s="277"/>
      <c r="I690" s="209"/>
      <c r="J690" s="66"/>
      <c r="K690" s="66"/>
      <c r="L690" s="101"/>
    </row>
    <row r="691" spans="2:12" x14ac:dyDescent="0.35">
      <c r="B691" s="242" t="s">
        <v>35</v>
      </c>
      <c r="C691" s="243"/>
      <c r="D691" s="227"/>
      <c r="E691" s="228" t="s">
        <v>112</v>
      </c>
      <c r="F691" s="226"/>
      <c r="G691" s="229"/>
      <c r="H691" s="230"/>
      <c r="I691" s="228"/>
      <c r="J691" s="231"/>
      <c r="K691" s="231"/>
      <c r="L691" s="66"/>
    </row>
    <row r="692" spans="2:12" x14ac:dyDescent="0.35">
      <c r="B692" s="244"/>
      <c r="C692" s="245"/>
      <c r="D692" s="178" t="s">
        <v>36</v>
      </c>
      <c r="E692" s="179"/>
      <c r="F692" s="177" t="s">
        <v>486</v>
      </c>
      <c r="G692" s="180"/>
      <c r="H692" s="181"/>
      <c r="I692" s="179"/>
      <c r="J692" s="64"/>
      <c r="K692" s="64"/>
      <c r="L692" s="46"/>
    </row>
    <row r="693" spans="2:12" x14ac:dyDescent="0.35">
      <c r="B693" s="244"/>
      <c r="C693" s="245"/>
      <c r="D693" s="178"/>
      <c r="E693" s="179"/>
      <c r="F693" s="177" t="s">
        <v>59</v>
      </c>
      <c r="G693" s="180" t="s">
        <v>487</v>
      </c>
      <c r="H693" s="181">
        <v>600</v>
      </c>
      <c r="I693" s="179" t="s">
        <v>64</v>
      </c>
      <c r="J693" s="64">
        <v>130</v>
      </c>
      <c r="K693" s="64"/>
      <c r="L693" s="46">
        <f t="shared" ref="L693:L698" si="76">J693*H693</f>
        <v>78000</v>
      </c>
    </row>
    <row r="694" spans="2:12" x14ac:dyDescent="0.35">
      <c r="B694" s="244"/>
      <c r="C694" s="245"/>
      <c r="D694" s="178"/>
      <c r="E694" s="179"/>
      <c r="F694" s="177" t="s">
        <v>59</v>
      </c>
      <c r="G694" s="180" t="s">
        <v>488</v>
      </c>
      <c r="H694" s="181">
        <v>16</v>
      </c>
      <c r="I694" s="179" t="s">
        <v>63</v>
      </c>
      <c r="J694" s="64">
        <v>65000</v>
      </c>
      <c r="K694" s="64"/>
      <c r="L694" s="46">
        <f t="shared" si="76"/>
        <v>1040000</v>
      </c>
    </row>
    <row r="695" spans="2:12" x14ac:dyDescent="0.35">
      <c r="B695" s="244"/>
      <c r="C695" s="245"/>
      <c r="D695" s="178"/>
      <c r="E695" s="179"/>
      <c r="F695" s="177" t="s">
        <v>59</v>
      </c>
      <c r="G695" s="180" t="s">
        <v>489</v>
      </c>
      <c r="H695" s="181">
        <v>8</v>
      </c>
      <c r="I695" s="179" t="s">
        <v>63</v>
      </c>
      <c r="J695" s="64">
        <v>35000</v>
      </c>
      <c r="K695" s="64"/>
      <c r="L695" s="46">
        <f t="shared" si="76"/>
        <v>280000</v>
      </c>
    </row>
    <row r="696" spans="2:12" x14ac:dyDescent="0.35">
      <c r="D696" s="22"/>
      <c r="E696" s="179"/>
      <c r="F696" s="177" t="s">
        <v>59</v>
      </c>
      <c r="G696" s="180" t="s">
        <v>490</v>
      </c>
      <c r="H696" s="181">
        <v>3</v>
      </c>
      <c r="I696" s="179" t="s">
        <v>63</v>
      </c>
      <c r="J696" s="64">
        <v>35000</v>
      </c>
      <c r="K696" s="64"/>
      <c r="L696" s="46">
        <f t="shared" si="76"/>
        <v>105000</v>
      </c>
    </row>
    <row r="697" spans="2:12" x14ac:dyDescent="0.35">
      <c r="B697" s="244"/>
      <c r="C697" s="245"/>
      <c r="D697" s="178"/>
      <c r="E697" s="179"/>
      <c r="F697" s="177" t="s">
        <v>59</v>
      </c>
      <c r="G697" s="180" t="s">
        <v>491</v>
      </c>
      <c r="H697" s="181">
        <v>1</v>
      </c>
      <c r="I697" s="179" t="s">
        <v>63</v>
      </c>
      <c r="J697" s="64">
        <v>35000</v>
      </c>
      <c r="K697" s="64"/>
      <c r="L697" s="46">
        <f t="shared" si="76"/>
        <v>35000</v>
      </c>
    </row>
    <row r="698" spans="2:12" x14ac:dyDescent="0.35">
      <c r="B698" s="244"/>
      <c r="C698" s="245"/>
      <c r="D698" s="178"/>
      <c r="E698" s="179"/>
      <c r="F698" s="177" t="s">
        <v>59</v>
      </c>
      <c r="G698" s="180" t="s">
        <v>492</v>
      </c>
      <c r="H698" s="181">
        <v>1</v>
      </c>
      <c r="I698" s="179" t="s">
        <v>63</v>
      </c>
      <c r="J698" s="64">
        <v>35000</v>
      </c>
      <c r="K698" s="54"/>
      <c r="L698" s="46">
        <f t="shared" si="76"/>
        <v>35000</v>
      </c>
    </row>
    <row r="699" spans="2:12" x14ac:dyDescent="0.35">
      <c r="B699" s="244"/>
      <c r="C699" s="245"/>
      <c r="D699" s="178"/>
      <c r="E699" s="179"/>
      <c r="F699" s="177"/>
      <c r="G699" s="180"/>
      <c r="H699" s="181"/>
      <c r="I699" s="179"/>
      <c r="J699" s="64"/>
      <c r="K699" s="64"/>
      <c r="L699" s="46"/>
    </row>
    <row r="700" spans="2:12" x14ac:dyDescent="0.35">
      <c r="B700" s="244"/>
      <c r="C700" s="245"/>
      <c r="D700" s="178"/>
      <c r="E700" s="182"/>
      <c r="F700" s="183" t="s">
        <v>493</v>
      </c>
      <c r="G700" s="184"/>
      <c r="H700" s="181"/>
      <c r="I700" s="179"/>
      <c r="J700" s="64"/>
      <c r="K700" s="64"/>
      <c r="L700" s="46"/>
    </row>
    <row r="701" spans="2:12" x14ac:dyDescent="0.35">
      <c r="B701" s="185" t="s">
        <v>35</v>
      </c>
      <c r="C701" s="246"/>
      <c r="D701" s="247"/>
      <c r="E701" s="186" t="s">
        <v>112</v>
      </c>
      <c r="F701" s="187"/>
      <c r="G701" s="188"/>
      <c r="J701" s="64"/>
      <c r="K701" s="64"/>
      <c r="L701" s="46"/>
    </row>
    <row r="702" spans="2:12" x14ac:dyDescent="0.35">
      <c r="B702" s="189"/>
      <c r="C702" s="248" t="s">
        <v>68</v>
      </c>
      <c r="D702" s="249"/>
      <c r="E702" s="190"/>
      <c r="F702" s="191" t="s">
        <v>113</v>
      </c>
      <c r="G702" s="192"/>
      <c r="J702" s="64"/>
      <c r="K702" s="64"/>
      <c r="L702" s="46"/>
    </row>
    <row r="703" spans="2:12" x14ac:dyDescent="0.35">
      <c r="B703" s="189"/>
      <c r="C703" s="248"/>
      <c r="D703" s="249" t="s">
        <v>36</v>
      </c>
      <c r="E703" s="190"/>
      <c r="F703" s="191" t="s">
        <v>494</v>
      </c>
      <c r="G703" s="192"/>
      <c r="H703" s="191">
        <v>28</v>
      </c>
      <c r="I703" s="193" t="s">
        <v>73</v>
      </c>
      <c r="J703" s="64">
        <v>170000</v>
      </c>
      <c r="K703" s="64">
        <f t="shared" ref="K703" si="77">J703*H703</f>
        <v>4760000</v>
      </c>
      <c r="L703" s="46"/>
    </row>
    <row r="704" spans="2:12" x14ac:dyDescent="0.35">
      <c r="B704" s="189"/>
      <c r="C704" s="248"/>
      <c r="D704" s="249"/>
      <c r="E704" s="190"/>
      <c r="F704" s="191" t="s">
        <v>59</v>
      </c>
      <c r="G704" s="192" t="s">
        <v>495</v>
      </c>
      <c r="H704" s="200">
        <v>8490</v>
      </c>
      <c r="I704" s="193" t="s">
        <v>64</v>
      </c>
      <c r="J704" s="72">
        <v>421</v>
      </c>
      <c r="K704" s="64"/>
      <c r="L704" s="46">
        <f t="shared" ref="L704:L709" si="78">J704*H704</f>
        <v>3574290</v>
      </c>
    </row>
    <row r="705" spans="2:12" x14ac:dyDescent="0.35">
      <c r="B705" s="189"/>
      <c r="C705" s="248"/>
      <c r="D705" s="249"/>
      <c r="E705" s="190"/>
      <c r="F705" s="191" t="s">
        <v>59</v>
      </c>
      <c r="G705" s="192" t="s">
        <v>496</v>
      </c>
      <c r="H705" s="200">
        <v>6</v>
      </c>
      <c r="I705" s="193" t="s">
        <v>63</v>
      </c>
      <c r="J705" s="72">
        <v>140000</v>
      </c>
      <c r="K705" s="64"/>
      <c r="L705" s="46">
        <f t="shared" si="78"/>
        <v>840000</v>
      </c>
    </row>
    <row r="706" spans="2:12" x14ac:dyDescent="0.35">
      <c r="B706" s="189"/>
      <c r="C706" s="248"/>
      <c r="D706" s="249"/>
      <c r="E706" s="190"/>
      <c r="F706" s="191" t="s">
        <v>59</v>
      </c>
      <c r="G706" s="192" t="s">
        <v>74</v>
      </c>
      <c r="H706" s="200">
        <v>8</v>
      </c>
      <c r="I706" s="193" t="s">
        <v>63</v>
      </c>
      <c r="J706" s="72">
        <v>180000</v>
      </c>
      <c r="K706" s="64"/>
      <c r="L706" s="46">
        <f t="shared" si="78"/>
        <v>1440000</v>
      </c>
    </row>
    <row r="707" spans="2:12" x14ac:dyDescent="0.35">
      <c r="B707" s="189"/>
      <c r="C707" s="248"/>
      <c r="D707" s="249"/>
      <c r="E707" s="190"/>
      <c r="F707" s="191" t="s">
        <v>59</v>
      </c>
      <c r="G707" s="192" t="s">
        <v>75</v>
      </c>
      <c r="H707" s="200">
        <v>32</v>
      </c>
      <c r="I707" s="193" t="s">
        <v>58</v>
      </c>
      <c r="J707" s="56">
        <v>35000</v>
      </c>
      <c r="K707" s="56"/>
      <c r="L707" s="46">
        <f t="shared" si="78"/>
        <v>1120000</v>
      </c>
    </row>
    <row r="708" spans="2:12" x14ac:dyDescent="0.35">
      <c r="B708" s="189"/>
      <c r="C708" s="248"/>
      <c r="D708" s="249"/>
      <c r="E708" s="190"/>
      <c r="F708" s="191" t="s">
        <v>59</v>
      </c>
      <c r="G708" s="192" t="s">
        <v>497</v>
      </c>
      <c r="H708" s="200">
        <v>6</v>
      </c>
      <c r="I708" s="193" t="s">
        <v>58</v>
      </c>
      <c r="J708" s="56">
        <v>35000</v>
      </c>
      <c r="K708" s="56"/>
      <c r="L708" s="46">
        <f t="shared" si="78"/>
        <v>210000</v>
      </c>
    </row>
    <row r="709" spans="2:12" x14ac:dyDescent="0.35">
      <c r="B709" s="185"/>
      <c r="C709" s="246"/>
      <c r="D709" s="247" t="s">
        <v>38</v>
      </c>
      <c r="E709" s="186"/>
      <c r="F709" s="187" t="s">
        <v>498</v>
      </c>
      <c r="G709" s="194"/>
      <c r="H709" s="201">
        <v>2</v>
      </c>
      <c r="I709" s="188" t="s">
        <v>227</v>
      </c>
      <c r="J709" s="72">
        <v>160000</v>
      </c>
      <c r="K709" s="72"/>
      <c r="L709" s="46">
        <f t="shared" si="78"/>
        <v>320000</v>
      </c>
    </row>
    <row r="710" spans="2:12" x14ac:dyDescent="0.35">
      <c r="B710" s="185" t="s">
        <v>50</v>
      </c>
      <c r="C710" s="246"/>
      <c r="D710" s="247"/>
      <c r="E710" s="186" t="s">
        <v>66</v>
      </c>
      <c r="F710" s="187"/>
      <c r="G710" s="188"/>
      <c r="H710" s="201"/>
      <c r="I710" s="188"/>
      <c r="J710" s="56"/>
      <c r="K710" s="56"/>
      <c r="L710" s="46"/>
    </row>
    <row r="711" spans="2:12" x14ac:dyDescent="0.35">
      <c r="B711" s="244"/>
      <c r="C711" s="245" t="s">
        <v>68</v>
      </c>
      <c r="D711" s="178"/>
      <c r="E711" s="179"/>
      <c r="F711" s="177" t="s">
        <v>499</v>
      </c>
      <c r="G711" s="177"/>
      <c r="H711" s="195"/>
      <c r="I711" s="202"/>
      <c r="J711" s="56"/>
      <c r="K711" s="57"/>
      <c r="L711" s="46"/>
    </row>
    <row r="712" spans="2:12" x14ac:dyDescent="0.35">
      <c r="B712" s="244"/>
      <c r="C712" s="245"/>
      <c r="D712" s="178"/>
      <c r="E712" s="179"/>
      <c r="F712" s="177" t="s">
        <v>59</v>
      </c>
      <c r="G712" s="59" t="s">
        <v>500</v>
      </c>
      <c r="H712" s="196">
        <f>0.15*0.6*6*7.85*1.2</f>
        <v>5.0867999999999993</v>
      </c>
      <c r="I712" s="202" t="s">
        <v>501</v>
      </c>
      <c r="J712" s="56">
        <v>30000</v>
      </c>
      <c r="K712" s="56"/>
      <c r="L712" s="46">
        <v>152700</v>
      </c>
    </row>
    <row r="713" spans="2:12" x14ac:dyDescent="0.35">
      <c r="B713" s="244"/>
      <c r="C713" s="245"/>
      <c r="D713" s="178"/>
      <c r="E713" s="179"/>
      <c r="F713" s="177" t="s">
        <v>59</v>
      </c>
      <c r="G713" s="59" t="s">
        <v>502</v>
      </c>
      <c r="H713" s="196">
        <f>0.15*0.2*6*7.85*1.2</f>
        <v>1.6955999999999998</v>
      </c>
      <c r="I713" s="202" t="s">
        <v>501</v>
      </c>
      <c r="J713" s="56">
        <v>30000</v>
      </c>
      <c r="K713" s="64"/>
      <c r="L713" s="46">
        <v>51000</v>
      </c>
    </row>
    <row r="714" spans="2:12" x14ac:dyDescent="0.35">
      <c r="B714" s="244"/>
      <c r="C714" s="245"/>
      <c r="D714" s="178"/>
      <c r="E714" s="179"/>
      <c r="F714" s="177" t="s">
        <v>59</v>
      </c>
      <c r="G714" s="59" t="s">
        <v>503</v>
      </c>
      <c r="H714" s="196">
        <f>0.15*0.65*6*7.85*1.2</f>
        <v>5.5106999999999999</v>
      </c>
      <c r="I714" s="202" t="s">
        <v>501</v>
      </c>
      <c r="J714" s="56">
        <v>30000</v>
      </c>
      <c r="K714" s="64"/>
      <c r="L714" s="46">
        <v>165300</v>
      </c>
    </row>
    <row r="715" spans="2:12" x14ac:dyDescent="0.35">
      <c r="B715" s="244"/>
      <c r="C715" s="245"/>
      <c r="D715" s="178"/>
      <c r="E715" s="179"/>
      <c r="F715" s="177" t="s">
        <v>59</v>
      </c>
      <c r="G715" s="59" t="s">
        <v>504</v>
      </c>
      <c r="H715" s="196">
        <f>0.08*0.08*8*7.85*1.2</f>
        <v>0.48230399999999995</v>
      </c>
      <c r="I715" s="202" t="s">
        <v>501</v>
      </c>
      <c r="J715" s="56">
        <v>30000</v>
      </c>
      <c r="K715" s="54"/>
      <c r="L715" s="46">
        <v>14400</v>
      </c>
    </row>
    <row r="716" spans="2:12" x14ac:dyDescent="0.35">
      <c r="B716" s="244"/>
      <c r="C716" s="245"/>
      <c r="D716" s="178"/>
      <c r="E716" s="179"/>
      <c r="F716" s="177" t="s">
        <v>59</v>
      </c>
      <c r="G716" s="59" t="s">
        <v>505</v>
      </c>
      <c r="H716" s="196">
        <f>0.16*0.16*6*7.85*1.2</f>
        <v>1.4469120000000002</v>
      </c>
      <c r="I716" s="202" t="s">
        <v>501</v>
      </c>
      <c r="J716" s="56">
        <v>30000</v>
      </c>
      <c r="K716" s="64"/>
      <c r="L716" s="46">
        <v>43500</v>
      </c>
    </row>
    <row r="717" spans="2:12" x14ac:dyDescent="0.35">
      <c r="B717" s="244"/>
      <c r="C717" s="245"/>
      <c r="D717" s="178"/>
      <c r="E717" s="179"/>
      <c r="F717" s="177" t="s">
        <v>59</v>
      </c>
      <c r="G717" s="59" t="s">
        <v>506</v>
      </c>
      <c r="H717" s="195">
        <v>1</v>
      </c>
      <c r="I717" s="202" t="s">
        <v>62</v>
      </c>
      <c r="J717" s="51">
        <v>500000</v>
      </c>
      <c r="K717" s="64">
        <f t="shared" ref="K717:K718" si="79">J717*H717</f>
        <v>500000</v>
      </c>
      <c r="L717" s="46"/>
    </row>
    <row r="718" spans="2:12" x14ac:dyDescent="0.35">
      <c r="B718" s="250"/>
      <c r="C718" s="251"/>
      <c r="D718" s="197"/>
      <c r="E718" s="198"/>
      <c r="F718" s="177" t="s">
        <v>59</v>
      </c>
      <c r="G718" s="166" t="s">
        <v>507</v>
      </c>
      <c r="H718" s="203">
        <v>1</v>
      </c>
      <c r="I718" s="204" t="s">
        <v>508</v>
      </c>
      <c r="J718" s="61">
        <v>500000</v>
      </c>
      <c r="K718" s="64">
        <f t="shared" si="79"/>
        <v>500000</v>
      </c>
      <c r="L718" s="46"/>
    </row>
    <row r="719" spans="2:12" x14ac:dyDescent="0.35">
      <c r="B719" s="75"/>
      <c r="C719" s="76"/>
      <c r="D719" s="144"/>
      <c r="E719" s="68"/>
      <c r="F719" s="68"/>
      <c r="G719" s="135"/>
      <c r="H719" s="92"/>
      <c r="I719" s="89"/>
      <c r="J719" s="88"/>
      <c r="K719" s="88"/>
      <c r="L719" s="46"/>
    </row>
    <row r="720" spans="2:12" x14ac:dyDescent="0.35">
      <c r="B720" s="75"/>
      <c r="C720" s="76"/>
      <c r="D720" s="144"/>
      <c r="E720" s="68"/>
      <c r="F720" s="68"/>
      <c r="G720" s="135"/>
      <c r="H720" s="92"/>
      <c r="I720" s="89"/>
      <c r="J720" s="88"/>
      <c r="K720" s="88"/>
      <c r="L720" s="46"/>
    </row>
    <row r="721" spans="2:12" x14ac:dyDescent="0.35">
      <c r="B721" s="75"/>
      <c r="C721" s="76"/>
      <c r="D721" s="144"/>
      <c r="E721" s="68"/>
      <c r="F721" s="68"/>
      <c r="G721" s="135"/>
      <c r="H721" s="92"/>
      <c r="I721" s="89"/>
      <c r="J721" s="88"/>
      <c r="K721" s="88"/>
      <c r="L721" s="46"/>
    </row>
    <row r="722" spans="2:12" x14ac:dyDescent="0.35">
      <c r="B722" s="75"/>
      <c r="C722" s="76"/>
      <c r="D722" s="144"/>
      <c r="E722" s="68"/>
      <c r="F722" s="68"/>
      <c r="G722" s="135"/>
      <c r="H722" s="92"/>
      <c r="I722" s="89"/>
      <c r="J722" s="88"/>
      <c r="K722" s="29"/>
      <c r="L722" s="46"/>
    </row>
    <row r="723" spans="2:12" x14ac:dyDescent="0.35">
      <c r="B723" s="75"/>
      <c r="C723" s="76"/>
      <c r="D723" s="144"/>
      <c r="E723" s="68"/>
      <c r="F723" s="68"/>
      <c r="G723" s="135"/>
      <c r="H723" s="92"/>
      <c r="I723" s="89"/>
      <c r="J723" s="88"/>
      <c r="K723" s="29"/>
      <c r="L723" s="46"/>
    </row>
    <row r="724" spans="2:12" x14ac:dyDescent="0.35">
      <c r="B724" s="75"/>
      <c r="C724" s="76"/>
      <c r="D724" s="144"/>
      <c r="E724" s="68"/>
      <c r="F724" s="68"/>
      <c r="G724" s="135"/>
      <c r="H724" s="92"/>
      <c r="I724" s="89"/>
      <c r="J724" s="50"/>
      <c r="K724" s="29"/>
      <c r="L724" s="46"/>
    </row>
    <row r="725" spans="2:12" x14ac:dyDescent="0.35">
      <c r="B725" s="75"/>
      <c r="C725" s="76"/>
      <c r="D725" s="144"/>
      <c r="E725" s="68"/>
      <c r="F725" s="68"/>
      <c r="G725" s="135"/>
      <c r="H725" s="92"/>
      <c r="I725" s="89"/>
      <c r="J725" s="50"/>
      <c r="K725" s="29"/>
      <c r="L725" s="46"/>
    </row>
    <row r="726" spans="2:12" x14ac:dyDescent="0.35">
      <c r="B726" s="75"/>
      <c r="C726" s="76"/>
      <c r="D726" s="144"/>
      <c r="E726" s="68"/>
      <c r="F726" s="68"/>
      <c r="G726" s="135"/>
      <c r="H726" s="92"/>
      <c r="I726" s="89"/>
      <c r="J726" s="50"/>
      <c r="K726" s="29"/>
      <c r="L726" s="51"/>
    </row>
    <row r="727" spans="2:12" x14ac:dyDescent="0.35">
      <c r="B727" s="75"/>
      <c r="C727" s="76"/>
      <c r="D727" s="144"/>
      <c r="E727" s="68"/>
      <c r="F727" s="68"/>
      <c r="G727" s="135"/>
      <c r="H727" s="92"/>
      <c r="I727" s="89"/>
      <c r="J727" s="50"/>
      <c r="K727" s="29"/>
      <c r="L727" s="51"/>
    </row>
    <row r="728" spans="2:12" x14ac:dyDescent="0.35">
      <c r="B728" s="75"/>
      <c r="C728" s="76"/>
      <c r="D728" s="144"/>
      <c r="E728" s="68"/>
      <c r="F728" s="68"/>
      <c r="G728" s="135"/>
      <c r="H728" s="92"/>
      <c r="I728" s="89"/>
      <c r="J728" s="50"/>
      <c r="K728" s="29"/>
      <c r="L728" s="51"/>
    </row>
    <row r="729" spans="2:12" x14ac:dyDescent="0.35">
      <c r="B729" s="75"/>
      <c r="C729" s="76"/>
      <c r="D729" s="144"/>
      <c r="E729" s="68"/>
      <c r="F729" s="68"/>
      <c r="G729" s="135"/>
      <c r="H729" s="92"/>
      <c r="I729" s="89"/>
      <c r="J729" s="50"/>
      <c r="K729" s="29"/>
      <c r="L729" s="51"/>
    </row>
    <row r="730" spans="2:12" x14ac:dyDescent="0.35">
      <c r="B730" s="75"/>
      <c r="C730" s="76"/>
      <c r="D730" s="144"/>
      <c r="E730" s="68"/>
      <c r="F730" s="68"/>
      <c r="G730" s="135"/>
      <c r="H730" s="92"/>
      <c r="I730" s="89"/>
      <c r="J730" s="50"/>
      <c r="K730" s="29"/>
      <c r="L730" s="51"/>
    </row>
    <row r="731" spans="2:12" x14ac:dyDescent="0.35">
      <c r="B731" s="75"/>
      <c r="C731" s="76"/>
      <c r="D731" s="144"/>
      <c r="E731" s="68"/>
      <c r="F731" s="68"/>
      <c r="G731" s="135"/>
      <c r="H731" s="92"/>
      <c r="I731" s="89"/>
      <c r="J731" s="50"/>
      <c r="K731" s="29"/>
      <c r="L731" s="51"/>
    </row>
    <row r="732" spans="2:12" x14ac:dyDescent="0.35">
      <c r="B732" s="75"/>
      <c r="C732" s="76"/>
      <c r="D732" s="144"/>
      <c r="E732" s="68"/>
      <c r="F732" s="68"/>
      <c r="G732" s="135"/>
      <c r="H732" s="92"/>
      <c r="I732" s="89"/>
      <c r="J732" s="50"/>
      <c r="K732" s="29"/>
      <c r="L732" s="51"/>
    </row>
    <row r="733" spans="2:12" x14ac:dyDescent="0.35">
      <c r="B733" s="75"/>
      <c r="C733" s="76"/>
      <c r="D733" s="144"/>
      <c r="E733" s="68"/>
      <c r="F733" s="68"/>
      <c r="G733" s="135"/>
      <c r="H733" s="92"/>
      <c r="I733" s="89"/>
      <c r="J733" s="50"/>
      <c r="K733" s="29"/>
      <c r="L733" s="51"/>
    </row>
    <row r="734" spans="2:12" x14ac:dyDescent="0.35">
      <c r="B734" s="75"/>
      <c r="C734" s="76"/>
      <c r="D734" s="144"/>
      <c r="E734" s="68"/>
      <c r="F734" s="68"/>
      <c r="G734" s="135"/>
      <c r="H734" s="92"/>
      <c r="I734" s="89"/>
      <c r="J734" s="50"/>
      <c r="K734" s="29"/>
      <c r="L734" s="51"/>
    </row>
    <row r="735" spans="2:12" x14ac:dyDescent="0.35">
      <c r="B735" s="75"/>
      <c r="C735" s="76"/>
      <c r="D735" s="144"/>
      <c r="E735" s="68"/>
      <c r="F735" s="68"/>
      <c r="G735" s="135"/>
      <c r="H735" s="92"/>
      <c r="I735" s="89"/>
      <c r="J735" s="50"/>
      <c r="K735" s="29"/>
      <c r="L735" s="51"/>
    </row>
    <row r="736" spans="2:12" x14ac:dyDescent="0.35">
      <c r="B736" s="75"/>
      <c r="C736" s="76"/>
      <c r="D736" s="144"/>
      <c r="E736" s="68"/>
      <c r="F736" s="68"/>
      <c r="G736" s="135"/>
      <c r="H736" s="92"/>
      <c r="I736" s="89"/>
      <c r="J736" s="50"/>
      <c r="K736" s="29"/>
      <c r="L736" s="51"/>
    </row>
    <row r="737" spans="2:13" x14ac:dyDescent="0.35">
      <c r="B737" s="75"/>
      <c r="C737" s="76"/>
      <c r="D737" s="144"/>
      <c r="E737" s="68"/>
      <c r="F737" s="68"/>
      <c r="G737" s="135"/>
      <c r="H737" s="92"/>
      <c r="I737" s="89"/>
      <c r="J737" s="50"/>
      <c r="K737" s="29"/>
      <c r="L737" s="51"/>
    </row>
    <row r="738" spans="2:13" x14ac:dyDescent="0.35">
      <c r="B738" s="47"/>
      <c r="C738" s="48"/>
      <c r="D738" s="24"/>
      <c r="G738" s="22"/>
      <c r="I738" s="22"/>
      <c r="J738" s="50"/>
      <c r="K738" s="29"/>
      <c r="L738" s="51"/>
    </row>
    <row r="739" spans="2:13" x14ac:dyDescent="0.35">
      <c r="B739" s="47"/>
      <c r="C739" s="48"/>
      <c r="D739" s="24"/>
      <c r="G739" s="22"/>
      <c r="I739" s="22"/>
      <c r="J739" s="50"/>
      <c r="K739" s="29"/>
      <c r="L739" s="51"/>
    </row>
    <row r="740" spans="2:13" x14ac:dyDescent="0.35">
      <c r="B740" s="8"/>
      <c r="C740" s="9"/>
      <c r="D740" s="10"/>
      <c r="E740" s="4"/>
      <c r="F740" s="4"/>
      <c r="G740" s="4"/>
      <c r="H740" s="1"/>
      <c r="I740" s="1"/>
      <c r="J740" s="11" t="s">
        <v>8</v>
      </c>
      <c r="K740" s="7">
        <f>SUM(K689:K739)</f>
        <v>5760000</v>
      </c>
      <c r="L740" s="7">
        <f>SUM(L689:L739)</f>
        <v>9504190</v>
      </c>
    </row>
    <row r="741" spans="2:13" x14ac:dyDescent="0.35">
      <c r="B741" s="8"/>
      <c r="C741" s="9"/>
      <c r="D741" s="9"/>
      <c r="E741" s="4"/>
      <c r="F741" s="4"/>
      <c r="G741" s="4"/>
      <c r="H741" s="1"/>
      <c r="I741" s="1"/>
      <c r="J741" s="11" t="s">
        <v>229</v>
      </c>
      <c r="K741" s="53">
        <f>SUM(K72,K139,K206,K273,K340,K407,K474,K541,K608,K675,K740)</f>
        <v>1026955000</v>
      </c>
      <c r="L741" s="53">
        <f>SUM(L72,L139,L206,L273,L340,L407,L474,L541,L608,L675,L740)</f>
        <v>614023670</v>
      </c>
      <c r="M741" s="14">
        <f>K741+L741</f>
        <v>1640978670</v>
      </c>
    </row>
    <row r="742" spans="2:13" x14ac:dyDescent="0.35">
      <c r="B742" s="8"/>
      <c r="C742" s="9"/>
      <c r="D742" s="9"/>
      <c r="E742" s="4"/>
      <c r="F742" s="4"/>
      <c r="G742" s="4"/>
      <c r="H742" s="1"/>
      <c r="I742" s="1"/>
      <c r="J742" s="11"/>
      <c r="K742" s="35" t="s">
        <v>15</v>
      </c>
      <c r="L742" s="36" t="s">
        <v>16</v>
      </c>
    </row>
    <row r="743" spans="2:13" x14ac:dyDescent="0.35">
      <c r="B743" s="3" t="s">
        <v>9</v>
      </c>
      <c r="C743" s="4"/>
      <c r="D743" s="4"/>
      <c r="E743" s="4"/>
      <c r="F743" s="4"/>
      <c r="G743" s="4"/>
      <c r="H743" s="1"/>
      <c r="I743" s="1"/>
      <c r="J743" s="12"/>
      <c r="K743" s="12"/>
      <c r="L743" s="13"/>
    </row>
    <row r="744" spans="2:13" x14ac:dyDescent="0.35">
      <c r="B744" s="37"/>
      <c r="C744" s="1"/>
      <c r="D744" s="1"/>
      <c r="E744" s="38"/>
      <c r="F744" s="38"/>
      <c r="G744" s="38"/>
      <c r="H744" s="1"/>
      <c r="I744" s="1"/>
      <c r="J744" s="1"/>
      <c r="K744" s="1"/>
      <c r="L744" s="19"/>
    </row>
    <row r="745" spans="2:13" x14ac:dyDescent="0.35">
      <c r="B745" s="28" t="s">
        <v>6</v>
      </c>
      <c r="C745" s="27"/>
      <c r="D745" s="27"/>
      <c r="E745" s="26"/>
      <c r="F745" s="26"/>
      <c r="G745" s="5"/>
      <c r="K745" s="287" t="str">
        <f>K679</f>
        <v>Balikpapan, 17 November 2025</v>
      </c>
      <c r="L745" s="288"/>
    </row>
    <row r="746" spans="2:13" x14ac:dyDescent="0.35">
      <c r="B746" s="28">
        <v>1</v>
      </c>
      <c r="C746" s="27"/>
      <c r="D746" s="27"/>
      <c r="E746" s="26" t="s">
        <v>7</v>
      </c>
      <c r="F746" s="26"/>
      <c r="G746" s="5"/>
      <c r="K746" s="287" t="s">
        <v>20</v>
      </c>
      <c r="L746" s="288"/>
    </row>
    <row r="747" spans="2:13" x14ac:dyDescent="0.35">
      <c r="B747" s="39"/>
      <c r="C747" s="27"/>
      <c r="D747" s="27"/>
      <c r="E747" s="26"/>
      <c r="F747" s="26"/>
      <c r="G747" s="5"/>
      <c r="J747" s="25"/>
      <c r="K747" s="25"/>
      <c r="L747" s="24"/>
    </row>
    <row r="748" spans="2:13" x14ac:dyDescent="0.35">
      <c r="B748" s="28"/>
      <c r="C748" s="27"/>
      <c r="D748" s="27"/>
      <c r="E748" s="26"/>
      <c r="F748" s="26"/>
      <c r="G748" s="5"/>
      <c r="L748" s="22"/>
    </row>
    <row r="749" spans="2:13" x14ac:dyDescent="0.35">
      <c r="B749" s="45"/>
      <c r="E749" s="5"/>
      <c r="F749" s="5"/>
      <c r="G749" s="5"/>
      <c r="L749" s="22"/>
    </row>
    <row r="750" spans="2:13" x14ac:dyDescent="0.35">
      <c r="B750" s="45"/>
      <c r="E750" s="5"/>
      <c r="F750" s="5"/>
      <c r="G750" s="5"/>
      <c r="L750" s="22"/>
    </row>
    <row r="751" spans="2:13" x14ac:dyDescent="0.35">
      <c r="B751" s="45"/>
      <c r="E751" s="5"/>
      <c r="F751" s="5"/>
      <c r="G751" s="5"/>
      <c r="L751" s="22"/>
    </row>
    <row r="752" spans="2:13" x14ac:dyDescent="0.35">
      <c r="B752" s="45"/>
      <c r="E752" s="5"/>
      <c r="F752" s="5"/>
      <c r="G752" s="5"/>
      <c r="J752" s="40"/>
      <c r="K752" s="289" t="s">
        <v>28</v>
      </c>
      <c r="L752" s="290"/>
    </row>
    <row r="753" spans="2:12" x14ac:dyDescent="0.35">
      <c r="B753" s="45"/>
      <c r="K753" s="291" t="s">
        <v>29</v>
      </c>
      <c r="L753" s="292"/>
    </row>
    <row r="754" spans="2:12" x14ac:dyDescent="0.35">
      <c r="B754" s="278"/>
      <c r="C754" s="279"/>
      <c r="D754" s="279"/>
      <c r="E754" s="41"/>
      <c r="F754" s="41"/>
      <c r="G754" s="41"/>
      <c r="H754" s="2"/>
      <c r="I754" s="2"/>
      <c r="J754" s="2"/>
      <c r="K754" s="2"/>
      <c r="L754" s="21"/>
    </row>
  </sheetData>
  <mergeCells count="63">
    <mergeCell ref="K746:L746"/>
    <mergeCell ref="K752:L752"/>
    <mergeCell ref="K753:L753"/>
    <mergeCell ref="B353:D353"/>
    <mergeCell ref="B754:D754"/>
    <mergeCell ref="K552:L552"/>
    <mergeCell ref="K553:L553"/>
    <mergeCell ref="B554:D554"/>
    <mergeCell ref="K612:L612"/>
    <mergeCell ref="K613:L613"/>
    <mergeCell ref="K619:L619"/>
    <mergeCell ref="K679:L679"/>
    <mergeCell ref="K680:L680"/>
    <mergeCell ref="K686:L686"/>
    <mergeCell ref="K687:L687"/>
    <mergeCell ref="K620:L620"/>
    <mergeCell ref="B621:D621"/>
    <mergeCell ref="B688:D688"/>
    <mergeCell ref="K745:L745"/>
    <mergeCell ref="K545:L545"/>
    <mergeCell ref="K485:L485"/>
    <mergeCell ref="K486:L486"/>
    <mergeCell ref="B487:D487"/>
    <mergeCell ref="K546:L546"/>
    <mergeCell ref="K478:L478"/>
    <mergeCell ref="K479:L479"/>
    <mergeCell ref="K418:L418"/>
    <mergeCell ref="K419:L419"/>
    <mergeCell ref="B420:D420"/>
    <mergeCell ref="B286:D286"/>
    <mergeCell ref="K210:L210"/>
    <mergeCell ref="K217:L217"/>
    <mergeCell ref="B85:D85"/>
    <mergeCell ref="K143:L143"/>
    <mergeCell ref="K144:L144"/>
    <mergeCell ref="K150:L150"/>
    <mergeCell ref="K151:L151"/>
    <mergeCell ref="B152:D152"/>
    <mergeCell ref="K211:L211"/>
    <mergeCell ref="K218:L218"/>
    <mergeCell ref="B219:D219"/>
    <mergeCell ref="K277:L277"/>
    <mergeCell ref="K278:L278"/>
    <mergeCell ref="K284:L284"/>
    <mergeCell ref="K285:L285"/>
    <mergeCell ref="N22:O22"/>
    <mergeCell ref="K76:L76"/>
    <mergeCell ref="K77:L77"/>
    <mergeCell ref="K83:L83"/>
    <mergeCell ref="K412:L412"/>
    <mergeCell ref="K411:L411"/>
    <mergeCell ref="K344:L344"/>
    <mergeCell ref="K345:L345"/>
    <mergeCell ref="K351:L351"/>
    <mergeCell ref="K352:L352"/>
    <mergeCell ref="K84:L84"/>
    <mergeCell ref="F15:G15"/>
    <mergeCell ref="B18:D19"/>
    <mergeCell ref="E18:G19"/>
    <mergeCell ref="H18:I19"/>
    <mergeCell ref="J18:J19"/>
    <mergeCell ref="K18:K19"/>
    <mergeCell ref="L18:L19"/>
  </mergeCells>
  <conditionalFormatting sqref="B46">
    <cfRule type="expression" dxfId="160" priority="236">
      <formula>ISTEXT($E46)=TRUE</formula>
    </cfRule>
  </conditionalFormatting>
  <conditionalFormatting sqref="B48:B71">
    <cfRule type="expression" dxfId="159" priority="232">
      <formula>ISTEXT($E48)=TRUE</formula>
    </cfRule>
  </conditionalFormatting>
  <conditionalFormatting sqref="B87:B89">
    <cfRule type="expression" dxfId="158" priority="224">
      <formula>ISTEXT($E87)=TRUE</formula>
    </cfRule>
  </conditionalFormatting>
  <conditionalFormatting sqref="B92:B93 B719:B737">
    <cfRule type="expression" dxfId="157" priority="517">
      <formula>ISTEXT($E92)=TRUE</formula>
    </cfRule>
  </conditionalFormatting>
  <conditionalFormatting sqref="B104:B137">
    <cfRule type="expression" dxfId="156" priority="211">
      <formula>ISTEXT($E104)=TRUE</formula>
    </cfRule>
  </conditionalFormatting>
  <conditionalFormatting sqref="B154:B204">
    <cfRule type="expression" dxfId="155" priority="199">
      <formula>ISTEXT($E154)=TRUE</formula>
    </cfRule>
  </conditionalFormatting>
  <conditionalFormatting sqref="B221:B269">
    <cfRule type="expression" dxfId="154" priority="183">
      <formula>ISTEXT($E221)=TRUE</formula>
    </cfRule>
  </conditionalFormatting>
  <conditionalFormatting sqref="B290:B291 B294:B295 B297">
    <cfRule type="expression" dxfId="153" priority="164">
      <formula>ISTEXT($E290)=TRUE</formula>
    </cfRule>
  </conditionalFormatting>
  <conditionalFormatting sqref="B292">
    <cfRule type="expression" dxfId="152" priority="168">
      <formula>ISTEXT($E289)=TRUE</formula>
    </cfRule>
  </conditionalFormatting>
  <conditionalFormatting sqref="B298">
    <cfRule type="expression" dxfId="151" priority="176">
      <formula>ISTEXT($E296)=TRUE</formula>
    </cfRule>
  </conditionalFormatting>
  <conditionalFormatting sqref="B299:B339">
    <cfRule type="expression" dxfId="150" priority="156">
      <formula>ISTEXT($E299)=TRUE</formula>
    </cfRule>
  </conditionalFormatting>
  <conditionalFormatting sqref="B355:B405">
    <cfRule type="expression" dxfId="149" priority="148">
      <formula>ISTEXT($E355)=TRUE</formula>
    </cfRule>
  </conditionalFormatting>
  <conditionalFormatting sqref="B422:B467">
    <cfRule type="expression" dxfId="148" priority="128">
      <formula>ISTEXT($E422)=TRUE</formula>
    </cfRule>
  </conditionalFormatting>
  <conditionalFormatting sqref="B469">
    <cfRule type="expression" dxfId="147" priority="133">
      <formula>ISTEXT($E468)=TRUE</formula>
    </cfRule>
  </conditionalFormatting>
  <conditionalFormatting sqref="B470:B473">
    <cfRule type="expression" dxfId="146" priority="124">
      <formula>ISTEXT($E470)=TRUE</formula>
    </cfRule>
  </conditionalFormatting>
  <conditionalFormatting sqref="B489:B490">
    <cfRule type="expression" dxfId="145" priority="120">
      <formula>ISTEXT($E489)=TRUE</formula>
    </cfRule>
  </conditionalFormatting>
  <conditionalFormatting sqref="B492:B509">
    <cfRule type="expression" dxfId="144" priority="116">
      <formula>ISTEXT($E492)=TRUE</formula>
    </cfRule>
  </conditionalFormatting>
  <conditionalFormatting sqref="B510:B511">
    <cfRule type="expression" dxfId="143" priority="88">
      <formula>ISTEXT($E515)=TRUE</formula>
    </cfRule>
  </conditionalFormatting>
  <conditionalFormatting sqref="B512:B515 B517:B540">
    <cfRule type="expression" dxfId="142" priority="77">
      <formula>ISTEXT($E512)=TRUE</formula>
    </cfRule>
  </conditionalFormatting>
  <conditionalFormatting sqref="B533">
    <cfRule type="expression" dxfId="141" priority="82">
      <formula>ISTEXT($E529)=TRUE</formula>
    </cfRule>
  </conditionalFormatting>
  <conditionalFormatting sqref="B556:B569">
    <cfRule type="expression" dxfId="140" priority="70">
      <formula>ISTEXT($E556)=TRUE</formula>
    </cfRule>
  </conditionalFormatting>
  <conditionalFormatting sqref="B570">
    <cfRule type="expression" dxfId="139" priority="52">
      <formula>ISTEXT($E569)=TRUE</formula>
    </cfRule>
  </conditionalFormatting>
  <conditionalFormatting sqref="B571:B590">
    <cfRule type="expression" dxfId="138" priority="42">
      <formula>ISTEXT($E571)=TRUE</formula>
    </cfRule>
  </conditionalFormatting>
  <conditionalFormatting sqref="B592:B597">
    <cfRule type="expression" dxfId="137" priority="46">
      <formula>ISTEXT($E592)=TRUE</formula>
    </cfRule>
  </conditionalFormatting>
  <conditionalFormatting sqref="B600:B605">
    <cfRule type="expression" dxfId="136" priority="33">
      <formula>ISTEXT($E600)=TRUE</formula>
    </cfRule>
  </conditionalFormatting>
  <conditionalFormatting sqref="B623:B627 B629">
    <cfRule type="expression" dxfId="135" priority="29">
      <formula>ISTEXT($E623)=TRUE</formula>
    </cfRule>
  </conditionalFormatting>
  <conditionalFormatting sqref="B630">
    <cfRule type="expression" dxfId="134" priority="21">
      <formula>ISTEXT($E628)=TRUE</formula>
    </cfRule>
  </conditionalFormatting>
  <conditionalFormatting sqref="B631:B644 B646:B658">
    <cfRule type="expression" dxfId="133" priority="11">
      <formula>ISTEXT($E631)=TRUE</formula>
    </cfRule>
  </conditionalFormatting>
  <conditionalFormatting sqref="B661">
    <cfRule type="expression" dxfId="132" priority="13">
      <formula>ISTEXT($E659)=TRUE</formula>
    </cfRule>
  </conditionalFormatting>
  <conditionalFormatting sqref="B700:B710">
    <cfRule type="expression" dxfId="131" priority="5">
      <formula>ISTEXT($E700)=TRUE</formula>
    </cfRule>
  </conditionalFormatting>
  <conditionalFormatting sqref="B292:D292">
    <cfRule type="expression" dxfId="130" priority="169">
      <formula>AND((ISTEXT($F289)=TRUE),(ISTEXT($B292)=FALSE),(ISTEXT($C292)=FALSE),(ISTEXT($D292)=FALSE),(ISTEXT($G289)=FALSE))</formula>
    </cfRule>
  </conditionalFormatting>
  <conditionalFormatting sqref="B298:D298">
    <cfRule type="expression" dxfId="129" priority="177">
      <formula>AND((ISTEXT($F296)=TRUE),(ISTEXT($B298)=FALSE),(ISTEXT($C298)=FALSE),(ISTEXT($D298)=FALSE),(ISTEXT($G296)=FALSE))</formula>
    </cfRule>
  </conditionalFormatting>
  <conditionalFormatting sqref="B469:D469">
    <cfRule type="expression" dxfId="128" priority="134">
      <formula>AND((ISTEXT($F468)=TRUE),(ISTEXT($B469)=FALSE),(ISTEXT($C469)=FALSE),(ISTEXT($D469)=FALSE),(ISTEXT($G468)=FALSE))</formula>
    </cfRule>
  </conditionalFormatting>
  <conditionalFormatting sqref="B510:D511">
    <cfRule type="expression" dxfId="127" priority="89">
      <formula>AND((ISTEXT($F515)=TRUE),(ISTEXT($B510)=FALSE),(ISTEXT($C510)=FALSE),(ISTEXT($D510)=FALSE),(ISTEXT($G515)=FALSE))</formula>
    </cfRule>
  </conditionalFormatting>
  <conditionalFormatting sqref="B533:D533">
    <cfRule type="expression" dxfId="126" priority="83">
      <formula>AND((ISTEXT($F529)=TRUE),(ISTEXT($B533)=FALSE),(ISTEXT($C533)=FALSE),(ISTEXT($D533)=FALSE),(ISTEXT($G529)=FALSE))</formula>
    </cfRule>
  </conditionalFormatting>
  <conditionalFormatting sqref="B570:D570 H570:I570">
    <cfRule type="expression" dxfId="125" priority="53">
      <formula>AND((ISTEXT($F569)=TRUE),(ISTEXT($B570)=FALSE),(ISTEXT($C570)=FALSE),(ISTEXT($D570)=FALSE),(ISTEXT($G569)=FALSE))</formula>
    </cfRule>
  </conditionalFormatting>
  <conditionalFormatting sqref="B630:D630">
    <cfRule type="expression" dxfId="124" priority="22">
      <formula>AND((ISTEXT($F628)=TRUE),(ISTEXT($B630)=FALSE),(ISTEXT($C630)=FALSE),(ISTEXT($D630)=FALSE),(ISTEXT($G628)=FALSE))</formula>
    </cfRule>
  </conditionalFormatting>
  <conditionalFormatting sqref="B661:D661">
    <cfRule type="expression" dxfId="123" priority="14">
      <formula>AND((ISTEXT($F659)=TRUE),(ISTEXT($B661)=FALSE),(ISTEXT($C661)=FALSE),(ISTEXT($D661)=FALSE),(ISTEXT($G659)=FALSE))</formula>
    </cfRule>
  </conditionalFormatting>
  <conditionalFormatting sqref="B600:F600 H600:I600">
    <cfRule type="expression" dxfId="122" priority="38">
      <formula>AND((ISTEXT($F600)=TRUE),(ISTEXT($B600)=FALSE),(ISTEXT($C600)=FALSE),(ISTEXT($D600)=FALSE),(ISTEXT($G599)=FALSE))</formula>
    </cfRule>
  </conditionalFormatting>
  <conditionalFormatting sqref="B701:G702 B703:I710">
    <cfRule type="expression" dxfId="121" priority="1">
      <formula>AND((ISTEXT($F701)=TRUE),(ISTEXT($B701)=FALSE),(ISTEXT($C701)=FALSE),(ISTEXT($D701)=FALSE),(ISTEXT($G701)=FALSE))</formula>
    </cfRule>
  </conditionalFormatting>
  <conditionalFormatting sqref="B46:I46">
    <cfRule type="expression" dxfId="120" priority="234">
      <formula>AND((ISTEXT($F46)=TRUE),(ISTEXT($B46)=FALSE),(ISTEXT($C46)=FALSE),(ISTEXT($D46)=FALSE),(ISTEXT($G46)=FALSE))</formula>
    </cfRule>
  </conditionalFormatting>
  <conditionalFormatting sqref="B48:I71">
    <cfRule type="expression" dxfId="119" priority="230">
      <formula>AND((ISTEXT($F48)=TRUE),(ISTEXT($B48)=FALSE),(ISTEXT($C48)=FALSE),(ISTEXT($D48)=FALSE),(ISTEXT($G48)=FALSE))</formula>
    </cfRule>
  </conditionalFormatting>
  <conditionalFormatting sqref="B87:I88 B89:G89 I89">
    <cfRule type="expression" dxfId="118" priority="223">
      <formula>AND((ISTEXT($F87)=TRUE),(ISTEXT($B87)=FALSE),(ISTEXT($C87)=FALSE),(ISTEXT($D87)=FALSE),(ISTEXT($G87)=FALSE))</formula>
    </cfRule>
  </conditionalFormatting>
  <conditionalFormatting sqref="B92:I93 B719:I737">
    <cfRule type="expression" dxfId="117" priority="519">
      <formula>AND((ISTEXT($F92)=TRUE),(ISTEXT($B92)=FALSE),(ISTEXT($C92)=FALSE),(ISTEXT($D92)=FALSE),(ISTEXT($G92)=FALSE))</formula>
    </cfRule>
  </conditionalFormatting>
  <conditionalFormatting sqref="B104:I137">
    <cfRule type="expression" dxfId="116" priority="209">
      <formula>AND((ISTEXT($F104)=TRUE),(ISTEXT($B104)=FALSE),(ISTEXT($C104)=FALSE),(ISTEXT($D104)=FALSE),(ISTEXT($G104)=FALSE))</formula>
    </cfRule>
  </conditionalFormatting>
  <conditionalFormatting sqref="B154:I204">
    <cfRule type="expression" dxfId="115" priority="197">
      <formula>AND((ISTEXT($F154)=TRUE),(ISTEXT($B154)=FALSE),(ISTEXT($C154)=FALSE),(ISTEXT($D154)=FALSE),(ISTEXT($G154)=FALSE))</formula>
    </cfRule>
  </conditionalFormatting>
  <conditionalFormatting sqref="B221:I269">
    <cfRule type="expression" dxfId="114" priority="181">
      <formula>AND((ISTEXT($F221)=TRUE),(ISTEXT($B221)=FALSE),(ISTEXT($C221)=FALSE),(ISTEXT($D221)=FALSE),(ISTEXT($G221)=FALSE))</formula>
    </cfRule>
  </conditionalFormatting>
  <conditionalFormatting sqref="B290:I290 B291:G291 B294:I295 B297:G297">
    <cfRule type="expression" dxfId="113" priority="162">
      <formula>AND((ISTEXT($F290)=TRUE),(ISTEXT($B290)=FALSE),(ISTEXT($C290)=FALSE),(ISTEXT($D290)=FALSE),(ISTEXT($G290)=FALSE))</formula>
    </cfRule>
  </conditionalFormatting>
  <conditionalFormatting sqref="B299:I339">
    <cfRule type="expression" dxfId="112" priority="154">
      <formula>AND((ISTEXT($F299)=TRUE),(ISTEXT($B299)=FALSE),(ISTEXT($C299)=FALSE),(ISTEXT($D299)=FALSE),(ISTEXT($G299)=FALSE))</formula>
    </cfRule>
  </conditionalFormatting>
  <conditionalFormatting sqref="B355:I405">
    <cfRule type="expression" dxfId="111" priority="146">
      <formula>AND((ISTEXT($F355)=TRUE),(ISTEXT($B355)=FALSE),(ISTEXT($C355)=FALSE),(ISTEXT($D355)=FALSE),(ISTEXT($G355)=FALSE))</formula>
    </cfRule>
  </conditionalFormatting>
  <conditionalFormatting sqref="B422:I466 B467:G467">
    <cfRule type="expression" dxfId="110" priority="126">
      <formula>AND((ISTEXT($F422)=TRUE),(ISTEXT($B422)=FALSE),(ISTEXT($C422)=FALSE),(ISTEXT($D422)=FALSE),(ISTEXT($G422)=FALSE))</formula>
    </cfRule>
  </conditionalFormatting>
  <conditionalFormatting sqref="B470:I473">
    <cfRule type="expression" dxfId="109" priority="122">
      <formula>AND((ISTEXT($F470)=TRUE),(ISTEXT($B470)=FALSE),(ISTEXT($C470)=FALSE),(ISTEXT($D470)=FALSE),(ISTEXT($G470)=FALSE))</formula>
    </cfRule>
  </conditionalFormatting>
  <conditionalFormatting sqref="B489:I490">
    <cfRule type="expression" dxfId="108" priority="118">
      <formula>AND((ISTEXT($F489)=TRUE),(ISTEXT($B489)=FALSE),(ISTEXT($C489)=FALSE),(ISTEXT($D489)=FALSE),(ISTEXT($G489)=FALSE))</formula>
    </cfRule>
  </conditionalFormatting>
  <conditionalFormatting sqref="B492:I509">
    <cfRule type="expression" dxfId="107" priority="114">
      <formula>AND((ISTEXT($F492)=TRUE),(ISTEXT($B492)=FALSE),(ISTEXT($C492)=FALSE),(ISTEXT($D492)=FALSE),(ISTEXT($G492)=FALSE))</formula>
    </cfRule>
  </conditionalFormatting>
  <conditionalFormatting sqref="B512:I512 B513:G513 B514:I515 B517:I540">
    <cfRule type="expression" dxfId="106" priority="75">
      <formula>AND((ISTEXT($F512)=TRUE),(ISTEXT($B512)=FALSE),(ISTEXT($C512)=FALSE),(ISTEXT($D512)=FALSE),(ISTEXT($G512)=FALSE))</formula>
    </cfRule>
  </conditionalFormatting>
  <conditionalFormatting sqref="B556:I569">
    <cfRule type="expression" dxfId="105" priority="68">
      <formula>AND((ISTEXT($F556)=TRUE),(ISTEXT($B556)=FALSE),(ISTEXT($C556)=FALSE),(ISTEXT($D556)=FALSE),(ISTEXT($G556)=FALSE))</formula>
    </cfRule>
  </conditionalFormatting>
  <conditionalFormatting sqref="B571:I590">
    <cfRule type="expression" dxfId="104" priority="40">
      <formula>AND((ISTEXT($F571)=TRUE),(ISTEXT($B571)=FALSE),(ISTEXT($C571)=FALSE),(ISTEXT($D571)=FALSE),(ISTEXT($G571)=FALSE))</formula>
    </cfRule>
  </conditionalFormatting>
  <conditionalFormatting sqref="B592:I597">
    <cfRule type="expression" dxfId="103" priority="44">
      <formula>AND((ISTEXT($F592)=TRUE),(ISTEXT($B592)=FALSE),(ISTEXT($C592)=FALSE),(ISTEXT($D592)=FALSE),(ISTEXT($G592)=FALSE))</formula>
    </cfRule>
  </conditionalFormatting>
  <conditionalFormatting sqref="B601:I605">
    <cfRule type="expression" dxfId="102" priority="31">
      <formula>AND((ISTEXT($F601)=TRUE),(ISTEXT($B601)=FALSE),(ISTEXT($C601)=FALSE),(ISTEXT($D601)=FALSE),(ISTEXT($G601)=FALSE))</formula>
    </cfRule>
  </conditionalFormatting>
  <conditionalFormatting sqref="B623:I627 B629:I629 B631:I631 B632:G632">
    <cfRule type="expression" dxfId="101" priority="27">
      <formula>AND((ISTEXT($F623)=TRUE),(ISTEXT($B623)=FALSE),(ISTEXT($C623)=FALSE),(ISTEXT($D623)=FALSE),(ISTEXT($G623)=FALSE))</formula>
    </cfRule>
  </conditionalFormatting>
  <conditionalFormatting sqref="B633:I644 B646:I658">
    <cfRule type="expression" dxfId="100" priority="9">
      <formula>AND((ISTEXT($F633)=TRUE),(ISTEXT($B633)=FALSE),(ISTEXT($C633)=FALSE),(ISTEXT($D633)=FALSE),(ISTEXT($G633)=FALSE))</formula>
    </cfRule>
  </conditionalFormatting>
  <conditionalFormatting sqref="E31 E40">
    <cfRule type="expression" dxfId="99" priority="239">
      <formula>AND((ISBLANK($B31)=FALSE),(ISBLANK($E31)=FALSE))</formula>
    </cfRule>
  </conditionalFormatting>
  <conditionalFormatting sqref="E45:E46">
    <cfRule type="expression" dxfId="98" priority="237">
      <formula>ISTEXT($B45)=TRUE</formula>
    </cfRule>
  </conditionalFormatting>
  <conditionalFormatting sqref="E48:E71">
    <cfRule type="expression" dxfId="97" priority="233">
      <formula>ISTEXT($B48)=TRUE</formula>
    </cfRule>
  </conditionalFormatting>
  <conditionalFormatting sqref="E87:E89">
    <cfRule type="expression" dxfId="96" priority="225">
      <formula>ISTEXT($B87)=TRUE</formula>
    </cfRule>
  </conditionalFormatting>
  <conditionalFormatting sqref="E92:E93 E719:E737">
    <cfRule type="expression" dxfId="95" priority="518">
      <formula>ISTEXT($B92)=TRUE</formula>
    </cfRule>
  </conditionalFormatting>
  <conditionalFormatting sqref="E102:E137">
    <cfRule type="expression" dxfId="94" priority="212">
      <formula>ISTEXT($B102)=TRUE</formula>
    </cfRule>
  </conditionalFormatting>
  <conditionalFormatting sqref="E154:E204">
    <cfRule type="expression" dxfId="93" priority="200">
      <formula>ISTEXT($B154)=TRUE</formula>
    </cfRule>
  </conditionalFormatting>
  <conditionalFormatting sqref="E221:E269">
    <cfRule type="expression" dxfId="92" priority="184">
      <formula>ISTEXT($B221)=TRUE</formula>
    </cfRule>
  </conditionalFormatting>
  <conditionalFormatting sqref="E288 E290:E291 E294:E295 E297">
    <cfRule type="expression" dxfId="91" priority="165">
      <formula>ISTEXT($B288)=TRUE</formula>
    </cfRule>
  </conditionalFormatting>
  <conditionalFormatting sqref="E289">
    <cfRule type="expression" dxfId="90" priority="172">
      <formula>ISTEXT($B292)=TRUE</formula>
    </cfRule>
  </conditionalFormatting>
  <conditionalFormatting sqref="E292 E298">
    <cfRule type="expression" dxfId="89" priority="173">
      <formula>ISTEXT(#REF!)=TRUE</formula>
    </cfRule>
  </conditionalFormatting>
  <conditionalFormatting sqref="E296">
    <cfRule type="expression" dxfId="88" priority="179">
      <formula>ISTEXT($B298)=TRUE</formula>
    </cfRule>
  </conditionalFormatting>
  <conditionalFormatting sqref="E299:E339">
    <cfRule type="expression" dxfId="87" priority="157">
      <formula>ISTEXT($B299)=TRUE</formula>
    </cfRule>
  </conditionalFormatting>
  <conditionalFormatting sqref="E355:E405">
    <cfRule type="expression" dxfId="86" priority="149">
      <formula>ISTEXT($B355)=TRUE</formula>
    </cfRule>
  </conditionalFormatting>
  <conditionalFormatting sqref="E422:E467">
    <cfRule type="expression" dxfId="85" priority="129">
      <formula>ISTEXT($B422)=TRUE</formula>
    </cfRule>
  </conditionalFormatting>
  <conditionalFormatting sqref="E468">
    <cfRule type="expression" dxfId="84" priority="136">
      <formula>ISTEXT($B469)=TRUE</formula>
    </cfRule>
  </conditionalFormatting>
  <conditionalFormatting sqref="E469">
    <cfRule type="expression" dxfId="83" priority="131">
      <formula>ISTEXT(#REF!)=TRUE</formula>
    </cfRule>
  </conditionalFormatting>
  <conditionalFormatting sqref="E470:E473">
    <cfRule type="expression" dxfId="82" priority="125">
      <formula>ISTEXT($B470)=TRUE</formula>
    </cfRule>
  </conditionalFormatting>
  <conditionalFormatting sqref="E489:E490">
    <cfRule type="expression" dxfId="81" priority="121">
      <formula>ISTEXT($B489)=TRUE</formula>
    </cfRule>
  </conditionalFormatting>
  <conditionalFormatting sqref="E492:E509">
    <cfRule type="expression" dxfId="80" priority="117">
      <formula>ISTEXT($B492)=TRUE</formula>
    </cfRule>
  </conditionalFormatting>
  <conditionalFormatting sqref="E510:E511">
    <cfRule type="expression" dxfId="79" priority="73">
      <formula>ISTEXT(#REF!)=TRUE</formula>
    </cfRule>
  </conditionalFormatting>
  <conditionalFormatting sqref="E512:E515 E517:E540">
    <cfRule type="expression" dxfId="78" priority="78">
      <formula>ISTEXT($B512)=TRUE</formula>
    </cfRule>
  </conditionalFormatting>
  <conditionalFormatting sqref="E516">
    <cfRule type="expression" dxfId="77" priority="91">
      <formula>ISTEXT($B511)=TRUE</formula>
    </cfRule>
  </conditionalFormatting>
  <conditionalFormatting sqref="E529">
    <cfRule type="expression" dxfId="76" priority="85">
      <formula>ISTEXT($B533)=TRUE</formula>
    </cfRule>
  </conditionalFormatting>
  <conditionalFormatting sqref="E533">
    <cfRule type="expression" dxfId="75" priority="80">
      <formula>ISTEXT(#REF!)=TRUE</formula>
    </cfRule>
  </conditionalFormatting>
  <conditionalFormatting sqref="E556:E569">
    <cfRule type="expression" dxfId="74" priority="71">
      <formula>ISTEXT($B556)=TRUE</formula>
    </cfRule>
  </conditionalFormatting>
  <conditionalFormatting sqref="E570">
    <cfRule type="expression" dxfId="73" priority="50">
      <formula>ISTEXT(#REF!)=TRUE</formula>
    </cfRule>
  </conditionalFormatting>
  <conditionalFormatting sqref="E571:E590">
    <cfRule type="expression" dxfId="72" priority="43">
      <formula>ISTEXT($B571)=TRUE</formula>
    </cfRule>
  </conditionalFormatting>
  <conditionalFormatting sqref="E591">
    <cfRule type="expression" dxfId="71" priority="48">
      <formula>AND((ISBLANK($B591)=FALSE),(ISBLANK($E591)=FALSE))</formula>
    </cfRule>
  </conditionalFormatting>
  <conditionalFormatting sqref="E592:E597">
    <cfRule type="expression" dxfId="70" priority="47">
      <formula>ISTEXT($B592)=TRUE</formula>
    </cfRule>
  </conditionalFormatting>
  <conditionalFormatting sqref="E599:E605">
    <cfRule type="expression" dxfId="69" priority="34">
      <formula>ISTEXT($B599)=TRUE</formula>
    </cfRule>
  </conditionalFormatting>
  <conditionalFormatting sqref="E623:E627 E629">
    <cfRule type="expression" dxfId="68" priority="30">
      <formula>ISTEXT($B623)=TRUE</formula>
    </cfRule>
  </conditionalFormatting>
  <conditionalFormatting sqref="E628">
    <cfRule type="expression" dxfId="67" priority="24">
      <formula>ISTEXT($B630)=TRUE</formula>
    </cfRule>
  </conditionalFormatting>
  <conditionalFormatting sqref="E630">
    <cfRule type="expression" dxfId="66" priority="19">
      <formula>ISTEXT(#REF!)=TRUE</formula>
    </cfRule>
  </conditionalFormatting>
  <conditionalFormatting sqref="E631:E644 E646:E658">
    <cfRule type="expression" dxfId="65" priority="12">
      <formula>ISTEXT($B631)=TRUE</formula>
    </cfRule>
  </conditionalFormatting>
  <conditionalFormatting sqref="E659">
    <cfRule type="expression" dxfId="64" priority="16">
      <formula>ISTEXT($B661)=TRUE</formula>
    </cfRule>
  </conditionalFormatting>
  <conditionalFormatting sqref="E700">
    <cfRule type="expression" dxfId="63" priority="7">
      <formula>ISTEXT(#REF!)=TRUE</formula>
    </cfRule>
  </conditionalFormatting>
  <conditionalFormatting sqref="E701:E710">
    <cfRule type="expression" dxfId="62" priority="3">
      <formula>ISTEXT($B701)=TRUE</formula>
    </cfRule>
  </conditionalFormatting>
  <conditionalFormatting sqref="E45:G45">
    <cfRule type="expression" dxfId="61" priority="238">
      <formula>AND((ISTEXT($F45)=TRUE),(ISTEXT($B45)=FALSE),(ISTEXT($C45)=FALSE),(ISTEXT($D45)=FALSE),(ISTEXT($G45)=FALSE))</formula>
    </cfRule>
  </conditionalFormatting>
  <conditionalFormatting sqref="E102:G103">
    <cfRule type="expression" dxfId="60" priority="217">
      <formula>AND((ISTEXT($F102)=TRUE),(ISTEXT($B102)=FALSE),(ISTEXT($C102)=FALSE),(ISTEXT($D102)=FALSE),(ISTEXT($G102)=FALSE))</formula>
    </cfRule>
  </conditionalFormatting>
  <conditionalFormatting sqref="E288:G288">
    <cfRule type="expression" dxfId="59" priority="166">
      <formula>AND((ISTEXT($F288)=TRUE),(ISTEXT($B288)=FALSE),(ISTEXT($C288)=FALSE),(ISTEXT($D288)=FALSE),(ISTEXT($G288)=FALSE))</formula>
    </cfRule>
  </conditionalFormatting>
  <conditionalFormatting sqref="E292:G292 E298:G298">
    <cfRule type="expression" dxfId="58" priority="171">
      <formula>AND((ISTEXT($F292)=TRUE),(ISTEXT(#REF!)=FALSE),(ISTEXT(#REF!)=FALSE),(ISTEXT(#REF!)=FALSE),(ISTEXT($G292)=FALSE))</formula>
    </cfRule>
  </conditionalFormatting>
  <conditionalFormatting sqref="E468:G468">
    <cfRule type="expression" dxfId="57" priority="135">
      <formula>AND((ISTEXT($F468)=TRUE),(ISTEXT($B469)=FALSE),(ISTEXT($C469)=FALSE),(ISTEXT($D469)=FALSE),(ISTEXT($G468)=FALSE))</formula>
    </cfRule>
  </conditionalFormatting>
  <conditionalFormatting sqref="E469:G469">
    <cfRule type="expression" dxfId="56" priority="130">
      <formula>AND((ISTEXT($F469)=TRUE),(ISTEXT(#REF!)=FALSE),(ISTEXT(#REF!)=FALSE),(ISTEXT(#REF!)=FALSE),(ISTEXT($G469)=FALSE))</formula>
    </cfRule>
  </conditionalFormatting>
  <conditionalFormatting sqref="E510:G511">
    <cfRule type="expression" dxfId="55" priority="72">
      <formula>AND((ISTEXT($F510)=TRUE),(ISTEXT(#REF!)=FALSE),(ISTEXT(#REF!)=FALSE),(ISTEXT(#REF!)=FALSE),(ISTEXT($G510)=FALSE))</formula>
    </cfRule>
  </conditionalFormatting>
  <conditionalFormatting sqref="E529:G529">
    <cfRule type="expression" dxfId="54" priority="84">
      <formula>AND((ISTEXT($F529)=TRUE),(ISTEXT($B533)=FALSE),(ISTEXT($C533)=FALSE),(ISTEXT($D533)=FALSE),(ISTEXT($G529)=FALSE))</formula>
    </cfRule>
  </conditionalFormatting>
  <conditionalFormatting sqref="E533:G533">
    <cfRule type="expression" dxfId="53" priority="79">
      <formula>AND((ISTEXT($F533)=TRUE),(ISTEXT(#REF!)=FALSE),(ISTEXT(#REF!)=FALSE),(ISTEXT(#REF!)=FALSE),(ISTEXT($G533)=FALSE))</formula>
    </cfRule>
  </conditionalFormatting>
  <conditionalFormatting sqref="E570:G570">
    <cfRule type="expression" dxfId="52" priority="49">
      <formula>AND((ISTEXT($F570)=TRUE),(ISTEXT(#REF!)=FALSE),(ISTEXT(#REF!)=FALSE),(ISTEXT(#REF!)=FALSE),(ISTEXT($G570)=FALSE))</formula>
    </cfRule>
  </conditionalFormatting>
  <conditionalFormatting sqref="E599:G599">
    <cfRule type="expression" dxfId="51" priority="39">
      <formula>AND((ISTEXT($F599)=TRUE),(ISTEXT($B599)=FALSE),(ISTEXT($C599)=FALSE),(ISTEXT($D599)=FALSE),(ISTEXT(#REF!)=FALSE))</formula>
    </cfRule>
  </conditionalFormatting>
  <conditionalFormatting sqref="E630:G630">
    <cfRule type="expression" dxfId="50" priority="18">
      <formula>AND((ISTEXT($F630)=TRUE),(ISTEXT(#REF!)=FALSE),(ISTEXT(#REF!)=FALSE),(ISTEXT(#REF!)=FALSE),(ISTEXT($G630)=FALSE))</formula>
    </cfRule>
  </conditionalFormatting>
  <conditionalFormatting sqref="E700:G700">
    <cfRule type="expression" dxfId="49" priority="6">
      <formula>AND((ISTEXT($F700)=TRUE),(ISTEXT(#REF!)=FALSE),(ISTEXT(#REF!)=FALSE),(ISTEXT(#REF!)=FALSE),(ISTEXT($G700)=FALSE))</formula>
    </cfRule>
  </conditionalFormatting>
  <conditionalFormatting sqref="E289:I289">
    <cfRule type="expression" dxfId="48" priority="170">
      <formula>AND((ISTEXT($F289)=TRUE),(ISTEXT($B292)=FALSE),(ISTEXT($C292)=FALSE),(ISTEXT($D292)=FALSE),(ISTEXT($G289)=FALSE))</formula>
    </cfRule>
  </conditionalFormatting>
  <conditionalFormatting sqref="E296:I296">
    <cfRule type="expression" dxfId="47" priority="178">
      <formula>AND((ISTEXT($F296)=TRUE),(ISTEXT($B298)=FALSE),(ISTEXT($C298)=FALSE),(ISTEXT($D298)=FALSE),(ISTEXT($G296)=FALSE))</formula>
    </cfRule>
  </conditionalFormatting>
  <conditionalFormatting sqref="E516:I516">
    <cfRule type="expression" dxfId="46" priority="90">
      <formula>AND((ISTEXT($F516)=TRUE),(ISTEXT($B511)=FALSE),(ISTEXT($C511)=FALSE),(ISTEXT($D511)=FALSE),(ISTEXT($G516)=FALSE))</formula>
    </cfRule>
  </conditionalFormatting>
  <conditionalFormatting sqref="E628:I628">
    <cfRule type="expression" dxfId="45" priority="23">
      <formula>AND((ISTEXT($F628)=TRUE),(ISTEXT($B630)=FALSE),(ISTEXT($C630)=FALSE),(ISTEXT($D630)=FALSE),(ISTEXT($G628)=FALSE))</formula>
    </cfRule>
  </conditionalFormatting>
  <conditionalFormatting sqref="E659:I659">
    <cfRule type="expression" dxfId="44" priority="15">
      <formula>AND((ISTEXT($F659)=TRUE),(ISTEXT($B661)=FALSE),(ISTEXT($C661)=FALSE),(ISTEXT($D661)=FALSE),(ISTEXT($G659)=FALSE))</formula>
    </cfRule>
  </conditionalFormatting>
  <conditionalFormatting sqref="F45:F46">
    <cfRule type="expression" dxfId="43" priority="235">
      <formula>AND((ISTEXT($B45)=FALSE),(ISTEXT($C45)=FALSE),(ISTEXT($D45)=FALSE),(ISTEXT($G45)=FALSE))</formula>
    </cfRule>
  </conditionalFormatting>
  <conditionalFormatting sqref="F48:F71">
    <cfRule type="expression" dxfId="42" priority="231">
      <formula>AND((ISTEXT($B48)=FALSE),(ISTEXT($C48)=FALSE),(ISTEXT($D48)=FALSE),(ISTEXT($G48)=FALSE))</formula>
    </cfRule>
  </conditionalFormatting>
  <conditionalFormatting sqref="F87:F93">
    <cfRule type="expression" dxfId="41" priority="222">
      <formula>AND((ISTEXT($B87)=FALSE),(ISTEXT($C87)=FALSE),(ISTEXT($D87)=FALSE),(ISTEXT($G87)=FALSE))</formula>
    </cfRule>
  </conditionalFormatting>
  <conditionalFormatting sqref="F102:F137">
    <cfRule type="expression" dxfId="40" priority="210">
      <formula>AND((ISTEXT($B102)=FALSE),(ISTEXT($C102)=FALSE),(ISTEXT($D102)=FALSE),(ISTEXT($G102)=FALSE))</formula>
    </cfRule>
  </conditionalFormatting>
  <conditionalFormatting sqref="F154:F204">
    <cfRule type="expression" dxfId="39" priority="198">
      <formula>AND((ISTEXT($B154)=FALSE),(ISTEXT($C154)=FALSE),(ISTEXT($D154)=FALSE),(ISTEXT($G154)=FALSE))</formula>
    </cfRule>
  </conditionalFormatting>
  <conditionalFormatting sqref="F221:F269">
    <cfRule type="expression" dxfId="38" priority="182">
      <formula>AND((ISTEXT($B221)=FALSE),(ISTEXT($C221)=FALSE),(ISTEXT($D221)=FALSE),(ISTEXT($G221)=FALSE))</formula>
    </cfRule>
  </conditionalFormatting>
  <conditionalFormatting sqref="F288 F290:F291 F294:F295 F297">
    <cfRule type="expression" dxfId="37" priority="163">
      <formula>AND((ISTEXT($B288)=FALSE),(ISTEXT($C288)=FALSE),(ISTEXT($D288)=FALSE),(ISTEXT($G288)=FALSE))</formula>
    </cfRule>
  </conditionalFormatting>
  <conditionalFormatting sqref="F289">
    <cfRule type="expression" dxfId="36" priority="174">
      <formula>AND((ISTEXT($B292)=FALSE),(ISTEXT($C292)=FALSE),(ISTEXT($D292)=FALSE),(ISTEXT($G289)=FALSE))</formula>
    </cfRule>
  </conditionalFormatting>
  <conditionalFormatting sqref="F292 F298">
    <cfRule type="expression" dxfId="35" priority="175">
      <formula>AND((ISTEXT(#REF!)=FALSE),(ISTEXT(#REF!)=FALSE),(ISTEXT(#REF!)=FALSE),(ISTEXT($G292)=FALSE))</formula>
    </cfRule>
  </conditionalFormatting>
  <conditionalFormatting sqref="F296">
    <cfRule type="expression" dxfId="34" priority="180">
      <formula>AND((ISTEXT($B298)=FALSE),(ISTEXT($C298)=FALSE),(ISTEXT($D298)=FALSE),(ISTEXT($G296)=FALSE))</formula>
    </cfRule>
  </conditionalFormatting>
  <conditionalFormatting sqref="F299:F339">
    <cfRule type="expression" dxfId="33" priority="155">
      <formula>AND((ISTEXT($B299)=FALSE),(ISTEXT($C299)=FALSE),(ISTEXT($D299)=FALSE),(ISTEXT($G299)=FALSE))</formula>
    </cfRule>
  </conditionalFormatting>
  <conditionalFormatting sqref="F355:F405">
    <cfRule type="expression" dxfId="32" priority="147">
      <formula>AND((ISTEXT($B355)=FALSE),(ISTEXT($C355)=FALSE),(ISTEXT($D355)=FALSE),(ISTEXT($G355)=FALSE))</formula>
    </cfRule>
  </conditionalFormatting>
  <conditionalFormatting sqref="F422:F467">
    <cfRule type="expression" dxfId="31" priority="127">
      <formula>AND((ISTEXT($B422)=FALSE),(ISTEXT($C422)=FALSE),(ISTEXT($D422)=FALSE),(ISTEXT($G422)=FALSE))</formula>
    </cfRule>
  </conditionalFormatting>
  <conditionalFormatting sqref="F468">
    <cfRule type="expression" dxfId="30" priority="137">
      <formula>AND((ISTEXT($B469)=FALSE),(ISTEXT($C469)=FALSE),(ISTEXT($D469)=FALSE),(ISTEXT($G468)=FALSE))</formula>
    </cfRule>
  </conditionalFormatting>
  <conditionalFormatting sqref="F469">
    <cfRule type="expression" dxfId="29" priority="132">
      <formula>AND((ISTEXT(#REF!)=FALSE),(ISTEXT(#REF!)=FALSE),(ISTEXT(#REF!)=FALSE),(ISTEXT($G469)=FALSE))</formula>
    </cfRule>
  </conditionalFormatting>
  <conditionalFormatting sqref="F470:F473">
    <cfRule type="expression" dxfId="28" priority="123">
      <formula>AND((ISTEXT($B470)=FALSE),(ISTEXT($C470)=FALSE),(ISTEXT($D470)=FALSE),(ISTEXT($G470)=FALSE))</formula>
    </cfRule>
  </conditionalFormatting>
  <conditionalFormatting sqref="F489:F490">
    <cfRule type="expression" dxfId="27" priority="119">
      <formula>AND((ISTEXT($B489)=FALSE),(ISTEXT($C489)=FALSE),(ISTEXT($D489)=FALSE),(ISTEXT($G489)=FALSE))</formula>
    </cfRule>
  </conditionalFormatting>
  <conditionalFormatting sqref="F492:F509">
    <cfRule type="expression" dxfId="26" priority="115">
      <formula>AND((ISTEXT($B492)=FALSE),(ISTEXT($C492)=FALSE),(ISTEXT($D492)=FALSE),(ISTEXT($G492)=FALSE))</formula>
    </cfRule>
  </conditionalFormatting>
  <conditionalFormatting sqref="F510:F511">
    <cfRule type="expression" dxfId="25" priority="74">
      <formula>AND((ISTEXT(#REF!)=FALSE),(ISTEXT(#REF!)=FALSE),(ISTEXT(#REF!)=FALSE),(ISTEXT($G510)=FALSE))</formula>
    </cfRule>
  </conditionalFormatting>
  <conditionalFormatting sqref="F512:F515 F517:F540">
    <cfRule type="expression" dxfId="24" priority="76">
      <formula>AND((ISTEXT($B512)=FALSE),(ISTEXT($C512)=FALSE),(ISTEXT($D512)=FALSE),(ISTEXT($G512)=FALSE))</formula>
    </cfRule>
  </conditionalFormatting>
  <conditionalFormatting sqref="F516">
    <cfRule type="expression" dxfId="23" priority="92">
      <formula>AND((ISTEXT($B511)=FALSE),(ISTEXT($C511)=FALSE),(ISTEXT($D511)=FALSE),(ISTEXT($G516)=FALSE))</formula>
    </cfRule>
  </conditionalFormatting>
  <conditionalFormatting sqref="F529">
    <cfRule type="expression" dxfId="22" priority="86">
      <formula>AND((ISTEXT($B533)=FALSE),(ISTEXT($C533)=FALSE),(ISTEXT($D533)=FALSE),(ISTEXT($G529)=FALSE))</formula>
    </cfRule>
  </conditionalFormatting>
  <conditionalFormatting sqref="F533">
    <cfRule type="expression" dxfId="21" priority="81">
      <formula>AND((ISTEXT(#REF!)=FALSE),(ISTEXT(#REF!)=FALSE),(ISTEXT(#REF!)=FALSE),(ISTEXT($G533)=FALSE))</formula>
    </cfRule>
  </conditionalFormatting>
  <conditionalFormatting sqref="F556:F569">
    <cfRule type="expression" dxfId="20" priority="69">
      <formula>AND((ISTEXT($B556)=FALSE),(ISTEXT($C556)=FALSE),(ISTEXT($D556)=FALSE),(ISTEXT($G556)=FALSE))</formula>
    </cfRule>
  </conditionalFormatting>
  <conditionalFormatting sqref="F570">
    <cfRule type="expression" dxfId="19" priority="51">
      <formula>AND((ISTEXT(#REF!)=FALSE),(ISTEXT(#REF!)=FALSE),(ISTEXT(#REF!)=FALSE),(ISTEXT($G570)=FALSE))</formula>
    </cfRule>
  </conditionalFormatting>
  <conditionalFormatting sqref="F571:F590">
    <cfRule type="expression" dxfId="18" priority="41">
      <formula>AND((ISTEXT($B571)=FALSE),(ISTEXT($C571)=FALSE),(ISTEXT($D571)=FALSE),(ISTEXT($G571)=FALSE))</formula>
    </cfRule>
  </conditionalFormatting>
  <conditionalFormatting sqref="F592:F597">
    <cfRule type="expression" dxfId="17" priority="45">
      <formula>AND((ISTEXT($B592)=FALSE),(ISTEXT($C592)=FALSE),(ISTEXT($D592)=FALSE),(ISTEXT($G592)=FALSE))</formula>
    </cfRule>
  </conditionalFormatting>
  <conditionalFormatting sqref="F599">
    <cfRule type="expression" dxfId="16" priority="36">
      <formula>AND((ISTEXT($B599)=FALSE),(ISTEXT($C599)=FALSE),(ISTEXT($D599)=FALSE),(ISTEXT(#REF!)=FALSE))</formula>
    </cfRule>
  </conditionalFormatting>
  <conditionalFormatting sqref="F600">
    <cfRule type="expression" dxfId="15" priority="35">
      <formula>AND((ISTEXT($B600)=FALSE),(ISTEXT($C600)=FALSE),(ISTEXT($D600)=FALSE),(ISTEXT($G599)=FALSE))</formula>
    </cfRule>
  </conditionalFormatting>
  <conditionalFormatting sqref="F601:F605">
    <cfRule type="expression" dxfId="14" priority="32">
      <formula>AND((ISTEXT($B601)=FALSE),(ISTEXT($C601)=FALSE),(ISTEXT($D601)=FALSE),(ISTEXT($G601)=FALSE))</formula>
    </cfRule>
  </conditionalFormatting>
  <conditionalFormatting sqref="F623:F627 F629">
    <cfRule type="expression" dxfId="13" priority="28">
      <formula>AND((ISTEXT($B623)=FALSE),(ISTEXT($C623)=FALSE),(ISTEXT($D623)=FALSE),(ISTEXT($G623)=FALSE))</formula>
    </cfRule>
  </conditionalFormatting>
  <conditionalFormatting sqref="F628">
    <cfRule type="expression" dxfId="12" priority="25">
      <formula>AND((ISTEXT($B630)=FALSE),(ISTEXT($C630)=FALSE),(ISTEXT($D630)=FALSE),(ISTEXT($G628)=FALSE))</formula>
    </cfRule>
  </conditionalFormatting>
  <conditionalFormatting sqref="F630">
    <cfRule type="expression" dxfId="11" priority="20">
      <formula>AND((ISTEXT(#REF!)=FALSE),(ISTEXT(#REF!)=FALSE),(ISTEXT(#REF!)=FALSE),(ISTEXT($G630)=FALSE))</formula>
    </cfRule>
  </conditionalFormatting>
  <conditionalFormatting sqref="F631:F644 F646:F658">
    <cfRule type="expression" dxfId="10" priority="10">
      <formula>AND((ISTEXT($B631)=FALSE),(ISTEXT($C631)=FALSE),(ISTEXT($D631)=FALSE),(ISTEXT($G631)=FALSE))</formula>
    </cfRule>
  </conditionalFormatting>
  <conditionalFormatting sqref="F659">
    <cfRule type="expression" dxfId="9" priority="17">
      <formula>AND((ISTEXT($B661)=FALSE),(ISTEXT($C661)=FALSE),(ISTEXT($D661)=FALSE),(ISTEXT($G659)=FALSE))</formula>
    </cfRule>
  </conditionalFormatting>
  <conditionalFormatting sqref="F700">
    <cfRule type="expression" dxfId="8" priority="8">
      <formula>AND((ISTEXT(#REF!)=FALSE),(ISTEXT(#REF!)=FALSE),(ISTEXT(#REF!)=FALSE),(ISTEXT($G700)=FALSE))</formula>
    </cfRule>
  </conditionalFormatting>
  <conditionalFormatting sqref="F701:F710">
    <cfRule type="expression" dxfId="7" priority="2">
      <formula>AND((ISTEXT($B701)=FALSE),(ISTEXT($C701)=FALSE),(ISTEXT($D701)=FALSE),(ISTEXT($G701)=FALSE))</formula>
    </cfRule>
  </conditionalFormatting>
  <conditionalFormatting sqref="F719:F737">
    <cfRule type="expression" dxfId="6" priority="516">
      <formula>AND((ISTEXT($B719)=FALSE),(ISTEXT($C719)=FALSE),(ISTEXT($D719)=FALSE),(ISTEXT($G719)=FALSE))</formula>
    </cfRule>
  </conditionalFormatting>
  <conditionalFormatting sqref="F90:I91">
    <cfRule type="expression" dxfId="5" priority="221">
      <formula>AND((ISTEXT($F90)=TRUE),(ISTEXT($B90)=FALSE),(ISTEXT($C90)=FALSE),(ISTEXT($D90)=FALSE),(ISTEXT($G90)=FALSE))</formula>
    </cfRule>
  </conditionalFormatting>
  <conditionalFormatting sqref="G599">
    <cfRule type="expression" dxfId="4" priority="37">
      <formula>AND((ISTEXT($F600)=TRUE),(ISTEXT($B600)=FALSE),(ISTEXT($C600)=FALSE),(ISTEXT($D600)=FALSE),(ISTEXT($G599)=FALSE))</formula>
    </cfRule>
  </conditionalFormatting>
  <conditionalFormatting sqref="G712:G717">
    <cfRule type="expression" dxfId="3" priority="4">
      <formula>AND((ISTEXT($F712)=TRUE),(ISTEXT($B712)=FALSE),(ISTEXT($C712)=FALSE),(ISTEXT($D712)=FALSE),(ISTEXT($G712)=FALSE))</formula>
    </cfRule>
  </conditionalFormatting>
  <conditionalFormatting sqref="H292:I292 H298:I298">
    <cfRule type="expression" dxfId="2" priority="167">
      <formula>AND((ISTEXT($F291)=TRUE),(ISTEXT($B291)=FALSE),(ISTEXT($C291)=FALSE),(ISTEXT($D291)=FALSE),(ISTEXT($G291)=FALSE))</formula>
    </cfRule>
  </conditionalFormatting>
  <conditionalFormatting sqref="H510:I511">
    <cfRule type="expression" dxfId="1" priority="87">
      <formula>AND((ISTEXT($F512)=TRUE),(ISTEXT($B512)=FALSE),(ISTEXT($C512)=FALSE),(ISTEXT($D512)=FALSE),(ISTEXT($G512)=FALSE))</formula>
    </cfRule>
  </conditionalFormatting>
  <conditionalFormatting sqref="H630:I630">
    <cfRule type="expression" dxfId="0" priority="26">
      <formula>AND((ISTEXT($F632)=TRUE),(ISTEXT($B632)=FALSE),(ISTEXT($C632)=FALSE),(ISTEXT($D632)=FALSE),(ISTEXT($G632)=FALSE))</formula>
    </cfRule>
  </conditionalFormatting>
  <printOptions horizontalCentered="1" gridLines="1"/>
  <pageMargins left="0.80870078740157503" right="0.39370078740157499" top="0.39370078740157499" bottom="0.39370078740157499" header="0.31496062992126" footer="0.31496062992126"/>
  <pageSetup scale="55" fitToHeight="0" orientation="portrait" r:id="rId1"/>
  <headerFooter>
    <oddFooter>&amp;LMKT-FM-002/Rev.01/18 Des 15/&amp;K00B050Green&amp;RPage &amp;P of &amp;N</oddFooter>
  </headerFooter>
  <rowBreaks count="1" manualBreakCount="1">
    <brk id="85" min="1" max="11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Rincian Biaya rev.05</vt:lpstr>
      <vt:lpstr>'Rincian Biaya rev.05'!Print_Area</vt:lpstr>
      <vt:lpstr>'Rincian Biaya rev.05'!Print_Titles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wimba prambada</dc:creator>
  <cp:lastModifiedBy>sigit hartono</cp:lastModifiedBy>
  <cp:lastPrinted>2025-11-10T02:39:19Z</cp:lastPrinted>
  <dcterms:created xsi:type="dcterms:W3CDTF">2015-07-30T04:54:41Z</dcterms:created>
  <dcterms:modified xsi:type="dcterms:W3CDTF">2025-12-23T07:38:49Z</dcterms:modified>
</cp:coreProperties>
</file>