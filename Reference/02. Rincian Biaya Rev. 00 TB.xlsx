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68B5D2CA-EA12-4250-8C7B-673C0D4396A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0" sheetId="42" r:id="rId1"/>
  </sheets>
  <definedNames>
    <definedName name="_xlnm.Print_Area" localSheetId="0">'Rincian Biaya rev.00'!$B$2:$L$421</definedName>
    <definedName name="_xlnm.Print_Titles" localSheetId="0">'Rincian Biaya rev.00'!$2:$19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42" l="1"/>
  <c r="K408" i="42"/>
  <c r="H43" i="42"/>
  <c r="H42" i="42"/>
  <c r="H41" i="42"/>
  <c r="L341" i="42"/>
  <c r="K341" i="42"/>
  <c r="L274" i="42"/>
  <c r="K274" i="42"/>
  <c r="L207" i="42"/>
  <c r="K207" i="42"/>
  <c r="L140" i="42"/>
  <c r="K140" i="42"/>
  <c r="K73" i="42"/>
  <c r="L73" i="42"/>
  <c r="Q26" i="42"/>
  <c r="O26" i="42"/>
  <c r="Q25" i="42"/>
  <c r="O25" i="42"/>
  <c r="P24" i="42"/>
  <c r="O24" i="42"/>
  <c r="Q22" i="42"/>
  <c r="P22" i="42"/>
  <c r="R23" i="42" l="1"/>
  <c r="S23" i="42" s="1"/>
  <c r="T23" i="42" s="1"/>
  <c r="M73" i="42"/>
  <c r="O27" i="42"/>
  <c r="O28" i="42" l="1"/>
  <c r="Q27" i="42"/>
  <c r="P27" i="42"/>
</calcChain>
</file>

<file path=xl/sharedStrings.xml><?xml version="1.0" encoding="utf-8"?>
<sst xmlns="http://schemas.openxmlformats.org/spreadsheetml/2006/main" count="879" uniqueCount="268">
  <si>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</si>
  <si>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</si>
  <si>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</si>
  <si>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</si>
  <si>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</si>
  <si>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</si>
  <si>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</si>
  <si>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</si>
  <si>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</si>
  <si>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</si>
  <si>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</si>
  <si>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</si>
  <si>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</si>
  <si>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</si>
  <si>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</si>
  <si>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</si>
  <si>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</si>
  <si>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</si>
  <si>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</si>
  <si>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</si>
  <si>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</si>
  <si>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</si>
  <si>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</si>
  <si>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</si>
  <si>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</si>
  <si>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</si>
  <si>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</si>
  <si>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</si>
  <si>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</si>
  <si>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</si>
  <si>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</si>
  <si>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</si>
  <si>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</si>
  <si>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</si>
  <si>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</si>
  <si>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</si>
  <si>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Balikpapan, 23 Juni 2022</t>
  </si>
  <si>
    <t>Aditya Agung H.</t>
  </si>
  <si>
    <t>General Manager</t>
  </si>
  <si>
    <t>I</t>
  </si>
  <si>
    <t>a</t>
  </si>
  <si>
    <t>Docking-Undocking</t>
  </si>
  <si>
    <t>Ls</t>
  </si>
  <si>
    <t>b</t>
  </si>
  <si>
    <t>Asistensi Tali Temali Dari Darat dan Persiapan Ganjal</t>
  </si>
  <si>
    <t>c</t>
  </si>
  <si>
    <t>Asistensi Dengan Mooring Boat</t>
  </si>
  <si>
    <t>e</t>
  </si>
  <si>
    <t>Sewa Tempat Sandar (after repair)</t>
  </si>
  <si>
    <t>Hari</t>
  </si>
  <si>
    <t>f</t>
  </si>
  <si>
    <t>Penyambungan Listrik Darat Ke Kapal</t>
  </si>
  <si>
    <t>g</t>
  </si>
  <si>
    <t>Suplai Listrik  16A 380V selama diatas dock dan sandar</t>
  </si>
  <si>
    <t>h</t>
  </si>
  <si>
    <t xml:space="preserve">Disediakan Fasilitas MCK untuk ABK </t>
  </si>
  <si>
    <t>i</t>
  </si>
  <si>
    <t>Disediakan Tempat Penampungan Sampah</t>
  </si>
  <si>
    <t>j</t>
  </si>
  <si>
    <t>Disediakan Tempat Penyimpanan Material Untuk Kapal</t>
  </si>
  <si>
    <t>k</t>
  </si>
  <si>
    <t>Penggunaan Alat Angkat ( &lt; 1.5 Ton )</t>
  </si>
  <si>
    <t>l</t>
  </si>
  <si>
    <t>Suplai Air Tawar</t>
  </si>
  <si>
    <t>Ton</t>
  </si>
  <si>
    <t>m</t>
  </si>
  <si>
    <r>
      <t xml:space="preserve">Disediakan Tempat Penampungan Limbah B3 </t>
    </r>
    <r>
      <rPr>
        <sz val="11"/>
        <color theme="1"/>
        <rFont val="Calibri"/>
        <family val="2"/>
      </rPr>
      <t xml:space="preserve">≤ </t>
    </r>
    <r>
      <rPr>
        <sz val="11"/>
        <color theme="1"/>
        <rFont val="Arial"/>
        <family val="2"/>
      </rPr>
      <t>2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rial"/>
        <family val="2"/>
      </rPr>
      <t>Ton (include bea Treatment)</t>
    </r>
  </si>
  <si>
    <t>n</t>
  </si>
  <si>
    <t>Security guard ( 2 Shift)</t>
  </si>
  <si>
    <t>hari</t>
  </si>
  <si>
    <t>o</t>
  </si>
  <si>
    <t>Safety watchman during drydock</t>
  </si>
  <si>
    <t>p</t>
  </si>
  <si>
    <t>Penyediaan APAR selama diatas dock</t>
  </si>
  <si>
    <t>II</t>
  </si>
  <si>
    <t>PERAWATAN LAMBUNG (Material Suplai Owner)</t>
  </si>
  <si>
    <t>Sekrap Bagian Bawah Air</t>
  </si>
  <si>
    <t>m2</t>
  </si>
  <si>
    <t>Sandblasting Bottom Sampai Waterline (S.A 2.0)</t>
  </si>
  <si>
    <t>Sandblasting Top Side (S.A 2.0)</t>
  </si>
  <si>
    <t>d</t>
  </si>
  <si>
    <t>Cuci Air Tawar</t>
  </si>
  <si>
    <t>Pengecetan Bottom sampai waterline (1x Primer, 1x Sealer dan 1x Anti Fouling)</t>
  </si>
  <si>
    <t>Pengecetan Top Side (1x Primer dan 1x Top Coat)</t>
  </si>
  <si>
    <t>Pengecatan Draft Mark, Nama Kapal</t>
  </si>
  <si>
    <t>Pemasangan Zinc Anode</t>
  </si>
  <si>
    <t>pcs</t>
  </si>
  <si>
    <t>III</t>
  </si>
  <si>
    <t>SEACHEST AND VALVE</t>
  </si>
  <si>
    <t>Buka dan Tutup Kembali Saringan Luar Dan Pembersihan Kotak Seachest</t>
  </si>
  <si>
    <t>bh</t>
  </si>
  <si>
    <t>IV</t>
  </si>
  <si>
    <t>SISTEM PENGGERAK KAPAL</t>
  </si>
  <si>
    <t>Pengukuran Clearance Shaft</t>
  </si>
  <si>
    <t>Titik</t>
  </si>
  <si>
    <t>Buka dan pasang kembali penahan rymers packing</t>
  </si>
  <si>
    <t>V</t>
  </si>
  <si>
    <t>SISTEM KEMUDI</t>
  </si>
  <si>
    <t>Pengukuran Clearance</t>
  </si>
  <si>
    <t>Bongkar dan Penyemenan Kembali Flens Kemudi</t>
  </si>
  <si>
    <t>set</t>
  </si>
  <si>
    <t>VI</t>
  </si>
  <si>
    <t>REPLATING</t>
  </si>
  <si>
    <t>Estimasi Replating plate underwater area Klass BKI</t>
  </si>
  <si>
    <t>Kg</t>
  </si>
  <si>
    <t>Estimasi Replating plate underwater area Plate IACS member</t>
  </si>
  <si>
    <t>Estimasi Replating Plate Marine Non Klass</t>
  </si>
  <si>
    <t>VII</t>
  </si>
  <si>
    <t>KAMAR MESIN</t>
  </si>
  <si>
    <t>Cleaning Got Kamar Mesin</t>
  </si>
  <si>
    <t>VIII</t>
  </si>
  <si>
    <t>LAPORAN PENGEDOKAN</t>
  </si>
  <si>
    <t>Dibuatkan laporan pengedokan dan gambar bukaan kulit sesuai posisi replating</t>
  </si>
  <si>
    <t>JR Rev. 00 Initial Survey Join with OS (23/10/24)</t>
  </si>
  <si>
    <t>Sandblasting bulwark luar</t>
  </si>
  <si>
    <t>Sandblasting forcastle deck</t>
  </si>
  <si>
    <t>Sandblasting jangkar</t>
  </si>
  <si>
    <t>Sandblasting rantai jangkar</t>
  </si>
  <si>
    <t>segel</t>
  </si>
  <si>
    <t>Pengecatan bulwark luar ( 1x primer, 1x topcoat)</t>
  </si>
  <si>
    <t>Pengecatan forcastle deck ( 1x primer, 1x topcoat)</t>
  </si>
  <si>
    <t>Pengecatan jangkar</t>
  </si>
  <si>
    <t>Pengecatan rantai jangkar</t>
  </si>
  <si>
    <t>Service valve hydrant, Gate valve 3" 10K</t>
  </si>
  <si>
    <t>Set</t>
  </si>
  <si>
    <t>-</t>
  </si>
  <si>
    <t>|Rames packing white size. 3/8" | 1000 mm</t>
  </si>
  <si>
    <t>|Rames packing white size. 3/16" | 1000 mm</t>
  </si>
  <si>
    <t>|Reinforced rubber packing size. 3mm | 200 X 200 mm | 1 pcs</t>
  </si>
  <si>
    <t>|Rubber packing size. 5mm | 185 X 185 mm | 2 Pcs</t>
  </si>
  <si>
    <t>|B/N galvanized size. 14mm X 60mm | 16 pcs</t>
  </si>
  <si>
    <t>Lepas &amp; Pasang rod kemudi</t>
  </si>
  <si>
    <t>Lepas &amp; Pasang kuadran kemudi</t>
  </si>
  <si>
    <t>Lepas &amp; Pasang linkage bar kemudi</t>
  </si>
  <si>
    <r>
      <t>KAMAR MESIN (</t>
    </r>
    <r>
      <rPr>
        <b/>
        <i/>
        <sz val="11"/>
        <color theme="1"/>
        <rFont val="Arial"/>
        <family val="2"/>
      </rPr>
      <t>Material Suplai Owner)</t>
    </r>
  </si>
  <si>
    <t>IV.1</t>
  </si>
  <si>
    <t>Pipa AE PS</t>
  </si>
  <si>
    <t>Rekondisi pipa S/C to pump (Material by owner), 12 Joint</t>
  </si>
  <si>
    <t>|Pipe galvanized size. 2" Sch 80</t>
  </si>
  <si>
    <t>mm</t>
  </si>
  <si>
    <t>|Elbow galvanized size. 2" Sch. 80</t>
  </si>
  <si>
    <t>|Long nipple galvanized size. 1 1/2" Sch 80</t>
  </si>
  <si>
    <t>|Reducer galvanized size. 2" X 1 1/2" Sch 80</t>
  </si>
  <si>
    <t>|Flange plate size. 2" 10K</t>
  </si>
  <si>
    <t>|Flange plate size. 2" 5K</t>
  </si>
  <si>
    <t>|Rubber packing size. 5mm | 130 X 130 mm</t>
  </si>
  <si>
    <t>|Rubber packing size. 5mm | 155 X 155 mm</t>
  </si>
  <si>
    <t>|Rubber hose HP size. 2"</t>
  </si>
  <si>
    <t>|Clamp HD size. 2 1/4"</t>
  </si>
  <si>
    <t>|B/N galvanized size. 14mm X 50mm</t>
  </si>
  <si>
    <t>Supply | Marine gate valve cast iron size. 2" 10K</t>
  </si>
  <si>
    <t>Rekondisi pipa pump to cooler (Material by owner), 5 joint</t>
  </si>
  <si>
    <t>|Pipe galvanized size. 1 1/2" Sch 80</t>
  </si>
  <si>
    <t>|Elbow galvanized size. 1 1/2" Sch. 80</t>
  </si>
  <si>
    <t>Rekondisi pipa cooler to OVB (Material by owner), 6 Joint</t>
  </si>
  <si>
    <t>|Flange plate size. 1 1/2" 10K</t>
  </si>
  <si>
    <t>|Rubber packing size. 5mm | 140 X 140 mm</t>
  </si>
  <si>
    <t>IV.2</t>
  </si>
  <si>
    <t>Pipa AE SB</t>
  </si>
  <si>
    <t>Rekondisi pipa pump to cooler (Material by owner), 5 Joint</t>
  </si>
  <si>
    <t>IV.3</t>
  </si>
  <si>
    <t>Pipa ME PS</t>
  </si>
  <si>
    <t>Rekondisi pipa S/C to pump(Material by owner), 19 Joint</t>
  </si>
  <si>
    <t>|Pipe galvanized size. 2 1/2" Sch 80</t>
  </si>
  <si>
    <t>|Elbow galvanized size. 2 1/2" Sch. 80</t>
  </si>
  <si>
    <t>|Flange plate size. 2 1/2" 10K</t>
  </si>
  <si>
    <t>|Flange plate size. 2 1/2" 5K</t>
  </si>
  <si>
    <t>|Rubber packing size. 5mm | 175 X 175 mm</t>
  </si>
  <si>
    <t>|Rubber hose HP size. 3"</t>
  </si>
  <si>
    <t>|Clamp HD size. 3 1/4"</t>
  </si>
  <si>
    <t>|U-bolt size. 2 1/2"</t>
  </si>
  <si>
    <t>Supply | Marine gate valve cast iron size. 2 1/2" 10K</t>
  </si>
  <si>
    <t>Rekondisi pipa input cooler gearbox (Material by owner), 6 Joint</t>
  </si>
  <si>
    <t>|Pipe galvanized size. 1 1/4" Sch 80</t>
  </si>
  <si>
    <t>|Elbow galvanized size. 1 1/4" Sch. 80</t>
  </si>
  <si>
    <t>Flange custom | Plate (A) thickness 10 mm | 120 X 90 mm @ 2</t>
  </si>
  <si>
    <t>|Rubber packing size. 5mm | 120 X 90 mm</t>
  </si>
  <si>
    <t>|Rubber hose HP size. 1 3/4"</t>
  </si>
  <si>
    <t>|Clamp HD size. 2"</t>
  </si>
  <si>
    <t>|B/N galvanized size. 12mm X 40mm</t>
  </si>
  <si>
    <t>|B/N galvanized size. 10mm X 40mm</t>
  </si>
  <si>
    <t>|B/N galvanized size. 8mm X 40mm</t>
  </si>
  <si>
    <t>Rekondisi pipa output cooler gearbox(Material by owner), 5 Joint</t>
  </si>
  <si>
    <t>IV.4</t>
  </si>
  <si>
    <t>Pipa ME SB</t>
  </si>
  <si>
    <t>Rekondisi pipa S/C to pump (Material by owner), 19 Joint</t>
  </si>
  <si>
    <t>|Clamp HD size. 3 1/2"</t>
  </si>
  <si>
    <t>|Rubber hose HP size. 1  3/4"</t>
  </si>
  <si>
    <t>Rekondisi pipa output cooler gearbox (Material by owner), 5 Joint</t>
  </si>
  <si>
    <t>IV.5</t>
  </si>
  <si>
    <t>Pipa Fuel Oil</t>
  </si>
  <si>
    <t>Rekondisi pipa supply FO ME SB (Material by owner), 25 Joint</t>
  </si>
  <si>
    <t>|Pipe seamless size. 1/2" Sch 80</t>
  </si>
  <si>
    <t>|Elbow black size. 1/2" Sch. 80</t>
  </si>
  <si>
    <t>|Flange plate size. 1/2" 5K</t>
  </si>
  <si>
    <t>|Packing TBA size.3.2mm | 80 X 80 mm</t>
  </si>
  <si>
    <t>|King nipple galvanized size. 1/2"</t>
  </si>
  <si>
    <t>|Female double nipple galvanized size. 3/4"</t>
  </si>
  <si>
    <t>|Fuel hose size. 1/2"</t>
  </si>
  <si>
    <t>|Clamp hose size. 3/4"</t>
  </si>
  <si>
    <t>|B/N galvanized size. 10mm X 50mm</t>
  </si>
  <si>
    <t>Rekondisi pipa overflow FO ME SB (Material by owner), 23 Joint</t>
  </si>
  <si>
    <t>IV.6</t>
  </si>
  <si>
    <t>Pipa Hydrant</t>
  </si>
  <si>
    <t>Rekondisi pipa hydrant (Material by owner), 18 Joint</t>
  </si>
  <si>
    <t>|Pipe seamless size. 2" Sch 80</t>
  </si>
  <si>
    <t>|Elbow black size. 2" Sch. 80</t>
  </si>
  <si>
    <t>|Long nipple size. 1 1/2" Sch 80</t>
  </si>
  <si>
    <t>|Reducer black size. 2" X 1 1/2" Sch 80</t>
  </si>
  <si>
    <t>|Socket weld tee black size. 2" Sch 80</t>
  </si>
  <si>
    <t>|Rubber hose HP size. 2 1/2"</t>
  </si>
  <si>
    <t>|Clamp HD size. 2 3/4"</t>
  </si>
  <si>
    <t>REPLATTING</t>
  </si>
  <si>
    <t>Doubling lambung PS</t>
  </si>
  <si>
    <t>|Plate (KI) thickness 10 mm | 600 X 600 mm</t>
  </si>
  <si>
    <t>PERLENGKAPAN LAMBUNG</t>
  </si>
  <si>
    <t>Naik &amp; turunkan dapra</t>
  </si>
  <si>
    <t>ls</t>
  </si>
  <si>
    <t>Rekondisi sirip bilga PS</t>
  </si>
  <si>
    <t>|Plate (KI) thickness 10 mm | 6500 X 200 mm</t>
  </si>
  <si>
    <t>|Roundbar size. 3/4" | 7500   mm</t>
  </si>
  <si>
    <t>Bracket | Plate (A) thickness 12 mm | 200 X 150 mm @ 15</t>
  </si>
  <si>
    <t>Rekondisi sirip bilga SB</t>
  </si>
  <si>
    <t>JANGKAR &amp; PERLENGKAPANNYA</t>
  </si>
  <si>
    <t>Jangkar dan rantainya  diturunkan dan Dan dinaikkan Kembali (diatur ulang)</t>
  </si>
  <si>
    <t>Reweld engsel jendela anjungan (aluminium)</t>
  </si>
  <si>
    <t>Rekondisi pipa wastafel</t>
  </si>
  <si>
    <t>joint</t>
  </si>
  <si>
    <t>|Pipe seamless size. 2" Sch 40</t>
  </si>
  <si>
    <t>|Elbow black size. 2" Sch. 40</t>
  </si>
  <si>
    <t>|Rubber hose size. 2 1/2"</t>
  </si>
  <si>
    <t>|Clamp hose size. 3"</t>
  </si>
  <si>
    <t>JR Rev. 01 Additional Work Req by OS (26/12/24)</t>
  </si>
  <si>
    <t xml:space="preserve">Fr 12/13-14/15 </t>
  </si>
  <si>
    <t>Lajur D SB | Plate (KI) thickness 10 mm | 1000 X 1200 mm</t>
  </si>
  <si>
    <t xml:space="preserve">Fr 39/40-40/41 </t>
  </si>
  <si>
    <t>Lajur C SB | Plate (KI) thickness 10 mm | 1500 X 1200 mm</t>
  </si>
  <si>
    <t xml:space="preserve">Fr 42/43-End </t>
  </si>
  <si>
    <t>Lajur C SB | Plate (KI) thickness 10 mm | 1000 X 900 mm</t>
  </si>
  <si>
    <t>Draft mark, 2 M, 2, 4, 8 | Plate (A) thickness 10 mm | 100 X 100 mm @ 6 sht</t>
  </si>
  <si>
    <t>Pcs</t>
  </si>
  <si>
    <t>Rekondisi area zinc anode</t>
  </si>
  <si>
    <t>|Plate (KI) thickness 10 mm | 500 X 500 mm @ 9 sht</t>
  </si>
  <si>
    <t>Reweld fitting bottom</t>
  </si>
  <si>
    <t>titik</t>
  </si>
  <si>
    <t>Reweld bow area</t>
  </si>
  <si>
    <t>Rekondisi draft mark PS</t>
  </si>
  <si>
    <t>Rekondisi draft mark SB</t>
  </si>
  <si>
    <t>JR Rev. 02 Actualization (2/1/25)</t>
  </si>
  <si>
    <t>Sewa dok selama perbaikan (status docking SS)</t>
  </si>
  <si>
    <t>Perawatan Saringan Air Dalam</t>
  </si>
  <si>
    <t>|Reinforced rubber packing size. 3.2 mm | 600 X 600 mm @ 1 pcs</t>
  </si>
  <si>
    <t>|B/N galvanized size. 12mm X 50mm    @ 20 pcs</t>
  </si>
  <si>
    <t>Perawatan Seachest Valve 6"</t>
  </si>
  <si>
    <t>|Rames packing white size. 3/16" | 1000   mm @ 1 pcs</t>
  </si>
  <si>
    <t>|B/N galvanized size. 12mm X 50mm    @ 8 pcs</t>
  </si>
  <si>
    <t>Ganti Rymers packing</t>
  </si>
  <si>
    <t>|Rames packing white size. 3/4" | 5000   mm @ 1 pcs</t>
  </si>
  <si>
    <t xml:space="preserve">Ganti rymes packing </t>
  </si>
  <si>
    <t>|Rames packing white size. 3/8" | 4000   mm @ 1 pcs</t>
  </si>
  <si>
    <t>JR Rev. 03 Material revision by Engineer (8/1/25)</t>
  </si>
  <si>
    <t>|B/N galvanized size. 10mm X 45mm    @ 20 pcs</t>
  </si>
  <si>
    <t>|B/N galvanized size. 10mm X 45mm    @ 8 pcs</t>
  </si>
  <si>
    <t>: 02/FIN/MKT-MNB/I/2025</t>
  </si>
  <si>
    <t>:  24.53 Meter</t>
  </si>
  <si>
    <t>:     7.30 Meter</t>
  </si>
  <si>
    <t>:     3.20 Meter</t>
  </si>
  <si>
    <t>:  BKI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</si>
</sst>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0.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27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3">
    <xf numFmtId="0" fontId="0" fillId="0" borderId="0" xfId="0"/>
    <xf numFmtId="0" fontId="2" fillId="2" borderId="3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0" xfId="0" applyFont="1" applyFill="1"/>
    <xf numFmtId="0" fontId="6" fillId="0" borderId="0" xfId="0" applyFont="1"/>
    <xf numFmtId="164" fontId="2" fillId="2" borderId="1" xfId="1" applyFont="1" applyFill="1" applyBorder="1"/>
    <xf numFmtId="0" fontId="8" fillId="2" borderId="13" xfId="0" quotePrefix="1" applyFont="1" applyFill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/>
    </xf>
    <xf numFmtId="0" fontId="2" fillId="2" borderId="15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1" fillId="2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12" fillId="2" borderId="0" xfId="0" applyFont="1" applyFill="1"/>
    <xf numFmtId="0" fontId="2" fillId="2" borderId="9" xfId="0" applyFont="1" applyFill="1" applyBorder="1"/>
    <xf numFmtId="0" fontId="2" fillId="2" borderId="6" xfId="0" applyFont="1" applyFill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left"/>
    </xf>
    <xf numFmtId="165" fontId="8" fillId="4" borderId="11" xfId="0" applyNumberFormat="1" applyFont="1" applyFill="1" applyBorder="1" applyAlignment="1">
      <alignment vertical="center"/>
    </xf>
    <xf numFmtId="0" fontId="7" fillId="2" borderId="6" xfId="0" applyFont="1" applyFill="1" applyBorder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/>
    <xf numFmtId="20" fontId="8" fillId="4" borderId="5" xfId="0" applyNumberFormat="1" applyFont="1" applyFill="1" applyBorder="1" applyAlignment="1">
      <alignment horizontal="left"/>
    </xf>
    <xf numFmtId="0" fontId="9" fillId="2" borderId="0" xfId="0" applyFont="1" applyFill="1"/>
    <xf numFmtId="0" fontId="3" fillId="2" borderId="8" xfId="0" applyFont="1" applyFill="1" applyBorder="1"/>
    <xf numFmtId="0" fontId="2" fillId="2" borderId="0" xfId="0" applyFont="1" applyFill="1" applyAlignment="1">
      <alignment vertical="top"/>
    </xf>
    <xf numFmtId="0" fontId="7" fillId="2" borderId="10" xfId="0" applyFont="1" applyFill="1" applyBorder="1"/>
    <xf numFmtId="0" fontId="7" fillId="2" borderId="11" xfId="0" applyFont="1" applyFill="1" applyBorder="1"/>
    <xf numFmtId="0" fontId="2" fillId="2" borderId="5" xfId="0" applyFont="1" applyFill="1" applyBorder="1" applyAlignment="1">
      <alignment horizontal="left"/>
    </xf>
    <xf numFmtId="164" fontId="2" fillId="2" borderId="11" xfId="1" applyFont="1" applyFill="1" applyBorder="1"/>
    <xf numFmtId="0" fontId="8" fillId="2" borderId="5" xfId="0" quotePrefix="1" applyFont="1" applyFill="1" applyBorder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vertical="center"/>
    </xf>
    <xf numFmtId="165" fontId="8" fillId="4" borderId="0" xfId="0" applyNumberFormat="1" applyFont="1" applyFill="1" applyAlignment="1">
      <alignment vertical="center"/>
    </xf>
    <xf numFmtId="164" fontId="2" fillId="2" borderId="6" xfId="1" applyFont="1" applyFill="1" applyBorder="1"/>
    <xf numFmtId="0" fontId="10" fillId="2" borderId="0" xfId="0" applyFont="1" applyFill="1"/>
    <xf numFmtId="0" fontId="8" fillId="3" borderId="0" xfId="0" applyFont="1" applyFill="1"/>
    <xf numFmtId="0" fontId="13" fillId="2" borderId="5" xfId="0" quotePrefix="1" applyFont="1" applyFill="1" applyBorder="1" applyAlignment="1">
      <alignment horizontal="left" vertical="center"/>
    </xf>
    <xf numFmtId="0" fontId="13" fillId="2" borderId="0" xfId="0" quotePrefix="1" applyFont="1" applyFill="1" applyAlignment="1">
      <alignment horizontal="center" vertical="center"/>
    </xf>
    <xf numFmtId="0" fontId="13" fillId="2" borderId="6" xfId="0" quotePrefix="1" applyFont="1" applyFill="1" applyBorder="1" applyAlignment="1">
      <alignment horizontal="center" vertical="center"/>
    </xf>
    <xf numFmtId="0" fontId="10" fillId="2" borderId="6" xfId="0" applyFont="1" applyFill="1" applyBorder="1"/>
    <xf numFmtId="0" fontId="2" fillId="2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7" fillId="3" borderId="0" xfId="0" applyFont="1" applyFill="1" applyAlignment="1">
      <alignment horizontal="right"/>
    </xf>
    <xf numFmtId="0" fontId="7" fillId="3" borderId="6" xfId="0" applyFont="1" applyFill="1" applyBorder="1" applyAlignment="1">
      <alignment vertical="center"/>
    </xf>
    <xf numFmtId="0" fontId="2" fillId="2" borderId="5" xfId="0" applyFont="1" applyFill="1" applyBorder="1"/>
    <xf numFmtId="0" fontId="8" fillId="3" borderId="5" xfId="0" applyFont="1" applyFill="1" applyBorder="1"/>
    <xf numFmtId="0" fontId="2" fillId="2" borderId="6" xfId="0" applyFont="1" applyFill="1" applyBorder="1" applyAlignment="1">
      <alignment horizontal="right"/>
    </xf>
    <xf numFmtId="0" fontId="7" fillId="3" borderId="5" xfId="0" applyFont="1" applyFill="1" applyBorder="1" applyAlignment="1">
      <alignment horizontal="right"/>
    </xf>
    <xf numFmtId="0" fontId="7" fillId="3" borderId="5" xfId="0" applyFont="1" applyFill="1" applyBorder="1"/>
    <xf numFmtId="0" fontId="15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5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0" fontId="7" fillId="3" borderId="5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left"/>
    </xf>
    <xf numFmtId="0" fontId="13" fillId="2" borderId="5" xfId="112" quotePrefix="1" applyFont="1" applyFill="1" applyBorder="1" applyAlignment="1">
      <alignment horizontal="left" vertical="center"/>
    </xf>
    <xf numFmtId="0" fontId="13" fillId="2" borderId="0" xfId="112" quotePrefix="1" applyFont="1" applyFill="1" applyAlignment="1">
      <alignment horizontal="center" vertical="center"/>
    </xf>
    <xf numFmtId="0" fontId="13" fillId="2" borderId="6" xfId="112" quotePrefix="1" applyFont="1" applyFill="1" applyBorder="1" applyAlignment="1">
      <alignment horizontal="right" vertical="center"/>
    </xf>
    <xf numFmtId="0" fontId="10" fillId="2" borderId="0" xfId="112" applyFont="1" applyFill="1"/>
    <xf numFmtId="0" fontId="10" fillId="5" borderId="0" xfId="112" applyFont="1" applyFill="1"/>
    <xf numFmtId="0" fontId="10" fillId="5" borderId="6" xfId="112" applyFont="1" applyFill="1" applyBorder="1"/>
    <xf numFmtId="2" fontId="10" fillId="2" borderId="0" xfId="112" applyNumberFormat="1" applyFont="1" applyFill="1"/>
    <xf numFmtId="0" fontId="13" fillId="6" borderId="5" xfId="112" quotePrefix="1" applyFont="1" applyFill="1" applyBorder="1" applyAlignment="1">
      <alignment horizontal="left" vertical="center"/>
    </xf>
    <xf numFmtId="0" fontId="13" fillId="6" borderId="0" xfId="112" quotePrefix="1" applyFont="1" applyFill="1" applyAlignment="1">
      <alignment horizontal="center" vertical="center"/>
    </xf>
    <xf numFmtId="0" fontId="13" fillId="6" borderId="6" xfId="112" quotePrefix="1" applyFont="1" applyFill="1" applyBorder="1" applyAlignment="1">
      <alignment horizontal="right" vertical="center"/>
    </xf>
    <xf numFmtId="0" fontId="10" fillId="6" borderId="0" xfId="112" applyFont="1" applyFill="1"/>
    <xf numFmtId="0" fontId="10" fillId="6" borderId="6" xfId="112" applyFont="1" applyFill="1" applyBorder="1"/>
    <xf numFmtId="2" fontId="10" fillId="6" borderId="0" xfId="112" applyNumberFormat="1" applyFont="1" applyFill="1"/>
    <xf numFmtId="0" fontId="8" fillId="6" borderId="5" xfId="112" quotePrefix="1" applyFont="1" applyFill="1" applyBorder="1" applyAlignment="1">
      <alignment horizontal="left" vertical="center"/>
    </xf>
    <xf numFmtId="0" fontId="8" fillId="6" borderId="0" xfId="112" quotePrefix="1" applyFont="1" applyFill="1" applyAlignment="1">
      <alignment horizontal="center" vertical="center"/>
    </xf>
    <xf numFmtId="0" fontId="8" fillId="6" borderId="6" xfId="112" quotePrefix="1" applyFont="1" applyFill="1" applyBorder="1" applyAlignment="1">
      <alignment horizontal="right" vertical="center"/>
    </xf>
    <xf numFmtId="0" fontId="2" fillId="6" borderId="0" xfId="112" applyFont="1" applyFill="1"/>
    <xf numFmtId="0" fontId="2" fillId="6" borderId="6" xfId="112" applyFont="1" applyFill="1" applyBorder="1"/>
    <xf numFmtId="2" fontId="2" fillId="6" borderId="0" xfId="112" applyNumberFormat="1" applyFont="1" applyFill="1"/>
    <xf numFmtId="1" fontId="2" fillId="6" borderId="0" xfId="112" applyNumberFormat="1" applyFont="1" applyFill="1"/>
    <xf numFmtId="0" fontId="10" fillId="2" borderId="6" xfId="112" applyFont="1" applyFill="1" applyBorder="1"/>
    <xf numFmtId="0" fontId="8" fillId="2" borderId="5" xfId="112" quotePrefix="1" applyFont="1" applyFill="1" applyBorder="1" applyAlignment="1">
      <alignment horizontal="left" vertical="center"/>
    </xf>
    <xf numFmtId="0" fontId="8" fillId="2" borderId="0" xfId="112" quotePrefix="1" applyFont="1" applyFill="1" applyAlignment="1">
      <alignment horizontal="center" vertical="center"/>
    </xf>
    <xf numFmtId="0" fontId="8" fillId="2" borderId="6" xfId="112" quotePrefix="1" applyFont="1" applyFill="1" applyBorder="1" applyAlignment="1">
      <alignment horizontal="right" vertical="center"/>
    </xf>
    <xf numFmtId="0" fontId="2" fillId="2" borderId="0" xfId="112" applyFont="1" applyFill="1"/>
    <xf numFmtId="0" fontId="2" fillId="2" borderId="6" xfId="112" applyFont="1" applyFill="1" applyBorder="1"/>
    <xf numFmtId="1" fontId="2" fillId="2" borderId="0" xfId="112" applyNumberFormat="1" applyFont="1" applyFill="1"/>
    <xf numFmtId="166" fontId="2" fillId="6" borderId="0" xfId="112" applyNumberFormat="1" applyFont="1" applyFill="1"/>
    <xf numFmtId="0" fontId="15" fillId="5" borderId="0" xfId="112" applyFont="1" applyFill="1"/>
    <xf numFmtId="0" fontId="15" fillId="5" borderId="6" xfId="112" applyFont="1" applyFill="1" applyBorder="1"/>
    <xf numFmtId="0" fontId="15" fillId="6" borderId="5" xfId="112" quotePrefix="1" applyFont="1" applyFill="1" applyBorder="1" applyAlignment="1">
      <alignment horizontal="left" vertical="center"/>
    </xf>
    <xf numFmtId="0" fontId="15" fillId="6" borderId="0" xfId="112" quotePrefix="1" applyFont="1" applyFill="1" applyAlignment="1">
      <alignment horizontal="center" vertical="center"/>
    </xf>
    <xf numFmtId="0" fontId="15" fillId="6" borderId="6" xfId="112" quotePrefix="1" applyFont="1" applyFill="1" applyBorder="1" applyAlignment="1">
      <alignment horizontal="right" vertical="center"/>
    </xf>
    <xf numFmtId="0" fontId="15" fillId="6" borderId="0" xfId="112" applyFont="1" applyFill="1"/>
    <xf numFmtId="0" fontId="15" fillId="6" borderId="6" xfId="112" applyFont="1" applyFill="1" applyBorder="1"/>
    <xf numFmtId="2" fontId="15" fillId="6" borderId="0" xfId="112" applyNumberFormat="1" applyFont="1" applyFill="1"/>
    <xf numFmtId="0" fontId="7" fillId="6" borderId="5" xfId="112" quotePrefix="1" applyFont="1" applyFill="1" applyBorder="1" applyAlignment="1">
      <alignment horizontal="left" vertical="center"/>
    </xf>
    <xf numFmtId="0" fontId="7" fillId="6" borderId="0" xfId="112" quotePrefix="1" applyFont="1" applyFill="1" applyAlignment="1">
      <alignment horizontal="center" vertical="center"/>
    </xf>
    <xf numFmtId="0" fontId="7" fillId="6" borderId="6" xfId="112" quotePrefix="1" applyFont="1" applyFill="1" applyBorder="1" applyAlignment="1">
      <alignment horizontal="right" vertical="center"/>
    </xf>
    <xf numFmtId="0" fontId="7" fillId="6" borderId="0" xfId="112" applyFont="1" applyFill="1"/>
    <xf numFmtId="0" fontId="7" fillId="6" borderId="6" xfId="112" applyFont="1" applyFill="1" applyBorder="1"/>
    <xf numFmtId="2" fontId="7" fillId="6" borderId="0" xfId="112" applyNumberFormat="1" applyFont="1" applyFill="1"/>
    <xf numFmtId="0" fontId="10" fillId="7" borderId="0" xfId="112" applyFont="1" applyFill="1"/>
    <xf numFmtId="0" fontId="2" fillId="7" borderId="0" xfId="112" applyFont="1" applyFill="1"/>
    <xf numFmtId="0" fontId="2" fillId="7" borderId="6" xfId="112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2" fillId="2" borderId="0" xfId="0" quotePrefix="1" applyNumberFormat="1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27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3"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1</xdr:row>
      <xdr:rowOff>127000</xdr:rowOff>
    </xdr:from>
    <xdr:to>
      <xdr:col>6</xdr:col>
      <xdr:colOff>2014525</xdr:colOff>
      <xdr:row>6</xdr:row>
      <xdr:rowOff>65526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5" y="327025"/>
          <a:ext cx="2376475" cy="938651"/>
        </a:xfrm>
        <a:prstGeom prst="rect">
          <a:avLst/>
        </a:prstGeom>
      </xdr:spPr>
    </xdr:pic>
    <xdr:clientData/>
  </xdr:twoCellAnchor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33104" y="553314"/>
          <a:ext cx="3508079" cy="919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7:W421"/>
  <sheetViews>
    <sheetView showGridLines="0" tabSelected="1" view="pageBreakPreview" topLeftCell="A403" zoomScale="70" zoomScaleSheetLayoutView="70" workbookViewId="0">
      <selection activeCell="K144" sqref="K144:L150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263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264</v>
      </c>
      <c r="M12" s="18"/>
    </row>
    <row r="13" spans="2:13" x14ac:dyDescent="0.35">
      <c r="B13" s="18" t="s">
        <v>4</v>
      </c>
      <c r="F13" s="54"/>
      <c r="J13" s="18" t="s">
        <v>32</v>
      </c>
      <c r="K13" s="18" t="s">
        <v>265</v>
      </c>
      <c r="M13" s="18"/>
    </row>
    <row r="14" spans="2:13" x14ac:dyDescent="0.35">
      <c r="B14" s="18" t="s">
        <v>5</v>
      </c>
      <c r="F14" s="54"/>
      <c r="J14" s="18" t="s">
        <v>33</v>
      </c>
      <c r="K14" s="18" t="s">
        <v>266</v>
      </c>
      <c r="M14" s="18"/>
    </row>
    <row r="15" spans="2:13" x14ac:dyDescent="0.35">
      <c r="F15" s="133"/>
      <c r="G15" s="133"/>
      <c r="J15" s="18" t="s">
        <v>34</v>
      </c>
      <c r="K15" s="18" t="s">
        <v>267</v>
      </c>
      <c r="M15" s="18"/>
    </row>
    <row r="16" spans="2:13" x14ac:dyDescent="0.35">
      <c r="F16" s="6"/>
    </row>
    <row r="18" spans="2:20" s="33" customFormat="1" ht="15" customHeight="1" x14ac:dyDescent="0.35">
      <c r="B18" s="134" t="s">
        <v>0</v>
      </c>
      <c r="C18" s="135"/>
      <c r="D18" s="136"/>
      <c r="E18" s="134" t="s">
        <v>1</v>
      </c>
      <c r="F18" s="135"/>
      <c r="G18" s="136"/>
      <c r="H18" s="134" t="s">
        <v>2</v>
      </c>
      <c r="I18" s="136"/>
      <c r="J18" s="140" t="s">
        <v>3</v>
      </c>
      <c r="K18" s="140" t="s">
        <v>22</v>
      </c>
      <c r="L18" s="140" t="s">
        <v>23</v>
      </c>
    </row>
    <row r="19" spans="2:20" s="33" customFormat="1" ht="15" customHeight="1" x14ac:dyDescent="0.35">
      <c r="B19" s="137"/>
      <c r="C19" s="138"/>
      <c r="D19" s="139"/>
      <c r="E19" s="137"/>
      <c r="F19" s="138"/>
      <c r="G19" s="139"/>
      <c r="H19" s="137"/>
      <c r="I19" s="139"/>
      <c r="J19" s="141"/>
      <c r="K19" s="141"/>
      <c r="L19" s="141"/>
    </row>
    <row r="20" spans="2:20" x14ac:dyDescent="0.35">
      <c r="B20" s="47"/>
      <c r="C20" s="48"/>
      <c r="D20" s="49"/>
      <c r="G20" s="22"/>
      <c r="H20" s="1"/>
      <c r="I20" s="1"/>
      <c r="J20" s="43"/>
      <c r="K20" s="30"/>
      <c r="L20" s="44"/>
    </row>
    <row r="21" spans="2:20" x14ac:dyDescent="0.35">
      <c r="B21" s="55" t="s">
        <v>39</v>
      </c>
      <c r="C21" s="56"/>
      <c r="D21" s="57"/>
      <c r="E21" s="53" t="s">
        <v>10</v>
      </c>
      <c r="F21" s="53"/>
      <c r="G21" s="58"/>
      <c r="J21" s="29"/>
      <c r="K21" s="51"/>
      <c r="L21" s="46"/>
      <c r="M21" s="18"/>
      <c r="N21" s="142" t="s">
        <v>15</v>
      </c>
      <c r="O21" s="142"/>
    </row>
    <row r="22" spans="2:20" x14ac:dyDescent="0.35">
      <c r="B22" s="47"/>
      <c r="C22" s="48"/>
      <c r="D22" s="49" t="s">
        <v>40</v>
      </c>
      <c r="F22" s="18" t="s">
        <v>41</v>
      </c>
      <c r="G22" s="22"/>
      <c r="H22" s="18">
        <v>1</v>
      </c>
      <c r="I22" s="22" t="s">
        <v>42</v>
      </c>
      <c r="J22" s="50"/>
      <c r="K22" s="51"/>
      <c r="L22" s="46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47"/>
      <c r="C23" s="48"/>
      <c r="D23" s="24" t="s">
        <v>43</v>
      </c>
      <c r="F23" s="18" t="s">
        <v>44</v>
      </c>
      <c r="G23" s="22"/>
      <c r="H23" s="18">
        <v>1</v>
      </c>
      <c r="I23" s="22" t="s">
        <v>42</v>
      </c>
      <c r="J23" s="50"/>
      <c r="K23" s="51"/>
      <c r="L23" s="46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47"/>
      <c r="C24" s="48"/>
      <c r="D24" s="24" t="s">
        <v>45</v>
      </c>
      <c r="F24" s="18" t="s">
        <v>46</v>
      </c>
      <c r="G24" s="22"/>
      <c r="H24" s="18">
        <v>1</v>
      </c>
      <c r="I24" s="30" t="s">
        <v>42</v>
      </c>
      <c r="J24" s="50"/>
      <c r="K24" s="29"/>
      <c r="L24" s="52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47"/>
      <c r="C25" s="48"/>
      <c r="D25" s="24" t="s">
        <v>47</v>
      </c>
      <c r="F25" s="18" t="s">
        <v>48</v>
      </c>
      <c r="G25" s="22"/>
      <c r="H25" s="18">
        <v>3</v>
      </c>
      <c r="I25" s="22" t="s">
        <v>49</v>
      </c>
      <c r="J25" s="50"/>
      <c r="K25" s="29"/>
      <c r="L25" s="52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47"/>
      <c r="C26" s="48"/>
      <c r="D26" s="24" t="s">
        <v>50</v>
      </c>
      <c r="F26" s="18" t="s">
        <v>51</v>
      </c>
      <c r="G26" s="22"/>
      <c r="H26" s="18">
        <v>1</v>
      </c>
      <c r="I26" s="22" t="s">
        <v>42</v>
      </c>
      <c r="J26" s="50"/>
      <c r="K26" s="29"/>
      <c r="L26" s="52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47"/>
      <c r="C27" s="48"/>
      <c r="D27" s="24" t="s">
        <v>52</v>
      </c>
      <c r="F27" s="18" t="s">
        <v>53</v>
      </c>
      <c r="G27" s="22"/>
      <c r="H27" s="18">
        <v>18</v>
      </c>
      <c r="I27" s="22" t="s">
        <v>49</v>
      </c>
      <c r="J27" s="50"/>
      <c r="K27" s="29"/>
      <c r="L27" s="52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47"/>
      <c r="C28" s="48"/>
      <c r="D28" s="24" t="s">
        <v>54</v>
      </c>
      <c r="F28" s="18" t="s">
        <v>55</v>
      </c>
      <c r="G28" s="22"/>
      <c r="H28" s="18">
        <v>1</v>
      </c>
      <c r="I28" s="22" t="s">
        <v>42</v>
      </c>
      <c r="J28" s="50"/>
      <c r="K28" s="29"/>
      <c r="L28" s="52"/>
      <c r="M28" s="18"/>
      <c r="N28" s="23"/>
      <c r="O28" s="23" t="e">
        <f>#REF!+O27</f>
        <v>#REF!</v>
      </c>
    </row>
    <row r="29" spans="2:20" x14ac:dyDescent="0.35">
      <c r="B29" s="47"/>
      <c r="C29" s="48"/>
      <c r="D29" s="24" t="s">
        <v>56</v>
      </c>
      <c r="F29" s="18" t="s">
        <v>57</v>
      </c>
      <c r="G29" s="22"/>
      <c r="H29" s="18">
        <v>1</v>
      </c>
      <c r="I29" s="59" t="s">
        <v>42</v>
      </c>
      <c r="J29" s="50"/>
      <c r="K29" s="29"/>
      <c r="L29" s="52"/>
      <c r="M29" s="18"/>
      <c r="N29" s="23"/>
      <c r="O29" s="23"/>
    </row>
    <row r="30" spans="2:20" x14ac:dyDescent="0.35">
      <c r="B30" s="47"/>
      <c r="C30" s="48"/>
      <c r="D30" s="24" t="s">
        <v>58</v>
      </c>
      <c r="F30" s="18" t="s">
        <v>59</v>
      </c>
      <c r="G30" s="22"/>
      <c r="H30" s="18">
        <v>1</v>
      </c>
      <c r="I30" s="59" t="s">
        <v>42</v>
      </c>
      <c r="J30" s="50"/>
      <c r="K30" s="29"/>
      <c r="L30" s="52"/>
      <c r="M30" s="18"/>
      <c r="N30" s="23"/>
      <c r="O30" s="23"/>
    </row>
    <row r="31" spans="2:20" x14ac:dyDescent="0.35">
      <c r="B31" s="47"/>
      <c r="C31" s="48"/>
      <c r="D31" s="24" t="s">
        <v>60</v>
      </c>
      <c r="F31" s="18" t="s">
        <v>61</v>
      </c>
      <c r="G31" s="22"/>
      <c r="H31" s="18">
        <v>1</v>
      </c>
      <c r="I31" s="22" t="s">
        <v>42</v>
      </c>
      <c r="J31" s="50"/>
      <c r="K31" s="29"/>
      <c r="L31" s="52"/>
      <c r="M31" s="18"/>
      <c r="N31" s="23"/>
      <c r="O31" s="23"/>
    </row>
    <row r="32" spans="2:20" x14ac:dyDescent="0.35">
      <c r="B32" s="47"/>
      <c r="C32" s="48"/>
      <c r="D32" s="24" t="s">
        <v>62</v>
      </c>
      <c r="F32" s="18" t="s">
        <v>63</v>
      </c>
      <c r="G32" s="22"/>
      <c r="H32" s="18">
        <v>20</v>
      </c>
      <c r="I32" s="22" t="s">
        <v>64</v>
      </c>
      <c r="J32" s="50"/>
      <c r="K32" s="29"/>
      <c r="L32" s="52"/>
      <c r="M32" s="18"/>
      <c r="N32" s="23">
        <v>1</v>
      </c>
      <c r="O32" s="23" t="s">
        <v>10</v>
      </c>
    </row>
    <row r="33" spans="2:15" x14ac:dyDescent="0.35">
      <c r="B33" s="47"/>
      <c r="C33" s="48"/>
      <c r="D33" s="49" t="s">
        <v>65</v>
      </c>
      <c r="F33" s="18" t="s">
        <v>66</v>
      </c>
      <c r="G33" s="22"/>
      <c r="H33" s="18">
        <v>2.5</v>
      </c>
      <c r="I33" s="60" t="s">
        <v>64</v>
      </c>
      <c r="J33" s="50"/>
      <c r="K33" s="29"/>
      <c r="L33" s="52"/>
      <c r="M33" s="18"/>
      <c r="N33" s="23"/>
      <c r="O33" s="23"/>
    </row>
    <row r="34" spans="2:15" x14ac:dyDescent="0.35">
      <c r="B34" s="61"/>
      <c r="C34" s="25"/>
      <c r="D34" s="24" t="s">
        <v>67</v>
      </c>
      <c r="F34" s="18" t="s">
        <v>68</v>
      </c>
      <c r="G34" s="22"/>
      <c r="H34" s="18">
        <v>18</v>
      </c>
      <c r="I34" s="60" t="s">
        <v>69</v>
      </c>
      <c r="J34" s="50"/>
      <c r="K34" s="29"/>
      <c r="L34" s="52"/>
      <c r="M34" s="18"/>
      <c r="N34" s="23"/>
      <c r="O34" s="23"/>
    </row>
    <row r="35" spans="2:15" x14ac:dyDescent="0.35">
      <c r="B35" s="62"/>
      <c r="C35" s="63"/>
      <c r="D35" s="24" t="s">
        <v>70</v>
      </c>
      <c r="E35" s="53"/>
      <c r="F35" s="18" t="s">
        <v>71</v>
      </c>
      <c r="G35" s="22"/>
      <c r="H35" s="18">
        <v>15</v>
      </c>
      <c r="I35" s="60" t="s">
        <v>69</v>
      </c>
      <c r="J35" s="50"/>
      <c r="K35" s="29"/>
      <c r="L35" s="52"/>
      <c r="M35" s="18"/>
      <c r="N35" s="23"/>
      <c r="O35" s="23"/>
    </row>
    <row r="36" spans="2:15" x14ac:dyDescent="0.35">
      <c r="B36" s="61"/>
      <c r="C36" s="25"/>
      <c r="D36" s="24" t="s">
        <v>72</v>
      </c>
      <c r="F36" s="18" t="s">
        <v>73</v>
      </c>
      <c r="G36" s="22"/>
      <c r="H36" s="18">
        <v>1</v>
      </c>
      <c r="I36" s="60" t="s">
        <v>42</v>
      </c>
      <c r="J36" s="50"/>
      <c r="K36" s="29"/>
      <c r="L36" s="52"/>
      <c r="M36" s="18"/>
      <c r="N36" s="23">
        <v>2</v>
      </c>
      <c r="O36" s="23" t="s">
        <v>16</v>
      </c>
    </row>
    <row r="37" spans="2:15" x14ac:dyDescent="0.35">
      <c r="B37" s="62" t="s">
        <v>74</v>
      </c>
      <c r="C37" s="63"/>
      <c r="D37" s="64"/>
      <c r="E37" s="53" t="s">
        <v>75</v>
      </c>
      <c r="G37" s="22"/>
      <c r="I37" s="60"/>
      <c r="J37" s="50"/>
      <c r="K37" s="29"/>
      <c r="L37" s="52"/>
      <c r="M37" s="18"/>
      <c r="N37" s="23">
        <v>4</v>
      </c>
      <c r="O37" s="23" t="s">
        <v>17</v>
      </c>
    </row>
    <row r="38" spans="2:15" x14ac:dyDescent="0.35">
      <c r="B38" s="61"/>
      <c r="C38" s="25"/>
      <c r="D38" s="24" t="s">
        <v>40</v>
      </c>
      <c r="F38" s="18" t="s">
        <v>76</v>
      </c>
      <c r="G38" s="22"/>
      <c r="H38" s="18">
        <v>363</v>
      </c>
      <c r="I38" s="60" t="s">
        <v>77</v>
      </c>
      <c r="J38" s="50"/>
      <c r="K38" s="29"/>
      <c r="L38" s="52"/>
      <c r="M38" s="18"/>
      <c r="N38" s="23"/>
      <c r="O38" s="23"/>
    </row>
    <row r="39" spans="2:15" x14ac:dyDescent="0.35">
      <c r="B39" s="61"/>
      <c r="C39" s="25"/>
      <c r="D39" s="24" t="s">
        <v>43</v>
      </c>
      <c r="F39" s="18" t="s">
        <v>78</v>
      </c>
      <c r="G39" s="22"/>
      <c r="H39" s="18">
        <v>363</v>
      </c>
      <c r="I39" s="60" t="s">
        <v>77</v>
      </c>
      <c r="J39" s="50"/>
      <c r="K39" s="29"/>
      <c r="L39" s="52"/>
      <c r="M39" s="18"/>
      <c r="N39" s="23"/>
      <c r="O39" s="23"/>
    </row>
    <row r="40" spans="2:15" x14ac:dyDescent="0.35">
      <c r="B40" s="61"/>
      <c r="C40" s="25"/>
      <c r="D40" s="24" t="s">
        <v>45</v>
      </c>
      <c r="F40" s="18" t="s">
        <v>79</v>
      </c>
      <c r="G40" s="22"/>
      <c r="H40" s="18">
        <v>58</v>
      </c>
      <c r="I40" s="60" t="s">
        <v>77</v>
      </c>
      <c r="J40" s="50"/>
      <c r="K40" s="29"/>
      <c r="L40" s="52"/>
      <c r="M40" s="18"/>
      <c r="N40" s="23">
        <v>14</v>
      </c>
      <c r="O40" s="23" t="s">
        <v>18</v>
      </c>
    </row>
    <row r="41" spans="2:15" x14ac:dyDescent="0.35">
      <c r="B41" s="61"/>
      <c r="C41" s="25"/>
      <c r="D41" s="24" t="s">
        <v>80</v>
      </c>
      <c r="F41" s="18" t="s">
        <v>81</v>
      </c>
      <c r="G41" s="22"/>
      <c r="H41" s="18">
        <f>H39+H40</f>
        <v>421</v>
      </c>
      <c r="I41" s="60" t="s">
        <v>77</v>
      </c>
      <c r="J41" s="50"/>
      <c r="K41" s="29"/>
      <c r="L41" s="52"/>
      <c r="M41" s="18"/>
      <c r="N41" s="23">
        <v>15</v>
      </c>
      <c r="O41" s="23" t="s">
        <v>27</v>
      </c>
    </row>
    <row r="42" spans="2:15" x14ac:dyDescent="0.35">
      <c r="B42" s="61"/>
      <c r="C42" s="25"/>
      <c r="D42" s="24" t="s">
        <v>47</v>
      </c>
      <c r="F42" s="18" t="s">
        <v>82</v>
      </c>
      <c r="G42" s="22"/>
      <c r="H42" s="18">
        <f>H39</f>
        <v>363</v>
      </c>
      <c r="I42" s="22" t="s">
        <v>77</v>
      </c>
      <c r="J42" s="50"/>
      <c r="K42" s="29"/>
      <c r="L42" s="52"/>
      <c r="M42" s="18"/>
      <c r="N42" s="23"/>
      <c r="O42" s="23"/>
    </row>
    <row r="43" spans="2:15" x14ac:dyDescent="0.35">
      <c r="B43" s="61"/>
      <c r="C43" s="25"/>
      <c r="D43" s="24" t="s">
        <v>50</v>
      </c>
      <c r="F43" s="18" t="s">
        <v>83</v>
      </c>
      <c r="G43" s="22"/>
      <c r="H43" s="54">
        <f>H40</f>
        <v>58</v>
      </c>
      <c r="I43" s="60" t="s">
        <v>77</v>
      </c>
      <c r="J43" s="50"/>
      <c r="K43" s="29"/>
      <c r="L43" s="52"/>
      <c r="M43" s="18"/>
      <c r="N43" s="23"/>
      <c r="O43" s="23"/>
    </row>
    <row r="44" spans="2:15" x14ac:dyDescent="0.35">
      <c r="B44" s="47"/>
      <c r="C44" s="48"/>
      <c r="D44" s="24" t="s">
        <v>52</v>
      </c>
      <c r="F44" s="18" t="s">
        <v>84</v>
      </c>
      <c r="G44" s="22"/>
      <c r="H44" s="54">
        <v>1</v>
      </c>
      <c r="I44" s="60" t="s">
        <v>42</v>
      </c>
      <c r="J44" s="50"/>
      <c r="K44" s="29"/>
      <c r="L44" s="52"/>
      <c r="M44" s="18"/>
      <c r="N44" s="23"/>
      <c r="O44" s="23"/>
    </row>
    <row r="45" spans="2:15" x14ac:dyDescent="0.35">
      <c r="B45" s="47"/>
      <c r="C45" s="48"/>
      <c r="D45" s="24" t="s">
        <v>54</v>
      </c>
      <c r="F45" s="18" t="s">
        <v>85</v>
      </c>
      <c r="G45" s="22"/>
      <c r="H45" s="65">
        <v>29</v>
      </c>
      <c r="I45" s="66" t="s">
        <v>86</v>
      </c>
      <c r="J45" s="50"/>
      <c r="K45" s="29"/>
      <c r="L45" s="52"/>
      <c r="M45" s="18"/>
      <c r="N45" s="23"/>
      <c r="O45" s="23"/>
    </row>
    <row r="46" spans="2:15" x14ac:dyDescent="0.35">
      <c r="B46" s="62" t="s">
        <v>87</v>
      </c>
      <c r="C46" s="63"/>
      <c r="D46" s="64"/>
      <c r="E46" s="53" t="s">
        <v>88</v>
      </c>
      <c r="G46" s="22"/>
      <c r="H46" s="67"/>
      <c r="I46" s="22"/>
      <c r="J46" s="50"/>
      <c r="K46" s="29"/>
      <c r="L46" s="52"/>
      <c r="M46" s="18"/>
      <c r="N46" s="23"/>
      <c r="O46" s="23"/>
    </row>
    <row r="47" spans="2:15" x14ac:dyDescent="0.35">
      <c r="B47" s="61"/>
      <c r="C47" s="25"/>
      <c r="D47" s="24" t="s">
        <v>40</v>
      </c>
      <c r="F47" s="18" t="s">
        <v>89</v>
      </c>
      <c r="G47" s="22"/>
      <c r="H47" s="68">
        <v>2</v>
      </c>
      <c r="I47" s="60" t="s">
        <v>90</v>
      </c>
      <c r="J47" s="50"/>
      <c r="K47" s="29"/>
      <c r="L47" s="52"/>
      <c r="M47" s="18"/>
      <c r="N47" s="23"/>
      <c r="O47" s="23"/>
    </row>
    <row r="48" spans="2:15" x14ac:dyDescent="0.35">
      <c r="B48" s="62" t="s">
        <v>91</v>
      </c>
      <c r="C48" s="63"/>
      <c r="D48" s="64"/>
      <c r="E48" s="53" t="s">
        <v>92</v>
      </c>
      <c r="G48" s="22"/>
      <c r="H48" s="67"/>
      <c r="I48" s="22"/>
      <c r="J48" s="50"/>
      <c r="K48" s="29"/>
      <c r="L48" s="52"/>
      <c r="M48" s="18"/>
      <c r="N48" s="23"/>
      <c r="O48" s="23"/>
    </row>
    <row r="49" spans="2:15" x14ac:dyDescent="0.35">
      <c r="B49" s="61"/>
      <c r="C49" s="25"/>
      <c r="D49" s="24" t="s">
        <v>40</v>
      </c>
      <c r="F49" s="18" t="s">
        <v>93</v>
      </c>
      <c r="G49" s="22"/>
      <c r="H49" s="68">
        <v>4</v>
      </c>
      <c r="I49" s="60" t="s">
        <v>94</v>
      </c>
      <c r="J49" s="50"/>
      <c r="K49" s="29"/>
      <c r="L49" s="52"/>
      <c r="M49" s="18"/>
      <c r="N49" s="23"/>
      <c r="O49" s="23"/>
    </row>
    <row r="50" spans="2:15" x14ac:dyDescent="0.35">
      <c r="B50" s="61"/>
      <c r="C50" s="25"/>
      <c r="D50" s="24" t="s">
        <v>43</v>
      </c>
      <c r="F50" s="18" t="s">
        <v>95</v>
      </c>
      <c r="G50" s="22"/>
      <c r="H50" s="68">
        <v>2</v>
      </c>
      <c r="I50" s="60" t="s">
        <v>90</v>
      </c>
      <c r="J50" s="50"/>
      <c r="K50" s="29"/>
      <c r="L50" s="52"/>
      <c r="M50" s="18"/>
      <c r="N50" s="23"/>
      <c r="O50" s="23"/>
    </row>
    <row r="51" spans="2:15" x14ac:dyDescent="0.35">
      <c r="B51" s="55" t="s">
        <v>96</v>
      </c>
      <c r="C51" s="56"/>
      <c r="D51" s="57"/>
      <c r="E51" s="53" t="s">
        <v>97</v>
      </c>
      <c r="G51" s="22"/>
      <c r="J51" s="50"/>
      <c r="K51" s="29"/>
      <c r="L51" s="52"/>
      <c r="M51" s="18"/>
      <c r="N51" s="23"/>
      <c r="O51" s="23"/>
    </row>
    <row r="52" spans="2:15" x14ac:dyDescent="0.35">
      <c r="B52" s="47"/>
      <c r="C52" s="48"/>
      <c r="D52" s="69" t="s">
        <v>40</v>
      </c>
      <c r="E52" s="25"/>
      <c r="F52" s="18" t="s">
        <v>98</v>
      </c>
      <c r="G52" s="22"/>
      <c r="H52" s="70">
        <v>4</v>
      </c>
      <c r="I52" s="66" t="s">
        <v>94</v>
      </c>
      <c r="J52" s="50"/>
      <c r="K52" s="29"/>
      <c r="L52" s="52"/>
      <c r="M52" s="18"/>
      <c r="N52" s="23"/>
      <c r="O52" s="23"/>
    </row>
    <row r="53" spans="2:15" x14ac:dyDescent="0.35">
      <c r="B53" s="47"/>
      <c r="C53" s="48"/>
      <c r="D53" s="69" t="s">
        <v>43</v>
      </c>
      <c r="E53" s="25"/>
      <c r="F53" s="18" t="s">
        <v>99</v>
      </c>
      <c r="G53" s="22"/>
      <c r="H53" s="71">
        <v>2</v>
      </c>
      <c r="I53" s="66" t="s">
        <v>100</v>
      </c>
      <c r="J53" s="50"/>
      <c r="K53" s="29"/>
      <c r="L53" s="52"/>
      <c r="M53" s="18"/>
      <c r="N53" s="23"/>
      <c r="O53" s="23"/>
    </row>
    <row r="54" spans="2:15" x14ac:dyDescent="0.35">
      <c r="B54" s="72" t="s">
        <v>101</v>
      </c>
      <c r="C54" s="73"/>
      <c r="D54" s="74"/>
      <c r="E54" s="75" t="s">
        <v>102</v>
      </c>
      <c r="F54" s="76"/>
      <c r="G54" s="77"/>
      <c r="H54" s="68"/>
      <c r="I54" s="60"/>
      <c r="J54" s="50"/>
      <c r="K54" s="29"/>
      <c r="L54" s="52"/>
      <c r="M54" s="18"/>
      <c r="N54" s="23"/>
      <c r="O54" s="23"/>
    </row>
    <row r="55" spans="2:15" x14ac:dyDescent="0.35">
      <c r="B55" s="78"/>
      <c r="C55" s="73"/>
      <c r="D55" s="74" t="s">
        <v>40</v>
      </c>
      <c r="E55" s="76"/>
      <c r="F55" s="76" t="s">
        <v>103</v>
      </c>
      <c r="G55" s="77"/>
      <c r="H55" s="71">
        <v>0</v>
      </c>
      <c r="I55" s="77" t="s">
        <v>104</v>
      </c>
      <c r="J55" s="50"/>
      <c r="K55" s="29"/>
      <c r="L55" s="52"/>
      <c r="M55" s="18"/>
      <c r="N55" s="23"/>
      <c r="O55" s="23"/>
    </row>
    <row r="56" spans="2:15" x14ac:dyDescent="0.35">
      <c r="B56" s="78"/>
      <c r="C56" s="73"/>
      <c r="D56" s="74" t="s">
        <v>43</v>
      </c>
      <c r="E56" s="76"/>
      <c r="F56" s="76" t="s">
        <v>105</v>
      </c>
      <c r="G56" s="77"/>
      <c r="H56" s="71">
        <v>0</v>
      </c>
      <c r="I56" s="77" t="s">
        <v>104</v>
      </c>
      <c r="J56" s="50"/>
      <c r="K56" s="29"/>
      <c r="L56" s="52"/>
      <c r="M56" s="18"/>
      <c r="N56" s="23"/>
      <c r="O56" s="23"/>
    </row>
    <row r="57" spans="2:15" x14ac:dyDescent="0.35">
      <c r="B57" s="78"/>
      <c r="C57" s="73"/>
      <c r="D57" s="74" t="s">
        <v>45</v>
      </c>
      <c r="E57" s="76"/>
      <c r="F57" s="76" t="s">
        <v>106</v>
      </c>
      <c r="G57" s="77"/>
      <c r="H57" s="71">
        <v>0</v>
      </c>
      <c r="I57" s="77" t="s">
        <v>104</v>
      </c>
      <c r="J57" s="50"/>
      <c r="K57" s="29"/>
      <c r="L57" s="52"/>
      <c r="M57" s="18"/>
      <c r="N57" s="23"/>
      <c r="O57" s="23"/>
    </row>
    <row r="58" spans="2:15" x14ac:dyDescent="0.35">
      <c r="B58" s="79" t="s">
        <v>107</v>
      </c>
      <c r="C58" s="73"/>
      <c r="D58" s="74"/>
      <c r="E58" s="75" t="s">
        <v>108</v>
      </c>
      <c r="F58" s="76"/>
      <c r="G58" s="77"/>
      <c r="H58" s="71"/>
      <c r="I58" s="77"/>
      <c r="J58" s="50"/>
      <c r="K58" s="29"/>
      <c r="L58" s="52"/>
      <c r="M58" s="18"/>
      <c r="N58" s="23"/>
      <c r="O58" s="23"/>
    </row>
    <row r="59" spans="2:15" x14ac:dyDescent="0.35">
      <c r="B59" s="78"/>
      <c r="C59" s="73"/>
      <c r="D59" s="74" t="s">
        <v>40</v>
      </c>
      <c r="E59" s="76"/>
      <c r="F59" s="76" t="s">
        <v>109</v>
      </c>
      <c r="G59" s="77"/>
      <c r="H59" s="71">
        <v>1</v>
      </c>
      <c r="I59" s="77" t="s">
        <v>42</v>
      </c>
      <c r="J59" s="50"/>
      <c r="K59" s="29"/>
      <c r="L59" s="52"/>
      <c r="M59" s="18"/>
      <c r="N59" s="23"/>
      <c r="O59" s="23"/>
    </row>
    <row r="60" spans="2:15" x14ac:dyDescent="0.35">
      <c r="B60" s="62" t="s">
        <v>110</v>
      </c>
      <c r="C60" s="63"/>
      <c r="D60" s="64"/>
      <c r="E60" s="53" t="s">
        <v>111</v>
      </c>
      <c r="G60" s="22"/>
      <c r="H60" s="67"/>
      <c r="I60" s="22"/>
      <c r="J60" s="50"/>
      <c r="K60" s="29"/>
      <c r="L60" s="52"/>
      <c r="M60" s="18"/>
      <c r="N60" s="23"/>
      <c r="O60" s="23"/>
    </row>
    <row r="61" spans="2:15" x14ac:dyDescent="0.35">
      <c r="B61" s="61"/>
      <c r="C61" s="25"/>
      <c r="D61" s="24" t="s">
        <v>40</v>
      </c>
      <c r="F61" s="18" t="s">
        <v>112</v>
      </c>
      <c r="G61" s="22"/>
      <c r="H61" s="67">
        <v>1</v>
      </c>
      <c r="I61" s="22" t="s">
        <v>42</v>
      </c>
      <c r="J61" s="50"/>
      <c r="K61" s="29"/>
      <c r="L61" s="52"/>
      <c r="M61" s="18"/>
      <c r="N61" s="23"/>
      <c r="O61" s="23"/>
    </row>
    <row r="62" spans="2:15" x14ac:dyDescent="0.35">
      <c r="B62" s="47"/>
      <c r="C62" s="48"/>
      <c r="D62" s="24"/>
      <c r="G62" s="22"/>
      <c r="I62" s="22"/>
      <c r="J62" s="50"/>
      <c r="K62" s="29"/>
      <c r="L62" s="52"/>
      <c r="M62" s="18"/>
      <c r="N62" s="23"/>
      <c r="O62" s="23"/>
    </row>
    <row r="63" spans="2:15" x14ac:dyDescent="0.35">
      <c r="B63" s="80"/>
      <c r="C63" s="81"/>
      <c r="D63" s="82"/>
      <c r="E63" s="83"/>
      <c r="F63" s="84" t="s">
        <v>113</v>
      </c>
      <c r="G63" s="85"/>
      <c r="H63" s="86"/>
      <c r="I63" s="83"/>
      <c r="J63" s="50"/>
      <c r="K63" s="29"/>
      <c r="L63" s="52"/>
      <c r="M63" s="18"/>
      <c r="N63" s="23"/>
      <c r="O63" s="23"/>
    </row>
    <row r="64" spans="2:15" x14ac:dyDescent="0.35">
      <c r="B64" s="87" t="s">
        <v>39</v>
      </c>
      <c r="C64" s="88"/>
      <c r="D64" s="89"/>
      <c r="E64" s="90" t="s">
        <v>16</v>
      </c>
      <c r="F64" s="90"/>
      <c r="G64" s="91"/>
      <c r="H64" s="92"/>
      <c r="I64" s="90"/>
      <c r="J64" s="50"/>
      <c r="K64" s="29"/>
      <c r="L64" s="52"/>
      <c r="M64" s="18"/>
      <c r="N64" s="23"/>
      <c r="O64" s="23"/>
    </row>
    <row r="65" spans="2:23" x14ac:dyDescent="0.35">
      <c r="B65" s="93"/>
      <c r="C65" s="94"/>
      <c r="D65" s="95" t="s">
        <v>40</v>
      </c>
      <c r="E65" s="96"/>
      <c r="F65" s="96" t="s">
        <v>114</v>
      </c>
      <c r="G65" s="97"/>
      <c r="H65" s="98">
        <v>74.760000000000005</v>
      </c>
      <c r="I65" s="96" t="s">
        <v>77</v>
      </c>
      <c r="J65" s="50"/>
      <c r="K65" s="29"/>
      <c r="L65" s="52"/>
      <c r="M65" s="18"/>
      <c r="N65" s="23"/>
      <c r="O65" s="23"/>
    </row>
    <row r="66" spans="2:23" x14ac:dyDescent="0.35">
      <c r="B66" s="93"/>
      <c r="C66" s="94"/>
      <c r="D66" s="95" t="s">
        <v>43</v>
      </c>
      <c r="E66" s="96"/>
      <c r="F66" s="96" t="s">
        <v>115</v>
      </c>
      <c r="G66" s="97"/>
      <c r="H66" s="98">
        <v>68.600999999999999</v>
      </c>
      <c r="I66" s="96" t="s">
        <v>77</v>
      </c>
      <c r="J66" s="50"/>
      <c r="K66" s="29"/>
      <c r="L66" s="52"/>
      <c r="M66" s="18"/>
      <c r="N66" s="23"/>
      <c r="O66" s="23"/>
    </row>
    <row r="67" spans="2:23" x14ac:dyDescent="0.35">
      <c r="B67" s="93"/>
      <c r="C67" s="94"/>
      <c r="D67" s="95" t="s">
        <v>45</v>
      </c>
      <c r="E67" s="96"/>
      <c r="F67" s="96" t="s">
        <v>116</v>
      </c>
      <c r="G67" s="97"/>
      <c r="H67" s="71">
        <v>2</v>
      </c>
      <c r="I67" s="77" t="s">
        <v>100</v>
      </c>
      <c r="J67" s="50"/>
      <c r="K67" s="29"/>
      <c r="L67" s="52"/>
      <c r="M67" s="18"/>
      <c r="N67" s="23"/>
      <c r="O67" s="23"/>
    </row>
    <row r="68" spans="2:23" x14ac:dyDescent="0.35">
      <c r="B68" s="93"/>
      <c r="C68" s="94"/>
      <c r="D68" s="95" t="s">
        <v>80</v>
      </c>
      <c r="E68" s="96"/>
      <c r="F68" s="96" t="s">
        <v>117</v>
      </c>
      <c r="G68" s="97"/>
      <c r="H68" s="99">
        <v>9</v>
      </c>
      <c r="I68" s="96" t="s">
        <v>118</v>
      </c>
      <c r="J68" s="50"/>
      <c r="K68" s="29"/>
      <c r="L68" s="52"/>
      <c r="M68" s="18"/>
      <c r="N68" s="23"/>
      <c r="O68" s="23"/>
    </row>
    <row r="69" spans="2:23" x14ac:dyDescent="0.35">
      <c r="B69" s="93"/>
      <c r="C69" s="94"/>
      <c r="D69" s="95" t="s">
        <v>47</v>
      </c>
      <c r="E69" s="96"/>
      <c r="F69" s="96" t="s">
        <v>119</v>
      </c>
      <c r="G69" s="97"/>
      <c r="H69" s="98">
        <v>74.760000000000005</v>
      </c>
      <c r="I69" s="96" t="s">
        <v>77</v>
      </c>
      <c r="J69" s="50"/>
      <c r="K69" s="29"/>
      <c r="L69" s="52"/>
      <c r="M69" s="18"/>
      <c r="N69" s="23"/>
      <c r="O69" s="23"/>
    </row>
    <row r="70" spans="2:23" x14ac:dyDescent="0.35">
      <c r="B70" s="93"/>
      <c r="C70" s="94"/>
      <c r="D70" s="95" t="s">
        <v>50</v>
      </c>
      <c r="E70" s="96"/>
      <c r="F70" s="96" t="s">
        <v>120</v>
      </c>
      <c r="G70" s="97"/>
      <c r="H70" s="98">
        <v>68.600999999999999</v>
      </c>
      <c r="I70" s="96" t="s">
        <v>77</v>
      </c>
      <c r="J70" s="50"/>
      <c r="K70" s="29"/>
      <c r="L70" s="52"/>
      <c r="M70" s="18"/>
      <c r="N70" s="23"/>
      <c r="O70" s="23"/>
    </row>
    <row r="71" spans="2:23" x14ac:dyDescent="0.35">
      <c r="B71" s="47"/>
      <c r="C71" s="48"/>
      <c r="D71" s="24"/>
      <c r="G71" s="22"/>
      <c r="I71" s="22"/>
      <c r="J71" s="50"/>
      <c r="K71" s="29"/>
      <c r="L71" s="52"/>
      <c r="M71" s="18"/>
      <c r="N71" s="23"/>
      <c r="O71" s="23"/>
    </row>
    <row r="72" spans="2:23" x14ac:dyDescent="0.35">
      <c r="B72" s="47"/>
      <c r="C72" s="48"/>
      <c r="D72" s="24"/>
      <c r="G72" s="22"/>
      <c r="I72" s="22"/>
      <c r="J72" s="50"/>
      <c r="K72" s="29"/>
      <c r="L72" s="52"/>
      <c r="M72" s="18"/>
      <c r="N72" s="23"/>
      <c r="O72" s="23"/>
    </row>
    <row r="73" spans="2:23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0</v>
      </c>
      <c r="L73" s="7">
        <f>SUM(L20:L72)</f>
        <v>0</v>
      </c>
      <c r="M73" s="14">
        <f>K73+L73</f>
        <v>0</v>
      </c>
      <c r="N73" s="15"/>
      <c r="O73" s="34"/>
      <c r="P73" s="34"/>
      <c r="Q73" s="34"/>
      <c r="R73" s="34"/>
      <c r="S73">
        <v>102.15</v>
      </c>
      <c r="T73" s="34" t="s">
        <v>19</v>
      </c>
      <c r="U73" s="34"/>
      <c r="V73" s="34"/>
      <c r="W73" s="16"/>
    </row>
    <row r="74" spans="2:23" x14ac:dyDescent="0.35">
      <c r="B74" s="8"/>
      <c r="C74" s="9"/>
      <c r="D74" s="9"/>
      <c r="E74" s="4"/>
      <c r="F74" s="4"/>
      <c r="G74" s="4"/>
      <c r="H74" s="1"/>
      <c r="I74" s="1"/>
      <c r="J74" s="11"/>
      <c r="K74" s="35" t="s">
        <v>22</v>
      </c>
      <c r="L74" s="36" t="s">
        <v>23</v>
      </c>
      <c r="M74" s="14"/>
      <c r="N74" s="15"/>
      <c r="O74" s="34"/>
      <c r="P74" s="34"/>
      <c r="Q74" s="34"/>
      <c r="R74" s="34"/>
      <c r="T74" s="34"/>
      <c r="U74" s="34"/>
      <c r="V74" s="34"/>
      <c r="W74" s="16"/>
    </row>
    <row r="75" spans="2:23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  <c r="N75" s="15"/>
      <c r="O75" s="34"/>
      <c r="P75" s="34"/>
      <c r="Q75" s="34"/>
      <c r="R75" s="34"/>
      <c r="S75">
        <v>26.04</v>
      </c>
      <c r="T75" s="34" t="s">
        <v>20</v>
      </c>
      <c r="U75" s="34"/>
      <c r="V75" s="34"/>
      <c r="W75" s="16"/>
    </row>
    <row r="76" spans="2:23" x14ac:dyDescent="0.35">
      <c r="B76" s="37"/>
      <c r="C76" s="1"/>
      <c r="D76" s="1"/>
      <c r="E76" s="38"/>
      <c r="F76" s="38"/>
      <c r="G76" s="38"/>
      <c r="H76" s="1"/>
      <c r="I76" s="1"/>
      <c r="J76" s="1"/>
      <c r="K76" s="1"/>
      <c r="L76" s="19"/>
    </row>
    <row r="77" spans="2:23" x14ac:dyDescent="0.35">
      <c r="B77" s="28" t="s">
        <v>6</v>
      </c>
      <c r="C77" s="27"/>
      <c r="D77" s="27"/>
      <c r="E77" s="26"/>
      <c r="F77" s="26"/>
      <c r="G77" s="5"/>
      <c r="K77" s="125" t="s">
        <v>36</v>
      </c>
      <c r="L77" s="126"/>
    </row>
    <row r="78" spans="2:23" x14ac:dyDescent="0.35">
      <c r="B78" s="28">
        <v>1</v>
      </c>
      <c r="C78" s="27"/>
      <c r="D78" s="27"/>
      <c r="E78" s="26" t="s">
        <v>7</v>
      </c>
      <c r="F78" s="26"/>
      <c r="G78" s="5"/>
      <c r="K78" s="125" t="s">
        <v>28</v>
      </c>
      <c r="L78" s="126"/>
    </row>
    <row r="79" spans="2:23" x14ac:dyDescent="0.35">
      <c r="B79" s="39"/>
      <c r="C79" s="27"/>
      <c r="D79" s="27"/>
      <c r="E79" s="26"/>
      <c r="F79" s="26"/>
      <c r="G79" s="5"/>
      <c r="J79" s="25"/>
      <c r="K79" s="25"/>
      <c r="L79" s="24"/>
    </row>
    <row r="80" spans="2:23" x14ac:dyDescent="0.35">
      <c r="B80" s="28"/>
      <c r="C80" s="27"/>
      <c r="D80" s="27"/>
      <c r="E80" s="26"/>
      <c r="F80" s="26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L83" s="22"/>
    </row>
    <row r="84" spans="2:13" x14ac:dyDescent="0.35">
      <c r="B84" s="45"/>
      <c r="E84" s="5"/>
      <c r="F84" s="5"/>
      <c r="G84" s="5"/>
      <c r="J84" s="40"/>
      <c r="K84" s="127" t="s">
        <v>37</v>
      </c>
      <c r="L84" s="128"/>
      <c r="M84" s="40"/>
    </row>
    <row r="85" spans="2:13" x14ac:dyDescent="0.35">
      <c r="B85" s="45"/>
      <c r="K85" s="129" t="s">
        <v>38</v>
      </c>
      <c r="L85" s="130"/>
      <c r="M85" s="42"/>
    </row>
    <row r="86" spans="2:13" x14ac:dyDescent="0.35">
      <c r="B86" s="131"/>
      <c r="C86" s="132"/>
      <c r="D86" s="132"/>
      <c r="E86" s="41"/>
      <c r="F86" s="41"/>
      <c r="G86" s="41"/>
      <c r="H86" s="2"/>
      <c r="I86" s="2"/>
      <c r="J86" s="2"/>
      <c r="K86" s="2"/>
      <c r="L86" s="21"/>
    </row>
    <row r="87" spans="2:13" x14ac:dyDescent="0.35">
      <c r="B87" s="47"/>
      <c r="C87" s="48"/>
      <c r="D87" s="49"/>
      <c r="G87" s="22"/>
      <c r="H87" s="1"/>
      <c r="I87" s="1"/>
      <c r="J87" s="43"/>
      <c r="K87" s="30"/>
      <c r="L87" s="44"/>
    </row>
    <row r="88" spans="2:13" x14ac:dyDescent="0.35">
      <c r="B88" s="93"/>
      <c r="C88" s="94"/>
      <c r="D88" s="95" t="s">
        <v>52</v>
      </c>
      <c r="E88" s="96"/>
      <c r="F88" s="96" t="s">
        <v>121</v>
      </c>
      <c r="G88" s="97"/>
      <c r="H88" s="71">
        <v>2</v>
      </c>
      <c r="I88" s="77" t="s">
        <v>100</v>
      </c>
      <c r="J88" s="29"/>
      <c r="K88" s="51"/>
      <c r="L88" s="46"/>
    </row>
    <row r="89" spans="2:13" x14ac:dyDescent="0.35">
      <c r="B89" s="93"/>
      <c r="C89" s="94"/>
      <c r="D89" s="95" t="s">
        <v>54</v>
      </c>
      <c r="E89" s="96"/>
      <c r="F89" s="96" t="s">
        <v>122</v>
      </c>
      <c r="G89" s="97"/>
      <c r="H89" s="99">
        <v>9</v>
      </c>
      <c r="I89" s="96" t="s">
        <v>118</v>
      </c>
      <c r="J89" s="50"/>
      <c r="K89" s="51"/>
      <c r="L89" s="46"/>
    </row>
    <row r="90" spans="2:13" x14ac:dyDescent="0.35">
      <c r="B90" s="87" t="s">
        <v>74</v>
      </c>
      <c r="C90" s="88"/>
      <c r="D90" s="89"/>
      <c r="E90" s="90" t="s">
        <v>88</v>
      </c>
      <c r="F90" s="90"/>
      <c r="G90" s="91"/>
      <c r="H90" s="92"/>
      <c r="I90" s="90"/>
      <c r="J90" s="50"/>
      <c r="K90" s="51"/>
      <c r="L90" s="46"/>
    </row>
    <row r="91" spans="2:13" x14ac:dyDescent="0.35">
      <c r="B91" s="93"/>
      <c r="C91" s="94"/>
      <c r="D91" s="95" t="s">
        <v>40</v>
      </c>
      <c r="E91" s="96"/>
      <c r="F91" s="96" t="s">
        <v>123</v>
      </c>
      <c r="G91" s="97"/>
      <c r="H91" s="99">
        <v>1</v>
      </c>
      <c r="I91" s="96" t="s">
        <v>124</v>
      </c>
      <c r="J91" s="50"/>
      <c r="K91" s="29"/>
      <c r="L91" s="52"/>
    </row>
    <row r="92" spans="2:13" x14ac:dyDescent="0.35">
      <c r="B92" s="93"/>
      <c r="C92" s="94"/>
      <c r="D92" s="95"/>
      <c r="E92" s="96"/>
      <c r="F92" s="96" t="s">
        <v>125</v>
      </c>
      <c r="G92" s="97" t="s">
        <v>126</v>
      </c>
      <c r="H92" s="99"/>
      <c r="I92" s="96"/>
      <c r="J92" s="50"/>
      <c r="K92" s="29"/>
      <c r="L92" s="52"/>
    </row>
    <row r="93" spans="2:13" x14ac:dyDescent="0.35">
      <c r="B93" s="93"/>
      <c r="C93" s="94"/>
      <c r="D93" s="95"/>
      <c r="E93" s="96"/>
      <c r="F93" s="96" t="s">
        <v>125</v>
      </c>
      <c r="G93" s="97" t="s">
        <v>127</v>
      </c>
      <c r="H93" s="99"/>
      <c r="I93" s="96"/>
      <c r="J93" s="50"/>
      <c r="K93" s="29"/>
      <c r="L93" s="52"/>
    </row>
    <row r="94" spans="2:13" x14ac:dyDescent="0.35">
      <c r="B94" s="93"/>
      <c r="C94" s="94"/>
      <c r="D94" s="95"/>
      <c r="E94" s="96"/>
      <c r="F94" s="96" t="s">
        <v>125</v>
      </c>
      <c r="G94" s="97" t="s">
        <v>128</v>
      </c>
      <c r="H94" s="99"/>
      <c r="I94" s="96"/>
      <c r="J94" s="50"/>
      <c r="K94" s="29"/>
      <c r="L94" s="52"/>
    </row>
    <row r="95" spans="2:13" x14ac:dyDescent="0.35">
      <c r="B95" s="93"/>
      <c r="C95" s="94"/>
      <c r="D95" s="95"/>
      <c r="E95" s="96"/>
      <c r="F95" s="96" t="s">
        <v>125</v>
      </c>
      <c r="G95" s="97" t="s">
        <v>129</v>
      </c>
      <c r="H95" s="99"/>
      <c r="I95" s="96"/>
      <c r="J95" s="50"/>
      <c r="K95" s="29"/>
      <c r="L95" s="52"/>
    </row>
    <row r="96" spans="2:13" x14ac:dyDescent="0.35">
      <c r="B96" s="93"/>
      <c r="C96" s="94"/>
      <c r="D96" s="95"/>
      <c r="E96" s="96"/>
      <c r="F96" s="96" t="s">
        <v>125</v>
      </c>
      <c r="G96" s="97" t="s">
        <v>130</v>
      </c>
      <c r="H96" s="99"/>
      <c r="I96" s="96"/>
      <c r="J96" s="50"/>
      <c r="K96" s="29"/>
      <c r="L96" s="52"/>
    </row>
    <row r="97" spans="2:12" x14ac:dyDescent="0.35">
      <c r="B97" s="80" t="s">
        <v>87</v>
      </c>
      <c r="C97" s="81"/>
      <c r="D97" s="82"/>
      <c r="E97" s="83" t="s">
        <v>97</v>
      </c>
      <c r="F97" s="83"/>
      <c r="G97" s="100"/>
      <c r="H97" s="86"/>
      <c r="I97" s="83"/>
      <c r="J97" s="50"/>
      <c r="K97" s="29"/>
      <c r="L97" s="52"/>
    </row>
    <row r="98" spans="2:12" x14ac:dyDescent="0.35">
      <c r="B98" s="101"/>
      <c r="C98" s="102"/>
      <c r="D98" s="103" t="s">
        <v>40</v>
      </c>
      <c r="E98" s="104"/>
      <c r="F98" s="104" t="s">
        <v>131</v>
      </c>
      <c r="G98" s="105"/>
      <c r="H98" s="106">
        <v>2</v>
      </c>
      <c r="I98" s="104" t="s">
        <v>124</v>
      </c>
      <c r="J98" s="50"/>
      <c r="K98" s="29"/>
      <c r="L98" s="52"/>
    </row>
    <row r="99" spans="2:12" x14ac:dyDescent="0.35">
      <c r="B99" s="101"/>
      <c r="C99" s="102"/>
      <c r="D99" s="103" t="s">
        <v>43</v>
      </c>
      <c r="E99" s="104"/>
      <c r="F99" s="104" t="s">
        <v>132</v>
      </c>
      <c r="G99" s="105"/>
      <c r="H99" s="106">
        <v>2</v>
      </c>
      <c r="I99" s="104" t="s">
        <v>124</v>
      </c>
      <c r="J99" s="50"/>
      <c r="K99" s="29"/>
      <c r="L99" s="52"/>
    </row>
    <row r="100" spans="2:12" x14ac:dyDescent="0.35">
      <c r="B100" s="101"/>
      <c r="C100" s="102"/>
      <c r="D100" s="103" t="s">
        <v>45</v>
      </c>
      <c r="E100" s="104"/>
      <c r="F100" s="104" t="s">
        <v>133</v>
      </c>
      <c r="G100" s="105"/>
      <c r="H100" s="106">
        <v>2</v>
      </c>
      <c r="I100" s="104" t="s">
        <v>124</v>
      </c>
      <c r="J100" s="50"/>
      <c r="K100" s="29"/>
      <c r="L100" s="52"/>
    </row>
    <row r="101" spans="2:12" x14ac:dyDescent="0.35">
      <c r="B101" s="87" t="s">
        <v>91</v>
      </c>
      <c r="C101" s="88"/>
      <c r="D101" s="89"/>
      <c r="E101" s="90" t="s">
        <v>134</v>
      </c>
      <c r="F101" s="90"/>
      <c r="G101" s="91"/>
      <c r="H101" s="92"/>
      <c r="I101" s="90"/>
      <c r="J101" s="50"/>
      <c r="K101" s="29"/>
      <c r="L101" s="52"/>
    </row>
    <row r="102" spans="2:12" x14ac:dyDescent="0.35">
      <c r="B102" s="93"/>
      <c r="C102" s="94" t="s">
        <v>135</v>
      </c>
      <c r="D102" s="95"/>
      <c r="E102" s="96"/>
      <c r="F102" s="96" t="s">
        <v>136</v>
      </c>
      <c r="G102" s="97"/>
      <c r="H102" s="98"/>
      <c r="I102" s="96"/>
      <c r="J102" s="50"/>
      <c r="K102" s="29"/>
      <c r="L102" s="52"/>
    </row>
    <row r="103" spans="2:12" x14ac:dyDescent="0.35">
      <c r="B103" s="93"/>
      <c r="C103" s="94"/>
      <c r="D103" s="95" t="s">
        <v>40</v>
      </c>
      <c r="E103" s="96"/>
      <c r="F103" s="96" t="s">
        <v>137</v>
      </c>
      <c r="G103" s="97"/>
      <c r="H103" s="99">
        <v>1</v>
      </c>
      <c r="I103" s="96" t="s">
        <v>42</v>
      </c>
      <c r="J103" s="50"/>
      <c r="K103" s="29"/>
      <c r="L103" s="52"/>
    </row>
    <row r="104" spans="2:12" x14ac:dyDescent="0.35">
      <c r="B104" s="93"/>
      <c r="C104" s="94"/>
      <c r="D104" s="95"/>
      <c r="E104" s="96"/>
      <c r="F104" s="96" t="s">
        <v>125</v>
      </c>
      <c r="G104" s="97" t="s">
        <v>138</v>
      </c>
      <c r="H104" s="99">
        <v>3500</v>
      </c>
      <c r="I104" s="96" t="s">
        <v>139</v>
      </c>
      <c r="J104" s="50"/>
      <c r="K104" s="29"/>
      <c r="L104" s="52"/>
    </row>
    <row r="105" spans="2:12" x14ac:dyDescent="0.35">
      <c r="B105" s="93"/>
      <c r="C105" s="94"/>
      <c r="D105" s="95"/>
      <c r="E105" s="96"/>
      <c r="F105" s="96" t="s">
        <v>125</v>
      </c>
      <c r="G105" s="97" t="s">
        <v>140</v>
      </c>
      <c r="H105" s="99">
        <v>4</v>
      </c>
      <c r="I105" s="96" t="s">
        <v>86</v>
      </c>
      <c r="J105" s="50"/>
      <c r="K105" s="29"/>
      <c r="L105" s="52"/>
    </row>
    <row r="106" spans="2:12" x14ac:dyDescent="0.35">
      <c r="B106" s="93"/>
      <c r="C106" s="94"/>
      <c r="D106" s="95"/>
      <c r="E106" s="96"/>
      <c r="F106" s="96" t="s">
        <v>125</v>
      </c>
      <c r="G106" s="97" t="s">
        <v>141</v>
      </c>
      <c r="H106" s="99">
        <v>1</v>
      </c>
      <c r="I106" s="96" t="s">
        <v>86</v>
      </c>
      <c r="J106" s="50"/>
      <c r="K106" s="29"/>
      <c r="L106" s="52"/>
    </row>
    <row r="107" spans="2:12" x14ac:dyDescent="0.35">
      <c r="B107" s="101"/>
      <c r="C107" s="102"/>
      <c r="D107" s="103"/>
      <c r="E107" s="104"/>
      <c r="F107" s="104" t="s">
        <v>125</v>
      </c>
      <c r="G107" s="105" t="s">
        <v>142</v>
      </c>
      <c r="H107" s="106">
        <v>2</v>
      </c>
      <c r="I107" s="104" t="s">
        <v>86</v>
      </c>
      <c r="J107" s="50"/>
      <c r="K107" s="29"/>
      <c r="L107" s="52"/>
    </row>
    <row r="108" spans="2:12" x14ac:dyDescent="0.35">
      <c r="B108" s="101"/>
      <c r="C108" s="102"/>
      <c r="D108" s="103"/>
      <c r="E108" s="104"/>
      <c r="F108" s="104" t="s">
        <v>125</v>
      </c>
      <c r="G108" s="105" t="s">
        <v>143</v>
      </c>
      <c r="H108" s="106">
        <v>4</v>
      </c>
      <c r="I108" s="104" t="s">
        <v>86</v>
      </c>
      <c r="J108" s="50"/>
      <c r="K108" s="29"/>
      <c r="L108" s="52"/>
    </row>
    <row r="109" spans="2:12" x14ac:dyDescent="0.35">
      <c r="B109" s="101"/>
      <c r="C109" s="102"/>
      <c r="D109" s="103"/>
      <c r="E109" s="104"/>
      <c r="F109" s="104" t="s">
        <v>125</v>
      </c>
      <c r="G109" s="105" t="s">
        <v>144</v>
      </c>
      <c r="H109" s="106">
        <v>2</v>
      </c>
      <c r="I109" s="104" t="s">
        <v>86</v>
      </c>
      <c r="J109" s="50"/>
      <c r="K109" s="29"/>
      <c r="L109" s="52"/>
    </row>
    <row r="110" spans="2:12" x14ac:dyDescent="0.35">
      <c r="B110" s="101"/>
      <c r="C110" s="102"/>
      <c r="D110" s="103"/>
      <c r="E110" s="104"/>
      <c r="F110" s="104" t="s">
        <v>125</v>
      </c>
      <c r="G110" s="105" t="s">
        <v>145</v>
      </c>
      <c r="H110" s="106">
        <v>2</v>
      </c>
      <c r="I110" s="104" t="s">
        <v>86</v>
      </c>
      <c r="J110" s="50"/>
      <c r="K110" s="29"/>
      <c r="L110" s="52"/>
    </row>
    <row r="111" spans="2:12" x14ac:dyDescent="0.35">
      <c r="B111" s="101"/>
      <c r="C111" s="102"/>
      <c r="D111" s="103"/>
      <c r="E111" s="104"/>
      <c r="F111" s="104" t="s">
        <v>125</v>
      </c>
      <c r="G111" s="105" t="s">
        <v>146</v>
      </c>
      <c r="H111" s="106">
        <v>2</v>
      </c>
      <c r="I111" s="104" t="s">
        <v>86</v>
      </c>
      <c r="J111" s="50"/>
      <c r="K111" s="29"/>
      <c r="L111" s="52"/>
    </row>
    <row r="112" spans="2:12" x14ac:dyDescent="0.35">
      <c r="B112" s="101"/>
      <c r="C112" s="102"/>
      <c r="D112" s="103"/>
      <c r="E112" s="104"/>
      <c r="F112" s="104" t="s">
        <v>125</v>
      </c>
      <c r="G112" s="105" t="s">
        <v>147</v>
      </c>
      <c r="H112" s="106">
        <v>250</v>
      </c>
      <c r="I112" s="104" t="s">
        <v>139</v>
      </c>
      <c r="J112" s="50"/>
      <c r="K112" s="29"/>
      <c r="L112" s="52"/>
    </row>
    <row r="113" spans="2:12" x14ac:dyDescent="0.35">
      <c r="B113" s="101"/>
      <c r="C113" s="102"/>
      <c r="D113" s="103"/>
      <c r="E113" s="104"/>
      <c r="F113" s="104" t="s">
        <v>125</v>
      </c>
      <c r="G113" s="105" t="s">
        <v>148</v>
      </c>
      <c r="H113" s="106">
        <v>2</v>
      </c>
      <c r="I113" s="104" t="s">
        <v>86</v>
      </c>
      <c r="J113" s="50"/>
      <c r="K113" s="29"/>
      <c r="L113" s="52"/>
    </row>
    <row r="114" spans="2:12" x14ac:dyDescent="0.35">
      <c r="B114" s="101"/>
      <c r="C114" s="102"/>
      <c r="D114" s="103"/>
      <c r="E114" s="104"/>
      <c r="F114" s="104" t="s">
        <v>125</v>
      </c>
      <c r="G114" s="105" t="s">
        <v>149</v>
      </c>
      <c r="H114" s="106">
        <v>16</v>
      </c>
      <c r="I114" s="104" t="s">
        <v>86</v>
      </c>
      <c r="J114" s="50"/>
      <c r="K114" s="29"/>
      <c r="L114" s="52"/>
    </row>
    <row r="115" spans="2:12" x14ac:dyDescent="0.35">
      <c r="B115" s="101"/>
      <c r="C115" s="102"/>
      <c r="D115" s="103"/>
      <c r="E115" s="104"/>
      <c r="F115" s="104" t="s">
        <v>125</v>
      </c>
      <c r="G115" s="105" t="s">
        <v>150</v>
      </c>
      <c r="H115" s="106">
        <v>1</v>
      </c>
      <c r="I115" s="104" t="s">
        <v>86</v>
      </c>
      <c r="J115" s="50"/>
      <c r="K115" s="29"/>
      <c r="L115" s="52"/>
    </row>
    <row r="116" spans="2:12" x14ac:dyDescent="0.35">
      <c r="B116" s="93"/>
      <c r="C116" s="94"/>
      <c r="D116" s="95" t="s">
        <v>43</v>
      </c>
      <c r="E116" s="96"/>
      <c r="F116" s="96" t="s">
        <v>151</v>
      </c>
      <c r="G116" s="97"/>
      <c r="H116" s="99">
        <v>1</v>
      </c>
      <c r="I116" s="96" t="s">
        <v>42</v>
      </c>
      <c r="J116" s="50"/>
      <c r="K116" s="29"/>
      <c r="L116" s="52"/>
    </row>
    <row r="117" spans="2:12" x14ac:dyDescent="0.35">
      <c r="B117" s="93"/>
      <c r="C117" s="94"/>
      <c r="D117" s="95"/>
      <c r="E117" s="96"/>
      <c r="F117" s="96" t="s">
        <v>125</v>
      </c>
      <c r="G117" s="97" t="s">
        <v>152</v>
      </c>
      <c r="H117" s="99">
        <v>2000</v>
      </c>
      <c r="I117" s="96" t="s">
        <v>139</v>
      </c>
      <c r="J117" s="50"/>
      <c r="K117" s="29"/>
      <c r="L117" s="52"/>
    </row>
    <row r="118" spans="2:12" x14ac:dyDescent="0.35">
      <c r="B118" s="93"/>
      <c r="C118" s="94"/>
      <c r="D118" s="95"/>
      <c r="E118" s="96"/>
      <c r="F118" s="96" t="s">
        <v>125</v>
      </c>
      <c r="G118" s="97" t="s">
        <v>153</v>
      </c>
      <c r="H118" s="99">
        <v>2</v>
      </c>
      <c r="I118" s="96" t="s">
        <v>86</v>
      </c>
      <c r="J118" s="50"/>
      <c r="K118" s="29"/>
      <c r="L118" s="52"/>
    </row>
    <row r="119" spans="2:12" x14ac:dyDescent="0.35">
      <c r="B119" s="93"/>
      <c r="C119" s="94"/>
      <c r="D119" s="95"/>
      <c r="E119" s="96"/>
      <c r="F119" s="96" t="s">
        <v>125</v>
      </c>
      <c r="G119" s="97" t="s">
        <v>147</v>
      </c>
      <c r="H119" s="99">
        <v>500</v>
      </c>
      <c r="I119" s="96" t="s">
        <v>139</v>
      </c>
      <c r="J119" s="50"/>
      <c r="K119" s="29"/>
      <c r="L119" s="52"/>
    </row>
    <row r="120" spans="2:12" x14ac:dyDescent="0.35">
      <c r="B120" s="93"/>
      <c r="C120" s="94"/>
      <c r="D120" s="95"/>
      <c r="E120" s="96"/>
      <c r="F120" s="96" t="s">
        <v>125</v>
      </c>
      <c r="G120" s="97" t="s">
        <v>148</v>
      </c>
      <c r="H120" s="99">
        <v>4</v>
      </c>
      <c r="I120" s="96" t="s">
        <v>86</v>
      </c>
      <c r="J120" s="50"/>
      <c r="K120" s="29"/>
      <c r="L120" s="52"/>
    </row>
    <row r="121" spans="2:12" x14ac:dyDescent="0.35">
      <c r="B121" s="93"/>
      <c r="C121" s="94"/>
      <c r="D121" s="95" t="s">
        <v>45</v>
      </c>
      <c r="E121" s="96"/>
      <c r="F121" s="96" t="s">
        <v>154</v>
      </c>
      <c r="G121" s="97"/>
      <c r="H121" s="99">
        <v>1</v>
      </c>
      <c r="I121" s="96" t="s">
        <v>42</v>
      </c>
      <c r="J121" s="50"/>
      <c r="K121" s="29"/>
      <c r="L121" s="52"/>
    </row>
    <row r="122" spans="2:12" x14ac:dyDescent="0.35">
      <c r="B122" s="93"/>
      <c r="C122" s="94"/>
      <c r="D122" s="95"/>
      <c r="E122" s="96"/>
      <c r="F122" s="96" t="s">
        <v>125</v>
      </c>
      <c r="G122" s="97" t="s">
        <v>152</v>
      </c>
      <c r="H122" s="99">
        <v>2000</v>
      </c>
      <c r="I122" s="96" t="s">
        <v>139</v>
      </c>
      <c r="J122" s="50"/>
      <c r="K122" s="29"/>
      <c r="L122" s="52"/>
    </row>
    <row r="123" spans="2:12" x14ac:dyDescent="0.35">
      <c r="B123" s="93"/>
      <c r="C123" s="94"/>
      <c r="D123" s="95"/>
      <c r="E123" s="96"/>
      <c r="F123" s="96" t="s">
        <v>125</v>
      </c>
      <c r="G123" s="97" t="s">
        <v>153</v>
      </c>
      <c r="H123" s="99">
        <v>3</v>
      </c>
      <c r="I123" s="96" t="s">
        <v>86</v>
      </c>
      <c r="J123" s="50"/>
      <c r="K123" s="29"/>
      <c r="L123" s="52"/>
    </row>
    <row r="124" spans="2:12" x14ac:dyDescent="0.35">
      <c r="B124" s="93"/>
      <c r="C124" s="94"/>
      <c r="D124" s="95"/>
      <c r="E124" s="96"/>
      <c r="F124" s="96" t="s">
        <v>125</v>
      </c>
      <c r="G124" s="97" t="s">
        <v>155</v>
      </c>
      <c r="H124" s="99">
        <v>2</v>
      </c>
      <c r="I124" s="96" t="s">
        <v>86</v>
      </c>
      <c r="J124" s="50"/>
      <c r="K124" s="29"/>
      <c r="L124" s="52"/>
    </row>
    <row r="125" spans="2:12" x14ac:dyDescent="0.35">
      <c r="B125" s="93"/>
      <c r="C125" s="94"/>
      <c r="D125" s="95"/>
      <c r="E125" s="96"/>
      <c r="F125" s="96" t="s">
        <v>125</v>
      </c>
      <c r="G125" s="97" t="s">
        <v>156</v>
      </c>
      <c r="H125" s="99">
        <v>4</v>
      </c>
      <c r="I125" s="96" t="s">
        <v>86</v>
      </c>
      <c r="J125" s="50"/>
      <c r="K125" s="29"/>
      <c r="L125" s="52"/>
    </row>
    <row r="126" spans="2:12" x14ac:dyDescent="0.35">
      <c r="B126" s="93"/>
      <c r="C126" s="94"/>
      <c r="D126" s="95"/>
      <c r="E126" s="96"/>
      <c r="F126" s="96" t="s">
        <v>125</v>
      </c>
      <c r="G126" s="97" t="s">
        <v>147</v>
      </c>
      <c r="H126" s="99">
        <v>250</v>
      </c>
      <c r="I126" s="96" t="s">
        <v>139</v>
      </c>
      <c r="J126" s="50"/>
      <c r="K126" s="29"/>
      <c r="L126" s="52"/>
    </row>
    <row r="127" spans="2:12" x14ac:dyDescent="0.35">
      <c r="B127" s="93"/>
      <c r="C127" s="94"/>
      <c r="D127" s="95"/>
      <c r="E127" s="96"/>
      <c r="F127" s="96" t="s">
        <v>125</v>
      </c>
      <c r="G127" s="97" t="s">
        <v>148</v>
      </c>
      <c r="H127" s="99">
        <v>2</v>
      </c>
      <c r="I127" s="96" t="s">
        <v>86</v>
      </c>
      <c r="J127" s="50"/>
      <c r="K127" s="29"/>
      <c r="L127" s="52"/>
    </row>
    <row r="128" spans="2:12" x14ac:dyDescent="0.35">
      <c r="B128" s="93"/>
      <c r="C128" s="94"/>
      <c r="D128" s="95"/>
      <c r="E128" s="96"/>
      <c r="F128" s="96" t="s">
        <v>125</v>
      </c>
      <c r="G128" s="97" t="s">
        <v>149</v>
      </c>
      <c r="H128" s="99">
        <v>8</v>
      </c>
      <c r="I128" s="96" t="s">
        <v>86</v>
      </c>
      <c r="J128" s="50"/>
      <c r="K128" s="29"/>
      <c r="L128" s="52"/>
    </row>
    <row r="129" spans="2:12" x14ac:dyDescent="0.35">
      <c r="B129" s="93"/>
      <c r="C129" s="94" t="s">
        <v>157</v>
      </c>
      <c r="D129" s="95"/>
      <c r="E129" s="96"/>
      <c r="F129" s="96" t="s">
        <v>158</v>
      </c>
      <c r="G129" s="97"/>
      <c r="H129" s="107"/>
      <c r="I129" s="96"/>
      <c r="J129" s="50"/>
      <c r="K129" s="29"/>
      <c r="L129" s="52"/>
    </row>
    <row r="130" spans="2:12" x14ac:dyDescent="0.35">
      <c r="B130" s="93"/>
      <c r="C130" s="94"/>
      <c r="D130" s="95" t="s">
        <v>40</v>
      </c>
      <c r="E130" s="96"/>
      <c r="F130" s="96" t="s">
        <v>137</v>
      </c>
      <c r="G130" s="97"/>
      <c r="H130" s="99">
        <v>1</v>
      </c>
      <c r="I130" s="96" t="s">
        <v>42</v>
      </c>
      <c r="J130" s="50"/>
      <c r="K130" s="29"/>
      <c r="L130" s="52"/>
    </row>
    <row r="131" spans="2:12" x14ac:dyDescent="0.35">
      <c r="B131" s="93"/>
      <c r="C131" s="94"/>
      <c r="D131" s="95"/>
      <c r="E131" s="96"/>
      <c r="F131" s="96" t="s">
        <v>125</v>
      </c>
      <c r="G131" s="97" t="s">
        <v>138</v>
      </c>
      <c r="H131" s="99">
        <v>3500</v>
      </c>
      <c r="I131" s="96" t="s">
        <v>139</v>
      </c>
      <c r="J131" s="50"/>
      <c r="K131" s="29"/>
      <c r="L131" s="52"/>
    </row>
    <row r="132" spans="2:12" x14ac:dyDescent="0.35">
      <c r="B132" s="93"/>
      <c r="C132" s="94"/>
      <c r="D132" s="95"/>
      <c r="E132" s="96"/>
      <c r="F132" s="96" t="s">
        <v>125</v>
      </c>
      <c r="G132" s="97" t="s">
        <v>140</v>
      </c>
      <c r="H132" s="99">
        <v>4</v>
      </c>
      <c r="I132" s="96" t="s">
        <v>86</v>
      </c>
      <c r="J132" s="50"/>
      <c r="K132" s="29"/>
      <c r="L132" s="52"/>
    </row>
    <row r="133" spans="2:12" x14ac:dyDescent="0.35">
      <c r="B133" s="93"/>
      <c r="C133" s="94"/>
      <c r="D133" s="95"/>
      <c r="E133" s="96"/>
      <c r="F133" s="96" t="s">
        <v>125</v>
      </c>
      <c r="G133" s="97" t="s">
        <v>141</v>
      </c>
      <c r="H133" s="99">
        <v>1</v>
      </c>
      <c r="I133" s="96" t="s">
        <v>86</v>
      </c>
      <c r="J133" s="50"/>
      <c r="K133" s="29"/>
      <c r="L133" s="52"/>
    </row>
    <row r="134" spans="2:12" x14ac:dyDescent="0.35">
      <c r="B134" s="93"/>
      <c r="C134" s="94"/>
      <c r="D134" s="95"/>
      <c r="E134" s="96"/>
      <c r="F134" s="96" t="s">
        <v>125</v>
      </c>
      <c r="G134" s="97" t="s">
        <v>142</v>
      </c>
      <c r="H134" s="99">
        <v>2</v>
      </c>
      <c r="I134" s="96" t="s">
        <v>86</v>
      </c>
      <c r="J134" s="50"/>
      <c r="K134" s="29"/>
      <c r="L134" s="52"/>
    </row>
    <row r="135" spans="2:12" x14ac:dyDescent="0.35">
      <c r="B135" s="93"/>
      <c r="C135" s="94"/>
      <c r="D135" s="95"/>
      <c r="E135" s="96"/>
      <c r="F135" s="96" t="s">
        <v>125</v>
      </c>
      <c r="G135" s="97" t="s">
        <v>143</v>
      </c>
      <c r="H135" s="99">
        <v>4</v>
      </c>
      <c r="I135" s="96" t="s">
        <v>86</v>
      </c>
      <c r="J135" s="50"/>
      <c r="K135" s="29"/>
      <c r="L135" s="52"/>
    </row>
    <row r="136" spans="2:12" x14ac:dyDescent="0.35">
      <c r="B136" s="93"/>
      <c r="C136" s="94"/>
      <c r="D136" s="95"/>
      <c r="E136" s="96"/>
      <c r="F136" s="96" t="s">
        <v>125</v>
      </c>
      <c r="G136" s="97" t="s">
        <v>144</v>
      </c>
      <c r="H136" s="99">
        <v>2</v>
      </c>
      <c r="I136" s="96" t="s">
        <v>86</v>
      </c>
      <c r="J136" s="50"/>
      <c r="K136" s="29"/>
      <c r="L136" s="52"/>
    </row>
    <row r="137" spans="2:12" x14ac:dyDescent="0.35">
      <c r="B137" s="47"/>
      <c r="C137" s="48"/>
      <c r="D137" s="24"/>
      <c r="G137" s="22"/>
      <c r="I137" s="22"/>
      <c r="J137" s="50"/>
      <c r="K137" s="29"/>
      <c r="L137" s="52"/>
    </row>
    <row r="138" spans="2:12" x14ac:dyDescent="0.35">
      <c r="B138" s="47"/>
      <c r="C138" s="48"/>
      <c r="D138" s="24"/>
      <c r="G138" s="22"/>
      <c r="I138" s="22"/>
      <c r="J138" s="50"/>
      <c r="K138" s="29"/>
      <c r="L138" s="52"/>
    </row>
    <row r="139" spans="2:12" x14ac:dyDescent="0.35">
      <c r="B139" s="47"/>
      <c r="C139" s="48"/>
      <c r="D139" s="24"/>
      <c r="G139" s="22"/>
      <c r="I139" s="22"/>
      <c r="J139" s="50"/>
      <c r="K139" s="29"/>
      <c r="L139" s="52"/>
    </row>
    <row r="140" spans="2:12" x14ac:dyDescent="0.35">
      <c r="B140" s="8"/>
      <c r="C140" s="9"/>
      <c r="D140" s="10"/>
      <c r="E140" s="4"/>
      <c r="F140" s="4"/>
      <c r="G140" s="4"/>
      <c r="H140" s="1"/>
      <c r="I140" s="1"/>
      <c r="J140" s="11" t="s">
        <v>8</v>
      </c>
      <c r="K140" s="7">
        <f>SUM(K87:K139)</f>
        <v>0</v>
      </c>
      <c r="L140" s="7">
        <f>SUM(L87:L139)</f>
        <v>0</v>
      </c>
    </row>
    <row r="141" spans="2:12" x14ac:dyDescent="0.35">
      <c r="B141" s="8"/>
      <c r="C141" s="9"/>
      <c r="D141" s="9"/>
      <c r="E141" s="4"/>
      <c r="F141" s="4"/>
      <c r="G141" s="4"/>
      <c r="H141" s="1"/>
      <c r="I141" s="1"/>
      <c r="J141" s="11"/>
      <c r="K141" s="35" t="s">
        <v>22</v>
      </c>
      <c r="L141" s="36" t="s">
        <v>23</v>
      </c>
    </row>
    <row r="142" spans="2:12" x14ac:dyDescent="0.35">
      <c r="B142" s="3" t="s">
        <v>9</v>
      </c>
      <c r="C142" s="4"/>
      <c r="D142" s="4"/>
      <c r="E142" s="4"/>
      <c r="F142" s="4"/>
      <c r="G142" s="4"/>
      <c r="H142" s="1"/>
      <c r="I142" s="1"/>
      <c r="J142" s="12"/>
      <c r="K142" s="12"/>
      <c r="L142" s="13"/>
    </row>
    <row r="143" spans="2:12" x14ac:dyDescent="0.35">
      <c r="B143" s="37"/>
      <c r="C143" s="1"/>
      <c r="D143" s="1"/>
      <c r="E143" s="38"/>
      <c r="F143" s="38"/>
      <c r="G143" s="38"/>
      <c r="H143" s="1"/>
      <c r="I143" s="1"/>
      <c r="J143" s="1"/>
      <c r="K143" s="1"/>
      <c r="L143" s="19"/>
    </row>
    <row r="144" spans="2:12" x14ac:dyDescent="0.35">
      <c r="B144" s="28" t="s">
        <v>6</v>
      </c>
      <c r="C144" s="27"/>
      <c r="D144" s="27"/>
      <c r="E144" s="26"/>
      <c r="F144" s="26"/>
      <c r="G144" s="5"/>
      <c r="K144" s="125" t="s">
        <v>36</v>
      </c>
      <c r="L144" s="126"/>
    </row>
    <row r="145" spans="2:12" x14ac:dyDescent="0.35">
      <c r="B145" s="28">
        <v>1</v>
      </c>
      <c r="C145" s="27"/>
      <c r="D145" s="27"/>
      <c r="E145" s="26" t="s">
        <v>7</v>
      </c>
      <c r="F145" s="26"/>
      <c r="G145" s="5"/>
      <c r="K145" s="125" t="s">
        <v>28</v>
      </c>
      <c r="L145" s="126"/>
    </row>
    <row r="146" spans="2:12" x14ac:dyDescent="0.35">
      <c r="B146" s="39"/>
      <c r="C146" s="27"/>
      <c r="D146" s="27"/>
      <c r="E146" s="26"/>
      <c r="F146" s="26"/>
      <c r="G146" s="5"/>
      <c r="J146" s="25"/>
      <c r="K146" s="25"/>
      <c r="L146" s="24"/>
    </row>
    <row r="147" spans="2:12" x14ac:dyDescent="0.35">
      <c r="B147" s="28"/>
      <c r="C147" s="27"/>
      <c r="D147" s="27"/>
      <c r="E147" s="26"/>
      <c r="F147" s="26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L150" s="22"/>
    </row>
    <row r="151" spans="2:12" x14ac:dyDescent="0.35">
      <c r="B151" s="45"/>
      <c r="E151" s="5"/>
      <c r="F151" s="5"/>
      <c r="G151" s="5"/>
      <c r="J151" s="40"/>
      <c r="K151" s="127" t="s">
        <v>37</v>
      </c>
      <c r="L151" s="128"/>
    </row>
    <row r="152" spans="2:12" x14ac:dyDescent="0.35">
      <c r="B152" s="45"/>
      <c r="K152" s="129" t="s">
        <v>38</v>
      </c>
      <c r="L152" s="130"/>
    </row>
    <row r="153" spans="2:12" x14ac:dyDescent="0.35">
      <c r="B153" s="131"/>
      <c r="C153" s="132"/>
      <c r="D153" s="132"/>
      <c r="E153" s="41"/>
      <c r="F153" s="41"/>
      <c r="G153" s="41"/>
      <c r="H153" s="2"/>
      <c r="I153" s="2"/>
      <c r="J153" s="2"/>
      <c r="K153" s="2"/>
      <c r="L153" s="21"/>
    </row>
    <row r="154" spans="2:12" x14ac:dyDescent="0.35">
      <c r="B154" s="47"/>
      <c r="C154" s="48"/>
      <c r="D154" s="49"/>
      <c r="G154" s="22"/>
      <c r="H154" s="1"/>
      <c r="I154" s="1"/>
      <c r="J154" s="43"/>
      <c r="K154" s="30"/>
      <c r="L154" s="44"/>
    </row>
    <row r="155" spans="2:12" x14ac:dyDescent="0.35">
      <c r="B155" s="93"/>
      <c r="C155" s="94"/>
      <c r="D155" s="95"/>
      <c r="E155" s="96"/>
      <c r="F155" s="96" t="s">
        <v>125</v>
      </c>
      <c r="G155" s="97" t="s">
        <v>145</v>
      </c>
      <c r="H155" s="99">
        <v>2</v>
      </c>
      <c r="I155" s="96" t="s">
        <v>86</v>
      </c>
      <c r="J155" s="29"/>
      <c r="K155" s="51"/>
      <c r="L155" s="46"/>
    </row>
    <row r="156" spans="2:12" x14ac:dyDescent="0.35">
      <c r="B156" s="93"/>
      <c r="C156" s="94"/>
      <c r="D156" s="95"/>
      <c r="E156" s="96"/>
      <c r="F156" s="96" t="s">
        <v>125</v>
      </c>
      <c r="G156" s="97" t="s">
        <v>146</v>
      </c>
      <c r="H156" s="99">
        <v>2</v>
      </c>
      <c r="I156" s="96" t="s">
        <v>86</v>
      </c>
      <c r="J156" s="50"/>
      <c r="K156" s="51"/>
      <c r="L156" s="46"/>
    </row>
    <row r="157" spans="2:12" x14ac:dyDescent="0.35">
      <c r="B157" s="87"/>
      <c r="C157" s="94"/>
      <c r="D157" s="95"/>
      <c r="E157" s="90"/>
      <c r="F157" s="96" t="s">
        <v>125</v>
      </c>
      <c r="G157" s="97" t="s">
        <v>147</v>
      </c>
      <c r="H157" s="99">
        <v>250</v>
      </c>
      <c r="I157" s="96" t="s">
        <v>139</v>
      </c>
      <c r="J157" s="50"/>
      <c r="K157" s="51"/>
      <c r="L157" s="46"/>
    </row>
    <row r="158" spans="2:12" x14ac:dyDescent="0.35">
      <c r="B158" s="93"/>
      <c r="C158" s="94"/>
      <c r="D158" s="95"/>
      <c r="E158" s="96"/>
      <c r="F158" s="96" t="s">
        <v>125</v>
      </c>
      <c r="G158" s="97" t="s">
        <v>148</v>
      </c>
      <c r="H158" s="99">
        <v>2</v>
      </c>
      <c r="I158" s="96" t="s">
        <v>86</v>
      </c>
      <c r="J158" s="50"/>
      <c r="K158" s="29"/>
      <c r="L158" s="52"/>
    </row>
    <row r="159" spans="2:12" x14ac:dyDescent="0.35">
      <c r="B159" s="93"/>
      <c r="C159" s="94"/>
      <c r="D159" s="95"/>
      <c r="E159" s="96"/>
      <c r="F159" s="96" t="s">
        <v>125</v>
      </c>
      <c r="G159" s="97" t="s">
        <v>149</v>
      </c>
      <c r="H159" s="99">
        <v>16</v>
      </c>
      <c r="I159" s="96" t="s">
        <v>86</v>
      </c>
      <c r="J159" s="50"/>
      <c r="K159" s="29"/>
      <c r="L159" s="52"/>
    </row>
    <row r="160" spans="2:12" x14ac:dyDescent="0.35">
      <c r="B160" s="93"/>
      <c r="C160" s="94"/>
      <c r="D160" s="95"/>
      <c r="E160" s="96"/>
      <c r="F160" s="96" t="s">
        <v>125</v>
      </c>
      <c r="G160" s="97" t="s">
        <v>150</v>
      </c>
      <c r="H160" s="99">
        <v>1</v>
      </c>
      <c r="I160" s="96" t="s">
        <v>86</v>
      </c>
      <c r="J160" s="50"/>
      <c r="K160" s="29"/>
      <c r="L160" s="52"/>
    </row>
    <row r="161" spans="2:12" x14ac:dyDescent="0.35">
      <c r="B161" s="93"/>
      <c r="C161" s="94"/>
      <c r="D161" s="95" t="s">
        <v>43</v>
      </c>
      <c r="E161" s="96"/>
      <c r="F161" s="96" t="s">
        <v>159</v>
      </c>
      <c r="G161" s="97"/>
      <c r="H161" s="99">
        <v>1</v>
      </c>
      <c r="I161" s="96" t="s">
        <v>42</v>
      </c>
      <c r="J161" s="50"/>
      <c r="K161" s="29"/>
      <c r="L161" s="52"/>
    </row>
    <row r="162" spans="2:12" x14ac:dyDescent="0.35">
      <c r="B162" s="93"/>
      <c r="C162" s="94"/>
      <c r="D162" s="95"/>
      <c r="E162" s="96"/>
      <c r="F162" s="96" t="s">
        <v>125</v>
      </c>
      <c r="G162" s="97" t="s">
        <v>152</v>
      </c>
      <c r="H162" s="99">
        <v>2000</v>
      </c>
      <c r="I162" s="96" t="s">
        <v>139</v>
      </c>
      <c r="J162" s="50"/>
      <c r="K162" s="29"/>
      <c r="L162" s="52"/>
    </row>
    <row r="163" spans="2:12" x14ac:dyDescent="0.35">
      <c r="B163" s="93"/>
      <c r="C163" s="94"/>
      <c r="D163" s="95"/>
      <c r="E163" s="96"/>
      <c r="F163" s="96" t="s">
        <v>125</v>
      </c>
      <c r="G163" s="97" t="s">
        <v>153</v>
      </c>
      <c r="H163" s="99">
        <v>2</v>
      </c>
      <c r="I163" s="96" t="s">
        <v>86</v>
      </c>
      <c r="J163" s="50"/>
      <c r="K163" s="29"/>
      <c r="L163" s="52"/>
    </row>
    <row r="164" spans="2:12" x14ac:dyDescent="0.35">
      <c r="B164" s="93"/>
      <c r="C164" s="94"/>
      <c r="D164" s="95"/>
      <c r="E164" s="96"/>
      <c r="F164" s="96" t="s">
        <v>125</v>
      </c>
      <c r="G164" s="97" t="s">
        <v>147</v>
      </c>
      <c r="H164" s="99">
        <v>500</v>
      </c>
      <c r="I164" s="96" t="s">
        <v>139</v>
      </c>
      <c r="J164" s="50"/>
      <c r="K164" s="29"/>
      <c r="L164" s="52"/>
    </row>
    <row r="165" spans="2:12" x14ac:dyDescent="0.35">
      <c r="B165" s="93"/>
      <c r="C165" s="94"/>
      <c r="D165" s="95"/>
      <c r="E165" s="96"/>
      <c r="F165" s="96" t="s">
        <v>125</v>
      </c>
      <c r="G165" s="97" t="s">
        <v>148</v>
      </c>
      <c r="H165" s="99">
        <v>4</v>
      </c>
      <c r="I165" s="96" t="s">
        <v>86</v>
      </c>
      <c r="J165" s="50"/>
      <c r="K165" s="29"/>
      <c r="L165" s="52"/>
    </row>
    <row r="166" spans="2:12" x14ac:dyDescent="0.35">
      <c r="B166" s="93"/>
      <c r="C166" s="94"/>
      <c r="D166" s="95" t="s">
        <v>45</v>
      </c>
      <c r="E166" s="96"/>
      <c r="F166" s="96" t="s">
        <v>154</v>
      </c>
      <c r="G166" s="97"/>
      <c r="H166" s="99">
        <v>1</v>
      </c>
      <c r="I166" s="96" t="s">
        <v>42</v>
      </c>
      <c r="J166" s="50"/>
      <c r="K166" s="29"/>
      <c r="L166" s="52"/>
    </row>
    <row r="167" spans="2:12" x14ac:dyDescent="0.35">
      <c r="B167" s="93"/>
      <c r="C167" s="94"/>
      <c r="D167" s="95"/>
      <c r="E167" s="96"/>
      <c r="F167" s="96" t="s">
        <v>125</v>
      </c>
      <c r="G167" s="97" t="s">
        <v>152</v>
      </c>
      <c r="H167" s="99">
        <v>2000</v>
      </c>
      <c r="I167" s="96" t="s">
        <v>139</v>
      </c>
      <c r="J167" s="50"/>
      <c r="K167" s="29"/>
      <c r="L167" s="52"/>
    </row>
    <row r="168" spans="2:12" x14ac:dyDescent="0.35">
      <c r="B168" s="93"/>
      <c r="C168" s="94"/>
      <c r="D168" s="95"/>
      <c r="E168" s="96"/>
      <c r="F168" s="96" t="s">
        <v>125</v>
      </c>
      <c r="G168" s="97" t="s">
        <v>153</v>
      </c>
      <c r="H168" s="99">
        <v>3</v>
      </c>
      <c r="I168" s="96" t="s">
        <v>86</v>
      </c>
      <c r="J168" s="50"/>
      <c r="K168" s="29"/>
      <c r="L168" s="52"/>
    </row>
    <row r="169" spans="2:12" x14ac:dyDescent="0.35">
      <c r="B169" s="93"/>
      <c r="C169" s="94"/>
      <c r="D169" s="95"/>
      <c r="E169" s="96"/>
      <c r="F169" s="96" t="s">
        <v>125</v>
      </c>
      <c r="G169" s="97" t="s">
        <v>155</v>
      </c>
      <c r="H169" s="99">
        <v>2</v>
      </c>
      <c r="I169" s="96" t="s">
        <v>86</v>
      </c>
      <c r="J169" s="50"/>
      <c r="K169" s="29"/>
      <c r="L169" s="52"/>
    </row>
    <row r="170" spans="2:12" x14ac:dyDescent="0.35">
      <c r="B170" s="93"/>
      <c r="C170" s="94"/>
      <c r="D170" s="95"/>
      <c r="E170" s="96"/>
      <c r="F170" s="96" t="s">
        <v>125</v>
      </c>
      <c r="G170" s="97" t="s">
        <v>156</v>
      </c>
      <c r="H170" s="99">
        <v>4</v>
      </c>
      <c r="I170" s="96" t="s">
        <v>86</v>
      </c>
      <c r="J170" s="50"/>
      <c r="K170" s="29"/>
      <c r="L170" s="52"/>
    </row>
    <row r="171" spans="2:12" x14ac:dyDescent="0.35">
      <c r="B171" s="93"/>
      <c r="C171" s="94"/>
      <c r="D171" s="95"/>
      <c r="E171" s="96"/>
      <c r="F171" s="96" t="s">
        <v>125</v>
      </c>
      <c r="G171" s="97" t="s">
        <v>147</v>
      </c>
      <c r="H171" s="99">
        <v>250</v>
      </c>
      <c r="I171" s="96" t="s">
        <v>139</v>
      </c>
      <c r="J171" s="50"/>
      <c r="K171" s="29"/>
      <c r="L171" s="52"/>
    </row>
    <row r="172" spans="2:12" x14ac:dyDescent="0.35">
      <c r="B172" s="93"/>
      <c r="C172" s="94"/>
      <c r="D172" s="95"/>
      <c r="E172" s="96"/>
      <c r="F172" s="96" t="s">
        <v>125</v>
      </c>
      <c r="G172" s="97" t="s">
        <v>148</v>
      </c>
      <c r="H172" s="99">
        <v>2</v>
      </c>
      <c r="I172" s="96" t="s">
        <v>86</v>
      </c>
      <c r="J172" s="50"/>
      <c r="K172" s="29"/>
      <c r="L172" s="52"/>
    </row>
    <row r="173" spans="2:12" x14ac:dyDescent="0.35">
      <c r="B173" s="93"/>
      <c r="C173" s="94"/>
      <c r="D173" s="95"/>
      <c r="E173" s="96"/>
      <c r="F173" s="96" t="s">
        <v>125</v>
      </c>
      <c r="G173" s="97" t="s">
        <v>149</v>
      </c>
      <c r="H173" s="99">
        <v>8</v>
      </c>
      <c r="I173" s="96" t="s">
        <v>86</v>
      </c>
      <c r="J173" s="50"/>
      <c r="K173" s="29"/>
      <c r="L173" s="52"/>
    </row>
    <row r="174" spans="2:12" x14ac:dyDescent="0.35">
      <c r="B174" s="93"/>
      <c r="C174" s="94" t="s">
        <v>160</v>
      </c>
      <c r="D174" s="95"/>
      <c r="E174" s="96"/>
      <c r="F174" s="96" t="s">
        <v>161</v>
      </c>
      <c r="G174" s="97"/>
      <c r="H174" s="99"/>
      <c r="I174" s="96"/>
      <c r="J174" s="50"/>
      <c r="K174" s="29"/>
      <c r="L174" s="52"/>
    </row>
    <row r="175" spans="2:12" x14ac:dyDescent="0.35">
      <c r="B175" s="93"/>
      <c r="C175" s="94"/>
      <c r="D175" s="95" t="s">
        <v>40</v>
      </c>
      <c r="E175" s="96"/>
      <c r="F175" s="96" t="s">
        <v>162</v>
      </c>
      <c r="G175" s="97"/>
      <c r="H175" s="99">
        <v>1</v>
      </c>
      <c r="I175" s="96" t="s">
        <v>42</v>
      </c>
      <c r="J175" s="50"/>
      <c r="K175" s="29"/>
      <c r="L175" s="52"/>
    </row>
    <row r="176" spans="2:12" x14ac:dyDescent="0.35">
      <c r="B176" s="93"/>
      <c r="C176" s="94"/>
      <c r="D176" s="95"/>
      <c r="E176" s="96"/>
      <c r="F176" s="96" t="s">
        <v>125</v>
      </c>
      <c r="G176" s="97" t="s">
        <v>163</v>
      </c>
      <c r="H176" s="99">
        <v>4500</v>
      </c>
      <c r="I176" s="96" t="s">
        <v>139</v>
      </c>
      <c r="J176" s="50"/>
      <c r="K176" s="29"/>
      <c r="L176" s="52"/>
    </row>
    <row r="177" spans="2:12" x14ac:dyDescent="0.35">
      <c r="B177" s="93"/>
      <c r="C177" s="94"/>
      <c r="D177" s="95"/>
      <c r="E177" s="96"/>
      <c r="F177" s="96" t="s">
        <v>125</v>
      </c>
      <c r="G177" s="97" t="s">
        <v>164</v>
      </c>
      <c r="H177" s="99">
        <v>4</v>
      </c>
      <c r="I177" s="96" t="s">
        <v>86</v>
      </c>
      <c r="J177" s="50"/>
      <c r="K177" s="29"/>
      <c r="L177" s="52"/>
    </row>
    <row r="178" spans="2:12" x14ac:dyDescent="0.35">
      <c r="B178" s="93"/>
      <c r="C178" s="94"/>
      <c r="D178" s="95"/>
      <c r="E178" s="96"/>
      <c r="F178" s="96" t="s">
        <v>125</v>
      </c>
      <c r="G178" s="97" t="s">
        <v>165</v>
      </c>
      <c r="H178" s="99">
        <v>4</v>
      </c>
      <c r="I178" s="96" t="s">
        <v>86</v>
      </c>
      <c r="J178" s="50"/>
      <c r="K178" s="29"/>
      <c r="L178" s="52"/>
    </row>
    <row r="179" spans="2:12" x14ac:dyDescent="0.35">
      <c r="B179" s="93"/>
      <c r="C179" s="94"/>
      <c r="D179" s="95"/>
      <c r="E179" s="96"/>
      <c r="F179" s="96" t="s">
        <v>125</v>
      </c>
      <c r="G179" s="97" t="s">
        <v>166</v>
      </c>
      <c r="H179" s="99">
        <v>2</v>
      </c>
      <c r="I179" s="96" t="s">
        <v>86</v>
      </c>
      <c r="J179" s="50"/>
      <c r="K179" s="29"/>
      <c r="L179" s="52"/>
    </row>
    <row r="180" spans="2:12" x14ac:dyDescent="0.35">
      <c r="B180" s="93"/>
      <c r="C180" s="94"/>
      <c r="D180" s="95"/>
      <c r="E180" s="96"/>
      <c r="F180" s="96" t="s">
        <v>125</v>
      </c>
      <c r="G180" s="97" t="s">
        <v>167</v>
      </c>
      <c r="H180" s="99">
        <v>3</v>
      </c>
      <c r="I180" s="96" t="s">
        <v>86</v>
      </c>
      <c r="J180" s="50"/>
      <c r="K180" s="29"/>
      <c r="L180" s="52"/>
    </row>
    <row r="181" spans="2:12" x14ac:dyDescent="0.35">
      <c r="B181" s="93"/>
      <c r="C181" s="94"/>
      <c r="D181" s="95"/>
      <c r="E181" s="96"/>
      <c r="F181" s="96" t="s">
        <v>125</v>
      </c>
      <c r="G181" s="97" t="s">
        <v>168</v>
      </c>
      <c r="H181" s="99">
        <v>250</v>
      </c>
      <c r="I181" s="96" t="s">
        <v>139</v>
      </c>
      <c r="J181" s="50"/>
      <c r="K181" s="29"/>
      <c r="L181" s="52"/>
    </row>
    <row r="182" spans="2:12" x14ac:dyDescent="0.35">
      <c r="B182" s="93"/>
      <c r="C182" s="94"/>
      <c r="D182" s="95"/>
      <c r="E182" s="96"/>
      <c r="F182" s="96" t="s">
        <v>125</v>
      </c>
      <c r="G182" s="97" t="s">
        <v>169</v>
      </c>
      <c r="H182" s="99">
        <v>2</v>
      </c>
      <c r="I182" s="96" t="s">
        <v>86</v>
      </c>
      <c r="J182" s="50"/>
      <c r="K182" s="29"/>
      <c r="L182" s="52"/>
    </row>
    <row r="183" spans="2:12" x14ac:dyDescent="0.35">
      <c r="B183" s="93"/>
      <c r="C183" s="94"/>
      <c r="D183" s="95"/>
      <c r="E183" s="96"/>
      <c r="F183" s="96" t="s">
        <v>125</v>
      </c>
      <c r="G183" s="97" t="s">
        <v>170</v>
      </c>
      <c r="H183" s="99">
        <v>4</v>
      </c>
      <c r="I183" s="96" t="s">
        <v>86</v>
      </c>
      <c r="J183" s="50"/>
      <c r="K183" s="29"/>
      <c r="L183" s="52"/>
    </row>
    <row r="184" spans="2:12" x14ac:dyDescent="0.35">
      <c r="B184" s="93"/>
      <c r="C184" s="94"/>
      <c r="D184" s="95"/>
      <c r="E184" s="96"/>
      <c r="F184" s="96" t="s">
        <v>125</v>
      </c>
      <c r="G184" s="97" t="s">
        <v>149</v>
      </c>
      <c r="H184" s="99">
        <v>16</v>
      </c>
      <c r="I184" s="96" t="s">
        <v>86</v>
      </c>
      <c r="J184" s="50"/>
      <c r="K184" s="29"/>
      <c r="L184" s="52"/>
    </row>
    <row r="185" spans="2:12" x14ac:dyDescent="0.35">
      <c r="B185" s="93"/>
      <c r="C185" s="94"/>
      <c r="D185" s="95"/>
      <c r="E185" s="96"/>
      <c r="F185" s="96" t="s">
        <v>125</v>
      </c>
      <c r="G185" s="97" t="s">
        <v>171</v>
      </c>
      <c r="H185" s="99">
        <v>1</v>
      </c>
      <c r="I185" s="96" t="s">
        <v>86</v>
      </c>
      <c r="J185" s="50"/>
      <c r="K185" s="29"/>
      <c r="L185" s="52"/>
    </row>
    <row r="186" spans="2:12" x14ac:dyDescent="0.35">
      <c r="B186" s="93"/>
      <c r="C186" s="94"/>
      <c r="D186" s="95" t="s">
        <v>43</v>
      </c>
      <c r="E186" s="96"/>
      <c r="F186" s="96" t="s">
        <v>172</v>
      </c>
      <c r="G186" s="97"/>
      <c r="H186" s="99">
        <v>1</v>
      </c>
      <c r="I186" s="96" t="s">
        <v>42</v>
      </c>
      <c r="J186" s="50"/>
      <c r="K186" s="29"/>
      <c r="L186" s="52"/>
    </row>
    <row r="187" spans="2:12" x14ac:dyDescent="0.35">
      <c r="B187" s="93"/>
      <c r="C187" s="94"/>
      <c r="D187" s="95"/>
      <c r="E187" s="96"/>
      <c r="F187" s="96" t="s">
        <v>125</v>
      </c>
      <c r="G187" s="97" t="s">
        <v>173</v>
      </c>
      <c r="H187" s="99">
        <v>1500</v>
      </c>
      <c r="I187" s="96" t="s">
        <v>139</v>
      </c>
      <c r="J187" s="50"/>
      <c r="K187" s="29"/>
      <c r="L187" s="52"/>
    </row>
    <row r="188" spans="2:12" x14ac:dyDescent="0.35">
      <c r="B188" s="93"/>
      <c r="C188" s="94"/>
      <c r="D188" s="95"/>
      <c r="E188" s="96"/>
      <c r="F188" s="96" t="s">
        <v>125</v>
      </c>
      <c r="G188" s="97" t="s">
        <v>174</v>
      </c>
      <c r="H188" s="99">
        <v>3</v>
      </c>
      <c r="I188" s="96" t="s">
        <v>86</v>
      </c>
      <c r="J188" s="50"/>
      <c r="K188" s="29"/>
      <c r="L188" s="52"/>
    </row>
    <row r="189" spans="2:12" x14ac:dyDescent="0.35">
      <c r="B189" s="93"/>
      <c r="C189" s="94"/>
      <c r="D189" s="95"/>
      <c r="E189" s="96"/>
      <c r="F189" s="96" t="s">
        <v>125</v>
      </c>
      <c r="G189" s="97" t="s">
        <v>175</v>
      </c>
      <c r="H189" s="99">
        <v>2.0347200000000001</v>
      </c>
      <c r="I189" s="96" t="s">
        <v>104</v>
      </c>
      <c r="J189" s="50"/>
      <c r="K189" s="29"/>
      <c r="L189" s="52"/>
    </row>
    <row r="190" spans="2:12" x14ac:dyDescent="0.35">
      <c r="B190" s="93"/>
      <c r="C190" s="94"/>
      <c r="D190" s="95"/>
      <c r="E190" s="96"/>
      <c r="F190" s="96" t="s">
        <v>125</v>
      </c>
      <c r="G190" s="97" t="s">
        <v>176</v>
      </c>
      <c r="H190" s="99">
        <v>2</v>
      </c>
      <c r="I190" s="96" t="s">
        <v>86</v>
      </c>
      <c r="J190" s="50"/>
      <c r="K190" s="29"/>
      <c r="L190" s="52"/>
    </row>
    <row r="191" spans="2:12" x14ac:dyDescent="0.35">
      <c r="B191" s="93"/>
      <c r="C191" s="94"/>
      <c r="D191" s="95"/>
      <c r="E191" s="96"/>
      <c r="F191" s="96" t="s">
        <v>125</v>
      </c>
      <c r="G191" s="97" t="s">
        <v>177</v>
      </c>
      <c r="H191" s="99">
        <v>500</v>
      </c>
      <c r="I191" s="96" t="s">
        <v>139</v>
      </c>
      <c r="J191" s="50"/>
      <c r="K191" s="29"/>
      <c r="L191" s="52"/>
    </row>
    <row r="192" spans="2:12" x14ac:dyDescent="0.35">
      <c r="B192" s="93"/>
      <c r="C192" s="94"/>
      <c r="D192" s="95"/>
      <c r="E192" s="96"/>
      <c r="F192" s="96" t="s">
        <v>125</v>
      </c>
      <c r="G192" s="97" t="s">
        <v>178</v>
      </c>
      <c r="H192" s="99">
        <v>4</v>
      </c>
      <c r="I192" s="96" t="s">
        <v>86</v>
      </c>
      <c r="J192" s="50"/>
      <c r="K192" s="29"/>
      <c r="L192" s="52"/>
    </row>
    <row r="193" spans="2:12" x14ac:dyDescent="0.35">
      <c r="B193" s="93"/>
      <c r="C193" s="94"/>
      <c r="D193" s="95"/>
      <c r="E193" s="96"/>
      <c r="F193" s="96" t="s">
        <v>125</v>
      </c>
      <c r="G193" s="97" t="s">
        <v>179</v>
      </c>
      <c r="H193" s="99">
        <v>8</v>
      </c>
      <c r="I193" s="96" t="s">
        <v>86</v>
      </c>
      <c r="J193" s="50"/>
      <c r="K193" s="29"/>
      <c r="L193" s="52"/>
    </row>
    <row r="194" spans="2:12" x14ac:dyDescent="0.35">
      <c r="B194" s="93"/>
      <c r="C194" s="94"/>
      <c r="D194" s="95"/>
      <c r="E194" s="96"/>
      <c r="F194" s="96" t="s">
        <v>125</v>
      </c>
      <c r="G194" s="97" t="s">
        <v>180</v>
      </c>
      <c r="H194" s="99">
        <v>4</v>
      </c>
      <c r="I194" s="96" t="s">
        <v>86</v>
      </c>
      <c r="J194" s="50"/>
      <c r="K194" s="29"/>
      <c r="L194" s="52"/>
    </row>
    <row r="195" spans="2:12" x14ac:dyDescent="0.35">
      <c r="B195" s="93"/>
      <c r="C195" s="94"/>
      <c r="D195" s="95"/>
      <c r="E195" s="96"/>
      <c r="F195" s="96" t="s">
        <v>125</v>
      </c>
      <c r="G195" s="97" t="s">
        <v>181</v>
      </c>
      <c r="H195" s="99">
        <v>4</v>
      </c>
      <c r="I195" s="96" t="s">
        <v>86</v>
      </c>
      <c r="J195" s="50"/>
      <c r="K195" s="29"/>
      <c r="L195" s="52"/>
    </row>
    <row r="196" spans="2:12" x14ac:dyDescent="0.35">
      <c r="B196" s="93"/>
      <c r="C196" s="94"/>
      <c r="D196" s="95" t="s">
        <v>45</v>
      </c>
      <c r="E196" s="96"/>
      <c r="F196" s="96" t="s">
        <v>182</v>
      </c>
      <c r="G196" s="97"/>
      <c r="H196" s="99">
        <v>1</v>
      </c>
      <c r="I196" s="96" t="s">
        <v>42</v>
      </c>
      <c r="J196" s="50"/>
      <c r="K196" s="29"/>
      <c r="L196" s="52"/>
    </row>
    <row r="197" spans="2:12" x14ac:dyDescent="0.35">
      <c r="B197" s="93"/>
      <c r="C197" s="94"/>
      <c r="D197" s="95"/>
      <c r="E197" s="96"/>
      <c r="F197" s="96" t="s">
        <v>125</v>
      </c>
      <c r="G197" s="97" t="s">
        <v>173</v>
      </c>
      <c r="H197" s="99">
        <v>1000</v>
      </c>
      <c r="I197" s="96" t="s">
        <v>139</v>
      </c>
      <c r="J197" s="50"/>
      <c r="K197" s="29"/>
      <c r="L197" s="52"/>
    </row>
    <row r="198" spans="2:12" x14ac:dyDescent="0.35">
      <c r="B198" s="93"/>
      <c r="C198" s="94"/>
      <c r="D198" s="95"/>
      <c r="E198" s="96"/>
      <c r="F198" s="96" t="s">
        <v>125</v>
      </c>
      <c r="G198" s="97" t="s">
        <v>174</v>
      </c>
      <c r="H198" s="99">
        <v>3</v>
      </c>
      <c r="I198" s="96" t="s">
        <v>86</v>
      </c>
      <c r="J198" s="50"/>
      <c r="K198" s="29"/>
      <c r="L198" s="52"/>
    </row>
    <row r="199" spans="2:12" x14ac:dyDescent="0.35">
      <c r="B199" s="93"/>
      <c r="C199" s="94"/>
      <c r="D199" s="95"/>
      <c r="E199" s="96"/>
      <c r="F199" s="96" t="s">
        <v>125</v>
      </c>
      <c r="G199" s="97" t="s">
        <v>175</v>
      </c>
      <c r="H199" s="99">
        <v>2.0347200000000001</v>
      </c>
      <c r="I199" s="96" t="s">
        <v>104</v>
      </c>
      <c r="J199" s="50"/>
      <c r="K199" s="29"/>
      <c r="L199" s="52"/>
    </row>
    <row r="200" spans="2:12" x14ac:dyDescent="0.35">
      <c r="B200" s="93"/>
      <c r="C200" s="94"/>
      <c r="D200" s="95"/>
      <c r="E200" s="96"/>
      <c r="F200" s="96" t="s">
        <v>125</v>
      </c>
      <c r="G200" s="97" t="s">
        <v>176</v>
      </c>
      <c r="H200" s="99">
        <v>2</v>
      </c>
      <c r="I200" s="96" t="s">
        <v>86</v>
      </c>
      <c r="J200" s="50"/>
      <c r="K200" s="29"/>
      <c r="L200" s="52"/>
    </row>
    <row r="201" spans="2:12" x14ac:dyDescent="0.35">
      <c r="B201" s="93"/>
      <c r="C201" s="94"/>
      <c r="D201" s="95"/>
      <c r="E201" s="96"/>
      <c r="F201" s="96" t="s">
        <v>125</v>
      </c>
      <c r="G201" s="97" t="s">
        <v>177</v>
      </c>
      <c r="H201" s="99">
        <v>500</v>
      </c>
      <c r="I201" s="96" t="s">
        <v>139</v>
      </c>
      <c r="J201" s="50"/>
      <c r="K201" s="29"/>
      <c r="L201" s="52"/>
    </row>
    <row r="202" spans="2:12" x14ac:dyDescent="0.35">
      <c r="B202" s="93"/>
      <c r="C202" s="94"/>
      <c r="D202" s="95"/>
      <c r="E202" s="96"/>
      <c r="F202" s="96" t="s">
        <v>125</v>
      </c>
      <c r="G202" s="97" t="s">
        <v>178</v>
      </c>
      <c r="H202" s="99">
        <v>4</v>
      </c>
      <c r="I202" s="96" t="s">
        <v>86</v>
      </c>
      <c r="J202" s="50"/>
      <c r="K202" s="29"/>
      <c r="L202" s="52"/>
    </row>
    <row r="203" spans="2:12" x14ac:dyDescent="0.35">
      <c r="B203" s="93"/>
      <c r="C203" s="94"/>
      <c r="D203" s="95"/>
      <c r="E203" s="96"/>
      <c r="F203" s="96" t="s">
        <v>125</v>
      </c>
      <c r="G203" s="97" t="s">
        <v>179</v>
      </c>
      <c r="H203" s="99">
        <v>8</v>
      </c>
      <c r="I203" s="96" t="s">
        <v>86</v>
      </c>
      <c r="J203" s="50"/>
      <c r="K203" s="29"/>
      <c r="L203" s="52"/>
    </row>
    <row r="204" spans="2:12" x14ac:dyDescent="0.35">
      <c r="B204" s="93"/>
      <c r="C204" s="94"/>
      <c r="D204" s="95"/>
      <c r="E204" s="96"/>
      <c r="F204" s="96" t="s">
        <v>125</v>
      </c>
      <c r="G204" s="97" t="s">
        <v>180</v>
      </c>
      <c r="H204" s="99">
        <v>4</v>
      </c>
      <c r="I204" s="96" t="s">
        <v>86</v>
      </c>
      <c r="J204" s="50"/>
      <c r="K204" s="29"/>
      <c r="L204" s="52"/>
    </row>
    <row r="205" spans="2:12" x14ac:dyDescent="0.35">
      <c r="B205" s="93"/>
      <c r="C205" s="94"/>
      <c r="D205" s="95"/>
      <c r="E205" s="96"/>
      <c r="F205" s="96" t="s">
        <v>125</v>
      </c>
      <c r="G205" s="97" t="s">
        <v>181</v>
      </c>
      <c r="H205" s="99">
        <v>4</v>
      </c>
      <c r="I205" s="96" t="s">
        <v>86</v>
      </c>
      <c r="J205" s="50"/>
      <c r="K205" s="29"/>
      <c r="L205" s="52"/>
    </row>
    <row r="206" spans="2:12" x14ac:dyDescent="0.35">
      <c r="B206" s="47"/>
      <c r="C206" s="48"/>
      <c r="D206" s="24"/>
      <c r="G206" s="22"/>
      <c r="I206" s="22"/>
      <c r="J206" s="50"/>
      <c r="K206" s="29"/>
      <c r="L206" s="52"/>
    </row>
    <row r="207" spans="2:12" x14ac:dyDescent="0.35">
      <c r="B207" s="8"/>
      <c r="C207" s="9"/>
      <c r="D207" s="10"/>
      <c r="E207" s="4"/>
      <c r="F207" s="4"/>
      <c r="G207" s="4"/>
      <c r="H207" s="1"/>
      <c r="I207" s="1"/>
      <c r="J207" s="11" t="s">
        <v>8</v>
      </c>
      <c r="K207" s="7">
        <f>SUM(K154:K206)</f>
        <v>0</v>
      </c>
      <c r="L207" s="7">
        <f>SUM(L154:L206)</f>
        <v>0</v>
      </c>
    </row>
    <row r="208" spans="2:12" x14ac:dyDescent="0.35">
      <c r="B208" s="8"/>
      <c r="C208" s="9"/>
      <c r="D208" s="9"/>
      <c r="E208" s="4"/>
      <c r="F208" s="4"/>
      <c r="G208" s="4"/>
      <c r="H208" s="1"/>
      <c r="I208" s="1"/>
      <c r="J208" s="11"/>
      <c r="K208" s="35" t="s">
        <v>22</v>
      </c>
      <c r="L208" s="36" t="s">
        <v>23</v>
      </c>
    </row>
    <row r="209" spans="2:12" x14ac:dyDescent="0.35">
      <c r="B209" s="3" t="s">
        <v>9</v>
      </c>
      <c r="C209" s="4"/>
      <c r="D209" s="4"/>
      <c r="E209" s="4"/>
      <c r="F209" s="4"/>
      <c r="G209" s="4"/>
      <c r="H209" s="1"/>
      <c r="I209" s="1"/>
      <c r="J209" s="12"/>
      <c r="K209" s="12"/>
      <c r="L209" s="13"/>
    </row>
    <row r="210" spans="2:12" x14ac:dyDescent="0.35">
      <c r="B210" s="37"/>
      <c r="C210" s="1"/>
      <c r="D210" s="1"/>
      <c r="E210" s="38"/>
      <c r="F210" s="38"/>
      <c r="G210" s="38"/>
      <c r="H210" s="1"/>
      <c r="I210" s="1"/>
      <c r="J210" s="1"/>
      <c r="K210" s="1"/>
      <c r="L210" s="19"/>
    </row>
    <row r="211" spans="2:12" x14ac:dyDescent="0.35">
      <c r="B211" s="28" t="s">
        <v>6</v>
      </c>
      <c r="C211" s="27"/>
      <c r="D211" s="27"/>
      <c r="E211" s="26"/>
      <c r="F211" s="26"/>
      <c r="G211" s="5"/>
      <c r="K211" s="125" t="s">
        <v>36</v>
      </c>
      <c r="L211" s="126"/>
    </row>
    <row r="212" spans="2:12" x14ac:dyDescent="0.35">
      <c r="B212" s="28">
        <v>1</v>
      </c>
      <c r="C212" s="27"/>
      <c r="D212" s="27"/>
      <c r="E212" s="26" t="s">
        <v>7</v>
      </c>
      <c r="F212" s="26"/>
      <c r="G212" s="5"/>
      <c r="K212" s="125" t="s">
        <v>28</v>
      </c>
      <c r="L212" s="126"/>
    </row>
    <row r="213" spans="2:12" x14ac:dyDescent="0.35">
      <c r="B213" s="39"/>
      <c r="C213" s="27"/>
      <c r="D213" s="27"/>
      <c r="E213" s="26"/>
      <c r="F213" s="26"/>
      <c r="G213" s="5"/>
      <c r="J213" s="25"/>
      <c r="K213" s="25"/>
      <c r="L213" s="24"/>
    </row>
    <row r="214" spans="2:12" x14ac:dyDescent="0.35">
      <c r="B214" s="28"/>
      <c r="C214" s="27"/>
      <c r="D214" s="27"/>
      <c r="E214" s="26"/>
      <c r="F214" s="26"/>
      <c r="G214" s="5"/>
      <c r="L214" s="22"/>
    </row>
    <row r="215" spans="2:12" x14ac:dyDescent="0.35">
      <c r="B215" s="45"/>
      <c r="E215" s="5"/>
      <c r="F215" s="5"/>
      <c r="G215" s="5"/>
      <c r="L215" s="22"/>
    </row>
    <row r="216" spans="2:12" x14ac:dyDescent="0.35">
      <c r="B216" s="45"/>
      <c r="E216" s="5"/>
      <c r="F216" s="5"/>
      <c r="G216" s="5"/>
      <c r="L216" s="22"/>
    </row>
    <row r="217" spans="2:12" x14ac:dyDescent="0.35">
      <c r="B217" s="45"/>
      <c r="E217" s="5"/>
      <c r="F217" s="5"/>
      <c r="G217" s="5"/>
      <c r="L217" s="22"/>
    </row>
    <row r="218" spans="2:12" x14ac:dyDescent="0.35">
      <c r="B218" s="45"/>
      <c r="E218" s="5"/>
      <c r="F218" s="5"/>
      <c r="G218" s="5"/>
      <c r="J218" s="40"/>
      <c r="K218" s="127" t="s">
        <v>37</v>
      </c>
      <c r="L218" s="128"/>
    </row>
    <row r="219" spans="2:12" x14ac:dyDescent="0.35">
      <c r="B219" s="45"/>
      <c r="K219" s="129" t="s">
        <v>38</v>
      </c>
      <c r="L219" s="130"/>
    </row>
    <row r="220" spans="2:12" x14ac:dyDescent="0.35">
      <c r="B220" s="131"/>
      <c r="C220" s="132"/>
      <c r="D220" s="132"/>
      <c r="E220" s="41"/>
      <c r="F220" s="41"/>
      <c r="G220" s="41"/>
      <c r="H220" s="2"/>
      <c r="I220" s="2"/>
      <c r="J220" s="2"/>
      <c r="K220" s="2"/>
      <c r="L220" s="21"/>
    </row>
    <row r="221" spans="2:12" x14ac:dyDescent="0.35">
      <c r="B221" s="47"/>
      <c r="C221" s="48"/>
      <c r="D221" s="49"/>
      <c r="G221" s="22"/>
      <c r="H221" s="1"/>
      <c r="I221" s="1"/>
      <c r="J221" s="43"/>
      <c r="K221" s="30"/>
      <c r="L221" s="44"/>
    </row>
    <row r="222" spans="2:12" x14ac:dyDescent="0.35">
      <c r="B222" s="93"/>
      <c r="C222" s="94" t="s">
        <v>183</v>
      </c>
      <c r="D222" s="95"/>
      <c r="E222" s="96"/>
      <c r="F222" s="96" t="s">
        <v>184</v>
      </c>
      <c r="G222" s="97"/>
      <c r="H222" s="99"/>
      <c r="I222" s="96"/>
      <c r="J222" s="29"/>
      <c r="K222" s="51"/>
      <c r="L222" s="46"/>
    </row>
    <row r="223" spans="2:12" x14ac:dyDescent="0.35">
      <c r="B223" s="93"/>
      <c r="C223" s="94"/>
      <c r="D223" s="95" t="s">
        <v>40</v>
      </c>
      <c r="E223" s="96"/>
      <c r="F223" s="96" t="s">
        <v>185</v>
      </c>
      <c r="G223" s="97"/>
      <c r="H223" s="99">
        <v>1</v>
      </c>
      <c r="I223" s="96" t="s">
        <v>42</v>
      </c>
      <c r="J223" s="50"/>
      <c r="K223" s="51"/>
      <c r="L223" s="46"/>
    </row>
    <row r="224" spans="2:12" x14ac:dyDescent="0.35">
      <c r="B224" s="93"/>
      <c r="C224" s="94"/>
      <c r="D224" s="95"/>
      <c r="E224" s="96"/>
      <c r="F224" s="96" t="s">
        <v>125</v>
      </c>
      <c r="G224" s="97" t="s">
        <v>163</v>
      </c>
      <c r="H224" s="99">
        <v>4500</v>
      </c>
      <c r="I224" s="96" t="s">
        <v>139</v>
      </c>
      <c r="J224" s="50"/>
      <c r="K224" s="51"/>
      <c r="L224" s="46"/>
    </row>
    <row r="225" spans="2:12" x14ac:dyDescent="0.35">
      <c r="B225" s="93"/>
      <c r="C225" s="94"/>
      <c r="D225" s="95"/>
      <c r="E225" s="96"/>
      <c r="F225" s="96" t="s">
        <v>125</v>
      </c>
      <c r="G225" s="97" t="s">
        <v>164</v>
      </c>
      <c r="H225" s="99">
        <v>4</v>
      </c>
      <c r="I225" s="96" t="s">
        <v>86</v>
      </c>
      <c r="J225" s="50"/>
      <c r="K225" s="29"/>
      <c r="L225" s="52"/>
    </row>
    <row r="226" spans="2:12" x14ac:dyDescent="0.35">
      <c r="B226" s="93"/>
      <c r="C226" s="94"/>
      <c r="D226" s="95"/>
      <c r="E226" s="96"/>
      <c r="F226" s="96" t="s">
        <v>125</v>
      </c>
      <c r="G226" s="97" t="s">
        <v>165</v>
      </c>
      <c r="H226" s="99">
        <v>4</v>
      </c>
      <c r="I226" s="96" t="s">
        <v>86</v>
      </c>
      <c r="J226" s="50"/>
      <c r="K226" s="29"/>
      <c r="L226" s="52"/>
    </row>
    <row r="227" spans="2:12" x14ac:dyDescent="0.35">
      <c r="B227" s="93"/>
      <c r="C227" s="94"/>
      <c r="D227" s="95"/>
      <c r="E227" s="96"/>
      <c r="F227" s="96" t="s">
        <v>125</v>
      </c>
      <c r="G227" s="97" t="s">
        <v>166</v>
      </c>
      <c r="H227" s="99">
        <v>2</v>
      </c>
      <c r="I227" s="96" t="s">
        <v>86</v>
      </c>
      <c r="J227" s="50"/>
      <c r="K227" s="29"/>
      <c r="L227" s="52"/>
    </row>
    <row r="228" spans="2:12" x14ac:dyDescent="0.35">
      <c r="B228" s="93"/>
      <c r="C228" s="94"/>
      <c r="D228" s="95"/>
      <c r="E228" s="96"/>
      <c r="F228" s="96" t="s">
        <v>125</v>
      </c>
      <c r="G228" s="97" t="s">
        <v>167</v>
      </c>
      <c r="H228" s="99">
        <v>3</v>
      </c>
      <c r="I228" s="96" t="s">
        <v>86</v>
      </c>
      <c r="J228" s="50"/>
      <c r="K228" s="29"/>
      <c r="L228" s="52"/>
    </row>
    <row r="229" spans="2:12" x14ac:dyDescent="0.35">
      <c r="B229" s="93"/>
      <c r="C229" s="94"/>
      <c r="D229" s="95"/>
      <c r="E229" s="96"/>
      <c r="F229" s="96" t="s">
        <v>125</v>
      </c>
      <c r="G229" s="97" t="s">
        <v>168</v>
      </c>
      <c r="H229" s="99">
        <v>250</v>
      </c>
      <c r="I229" s="96" t="s">
        <v>139</v>
      </c>
      <c r="J229" s="50"/>
      <c r="K229" s="29"/>
      <c r="L229" s="52"/>
    </row>
    <row r="230" spans="2:12" x14ac:dyDescent="0.35">
      <c r="B230" s="93"/>
      <c r="C230" s="94"/>
      <c r="D230" s="95"/>
      <c r="E230" s="96"/>
      <c r="F230" s="96" t="s">
        <v>125</v>
      </c>
      <c r="G230" s="97" t="s">
        <v>186</v>
      </c>
      <c r="H230" s="99">
        <v>2</v>
      </c>
      <c r="I230" s="96" t="s">
        <v>86</v>
      </c>
      <c r="J230" s="50"/>
      <c r="K230" s="29"/>
      <c r="L230" s="52"/>
    </row>
    <row r="231" spans="2:12" x14ac:dyDescent="0.35">
      <c r="B231" s="93"/>
      <c r="C231" s="94"/>
      <c r="D231" s="95"/>
      <c r="E231" s="96"/>
      <c r="F231" s="96" t="s">
        <v>125</v>
      </c>
      <c r="G231" s="97" t="s">
        <v>170</v>
      </c>
      <c r="H231" s="99">
        <v>4</v>
      </c>
      <c r="I231" s="96" t="s">
        <v>86</v>
      </c>
      <c r="J231" s="50"/>
      <c r="K231" s="29"/>
      <c r="L231" s="52"/>
    </row>
    <row r="232" spans="2:12" x14ac:dyDescent="0.35">
      <c r="B232" s="93"/>
      <c r="C232" s="94"/>
      <c r="D232" s="95"/>
      <c r="E232" s="96"/>
      <c r="F232" s="96" t="s">
        <v>125</v>
      </c>
      <c r="G232" s="97" t="s">
        <v>149</v>
      </c>
      <c r="H232" s="99">
        <v>16</v>
      </c>
      <c r="I232" s="96" t="s">
        <v>86</v>
      </c>
      <c r="J232" s="50"/>
      <c r="K232" s="29"/>
      <c r="L232" s="52"/>
    </row>
    <row r="233" spans="2:12" x14ac:dyDescent="0.35">
      <c r="B233" s="93"/>
      <c r="C233" s="94"/>
      <c r="D233" s="95"/>
      <c r="E233" s="96"/>
      <c r="F233" s="96" t="s">
        <v>125</v>
      </c>
      <c r="G233" s="97" t="s">
        <v>171</v>
      </c>
      <c r="H233" s="99">
        <v>1</v>
      </c>
      <c r="I233" s="96" t="s">
        <v>86</v>
      </c>
      <c r="J233" s="50"/>
      <c r="K233" s="29"/>
      <c r="L233" s="52"/>
    </row>
    <row r="234" spans="2:12" x14ac:dyDescent="0.35">
      <c r="B234" s="93"/>
      <c r="C234" s="94"/>
      <c r="D234" s="95" t="s">
        <v>43</v>
      </c>
      <c r="E234" s="96"/>
      <c r="F234" s="96" t="s">
        <v>172</v>
      </c>
      <c r="G234" s="97"/>
      <c r="H234" s="99">
        <v>1</v>
      </c>
      <c r="I234" s="96" t="s">
        <v>42</v>
      </c>
      <c r="J234" s="50"/>
      <c r="K234" s="29"/>
      <c r="L234" s="52"/>
    </row>
    <row r="235" spans="2:12" x14ac:dyDescent="0.35">
      <c r="B235" s="93"/>
      <c r="C235" s="94"/>
      <c r="D235" s="95"/>
      <c r="E235" s="96"/>
      <c r="F235" s="96" t="s">
        <v>125</v>
      </c>
      <c r="G235" s="97" t="s">
        <v>173</v>
      </c>
      <c r="H235" s="99">
        <v>1500</v>
      </c>
      <c r="I235" s="96" t="s">
        <v>139</v>
      </c>
      <c r="J235" s="50"/>
      <c r="K235" s="29"/>
      <c r="L235" s="52"/>
    </row>
    <row r="236" spans="2:12" x14ac:dyDescent="0.35">
      <c r="B236" s="93"/>
      <c r="C236" s="94"/>
      <c r="D236" s="95"/>
      <c r="E236" s="96"/>
      <c r="F236" s="96" t="s">
        <v>125</v>
      </c>
      <c r="G236" s="97" t="s">
        <v>174</v>
      </c>
      <c r="H236" s="99">
        <v>3</v>
      </c>
      <c r="I236" s="96" t="s">
        <v>86</v>
      </c>
      <c r="J236" s="50"/>
      <c r="K236" s="29"/>
      <c r="L236" s="52"/>
    </row>
    <row r="237" spans="2:12" x14ac:dyDescent="0.35">
      <c r="B237" s="93"/>
      <c r="C237" s="94"/>
      <c r="D237" s="95"/>
      <c r="E237" s="96"/>
      <c r="F237" s="96" t="s">
        <v>125</v>
      </c>
      <c r="G237" s="97" t="s">
        <v>175</v>
      </c>
      <c r="H237" s="99">
        <v>2.0347200000000001</v>
      </c>
      <c r="I237" s="96" t="s">
        <v>104</v>
      </c>
      <c r="J237" s="50"/>
      <c r="K237" s="29"/>
      <c r="L237" s="52"/>
    </row>
    <row r="238" spans="2:12" x14ac:dyDescent="0.35">
      <c r="B238" s="93"/>
      <c r="C238" s="94"/>
      <c r="D238" s="95"/>
      <c r="E238" s="96"/>
      <c r="F238" s="96" t="s">
        <v>125</v>
      </c>
      <c r="G238" s="97" t="s">
        <v>176</v>
      </c>
      <c r="H238" s="99">
        <v>2</v>
      </c>
      <c r="I238" s="96" t="s">
        <v>86</v>
      </c>
      <c r="J238" s="50"/>
      <c r="K238" s="29"/>
      <c r="L238" s="52"/>
    </row>
    <row r="239" spans="2:12" x14ac:dyDescent="0.35">
      <c r="B239" s="93"/>
      <c r="C239" s="94"/>
      <c r="D239" s="95"/>
      <c r="E239" s="96"/>
      <c r="F239" s="96" t="s">
        <v>125</v>
      </c>
      <c r="G239" s="97" t="s">
        <v>187</v>
      </c>
      <c r="H239" s="99">
        <v>500</v>
      </c>
      <c r="I239" s="96" t="s">
        <v>139</v>
      </c>
      <c r="J239" s="50"/>
      <c r="K239" s="29"/>
      <c r="L239" s="52"/>
    </row>
    <row r="240" spans="2:12" x14ac:dyDescent="0.35">
      <c r="B240" s="93"/>
      <c r="C240" s="94"/>
      <c r="D240" s="95"/>
      <c r="E240" s="96"/>
      <c r="F240" s="96" t="s">
        <v>125</v>
      </c>
      <c r="G240" s="97" t="s">
        <v>178</v>
      </c>
      <c r="H240" s="99">
        <v>4</v>
      </c>
      <c r="I240" s="96" t="s">
        <v>86</v>
      </c>
      <c r="J240" s="50"/>
      <c r="K240" s="29"/>
      <c r="L240" s="52"/>
    </row>
    <row r="241" spans="2:12" x14ac:dyDescent="0.35">
      <c r="B241" s="93"/>
      <c r="C241" s="94"/>
      <c r="D241" s="95"/>
      <c r="E241" s="96"/>
      <c r="F241" s="96" t="s">
        <v>125</v>
      </c>
      <c r="G241" s="97" t="s">
        <v>179</v>
      </c>
      <c r="H241" s="99">
        <v>8</v>
      </c>
      <c r="I241" s="96" t="s">
        <v>86</v>
      </c>
      <c r="J241" s="50"/>
      <c r="K241" s="29"/>
      <c r="L241" s="52"/>
    </row>
    <row r="242" spans="2:12" x14ac:dyDescent="0.35">
      <c r="B242" s="93"/>
      <c r="C242" s="94"/>
      <c r="D242" s="95"/>
      <c r="E242" s="96"/>
      <c r="F242" s="96" t="s">
        <v>125</v>
      </c>
      <c r="G242" s="97" t="s">
        <v>180</v>
      </c>
      <c r="H242" s="99">
        <v>4</v>
      </c>
      <c r="I242" s="96" t="s">
        <v>86</v>
      </c>
      <c r="J242" s="50"/>
      <c r="K242" s="29"/>
      <c r="L242" s="52"/>
    </row>
    <row r="243" spans="2:12" x14ac:dyDescent="0.35">
      <c r="B243" s="93"/>
      <c r="C243" s="94"/>
      <c r="D243" s="95"/>
      <c r="E243" s="96"/>
      <c r="F243" s="96" t="s">
        <v>125</v>
      </c>
      <c r="G243" s="97" t="s">
        <v>181</v>
      </c>
      <c r="H243" s="99">
        <v>4</v>
      </c>
      <c r="I243" s="96" t="s">
        <v>86</v>
      </c>
      <c r="J243" s="50"/>
      <c r="K243" s="29"/>
      <c r="L243" s="52"/>
    </row>
    <row r="244" spans="2:12" x14ac:dyDescent="0.35">
      <c r="B244" s="93"/>
      <c r="C244" s="94"/>
      <c r="D244" s="95" t="s">
        <v>45</v>
      </c>
      <c r="E244" s="96"/>
      <c r="F244" s="96" t="s">
        <v>188</v>
      </c>
      <c r="G244" s="97"/>
      <c r="H244" s="99">
        <v>1</v>
      </c>
      <c r="I244" s="96" t="s">
        <v>42</v>
      </c>
      <c r="J244" s="50"/>
      <c r="K244" s="29"/>
      <c r="L244" s="52"/>
    </row>
    <row r="245" spans="2:12" x14ac:dyDescent="0.35">
      <c r="B245" s="93"/>
      <c r="C245" s="94"/>
      <c r="D245" s="95"/>
      <c r="E245" s="96"/>
      <c r="F245" s="96" t="s">
        <v>125</v>
      </c>
      <c r="G245" s="97" t="s">
        <v>173</v>
      </c>
      <c r="H245" s="99">
        <v>1000</v>
      </c>
      <c r="I245" s="96" t="s">
        <v>139</v>
      </c>
      <c r="J245" s="50"/>
      <c r="K245" s="29"/>
      <c r="L245" s="52"/>
    </row>
    <row r="246" spans="2:12" x14ac:dyDescent="0.35">
      <c r="B246" s="93"/>
      <c r="C246" s="94"/>
      <c r="D246" s="95"/>
      <c r="E246" s="96"/>
      <c r="F246" s="96" t="s">
        <v>125</v>
      </c>
      <c r="G246" s="97" t="s">
        <v>174</v>
      </c>
      <c r="H246" s="99">
        <v>3</v>
      </c>
      <c r="I246" s="96" t="s">
        <v>86</v>
      </c>
      <c r="J246" s="50"/>
      <c r="K246" s="29"/>
      <c r="L246" s="52"/>
    </row>
    <row r="247" spans="2:12" x14ac:dyDescent="0.35">
      <c r="B247" s="93"/>
      <c r="C247" s="94"/>
      <c r="D247" s="95"/>
      <c r="E247" s="96"/>
      <c r="F247" s="96" t="s">
        <v>125</v>
      </c>
      <c r="G247" s="97" t="s">
        <v>175</v>
      </c>
      <c r="H247" s="98">
        <v>2.0347200000000001</v>
      </c>
      <c r="I247" s="96" t="s">
        <v>104</v>
      </c>
      <c r="J247" s="50"/>
      <c r="K247" s="29"/>
      <c r="L247" s="52"/>
    </row>
    <row r="248" spans="2:12" x14ac:dyDescent="0.35">
      <c r="B248" s="93"/>
      <c r="C248" s="94"/>
      <c r="D248" s="95"/>
      <c r="E248" s="96"/>
      <c r="F248" s="96" t="s">
        <v>125</v>
      </c>
      <c r="G248" s="97" t="s">
        <v>176</v>
      </c>
      <c r="H248" s="99">
        <v>2</v>
      </c>
      <c r="I248" s="96" t="s">
        <v>86</v>
      </c>
      <c r="J248" s="50"/>
      <c r="K248" s="29"/>
      <c r="L248" s="52"/>
    </row>
    <row r="249" spans="2:12" x14ac:dyDescent="0.35">
      <c r="B249" s="93"/>
      <c r="C249" s="94"/>
      <c r="D249" s="95"/>
      <c r="E249" s="96"/>
      <c r="F249" s="96" t="s">
        <v>125</v>
      </c>
      <c r="G249" s="97" t="s">
        <v>177</v>
      </c>
      <c r="H249" s="99">
        <v>500</v>
      </c>
      <c r="I249" s="96" t="s">
        <v>139</v>
      </c>
      <c r="J249" s="50"/>
      <c r="K249" s="29"/>
      <c r="L249" s="52"/>
    </row>
    <row r="250" spans="2:12" x14ac:dyDescent="0.35">
      <c r="B250" s="93"/>
      <c r="C250" s="94"/>
      <c r="D250" s="95"/>
      <c r="E250" s="96"/>
      <c r="F250" s="96" t="s">
        <v>125</v>
      </c>
      <c r="G250" s="97" t="s">
        <v>178</v>
      </c>
      <c r="H250" s="99">
        <v>4</v>
      </c>
      <c r="I250" s="96" t="s">
        <v>86</v>
      </c>
      <c r="J250" s="50"/>
      <c r="K250" s="29"/>
      <c r="L250" s="52"/>
    </row>
    <row r="251" spans="2:12" x14ac:dyDescent="0.35">
      <c r="B251" s="93"/>
      <c r="C251" s="94"/>
      <c r="D251" s="95"/>
      <c r="E251" s="96"/>
      <c r="F251" s="96" t="s">
        <v>125</v>
      </c>
      <c r="G251" s="97" t="s">
        <v>179</v>
      </c>
      <c r="H251" s="99">
        <v>8</v>
      </c>
      <c r="I251" s="96" t="s">
        <v>86</v>
      </c>
      <c r="J251" s="50"/>
      <c r="K251" s="29"/>
      <c r="L251" s="52"/>
    </row>
    <row r="252" spans="2:12" x14ac:dyDescent="0.35">
      <c r="B252" s="93"/>
      <c r="C252" s="94"/>
      <c r="D252" s="95"/>
      <c r="E252" s="96"/>
      <c r="F252" s="96" t="s">
        <v>125</v>
      </c>
      <c r="G252" s="97" t="s">
        <v>180</v>
      </c>
      <c r="H252" s="99">
        <v>4</v>
      </c>
      <c r="I252" s="96" t="s">
        <v>86</v>
      </c>
      <c r="J252" s="50"/>
      <c r="K252" s="29"/>
      <c r="L252" s="52"/>
    </row>
    <row r="253" spans="2:12" x14ac:dyDescent="0.35">
      <c r="B253" s="93"/>
      <c r="C253" s="94"/>
      <c r="D253" s="95"/>
      <c r="E253" s="96"/>
      <c r="F253" s="96" t="s">
        <v>125</v>
      </c>
      <c r="G253" s="97" t="s">
        <v>181</v>
      </c>
      <c r="H253" s="99">
        <v>4</v>
      </c>
      <c r="I253" s="96" t="s">
        <v>86</v>
      </c>
      <c r="J253" s="50"/>
      <c r="K253" s="29"/>
      <c r="L253" s="52"/>
    </row>
    <row r="254" spans="2:12" x14ac:dyDescent="0.35">
      <c r="B254" s="93"/>
      <c r="C254" s="94" t="s">
        <v>189</v>
      </c>
      <c r="D254" s="95"/>
      <c r="E254" s="96"/>
      <c r="F254" s="96" t="s">
        <v>190</v>
      </c>
      <c r="G254" s="97"/>
      <c r="H254" s="98"/>
      <c r="I254" s="96"/>
      <c r="J254" s="50"/>
      <c r="K254" s="29"/>
      <c r="L254" s="52"/>
    </row>
    <row r="255" spans="2:12" x14ac:dyDescent="0.35">
      <c r="B255" s="93"/>
      <c r="C255" s="94"/>
      <c r="D255" s="95" t="s">
        <v>40</v>
      </c>
      <c r="E255" s="96"/>
      <c r="F255" s="96" t="s">
        <v>191</v>
      </c>
      <c r="G255" s="97"/>
      <c r="H255" s="99">
        <v>1</v>
      </c>
      <c r="I255" s="96" t="s">
        <v>42</v>
      </c>
      <c r="J255" s="50"/>
      <c r="K255" s="29"/>
      <c r="L255" s="52"/>
    </row>
    <row r="256" spans="2:12" x14ac:dyDescent="0.35">
      <c r="B256" s="93"/>
      <c r="C256" s="94"/>
      <c r="D256" s="95"/>
      <c r="E256" s="96"/>
      <c r="F256" s="96" t="s">
        <v>125</v>
      </c>
      <c r="G256" s="97" t="s">
        <v>192</v>
      </c>
      <c r="H256" s="99">
        <v>3500</v>
      </c>
      <c r="I256" s="96" t="s">
        <v>139</v>
      </c>
      <c r="J256" s="50"/>
      <c r="K256" s="29"/>
      <c r="L256" s="52"/>
    </row>
    <row r="257" spans="2:12" x14ac:dyDescent="0.35">
      <c r="B257" s="93"/>
      <c r="C257" s="94"/>
      <c r="D257" s="95"/>
      <c r="E257" s="96"/>
      <c r="F257" s="96" t="s">
        <v>125</v>
      </c>
      <c r="G257" s="97" t="s">
        <v>193</v>
      </c>
      <c r="H257" s="99">
        <v>7</v>
      </c>
      <c r="I257" s="96" t="s">
        <v>86</v>
      </c>
      <c r="J257" s="50"/>
      <c r="K257" s="29"/>
      <c r="L257" s="52"/>
    </row>
    <row r="258" spans="2:12" x14ac:dyDescent="0.35">
      <c r="B258" s="93"/>
      <c r="C258" s="94"/>
      <c r="D258" s="95"/>
      <c r="E258" s="96"/>
      <c r="F258" s="96" t="s">
        <v>125</v>
      </c>
      <c r="G258" s="97" t="s">
        <v>194</v>
      </c>
      <c r="H258" s="99">
        <v>6</v>
      </c>
      <c r="I258" s="96" t="s">
        <v>86</v>
      </c>
      <c r="J258" s="50"/>
      <c r="K258" s="29"/>
      <c r="L258" s="52"/>
    </row>
    <row r="259" spans="2:12" x14ac:dyDescent="0.35">
      <c r="B259" s="93"/>
      <c r="C259" s="94"/>
      <c r="D259" s="95"/>
      <c r="E259" s="96"/>
      <c r="F259" s="96" t="s">
        <v>125</v>
      </c>
      <c r="G259" s="97" t="s">
        <v>195</v>
      </c>
      <c r="H259" s="99">
        <v>4</v>
      </c>
      <c r="I259" s="96" t="s">
        <v>86</v>
      </c>
      <c r="J259" s="50"/>
      <c r="K259" s="29"/>
      <c r="L259" s="52"/>
    </row>
    <row r="260" spans="2:12" x14ac:dyDescent="0.35">
      <c r="B260" s="93"/>
      <c r="C260" s="94"/>
      <c r="D260" s="95"/>
      <c r="E260" s="96"/>
      <c r="F260" s="96" t="s">
        <v>125</v>
      </c>
      <c r="G260" s="97" t="s">
        <v>196</v>
      </c>
      <c r="H260" s="99">
        <v>1</v>
      </c>
      <c r="I260" s="96" t="s">
        <v>86</v>
      </c>
      <c r="J260" s="50"/>
      <c r="K260" s="29"/>
      <c r="L260" s="52"/>
    </row>
    <row r="261" spans="2:12" x14ac:dyDescent="0.35">
      <c r="B261" s="93"/>
      <c r="C261" s="94"/>
      <c r="D261" s="95"/>
      <c r="E261" s="96"/>
      <c r="F261" s="96" t="s">
        <v>125</v>
      </c>
      <c r="G261" s="97" t="s">
        <v>197</v>
      </c>
      <c r="H261" s="99">
        <v>1</v>
      </c>
      <c r="I261" s="96" t="s">
        <v>86</v>
      </c>
      <c r="J261" s="50"/>
      <c r="K261" s="29"/>
      <c r="L261" s="52"/>
    </row>
    <row r="262" spans="2:12" x14ac:dyDescent="0.35">
      <c r="B262" s="93"/>
      <c r="C262" s="94"/>
      <c r="D262" s="95"/>
      <c r="E262" s="96"/>
      <c r="F262" s="96" t="s">
        <v>125</v>
      </c>
      <c r="G262" s="97" t="s">
        <v>198</v>
      </c>
      <c r="H262" s="99">
        <v>250</v>
      </c>
      <c r="I262" s="96" t="s">
        <v>139</v>
      </c>
      <c r="J262" s="50"/>
      <c r="K262" s="29"/>
      <c r="L262" s="52"/>
    </row>
    <row r="263" spans="2:12" x14ac:dyDescent="0.35">
      <c r="B263" s="93"/>
      <c r="C263" s="94"/>
      <c r="D263" s="95"/>
      <c r="E263" s="96"/>
      <c r="F263" s="96" t="s">
        <v>125</v>
      </c>
      <c r="G263" s="97" t="s">
        <v>199</v>
      </c>
      <c r="H263" s="99">
        <v>4</v>
      </c>
      <c r="I263" s="96" t="s">
        <v>139</v>
      </c>
      <c r="J263" s="50"/>
      <c r="K263" s="29"/>
      <c r="L263" s="52"/>
    </row>
    <row r="264" spans="2:12" x14ac:dyDescent="0.35">
      <c r="B264" s="93"/>
      <c r="C264" s="94"/>
      <c r="D264" s="95"/>
      <c r="E264" s="96"/>
      <c r="F264" s="96" t="s">
        <v>125</v>
      </c>
      <c r="G264" s="97" t="s">
        <v>200</v>
      </c>
      <c r="H264" s="99">
        <v>16</v>
      </c>
      <c r="I264" s="96" t="s">
        <v>86</v>
      </c>
      <c r="J264" s="50"/>
      <c r="K264" s="29"/>
      <c r="L264" s="52"/>
    </row>
    <row r="265" spans="2:12" x14ac:dyDescent="0.35">
      <c r="B265" s="93"/>
      <c r="C265" s="94"/>
      <c r="D265" s="95" t="s">
        <v>43</v>
      </c>
      <c r="E265" s="96"/>
      <c r="F265" s="96" t="s">
        <v>201</v>
      </c>
      <c r="G265" s="97"/>
      <c r="H265" s="99">
        <v>1</v>
      </c>
      <c r="I265" s="96" t="s">
        <v>42</v>
      </c>
      <c r="J265" s="50"/>
      <c r="K265" s="29"/>
      <c r="L265" s="52"/>
    </row>
    <row r="266" spans="2:12" x14ac:dyDescent="0.35">
      <c r="B266" s="93"/>
      <c r="C266" s="94"/>
      <c r="D266" s="95"/>
      <c r="E266" s="96"/>
      <c r="F266" s="96" t="s">
        <v>125</v>
      </c>
      <c r="G266" s="97" t="s">
        <v>192</v>
      </c>
      <c r="H266" s="99">
        <v>4000</v>
      </c>
      <c r="I266" s="96" t="s">
        <v>139</v>
      </c>
      <c r="J266" s="50"/>
      <c r="K266" s="29"/>
      <c r="L266" s="52"/>
    </row>
    <row r="267" spans="2:12" x14ac:dyDescent="0.35">
      <c r="B267" s="93"/>
      <c r="C267" s="94"/>
      <c r="D267" s="95"/>
      <c r="E267" s="96"/>
      <c r="F267" s="96" t="s">
        <v>125</v>
      </c>
      <c r="G267" s="97" t="s">
        <v>193</v>
      </c>
      <c r="H267" s="99">
        <v>7</v>
      </c>
      <c r="I267" s="96" t="s">
        <v>86</v>
      </c>
      <c r="J267" s="50"/>
      <c r="K267" s="29"/>
      <c r="L267" s="52"/>
    </row>
    <row r="268" spans="2:12" x14ac:dyDescent="0.35">
      <c r="B268" s="93"/>
      <c r="C268" s="94"/>
      <c r="D268" s="95"/>
      <c r="E268" s="96"/>
      <c r="F268" s="96" t="s">
        <v>125</v>
      </c>
      <c r="G268" s="97" t="s">
        <v>194</v>
      </c>
      <c r="H268" s="99">
        <v>5</v>
      </c>
      <c r="I268" s="96" t="s">
        <v>86</v>
      </c>
      <c r="J268" s="50"/>
      <c r="K268" s="29"/>
      <c r="L268" s="52"/>
    </row>
    <row r="269" spans="2:12" x14ac:dyDescent="0.35">
      <c r="B269" s="93"/>
      <c r="C269" s="94"/>
      <c r="D269" s="95"/>
      <c r="E269" s="96"/>
      <c r="F269" s="96" t="s">
        <v>125</v>
      </c>
      <c r="G269" s="97" t="s">
        <v>195</v>
      </c>
      <c r="H269" s="99">
        <v>4</v>
      </c>
      <c r="I269" s="96" t="s">
        <v>86</v>
      </c>
      <c r="J269" s="50"/>
      <c r="K269" s="29"/>
      <c r="L269" s="52"/>
    </row>
    <row r="270" spans="2:12" x14ac:dyDescent="0.35">
      <c r="B270" s="93"/>
      <c r="C270" s="94"/>
      <c r="D270" s="95"/>
      <c r="E270" s="96"/>
      <c r="F270" s="96" t="s">
        <v>125</v>
      </c>
      <c r="G270" s="97" t="s">
        <v>196</v>
      </c>
      <c r="H270" s="99">
        <v>1</v>
      </c>
      <c r="I270" s="96" t="s">
        <v>86</v>
      </c>
      <c r="J270" s="50"/>
      <c r="K270" s="29"/>
      <c r="L270" s="52"/>
    </row>
    <row r="271" spans="2:12" x14ac:dyDescent="0.35">
      <c r="B271" s="93"/>
      <c r="C271" s="94"/>
      <c r="D271" s="95"/>
      <c r="E271" s="96"/>
      <c r="F271" s="96"/>
      <c r="G271" s="97"/>
      <c r="H271" s="99"/>
      <c r="I271" s="96"/>
      <c r="J271" s="50"/>
      <c r="K271" s="29"/>
      <c r="L271" s="52"/>
    </row>
    <row r="272" spans="2:12" x14ac:dyDescent="0.35">
      <c r="B272" s="93"/>
      <c r="C272" s="94"/>
      <c r="D272" s="95"/>
      <c r="E272" s="96"/>
      <c r="F272" s="96"/>
      <c r="G272" s="97"/>
      <c r="H272" s="99"/>
      <c r="I272" s="96"/>
      <c r="J272" s="50"/>
      <c r="K272" s="29"/>
      <c r="L272" s="52"/>
    </row>
    <row r="273" spans="2:12" x14ac:dyDescent="0.35">
      <c r="B273" s="93"/>
      <c r="C273" s="94"/>
      <c r="D273" s="95"/>
      <c r="E273" s="96"/>
      <c r="F273" s="96"/>
      <c r="G273" s="97"/>
      <c r="H273" s="99"/>
      <c r="I273" s="96"/>
      <c r="J273" s="50"/>
      <c r="K273" s="29"/>
      <c r="L273" s="52"/>
    </row>
    <row r="274" spans="2:12" x14ac:dyDescent="0.35">
      <c r="B274" s="8"/>
      <c r="C274" s="9"/>
      <c r="D274" s="10"/>
      <c r="E274" s="4"/>
      <c r="F274" s="4"/>
      <c r="G274" s="4"/>
      <c r="H274" s="1"/>
      <c r="I274" s="1"/>
      <c r="J274" s="11" t="s">
        <v>8</v>
      </c>
      <c r="K274" s="7">
        <f>SUM(K221:K273)</f>
        <v>0</v>
      </c>
      <c r="L274" s="7">
        <f>SUM(L221:L273)</f>
        <v>0</v>
      </c>
    </row>
    <row r="275" spans="2:12" x14ac:dyDescent="0.35">
      <c r="B275" s="8"/>
      <c r="C275" s="9"/>
      <c r="D275" s="9"/>
      <c r="E275" s="4"/>
      <c r="F275" s="4"/>
      <c r="G275" s="4"/>
      <c r="H275" s="1"/>
      <c r="I275" s="1"/>
      <c r="J275" s="11"/>
      <c r="K275" s="35" t="s">
        <v>22</v>
      </c>
      <c r="L275" s="36" t="s">
        <v>23</v>
      </c>
    </row>
    <row r="276" spans="2:12" x14ac:dyDescent="0.35">
      <c r="B276" s="3" t="s">
        <v>9</v>
      </c>
      <c r="C276" s="4"/>
      <c r="D276" s="4"/>
      <c r="E276" s="4"/>
      <c r="F276" s="4"/>
      <c r="G276" s="4"/>
      <c r="H276" s="1"/>
      <c r="I276" s="1"/>
      <c r="J276" s="12"/>
      <c r="K276" s="12"/>
      <c r="L276" s="13"/>
    </row>
    <row r="277" spans="2:12" x14ac:dyDescent="0.35">
      <c r="B277" s="37"/>
      <c r="C277" s="1"/>
      <c r="D277" s="1"/>
      <c r="E277" s="38"/>
      <c r="F277" s="38"/>
      <c r="G277" s="38"/>
      <c r="H277" s="1"/>
      <c r="I277" s="1"/>
      <c r="J277" s="1"/>
      <c r="K277" s="1"/>
      <c r="L277" s="19"/>
    </row>
    <row r="278" spans="2:12" x14ac:dyDescent="0.35">
      <c r="B278" s="28" t="s">
        <v>6</v>
      </c>
      <c r="C278" s="27"/>
      <c r="D278" s="27"/>
      <c r="E278" s="26"/>
      <c r="F278" s="26"/>
      <c r="G278" s="5"/>
      <c r="K278" s="125" t="s">
        <v>36</v>
      </c>
      <c r="L278" s="126"/>
    </row>
    <row r="279" spans="2:12" x14ac:dyDescent="0.35">
      <c r="B279" s="28">
        <v>1</v>
      </c>
      <c r="C279" s="27"/>
      <c r="D279" s="27"/>
      <c r="E279" s="26" t="s">
        <v>7</v>
      </c>
      <c r="F279" s="26"/>
      <c r="G279" s="5"/>
      <c r="K279" s="125" t="s">
        <v>28</v>
      </c>
      <c r="L279" s="126"/>
    </row>
    <row r="280" spans="2:12" x14ac:dyDescent="0.35">
      <c r="B280" s="39"/>
      <c r="C280" s="27"/>
      <c r="D280" s="27"/>
      <c r="E280" s="26"/>
      <c r="F280" s="26"/>
      <c r="G280" s="5"/>
      <c r="J280" s="25"/>
      <c r="K280" s="25"/>
      <c r="L280" s="24"/>
    </row>
    <row r="281" spans="2:12" x14ac:dyDescent="0.35">
      <c r="B281" s="28"/>
      <c r="C281" s="27"/>
      <c r="D281" s="27"/>
      <c r="E281" s="26"/>
      <c r="F281" s="26"/>
      <c r="G281" s="5"/>
      <c r="L281" s="22"/>
    </row>
    <row r="282" spans="2:12" x14ac:dyDescent="0.35">
      <c r="B282" s="45"/>
      <c r="E282" s="5"/>
      <c r="F282" s="5"/>
      <c r="G282" s="5"/>
      <c r="L282" s="22"/>
    </row>
    <row r="283" spans="2:12" x14ac:dyDescent="0.35">
      <c r="B283" s="45"/>
      <c r="E283" s="5"/>
      <c r="F283" s="5"/>
      <c r="G283" s="5"/>
      <c r="L283" s="22"/>
    </row>
    <row r="284" spans="2:12" x14ac:dyDescent="0.35">
      <c r="B284" s="45"/>
      <c r="E284" s="5"/>
      <c r="F284" s="5"/>
      <c r="G284" s="5"/>
      <c r="L284" s="22"/>
    </row>
    <row r="285" spans="2:12" x14ac:dyDescent="0.35">
      <c r="B285" s="45"/>
      <c r="E285" s="5"/>
      <c r="F285" s="5"/>
      <c r="G285" s="5"/>
      <c r="J285" s="40"/>
      <c r="K285" s="127" t="s">
        <v>37</v>
      </c>
      <c r="L285" s="128"/>
    </row>
    <row r="286" spans="2:12" x14ac:dyDescent="0.35">
      <c r="B286" s="45"/>
      <c r="K286" s="129" t="s">
        <v>38</v>
      </c>
      <c r="L286" s="130"/>
    </row>
    <row r="287" spans="2:12" x14ac:dyDescent="0.35">
      <c r="B287" s="131"/>
      <c r="C287" s="132"/>
      <c r="D287" s="132"/>
      <c r="E287" s="41"/>
      <c r="F287" s="41"/>
      <c r="G287" s="41"/>
      <c r="H287" s="2"/>
      <c r="I287" s="2"/>
      <c r="J287" s="2"/>
      <c r="K287" s="2"/>
      <c r="L287" s="21"/>
    </row>
    <row r="288" spans="2:12" x14ac:dyDescent="0.35">
      <c r="B288" s="47"/>
      <c r="C288" s="48"/>
      <c r="D288" s="49"/>
      <c r="G288" s="22"/>
      <c r="H288" s="1"/>
      <c r="I288" s="1"/>
      <c r="J288" s="43"/>
      <c r="K288" s="30"/>
      <c r="L288" s="44"/>
    </row>
    <row r="289" spans="2:12" x14ac:dyDescent="0.35">
      <c r="B289" s="93"/>
      <c r="C289" s="94"/>
      <c r="D289" s="95"/>
      <c r="E289" s="96"/>
      <c r="F289" s="96" t="s">
        <v>125</v>
      </c>
      <c r="G289" s="97" t="s">
        <v>198</v>
      </c>
      <c r="H289" s="99">
        <v>250</v>
      </c>
      <c r="I289" s="96" t="s">
        <v>139</v>
      </c>
      <c r="J289" s="29"/>
      <c r="K289" s="51"/>
      <c r="L289" s="46"/>
    </row>
    <row r="290" spans="2:12" x14ac:dyDescent="0.35">
      <c r="B290" s="93"/>
      <c r="C290" s="94"/>
      <c r="D290" s="95"/>
      <c r="E290" s="96"/>
      <c r="F290" s="96" t="s">
        <v>125</v>
      </c>
      <c r="G290" s="97" t="s">
        <v>199</v>
      </c>
      <c r="H290" s="99">
        <v>4</v>
      </c>
      <c r="I290" s="96" t="s">
        <v>139</v>
      </c>
      <c r="J290" s="50"/>
      <c r="K290" s="51"/>
      <c r="L290" s="46"/>
    </row>
    <row r="291" spans="2:12" x14ac:dyDescent="0.35">
      <c r="B291" s="93"/>
      <c r="C291" s="94"/>
      <c r="D291" s="95"/>
      <c r="E291" s="96"/>
      <c r="F291" s="96" t="s">
        <v>125</v>
      </c>
      <c r="G291" s="97" t="s">
        <v>200</v>
      </c>
      <c r="H291" s="99">
        <v>16</v>
      </c>
      <c r="I291" s="96" t="s">
        <v>86</v>
      </c>
      <c r="J291" s="50"/>
      <c r="K291" s="51"/>
      <c r="L291" s="46"/>
    </row>
    <row r="292" spans="2:12" x14ac:dyDescent="0.35">
      <c r="B292" s="93"/>
      <c r="C292" s="94" t="s">
        <v>202</v>
      </c>
      <c r="D292" s="95"/>
      <c r="E292" s="96"/>
      <c r="F292" s="96" t="s">
        <v>203</v>
      </c>
      <c r="G292" s="97"/>
      <c r="H292" s="99"/>
      <c r="I292" s="96"/>
      <c r="J292" s="50"/>
      <c r="K292" s="29"/>
      <c r="L292" s="52"/>
    </row>
    <row r="293" spans="2:12" x14ac:dyDescent="0.35">
      <c r="B293" s="93"/>
      <c r="C293" s="94"/>
      <c r="D293" s="95" t="s">
        <v>40</v>
      </c>
      <c r="E293" s="96"/>
      <c r="F293" s="96" t="s">
        <v>204</v>
      </c>
      <c r="G293" s="97"/>
      <c r="H293" s="99">
        <v>1</v>
      </c>
      <c r="I293" s="96" t="s">
        <v>42</v>
      </c>
      <c r="J293" s="50"/>
      <c r="K293" s="29"/>
      <c r="L293" s="52"/>
    </row>
    <row r="294" spans="2:12" x14ac:dyDescent="0.35">
      <c r="B294" s="87"/>
      <c r="C294" s="94"/>
      <c r="D294" s="95"/>
      <c r="E294" s="90"/>
      <c r="F294" s="96" t="s">
        <v>125</v>
      </c>
      <c r="G294" s="97" t="s">
        <v>205</v>
      </c>
      <c r="H294" s="99">
        <v>2500</v>
      </c>
      <c r="I294" s="96" t="s">
        <v>139</v>
      </c>
      <c r="J294" s="50"/>
      <c r="K294" s="29"/>
      <c r="L294" s="52"/>
    </row>
    <row r="295" spans="2:12" x14ac:dyDescent="0.35">
      <c r="B295" s="87"/>
      <c r="C295" s="94"/>
      <c r="D295" s="95"/>
      <c r="E295" s="90"/>
      <c r="F295" s="96" t="s">
        <v>125</v>
      </c>
      <c r="G295" s="97" t="s">
        <v>206</v>
      </c>
      <c r="H295" s="99">
        <v>5</v>
      </c>
      <c r="I295" s="96" t="s">
        <v>86</v>
      </c>
      <c r="J295" s="50"/>
      <c r="K295" s="29"/>
      <c r="L295" s="52"/>
    </row>
    <row r="296" spans="2:12" x14ac:dyDescent="0.35">
      <c r="B296" s="87"/>
      <c r="C296" s="94"/>
      <c r="D296" s="95"/>
      <c r="E296" s="90"/>
      <c r="F296" s="96" t="s">
        <v>125</v>
      </c>
      <c r="G296" s="97" t="s">
        <v>143</v>
      </c>
      <c r="H296" s="99">
        <v>4</v>
      </c>
      <c r="I296" s="96" t="s">
        <v>86</v>
      </c>
      <c r="J296" s="50"/>
      <c r="K296" s="29"/>
      <c r="L296" s="52"/>
    </row>
    <row r="297" spans="2:12" x14ac:dyDescent="0.35">
      <c r="B297" s="87"/>
      <c r="C297" s="94"/>
      <c r="D297" s="95"/>
      <c r="E297" s="90"/>
      <c r="F297" s="96" t="s">
        <v>125</v>
      </c>
      <c r="G297" s="97" t="s">
        <v>146</v>
      </c>
      <c r="H297" s="99">
        <v>4</v>
      </c>
      <c r="I297" s="96" t="s">
        <v>86</v>
      </c>
      <c r="J297" s="50"/>
      <c r="K297" s="29"/>
      <c r="L297" s="52"/>
    </row>
    <row r="298" spans="2:12" x14ac:dyDescent="0.35">
      <c r="B298" s="87"/>
      <c r="C298" s="94"/>
      <c r="D298" s="95"/>
      <c r="E298" s="90"/>
      <c r="F298" s="96" t="s">
        <v>125</v>
      </c>
      <c r="G298" s="97" t="s">
        <v>207</v>
      </c>
      <c r="H298" s="99">
        <v>1</v>
      </c>
      <c r="I298" s="96" t="s">
        <v>86</v>
      </c>
      <c r="J298" s="50"/>
      <c r="K298" s="29"/>
      <c r="L298" s="52"/>
    </row>
    <row r="299" spans="2:12" x14ac:dyDescent="0.35">
      <c r="B299" s="87"/>
      <c r="C299" s="94"/>
      <c r="D299" s="95"/>
      <c r="E299" s="90"/>
      <c r="F299" s="96" t="s">
        <v>125</v>
      </c>
      <c r="G299" s="97" t="s">
        <v>208</v>
      </c>
      <c r="H299" s="99">
        <v>1</v>
      </c>
      <c r="I299" s="96" t="s">
        <v>86</v>
      </c>
      <c r="J299" s="50"/>
      <c r="K299" s="29"/>
      <c r="L299" s="52"/>
    </row>
    <row r="300" spans="2:12" x14ac:dyDescent="0.35">
      <c r="B300" s="87"/>
      <c r="C300" s="94"/>
      <c r="D300" s="95"/>
      <c r="E300" s="90"/>
      <c r="F300" s="96" t="s">
        <v>125</v>
      </c>
      <c r="G300" s="97" t="s">
        <v>209</v>
      </c>
      <c r="H300" s="99">
        <v>1</v>
      </c>
      <c r="I300" s="96" t="s">
        <v>86</v>
      </c>
      <c r="J300" s="50"/>
      <c r="K300" s="29"/>
      <c r="L300" s="52"/>
    </row>
    <row r="301" spans="2:12" x14ac:dyDescent="0.35">
      <c r="B301" s="87"/>
      <c r="C301" s="94"/>
      <c r="D301" s="95"/>
      <c r="E301" s="90"/>
      <c r="F301" s="96" t="s">
        <v>125</v>
      </c>
      <c r="G301" s="97" t="s">
        <v>210</v>
      </c>
      <c r="H301" s="99">
        <v>250</v>
      </c>
      <c r="I301" s="96" t="s">
        <v>139</v>
      </c>
      <c r="J301" s="50"/>
      <c r="K301" s="29"/>
      <c r="L301" s="52"/>
    </row>
    <row r="302" spans="2:12" x14ac:dyDescent="0.35">
      <c r="B302" s="87"/>
      <c r="C302" s="94"/>
      <c r="D302" s="95"/>
      <c r="E302" s="90"/>
      <c r="F302" s="96" t="s">
        <v>125</v>
      </c>
      <c r="G302" s="97" t="s">
        <v>211</v>
      </c>
      <c r="H302" s="99">
        <v>2</v>
      </c>
      <c r="I302" s="96" t="s">
        <v>86</v>
      </c>
      <c r="J302" s="50"/>
      <c r="K302" s="29"/>
      <c r="L302" s="52"/>
    </row>
    <row r="303" spans="2:12" x14ac:dyDescent="0.35">
      <c r="B303" s="87"/>
      <c r="C303" s="94"/>
      <c r="D303" s="95"/>
      <c r="E303" s="90"/>
      <c r="F303" s="96" t="s">
        <v>125</v>
      </c>
      <c r="G303" s="97" t="s">
        <v>149</v>
      </c>
      <c r="H303" s="99">
        <v>16</v>
      </c>
      <c r="I303" s="96" t="s">
        <v>86</v>
      </c>
      <c r="J303" s="50"/>
      <c r="K303" s="29"/>
      <c r="L303" s="52"/>
    </row>
    <row r="304" spans="2:12" x14ac:dyDescent="0.35">
      <c r="B304" s="87" t="s">
        <v>96</v>
      </c>
      <c r="C304" s="94"/>
      <c r="D304" s="95"/>
      <c r="E304" s="90" t="s">
        <v>212</v>
      </c>
      <c r="F304" s="96"/>
      <c r="G304" s="97"/>
      <c r="H304" s="98"/>
      <c r="I304" s="96"/>
      <c r="J304" s="50"/>
      <c r="K304" s="29"/>
      <c r="L304" s="52"/>
    </row>
    <row r="305" spans="2:12" x14ac:dyDescent="0.35">
      <c r="B305" s="87"/>
      <c r="C305" s="94"/>
      <c r="D305" s="95" t="s">
        <v>40</v>
      </c>
      <c r="E305" s="90"/>
      <c r="F305" s="96" t="s">
        <v>213</v>
      </c>
      <c r="G305" s="97"/>
      <c r="H305" s="99">
        <v>1</v>
      </c>
      <c r="I305" s="96" t="s">
        <v>124</v>
      </c>
      <c r="J305" s="50"/>
      <c r="K305" s="29"/>
      <c r="L305" s="52"/>
    </row>
    <row r="306" spans="2:12" x14ac:dyDescent="0.35">
      <c r="B306" s="87"/>
      <c r="C306" s="94"/>
      <c r="D306" s="95"/>
      <c r="E306" s="90"/>
      <c r="F306" s="96" t="s">
        <v>125</v>
      </c>
      <c r="G306" s="97" t="s">
        <v>214</v>
      </c>
      <c r="H306" s="98">
        <v>33.911999999999999</v>
      </c>
      <c r="I306" s="96" t="s">
        <v>104</v>
      </c>
      <c r="J306" s="50"/>
      <c r="K306" s="29"/>
      <c r="L306" s="52"/>
    </row>
    <row r="307" spans="2:12" x14ac:dyDescent="0.35">
      <c r="B307" s="87" t="s">
        <v>101</v>
      </c>
      <c r="C307" s="94"/>
      <c r="D307" s="95"/>
      <c r="E307" s="90" t="s">
        <v>215</v>
      </c>
      <c r="F307" s="96"/>
      <c r="G307" s="97"/>
      <c r="H307" s="98"/>
      <c r="I307" s="96"/>
      <c r="J307" s="50"/>
      <c r="K307" s="29"/>
      <c r="L307" s="52"/>
    </row>
    <row r="308" spans="2:12" x14ac:dyDescent="0.35">
      <c r="B308" s="87"/>
      <c r="C308" s="94"/>
      <c r="D308" s="95" t="s">
        <v>40</v>
      </c>
      <c r="E308" s="90"/>
      <c r="F308" s="96" t="s">
        <v>216</v>
      </c>
      <c r="G308" s="97"/>
      <c r="H308" s="99">
        <v>1</v>
      </c>
      <c r="I308" s="96" t="s">
        <v>217</v>
      </c>
      <c r="J308" s="50"/>
      <c r="K308" s="29"/>
      <c r="L308" s="52"/>
    </row>
    <row r="309" spans="2:12" x14ac:dyDescent="0.35">
      <c r="B309" s="87"/>
      <c r="C309" s="94"/>
      <c r="D309" s="95" t="s">
        <v>43</v>
      </c>
      <c r="E309" s="90"/>
      <c r="F309" s="96" t="s">
        <v>218</v>
      </c>
      <c r="G309" s="97"/>
      <c r="H309" s="99">
        <v>1</v>
      </c>
      <c r="I309" s="96" t="s">
        <v>124</v>
      </c>
      <c r="J309" s="50"/>
      <c r="K309" s="29"/>
      <c r="L309" s="52"/>
    </row>
    <row r="310" spans="2:12" x14ac:dyDescent="0.35">
      <c r="B310" s="87"/>
      <c r="C310" s="94"/>
      <c r="D310" s="95"/>
      <c r="E310" s="90"/>
      <c r="F310" s="96" t="s">
        <v>125</v>
      </c>
      <c r="G310" s="97" t="s">
        <v>219</v>
      </c>
      <c r="H310" s="98">
        <v>122.46</v>
      </c>
      <c r="I310" s="96" t="s">
        <v>104</v>
      </c>
      <c r="J310" s="50"/>
      <c r="K310" s="29"/>
      <c r="L310" s="52"/>
    </row>
    <row r="311" spans="2:12" x14ac:dyDescent="0.35">
      <c r="B311" s="87"/>
      <c r="C311" s="94"/>
      <c r="D311" s="95"/>
      <c r="E311" s="90"/>
      <c r="F311" s="96" t="s">
        <v>125</v>
      </c>
      <c r="G311" s="97" t="s">
        <v>220</v>
      </c>
      <c r="H311" s="98">
        <v>20.130000000000003</v>
      </c>
      <c r="I311" s="96" t="s">
        <v>104</v>
      </c>
      <c r="J311" s="50"/>
      <c r="K311" s="29"/>
      <c r="L311" s="52"/>
    </row>
    <row r="312" spans="2:12" x14ac:dyDescent="0.35">
      <c r="B312" s="87"/>
      <c r="C312" s="94"/>
      <c r="D312" s="95"/>
      <c r="E312" s="90"/>
      <c r="F312" s="96" t="s">
        <v>125</v>
      </c>
      <c r="G312" s="97" t="s">
        <v>221</v>
      </c>
      <c r="H312" s="98">
        <v>50.867999999999988</v>
      </c>
      <c r="I312" s="96" t="s">
        <v>104</v>
      </c>
      <c r="J312" s="50"/>
      <c r="K312" s="29"/>
      <c r="L312" s="52"/>
    </row>
    <row r="313" spans="2:12" x14ac:dyDescent="0.35">
      <c r="B313" s="87"/>
      <c r="C313" s="94"/>
      <c r="D313" s="95" t="s">
        <v>45</v>
      </c>
      <c r="E313" s="90"/>
      <c r="F313" s="96" t="s">
        <v>222</v>
      </c>
      <c r="G313" s="97"/>
      <c r="H313" s="99">
        <v>1</v>
      </c>
      <c r="I313" s="96" t="s">
        <v>124</v>
      </c>
      <c r="J313" s="50"/>
      <c r="K313" s="29"/>
      <c r="L313" s="52"/>
    </row>
    <row r="314" spans="2:12" x14ac:dyDescent="0.35">
      <c r="B314" s="93"/>
      <c r="C314" s="94"/>
      <c r="D314" s="95"/>
      <c r="E314" s="96"/>
      <c r="F314" s="96" t="s">
        <v>125</v>
      </c>
      <c r="G314" s="97" t="s">
        <v>219</v>
      </c>
      <c r="H314" s="98">
        <v>122.46</v>
      </c>
      <c r="I314" s="96" t="s">
        <v>104</v>
      </c>
      <c r="J314" s="50"/>
      <c r="K314" s="29"/>
      <c r="L314" s="52"/>
    </row>
    <row r="315" spans="2:12" x14ac:dyDescent="0.35">
      <c r="B315" s="93"/>
      <c r="C315" s="94"/>
      <c r="D315" s="95"/>
      <c r="E315" s="96"/>
      <c r="F315" s="96" t="s">
        <v>125</v>
      </c>
      <c r="G315" s="97" t="s">
        <v>220</v>
      </c>
      <c r="H315" s="98">
        <v>20.130000000000003</v>
      </c>
      <c r="I315" s="96" t="s">
        <v>104</v>
      </c>
      <c r="J315" s="50"/>
      <c r="K315" s="29"/>
      <c r="L315" s="52"/>
    </row>
    <row r="316" spans="2:12" x14ac:dyDescent="0.35">
      <c r="B316" s="93"/>
      <c r="C316" s="94"/>
      <c r="D316" s="95"/>
      <c r="E316" s="96"/>
      <c r="F316" s="96" t="s">
        <v>125</v>
      </c>
      <c r="G316" s="97" t="s">
        <v>221</v>
      </c>
      <c r="H316" s="98">
        <v>50.867999999999988</v>
      </c>
      <c r="I316" s="96" t="s">
        <v>104</v>
      </c>
      <c r="J316" s="50"/>
      <c r="K316" s="29"/>
      <c r="L316" s="52"/>
    </row>
    <row r="317" spans="2:12" x14ac:dyDescent="0.35">
      <c r="B317" s="87" t="s">
        <v>107</v>
      </c>
      <c r="C317" s="88"/>
      <c r="D317" s="89"/>
      <c r="E317" s="90" t="s">
        <v>223</v>
      </c>
      <c r="F317" s="90"/>
      <c r="G317" s="91"/>
      <c r="H317" s="92"/>
      <c r="I317" s="90"/>
      <c r="J317" s="50"/>
      <c r="K317" s="29"/>
      <c r="L317" s="52"/>
    </row>
    <row r="318" spans="2:12" x14ac:dyDescent="0.35">
      <c r="B318" s="78"/>
      <c r="C318" s="73"/>
      <c r="D318" s="74" t="s">
        <v>40</v>
      </c>
      <c r="E318" s="76"/>
      <c r="F318" s="76" t="s">
        <v>224</v>
      </c>
      <c r="G318" s="77"/>
      <c r="H318" s="71">
        <v>9</v>
      </c>
      <c r="I318" s="77" t="s">
        <v>118</v>
      </c>
      <c r="J318" s="50"/>
      <c r="K318" s="29"/>
      <c r="L318" s="52"/>
    </row>
    <row r="319" spans="2:12" x14ac:dyDescent="0.35">
      <c r="B319" s="87" t="s">
        <v>110</v>
      </c>
      <c r="C319" s="88"/>
      <c r="D319" s="89"/>
      <c r="E319" s="90" t="s">
        <v>18</v>
      </c>
      <c r="F319" s="90"/>
      <c r="G319" s="91"/>
      <c r="H319" s="92"/>
      <c r="I319" s="90"/>
      <c r="J319" s="50"/>
      <c r="K319" s="29"/>
      <c r="L319" s="52"/>
    </row>
    <row r="320" spans="2:12" x14ac:dyDescent="0.35">
      <c r="B320" s="87"/>
      <c r="C320" s="94"/>
      <c r="D320" s="95" t="s">
        <v>40</v>
      </c>
      <c r="E320" s="90"/>
      <c r="F320" s="96" t="s">
        <v>225</v>
      </c>
      <c r="G320" s="97"/>
      <c r="H320" s="99">
        <v>1</v>
      </c>
      <c r="I320" s="96" t="s">
        <v>217</v>
      </c>
      <c r="J320" s="50"/>
      <c r="K320" s="29"/>
      <c r="L320" s="52"/>
    </row>
    <row r="321" spans="2:12" x14ac:dyDescent="0.35">
      <c r="B321" s="87"/>
      <c r="C321" s="94"/>
      <c r="D321" s="95" t="s">
        <v>43</v>
      </c>
      <c r="E321" s="90"/>
      <c r="F321" s="96" t="s">
        <v>226</v>
      </c>
      <c r="G321" s="97"/>
      <c r="H321" s="99">
        <v>6</v>
      </c>
      <c r="I321" s="96" t="s">
        <v>227</v>
      </c>
      <c r="J321" s="50"/>
      <c r="K321" s="29"/>
      <c r="L321" s="52"/>
    </row>
    <row r="322" spans="2:12" x14ac:dyDescent="0.35">
      <c r="B322" s="87"/>
      <c r="C322" s="94"/>
      <c r="D322" s="95"/>
      <c r="E322" s="90"/>
      <c r="F322" s="96" t="s">
        <v>125</v>
      </c>
      <c r="G322" s="97" t="s">
        <v>228</v>
      </c>
      <c r="H322" s="99">
        <v>1000</v>
      </c>
      <c r="I322" s="96" t="s">
        <v>139</v>
      </c>
      <c r="J322" s="50"/>
      <c r="K322" s="29"/>
      <c r="L322" s="52"/>
    </row>
    <row r="323" spans="2:12" x14ac:dyDescent="0.35">
      <c r="B323" s="87"/>
      <c r="C323" s="94"/>
      <c r="D323" s="95"/>
      <c r="E323" s="90"/>
      <c r="F323" s="96" t="s">
        <v>125</v>
      </c>
      <c r="G323" s="97" t="s">
        <v>229</v>
      </c>
      <c r="H323" s="99">
        <v>3</v>
      </c>
      <c r="I323" s="96" t="s">
        <v>86</v>
      </c>
      <c r="J323" s="50"/>
      <c r="K323" s="29"/>
      <c r="L323" s="52"/>
    </row>
    <row r="324" spans="2:12" x14ac:dyDescent="0.35">
      <c r="B324" s="87"/>
      <c r="C324" s="94"/>
      <c r="D324" s="95"/>
      <c r="E324" s="90"/>
      <c r="F324" s="96" t="s">
        <v>125</v>
      </c>
      <c r="G324" s="97" t="s">
        <v>209</v>
      </c>
      <c r="H324" s="99">
        <v>1</v>
      </c>
      <c r="I324" s="96" t="s">
        <v>86</v>
      </c>
      <c r="J324" s="50"/>
      <c r="K324" s="29"/>
      <c r="L324" s="52"/>
    </row>
    <row r="325" spans="2:12" x14ac:dyDescent="0.35">
      <c r="B325" s="87"/>
      <c r="C325" s="94"/>
      <c r="D325" s="95"/>
      <c r="E325" s="90"/>
      <c r="F325" s="96" t="s">
        <v>125</v>
      </c>
      <c r="G325" s="97" t="s">
        <v>230</v>
      </c>
      <c r="H325" s="99">
        <v>500</v>
      </c>
      <c r="I325" s="96" t="s">
        <v>139</v>
      </c>
      <c r="J325" s="50"/>
      <c r="K325" s="29"/>
      <c r="L325" s="52"/>
    </row>
    <row r="326" spans="2:12" x14ac:dyDescent="0.35">
      <c r="B326" s="87"/>
      <c r="C326" s="94"/>
      <c r="D326" s="95"/>
      <c r="E326" s="90"/>
      <c r="F326" s="96" t="s">
        <v>125</v>
      </c>
      <c r="G326" s="97" t="s">
        <v>231</v>
      </c>
      <c r="H326" s="99">
        <v>4</v>
      </c>
      <c r="I326" s="96" t="s">
        <v>86</v>
      </c>
      <c r="J326" s="50"/>
      <c r="K326" s="29"/>
      <c r="L326" s="52"/>
    </row>
    <row r="327" spans="2:12" x14ac:dyDescent="0.35">
      <c r="B327" s="47"/>
      <c r="C327" s="48"/>
      <c r="D327" s="24"/>
      <c r="G327" s="22"/>
      <c r="I327" s="22"/>
      <c r="J327" s="50"/>
      <c r="K327" s="29"/>
      <c r="L327" s="52"/>
    </row>
    <row r="328" spans="2:12" x14ac:dyDescent="0.35">
      <c r="B328" s="93"/>
      <c r="C328" s="94"/>
      <c r="D328" s="95"/>
      <c r="E328" s="108"/>
      <c r="F328" s="108" t="s">
        <v>232</v>
      </c>
      <c r="G328" s="109"/>
      <c r="H328" s="98"/>
      <c r="I328" s="96"/>
      <c r="J328" s="50"/>
      <c r="K328" s="29"/>
      <c r="L328" s="52"/>
    </row>
    <row r="329" spans="2:12" x14ac:dyDescent="0.35">
      <c r="B329" s="110" t="s">
        <v>39</v>
      </c>
      <c r="C329" s="111"/>
      <c r="D329" s="112"/>
      <c r="E329" s="113" t="s">
        <v>212</v>
      </c>
      <c r="F329" s="113"/>
      <c r="G329" s="114"/>
      <c r="H329" s="115"/>
      <c r="I329" s="113"/>
      <c r="J329" s="50"/>
      <c r="K329" s="29"/>
      <c r="L329" s="52"/>
    </row>
    <row r="330" spans="2:12" x14ac:dyDescent="0.35">
      <c r="B330" s="116"/>
      <c r="C330" s="117"/>
      <c r="D330" s="118" t="s">
        <v>40</v>
      </c>
      <c r="E330" s="119"/>
      <c r="F330" s="119" t="s">
        <v>233</v>
      </c>
      <c r="G330" s="120"/>
      <c r="H330" s="121"/>
      <c r="I330" s="119"/>
      <c r="J330" s="50"/>
      <c r="K330" s="29"/>
      <c r="L330" s="52"/>
    </row>
    <row r="331" spans="2:12" x14ac:dyDescent="0.35">
      <c r="B331" s="116"/>
      <c r="C331" s="117"/>
      <c r="D331" s="118"/>
      <c r="E331" s="119"/>
      <c r="F331" s="119" t="s">
        <v>125</v>
      </c>
      <c r="G331" s="120" t="s">
        <v>234</v>
      </c>
      <c r="H331" s="121">
        <v>94.2</v>
      </c>
      <c r="I331" s="119" t="s">
        <v>104</v>
      </c>
      <c r="J331" s="50"/>
      <c r="K331" s="29"/>
      <c r="L331" s="52"/>
    </row>
    <row r="332" spans="2:12" x14ac:dyDescent="0.35">
      <c r="B332" s="116"/>
      <c r="C332" s="117"/>
      <c r="D332" s="118" t="s">
        <v>43</v>
      </c>
      <c r="E332" s="119"/>
      <c r="F332" s="119" t="s">
        <v>235</v>
      </c>
      <c r="G332" s="120"/>
      <c r="H332" s="121"/>
      <c r="I332" s="119"/>
      <c r="J332" s="50"/>
      <c r="K332" s="29"/>
      <c r="L332" s="52"/>
    </row>
    <row r="333" spans="2:12" x14ac:dyDescent="0.35">
      <c r="B333" s="87"/>
      <c r="C333" s="94"/>
      <c r="D333" s="95"/>
      <c r="E333" s="90"/>
      <c r="F333" s="96" t="s">
        <v>125</v>
      </c>
      <c r="G333" s="97" t="s">
        <v>236</v>
      </c>
      <c r="H333" s="98">
        <v>141.29999999999998</v>
      </c>
      <c r="I333" s="96" t="s">
        <v>104</v>
      </c>
      <c r="J333" s="50"/>
      <c r="K333" s="29"/>
      <c r="L333" s="52"/>
    </row>
    <row r="334" spans="2:12" x14ac:dyDescent="0.35">
      <c r="B334" s="87"/>
      <c r="C334" s="94"/>
      <c r="D334" s="95" t="s">
        <v>45</v>
      </c>
      <c r="E334" s="90"/>
      <c r="F334" s="96" t="s">
        <v>237</v>
      </c>
      <c r="G334" s="97"/>
      <c r="H334" s="98"/>
      <c r="I334" s="96"/>
      <c r="J334" s="50"/>
      <c r="K334" s="29"/>
      <c r="L334" s="52"/>
    </row>
    <row r="335" spans="2:12" x14ac:dyDescent="0.35">
      <c r="B335" s="87"/>
      <c r="C335" s="94"/>
      <c r="D335" s="95"/>
      <c r="E335" s="90"/>
      <c r="F335" s="96" t="s">
        <v>125</v>
      </c>
      <c r="G335" s="97" t="s">
        <v>238</v>
      </c>
      <c r="H335" s="98">
        <v>70.650000000000006</v>
      </c>
      <c r="I335" s="96" t="s">
        <v>104</v>
      </c>
      <c r="J335" s="50"/>
      <c r="K335" s="29"/>
      <c r="L335" s="52"/>
    </row>
    <row r="336" spans="2:12" x14ac:dyDescent="0.35">
      <c r="B336" s="87"/>
      <c r="C336" s="94"/>
      <c r="D336" s="95"/>
      <c r="E336" s="90"/>
      <c r="F336" s="96" t="s">
        <v>125</v>
      </c>
      <c r="G336" s="97" t="s">
        <v>239</v>
      </c>
      <c r="H336" s="99">
        <v>6</v>
      </c>
      <c r="I336" s="96" t="s">
        <v>240</v>
      </c>
      <c r="J336" s="50"/>
      <c r="K336" s="29"/>
      <c r="L336" s="52"/>
    </row>
    <row r="337" spans="2:12" x14ac:dyDescent="0.35">
      <c r="B337" s="47"/>
      <c r="C337" s="48"/>
      <c r="D337" s="24"/>
      <c r="G337" s="22"/>
      <c r="I337" s="22"/>
      <c r="J337" s="50"/>
      <c r="K337" s="29"/>
      <c r="L337" s="52"/>
    </row>
    <row r="338" spans="2:12" x14ac:dyDescent="0.35">
      <c r="B338" s="47"/>
      <c r="C338" s="48"/>
      <c r="D338" s="24"/>
      <c r="G338" s="22"/>
      <c r="I338" s="22"/>
      <c r="J338" s="50"/>
      <c r="K338" s="29"/>
      <c r="L338" s="52"/>
    </row>
    <row r="339" spans="2:12" x14ac:dyDescent="0.35">
      <c r="B339" s="47"/>
      <c r="C339" s="48"/>
      <c r="D339" s="24"/>
      <c r="G339" s="22"/>
      <c r="I339" s="22"/>
      <c r="J339" s="50"/>
      <c r="K339" s="29"/>
      <c r="L339" s="52"/>
    </row>
    <row r="340" spans="2:12" x14ac:dyDescent="0.35">
      <c r="B340" s="47"/>
      <c r="C340" s="48"/>
      <c r="D340" s="24"/>
      <c r="G340" s="22"/>
      <c r="I340" s="22"/>
      <c r="J340" s="50"/>
      <c r="K340" s="29"/>
      <c r="L340" s="52"/>
    </row>
    <row r="341" spans="2:12" x14ac:dyDescent="0.35">
      <c r="B341" s="8"/>
      <c r="C341" s="9"/>
      <c r="D341" s="10"/>
      <c r="E341" s="4"/>
      <c r="F341" s="4"/>
      <c r="G341" s="4"/>
      <c r="H341" s="1"/>
      <c r="I341" s="1"/>
      <c r="J341" s="11" t="s">
        <v>8</v>
      </c>
      <c r="K341" s="7">
        <f>SUM(K288:K340)</f>
        <v>0</v>
      </c>
      <c r="L341" s="7">
        <f>SUM(L288:L340)</f>
        <v>0</v>
      </c>
    </row>
    <row r="342" spans="2:12" x14ac:dyDescent="0.35">
      <c r="B342" s="8"/>
      <c r="C342" s="9"/>
      <c r="D342" s="9"/>
      <c r="E342" s="4"/>
      <c r="F342" s="4"/>
      <c r="G342" s="4"/>
      <c r="H342" s="1"/>
      <c r="I342" s="1"/>
      <c r="J342" s="11"/>
      <c r="K342" s="35" t="s">
        <v>22</v>
      </c>
      <c r="L342" s="36" t="s">
        <v>23</v>
      </c>
    </row>
    <row r="343" spans="2:12" x14ac:dyDescent="0.35">
      <c r="B343" s="3" t="s">
        <v>9</v>
      </c>
      <c r="C343" s="4"/>
      <c r="D343" s="4"/>
      <c r="E343" s="4"/>
      <c r="F343" s="4"/>
      <c r="G343" s="4"/>
      <c r="H343" s="1"/>
      <c r="I343" s="1"/>
      <c r="J343" s="12"/>
      <c r="K343" s="12"/>
      <c r="L343" s="13"/>
    </row>
    <row r="344" spans="2:12" x14ac:dyDescent="0.35">
      <c r="B344" s="37"/>
      <c r="C344" s="1"/>
      <c r="D344" s="1"/>
      <c r="E344" s="38"/>
      <c r="F344" s="38"/>
      <c r="G344" s="38"/>
      <c r="H344" s="1"/>
      <c r="I344" s="1"/>
      <c r="J344" s="1"/>
      <c r="K344" s="1"/>
      <c r="L344" s="19"/>
    </row>
    <row r="345" spans="2:12" x14ac:dyDescent="0.35">
      <c r="B345" s="28" t="s">
        <v>6</v>
      </c>
      <c r="C345" s="27"/>
      <c r="D345" s="27"/>
      <c r="E345" s="26"/>
      <c r="F345" s="26"/>
      <c r="G345" s="5"/>
      <c r="K345" s="125" t="s">
        <v>36</v>
      </c>
      <c r="L345" s="126"/>
    </row>
    <row r="346" spans="2:12" x14ac:dyDescent="0.35">
      <c r="B346" s="28">
        <v>1</v>
      </c>
      <c r="C346" s="27"/>
      <c r="D346" s="27"/>
      <c r="E346" s="26" t="s">
        <v>7</v>
      </c>
      <c r="F346" s="26"/>
      <c r="G346" s="5"/>
      <c r="K346" s="125" t="s">
        <v>28</v>
      </c>
      <c r="L346" s="126"/>
    </row>
    <row r="347" spans="2:12" x14ac:dyDescent="0.35">
      <c r="B347" s="39"/>
      <c r="C347" s="27"/>
      <c r="D347" s="27"/>
      <c r="E347" s="26"/>
      <c r="F347" s="26"/>
      <c r="G347" s="5"/>
      <c r="J347" s="25"/>
      <c r="K347" s="25"/>
      <c r="L347" s="24"/>
    </row>
    <row r="348" spans="2:12" x14ac:dyDescent="0.35">
      <c r="B348" s="28"/>
      <c r="C348" s="27"/>
      <c r="D348" s="27"/>
      <c r="E348" s="26"/>
      <c r="F348" s="26"/>
      <c r="G348" s="5"/>
      <c r="L348" s="22"/>
    </row>
    <row r="349" spans="2:12" x14ac:dyDescent="0.35">
      <c r="B349" s="45"/>
      <c r="E349" s="5"/>
      <c r="F349" s="5"/>
      <c r="G349" s="5"/>
      <c r="L349" s="22"/>
    </row>
    <row r="350" spans="2:12" x14ac:dyDescent="0.35">
      <c r="B350" s="45"/>
      <c r="E350" s="5"/>
      <c r="F350" s="5"/>
      <c r="G350" s="5"/>
      <c r="L350" s="22"/>
    </row>
    <row r="351" spans="2:12" x14ac:dyDescent="0.35">
      <c r="B351" s="45"/>
      <c r="E351" s="5"/>
      <c r="F351" s="5"/>
      <c r="G351" s="5"/>
      <c r="L351" s="22"/>
    </row>
    <row r="352" spans="2:12" x14ac:dyDescent="0.35">
      <c r="B352" s="45"/>
      <c r="E352" s="5"/>
      <c r="F352" s="5"/>
      <c r="G352" s="5"/>
      <c r="J352" s="40"/>
      <c r="K352" s="127" t="s">
        <v>37</v>
      </c>
      <c r="L352" s="128"/>
    </row>
    <row r="353" spans="2:12" x14ac:dyDescent="0.35">
      <c r="B353" s="45"/>
      <c r="K353" s="129" t="s">
        <v>38</v>
      </c>
      <c r="L353" s="130"/>
    </row>
    <row r="354" spans="2:12" x14ac:dyDescent="0.35">
      <c r="B354" s="131"/>
      <c r="C354" s="132"/>
      <c r="D354" s="132"/>
      <c r="E354" s="41"/>
      <c r="F354" s="41"/>
      <c r="G354" s="41"/>
      <c r="H354" s="2"/>
      <c r="I354" s="2"/>
      <c r="J354" s="2"/>
      <c r="K354" s="2"/>
      <c r="L354" s="21"/>
    </row>
    <row r="355" spans="2:12" x14ac:dyDescent="0.35">
      <c r="B355" s="47"/>
      <c r="C355" s="48"/>
      <c r="D355" s="49"/>
      <c r="G355" s="22"/>
      <c r="H355" s="1"/>
      <c r="I355" s="1"/>
      <c r="J355" s="43"/>
      <c r="K355" s="30"/>
      <c r="L355" s="44"/>
    </row>
    <row r="356" spans="2:12" x14ac:dyDescent="0.35">
      <c r="B356" s="87"/>
      <c r="C356" s="94"/>
      <c r="D356" s="95" t="s">
        <v>80</v>
      </c>
      <c r="E356" s="90"/>
      <c r="F356" s="96" t="s">
        <v>241</v>
      </c>
      <c r="G356" s="97"/>
      <c r="H356" s="98"/>
      <c r="I356" s="96"/>
      <c r="J356" s="29"/>
      <c r="K356" s="51"/>
      <c r="L356" s="46"/>
    </row>
    <row r="357" spans="2:12" x14ac:dyDescent="0.35">
      <c r="B357" s="87"/>
      <c r="C357" s="94"/>
      <c r="D357" s="95"/>
      <c r="E357" s="90"/>
      <c r="F357" s="96" t="s">
        <v>125</v>
      </c>
      <c r="G357" s="97" t="s">
        <v>242</v>
      </c>
      <c r="H357" s="98">
        <v>211.95000000000002</v>
      </c>
      <c r="I357" s="96" t="s">
        <v>104</v>
      </c>
      <c r="J357" s="50"/>
      <c r="K357" s="51"/>
      <c r="L357" s="46"/>
    </row>
    <row r="358" spans="2:12" x14ac:dyDescent="0.35">
      <c r="B358" s="87"/>
      <c r="C358" s="94"/>
      <c r="D358" s="95" t="s">
        <v>47</v>
      </c>
      <c r="E358" s="90"/>
      <c r="F358" s="96" t="s">
        <v>243</v>
      </c>
      <c r="G358" s="97"/>
      <c r="H358" s="99">
        <v>100</v>
      </c>
      <c r="I358" s="96" t="s">
        <v>244</v>
      </c>
      <c r="J358" s="50"/>
      <c r="K358" s="51"/>
      <c r="L358" s="46"/>
    </row>
    <row r="359" spans="2:12" x14ac:dyDescent="0.35">
      <c r="B359" s="87"/>
      <c r="C359" s="94"/>
      <c r="D359" s="95" t="s">
        <v>50</v>
      </c>
      <c r="E359" s="90"/>
      <c r="F359" s="96" t="s">
        <v>245</v>
      </c>
      <c r="G359" s="97"/>
      <c r="H359" s="99">
        <v>10</v>
      </c>
      <c r="I359" s="96" t="s">
        <v>65</v>
      </c>
      <c r="J359" s="50"/>
      <c r="K359" s="29"/>
      <c r="L359" s="52"/>
    </row>
    <row r="360" spans="2:12" x14ac:dyDescent="0.35">
      <c r="B360" s="87" t="s">
        <v>74</v>
      </c>
      <c r="C360" s="88"/>
      <c r="D360" s="89"/>
      <c r="E360" s="90" t="s">
        <v>215</v>
      </c>
      <c r="F360" s="90"/>
      <c r="G360" s="91"/>
      <c r="H360" s="92"/>
      <c r="I360" s="90"/>
      <c r="J360" s="50"/>
      <c r="K360" s="29"/>
      <c r="L360" s="52"/>
    </row>
    <row r="361" spans="2:12" x14ac:dyDescent="0.35">
      <c r="B361" s="93"/>
      <c r="C361" s="94"/>
      <c r="D361" s="95" t="s">
        <v>40</v>
      </c>
      <c r="E361" s="96"/>
      <c r="F361" s="96" t="s">
        <v>246</v>
      </c>
      <c r="G361" s="97"/>
      <c r="H361" s="99"/>
      <c r="I361" s="96"/>
      <c r="J361" s="50"/>
      <c r="K361" s="29"/>
      <c r="L361" s="52"/>
    </row>
    <row r="362" spans="2:12" x14ac:dyDescent="0.35">
      <c r="B362" s="93"/>
      <c r="C362" s="94"/>
      <c r="D362" s="95"/>
      <c r="E362" s="96"/>
      <c r="F362" s="96" t="s">
        <v>125</v>
      </c>
      <c r="G362" s="97" t="s">
        <v>239</v>
      </c>
      <c r="H362" s="99">
        <v>6</v>
      </c>
      <c r="I362" s="96" t="s">
        <v>240</v>
      </c>
      <c r="J362" s="50"/>
      <c r="K362" s="29"/>
      <c r="L362" s="52"/>
    </row>
    <row r="363" spans="2:12" x14ac:dyDescent="0.35">
      <c r="B363" s="93"/>
      <c r="C363" s="94"/>
      <c r="D363" s="95" t="s">
        <v>43</v>
      </c>
      <c r="E363" s="96"/>
      <c r="F363" s="96" t="s">
        <v>247</v>
      </c>
      <c r="G363" s="97"/>
      <c r="H363" s="98"/>
      <c r="I363" s="96"/>
      <c r="J363" s="50"/>
      <c r="K363" s="29"/>
      <c r="L363" s="52"/>
    </row>
    <row r="364" spans="2:12" x14ac:dyDescent="0.35">
      <c r="B364" s="93"/>
      <c r="C364" s="94"/>
      <c r="D364" s="95"/>
      <c r="E364" s="96"/>
      <c r="F364" s="96" t="s">
        <v>125</v>
      </c>
      <c r="G364" s="97" t="s">
        <v>239</v>
      </c>
      <c r="H364" s="99">
        <v>6</v>
      </c>
      <c r="I364" s="96" t="s">
        <v>240</v>
      </c>
      <c r="J364" s="50"/>
      <c r="K364" s="29"/>
      <c r="L364" s="52"/>
    </row>
    <row r="365" spans="2:12" x14ac:dyDescent="0.35">
      <c r="B365" s="93"/>
      <c r="C365" s="94"/>
      <c r="D365" s="95"/>
      <c r="E365" s="96"/>
      <c r="F365" s="96"/>
      <c r="G365" s="97"/>
      <c r="H365" s="98"/>
      <c r="I365" s="96"/>
      <c r="J365" s="50"/>
      <c r="K365" s="29"/>
      <c r="L365" s="52"/>
    </row>
    <row r="366" spans="2:12" x14ac:dyDescent="0.35">
      <c r="B366" s="93"/>
      <c r="C366" s="94"/>
      <c r="D366" s="95"/>
      <c r="E366" s="108"/>
      <c r="F366" s="108" t="s">
        <v>248</v>
      </c>
      <c r="G366" s="109"/>
      <c r="H366" s="98"/>
      <c r="I366" s="96"/>
      <c r="J366" s="50"/>
      <c r="K366" s="29"/>
      <c r="L366" s="52"/>
    </row>
    <row r="367" spans="2:12" x14ac:dyDescent="0.35">
      <c r="B367" s="87" t="s">
        <v>39</v>
      </c>
      <c r="C367" s="88"/>
      <c r="D367" s="89"/>
      <c r="E367" s="90" t="s">
        <v>10</v>
      </c>
      <c r="F367" s="90"/>
      <c r="G367" s="91"/>
      <c r="H367" s="92"/>
      <c r="I367" s="90"/>
      <c r="J367" s="50"/>
      <c r="K367" s="29"/>
      <c r="L367" s="52"/>
    </row>
    <row r="368" spans="2:12" x14ac:dyDescent="0.35">
      <c r="B368" s="87"/>
      <c r="C368" s="94"/>
      <c r="D368" s="95" t="s">
        <v>40</v>
      </c>
      <c r="E368" s="90"/>
      <c r="F368" s="96" t="s">
        <v>249</v>
      </c>
      <c r="G368" s="97"/>
      <c r="H368" s="99">
        <v>28</v>
      </c>
      <c r="I368" s="96" t="s">
        <v>69</v>
      </c>
      <c r="J368" s="50"/>
      <c r="K368" s="29"/>
      <c r="L368" s="52"/>
    </row>
    <row r="369" spans="2:12" x14ac:dyDescent="0.35">
      <c r="B369" s="87" t="s">
        <v>74</v>
      </c>
      <c r="C369" s="94"/>
      <c r="D369" s="95"/>
      <c r="E369" s="90" t="s">
        <v>88</v>
      </c>
      <c r="F369" s="96"/>
      <c r="G369" s="97"/>
      <c r="H369" s="99"/>
      <c r="I369" s="96"/>
      <c r="J369" s="50"/>
      <c r="K369" s="29"/>
      <c r="L369" s="52"/>
    </row>
    <row r="370" spans="2:12" x14ac:dyDescent="0.35">
      <c r="B370" s="87"/>
      <c r="C370" s="94"/>
      <c r="D370" s="95" t="s">
        <v>40</v>
      </c>
      <c r="E370" s="122"/>
      <c r="F370" s="123" t="s">
        <v>250</v>
      </c>
      <c r="G370" s="124"/>
      <c r="H370" s="99">
        <v>0</v>
      </c>
      <c r="I370" s="96" t="s">
        <v>124</v>
      </c>
      <c r="J370" s="50"/>
      <c r="K370" s="29"/>
      <c r="L370" s="52"/>
    </row>
    <row r="371" spans="2:12" x14ac:dyDescent="0.35">
      <c r="B371" s="87"/>
      <c r="C371" s="94"/>
      <c r="D371" s="95"/>
      <c r="E371" s="90"/>
      <c r="F371" s="96" t="s">
        <v>125</v>
      </c>
      <c r="G371" s="97" t="s">
        <v>251</v>
      </c>
      <c r="H371" s="99"/>
      <c r="I371" s="96"/>
      <c r="J371" s="50"/>
      <c r="K371" s="29"/>
      <c r="L371" s="52"/>
    </row>
    <row r="372" spans="2:12" x14ac:dyDescent="0.35">
      <c r="B372" s="87"/>
      <c r="C372" s="94"/>
      <c r="D372" s="95"/>
      <c r="E372" s="90"/>
      <c r="F372" s="96" t="s">
        <v>125</v>
      </c>
      <c r="G372" s="97" t="s">
        <v>252</v>
      </c>
      <c r="H372" s="99"/>
      <c r="I372" s="96"/>
      <c r="J372" s="50"/>
      <c r="K372" s="29"/>
      <c r="L372" s="52"/>
    </row>
    <row r="373" spans="2:12" x14ac:dyDescent="0.35">
      <c r="B373" s="87"/>
      <c r="C373" s="94"/>
      <c r="D373" s="95" t="s">
        <v>43</v>
      </c>
      <c r="E373" s="122"/>
      <c r="F373" s="123" t="s">
        <v>253</v>
      </c>
      <c r="G373" s="124"/>
      <c r="H373" s="99">
        <v>0</v>
      </c>
      <c r="I373" s="96" t="s">
        <v>124</v>
      </c>
      <c r="J373" s="50"/>
      <c r="K373" s="29"/>
      <c r="L373" s="52"/>
    </row>
    <row r="374" spans="2:12" x14ac:dyDescent="0.35">
      <c r="B374" s="87"/>
      <c r="C374" s="94"/>
      <c r="D374" s="95"/>
      <c r="E374" s="90"/>
      <c r="F374" s="96" t="s">
        <v>125</v>
      </c>
      <c r="G374" s="97" t="s">
        <v>254</v>
      </c>
      <c r="H374" s="99"/>
      <c r="I374" s="96"/>
      <c r="J374" s="50"/>
      <c r="K374" s="29"/>
      <c r="L374" s="52"/>
    </row>
    <row r="375" spans="2:12" x14ac:dyDescent="0.35">
      <c r="B375" s="87"/>
      <c r="C375" s="94"/>
      <c r="D375" s="95"/>
      <c r="E375" s="90"/>
      <c r="F375" s="96" t="s">
        <v>125</v>
      </c>
      <c r="G375" s="97" t="s">
        <v>251</v>
      </c>
      <c r="H375" s="99"/>
      <c r="I375" s="96"/>
      <c r="J375" s="50"/>
      <c r="K375" s="29"/>
      <c r="L375" s="52"/>
    </row>
    <row r="376" spans="2:12" x14ac:dyDescent="0.35">
      <c r="B376" s="87"/>
      <c r="C376" s="94"/>
      <c r="D376" s="95"/>
      <c r="E376" s="90"/>
      <c r="F376" s="96" t="s">
        <v>125</v>
      </c>
      <c r="G376" s="97" t="s">
        <v>255</v>
      </c>
      <c r="H376" s="99"/>
      <c r="I376" s="96"/>
      <c r="J376" s="50"/>
      <c r="K376" s="29"/>
      <c r="L376" s="52"/>
    </row>
    <row r="377" spans="2:12" x14ac:dyDescent="0.35">
      <c r="B377" s="87" t="s">
        <v>87</v>
      </c>
      <c r="C377" s="94"/>
      <c r="D377" s="95"/>
      <c r="E377" s="90" t="s">
        <v>92</v>
      </c>
      <c r="F377" s="96"/>
      <c r="G377" s="97"/>
      <c r="H377" s="99"/>
      <c r="I377" s="96"/>
      <c r="J377" s="50"/>
      <c r="K377" s="29"/>
      <c r="L377" s="52"/>
    </row>
    <row r="378" spans="2:12" x14ac:dyDescent="0.35">
      <c r="B378" s="87"/>
      <c r="C378" s="94"/>
      <c r="D378" s="95" t="s">
        <v>40</v>
      </c>
      <c r="E378" s="90"/>
      <c r="F378" s="96" t="s">
        <v>256</v>
      </c>
      <c r="G378" s="97"/>
      <c r="H378" s="99">
        <v>2</v>
      </c>
      <c r="I378" s="96" t="s">
        <v>100</v>
      </c>
      <c r="J378" s="50"/>
      <c r="K378" s="29"/>
      <c r="L378" s="52"/>
    </row>
    <row r="379" spans="2:12" x14ac:dyDescent="0.35">
      <c r="B379" s="87"/>
      <c r="C379" s="94"/>
      <c r="D379" s="95"/>
      <c r="E379" s="90"/>
      <c r="F379" s="96" t="s">
        <v>125</v>
      </c>
      <c r="G379" s="97" t="s">
        <v>257</v>
      </c>
      <c r="H379" s="99"/>
      <c r="I379" s="96"/>
      <c r="J379" s="50"/>
      <c r="K379" s="29"/>
      <c r="L379" s="52"/>
    </row>
    <row r="380" spans="2:12" x14ac:dyDescent="0.35">
      <c r="B380" s="87" t="s">
        <v>91</v>
      </c>
      <c r="C380" s="94"/>
      <c r="D380" s="95"/>
      <c r="E380" s="90" t="s">
        <v>97</v>
      </c>
      <c r="F380" s="96"/>
      <c r="G380" s="97"/>
      <c r="H380" s="99"/>
      <c r="I380" s="96"/>
      <c r="J380" s="50"/>
      <c r="K380" s="29"/>
      <c r="L380" s="52"/>
    </row>
    <row r="381" spans="2:12" x14ac:dyDescent="0.35">
      <c r="B381" s="87"/>
      <c r="C381" s="94"/>
      <c r="D381" s="95" t="s">
        <v>40</v>
      </c>
      <c r="E381" s="90"/>
      <c r="F381" s="96" t="s">
        <v>258</v>
      </c>
      <c r="G381" s="97"/>
      <c r="H381" s="99">
        <v>2</v>
      </c>
      <c r="I381" s="96" t="s">
        <v>100</v>
      </c>
      <c r="J381" s="50"/>
      <c r="K381" s="29"/>
      <c r="L381" s="52"/>
    </row>
    <row r="382" spans="2:12" x14ac:dyDescent="0.35">
      <c r="B382" s="87"/>
      <c r="C382" s="94"/>
      <c r="D382" s="95"/>
      <c r="E382" s="90"/>
      <c r="F382" s="96" t="s">
        <v>125</v>
      </c>
      <c r="G382" s="97" t="s">
        <v>259</v>
      </c>
      <c r="H382" s="99"/>
      <c r="I382" s="96"/>
      <c r="J382" s="50"/>
      <c r="K382" s="29"/>
      <c r="L382" s="52"/>
    </row>
    <row r="383" spans="2:12" x14ac:dyDescent="0.35">
      <c r="B383" s="87"/>
      <c r="C383" s="88"/>
      <c r="D383" s="89"/>
      <c r="E383" s="90"/>
      <c r="F383" s="90"/>
      <c r="G383" s="91"/>
      <c r="H383" s="92"/>
      <c r="I383" s="90"/>
      <c r="J383" s="50"/>
      <c r="K383" s="29"/>
      <c r="L383" s="52"/>
    </row>
    <row r="384" spans="2:12" x14ac:dyDescent="0.35">
      <c r="B384" s="87"/>
      <c r="C384" s="94"/>
      <c r="D384" s="95"/>
      <c r="E384" s="84"/>
      <c r="F384" s="84" t="s">
        <v>260</v>
      </c>
      <c r="G384" s="85"/>
      <c r="H384" s="99"/>
      <c r="I384" s="96"/>
      <c r="J384" s="50"/>
      <c r="K384" s="29"/>
      <c r="L384" s="52"/>
    </row>
    <row r="385" spans="2:12" x14ac:dyDescent="0.35">
      <c r="B385" s="87" t="s">
        <v>39</v>
      </c>
      <c r="C385" s="94"/>
      <c r="D385" s="95"/>
      <c r="E385" s="90" t="s">
        <v>88</v>
      </c>
      <c r="F385" s="96"/>
      <c r="G385" s="97"/>
      <c r="H385" s="98"/>
      <c r="I385" s="96"/>
      <c r="J385" s="50"/>
      <c r="K385" s="29"/>
      <c r="L385" s="52"/>
    </row>
    <row r="386" spans="2:12" x14ac:dyDescent="0.35">
      <c r="B386" s="87"/>
      <c r="C386" s="94"/>
      <c r="D386" s="95" t="s">
        <v>40</v>
      </c>
      <c r="E386" s="90"/>
      <c r="F386" s="96" t="s">
        <v>250</v>
      </c>
      <c r="G386" s="97"/>
      <c r="H386" s="99">
        <v>2</v>
      </c>
      <c r="I386" s="96" t="s">
        <v>124</v>
      </c>
      <c r="J386" s="50"/>
      <c r="K386" s="29"/>
      <c r="L386" s="52"/>
    </row>
    <row r="387" spans="2:12" x14ac:dyDescent="0.35">
      <c r="B387" s="87"/>
      <c r="C387" s="94"/>
      <c r="D387" s="95"/>
      <c r="E387" s="90"/>
      <c r="F387" s="96" t="s">
        <v>125</v>
      </c>
      <c r="G387" s="97" t="s">
        <v>251</v>
      </c>
      <c r="H387" s="99"/>
      <c r="I387" s="96"/>
      <c r="J387" s="50"/>
      <c r="K387" s="29"/>
      <c r="L387" s="52"/>
    </row>
    <row r="388" spans="2:12" x14ac:dyDescent="0.35">
      <c r="B388" s="87"/>
      <c r="C388" s="94"/>
      <c r="D388" s="95"/>
      <c r="E388" s="90"/>
      <c r="F388" s="96" t="s">
        <v>125</v>
      </c>
      <c r="G388" s="97" t="s">
        <v>261</v>
      </c>
      <c r="H388" s="99"/>
      <c r="I388" s="96"/>
      <c r="J388" s="50"/>
      <c r="K388" s="29"/>
      <c r="L388" s="52"/>
    </row>
    <row r="389" spans="2:12" x14ac:dyDescent="0.35">
      <c r="B389" s="87"/>
      <c r="C389" s="94"/>
      <c r="D389" s="95" t="s">
        <v>43</v>
      </c>
      <c r="E389" s="90"/>
      <c r="F389" s="96" t="s">
        <v>253</v>
      </c>
      <c r="G389" s="97"/>
      <c r="H389" s="99">
        <v>2</v>
      </c>
      <c r="I389" s="96" t="s">
        <v>124</v>
      </c>
      <c r="J389" s="50"/>
      <c r="K389" s="29"/>
      <c r="L389" s="52"/>
    </row>
    <row r="390" spans="2:12" x14ac:dyDescent="0.35">
      <c r="B390" s="87"/>
      <c r="C390" s="94"/>
      <c r="D390" s="95"/>
      <c r="E390" s="90"/>
      <c r="F390" s="96" t="s">
        <v>125</v>
      </c>
      <c r="G390" s="97" t="s">
        <v>254</v>
      </c>
      <c r="H390" s="99"/>
      <c r="I390" s="96"/>
      <c r="J390" s="50"/>
      <c r="K390" s="29"/>
      <c r="L390" s="52"/>
    </row>
    <row r="391" spans="2:12" x14ac:dyDescent="0.35">
      <c r="B391" s="87"/>
      <c r="C391" s="94"/>
      <c r="D391" s="95"/>
      <c r="E391" s="90"/>
      <c r="F391" s="96" t="s">
        <v>125</v>
      </c>
      <c r="G391" s="97" t="s">
        <v>251</v>
      </c>
      <c r="H391" s="99"/>
      <c r="I391" s="96"/>
      <c r="J391" s="50"/>
      <c r="K391" s="29"/>
      <c r="L391" s="52"/>
    </row>
    <row r="392" spans="2:12" x14ac:dyDescent="0.35">
      <c r="B392" s="87"/>
      <c r="C392" s="94"/>
      <c r="D392" s="95"/>
      <c r="E392" s="90"/>
      <c r="F392" s="96" t="s">
        <v>125</v>
      </c>
      <c r="G392" s="97" t="s">
        <v>262</v>
      </c>
      <c r="H392" s="99"/>
      <c r="I392" s="96"/>
      <c r="J392" s="50"/>
      <c r="K392" s="29"/>
      <c r="L392" s="52"/>
    </row>
    <row r="393" spans="2:12" x14ac:dyDescent="0.35">
      <c r="B393" s="87"/>
      <c r="C393" s="94"/>
      <c r="D393" s="95"/>
      <c r="E393" s="90"/>
      <c r="F393" s="96"/>
      <c r="G393" s="97"/>
      <c r="H393" s="99"/>
      <c r="I393" s="96"/>
      <c r="J393" s="50"/>
      <c r="K393" s="29"/>
      <c r="L393" s="52"/>
    </row>
    <row r="394" spans="2:12" x14ac:dyDescent="0.35">
      <c r="B394" s="87"/>
      <c r="C394" s="94"/>
      <c r="D394" s="95"/>
      <c r="E394" s="90"/>
      <c r="F394" s="96"/>
      <c r="G394" s="97"/>
      <c r="H394" s="99"/>
      <c r="I394" s="96"/>
      <c r="J394" s="50"/>
      <c r="K394" s="29"/>
      <c r="L394" s="52"/>
    </row>
    <row r="395" spans="2:12" x14ac:dyDescent="0.35">
      <c r="B395" s="87"/>
      <c r="C395" s="94"/>
      <c r="D395" s="95"/>
      <c r="E395" s="90"/>
      <c r="F395" s="96"/>
      <c r="G395" s="97"/>
      <c r="H395" s="99"/>
      <c r="I395" s="96"/>
      <c r="J395" s="50"/>
      <c r="K395" s="29"/>
      <c r="L395" s="52"/>
    </row>
    <row r="396" spans="2:12" x14ac:dyDescent="0.35">
      <c r="B396" s="87"/>
      <c r="C396" s="94"/>
      <c r="D396" s="95"/>
      <c r="E396" s="90"/>
      <c r="F396" s="96"/>
      <c r="G396" s="97"/>
      <c r="H396" s="99"/>
      <c r="I396" s="96"/>
      <c r="J396" s="50"/>
      <c r="K396" s="29"/>
      <c r="L396" s="52"/>
    </row>
    <row r="397" spans="2:12" x14ac:dyDescent="0.35">
      <c r="B397" s="87"/>
      <c r="C397" s="94"/>
      <c r="D397" s="95"/>
      <c r="E397" s="90"/>
      <c r="F397" s="96"/>
      <c r="G397" s="97"/>
      <c r="H397" s="99"/>
      <c r="I397" s="96"/>
      <c r="J397" s="50"/>
      <c r="K397" s="29"/>
      <c r="L397" s="52"/>
    </row>
    <row r="398" spans="2:12" x14ac:dyDescent="0.35">
      <c r="B398" s="116"/>
      <c r="C398" s="117"/>
      <c r="D398" s="118"/>
      <c r="E398" s="119"/>
      <c r="F398" s="119"/>
      <c r="G398" s="120"/>
      <c r="H398" s="121"/>
      <c r="I398" s="119"/>
      <c r="J398" s="50"/>
      <c r="K398" s="29"/>
      <c r="L398" s="52"/>
    </row>
    <row r="399" spans="2:12" x14ac:dyDescent="0.35">
      <c r="B399" s="116"/>
      <c r="C399" s="117"/>
      <c r="D399" s="118"/>
      <c r="E399" s="119"/>
      <c r="F399" s="119"/>
      <c r="G399" s="120"/>
      <c r="H399" s="121"/>
      <c r="I399" s="119"/>
      <c r="J399" s="50"/>
      <c r="K399" s="29"/>
      <c r="L399" s="52"/>
    </row>
    <row r="400" spans="2:12" x14ac:dyDescent="0.35">
      <c r="B400" s="87"/>
      <c r="C400" s="94"/>
      <c r="D400" s="95"/>
      <c r="E400" s="90"/>
      <c r="F400" s="96"/>
      <c r="G400" s="97"/>
      <c r="H400" s="98"/>
      <c r="I400" s="96"/>
      <c r="J400" s="50"/>
      <c r="K400" s="29"/>
      <c r="L400" s="52"/>
    </row>
    <row r="401" spans="2:12" x14ac:dyDescent="0.35">
      <c r="B401" s="87"/>
      <c r="C401" s="94"/>
      <c r="D401" s="95"/>
      <c r="E401" s="90"/>
      <c r="F401" s="96"/>
      <c r="G401" s="97"/>
      <c r="H401" s="98"/>
      <c r="I401" s="96"/>
      <c r="J401" s="50"/>
      <c r="K401" s="29"/>
      <c r="L401" s="52"/>
    </row>
    <row r="402" spans="2:12" x14ac:dyDescent="0.35">
      <c r="B402" s="87"/>
      <c r="C402" s="94"/>
      <c r="D402" s="95"/>
      <c r="E402" s="90"/>
      <c r="F402" s="96"/>
      <c r="G402" s="97"/>
      <c r="H402" s="98"/>
      <c r="I402" s="96"/>
      <c r="J402" s="50"/>
      <c r="K402" s="29"/>
      <c r="L402" s="52"/>
    </row>
    <row r="403" spans="2:12" x14ac:dyDescent="0.35">
      <c r="B403" s="87"/>
      <c r="C403" s="94"/>
      <c r="D403" s="95"/>
      <c r="E403" s="90"/>
      <c r="F403" s="96"/>
      <c r="G403" s="97"/>
      <c r="H403" s="99"/>
      <c r="I403" s="96"/>
      <c r="J403" s="50"/>
      <c r="K403" s="29"/>
      <c r="L403" s="52"/>
    </row>
    <row r="404" spans="2:12" x14ac:dyDescent="0.35">
      <c r="B404" s="47"/>
      <c r="C404" s="48"/>
      <c r="D404" s="24"/>
      <c r="G404" s="22"/>
      <c r="I404" s="22"/>
      <c r="J404" s="50"/>
      <c r="K404" s="29"/>
      <c r="L404" s="52"/>
    </row>
    <row r="405" spans="2:12" x14ac:dyDescent="0.35">
      <c r="B405" s="47"/>
      <c r="C405" s="48"/>
      <c r="D405" s="24"/>
      <c r="G405" s="22"/>
      <c r="I405" s="22"/>
      <c r="J405" s="50"/>
      <c r="K405" s="29"/>
      <c r="L405" s="52"/>
    </row>
    <row r="406" spans="2:12" x14ac:dyDescent="0.35">
      <c r="B406" s="47"/>
      <c r="C406" s="48"/>
      <c r="D406" s="24"/>
      <c r="G406" s="22"/>
      <c r="I406" s="22"/>
      <c r="J406" s="50"/>
      <c r="K406" s="29"/>
      <c r="L406" s="52"/>
    </row>
    <row r="407" spans="2:12" x14ac:dyDescent="0.35">
      <c r="B407" s="47"/>
      <c r="C407" s="48"/>
      <c r="D407" s="24"/>
      <c r="G407" s="22"/>
      <c r="I407" s="22"/>
      <c r="J407" s="50"/>
      <c r="K407" s="29"/>
      <c r="L407" s="52"/>
    </row>
    <row r="408" spans="2:12" x14ac:dyDescent="0.35">
      <c r="B408" s="8"/>
      <c r="C408" s="9"/>
      <c r="D408" s="10"/>
      <c r="E408" s="4"/>
      <c r="F408" s="4"/>
      <c r="G408" s="4"/>
      <c r="H408" s="1"/>
      <c r="I408" s="1"/>
      <c r="J408" s="11" t="s">
        <v>8</v>
      </c>
      <c r="K408" s="7">
        <f>SUM(K355:K407)</f>
        <v>0</v>
      </c>
      <c r="L408" s="7">
        <f>SUM(L355:L407)</f>
        <v>0</v>
      </c>
    </row>
    <row r="409" spans="2:12" x14ac:dyDescent="0.35">
      <c r="B409" s="8"/>
      <c r="C409" s="9"/>
      <c r="D409" s="9"/>
      <c r="E409" s="4"/>
      <c r="F409" s="4"/>
      <c r="G409" s="4"/>
      <c r="H409" s="1"/>
      <c r="I409" s="1"/>
      <c r="J409" s="11"/>
      <c r="K409" s="35" t="s">
        <v>22</v>
      </c>
      <c r="L409" s="36" t="s">
        <v>23</v>
      </c>
    </row>
    <row r="410" spans="2:12" x14ac:dyDescent="0.35">
      <c r="B410" s="3" t="s">
        <v>9</v>
      </c>
      <c r="C410" s="4"/>
      <c r="D410" s="4"/>
      <c r="E410" s="4"/>
      <c r="F410" s="4"/>
      <c r="G410" s="4"/>
      <c r="H410" s="1"/>
      <c r="I410" s="1"/>
      <c r="J410" s="12"/>
      <c r="K410" s="12"/>
      <c r="L410" s="13"/>
    </row>
    <row r="411" spans="2:12" x14ac:dyDescent="0.35">
      <c r="B411" s="37"/>
      <c r="C411" s="1"/>
      <c r="D411" s="1"/>
      <c r="E411" s="38"/>
      <c r="F411" s="38"/>
      <c r="G411" s="38"/>
      <c r="H411" s="1"/>
      <c r="I411" s="1"/>
      <c r="J411" s="1"/>
      <c r="K411" s="1"/>
      <c r="L411" s="19"/>
    </row>
    <row r="412" spans="2:12" x14ac:dyDescent="0.35">
      <c r="B412" s="28" t="s">
        <v>6</v>
      </c>
      <c r="C412" s="27"/>
      <c r="D412" s="27"/>
      <c r="E412" s="26"/>
      <c r="F412" s="26"/>
      <c r="G412" s="5"/>
      <c r="K412" s="125" t="s">
        <v>36</v>
      </c>
      <c r="L412" s="126"/>
    </row>
    <row r="413" spans="2:12" x14ac:dyDescent="0.35">
      <c r="B413" s="28">
        <v>1</v>
      </c>
      <c r="C413" s="27"/>
      <c r="D413" s="27"/>
      <c r="E413" s="26" t="s">
        <v>7</v>
      </c>
      <c r="F413" s="26"/>
      <c r="G413" s="5"/>
      <c r="K413" s="125" t="s">
        <v>28</v>
      </c>
      <c r="L413" s="126"/>
    </row>
    <row r="414" spans="2:12" x14ac:dyDescent="0.35">
      <c r="B414" s="39"/>
      <c r="C414" s="27"/>
      <c r="D414" s="27"/>
      <c r="E414" s="26"/>
      <c r="F414" s="26"/>
      <c r="G414" s="5"/>
      <c r="J414" s="25"/>
      <c r="K414" s="25"/>
      <c r="L414" s="24"/>
    </row>
    <row r="415" spans="2:12" x14ac:dyDescent="0.35">
      <c r="B415" s="28"/>
      <c r="C415" s="27"/>
      <c r="D415" s="27"/>
      <c r="E415" s="26"/>
      <c r="F415" s="26"/>
      <c r="G415" s="5"/>
      <c r="L415" s="22"/>
    </row>
    <row r="416" spans="2:12" x14ac:dyDescent="0.35">
      <c r="B416" s="45"/>
      <c r="E416" s="5"/>
      <c r="F416" s="5"/>
      <c r="G416" s="5"/>
      <c r="L416" s="22"/>
    </row>
    <row r="417" spans="2:12" x14ac:dyDescent="0.35">
      <c r="B417" s="45"/>
      <c r="E417" s="5"/>
      <c r="F417" s="5"/>
      <c r="G417" s="5"/>
      <c r="L417" s="22"/>
    </row>
    <row r="418" spans="2:12" x14ac:dyDescent="0.35">
      <c r="B418" s="45"/>
      <c r="E418" s="5"/>
      <c r="F418" s="5"/>
      <c r="G418" s="5"/>
      <c r="L418" s="22"/>
    </row>
    <row r="419" spans="2:12" x14ac:dyDescent="0.35">
      <c r="B419" s="45"/>
      <c r="E419" s="5"/>
      <c r="F419" s="5"/>
      <c r="G419" s="5"/>
      <c r="J419" s="40"/>
      <c r="K419" s="127" t="s">
        <v>37</v>
      </c>
      <c r="L419" s="128"/>
    </row>
    <row r="420" spans="2:12" x14ac:dyDescent="0.35">
      <c r="B420" s="45"/>
      <c r="K420" s="129" t="s">
        <v>38</v>
      </c>
      <c r="L420" s="130"/>
    </row>
    <row r="421" spans="2:12" x14ac:dyDescent="0.35">
      <c r="B421" s="131"/>
      <c r="C421" s="132"/>
      <c r="D421" s="132"/>
      <c r="E421" s="41"/>
      <c r="F421" s="41"/>
      <c r="G421" s="41"/>
      <c r="H421" s="2"/>
      <c r="I421" s="2"/>
      <c r="J421" s="2"/>
      <c r="K421" s="2"/>
      <c r="L421" s="21"/>
    </row>
  </sheetData>
  <mergeCells count="38">
    <mergeCell ref="B86:D86"/>
    <mergeCell ref="B18:D19"/>
    <mergeCell ref="N21:O21"/>
    <mergeCell ref="K77:L77"/>
    <mergeCell ref="K84:L84"/>
    <mergeCell ref="K85:L85"/>
    <mergeCell ref="K78:L78"/>
    <mergeCell ref="L18:L19"/>
    <mergeCell ref="F15:G15"/>
    <mergeCell ref="E18:G19"/>
    <mergeCell ref="H18:I19"/>
    <mergeCell ref="J18:J19"/>
    <mergeCell ref="K18:K19"/>
    <mergeCell ref="K144:L144"/>
    <mergeCell ref="K145:L145"/>
    <mergeCell ref="K151:L151"/>
    <mergeCell ref="K152:L152"/>
    <mergeCell ref="B153:D153"/>
    <mergeCell ref="K211:L211"/>
    <mergeCell ref="K212:L212"/>
    <mergeCell ref="K218:L218"/>
    <mergeCell ref="K219:L219"/>
    <mergeCell ref="B220:D220"/>
    <mergeCell ref="K278:L278"/>
    <mergeCell ref="K279:L279"/>
    <mergeCell ref="K285:L285"/>
    <mergeCell ref="K286:L286"/>
    <mergeCell ref="B287:D287"/>
    <mergeCell ref="K345:L345"/>
    <mergeCell ref="K346:L346"/>
    <mergeCell ref="K352:L352"/>
    <mergeCell ref="K353:L353"/>
    <mergeCell ref="B354:D354"/>
    <mergeCell ref="K412:L412"/>
    <mergeCell ref="K413:L413"/>
    <mergeCell ref="K419:L419"/>
    <mergeCell ref="K420:L420"/>
    <mergeCell ref="B421:D421"/>
  </mergeCells>
  <conditionalFormatting sqref="E54:E56">
    <cfRule type="expression" dxfId="2" priority="5">
      <formula>AND((ISBLANK($B54)=FALSE),(ISBLANK($E54)=FALSE))</formula>
    </cfRule>
  </conditionalFormatting>
  <conditionalFormatting sqref="E58:E59">
    <cfRule type="expression" dxfId="1" priority="4">
      <formula>AND((ISBLANK($B58)=FALSE),(ISBLANK($E58)=FALSE))</formula>
    </cfRule>
  </conditionalFormatting>
  <conditionalFormatting sqref="E318">
    <cfRule type="expression" dxfId="0" priority="2">
      <formula>AND((ISBLANK($B318)=FALSE),(ISBLANK($E318)=FALSE))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rev.00</vt:lpstr>
      <vt:lpstr>'Rincian Biaya rev.00'!Print_Area</vt:lpstr>
      <vt:lpstr>'Rincian Biaya rev.00'!Print_Titles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2022-06-22T06:43:51Z</cp:lastPrinted>
  <dcterms:created xsi:type="dcterms:W3CDTF">2015-07-30T04:54:41Z</dcterms:created>
  <dcterms:modified xsi:type="dcterms:W3CDTF">2025-12-23T07:34:22Z</dcterms:modified>
</cp:coreProperties>
</file>