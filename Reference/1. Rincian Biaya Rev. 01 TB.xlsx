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BCFC9E92-0FA8-40FE-8063-093B3CF79DF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0" sheetId="43" r:id="rId1"/>
    <sheet name="Rincian Biaya rev.01" sheetId="42" r:id="rId2"/>
  </sheets>
  <definedNames>
    <definedName name="_xlnm.Print_Area" localSheetId="0">'Rincian Biaya rev.00'!$B$2:$L$539</definedName>
    <definedName name="_xlnm.Print_Area" localSheetId="1">'Rincian Biaya rev.01'!$B$2:$L$613</definedName>
    <definedName name="_xlnm.Print_Titles" localSheetId="0">'Rincian Biaya rev.00'!$2:$19</definedName>
    <definedName name="_xlnm.Print_Titles" localSheetId="1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00" i="42" l="1"/>
  <c r="N560" i="42"/>
  <c r="L580" i="42"/>
  <c r="L599" i="42" s="1"/>
  <c r="K110" i="42"/>
  <c r="L511" i="43"/>
  <c r="L510" i="43"/>
  <c r="L509" i="43"/>
  <c r="L508" i="43"/>
  <c r="L507" i="43"/>
  <c r="L506" i="43"/>
  <c r="L526" i="43" s="1"/>
  <c r="K502" i="43"/>
  <c r="K500" i="43"/>
  <c r="K493" i="43"/>
  <c r="K526" i="43" s="1"/>
  <c r="K460" i="43"/>
  <c r="K459" i="43"/>
  <c r="L457" i="43"/>
  <c r="L456" i="43"/>
  <c r="L455" i="43"/>
  <c r="L454" i="43"/>
  <c r="L453" i="43"/>
  <c r="L452" i="43"/>
  <c r="K450" i="43"/>
  <c r="L448" i="43"/>
  <c r="L447" i="43"/>
  <c r="K446" i="43"/>
  <c r="L445" i="43"/>
  <c r="L444" i="43"/>
  <c r="L443" i="43"/>
  <c r="L442" i="43"/>
  <c r="L441" i="43"/>
  <c r="K440" i="43"/>
  <c r="K435" i="43"/>
  <c r="L433" i="43"/>
  <c r="L432" i="43"/>
  <c r="L431" i="43"/>
  <c r="L430" i="43"/>
  <c r="L429" i="43"/>
  <c r="L428" i="43"/>
  <c r="K427" i="43"/>
  <c r="K475" i="43" s="1"/>
  <c r="L426" i="43"/>
  <c r="L425" i="43"/>
  <c r="L424" i="43"/>
  <c r="L423" i="43"/>
  <c r="L475" i="43" s="1"/>
  <c r="L402" i="43"/>
  <c r="L401" i="43"/>
  <c r="K400" i="43"/>
  <c r="L399" i="43"/>
  <c r="L398" i="43"/>
  <c r="L397" i="43"/>
  <c r="L396" i="43"/>
  <c r="L395" i="43"/>
  <c r="L394" i="43"/>
  <c r="L393" i="43"/>
  <c r="K392" i="43"/>
  <c r="L391" i="43"/>
  <c r="L390" i="43"/>
  <c r="L389" i="43"/>
  <c r="L388" i="43"/>
  <c r="L387" i="43"/>
  <c r="L386" i="43"/>
  <c r="L385" i="43"/>
  <c r="K384" i="43"/>
  <c r="L382" i="43"/>
  <c r="L381" i="43"/>
  <c r="L380" i="43"/>
  <c r="L379" i="43"/>
  <c r="L378" i="43"/>
  <c r="L377" i="43"/>
  <c r="L376" i="43"/>
  <c r="K375" i="43"/>
  <c r="K408" i="43" s="1"/>
  <c r="L374" i="43"/>
  <c r="L373" i="43"/>
  <c r="L372" i="43"/>
  <c r="L371" i="43"/>
  <c r="L370" i="43"/>
  <c r="L369" i="43"/>
  <c r="L368" i="43"/>
  <c r="L367" i="43"/>
  <c r="K366" i="43"/>
  <c r="L365" i="43"/>
  <c r="L364" i="43"/>
  <c r="L363" i="43"/>
  <c r="L362" i="43"/>
  <c r="L361" i="43"/>
  <c r="L360" i="43"/>
  <c r="L359" i="43"/>
  <c r="K358" i="43"/>
  <c r="L357" i="43"/>
  <c r="L356" i="43"/>
  <c r="L408" i="43" s="1"/>
  <c r="L337" i="43"/>
  <c r="L336" i="43"/>
  <c r="L335" i="43"/>
  <c r="L334" i="43"/>
  <c r="L333" i="43"/>
  <c r="K332" i="43"/>
  <c r="K330" i="43"/>
  <c r="K326" i="43"/>
  <c r="K317" i="43"/>
  <c r="K310" i="43"/>
  <c r="K306" i="43"/>
  <c r="K299" i="43"/>
  <c r="L297" i="43"/>
  <c r="L296" i="43"/>
  <c r="L295" i="43"/>
  <c r="L294" i="43"/>
  <c r="K293" i="43"/>
  <c r="K341" i="43" s="1"/>
  <c r="L292" i="43"/>
  <c r="L291" i="43"/>
  <c r="L290" i="43"/>
  <c r="L289" i="43"/>
  <c r="L341" i="43" s="1"/>
  <c r="L267" i="43"/>
  <c r="L266" i="43"/>
  <c r="K265" i="43"/>
  <c r="L264" i="43"/>
  <c r="L263" i="43"/>
  <c r="L262" i="43"/>
  <c r="L261" i="43"/>
  <c r="K260" i="43"/>
  <c r="L259" i="43"/>
  <c r="L258" i="43"/>
  <c r="L257" i="43"/>
  <c r="L256" i="43"/>
  <c r="K255" i="43"/>
  <c r="L254" i="43"/>
  <c r="L253" i="43"/>
  <c r="L252" i="43"/>
  <c r="L251" i="43"/>
  <c r="L250" i="43"/>
  <c r="L249" i="43"/>
  <c r="L248" i="43"/>
  <c r="L247" i="43"/>
  <c r="L246" i="43"/>
  <c r="K245" i="43"/>
  <c r="L244" i="43"/>
  <c r="L243" i="43"/>
  <c r="L242" i="43"/>
  <c r="L241" i="43"/>
  <c r="L240" i="43"/>
  <c r="K239" i="43"/>
  <c r="L238" i="43"/>
  <c r="L237" i="43"/>
  <c r="L236" i="43"/>
  <c r="L235" i="43"/>
  <c r="K234" i="43"/>
  <c r="L233" i="43"/>
  <c r="L232" i="43"/>
  <c r="L231" i="43"/>
  <c r="L230" i="43"/>
  <c r="K229" i="43"/>
  <c r="L228" i="43"/>
  <c r="L227" i="43"/>
  <c r="L226" i="43"/>
  <c r="L225" i="43"/>
  <c r="L274" i="43" s="1"/>
  <c r="K224" i="43"/>
  <c r="K274" i="43" s="1"/>
  <c r="L199" i="43"/>
  <c r="L198" i="43"/>
  <c r="L195" i="43"/>
  <c r="L192" i="43"/>
  <c r="L189" i="43"/>
  <c r="L188" i="43"/>
  <c r="L187" i="43"/>
  <c r="L186" i="43"/>
  <c r="L184" i="43"/>
  <c r="L183" i="43"/>
  <c r="L181" i="43"/>
  <c r="L180" i="43"/>
  <c r="L177" i="43"/>
  <c r="L176" i="43"/>
  <c r="L175" i="43"/>
  <c r="L173" i="43"/>
  <c r="L172" i="43"/>
  <c r="L170" i="43"/>
  <c r="L169" i="43"/>
  <c r="K163" i="43"/>
  <c r="K207" i="43" s="1"/>
  <c r="L161" i="43"/>
  <c r="L160" i="43"/>
  <c r="L207" i="43" s="1"/>
  <c r="K128" i="43"/>
  <c r="K126" i="43"/>
  <c r="K125" i="43"/>
  <c r="L124" i="43"/>
  <c r="K123" i="43"/>
  <c r="K122" i="43"/>
  <c r="K121" i="43"/>
  <c r="K120" i="43"/>
  <c r="K119" i="43"/>
  <c r="L117" i="43"/>
  <c r="K116" i="43"/>
  <c r="K115" i="43"/>
  <c r="K113" i="43"/>
  <c r="L111" i="43"/>
  <c r="L110" i="43"/>
  <c r="L109" i="43"/>
  <c r="L107" i="43"/>
  <c r="L140" i="43" s="1"/>
  <c r="K106" i="43"/>
  <c r="K105" i="43"/>
  <c r="K104" i="43"/>
  <c r="K103" i="43"/>
  <c r="K102" i="43"/>
  <c r="K100" i="43"/>
  <c r="K99" i="43"/>
  <c r="K98" i="43"/>
  <c r="K96" i="43"/>
  <c r="K95" i="43"/>
  <c r="K93" i="43"/>
  <c r="K91" i="43"/>
  <c r="K90" i="43"/>
  <c r="K140" i="43" s="1"/>
  <c r="K89" i="43"/>
  <c r="K61" i="43"/>
  <c r="K58" i="43"/>
  <c r="K57" i="43"/>
  <c r="L55" i="43"/>
  <c r="L54" i="43"/>
  <c r="L53" i="43"/>
  <c r="L52" i="43"/>
  <c r="L51" i="43"/>
  <c r="L73" i="43" s="1"/>
  <c r="L50" i="43"/>
  <c r="K48" i="43"/>
  <c r="K47" i="43"/>
  <c r="H46" i="43"/>
  <c r="K46" i="43" s="1"/>
  <c r="H45" i="43"/>
  <c r="K45" i="43" s="1"/>
  <c r="K44" i="43"/>
  <c r="H44" i="43"/>
  <c r="H43" i="43"/>
  <c r="K43" i="43" s="1"/>
  <c r="K42" i="43"/>
  <c r="K41" i="43"/>
  <c r="H40" i="43"/>
  <c r="K40" i="43" s="1"/>
  <c r="K39" i="43"/>
  <c r="K37" i="43"/>
  <c r="K36" i="43"/>
  <c r="K35" i="43"/>
  <c r="K34" i="43"/>
  <c r="K33" i="43"/>
  <c r="K32" i="43"/>
  <c r="K31" i="43"/>
  <c r="K30" i="43"/>
  <c r="K29" i="43"/>
  <c r="K28" i="43"/>
  <c r="K27" i="43"/>
  <c r="K26" i="43"/>
  <c r="K25" i="43"/>
  <c r="K24" i="43"/>
  <c r="K23" i="43"/>
  <c r="K22" i="43"/>
  <c r="L21" i="43"/>
  <c r="L575" i="42"/>
  <c r="L574" i="42"/>
  <c r="L573" i="42"/>
  <c r="L572" i="42"/>
  <c r="L571" i="42"/>
  <c r="L566" i="42"/>
  <c r="L565" i="42"/>
  <c r="L564" i="42"/>
  <c r="L559" i="42"/>
  <c r="L555" i="42"/>
  <c r="L554" i="42"/>
  <c r="L553" i="42"/>
  <c r="L552" i="42"/>
  <c r="L551" i="42"/>
  <c r="L509" i="42"/>
  <c r="L508" i="42"/>
  <c r="L507" i="42"/>
  <c r="L506" i="42"/>
  <c r="L505" i="42"/>
  <c r="L504" i="42"/>
  <c r="L461" i="42"/>
  <c r="L460" i="42"/>
  <c r="L458" i="42"/>
  <c r="L457" i="42"/>
  <c r="L420" i="42"/>
  <c r="L421" i="42"/>
  <c r="L422" i="42"/>
  <c r="L423" i="42"/>
  <c r="L424" i="42"/>
  <c r="L425" i="42"/>
  <c r="L427" i="42"/>
  <c r="L428" i="42"/>
  <c r="L429" i="42"/>
  <c r="L468" i="42" s="1"/>
  <c r="L430" i="42"/>
  <c r="L431" i="42"/>
  <c r="L432" i="42"/>
  <c r="L433" i="42"/>
  <c r="L435" i="42"/>
  <c r="L436" i="42"/>
  <c r="L437" i="42"/>
  <c r="L438" i="42"/>
  <c r="L439" i="42"/>
  <c r="L440" i="42"/>
  <c r="L441" i="42"/>
  <c r="L443" i="42"/>
  <c r="L444" i="42"/>
  <c r="L445" i="42"/>
  <c r="L446" i="42"/>
  <c r="L447" i="42"/>
  <c r="L448" i="42"/>
  <c r="L449" i="42"/>
  <c r="L419" i="42"/>
  <c r="L375" i="42"/>
  <c r="L376" i="42"/>
  <c r="L377" i="42"/>
  <c r="L378" i="42"/>
  <c r="L379" i="42"/>
  <c r="L380" i="42"/>
  <c r="L382" i="42"/>
  <c r="L383" i="42"/>
  <c r="L384" i="42"/>
  <c r="L385" i="42"/>
  <c r="L386" i="42"/>
  <c r="L388" i="42"/>
  <c r="L389" i="42"/>
  <c r="L390" i="42"/>
  <c r="L391" i="42"/>
  <c r="L392" i="42"/>
  <c r="L393" i="42"/>
  <c r="L394" i="42"/>
  <c r="L396" i="42"/>
  <c r="L397" i="42"/>
  <c r="L398" i="42"/>
  <c r="L399" i="42"/>
  <c r="L400" i="42"/>
  <c r="L374" i="42"/>
  <c r="L287" i="42"/>
  <c r="L288" i="42"/>
  <c r="L289" i="42"/>
  <c r="L290" i="42"/>
  <c r="L291" i="42"/>
  <c r="L292" i="42"/>
  <c r="L293" i="42"/>
  <c r="L294" i="42"/>
  <c r="L295" i="42"/>
  <c r="L296" i="42"/>
  <c r="L298" i="42"/>
  <c r="L299" i="42"/>
  <c r="L300" i="42"/>
  <c r="L301" i="42"/>
  <c r="L303" i="42"/>
  <c r="L304" i="42"/>
  <c r="L305" i="42"/>
  <c r="L306" i="42"/>
  <c r="L308" i="42"/>
  <c r="L309" i="42"/>
  <c r="L310" i="42"/>
  <c r="L311" i="42"/>
  <c r="L312" i="42"/>
  <c r="L313" i="42"/>
  <c r="L315" i="42"/>
  <c r="L316" i="42"/>
  <c r="L317" i="42"/>
  <c r="L318" i="42"/>
  <c r="L319" i="42"/>
  <c r="L286" i="42"/>
  <c r="L220" i="42"/>
  <c r="L221" i="42"/>
  <c r="L222" i="42"/>
  <c r="L224" i="42"/>
  <c r="L225" i="42"/>
  <c r="L226" i="42"/>
  <c r="L227" i="42"/>
  <c r="L228" i="42"/>
  <c r="L229" i="42"/>
  <c r="L232" i="42"/>
  <c r="L235" i="42"/>
  <c r="L236" i="42"/>
  <c r="L237" i="42"/>
  <c r="L238" i="42"/>
  <c r="L239" i="42"/>
  <c r="L240" i="42"/>
  <c r="L243" i="42"/>
  <c r="L244" i="42"/>
  <c r="L248" i="42"/>
  <c r="L249" i="42"/>
  <c r="L250" i="42"/>
  <c r="L251" i="42"/>
  <c r="L253" i="42"/>
  <c r="L254" i="42"/>
  <c r="L255" i="42"/>
  <c r="L256" i="42"/>
  <c r="L258" i="42"/>
  <c r="L259" i="42"/>
  <c r="L260" i="42"/>
  <c r="L261" i="42"/>
  <c r="L263" i="42"/>
  <c r="L264" i="42"/>
  <c r="L265" i="42"/>
  <c r="L266" i="42"/>
  <c r="L267" i="42"/>
  <c r="L219" i="42"/>
  <c r="L162" i="42"/>
  <c r="L163" i="42"/>
  <c r="L164" i="42"/>
  <c r="L165" i="42"/>
  <c r="L166" i="42"/>
  <c r="L168" i="42"/>
  <c r="L169" i="42"/>
  <c r="L170" i="42"/>
  <c r="L173" i="42"/>
  <c r="L174" i="42"/>
  <c r="L175" i="42"/>
  <c r="L176" i="42"/>
  <c r="L177" i="42"/>
  <c r="H178" i="42"/>
  <c r="L178" i="42"/>
  <c r="L179" i="42"/>
  <c r="L180" i="42"/>
  <c r="L181" i="42"/>
  <c r="L182" i="42"/>
  <c r="L183" i="42"/>
  <c r="L184" i="42"/>
  <c r="L185" i="42"/>
  <c r="L186" i="42"/>
  <c r="L187" i="42"/>
  <c r="L188" i="42"/>
  <c r="L189" i="42"/>
  <c r="L190" i="42"/>
  <c r="L191" i="42"/>
  <c r="L192" i="42"/>
  <c r="L193" i="42"/>
  <c r="L194" i="42"/>
  <c r="L195" i="42"/>
  <c r="L196" i="42"/>
  <c r="L198" i="42"/>
  <c r="L199" i="42"/>
  <c r="L200" i="42"/>
  <c r="L201" i="42"/>
  <c r="L202" i="42"/>
  <c r="L161" i="42"/>
  <c r="L154" i="42"/>
  <c r="L155" i="42"/>
  <c r="L156" i="42"/>
  <c r="L157" i="42"/>
  <c r="L158" i="42"/>
  <c r="L159" i="42"/>
  <c r="L153" i="42"/>
  <c r="L120" i="42"/>
  <c r="L121" i="42"/>
  <c r="L122" i="42"/>
  <c r="L123" i="42"/>
  <c r="L124" i="42"/>
  <c r="L125" i="42"/>
  <c r="L126" i="42"/>
  <c r="L127" i="42"/>
  <c r="L128" i="42"/>
  <c r="L129" i="42"/>
  <c r="L130" i="42"/>
  <c r="L131" i="42"/>
  <c r="L132" i="42"/>
  <c r="L133" i="42"/>
  <c r="L119" i="42"/>
  <c r="L108" i="42"/>
  <c r="L107" i="42"/>
  <c r="K570" i="42"/>
  <c r="K560" i="42"/>
  <c r="K599" i="42" s="1"/>
  <c r="K528" i="42"/>
  <c r="K526" i="42"/>
  <c r="K521" i="42"/>
  <c r="K517" i="42"/>
  <c r="K514" i="42"/>
  <c r="K500" i="42"/>
  <c r="K493" i="42"/>
  <c r="K488" i="42"/>
  <c r="K534" i="42" s="1"/>
  <c r="K486" i="42"/>
  <c r="K485" i="42"/>
  <c r="K484" i="42"/>
  <c r="K483" i="42"/>
  <c r="K466" i="42"/>
  <c r="K465" i="42"/>
  <c r="K463" i="42"/>
  <c r="K459" i="42"/>
  <c r="K456" i="42"/>
  <c r="K451" i="42"/>
  <c r="K442" i="42"/>
  <c r="K434" i="42"/>
  <c r="K426" i="42"/>
  <c r="K418" i="42"/>
  <c r="K395" i="42"/>
  <c r="K387" i="42"/>
  <c r="K381" i="42"/>
  <c r="K373" i="42"/>
  <c r="K371" i="42"/>
  <c r="K370" i="42"/>
  <c r="K358" i="42"/>
  <c r="K333" i="42"/>
  <c r="K329" i="42"/>
  <c r="K321" i="42"/>
  <c r="K314" i="42"/>
  <c r="K307" i="42"/>
  <c r="K302" i="42"/>
  <c r="K297" i="42"/>
  <c r="K285" i="42"/>
  <c r="K262" i="42"/>
  <c r="K257" i="42"/>
  <c r="K252" i="42"/>
  <c r="K247" i="42"/>
  <c r="K100" i="42"/>
  <c r="K93" i="42"/>
  <c r="K94" i="42"/>
  <c r="K95" i="42"/>
  <c r="K96" i="42"/>
  <c r="K97" i="42"/>
  <c r="K98" i="42"/>
  <c r="K92" i="42"/>
  <c r="K90" i="42"/>
  <c r="K88" i="42"/>
  <c r="K63" i="42"/>
  <c r="K64" i="42"/>
  <c r="K65" i="42"/>
  <c r="K66" i="42"/>
  <c r="K62" i="42"/>
  <c r="K53" i="42"/>
  <c r="K54" i="42"/>
  <c r="K55" i="42"/>
  <c r="K56" i="42"/>
  <c r="K57" i="42"/>
  <c r="K58" i="42"/>
  <c r="K59" i="42"/>
  <c r="K60" i="42"/>
  <c r="K52" i="42"/>
  <c r="K50" i="42"/>
  <c r="K40" i="42"/>
  <c r="K41" i="42"/>
  <c r="K42" i="42"/>
  <c r="K43" i="42"/>
  <c r="K44" i="42"/>
  <c r="K45" i="42"/>
  <c r="K46" i="42"/>
  <c r="K47" i="42"/>
  <c r="K48" i="42"/>
  <c r="K39" i="42"/>
  <c r="K24" i="42"/>
  <c r="K25" i="42"/>
  <c r="K26" i="42"/>
  <c r="K27" i="42"/>
  <c r="H28" i="42"/>
  <c r="K28" i="42"/>
  <c r="K29" i="42"/>
  <c r="K30" i="42"/>
  <c r="K31" i="42"/>
  <c r="K32" i="42"/>
  <c r="K33" i="42"/>
  <c r="K34" i="42"/>
  <c r="H35" i="42"/>
  <c r="K35" i="42"/>
  <c r="K36" i="42"/>
  <c r="K37" i="42"/>
  <c r="K23" i="42"/>
  <c r="K22" i="42"/>
  <c r="N492" i="42"/>
  <c r="N451" i="42"/>
  <c r="N333" i="42"/>
  <c r="N321" i="42"/>
  <c r="N109" i="42"/>
  <c r="L534" i="42"/>
  <c r="K468" i="42"/>
  <c r="K402" i="42"/>
  <c r="L336" i="42"/>
  <c r="K336" i="42"/>
  <c r="L270" i="42"/>
  <c r="K270" i="42"/>
  <c r="L204" i="42"/>
  <c r="K204" i="42"/>
  <c r="L138" i="42"/>
  <c r="K138" i="42"/>
  <c r="K72" i="42"/>
  <c r="L72" i="42"/>
  <c r="Q26" i="42"/>
  <c r="O26" i="42"/>
  <c r="P25" i="42"/>
  <c r="O25" i="42"/>
  <c r="Q22" i="42"/>
  <c r="P22" i="42"/>
  <c r="R24" i="42"/>
  <c r="S24" i="42"/>
  <c r="T24" i="42"/>
  <c r="M72" i="42"/>
  <c r="O27" i="42"/>
  <c r="O28" i="42"/>
  <c r="Q27" i="42"/>
  <c r="P27" i="42"/>
  <c r="K600" i="42" l="1"/>
  <c r="L402" i="42"/>
  <c r="L600" i="42" s="1"/>
  <c r="K73" i="43"/>
</calcChain>
</file>

<file path=xl/sharedStrings.xml><?xml version="1.0" encoding="utf-8"?>
<sst xmlns="http://schemas.openxmlformats.org/spreadsheetml/2006/main" count="2355" uniqueCount="513">
  <si>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</si>
  <si>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</si>
  <si>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</si>
  <si>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</si>
  <si>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</si>
  <si>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</si>
  <si>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</si>
  <si>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</si>
  <si>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</si>
  <si>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</si>
  <si>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</si>
  <si>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</si>
  <si>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</si>
  <si>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</si>
  <si>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</si>
  <si>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</si>
  <si>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</si>
  <si>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</si>
  <si>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</si>
  <si>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</si>
  <si>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</si>
  <si>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</si>
  <si>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</si>
  <si>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</si>
  <si>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</si>
  <si>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</si>
  <si>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</si>
  <si>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</si>
  <si>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</si>
  <si>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</si>
  <si>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</si>
  <si>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</si>
  <si>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</si>
  <si>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</si>
  <si>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</si>
  <si>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</si>
  <si>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</si>
  <si>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6/FIN/MKT-MNB/II/2025</t>
  </si>
  <si>
    <t>:   23.50 Meter</t>
  </si>
  <si>
    <t>:     7.32 Meter</t>
  </si>
  <si>
    <t>:     3.00 Meter</t>
  </si>
  <si>
    <t>:  BKI</t>
  </si>
  <si>
    <t>Balikpapan, 3 Februari 2025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</si>
  <si>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</si>
  <si>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</si>
  <si>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</si>
  <si>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</si>
  <si>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</si>
  <si>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</si>
  <si>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</si>
  <si>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</si>
  <si>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d</t>
  </si>
  <si>
    <t>Sewa Dok Selama Perbaikan (04 Desember 2024 - 5 Januari 2025)</t>
  </si>
  <si>
    <t>Hari</t>
  </si>
  <si>
    <t>e</t>
  </si>
  <si>
    <t>Sewa Tempat Sandar (after repair) (6 Januari 2025 - 13 Januari 2025)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</si>
  <si>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</si>
  <si>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</si>
  <si>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</si>
  <si>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</si>
  <si>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</si>
  <si>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</si>
  <si>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</si>
  <si>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</si>
  <si>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</si>
  <si>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</si>
  <si>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</si>
  <si>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</si>
  <si>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</si>
  <si>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</si>
  <si>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</si>
  <si>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</si>
  <si>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t>Disediakan Tempat Penampungan Limbah B3 ≤ 2 Ton (include bea Treatment)</t>
  </si>
  <si>
    <t>n</t>
  </si>
  <si>
    <t>Security guard ( 2 Shift)</t>
  </si>
  <si>
    <t>hari</t>
  </si>
  <si>
    <t>o</t>
  </si>
  <si>
    <t>Safety watchman during drydock</t>
  </si>
  <si>
    <t>p</t>
  </si>
  <si>
    <t>Penyediaan APAR selama diatas dock</t>
  </si>
  <si>
    <t>II</t>
  </si>
  <si>
    <t>PERAWATAN LAMBUNG (Material Supply By Shipyard)</t>
  </si>
  <si>
    <t>Sekrap Bagian Bawah Air</t>
  </si>
  <si>
    <t>m2</t>
  </si>
  <si>
    <t>Sandblasting Bottom Sampai Waterline (S.A 2.0)</t>
  </si>
  <si>
    <t>Sandblasting Top Side (S.A 2.0)</t>
  </si>
  <si>
    <t>Sandblasting Bulwark luar (S.A 2.0)</t>
  </si>
  <si>
    <t>Cuci Air Tawar</t>
  </si>
  <si>
    <t>Pengecetan Bottom sampai waterline (1x Primer, 1x Sealer dan 1x Anti Fouling)</t>
  </si>
  <si>
    <t>Pengecetan Top Side (1x Primer dan 1x Top Coat)</t>
  </si>
  <si>
    <t>Pengecetan Bulwark Luar (1x Primer dan 1x Top Coat)</t>
  </si>
  <si>
    <t>Pengecatan Draft Mark, Nama Kapal</t>
  </si>
  <si>
    <t>Pemasangan Zinc Anode</t>
  </si>
  <si>
    <t>pcs</t>
  </si>
  <si>
    <t>-</t>
  </si>
  <si>
    <t>III</t>
  </si>
  <si>
    <t>SEACHEST AND VALVE</t>
  </si>
  <si>
    <t>Buka dan Tutup Kembali Saringan Luar Dan Pembersihan Kotak Seachest</t>
  </si>
  <si>
    <t>bh</t>
  </si>
  <si>
    <t>IV</t>
  </si>
  <si>
    <t>SISTEM PENGGERAK KAPAL</t>
  </si>
  <si>
    <t>Pengukuran Clearance Shaft</t>
  </si>
  <si>
    <t>Titik</t>
  </si>
  <si>
    <t>Buka dan pasang kembali penahan rymers packing</t>
  </si>
  <si>
    <t>Buka &amp; Pasang Propeller</t>
  </si>
  <si>
    <t>set</t>
  </si>
  <si>
    <t>Repair Propeller  (Estimasi)(Damage area, &lt; 0,4R)</t>
  </si>
  <si>
    <t>Balancing Propeller</t>
  </si>
  <si>
    <t>Buka dan pasang shaft propeller</t>
  </si>
  <si>
    <t>Baling - baling dibersihkan dan dipolish kembali</t>
  </si>
  <si>
    <t>Buka dan pasang kembali flangedisc coupling gearbox</t>
  </si>
  <si>
    <t>Dial check shaft propeller dan dibuatkan record</t>
  </si>
  <si>
    <t>V</t>
  </si>
  <si>
    <t>SISTEM KEMUDI</t>
  </si>
  <si>
    <t>Pengukuran Clearance</t>
  </si>
  <si>
    <t>Bongkar dan Penyemenan Kembali Flens Kemudi</t>
  </si>
  <si>
    <t>Buka dan pasang kembali daun kemudi</t>
  </si>
  <si>
    <t>Buka dan pasang kembali kuadran rudder stock</t>
  </si>
  <si>
    <t>Buka dan pasang kembali rudder stock</t>
  </si>
  <si>
    <t>VI</t>
  </si>
  <si>
    <t>KAMAR MESIN</t>
  </si>
  <si>
    <t>Cleaning Got Kamar Mesin</t>
  </si>
  <si>
    <t>VII</t>
  </si>
  <si>
    <t xml:space="preserve">PERLENGKAPAN LAMBUNG </t>
  </si>
  <si>
    <t>Bongkar dan pasang kembali ban pusher (acsess untuk blasting)</t>
  </si>
  <si>
    <t>Set</t>
  </si>
  <si>
    <t>IX</t>
  </si>
  <si>
    <t>JANGKAR DAN PERLENGKAPANNYA (cat rantai dan jangkar disupplai owner)</t>
  </si>
  <si>
    <t>Jangkar dan rantainya  diturunkan dan Dan dinaikkan Kembali (diatur ulang)</t>
  </si>
  <si>
    <t>segel</t>
  </si>
  <si>
    <t>Sandblasting Rantai Jangkar (PS &amp; SB)</t>
  </si>
  <si>
    <t>Segel</t>
  </si>
  <si>
    <t>Sandblasting Jangkar (PS &amp; SB)</t>
  </si>
  <si>
    <t>Pengecatan Rantai Jangkar (PS &amp; SB)</t>
  </si>
  <si>
    <t>Pengecetan jangkar (PS &amp; SB)</t>
  </si>
  <si>
    <t xml:space="preserve">Cleaning Chain Locker </t>
  </si>
  <si>
    <t>tangki</t>
  </si>
  <si>
    <t>Pengukuran rantai jangkar</t>
  </si>
  <si>
    <t>X</t>
  </si>
  <si>
    <t>LAPORAN PENGEDOKAN</t>
  </si>
  <si>
    <t>Dibuatkan laporan pengedokan dan gambar bukaan kulit sesuai posisi replating</t>
  </si>
  <si>
    <t>JR Rev.00 Initial survey with OS (6/12/24)</t>
  </si>
  <si>
    <t>REPLATING</t>
  </si>
  <si>
    <t>I.1</t>
  </si>
  <si>
    <t>Lambung</t>
  </si>
  <si>
    <t xml:space="preserve">Replating linggi haluan </t>
  </si>
  <si>
    <t>plat linggi | Plate (KI) thickness 10 mm | 1000 X 630 mm</t>
  </si>
  <si>
    <t>Kg</t>
  </si>
  <si>
    <t>plat doubling | Plate (KI) thickness 10 mm | 500 X 380 mm</t>
  </si>
  <si>
    <t>I.2</t>
  </si>
  <si>
    <t>Deck</t>
  </si>
  <si>
    <t>Safety towing</t>
  </si>
  <si>
    <t xml:space="preserve"> | Pipe seamless size. 4" Sch 80 | 1190 mm</t>
  </si>
  <si>
    <t>mm</t>
  </si>
  <si>
    <t xml:space="preserve"> | Elbow black size. 4" Sch. 80</t>
  </si>
  <si>
    <t>Pcs</t>
  </si>
  <si>
    <t>Bracket | Plate (A) thickness 10 mm | 260 X 400 mm</t>
  </si>
  <si>
    <t>Top Plate | Plate (A) thickness 10 mm | 100 X 100 mm</t>
  </si>
  <si>
    <t>Bracket | Plate (A) thickness 10 mm | 350 X 300 mm 2 sht</t>
  </si>
  <si>
    <t>safety lis bracket | Roundbar size. 3/4" | 1700 mm</t>
  </si>
  <si>
    <t>kg</t>
  </si>
  <si>
    <t>I.3</t>
  </si>
  <si>
    <t>Bulwark SB</t>
  </si>
  <si>
    <t>Stanchion</t>
  </si>
  <si>
    <t>plat face St. 1 | Plate (A) thickness 8 mm | 260 X 50 mm</t>
  </si>
  <si>
    <t>plat face St. 2 | Plate (A) thickness 8 mm | 270 X 50 mm</t>
  </si>
  <si>
    <t>plat face St. 3 | Plate (A) thickness 8 mm | 210 X 50 mm</t>
  </si>
  <si>
    <t>plat face St. 4 | Plate (A) thickness 8 mm | 280 X 50 mm</t>
  </si>
  <si>
    <t>plat face St. 5 | Plate (A) thickness 8 mm | 260 X 50 mm</t>
  </si>
  <si>
    <t>plat face St. 6 | Plate (A) thickness 8 mm | 280 X 50 mm</t>
  </si>
  <si>
    <t>plat face St. 7 | Plate (A) thickness 8 mm | 200 X 50 mm</t>
  </si>
  <si>
    <t>plat web St. 1 | Plate (A) thickness 8 mm | 340 X 180 mm</t>
  </si>
  <si>
    <t>plat web St. 2 | Plate (A) thickness 8 mm | 340 X 180 mm</t>
  </si>
  <si>
    <t>plat web St. 3 | Plate (A) thickness 8 mm | 290 X 180 mm</t>
  </si>
  <si>
    <t>plat web St. 4 | Plate (A) thickness 8 mm | 360 X 170 mm</t>
  </si>
  <si>
    <t>plat web St. 5 | Plate (A) thickness 8 mm | 340 X 180 mm</t>
  </si>
  <si>
    <t>plat web St. 6 | Plate (A) thickness 8 mm | 340 X 180 mm</t>
  </si>
  <si>
    <t>plat web St. 7 | Plate (A) thickness 8 mm | 260 X 170 mm</t>
  </si>
  <si>
    <t>plat face St. 17 | Plate (A) thickness 8 mm | 210 X 50 mm</t>
  </si>
  <si>
    <t>plat face St. 18 | Plate (A) thickness 8 mm | 220 X 90 mm</t>
  </si>
  <si>
    <t>plat face St. 19 | Plate (A) thickness 8 mm | 210 X 100 mm</t>
  </si>
  <si>
    <t>plat face St. 20 | Plate (A) thickness 8 mm | 230 X 100 mm</t>
  </si>
  <si>
    <t>plat web St. 17 | Plate (A) thickness 10 mm | 300 X 260 mm</t>
  </si>
  <si>
    <t>plat web St. 18 | Plate (A) thickness 10 mm | 300 X 230 mm</t>
  </si>
  <si>
    <t>plat web St. 19 | Plate (A) thickness 10 mm | 300 X 210 mm</t>
  </si>
  <si>
    <t>plat web St. 20 | Plate (A) thickness 10 mm | 300 X 260 mm</t>
  </si>
  <si>
    <t>Top bulwark</t>
  </si>
  <si>
    <t>St. Buritan/1 s/d 7/8 | Angle bar size. 100 x 100 x 10 mm | 6600 mm</t>
  </si>
  <si>
    <t>St. 16/17 s/d 18/19 | Angle bar size. 100 x 100 x 10 mm | 1250 mm</t>
  </si>
  <si>
    <t>St. 18/19 s/d 19/20 | Angle bar size. 100 x 100 x 10 mm | 1020 mm</t>
  </si>
  <si>
    <t>St. 19 s/d 20 | Angle bar size. 100 x 100 x 10 mm | 660 mm</t>
  </si>
  <si>
    <t>St. 19/20 s/d 20/21 | Angle bar size. 100 x 100 x 10 mm | 510 mm</t>
  </si>
  <si>
    <t>St. 20 s/d 21 | Angle bar size. 100 x 100 x 10 mm | 290 mm</t>
  </si>
  <si>
    <t>Plat bulwark</t>
  </si>
  <si>
    <t>St. 2/3 s/d 4/5 | Plate (A) thickness 8 mm | 1760 X 410 mm</t>
  </si>
  <si>
    <t>St. 4/5 s/d 6/7 | Plate (A) thickness 8 mm | 2350 X 210 mm</t>
  </si>
  <si>
    <t>St. 5/6 s/d 6/7 | Plate (A) thickness 8 mm | 260 X 200 mm</t>
  </si>
  <si>
    <t>I.4</t>
  </si>
  <si>
    <t>Bulwark PS</t>
  </si>
  <si>
    <t>plat face St. 1 | Plate (A) thickness 8 mm | 270 X 50 mm</t>
  </si>
  <si>
    <t>plat face St. 3 | Plate (A) thickness 8 mm | 320 X 50 mm</t>
  </si>
  <si>
    <t>plat face St. 4 | Plate (A) thickness 8 mm | 260 X 50 mm</t>
  </si>
  <si>
    <t>plat face St. 6 | Plate (A) thickness 8 mm | 290 X 50 mm</t>
  </si>
  <si>
    <t>plat web St. 1 | Plate (A) thickness 10 mm | 350 X 170 mm</t>
  </si>
  <si>
    <t>plat web St. 3 | Plate (A) thickness 10 mm | 400 X 180 mm</t>
  </si>
  <si>
    <t>plat web St. 4 | Plate (A) thickness 10 mm | 330 X 180 mm</t>
  </si>
  <si>
    <t>plat web St. 5 | Plate (A) thickness 10 mm | 320 X 180 mm</t>
  </si>
  <si>
    <t>plat web St. 6 | Plate (A) thickness 10 mm | 350 X 180 mm</t>
  </si>
  <si>
    <t>plat face St. 15 | Plate (A) thickness 8 mm | 270 X 50 mm</t>
  </si>
  <si>
    <t>plat face St. 16 | Plate (A) thickness 8 mm | 230 X 50 mm</t>
  </si>
  <si>
    <t>plat face St. 17 | Plate (A) thickness 8 mm | 200 X 50 mm</t>
  </si>
  <si>
    <t>plat face St. 18 | Plate (A) thickness 8 mm | 210 X 90 mm</t>
  </si>
  <si>
    <t>plat face St. 19 | Plate (A) thickness 8 mm | 210 X 90 mm</t>
  </si>
  <si>
    <t>plat face St. 20 | Plate (A) thickness 8 mm | 220 X 90 mm</t>
  </si>
  <si>
    <t>plat face St. 21 | Plate (A) thickness 8 mm | 220 X 90 mm</t>
  </si>
  <si>
    <t>plat web St. 15 | Plate (A) thickness 10 mm | 360 X 190 mm</t>
  </si>
  <si>
    <t>plat web St. 16 | Plate (A) thickness 10 mm | 300 X 170 mm</t>
  </si>
  <si>
    <t>plat web St. 17 | Plate (A) thickness 10 mm | 290 X 170 mm</t>
  </si>
  <si>
    <t>plat web St. 18 | Plate (A) thickness 10 mm | 230 X 280 mm</t>
  </si>
  <si>
    <t>plat web St. 19 | Plate (A) thickness 10 mm | 230 X 290 mm</t>
  </si>
  <si>
    <t>plat web St. 20 | Plate (A) thickness 10 mm | 300 X 210 mm</t>
  </si>
  <si>
    <t>plat web St. 21 | Plate (A) thickness 10 mm | 240 X 280 mm</t>
  </si>
  <si>
    <t>St. Buritan s/d 1/2 | Angle bar size. 100 x 100 x 10 mm | 730 mm</t>
  </si>
  <si>
    <t>St. 2/3 s/d 4/5 | Angle bar size. 100 x 100 x 10 mm | 2460 mm</t>
  </si>
  <si>
    <t>St. 4/5  s/d 6/7 | Angle bar size. 100 x 100 x 10 mm | 2050 mm</t>
  </si>
  <si>
    <t>St. 14/15 s/d 15/16 | Angle bar size. 100 x 100 x 10 mm | 1400 mm</t>
  </si>
  <si>
    <t>St. 15/16 s/d 17/16 | Angle bar size. 100 x 100 x 10 mm | 1160 mm</t>
  </si>
  <si>
    <t>St. 17/18 s/d 18/19 | Angle bar size. 100 x 100 x 10 mm | 660 mm</t>
  </si>
  <si>
    <t>St. 18/19 s/d 19/20 | Angle bar size. 100 x 100 x 10 mm | 1200 mm</t>
  </si>
  <si>
    <t>St. 19/20 s/d 20/21 | Angle bar size. 100 x 100 x 10 mm | 1010 mm</t>
  </si>
  <si>
    <t>St. 20/21 s/d 21/22 | Angle bar size. 100 x 100 x 10 mm | 1370 mm</t>
  </si>
  <si>
    <t>St. Buritan s/d 1 | Plate (A) thickness 8 mm | 550 X 420 mm</t>
  </si>
  <si>
    <t>St. 1 | Plate (A) thickness 8 mm | 350 X 170 mm</t>
  </si>
  <si>
    <t>St. 2/3 s/d 5/6 | Plate (A) thickness 8 mm | 2110 X 200 mm</t>
  </si>
  <si>
    <t>St. 5/6 s/d 6/7 | Plate (A) thickness 8 mm | 1210 X 200 mm</t>
  </si>
  <si>
    <t>St. 19/20 s/d 20/21 | Plate (A) thickness 8 mm | 460 X 200 mm</t>
  </si>
  <si>
    <t>St. 20/21 s/d 22 | Plate (A) thickness 8 mm | 1620 X 200 mm</t>
  </si>
  <si>
    <t>I.14</t>
  </si>
  <si>
    <t>Dinding steering</t>
  </si>
  <si>
    <t>Dinding belakang steering SB</t>
  </si>
  <si>
    <t xml:space="preserve"> | Plate (A) thickness 8 mm | 1800 X 740 mm</t>
  </si>
  <si>
    <t>I.15</t>
  </si>
  <si>
    <t>Doubling main deck</t>
  </si>
  <si>
    <t>plate doubling PS | Plate (A) thickness 8 mm | 310 X 260 mm</t>
  </si>
  <si>
    <t>plate doubling PS | Plate (A) thickness 8 mm | 310 X 210 mm</t>
  </si>
  <si>
    <t>plate doubling SB | Plate (A) thickness 8 mm | 310 X 310 mm</t>
  </si>
  <si>
    <t>plate doubling SB | Plate (A) thickness 8 mm | 310 X 210 mm</t>
  </si>
  <si>
    <t>plate doubling SB | Plate (A) thickness 8 mm | 150 X 160 mm</t>
  </si>
  <si>
    <t>plate doubling SB | Plate (A) thickness 8 mm | 360 X 210 mm</t>
  </si>
  <si>
    <t>I.16</t>
  </si>
  <si>
    <t>Anjungan</t>
  </si>
  <si>
    <t>Replating kanopi deck anjungan PS</t>
  </si>
  <si>
    <t xml:space="preserve"> | Plate (A) thickness 8 mm | 1700 X 180 mm</t>
  </si>
  <si>
    <t xml:space="preserve"> | Plate (A) thickness 10 mm | 2370 X 180 mm</t>
  </si>
  <si>
    <t>II.1</t>
  </si>
  <si>
    <t>Pipa atas deck</t>
  </si>
  <si>
    <t xml:space="preserve">Pipa air vent head No.1 PS (FOT) </t>
  </si>
  <si>
    <t>Joint</t>
  </si>
  <si>
    <t xml:space="preserve"> | Pipe seamless size. 2 1/2" Sch 40</t>
  </si>
  <si>
    <t xml:space="preserve"> | Flange plate size. 2 1/2" 5K</t>
  </si>
  <si>
    <t xml:space="preserve"> | B/N galvanized size. 14mm X 50mm</t>
  </si>
  <si>
    <t xml:space="preserve"> | Rubber packing size. 5mm | 160 X 160 mm</t>
  </si>
  <si>
    <t>Pipa air vent head  No.3 PS (FWT)</t>
  </si>
  <si>
    <t>Pipa air vent head  No. 4 PS (FWT)</t>
  </si>
  <si>
    <t>Pipa gooseneck No.3 (SB)</t>
  </si>
  <si>
    <t xml:space="preserve"> | Pipe seamless size. 1 1/2" Sch 40</t>
  </si>
  <si>
    <t xml:space="preserve"> | Flange plate size. 1 1/2" 5K</t>
  </si>
  <si>
    <t xml:space="preserve"> | Elbow black size. 1 1/4" Sch. 40</t>
  </si>
  <si>
    <t xml:space="preserve"> | B/N galvanized size. 12mm X 50mm</t>
  </si>
  <si>
    <t xml:space="preserve"> | Rubber packing size. 5mm | 150 X 150 mm</t>
  </si>
  <si>
    <t>Pipa discharge OWS (SB)</t>
  </si>
  <si>
    <t xml:space="preserve"> | Pipe seamless size. 2" Sch 40</t>
  </si>
  <si>
    <t xml:space="preserve"> | Flange plate size. 2" 5K</t>
  </si>
  <si>
    <t xml:space="preserve"> | Elbow black size. 2" Sch. 40</t>
  </si>
  <si>
    <t>plate flange | Plate (A) thickness 20 mm | 270 X 270 mm @ 2 sht</t>
  </si>
  <si>
    <t>spill box | Plate (A) thickness 8 mm | 250 X 60 mm @ 2 sht</t>
  </si>
  <si>
    <t>spill box | Plate (A) thickness 8 mm | 230 X 50 mm @ 2 sht</t>
  </si>
  <si>
    <t>spill box | Plate (A) thickness 8 mm | 250 X 250 mm @ 1 sht</t>
  </si>
  <si>
    <t xml:space="preserve"> | B/N galvanized size. 5/8" X 2,5"</t>
  </si>
  <si>
    <t xml:space="preserve"> | Rubber packing size. 5mm | 270 X 270 mm</t>
  </si>
  <si>
    <t>Pipa air vent head  No.4 SB (FWT)</t>
  </si>
  <si>
    <t>Pipa air vent head No.5 SB (FWT)</t>
  </si>
  <si>
    <t>Pipa isi No.4 SB (FWT)</t>
  </si>
  <si>
    <t xml:space="preserve"> | Long nipple size. 2 1/2" Sch 40 100 mm</t>
  </si>
  <si>
    <t xml:space="preserve"> | End cap galvanized size. 2 1/2"</t>
  </si>
  <si>
    <t>Pipa air vent head  No.6 SB (FWT)</t>
  </si>
  <si>
    <t>II.2</t>
  </si>
  <si>
    <t>Bolder</t>
  </si>
  <si>
    <t xml:space="preserve"> | Pipe seamless size. 6" Sch 80</t>
  </si>
  <si>
    <t>plate top | Plate (A) thickness 10 mm | 170 X 170 mm</t>
  </si>
  <si>
    <t>lengan | Roundbar size. 2" | 500 mm</t>
  </si>
  <si>
    <t>bracket to top bulwark | Plate (A) thickness 12 mm | 550 X 300 mm</t>
  </si>
  <si>
    <t>Bracket bolder to bulwark | Plate (A) thickness 10 mm | 390 X 110 mm</t>
  </si>
  <si>
    <t>safety lis bracket | Roundbar size. 3/4" | 860 mm</t>
  </si>
  <si>
    <t>II.3</t>
  </si>
  <si>
    <t>Rekondisi kaca anjungan</t>
  </si>
  <si>
    <t>suplai | Kaca anjungan (include frame) estimasi uk. 1200 x 1000 mm</t>
  </si>
  <si>
    <t>JANGKAR DAN PERLENGKAPAN</t>
  </si>
  <si>
    <t>III.1</t>
  </si>
  <si>
    <t>Perlengkapan jangkar</t>
  </si>
  <si>
    <t>Roller rantai jangkar SB</t>
  </si>
  <si>
    <t>plate sisi | Plate (A) thickness 20 mm | 250 X 200 mm @ 2 sht</t>
  </si>
  <si>
    <t>plat horizontal | Plate (A) thickness 20 mm | 120 X 80 mm 2 sht</t>
  </si>
  <si>
    <t>pin roller | Roundbar size. 2" | 570 mm @ 1 pcs</t>
  </si>
  <si>
    <t>roller | Pipe seamless size. 2 1/2" Sch 40 | 300 mm</t>
  </si>
  <si>
    <t>roller | Pipe seamless size. 2 1/2" Sch 40 | 130 mm</t>
  </si>
  <si>
    <t>roller vertical | Pipe seamless size. 2 1/2" Sch 40</t>
  </si>
  <si>
    <t>bushing pin | Bushing size. ID: 1,5" OD:2,5" | 40 mm @ 4 pcs</t>
  </si>
  <si>
    <t>plat alas | Plate (A) thickness 20 mm | 350 X 250 mm</t>
  </si>
  <si>
    <t>plat penahan busing | Plate (A) thickness 8 mm | 110 X 30 mm</t>
  </si>
  <si>
    <t>Roller rantai jangkar PS</t>
  </si>
  <si>
    <t>IV.1</t>
  </si>
  <si>
    <t>Valve kamar mesin</t>
  </si>
  <si>
    <t>Service valve 2" 5k angle valve cooler ME PS/SB</t>
  </si>
  <si>
    <t>Servis strainer 2" cooler ME PS/SB</t>
  </si>
  <si>
    <t>IV.2</t>
  </si>
  <si>
    <t>Pipa Cooler ME PS</t>
  </si>
  <si>
    <t>Pipa inlet cooler to M/E PS</t>
  </si>
  <si>
    <t xml:space="preserve"> | Pipe seamless size. 2" Sch 80</t>
  </si>
  <si>
    <t xml:space="preserve"> | Elbow black size. 2" Sch. 80</t>
  </si>
  <si>
    <t xml:space="preserve"> | Flange plate size. 2" 10K</t>
  </si>
  <si>
    <t xml:space="preserve"> | Rubber hose HP size. 2 1/2"</t>
  </si>
  <si>
    <t xml:space="preserve"> | Clamp HD size. 3"</t>
  </si>
  <si>
    <t>Pipa inlet cooler to heat exchanger PS</t>
  </si>
  <si>
    <t>custom flange | Plate (A) thickness 10 mm | 130 X 90 mm</t>
  </si>
  <si>
    <t>Pipa inlet inter cooler to heat exchanger PS</t>
  </si>
  <si>
    <t>custom flange | Plate (A) thickness 12 mm | 110 X 110 mm</t>
  </si>
  <si>
    <t xml:space="preserve"> | Packing TBA size.3.2mm | 110 X 110 mm</t>
  </si>
  <si>
    <t xml:space="preserve"> | Reducer black size. 1 1/2" X 2" Sch 80</t>
  </si>
  <si>
    <t>Pipa outlet cooler PS</t>
  </si>
  <si>
    <t>IV.3</t>
  </si>
  <si>
    <t>Pipa cooler ME SB</t>
  </si>
  <si>
    <t xml:space="preserve"> Pipa inlet cooler to M/E </t>
  </si>
  <si>
    <t xml:space="preserve"> Pipa inlet cooler to heat exchanger</t>
  </si>
  <si>
    <t xml:space="preserve"> | Bolt "L" size. 1/2" x 1 1/4" mm</t>
  </si>
  <si>
    <t xml:space="preserve"> | Packing TBA size.3.2mm | 130 X 90 mm</t>
  </si>
  <si>
    <t>Pipa outlet cooler</t>
  </si>
  <si>
    <t>IV.4</t>
  </si>
  <si>
    <t>Pipa pemadam SB</t>
  </si>
  <si>
    <t xml:space="preserve"> | Socket weld tee black size. 2" Sch 80</t>
  </si>
  <si>
    <t>IV.5</t>
  </si>
  <si>
    <t>Box OWS</t>
  </si>
  <si>
    <t>Box</t>
  </si>
  <si>
    <t>plat box | Plate (A) thickness 10 mm | 510 X 510 mm @ 6 sht</t>
  </si>
  <si>
    <t>plat ring | Plate (A) thickness 10 mm | 360 X 360 mm</t>
  </si>
  <si>
    <t>plat tutup | Plate (A) thickness 10 mm | 290 X 290 mm</t>
  </si>
  <si>
    <t>bolt/nut | B/N galvanized size. 14mm X 50mm</t>
  </si>
  <si>
    <t>Pipa discharge</t>
  </si>
  <si>
    <t>Line penguapan tabung ows to box</t>
  </si>
  <si>
    <t xml:space="preserve"> | Hose fabrikasi (sesuai contoh) | 1000 mm</t>
  </si>
  <si>
    <t xml:space="preserve"> | Fitting (sesuai contoh)</t>
  </si>
  <si>
    <t>PERLENGKAPAN LAMBUNG</t>
  </si>
  <si>
    <t xml:space="preserve">Bongkar ban dapra </t>
  </si>
  <si>
    <t>Pad eyes</t>
  </si>
  <si>
    <t>pad eyes haluan</t>
  </si>
  <si>
    <t>pad eyes corner</t>
  </si>
  <si>
    <t>pad eyes St. 2,5,7</t>
  </si>
  <si>
    <t>pad eyes St. 15</t>
  </si>
  <si>
    <t>pad eyes St. 19,21</t>
  </si>
  <si>
    <t>pad eyes St. 17,19</t>
  </si>
  <si>
    <t>Build up shaft SB include bubut (area Aft dan Fwd)</t>
  </si>
  <si>
    <t>JR Rev.01 Additional Work By Owner (21/12/24)</t>
  </si>
  <si>
    <t>Pasang baru carpenter jendela anjungan</t>
  </si>
  <si>
    <t>steering room</t>
  </si>
  <si>
    <t>plate doubling | Plate (A) thickness 8 mm | 320 X 300 mm</t>
  </si>
  <si>
    <t>plate doubling | Plate (A) thickness 8 mm | 310 X 200 mm</t>
  </si>
  <si>
    <t>plate doubling | Plate (A) thickness 8 mm | 700 X 200 mm</t>
  </si>
  <si>
    <t>stanction | Plate (A) thickness 8 mm | 710 X 290 mm</t>
  </si>
  <si>
    <t>stanction | Plate (A) thickness 8 mm | 350 X 300 mm</t>
  </si>
  <si>
    <t>stanction | Plate (A) thickness 8 mm | 270 X 190 mm</t>
  </si>
  <si>
    <t>JR Rev.02 Aktualisasi (04/1/25)</t>
  </si>
  <si>
    <t>Perawatan saringan air dalam</t>
  </si>
  <si>
    <t xml:space="preserve"> | Rubber packing size. 5mm | 400 X 400 mm</t>
  </si>
  <si>
    <t xml:space="preserve"> | Plate (Perforated SS) thickness 3 mm | 500 X 500 mm</t>
  </si>
  <si>
    <t>Perawatan valve seachest 6" Ps/Sb</t>
  </si>
  <si>
    <t xml:space="preserve"> | Reinforced rubber packing size. 3.2mm | 300 X 300 mm</t>
  </si>
  <si>
    <t xml:space="preserve"> | B/N HTB size. 5/8" X 3 3/8"</t>
  </si>
  <si>
    <t xml:space="preserve"> | Rames packing white size. 3/8"</t>
  </si>
  <si>
    <t xml:space="preserve"> | Reinforced rubber packing size. 3.2mm | 150 X 150 mm</t>
  </si>
  <si>
    <t xml:space="preserve"> | Rames packing white size. 1/4"</t>
  </si>
  <si>
    <t>Ganti rames packing Ps/Sb</t>
  </si>
  <si>
    <t xml:space="preserve"> | Rames packing white size. 3/4"</t>
  </si>
  <si>
    <t>Suplai cutless bearing Ps/Sb</t>
  </si>
  <si>
    <t>suplai (bagi 2) | Cutless bearing ID : 127mm OD : 165mm L : 508mm</t>
  </si>
  <si>
    <t>bubut dan pengepasan cutless bearing</t>
  </si>
  <si>
    <t>JR Rev.03 Additional work by owner (08/1/25)</t>
  </si>
  <si>
    <t xml:space="preserve"> | Tire fender size. 1100</t>
  </si>
  <si>
    <t xml:space="preserve"> | Chain galvanized size. 5/8"</t>
  </si>
  <si>
    <t xml:space="preserve"> | Shackle-D galvanized size. M16 : 5/8"</t>
  </si>
  <si>
    <t xml:space="preserve"> | Chain galvanized size. 3/4"</t>
  </si>
  <si>
    <t xml:space="preserve"> | Shackle-D galvanized size. M20 : 3/4"</t>
  </si>
  <si>
    <t xml:space="preserve"> | Roundbar size. 3/4" | 4100 mm</t>
  </si>
  <si>
    <t>Lengan bolder | Roundbar size. 1 1/2" | 620 mm</t>
  </si>
  <si>
    <t xml:space="preserve">JANGKAR DAN PERLENGKAAN </t>
  </si>
  <si>
    <t>Rantai jangkar</t>
  </si>
  <si>
    <t xml:space="preserve"> | Kenter shackle size. 3/4"</t>
  </si>
  <si>
    <t xml:space="preserve"> | Anchor chain swivel size. 20mm</t>
  </si>
  <si>
    <t xml:space="preserve"> | Anchor pin shackle size. 3/4"</t>
  </si>
  <si>
    <t>JR Rev.04 Additional work by owner (13/1/25)</t>
  </si>
  <si>
    <t>Pipa filing  No.6 PS (FWT)</t>
  </si>
  <si>
    <t xml:space="preserve"> | Long nipple size. 2 1/2" Sch 40</t>
  </si>
  <si>
    <t xml:space="preserve"> | Rubber packing size. 5mm | 200 X 200 mm</t>
  </si>
  <si>
    <t>St. 15/16 s/d 16/17 | Plate (A) thickness 8 mm | 500 X 350 mm</t>
  </si>
  <si>
    <t>Rekondisi bolder No. 1 PS, 4 Joint</t>
  </si>
  <si>
    <t>Rekondisi bolder No. 1 SB, 4 joint</t>
  </si>
  <si>
    <t xml:space="preserve">Grand Total   </t>
  </si>
  <si>
    <t>Sewa Dok Selama Perbaikan</t>
  </si>
  <si>
    <t>Sewa Tempat Sandar (after repair)</t>
  </si>
  <si>
    <r>
      <t xml:space="preserve">Disediakan Tempat Penampungan Limbah B3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Arial"/>
        <family val="2"/>
      </rPr>
      <t>2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Ton (include bea Treatment)</t>
    </r>
  </si>
  <si>
    <t>Pengecetan Bulwark Luar dan dalam (1x Primer dan 1x Top Coat)</t>
  </si>
  <si>
    <t>Supply Cat</t>
  </si>
  <si>
    <t>Cat Primer</t>
  </si>
  <si>
    <t>liter</t>
  </si>
  <si>
    <t>Cat Sealer</t>
  </si>
  <si>
    <t>Cat Anti Fouling</t>
  </si>
  <si>
    <t>Cat Top Coat</t>
  </si>
  <si>
    <t>Thinner Epoxy</t>
  </si>
  <si>
    <t>Thinner Alkyd</t>
  </si>
  <si>
    <t>|Rubber packing size. 5mm | 400 X 400 mm</t>
  </si>
  <si>
    <t>|Plate (Perforated SS) thickness 3 mm | 500 X 500 mm</t>
  </si>
  <si>
    <t>|Reinforced rubber packing size. 3.2mm | 300 X 300 mm</t>
  </si>
  <si>
    <t>|B/N HTB size. 5/8" X 3 3/8"</t>
  </si>
  <si>
    <t>|Rames packing white size. 3/8"</t>
  </si>
  <si>
    <t>Balikpapan, 6 Januari 2025</t>
  </si>
  <si>
    <t>|Rames packing white size. 3/4"</t>
  </si>
  <si>
    <t>Estimasi</t>
  </si>
  <si>
    <t>- Studbolt uk. 3/4", 1 pcs</t>
  </si>
  <si>
    <t xml:space="preserve">Ganti rymes packing </t>
  </si>
  <si>
    <t>Estimasi Replating plate underwater area Klass BKI</t>
  </si>
  <si>
    <t>Estimasi Replating plate underwater area Plate IACS member</t>
  </si>
  <si>
    <t>Estimasi Replating Plate Marine Non Klass</t>
  </si>
  <si>
    <t>VIII</t>
  </si>
  <si>
    <t>Bongkar dan Pasang kembali ban dapra (acsess untuk blasting bulwark luar)</t>
  </si>
  <si>
    <t>Ganti kupingan dapra yang rusak</t>
  </si>
  <si>
    <t>Supply dan pemasangan Shackle 7/8" (Didalam Chain Locker)</t>
  </si>
  <si>
    <t>plat linggi | Plate (KI) thickness 10 mm | 600 X 600 mm</t>
  </si>
  <si>
    <t>plat doubling | Plate (KI) thickness 10 mm | 600 X 400 mm</t>
  </si>
  <si>
    <t>|Pipe seamless size. 4" Sch 80 | 1300   mm</t>
  </si>
  <si>
    <t>|Elbow black size. 4" Sch. 80</t>
  </si>
  <si>
    <t>Bracket | Plate (A) thickness 10 mm | 400 X 300 mm</t>
  </si>
  <si>
    <t>plat web St. 2 s/d 7 | Plate (A) thickness 10 mm | 300 X 300 mm @ 6 sht</t>
  </si>
  <si>
    <t>plat web St. 18 s/d 21 | Plate (A) thickness 10 mm | 300 X 300 mm @ 4 sht</t>
  </si>
  <si>
    <t>St. 1 s/d 8 | Angle bar size. 100 x 100 x 10 mm | 6400   mm</t>
  </si>
  <si>
    <t>St. 18 s/d 22 | Angle bar size. 100 x 100 x 10 mm | 3800   mm</t>
  </si>
  <si>
    <t>St. 1 s/d 8 | Plate (A) thickness 8 mm | 6400 X 250 mm</t>
  </si>
  <si>
    <t>St. 16 s/d 18 | Plate (A) thickness 8 mm | 600 X 400 mm</t>
  </si>
  <si>
    <t>St. 18 s/d 22 | Plate (A) thickness 8 mm | 3800 X 250 mm</t>
  </si>
  <si>
    <t>plat web St. 16 s/d 22 | Plate (A) thickness 10 mm | 300 X 300 mm</t>
  </si>
  <si>
    <t>St. 16 s/d 23 | Angle bar size. 100 x 100 x 10 mm | 6100   mm</t>
  </si>
  <si>
    <t>St. 1 s/d 3 | Plate (A) thickness 8 mm | 1000 X 400 mm</t>
  </si>
  <si>
    <t>St. 3 s/d 8 | Plate (A) thickness 8 mm | 4500 X 250 mm</t>
  </si>
  <si>
    <t>St. 17 s/d 19 | Plate (A) thickness 8 mm | 1700 X 1100 mm</t>
  </si>
  <si>
    <t>St. 19 s/d 22 | Plate (A) thickness 8 mm | 3700 X 250 mm</t>
  </si>
  <si>
    <t>|Plate (A) thickness 8 mm | 2000 X 700 mm</t>
  </si>
  <si>
    <t>plate doubling | Plate (A) thickness 8 mm | 400 X 400 mm</t>
  </si>
  <si>
    <t>|Plate (A) thickness 8 mm | 1800 X 200 mm</t>
  </si>
  <si>
    <t>|Plate (A) thickness 8 mm | 700 X 200 mm</t>
  </si>
  <si>
    <t>|Pipe seamless size. 2 1/2" Sch 40</t>
  </si>
  <si>
    <t>|Flange plate size. 2 1/2" 5K</t>
  </si>
  <si>
    <t>|B/N galvanized size. 14mm X 50mm</t>
  </si>
  <si>
    <t>|Rubber packing size. 5mm | 200 X 200 mm</t>
  </si>
  <si>
    <t>|Pipe seamless size. 1 1/2" Sch 40</t>
  </si>
  <si>
    <t>|Flange plate size. 1 1/2" 5K</t>
  </si>
  <si>
    <t>|Elbow black size. 1 1/2" Sch. 40</t>
  </si>
  <si>
    <t>|B/N galvanized size. 12mm X 50mm</t>
  </si>
  <si>
    <t>|Rubber packing size. 5mm | 150 X 150 mm</t>
  </si>
  <si>
    <t>|Pipe seamless size. 2" Sch 40</t>
  </si>
  <si>
    <t>|Flange plate size. 2" 5K</t>
  </si>
  <si>
    <t>|Elbow black size. 2" Sch. 40</t>
  </si>
  <si>
    <t>plate flange | Plate (A) thickness 20 mm | 300 X 300 mm @ 2 sht</t>
  </si>
  <si>
    <t>spill box | Plate (A) thickness 8 mm | 300 X 300 mm @ 5 sht</t>
  </si>
  <si>
    <t>|B/N galvanized size. 5/8" X 2,5"</t>
  </si>
  <si>
    <t>|Rubber packing size. 5mm | 300 X 300 mm</t>
  </si>
  <si>
    <t>|Long nipple size. 2 1/2" Sch 40</t>
  </si>
  <si>
    <t>|End cap galvanized size. 2 1/2"</t>
  </si>
  <si>
    <t>Rekondisi bolder No. 1 PS</t>
  </si>
  <si>
    <t>|Pipe seamless size. 6" Sch 80</t>
  </si>
  <si>
    <t>plate top | Plate (A) thickness 10 mm | 250 X 250 mm</t>
  </si>
  <si>
    <t>lengan  | Roundbar size. 2", 500 mm</t>
  </si>
  <si>
    <t>bracket to top bulwark | Plate (A) thickness 12 mm | 600 X 300 mm</t>
  </si>
  <si>
    <t>safety lis bracket | Roundbar size. 3/4", 800 mm</t>
  </si>
  <si>
    <t>plate sisi | Plate (A) thickness 20 mm | 300 X 200 mm @ 2 sht</t>
  </si>
  <si>
    <t>plat horizontal | Plate (A) thickness 20 mm | 300 X 200 mm</t>
  </si>
  <si>
    <t>pin roller | Roundbar size. 2" | 300   mm @ 2 pcs</t>
  </si>
  <si>
    <t>roller | Pipe seamless size. 2 1/2" Sch 40 | 300   mm @ 2 pcs</t>
  </si>
  <si>
    <t>bushing pin | Bushing size. ID: 1,5" OD:2,5" | 50   mm @ 4 pcs</t>
  </si>
  <si>
    <t>plat alas | Plate (A) thickness 20 mm | 400 X 200 mm</t>
  </si>
  <si>
    <t>|Reinforced rubber packing size. 3.2mm | 150 X 150 mm</t>
  </si>
  <si>
    <t>|Rames packing white size. 1/4"</t>
  </si>
  <si>
    <t>|Pipe seamless size. 2" Sch 80</t>
  </si>
  <si>
    <t>|Elbow black size. 2" Sch. 80</t>
  </si>
  <si>
    <t>|Rubber hose HP size. 2 1/2"</t>
  </si>
  <si>
    <t>|Clamp HD size. 3"</t>
  </si>
  <si>
    <t>custom flange | Plate (A) thickness 10 mm | 150 X 100 mm</t>
  </si>
  <si>
    <t>|Bolt "L" size. 1/2" x 1 1/4" mm</t>
  </si>
  <si>
    <t>|Packing TBA size.3.2mm | 150 X 100 mm</t>
  </si>
  <si>
    <t>|Reducer black size. 1 3/4" X 2" Sch 80</t>
  </si>
  <si>
    <t>|Socket weld tee black size. 2" Sch 80</t>
  </si>
  <si>
    <t>plat box | Plate (A) thickness 10 mm | 500 X 500 mm @ 6 sht</t>
  </si>
  <si>
    <t>plat ring | Plate (A) thickness 10 mm | 350 X 350 mm</t>
  </si>
  <si>
    <t>plat tutup | Plate (A) thickness 10 mm | 300 X 300 mm</t>
  </si>
  <si>
    <t>|Hose fabrikasi (sesuai contoh) | 1000   mm</t>
  </si>
  <si>
    <t>|Fitting (sesuai contoh)</t>
  </si>
  <si>
    <t>Bongkar pasang zinc anode</t>
  </si>
  <si>
    <t>Rekondisi bolder No. 1 SB</t>
  </si>
  <si>
    <t>lengan  | Roundbar size. 2" | 500 mm</t>
  </si>
  <si>
    <t>safety lis bracket | Roundbar size. 3/4" | 800 mm</t>
  </si>
  <si>
    <t>plate doubling | Plate (A) thickness 8 mm | 330 X 300 mm</t>
  </si>
  <si>
    <t>plate doubling | Plate (A) thickness 8 mm | 300 X 200 mm</t>
  </si>
  <si>
    <t>stanction | Plate (A) thickness 8 mm | 280 X 190 mm</t>
  </si>
  <si>
    <t>: 1/FIN/MKT-MNB/I/2025</t>
  </si>
  <si>
    <t>Build up shaft PS &amp; SB include bubut (area Aft dan Fwd)</t>
  </si>
  <si>
    <t>Bolder No. 2 SB, 2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</si>
</sst>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-* #,##0_-;\-* #,##0_-;_-* &quot;-&quot;??_-;_-@_-"/>
    <numFmt numFmtId="167" formatCode="_(&quot;IDR&quot;* #,##0_);_(&quot;IDR&quot;* \(#,##0\);_(&quot;IDR&quot;* &quot;-&quot;_);_(@_)"/>
  </numFmts>
  <fonts count="3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rgb="FF808080"/>
      <name val="Arial"/>
      <family val="2"/>
    </font>
    <font>
      <sz val="11"/>
      <color rgb="FF5B9BD5"/>
      <name val="Arial"/>
      <family val="2"/>
    </font>
    <font>
      <sz val="11"/>
      <color rgb="FFED7D3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Arial"/>
      <family val="2"/>
    </font>
    <font>
      <sz val="11"/>
      <color theme="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9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164" fontId="3" fillId="2" borderId="6" xfId="1" applyFont="1" applyFill="1" applyBorder="1"/>
    <xf numFmtId="0" fontId="9" fillId="3" borderId="0" xfId="0" applyFont="1" applyFill="1"/>
    <xf numFmtId="0" fontId="14" fillId="5" borderId="5" xfId="127" quotePrefix="1" applyFont="1" applyFill="1" applyBorder="1" applyAlignment="1">
      <alignment horizontal="left" vertical="center"/>
    </xf>
    <xf numFmtId="0" fontId="14" fillId="5" borderId="6" xfId="127" quotePrefix="1" applyFont="1" applyFill="1" applyBorder="1" applyAlignment="1">
      <alignment horizontal="center" vertical="center"/>
    </xf>
    <xf numFmtId="0" fontId="14" fillId="5" borderId="0" xfId="127" applyFont="1" applyFill="1"/>
    <xf numFmtId="0" fontId="14" fillId="5" borderId="6" xfId="127" applyFont="1" applyFill="1" applyBorder="1"/>
    <xf numFmtId="0" fontId="9" fillId="5" borderId="0" xfId="127" applyFont="1" applyFill="1"/>
    <xf numFmtId="0" fontId="9" fillId="5" borderId="6" xfId="127" applyFont="1" applyFill="1" applyBorder="1"/>
    <xf numFmtId="0" fontId="8" fillId="5" borderId="5" xfId="127" quotePrefix="1" applyFont="1" applyFill="1" applyBorder="1" applyAlignment="1">
      <alignment horizontal="left" vertical="center"/>
    </xf>
    <xf numFmtId="0" fontId="8" fillId="5" borderId="6" xfId="127" quotePrefix="1" applyFont="1" applyFill="1" applyBorder="1" applyAlignment="1">
      <alignment horizontal="center" vertical="center"/>
    </xf>
    <xf numFmtId="0" fontId="8" fillId="5" borderId="0" xfId="127" applyFont="1" applyFill="1"/>
    <xf numFmtId="0" fontId="8" fillId="5" borderId="6" xfId="127" applyFont="1" applyFill="1" applyBorder="1"/>
    <xf numFmtId="0" fontId="8" fillId="5" borderId="6" xfId="127" applyFont="1" applyFill="1" applyBorder="1" applyAlignment="1">
      <alignment horizontal="center"/>
    </xf>
    <xf numFmtId="0" fontId="8" fillId="5" borderId="6" xfId="127" applyFont="1" applyFill="1" applyBorder="1" applyAlignment="1">
      <alignment vertical="center"/>
    </xf>
    <xf numFmtId="0" fontId="8" fillId="5" borderId="6" xfId="127" applyFont="1" applyFill="1" applyBorder="1" applyAlignment="1">
      <alignment horizontal="left"/>
    </xf>
    <xf numFmtId="0" fontId="8" fillId="3" borderId="6" xfId="127" applyFont="1" applyFill="1" applyBorder="1" applyAlignment="1">
      <alignment vertical="center"/>
    </xf>
    <xf numFmtId="0" fontId="8" fillId="5" borderId="5" xfId="127" applyFont="1" applyFill="1" applyBorder="1" applyAlignment="1">
      <alignment horizontal="center"/>
    </xf>
    <xf numFmtId="0" fontId="8" fillId="5" borderId="0" xfId="127" applyFont="1" applyFill="1" applyAlignment="1">
      <alignment horizontal="center"/>
    </xf>
    <xf numFmtId="0" fontId="15" fillId="5" borderId="5" xfId="127" applyFont="1" applyFill="1" applyBorder="1" applyAlignment="1">
      <alignment horizontal="center"/>
    </xf>
    <xf numFmtId="0" fontId="15" fillId="5" borderId="0" xfId="127" applyFont="1" applyFill="1"/>
    <xf numFmtId="0" fontId="14" fillId="5" borderId="5" xfId="127" applyFont="1" applyFill="1" applyBorder="1" applyAlignment="1">
      <alignment horizontal="center"/>
    </xf>
    <xf numFmtId="0" fontId="14" fillId="5" borderId="6" xfId="127" applyFont="1" applyFill="1" applyBorder="1" applyAlignment="1">
      <alignment horizontal="center"/>
    </xf>
    <xf numFmtId="0" fontId="9" fillId="3" borderId="6" xfId="127" applyFont="1" applyFill="1" applyBorder="1" applyAlignment="1">
      <alignment vertical="center"/>
    </xf>
    <xf numFmtId="0" fontId="8" fillId="3" borderId="0" xfId="127" applyFont="1" applyFill="1"/>
    <xf numFmtId="0" fontId="8" fillId="3" borderId="0" xfId="127" applyFont="1" applyFill="1" applyAlignment="1">
      <alignment horizontal="right"/>
    </xf>
    <xf numFmtId="0" fontId="8" fillId="3" borderId="6" xfId="127" applyFont="1" applyFill="1" applyBorder="1"/>
    <xf numFmtId="0" fontId="15" fillId="5" borderId="6" xfId="127" applyFont="1" applyFill="1" applyBorder="1" applyAlignment="1">
      <alignment horizontal="center"/>
    </xf>
    <xf numFmtId="0" fontId="8" fillId="5" borderId="5" xfId="127" applyFont="1" applyFill="1" applyBorder="1"/>
    <xf numFmtId="0" fontId="8" fillId="3" borderId="5" xfId="127" applyFont="1" applyFill="1" applyBorder="1"/>
    <xf numFmtId="0" fontId="9" fillId="5" borderId="5" xfId="127" applyFont="1" applyFill="1" applyBorder="1"/>
    <xf numFmtId="0" fontId="8" fillId="3" borderId="5" xfId="127" applyFont="1" applyFill="1" applyBorder="1" applyAlignment="1">
      <alignment horizontal="center"/>
    </xf>
    <xf numFmtId="0" fontId="8" fillId="3" borderId="6" xfId="127" applyFont="1" applyFill="1" applyBorder="1" applyAlignment="1">
      <alignment horizontal="center"/>
    </xf>
    <xf numFmtId="0" fontId="15" fillId="3" borderId="5" xfId="127" applyFont="1" applyFill="1" applyBorder="1" applyAlignment="1">
      <alignment horizontal="center"/>
    </xf>
    <xf numFmtId="0" fontId="15" fillId="3" borderId="0" xfId="127" applyFont="1" applyFill="1"/>
    <xf numFmtId="0" fontId="15" fillId="3" borderId="5" xfId="127" applyFont="1" applyFill="1" applyBorder="1" applyAlignment="1">
      <alignment horizontal="left"/>
    </xf>
    <xf numFmtId="0" fontId="15" fillId="5" borderId="5" xfId="127" quotePrefix="1" applyFont="1" applyFill="1" applyBorder="1" applyAlignment="1">
      <alignment horizontal="left" vertical="center"/>
    </xf>
    <xf numFmtId="0" fontId="15" fillId="5" borderId="6" xfId="127" quotePrefix="1" applyFont="1" applyFill="1" applyBorder="1" applyAlignment="1">
      <alignment horizontal="center" vertical="center"/>
    </xf>
    <xf numFmtId="0" fontId="8" fillId="3" borderId="5" xfId="127" applyFont="1" applyFill="1" applyBorder="1" applyAlignment="1">
      <alignment horizontal="right"/>
    </xf>
    <xf numFmtId="0" fontId="14" fillId="3" borderId="5" xfId="127" applyFont="1" applyFill="1" applyBorder="1" applyAlignment="1">
      <alignment horizontal="center"/>
    </xf>
    <xf numFmtId="0" fontId="9" fillId="3" borderId="6" xfId="127" applyFont="1" applyFill="1" applyBorder="1" applyAlignment="1">
      <alignment horizontal="center"/>
    </xf>
    <xf numFmtId="0" fontId="14" fillId="3" borderId="0" xfId="127" applyFont="1" applyFill="1"/>
    <xf numFmtId="0" fontId="9" fillId="3" borderId="0" xfId="127" applyFont="1" applyFill="1"/>
    <xf numFmtId="0" fontId="9" fillId="3" borderId="6" xfId="127" applyFont="1" applyFill="1" applyBorder="1"/>
    <xf numFmtId="0" fontId="9" fillId="3" borderId="5" xfId="127" applyFont="1" applyFill="1" applyBorder="1"/>
    <xf numFmtId="0" fontId="9" fillId="5" borderId="5" xfId="127" applyFont="1" applyFill="1" applyBorder="1" applyAlignment="1">
      <alignment horizontal="center"/>
    </xf>
    <xf numFmtId="0" fontId="9" fillId="5" borderId="6" xfId="127" applyFont="1" applyFill="1" applyBorder="1" applyAlignment="1">
      <alignment horizontal="center"/>
    </xf>
    <xf numFmtId="0" fontId="9" fillId="5" borderId="5" xfId="112" applyFont="1" applyFill="1" applyBorder="1" applyAlignment="1">
      <alignment horizontal="center" vertical="center"/>
    </xf>
    <xf numFmtId="0" fontId="9" fillId="5" borderId="5" xfId="112" applyFont="1" applyFill="1" applyBorder="1" applyAlignment="1">
      <alignment horizontal="left"/>
    </xf>
    <xf numFmtId="0" fontId="9" fillId="5" borderId="0" xfId="112" applyFont="1" applyFill="1" applyAlignment="1">
      <alignment horizontal="left"/>
    </xf>
    <xf numFmtId="166" fontId="9" fillId="5" borderId="5" xfId="128" applyNumberFormat="1" applyFont="1" applyFill="1" applyBorder="1" applyAlignment="1">
      <alignment horizontal="right"/>
    </xf>
    <xf numFmtId="0" fontId="8" fillId="5" borderId="5" xfId="112" applyFont="1" applyFill="1" applyBorder="1" applyAlignment="1">
      <alignment horizontal="center" vertical="center"/>
    </xf>
    <xf numFmtId="0" fontId="8" fillId="5" borderId="5" xfId="112" applyFont="1" applyFill="1" applyBorder="1" applyAlignment="1">
      <alignment horizontal="left"/>
    </xf>
    <xf numFmtId="0" fontId="8" fillId="5" borderId="0" xfId="112" applyFont="1" applyFill="1" applyAlignment="1">
      <alignment horizontal="left"/>
    </xf>
    <xf numFmtId="166" fontId="8" fillId="5" borderId="5" xfId="128" applyNumberFormat="1" applyFont="1" applyFill="1" applyBorder="1" applyAlignment="1">
      <alignment horizontal="right"/>
    </xf>
    <xf numFmtId="0" fontId="17" fillId="5" borderId="5" xfId="112" applyFont="1" applyFill="1" applyBorder="1" applyAlignment="1">
      <alignment horizontal="center"/>
    </xf>
    <xf numFmtId="43" fontId="8" fillId="5" borderId="5" xfId="128" applyFont="1" applyFill="1" applyBorder="1" applyAlignment="1">
      <alignment horizontal="right"/>
    </xf>
    <xf numFmtId="0" fontId="16" fillId="0" borderId="0" xfId="0" applyFont="1"/>
    <xf numFmtId="0" fontId="8" fillId="5" borderId="5" xfId="112" applyFont="1" applyFill="1" applyBorder="1"/>
    <xf numFmtId="0" fontId="8" fillId="5" borderId="0" xfId="112" applyFont="1" applyFill="1"/>
    <xf numFmtId="0" fontId="19" fillId="5" borderId="5" xfId="112" applyFont="1" applyFill="1" applyBorder="1" applyAlignment="1">
      <alignment horizontal="center"/>
    </xf>
    <xf numFmtId="0" fontId="9" fillId="5" borderId="5" xfId="112" applyFont="1" applyFill="1" applyBorder="1"/>
    <xf numFmtId="0" fontId="9" fillId="5" borderId="0" xfId="112" applyFont="1" applyFill="1"/>
    <xf numFmtId="0" fontId="8" fillId="5" borderId="6" xfId="112" applyFont="1" applyFill="1" applyBorder="1"/>
    <xf numFmtId="0" fontId="8" fillId="5" borderId="6" xfId="112" applyFont="1" applyFill="1" applyBorder="1" applyAlignment="1">
      <alignment vertical="center"/>
    </xf>
    <xf numFmtId="0" fontId="9" fillId="5" borderId="6" xfId="112" applyFont="1" applyFill="1" applyBorder="1"/>
    <xf numFmtId="0" fontId="8" fillId="5" borderId="5" xfId="112" quotePrefix="1" applyFont="1" applyFill="1" applyBorder="1" applyAlignment="1">
      <alignment horizontal="center" vertical="center"/>
    </xf>
    <xf numFmtId="0" fontId="9" fillId="5" borderId="5" xfId="112" quotePrefix="1" applyFont="1" applyFill="1" applyBorder="1" applyAlignment="1">
      <alignment horizontal="center" vertical="center"/>
    </xf>
    <xf numFmtId="0" fontId="21" fillId="5" borderId="5" xfId="112" quotePrefix="1" applyFont="1" applyFill="1" applyBorder="1" applyAlignment="1">
      <alignment horizontal="center" vertical="center"/>
    </xf>
    <xf numFmtId="0" fontId="21" fillId="5" borderId="5" xfId="112" applyFont="1" applyFill="1" applyBorder="1"/>
    <xf numFmtId="0" fontId="22" fillId="5" borderId="5" xfId="112" quotePrefix="1" applyFont="1" applyFill="1" applyBorder="1" applyAlignment="1">
      <alignment horizontal="center" vertical="center"/>
    </xf>
    <xf numFmtId="0" fontId="22" fillId="5" borderId="5" xfId="112" applyFont="1" applyFill="1" applyBorder="1"/>
    <xf numFmtId="0" fontId="23" fillId="5" borderId="5" xfId="112" quotePrefix="1" applyFont="1" applyFill="1" applyBorder="1" applyAlignment="1">
      <alignment horizontal="center" vertical="center"/>
    </xf>
    <xf numFmtId="0" fontId="23" fillId="5" borderId="5" xfId="112" applyFont="1" applyFill="1" applyBorder="1"/>
    <xf numFmtId="166" fontId="9" fillId="5" borderId="0" xfId="128" applyNumberFormat="1" applyFont="1" applyFill="1" applyBorder="1" applyAlignment="1">
      <alignment horizontal="right"/>
    </xf>
    <xf numFmtId="0" fontId="15" fillId="5" borderId="5" xfId="112" quotePrefix="1" applyFont="1" applyFill="1" applyBorder="1" applyAlignment="1">
      <alignment horizontal="left" vertical="center"/>
    </xf>
    <xf numFmtId="0" fontId="8" fillId="5" borderId="6" xfId="112" quotePrefix="1" applyFont="1" applyFill="1" applyBorder="1" applyAlignment="1">
      <alignment horizontal="center" vertical="center"/>
    </xf>
    <xf numFmtId="0" fontId="15" fillId="5" borderId="0" xfId="112" applyFont="1" applyFill="1"/>
    <xf numFmtId="1" fontId="8" fillId="5" borderId="0" xfId="112" applyNumberFormat="1" applyFont="1" applyFill="1"/>
    <xf numFmtId="2" fontId="8" fillId="5" borderId="0" xfId="112" applyNumberFormat="1" applyFont="1" applyFill="1"/>
    <xf numFmtId="0" fontId="15" fillId="5" borderId="6" xfId="112" quotePrefix="1" applyFont="1" applyFill="1" applyBorder="1" applyAlignment="1">
      <alignment horizontal="center" vertical="center"/>
    </xf>
    <xf numFmtId="0" fontId="15" fillId="5" borderId="6" xfId="112" applyFont="1" applyFill="1" applyBorder="1"/>
    <xf numFmtId="1" fontId="15" fillId="5" borderId="0" xfId="112" applyNumberFormat="1" applyFont="1" applyFill="1"/>
    <xf numFmtId="0" fontId="14" fillId="5" borderId="5" xfId="112" quotePrefix="1" applyFont="1" applyFill="1" applyBorder="1" applyAlignment="1">
      <alignment horizontal="left" vertical="center"/>
    </xf>
    <xf numFmtId="0" fontId="9" fillId="5" borderId="6" xfId="112" quotePrefix="1" applyFont="1" applyFill="1" applyBorder="1" applyAlignment="1">
      <alignment horizontal="center" vertical="center"/>
    </xf>
    <xf numFmtId="0" fontId="14" fillId="5" borderId="0" xfId="112" applyFont="1" applyFill="1"/>
    <xf numFmtId="1" fontId="9" fillId="5" borderId="0" xfId="112" applyNumberFormat="1" applyFont="1" applyFill="1"/>
    <xf numFmtId="0" fontId="24" fillId="5" borderId="6" xfId="112" applyFont="1" applyFill="1" applyBorder="1" applyAlignment="1">
      <alignment horizontal="center"/>
    </xf>
    <xf numFmtId="0" fontId="9" fillId="5" borderId="0" xfId="112" applyFont="1" applyFill="1" applyAlignment="1">
      <alignment horizontal="center"/>
    </xf>
    <xf numFmtId="0" fontId="9" fillId="5" borderId="6" xfId="114" applyFont="1" applyFill="1" applyBorder="1"/>
    <xf numFmtId="1" fontId="9" fillId="5" borderId="0" xfId="112" applyNumberFormat="1" applyFont="1" applyFill="1" applyAlignment="1">
      <alignment horizontal="right"/>
    </xf>
    <xf numFmtId="0" fontId="9" fillId="5" borderId="6" xfId="114" applyFont="1" applyFill="1" applyBorder="1" applyAlignment="1">
      <alignment vertical="center"/>
    </xf>
    <xf numFmtId="0" fontId="8" fillId="5" borderId="6" xfId="112" applyFont="1" applyFill="1" applyBorder="1" applyAlignment="1">
      <alignment horizontal="center"/>
    </xf>
    <xf numFmtId="0" fontId="8" fillId="5" borderId="6" xfId="112" applyFont="1" applyFill="1" applyBorder="1" applyAlignment="1">
      <alignment horizontal="left"/>
    </xf>
    <xf numFmtId="0" fontId="8" fillId="5" borderId="6" xfId="112" applyFont="1" applyFill="1" applyBorder="1" applyAlignment="1">
      <alignment horizontal="right" vertical="center"/>
    </xf>
    <xf numFmtId="0" fontId="25" fillId="5" borderId="6" xfId="112" applyFont="1" applyFill="1" applyBorder="1" applyAlignment="1">
      <alignment horizontal="center"/>
    </xf>
    <xf numFmtId="0" fontId="26" fillId="5" borderId="0" xfId="112" applyFont="1" applyFill="1" applyAlignment="1">
      <alignment horizontal="center"/>
    </xf>
    <xf numFmtId="0" fontId="8" fillId="5" borderId="6" xfId="114" applyFont="1" applyFill="1" applyBorder="1" applyAlignment="1">
      <alignment vertical="center"/>
    </xf>
    <xf numFmtId="167" fontId="9" fillId="3" borderId="11" xfId="0" applyNumberFormat="1" applyFont="1" applyFill="1" applyBorder="1"/>
    <xf numFmtId="167" fontId="9" fillId="4" borderId="11" xfId="0" applyNumberFormat="1" applyFont="1" applyFill="1" applyBorder="1"/>
    <xf numFmtId="0" fontId="3" fillId="2" borderId="5" xfId="0" applyFont="1" applyFill="1" applyBorder="1"/>
    <xf numFmtId="43" fontId="8" fillId="5" borderId="0" xfId="128" applyFont="1" applyFill="1" applyBorder="1" applyAlignment="1">
      <alignment horizontal="right"/>
    </xf>
    <xf numFmtId="165" fontId="9" fillId="3" borderId="6" xfId="0" applyNumberFormat="1" applyFont="1" applyFill="1" applyBorder="1" applyAlignment="1">
      <alignment vertical="center"/>
    </xf>
    <xf numFmtId="164" fontId="9" fillId="3" borderId="6" xfId="1" applyFont="1" applyFill="1" applyBorder="1"/>
    <xf numFmtId="165" fontId="9" fillId="4" borderId="6" xfId="0" applyNumberFormat="1" applyFont="1" applyFill="1" applyBorder="1" applyAlignment="1">
      <alignment vertical="center"/>
    </xf>
    <xf numFmtId="165" fontId="9" fillId="4" borderId="6" xfId="0" applyNumberFormat="1" applyFont="1" applyFill="1" applyBorder="1" applyAlignment="1">
      <alignment horizontal="center" vertical="center"/>
    </xf>
    <xf numFmtId="166" fontId="27" fillId="2" borderId="5" xfId="128" applyNumberFormat="1" applyFont="1" applyFill="1" applyBorder="1" applyAlignment="1">
      <alignment horizontal="right"/>
    </xf>
    <xf numFmtId="0" fontId="27" fillId="2" borderId="6" xfId="127" applyFont="1" applyFill="1" applyBorder="1"/>
    <xf numFmtId="165" fontId="27" fillId="4" borderId="11" xfId="0" applyNumberFormat="1" applyFont="1" applyFill="1" applyBorder="1" applyAlignment="1">
      <alignment vertical="center"/>
    </xf>
    <xf numFmtId="43" fontId="27" fillId="2" borderId="5" xfId="128" applyFont="1" applyFill="1" applyBorder="1" applyAlignment="1">
      <alignment horizontal="right"/>
    </xf>
    <xf numFmtId="164" fontId="9" fillId="3" borderId="6" xfId="1" applyFont="1" applyFill="1" applyBorder="1" applyAlignment="1">
      <alignment vertical="center"/>
    </xf>
    <xf numFmtId="167" fontId="9" fillId="3" borderId="6" xfId="0" applyNumberFormat="1" applyFont="1" applyFill="1" applyBorder="1"/>
    <xf numFmtId="164" fontId="9" fillId="4" borderId="6" xfId="1" applyFont="1" applyFill="1" applyBorder="1" applyAlignment="1">
      <alignment vertical="center"/>
    </xf>
    <xf numFmtId="166" fontId="27" fillId="5" borderId="5" xfId="128" applyNumberFormat="1" applyFont="1" applyFill="1" applyBorder="1" applyAlignment="1">
      <alignment horizontal="right"/>
    </xf>
    <xf numFmtId="0" fontId="27" fillId="5" borderId="6" xfId="127" applyFont="1" applyFill="1" applyBorder="1"/>
    <xf numFmtId="165" fontId="27" fillId="3" borderId="11" xfId="0" applyNumberFormat="1" applyFont="1" applyFill="1" applyBorder="1" applyAlignment="1">
      <alignment vertical="center"/>
    </xf>
    <xf numFmtId="43" fontId="27" fillId="5" borderId="5" xfId="128" applyFont="1" applyFill="1" applyBorder="1" applyAlignment="1">
      <alignment horizontal="right"/>
    </xf>
    <xf numFmtId="0" fontId="27" fillId="5" borderId="6" xfId="112" applyFont="1" applyFill="1" applyBorder="1"/>
    <xf numFmtId="0" fontId="15" fillId="5" borderId="6" xfId="112" applyFont="1" applyFill="1" applyBorder="1" applyAlignment="1">
      <alignment horizontal="center"/>
    </xf>
    <xf numFmtId="0" fontId="15" fillId="5" borderId="6" xfId="112" applyFont="1" applyFill="1" applyBorder="1" applyAlignment="1">
      <alignment horizontal="left"/>
    </xf>
    <xf numFmtId="0" fontId="15" fillId="5" borderId="6" xfId="112" applyFont="1" applyFill="1" applyBorder="1" applyAlignment="1">
      <alignment horizontal="right" vertical="center"/>
    </xf>
    <xf numFmtId="165" fontId="14" fillId="3" borderId="11" xfId="0" applyNumberFormat="1" applyFont="1" applyFill="1" applyBorder="1" applyAlignment="1">
      <alignment vertical="center"/>
    </xf>
    <xf numFmtId="165" fontId="14" fillId="4" borderId="11" xfId="0" applyNumberFormat="1" applyFont="1" applyFill="1" applyBorder="1" applyAlignment="1">
      <alignment vertical="center"/>
    </xf>
    <xf numFmtId="164" fontId="11" fillId="2" borderId="6" xfId="1" applyFont="1" applyFill="1" applyBorder="1"/>
    <xf numFmtId="0" fontId="9" fillId="2" borderId="2" xfId="0" quotePrefix="1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center" vertical="center"/>
    </xf>
    <xf numFmtId="0" fontId="9" fillId="2" borderId="4" xfId="0" quotePrefix="1" applyFont="1" applyFill="1" applyBorder="1" applyAlignment="1">
      <alignment horizontal="center" vertical="center"/>
    </xf>
    <xf numFmtId="0" fontId="14" fillId="5" borderId="0" xfId="127" quotePrefix="1" applyFont="1" applyFill="1" applyAlignment="1">
      <alignment horizontal="center" vertical="center"/>
    </xf>
    <xf numFmtId="0" fontId="8" fillId="5" borderId="0" xfId="127" quotePrefix="1" applyFont="1" applyFill="1" applyAlignment="1">
      <alignment horizontal="center" vertical="center"/>
    </xf>
    <xf numFmtId="0" fontId="15" fillId="5" borderId="0" xfId="127" applyFont="1" applyFill="1" applyAlignment="1">
      <alignment horizontal="center"/>
    </xf>
    <xf numFmtId="0" fontId="14" fillId="5" borderId="0" xfId="127" applyFont="1" applyFill="1" applyAlignment="1">
      <alignment horizontal="center"/>
    </xf>
    <xf numFmtId="0" fontId="8" fillId="3" borderId="0" xfId="127" applyFont="1" applyFill="1" applyAlignment="1">
      <alignment horizontal="center"/>
    </xf>
    <xf numFmtId="0" fontId="15" fillId="5" borderId="0" xfId="127" quotePrefix="1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9" fillId="3" borderId="0" xfId="127" applyFont="1" applyFill="1" applyAlignment="1">
      <alignment horizontal="center"/>
    </xf>
    <xf numFmtId="0" fontId="9" fillId="5" borderId="0" xfId="127" applyFont="1" applyFill="1" applyAlignment="1">
      <alignment horizontal="center"/>
    </xf>
    <xf numFmtId="0" fontId="9" fillId="5" borderId="0" xfId="112" applyFont="1" applyFill="1" applyAlignment="1">
      <alignment horizontal="center" vertical="center"/>
    </xf>
    <xf numFmtId="0" fontId="8" fillId="5" borderId="0" xfId="112" applyFont="1" applyFill="1" applyAlignment="1">
      <alignment horizontal="center" vertical="center"/>
    </xf>
    <xf numFmtId="0" fontId="18" fillId="5" borderId="0" xfId="112" applyFont="1" applyFill="1" applyAlignment="1">
      <alignment horizontal="center"/>
    </xf>
    <xf numFmtId="0" fontId="20" fillId="5" borderId="0" xfId="112" applyFont="1" applyFill="1" applyAlignment="1">
      <alignment horizontal="center"/>
    </xf>
    <xf numFmtId="0" fontId="9" fillId="5" borderId="0" xfId="112" quotePrefix="1" applyFont="1" applyFill="1" applyAlignment="1">
      <alignment horizontal="center" vertical="center"/>
    </xf>
    <xf numFmtId="0" fontId="8" fillId="5" borderId="0" xfId="112" quotePrefix="1" applyFont="1" applyFill="1" applyAlignment="1">
      <alignment horizontal="center" vertical="center"/>
    </xf>
    <xf numFmtId="0" fontId="21" fillId="5" borderId="0" xfId="112" quotePrefix="1" applyFont="1" applyFill="1" applyAlignment="1">
      <alignment horizontal="center" vertical="center"/>
    </xf>
    <xf numFmtId="0" fontId="22" fillId="5" borderId="0" xfId="112" quotePrefix="1" applyFont="1" applyFill="1" applyAlignment="1">
      <alignment horizontal="center" vertical="center"/>
    </xf>
    <xf numFmtId="0" fontId="23" fillId="5" borderId="0" xfId="112" quotePrefix="1" applyFont="1" applyFill="1" applyAlignment="1">
      <alignment horizontal="center" vertical="center"/>
    </xf>
    <xf numFmtId="0" fontId="15" fillId="5" borderId="0" xfId="112" quotePrefix="1" applyFont="1" applyFill="1" applyAlignment="1">
      <alignment horizontal="center" vertical="center"/>
    </xf>
    <xf numFmtId="0" fontId="24" fillId="5" borderId="5" xfId="112" applyFont="1" applyFill="1" applyBorder="1" applyAlignment="1">
      <alignment horizontal="left"/>
    </xf>
    <xf numFmtId="0" fontId="28" fillId="5" borderId="5" xfId="112" applyFont="1" applyFill="1" applyBorder="1" applyAlignment="1">
      <alignment horizontal="left"/>
    </xf>
    <xf numFmtId="0" fontId="25" fillId="5" borderId="5" xfId="112" applyFont="1" applyFill="1" applyBorder="1" applyAlignment="1">
      <alignment horizontal="left"/>
    </xf>
    <xf numFmtId="0" fontId="9" fillId="2" borderId="7" xfId="0" quotePrefix="1" applyFont="1" applyFill="1" applyBorder="1" applyAlignment="1">
      <alignment horizontal="left" vertical="center"/>
    </xf>
    <xf numFmtId="0" fontId="9" fillId="2" borderId="8" xfId="0" quotePrefix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164" fontId="3" fillId="2" borderId="15" xfId="1" applyFont="1" applyFill="1" applyBorder="1"/>
    <xf numFmtId="0" fontId="14" fillId="2" borderId="5" xfId="0" quotePrefix="1" applyFont="1" applyFill="1" applyBorder="1" applyAlignment="1">
      <alignment horizontal="left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6" xfId="0" quotePrefix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6" xfId="0" applyFont="1" applyFill="1" applyBorder="1"/>
    <xf numFmtId="165" fontId="9" fillId="3" borderId="0" xfId="0" applyNumberFormat="1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3" borderId="6" xfId="0" applyFont="1" applyFill="1" applyBorder="1" applyAlignment="1">
      <alignment vertical="center"/>
    </xf>
    <xf numFmtId="0" fontId="8" fillId="4" borderId="0" xfId="0" quotePrefix="1" applyFont="1" applyFill="1"/>
    <xf numFmtId="0" fontId="8" fillId="4" borderId="6" xfId="0" applyFont="1" applyFill="1" applyBorder="1"/>
    <xf numFmtId="1" fontId="9" fillId="3" borderId="0" xfId="0" applyNumberFormat="1" applyFont="1" applyFill="1"/>
    <xf numFmtId="0" fontId="9" fillId="3" borderId="6" xfId="0" applyFont="1" applyFill="1" applyBorder="1"/>
    <xf numFmtId="164" fontId="9" fillId="3" borderId="0" xfId="1" applyFont="1" applyFill="1" applyBorder="1" applyAlignment="1">
      <alignment vertical="center"/>
    </xf>
    <xf numFmtId="167" fontId="9" fillId="3" borderId="0" xfId="0" applyNumberFormat="1" applyFont="1" applyFill="1"/>
    <xf numFmtId="0" fontId="9" fillId="3" borderId="5" xfId="0" applyFont="1" applyFill="1" applyBorder="1"/>
    <xf numFmtId="164" fontId="9" fillId="3" borderId="11" xfId="1" applyFont="1" applyFill="1" applyBorder="1" applyAlignment="1">
      <alignment vertical="center"/>
    </xf>
    <xf numFmtId="0" fontId="8" fillId="2" borderId="0" xfId="112" quotePrefix="1" applyFont="1" applyFill="1" applyAlignment="1">
      <alignment horizontal="center" vertical="center"/>
    </xf>
    <xf numFmtId="0" fontId="8" fillId="2" borderId="5" xfId="112" applyFont="1" applyFill="1" applyBorder="1"/>
    <xf numFmtId="0" fontId="8" fillId="2" borderId="0" xfId="112" applyFont="1" applyFill="1"/>
    <xf numFmtId="166" fontId="8" fillId="2" borderId="5" xfId="128" applyNumberFormat="1" applyFont="1" applyFill="1" applyBorder="1" applyAlignment="1">
      <alignment horizontal="right"/>
    </xf>
    <xf numFmtId="0" fontId="8" fillId="2" borderId="6" xfId="112" applyFont="1" applyFill="1" applyBorder="1"/>
    <xf numFmtId="167" fontId="9" fillId="4" borderId="6" xfId="0" applyNumberFormat="1" applyFont="1" applyFill="1" applyBorder="1"/>
    <xf numFmtId="0" fontId="27" fillId="2" borderId="6" xfId="112" applyFont="1" applyFill="1" applyBorder="1"/>
    <xf numFmtId="167" fontId="9" fillId="4" borderId="0" xfId="0" applyNumberFormat="1" applyFont="1" applyFill="1"/>
    <xf numFmtId="0" fontId="8" fillId="3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0" xfId="0" applyFont="1" applyFill="1"/>
    <xf numFmtId="0" fontId="8" fillId="3" borderId="6" xfId="0" applyFont="1" applyFill="1" applyBorder="1"/>
    <xf numFmtId="0" fontId="8" fillId="3" borderId="5" xfId="0" applyFont="1" applyFill="1" applyBorder="1"/>
    <xf numFmtId="0" fontId="8" fillId="4" borderId="5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0" xfId="0" applyFont="1" applyFill="1"/>
    <xf numFmtId="0" fontId="15" fillId="4" borderId="6" xfId="0" applyFont="1" applyFill="1" applyBorder="1"/>
    <xf numFmtId="0" fontId="15" fillId="4" borderId="5" xfId="0" applyFont="1" applyFill="1" applyBorder="1"/>
    <xf numFmtId="165" fontId="30" fillId="4" borderId="11" xfId="0" applyNumberFormat="1" applyFont="1" applyFill="1" applyBorder="1" applyAlignment="1">
      <alignment horizontal="center" vertical="center"/>
    </xf>
    <xf numFmtId="165" fontId="14" fillId="4" borderId="0" xfId="0" applyNumberFormat="1" applyFont="1" applyFill="1" applyAlignment="1">
      <alignment vertical="center"/>
    </xf>
    <xf numFmtId="164" fontId="11" fillId="2" borderId="11" xfId="1" applyFont="1" applyFill="1" applyBorder="1"/>
    <xf numFmtId="0" fontId="15" fillId="3" borderId="5" xfId="0" applyFont="1" applyFill="1" applyBorder="1" applyAlignment="1">
      <alignment horizontal="center"/>
    </xf>
    <xf numFmtId="0" fontId="15" fillId="3" borderId="0" xfId="0" applyFont="1" applyFill="1"/>
    <xf numFmtId="0" fontId="8" fillId="3" borderId="0" xfId="0" quotePrefix="1" applyFont="1" applyFill="1"/>
    <xf numFmtId="0" fontId="15" fillId="3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center"/>
    </xf>
    <xf numFmtId="0" fontId="8" fillId="4" borderId="0" xfId="0" applyFont="1" applyFill="1"/>
    <xf numFmtId="0" fontId="8" fillId="4" borderId="5" xfId="0" applyFont="1" applyFill="1" applyBorder="1"/>
    <xf numFmtId="0" fontId="8" fillId="2" borderId="5" xfId="112" applyFont="1" applyFill="1" applyBorder="1" applyAlignment="1">
      <alignment horizontal="center" vertical="center"/>
    </xf>
    <xf numFmtId="0" fontId="8" fillId="2" borderId="0" xfId="112" applyFont="1" applyFill="1" applyAlignment="1">
      <alignment horizontal="center" vertical="center"/>
    </xf>
    <xf numFmtId="0" fontId="8" fillId="2" borderId="5" xfId="112" applyFont="1" applyFill="1" applyBorder="1" applyAlignment="1">
      <alignment horizontal="left"/>
    </xf>
    <xf numFmtId="0" fontId="8" fillId="2" borderId="0" xfId="112" applyFont="1" applyFill="1" applyAlignment="1">
      <alignment horizontal="left"/>
    </xf>
    <xf numFmtId="0" fontId="8" fillId="2" borderId="6" xfId="127" applyFont="1" applyFill="1" applyBorder="1"/>
    <xf numFmtId="164" fontId="9" fillId="4" borderId="6" xfId="1" applyFont="1" applyFill="1" applyBorder="1"/>
    <xf numFmtId="0" fontId="8" fillId="2" borderId="5" xfId="112" quotePrefix="1" applyFont="1" applyFill="1" applyBorder="1" applyAlignment="1">
      <alignment horizontal="center" vertical="center"/>
    </xf>
    <xf numFmtId="166" fontId="27" fillId="5" borderId="0" xfId="128" applyNumberFormat="1" applyFont="1" applyFill="1" applyBorder="1" applyAlignment="1">
      <alignment horizontal="right"/>
    </xf>
    <xf numFmtId="165" fontId="27" fillId="4" borderId="6" xfId="0" applyNumberFormat="1" applyFont="1" applyFill="1" applyBorder="1" applyAlignment="1">
      <alignment horizontal="center" vertical="center"/>
    </xf>
    <xf numFmtId="165" fontId="27" fillId="4" borderId="6" xfId="0" applyNumberFormat="1" applyFont="1" applyFill="1" applyBorder="1" applyAlignment="1">
      <alignment vertical="center"/>
    </xf>
    <xf numFmtId="164" fontId="27" fillId="4" borderId="6" xfId="1" applyFont="1" applyFill="1" applyBorder="1" applyAlignment="1">
      <alignment vertical="center"/>
    </xf>
    <xf numFmtId="1" fontId="27" fillId="5" borderId="0" xfId="112" applyNumberFormat="1" applyFont="1" applyFill="1"/>
    <xf numFmtId="0" fontId="27" fillId="5" borderId="0" xfId="112" applyFont="1" applyFill="1"/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29">
    <cellStyle name="Comma 2" xfId="128" xr:uid="{89747CA5-6494-444E-8276-258714116F8F}"/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7" xr:uid="{58C3D4AE-A82B-48F1-93B1-E93CAD6F84FB}"/>
    <cellStyle name="Normal 7 2" xfId="114" xr:uid="{00000000-0005-0000-0000-00007D000000}"/>
    <cellStyle name="Normal 8" xfId="122" xr:uid="{00000000-0005-0000-0000-00007E000000}"/>
  </cellStyles>
  <dxfs count="67"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  <color rgb="FF00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ED1B0-4385-4117-A85B-F659953F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1</xdr:col>
      <xdr:colOff>98613</xdr:colOff>
      <xdr:row>1</xdr:row>
      <xdr:rowOff>53788</xdr:rowOff>
    </xdr:from>
    <xdr:to>
      <xdr:col>6</xdr:col>
      <xdr:colOff>2427112</xdr:colOff>
      <xdr:row>6</xdr:row>
      <xdr:rowOff>143720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4F8632-CD57-4EE4-8EFA-78555013F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813" y="251908"/>
          <a:ext cx="3189559" cy="1080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33104" y="553314"/>
          <a:ext cx="3508079" cy="919560"/>
        </a:xfrm>
        <a:prstGeom prst="rect">
          <a:avLst/>
        </a:prstGeom>
      </xdr:spPr>
    </xdr:pic>
    <xdr:clientData/>
  </xdr:twoCellAnchor>
  <xdr:twoCellAnchor editAs="oneCell">
    <xdr:from>
      <xdr:col>1</xdr:col>
      <xdr:colOff>98613</xdr:colOff>
      <xdr:row>1</xdr:row>
      <xdr:rowOff>53788</xdr:rowOff>
    </xdr:from>
    <xdr:to>
      <xdr:col>6</xdr:col>
      <xdr:colOff>2427112</xdr:colOff>
      <xdr:row>6</xdr:row>
      <xdr:rowOff>143720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D1A726-4E8C-41F8-8E07-8858ED0F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295" y="251012"/>
          <a:ext cx="3180146" cy="1076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E94A-8E27-4B3A-81CD-1F3390A1A0BC}">
  <sheetPr>
    <tabColor theme="3" tint="0.39997558519241921"/>
  </sheetPr>
  <dimension ref="B7:M539"/>
  <sheetViews>
    <sheetView showGridLines="0" tabSelected="1" view="pageBreakPreview" topLeftCell="A529" zoomScale="96" zoomScaleSheetLayoutView="79" workbookViewId="0">
      <selection activeCell="J535" sqref="J535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23</v>
      </c>
      <c r="C8" s="17"/>
      <c r="D8" s="17"/>
    </row>
    <row r="9" spans="2:13" x14ac:dyDescent="0.35">
      <c r="B9" s="32" t="s">
        <v>24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28</v>
      </c>
      <c r="L10" s="20"/>
      <c r="M10" s="18"/>
    </row>
    <row r="11" spans="2:13" x14ac:dyDescent="0.35">
      <c r="B11" s="18" t="s">
        <v>0</v>
      </c>
      <c r="F11" s="18" t="s">
        <v>37</v>
      </c>
      <c r="J11" s="18" t="s">
        <v>29</v>
      </c>
      <c r="M11" s="18"/>
    </row>
    <row r="12" spans="2:13" x14ac:dyDescent="0.35">
      <c r="B12" s="18" t="s">
        <v>34</v>
      </c>
      <c r="F12" s="18" t="s">
        <v>25</v>
      </c>
      <c r="J12" s="18" t="s">
        <v>30</v>
      </c>
      <c r="K12" s="18" t="s">
        <v>38</v>
      </c>
      <c r="M12" s="18"/>
    </row>
    <row r="13" spans="2:13" x14ac:dyDescent="0.35">
      <c r="B13" s="18" t="s">
        <v>4</v>
      </c>
      <c r="F13" s="52"/>
      <c r="J13" s="18" t="s">
        <v>31</v>
      </c>
      <c r="K13" s="18" t="s">
        <v>39</v>
      </c>
      <c r="M13" s="18"/>
    </row>
    <row r="14" spans="2:13" x14ac:dyDescent="0.35">
      <c r="B14" s="18" t="s">
        <v>5</v>
      </c>
      <c r="F14" s="52"/>
      <c r="J14" s="18" t="s">
        <v>32</v>
      </c>
      <c r="K14" s="18" t="s">
        <v>40</v>
      </c>
      <c r="M14" s="18"/>
    </row>
    <row r="15" spans="2:13" x14ac:dyDescent="0.35">
      <c r="F15" s="281"/>
      <c r="G15" s="281"/>
      <c r="J15" s="18" t="s">
        <v>33</v>
      </c>
      <c r="K15" s="18" t="s">
        <v>41</v>
      </c>
      <c r="M15" s="18"/>
    </row>
    <row r="16" spans="2:13" x14ac:dyDescent="0.35">
      <c r="F16" s="6"/>
    </row>
    <row r="18" spans="2:12" s="33" customFormat="1" ht="15" customHeight="1" x14ac:dyDescent="0.35">
      <c r="B18" s="282" t="s">
        <v>0</v>
      </c>
      <c r="C18" s="283"/>
      <c r="D18" s="284"/>
      <c r="E18" s="282" t="s">
        <v>1</v>
      </c>
      <c r="F18" s="283"/>
      <c r="G18" s="284"/>
      <c r="H18" s="282" t="s">
        <v>2</v>
      </c>
      <c r="I18" s="284"/>
      <c r="J18" s="279" t="s">
        <v>3</v>
      </c>
      <c r="K18" s="279" t="s">
        <v>21</v>
      </c>
      <c r="L18" s="279" t="s">
        <v>22</v>
      </c>
    </row>
    <row r="19" spans="2:12" s="33" customFormat="1" ht="15" customHeight="1" x14ac:dyDescent="0.35">
      <c r="B19" s="285"/>
      <c r="C19" s="286"/>
      <c r="D19" s="287"/>
      <c r="E19" s="285"/>
      <c r="F19" s="286"/>
      <c r="G19" s="287"/>
      <c r="H19" s="285"/>
      <c r="I19" s="287"/>
      <c r="J19" s="280"/>
      <c r="K19" s="280"/>
      <c r="L19" s="280"/>
    </row>
    <row r="20" spans="2:12" x14ac:dyDescent="0.35">
      <c r="B20" s="47"/>
      <c r="C20" s="183"/>
      <c r="D20" s="48"/>
      <c r="G20" s="22"/>
      <c r="H20" s="1"/>
      <c r="I20" s="1"/>
      <c r="J20" s="43"/>
      <c r="K20" s="30"/>
      <c r="L20" s="44"/>
    </row>
    <row r="21" spans="2:12" x14ac:dyDescent="0.35">
      <c r="B21" s="203" t="s">
        <v>43</v>
      </c>
      <c r="C21" s="204"/>
      <c r="D21" s="205"/>
      <c r="E21" s="206" t="s">
        <v>10</v>
      </c>
      <c r="F21" s="206"/>
      <c r="G21" s="207"/>
      <c r="J21" s="46"/>
      <c r="K21" s="51"/>
      <c r="L21" s="46" t="str">
        <f>IF(AND(ISBLANK(H21),ISBLANK(J21)),"",J21*H21)</f>
        <v/>
      </c>
    </row>
    <row r="22" spans="2:12" x14ac:dyDescent="0.35">
      <c r="B22" s="47"/>
      <c r="C22" s="183"/>
      <c r="D22" s="48" t="s">
        <v>44</v>
      </c>
      <c r="F22" s="18" t="s">
        <v>45</v>
      </c>
      <c r="G22" s="22"/>
      <c r="H22" s="18">
        <v>1</v>
      </c>
      <c r="I22" s="22" t="s">
        <v>46</v>
      </c>
      <c r="J22" s="49">
        <v>17000000</v>
      </c>
      <c r="K22" s="208">
        <f>H22*J22</f>
        <v>17000000</v>
      </c>
      <c r="L22" s="46"/>
    </row>
    <row r="23" spans="2:12" x14ac:dyDescent="0.35">
      <c r="B23" s="47"/>
      <c r="C23" s="183"/>
      <c r="D23" s="24" t="s">
        <v>47</v>
      </c>
      <c r="F23" s="18" t="s">
        <v>48</v>
      </c>
      <c r="G23" s="22"/>
      <c r="H23" s="18">
        <v>1</v>
      </c>
      <c r="I23" s="22" t="s">
        <v>46</v>
      </c>
      <c r="J23" s="49">
        <v>4000000</v>
      </c>
      <c r="K23" s="208">
        <f t="shared" ref="K23:K57" si="0">H23*J23</f>
        <v>4000000</v>
      </c>
      <c r="L23" s="46"/>
    </row>
    <row r="24" spans="2:12" x14ac:dyDescent="0.35">
      <c r="B24" s="47"/>
      <c r="C24" s="183"/>
      <c r="D24" s="24" t="s">
        <v>49</v>
      </c>
      <c r="F24" s="18" t="s">
        <v>50</v>
      </c>
      <c r="G24" s="22"/>
      <c r="H24" s="18">
        <v>1</v>
      </c>
      <c r="I24" s="30" t="s">
        <v>46</v>
      </c>
      <c r="J24" s="49">
        <v>5500000</v>
      </c>
      <c r="K24" s="208">
        <f t="shared" si="0"/>
        <v>5500000</v>
      </c>
      <c r="L24" s="46"/>
    </row>
    <row r="25" spans="2:12" x14ac:dyDescent="0.35">
      <c r="B25" s="47"/>
      <c r="C25" s="183"/>
      <c r="D25" s="24" t="s">
        <v>51</v>
      </c>
      <c r="F25" s="18" t="s">
        <v>406</v>
      </c>
      <c r="G25" s="22"/>
      <c r="H25" s="18">
        <v>25</v>
      </c>
      <c r="I25" s="209" t="s">
        <v>53</v>
      </c>
      <c r="J25" s="49">
        <v>1500000</v>
      </c>
      <c r="K25" s="208">
        <f t="shared" si="0"/>
        <v>37500000</v>
      </c>
      <c r="L25" s="46"/>
    </row>
    <row r="26" spans="2:12" x14ac:dyDescent="0.35">
      <c r="B26" s="47"/>
      <c r="C26" s="183"/>
      <c r="D26" s="24" t="s">
        <v>54</v>
      </c>
      <c r="F26" s="18" t="s">
        <v>407</v>
      </c>
      <c r="G26" s="22"/>
      <c r="H26" s="18">
        <v>3</v>
      </c>
      <c r="I26" s="22" t="s">
        <v>53</v>
      </c>
      <c r="J26" s="49">
        <v>350000</v>
      </c>
      <c r="K26" s="208">
        <f t="shared" si="0"/>
        <v>1050000</v>
      </c>
      <c r="L26" s="46"/>
    </row>
    <row r="27" spans="2:12" x14ac:dyDescent="0.35">
      <c r="B27" s="47"/>
      <c r="C27" s="183"/>
      <c r="D27" s="24" t="s">
        <v>56</v>
      </c>
      <c r="F27" s="18" t="s">
        <v>57</v>
      </c>
      <c r="G27" s="22"/>
      <c r="H27" s="18">
        <v>1</v>
      </c>
      <c r="I27" s="22" t="s">
        <v>46</v>
      </c>
      <c r="J27" s="49">
        <v>850000</v>
      </c>
      <c r="K27" s="208">
        <f t="shared" si="0"/>
        <v>850000</v>
      </c>
      <c r="L27" s="46"/>
    </row>
    <row r="28" spans="2:12" x14ac:dyDescent="0.35">
      <c r="B28" s="47"/>
      <c r="C28" s="183"/>
      <c r="D28" s="24" t="s">
        <v>58</v>
      </c>
      <c r="F28" s="18" t="s">
        <v>59</v>
      </c>
      <c r="G28" s="22"/>
      <c r="H28" s="18">
        <v>28</v>
      </c>
      <c r="I28" s="22" t="s">
        <v>53</v>
      </c>
      <c r="J28" s="49">
        <v>550000</v>
      </c>
      <c r="K28" s="208">
        <f t="shared" si="0"/>
        <v>15400000</v>
      </c>
      <c r="L28" s="46"/>
    </row>
    <row r="29" spans="2:12" x14ac:dyDescent="0.35">
      <c r="B29" s="47"/>
      <c r="C29" s="183"/>
      <c r="D29" s="24" t="s">
        <v>60</v>
      </c>
      <c r="F29" s="18" t="s">
        <v>61</v>
      </c>
      <c r="G29" s="22"/>
      <c r="H29" s="18">
        <v>1</v>
      </c>
      <c r="I29" s="22" t="s">
        <v>46</v>
      </c>
      <c r="J29" s="49">
        <v>1500000</v>
      </c>
      <c r="K29" s="208">
        <f t="shared" si="0"/>
        <v>1500000</v>
      </c>
      <c r="L29" s="46"/>
    </row>
    <row r="30" spans="2:12" x14ac:dyDescent="0.35">
      <c r="B30" s="47"/>
      <c r="C30" s="183"/>
      <c r="D30" s="24" t="s">
        <v>62</v>
      </c>
      <c r="F30" s="18" t="s">
        <v>63</v>
      </c>
      <c r="G30" s="22"/>
      <c r="H30" s="18">
        <v>1</v>
      </c>
      <c r="I30" s="210" t="s">
        <v>46</v>
      </c>
      <c r="J30" s="49">
        <v>1500000</v>
      </c>
      <c r="K30" s="208">
        <f t="shared" si="0"/>
        <v>1500000</v>
      </c>
      <c r="L30" s="46"/>
    </row>
    <row r="31" spans="2:12" x14ac:dyDescent="0.35">
      <c r="B31" s="47"/>
      <c r="C31" s="183"/>
      <c r="D31" s="24" t="s">
        <v>64</v>
      </c>
      <c r="F31" s="18" t="s">
        <v>65</v>
      </c>
      <c r="G31" s="22"/>
      <c r="H31" s="18">
        <v>1</v>
      </c>
      <c r="I31" s="210" t="s">
        <v>46</v>
      </c>
      <c r="J31" s="49">
        <v>2000000</v>
      </c>
      <c r="K31" s="208">
        <f t="shared" si="0"/>
        <v>2000000</v>
      </c>
      <c r="L31" s="46"/>
    </row>
    <row r="32" spans="2:12" x14ac:dyDescent="0.35">
      <c r="B32" s="47"/>
      <c r="C32" s="183"/>
      <c r="D32" s="24" t="s">
        <v>66</v>
      </c>
      <c r="F32" s="18" t="s">
        <v>67</v>
      </c>
      <c r="G32" s="22"/>
      <c r="H32" s="18">
        <v>1</v>
      </c>
      <c r="I32" s="22" t="s">
        <v>46</v>
      </c>
      <c r="J32" s="49">
        <v>9000000</v>
      </c>
      <c r="K32" s="208">
        <f t="shared" si="0"/>
        <v>9000000</v>
      </c>
      <c r="L32" s="46"/>
    </row>
    <row r="33" spans="2:12" x14ac:dyDescent="0.35">
      <c r="B33" s="47"/>
      <c r="C33" s="183"/>
      <c r="D33" s="24" t="s">
        <v>68</v>
      </c>
      <c r="F33" s="18" t="s">
        <v>69</v>
      </c>
      <c r="G33" s="22"/>
      <c r="H33" s="18">
        <v>20</v>
      </c>
      <c r="I33" s="22" t="s">
        <v>70</v>
      </c>
      <c r="J33" s="49">
        <v>80000</v>
      </c>
      <c r="K33" s="208">
        <f t="shared" si="0"/>
        <v>1600000</v>
      </c>
      <c r="L33" s="46"/>
    </row>
    <row r="34" spans="2:12" x14ac:dyDescent="0.35">
      <c r="B34" s="47"/>
      <c r="C34" s="183"/>
      <c r="D34" s="48" t="s">
        <v>71</v>
      </c>
      <c r="F34" s="18" t="s">
        <v>408</v>
      </c>
      <c r="G34" s="22"/>
      <c r="H34" s="18">
        <v>2.5</v>
      </c>
      <c r="I34" s="211" t="s">
        <v>70</v>
      </c>
      <c r="J34" s="49">
        <v>6500000</v>
      </c>
      <c r="K34" s="208">
        <f t="shared" si="0"/>
        <v>16250000</v>
      </c>
      <c r="L34" s="46"/>
    </row>
    <row r="35" spans="2:12" x14ac:dyDescent="0.35">
      <c r="B35" s="212"/>
      <c r="C35" s="25"/>
      <c r="D35" s="24" t="s">
        <v>73</v>
      </c>
      <c r="F35" s="18" t="s">
        <v>74</v>
      </c>
      <c r="G35" s="22"/>
      <c r="H35" s="18">
        <v>28</v>
      </c>
      <c r="I35" s="211" t="s">
        <v>75</v>
      </c>
      <c r="J35" s="49">
        <v>400000</v>
      </c>
      <c r="K35" s="208">
        <f t="shared" si="0"/>
        <v>11200000</v>
      </c>
      <c r="L35" s="46"/>
    </row>
    <row r="36" spans="2:12" x14ac:dyDescent="0.35">
      <c r="B36" s="213"/>
      <c r="C36" s="214"/>
      <c r="D36" s="24" t="s">
        <v>76</v>
      </c>
      <c r="E36" s="206"/>
      <c r="F36" s="18" t="s">
        <v>77</v>
      </c>
      <c r="G36" s="22"/>
      <c r="H36" s="18">
        <v>25</v>
      </c>
      <c r="I36" s="211" t="s">
        <v>75</v>
      </c>
      <c r="J36" s="49">
        <v>400000</v>
      </c>
      <c r="K36" s="208">
        <f t="shared" si="0"/>
        <v>10000000</v>
      </c>
      <c r="L36" s="46"/>
    </row>
    <row r="37" spans="2:12" x14ac:dyDescent="0.35">
      <c r="B37" s="212"/>
      <c r="C37" s="25"/>
      <c r="D37" s="24" t="s">
        <v>78</v>
      </c>
      <c r="F37" s="18" t="s">
        <v>79</v>
      </c>
      <c r="G37" s="22"/>
      <c r="H37" s="18">
        <v>1</v>
      </c>
      <c r="I37" s="211" t="s">
        <v>46</v>
      </c>
      <c r="J37" s="49">
        <v>3500000</v>
      </c>
      <c r="K37" s="208">
        <f t="shared" si="0"/>
        <v>3500000</v>
      </c>
      <c r="L37" s="46"/>
    </row>
    <row r="38" spans="2:12" x14ac:dyDescent="0.35">
      <c r="B38" s="213" t="s">
        <v>80</v>
      </c>
      <c r="C38" s="214"/>
      <c r="D38" s="215"/>
      <c r="E38" s="206" t="s">
        <v>81</v>
      </c>
      <c r="G38" s="22"/>
      <c r="I38" s="211"/>
      <c r="J38" s="49"/>
      <c r="K38" s="208"/>
      <c r="L38" s="46"/>
    </row>
    <row r="39" spans="2:12" x14ac:dyDescent="0.35">
      <c r="B39" s="212"/>
      <c r="C39" s="25"/>
      <c r="D39" s="24" t="s">
        <v>44</v>
      </c>
      <c r="F39" s="18" t="s">
        <v>82</v>
      </c>
      <c r="G39" s="22"/>
      <c r="H39" s="18">
        <v>348</v>
      </c>
      <c r="I39" s="211" t="s">
        <v>83</v>
      </c>
      <c r="J39" s="148">
        <v>7000</v>
      </c>
      <c r="K39" s="208">
        <f t="shared" si="0"/>
        <v>2436000</v>
      </c>
      <c r="L39" s="46"/>
    </row>
    <row r="40" spans="2:12" x14ac:dyDescent="0.35">
      <c r="B40" s="212"/>
      <c r="C40" s="25"/>
      <c r="D40" s="24" t="s">
        <v>47</v>
      </c>
      <c r="F40" s="18" t="s">
        <v>84</v>
      </c>
      <c r="G40" s="22"/>
      <c r="H40" s="18">
        <f>H39</f>
        <v>348</v>
      </c>
      <c r="I40" s="211" t="s">
        <v>83</v>
      </c>
      <c r="J40" s="149">
        <v>70000</v>
      </c>
      <c r="K40" s="208">
        <f t="shared" si="0"/>
        <v>24360000</v>
      </c>
      <c r="L40" s="46"/>
    </row>
    <row r="41" spans="2:12" x14ac:dyDescent="0.35">
      <c r="B41" s="212"/>
      <c r="C41" s="25"/>
      <c r="D41" s="24" t="s">
        <v>49</v>
      </c>
      <c r="F41" s="18" t="s">
        <v>85</v>
      </c>
      <c r="G41" s="22"/>
      <c r="H41" s="18">
        <v>41</v>
      </c>
      <c r="I41" s="211" t="s">
        <v>83</v>
      </c>
      <c r="J41" s="149">
        <v>70000</v>
      </c>
      <c r="K41" s="208">
        <f t="shared" si="0"/>
        <v>2870000</v>
      </c>
      <c r="L41" s="46"/>
    </row>
    <row r="42" spans="2:12" x14ac:dyDescent="0.35">
      <c r="B42" s="212"/>
      <c r="C42" s="25"/>
      <c r="D42" s="24" t="s">
        <v>51</v>
      </c>
      <c r="F42" s="18" t="s">
        <v>86</v>
      </c>
      <c r="G42" s="22"/>
      <c r="H42" s="18">
        <v>60</v>
      </c>
      <c r="I42" s="211" t="s">
        <v>83</v>
      </c>
      <c r="J42" s="149">
        <v>70000</v>
      </c>
      <c r="K42" s="208">
        <f t="shared" si="0"/>
        <v>4200000</v>
      </c>
      <c r="L42" s="46"/>
    </row>
    <row r="43" spans="2:12" x14ac:dyDescent="0.35">
      <c r="B43" s="212"/>
      <c r="C43" s="25"/>
      <c r="D43" s="24" t="s">
        <v>54</v>
      </c>
      <c r="F43" s="18" t="s">
        <v>87</v>
      </c>
      <c r="G43" s="22"/>
      <c r="H43" s="18">
        <f>H40+H41+H42</f>
        <v>449</v>
      </c>
      <c r="I43" s="211" t="s">
        <v>83</v>
      </c>
      <c r="J43" s="149">
        <v>6500</v>
      </c>
      <c r="K43" s="208">
        <f t="shared" si="0"/>
        <v>2918500</v>
      </c>
      <c r="L43" s="46"/>
    </row>
    <row r="44" spans="2:12" x14ac:dyDescent="0.35">
      <c r="B44" s="212"/>
      <c r="C44" s="25"/>
      <c r="D44" s="24" t="s">
        <v>56</v>
      </c>
      <c r="F44" s="18" t="s">
        <v>88</v>
      </c>
      <c r="G44" s="22"/>
      <c r="H44" s="18">
        <f>H39</f>
        <v>348</v>
      </c>
      <c r="I44" s="22" t="s">
        <v>83</v>
      </c>
      <c r="J44" s="149">
        <v>21000</v>
      </c>
      <c r="K44" s="208">
        <f t="shared" si="0"/>
        <v>7308000</v>
      </c>
      <c r="L44" s="46"/>
    </row>
    <row r="45" spans="2:12" x14ac:dyDescent="0.35">
      <c r="B45" s="212"/>
      <c r="C45" s="25"/>
      <c r="D45" s="24" t="s">
        <v>58</v>
      </c>
      <c r="F45" s="18" t="s">
        <v>89</v>
      </c>
      <c r="G45" s="22"/>
      <c r="H45" s="52">
        <f>H41</f>
        <v>41</v>
      </c>
      <c r="I45" s="211" t="s">
        <v>83</v>
      </c>
      <c r="J45" s="149">
        <v>14000</v>
      </c>
      <c r="K45" s="208">
        <f t="shared" si="0"/>
        <v>574000</v>
      </c>
      <c r="L45" s="46"/>
    </row>
    <row r="46" spans="2:12" x14ac:dyDescent="0.35">
      <c r="B46" s="212"/>
      <c r="C46" s="25"/>
      <c r="D46" s="24" t="s">
        <v>60</v>
      </c>
      <c r="F46" s="18" t="s">
        <v>409</v>
      </c>
      <c r="G46" s="22"/>
      <c r="H46" s="216">
        <f>H42</f>
        <v>60</v>
      </c>
      <c r="I46" s="217" t="s">
        <v>83</v>
      </c>
      <c r="J46" s="29">
        <v>14000</v>
      </c>
      <c r="K46" s="208">
        <f t="shared" si="0"/>
        <v>840000</v>
      </c>
      <c r="L46" s="46"/>
    </row>
    <row r="47" spans="2:12" x14ac:dyDescent="0.35">
      <c r="B47" s="47"/>
      <c r="C47" s="183"/>
      <c r="D47" s="24" t="s">
        <v>62</v>
      </c>
      <c r="F47" s="18" t="s">
        <v>91</v>
      </c>
      <c r="G47" s="22"/>
      <c r="H47" s="52">
        <v>1</v>
      </c>
      <c r="I47" s="211" t="s">
        <v>46</v>
      </c>
      <c r="J47" s="29">
        <v>1200000</v>
      </c>
      <c r="K47" s="208">
        <f t="shared" si="0"/>
        <v>1200000</v>
      </c>
      <c r="L47" s="46"/>
    </row>
    <row r="48" spans="2:12" x14ac:dyDescent="0.35">
      <c r="B48" s="47"/>
      <c r="C48" s="183"/>
      <c r="D48" s="24" t="s">
        <v>64</v>
      </c>
      <c r="F48" s="18" t="s">
        <v>92</v>
      </c>
      <c r="G48" s="22"/>
      <c r="H48" s="216">
        <v>29</v>
      </c>
      <c r="I48" s="217" t="s">
        <v>93</v>
      </c>
      <c r="J48" s="29">
        <v>100000</v>
      </c>
      <c r="K48" s="208">
        <f t="shared" si="0"/>
        <v>2900000</v>
      </c>
      <c r="L48" s="46"/>
    </row>
    <row r="49" spans="2:12" x14ac:dyDescent="0.35">
      <c r="B49" s="47"/>
      <c r="C49" s="183"/>
      <c r="D49" s="24" t="s">
        <v>64</v>
      </c>
      <c r="F49" s="18" t="s">
        <v>410</v>
      </c>
      <c r="G49" s="22"/>
      <c r="H49" s="216"/>
      <c r="I49" s="217"/>
      <c r="J49" s="49"/>
      <c r="K49" s="208"/>
      <c r="L49" s="46"/>
    </row>
    <row r="50" spans="2:12" x14ac:dyDescent="0.35">
      <c r="B50" s="47"/>
      <c r="C50" s="183"/>
      <c r="D50" s="24"/>
      <c r="F50" s="218" t="s">
        <v>94</v>
      </c>
      <c r="G50" s="219" t="s">
        <v>411</v>
      </c>
      <c r="H50" s="220">
        <v>140</v>
      </c>
      <c r="I50" s="221" t="s">
        <v>412</v>
      </c>
      <c r="J50" s="51">
        <v>89000</v>
      </c>
      <c r="K50" s="222"/>
      <c r="L50" s="46">
        <f>J50*H50</f>
        <v>12460000</v>
      </c>
    </row>
    <row r="51" spans="2:12" x14ac:dyDescent="0.35">
      <c r="B51" s="47"/>
      <c r="C51" s="183"/>
      <c r="D51" s="24"/>
      <c r="F51" s="218" t="s">
        <v>94</v>
      </c>
      <c r="G51" s="219" t="s">
        <v>413</v>
      </c>
      <c r="H51" s="220">
        <v>80</v>
      </c>
      <c r="I51" s="221" t="s">
        <v>412</v>
      </c>
      <c r="J51" s="51">
        <v>94500</v>
      </c>
      <c r="K51" s="222"/>
      <c r="L51" s="46">
        <f t="shared" ref="L51:L55" si="1">J51*H51</f>
        <v>7560000</v>
      </c>
    </row>
    <row r="52" spans="2:12" x14ac:dyDescent="0.35">
      <c r="B52" s="47"/>
      <c r="C52" s="183"/>
      <c r="D52" s="24"/>
      <c r="F52" s="218" t="s">
        <v>94</v>
      </c>
      <c r="G52" s="219" t="s">
        <v>414</v>
      </c>
      <c r="H52" s="220">
        <v>80</v>
      </c>
      <c r="I52" s="221" t="s">
        <v>412</v>
      </c>
      <c r="J52" s="49">
        <v>275000</v>
      </c>
      <c r="K52" s="208"/>
      <c r="L52" s="46">
        <f t="shared" si="1"/>
        <v>22000000</v>
      </c>
    </row>
    <row r="53" spans="2:12" x14ac:dyDescent="0.35">
      <c r="B53" s="47"/>
      <c r="C53" s="183"/>
      <c r="D53" s="24"/>
      <c r="F53" s="218" t="s">
        <v>94</v>
      </c>
      <c r="G53" s="219" t="s">
        <v>415</v>
      </c>
      <c r="H53" s="220">
        <v>60</v>
      </c>
      <c r="I53" s="221" t="s">
        <v>412</v>
      </c>
      <c r="J53" s="148">
        <v>286000</v>
      </c>
      <c r="K53" s="161"/>
      <c r="L53" s="46">
        <f t="shared" si="1"/>
        <v>17160000</v>
      </c>
    </row>
    <row r="54" spans="2:12" x14ac:dyDescent="0.35">
      <c r="B54" s="47"/>
      <c r="C54" s="183"/>
      <c r="D54" s="24"/>
      <c r="F54" s="218" t="s">
        <v>94</v>
      </c>
      <c r="G54" s="219" t="s">
        <v>416</v>
      </c>
      <c r="H54" s="220">
        <v>60</v>
      </c>
      <c r="I54" s="221" t="s">
        <v>412</v>
      </c>
      <c r="J54" s="148">
        <v>68000</v>
      </c>
      <c r="K54" s="161"/>
      <c r="L54" s="46">
        <f t="shared" si="1"/>
        <v>4080000</v>
      </c>
    </row>
    <row r="55" spans="2:12" x14ac:dyDescent="0.35">
      <c r="B55" s="47"/>
      <c r="C55" s="183"/>
      <c r="D55" s="24"/>
      <c r="F55" s="218" t="s">
        <v>94</v>
      </c>
      <c r="G55" s="219" t="s">
        <v>417</v>
      </c>
      <c r="H55" s="220">
        <v>20</v>
      </c>
      <c r="I55" s="221" t="s">
        <v>412</v>
      </c>
      <c r="J55" s="148">
        <v>68000</v>
      </c>
      <c r="K55" s="223"/>
      <c r="L55" s="46">
        <f t="shared" si="1"/>
        <v>1360000</v>
      </c>
    </row>
    <row r="56" spans="2:12" x14ac:dyDescent="0.35">
      <c r="B56" s="213" t="s">
        <v>95</v>
      </c>
      <c r="C56" s="214"/>
      <c r="D56" s="215"/>
      <c r="E56" s="206" t="s">
        <v>96</v>
      </c>
      <c r="G56" s="22"/>
      <c r="H56" s="150"/>
      <c r="I56" s="22"/>
      <c r="J56" s="29"/>
      <c r="K56" s="208"/>
      <c r="L56" s="46"/>
    </row>
    <row r="57" spans="2:12" x14ac:dyDescent="0.35">
      <c r="B57" s="212"/>
      <c r="C57" s="25"/>
      <c r="D57" s="24" t="s">
        <v>44</v>
      </c>
      <c r="F57" s="18" t="s">
        <v>97</v>
      </c>
      <c r="G57" s="22"/>
      <c r="H57" s="224">
        <v>2</v>
      </c>
      <c r="I57" s="211" t="s">
        <v>98</v>
      </c>
      <c r="J57" s="49">
        <v>1700000</v>
      </c>
      <c r="K57" s="208">
        <f t="shared" si="0"/>
        <v>3400000</v>
      </c>
      <c r="L57" s="46"/>
    </row>
    <row r="58" spans="2:12" x14ac:dyDescent="0.35">
      <c r="B58" s="47"/>
      <c r="C58" s="183"/>
      <c r="D58" s="191" t="s">
        <v>47</v>
      </c>
      <c r="E58" s="108"/>
      <c r="F58" s="109" t="s">
        <v>371</v>
      </c>
      <c r="G58" s="109"/>
      <c r="H58" s="104">
        <v>2</v>
      </c>
      <c r="I58" s="113" t="s">
        <v>105</v>
      </c>
      <c r="J58" s="152">
        <v>1300000</v>
      </c>
      <c r="K58" s="208">
        <f>J58*H58</f>
        <v>2600000</v>
      </c>
      <c r="L58" s="46"/>
    </row>
    <row r="59" spans="2:12" x14ac:dyDescent="0.35">
      <c r="B59" s="47"/>
      <c r="C59" s="183"/>
      <c r="D59" s="191"/>
      <c r="E59" s="108"/>
      <c r="F59" s="109" t="s">
        <v>94</v>
      </c>
      <c r="G59" s="109" t="s">
        <v>418</v>
      </c>
      <c r="H59" s="163">
        <v>2</v>
      </c>
      <c r="I59" s="167" t="s">
        <v>155</v>
      </c>
      <c r="J59" s="152"/>
      <c r="K59" s="208"/>
      <c r="L59" s="46"/>
    </row>
    <row r="60" spans="2:12" x14ac:dyDescent="0.35">
      <c r="B60" s="47"/>
      <c r="C60" s="183"/>
      <c r="D60" s="191"/>
      <c r="E60" s="108"/>
      <c r="F60" s="109" t="s">
        <v>94</v>
      </c>
      <c r="G60" s="109" t="s">
        <v>419</v>
      </c>
      <c r="H60" s="163">
        <v>2</v>
      </c>
      <c r="I60" s="167" t="s">
        <v>155</v>
      </c>
      <c r="J60" s="152"/>
      <c r="K60" s="208"/>
      <c r="L60" s="46"/>
    </row>
    <row r="61" spans="2:12" x14ac:dyDescent="0.35">
      <c r="B61" s="47"/>
      <c r="C61" s="183"/>
      <c r="D61" s="191" t="s">
        <v>49</v>
      </c>
      <c r="E61" s="108"/>
      <c r="F61" s="109" t="s">
        <v>374</v>
      </c>
      <c r="G61" s="109"/>
      <c r="H61" s="104">
        <v>2</v>
      </c>
      <c r="I61" s="113" t="s">
        <v>105</v>
      </c>
      <c r="J61" s="152">
        <v>1700000</v>
      </c>
      <c r="K61" s="208">
        <f>J61*H61</f>
        <v>3400000</v>
      </c>
      <c r="L61" s="46"/>
    </row>
    <row r="62" spans="2:12" x14ac:dyDescent="0.35">
      <c r="B62" s="47"/>
      <c r="C62" s="183"/>
      <c r="D62" s="191"/>
      <c r="E62" s="108"/>
      <c r="F62" s="109" t="s">
        <v>94</v>
      </c>
      <c r="G62" s="109" t="s">
        <v>420</v>
      </c>
      <c r="H62" s="163">
        <v>2</v>
      </c>
      <c r="I62" s="167" t="s">
        <v>155</v>
      </c>
      <c r="J62" s="152"/>
      <c r="K62" s="208"/>
      <c r="L62" s="46"/>
    </row>
    <row r="63" spans="2:12" x14ac:dyDescent="0.35">
      <c r="B63" s="47"/>
      <c r="C63" s="183"/>
      <c r="D63" s="191"/>
      <c r="E63" s="108"/>
      <c r="F63" s="109" t="s">
        <v>94</v>
      </c>
      <c r="G63" s="109" t="s">
        <v>421</v>
      </c>
      <c r="H63" s="163">
        <v>20</v>
      </c>
      <c r="I63" s="167" t="s">
        <v>155</v>
      </c>
      <c r="J63" s="152"/>
      <c r="K63" s="208"/>
      <c r="L63" s="46"/>
    </row>
    <row r="64" spans="2:12" x14ac:dyDescent="0.35">
      <c r="B64" s="47"/>
      <c r="C64" s="183"/>
      <c r="D64" s="191"/>
      <c r="E64" s="108"/>
      <c r="F64" s="109" t="s">
        <v>94</v>
      </c>
      <c r="G64" s="109" t="s">
        <v>422</v>
      </c>
      <c r="H64" s="163">
        <v>1000</v>
      </c>
      <c r="I64" s="167" t="s">
        <v>153</v>
      </c>
      <c r="J64" s="152"/>
      <c r="K64" s="208"/>
      <c r="L64" s="46"/>
    </row>
    <row r="65" spans="2:12" x14ac:dyDescent="0.35">
      <c r="B65" s="47"/>
      <c r="C65" s="183"/>
      <c r="D65" s="24"/>
      <c r="G65" s="22"/>
      <c r="I65" s="22"/>
      <c r="J65" s="49"/>
      <c r="K65" s="29"/>
      <c r="L65" s="51"/>
    </row>
    <row r="66" spans="2:12" x14ac:dyDescent="0.35">
      <c r="B66" s="47"/>
      <c r="C66" s="183"/>
      <c r="D66" s="24"/>
      <c r="G66" s="22"/>
      <c r="I66" s="22"/>
      <c r="J66" s="49"/>
      <c r="K66" s="29"/>
      <c r="L66" s="51"/>
    </row>
    <row r="67" spans="2:12" x14ac:dyDescent="0.35">
      <c r="B67" s="47"/>
      <c r="C67" s="183"/>
      <c r="D67" s="24"/>
      <c r="G67" s="22"/>
      <c r="I67" s="22"/>
      <c r="J67" s="49"/>
      <c r="K67" s="29"/>
      <c r="L67" s="51"/>
    </row>
    <row r="68" spans="2:12" x14ac:dyDescent="0.35">
      <c r="B68" s="47"/>
      <c r="C68" s="183"/>
      <c r="D68" s="24"/>
      <c r="G68" s="22"/>
      <c r="I68" s="22"/>
      <c r="J68" s="49"/>
      <c r="K68" s="29"/>
      <c r="L68" s="51"/>
    </row>
    <row r="69" spans="2:12" x14ac:dyDescent="0.35">
      <c r="B69" s="47"/>
      <c r="C69" s="183"/>
      <c r="D69" s="24"/>
      <c r="G69" s="22"/>
      <c r="I69" s="22"/>
      <c r="J69" s="49"/>
      <c r="K69" s="29"/>
      <c r="L69" s="51"/>
    </row>
    <row r="70" spans="2:12" x14ac:dyDescent="0.35">
      <c r="B70" s="47"/>
      <c r="C70" s="183"/>
      <c r="D70" s="24"/>
      <c r="G70" s="22"/>
      <c r="I70" s="22"/>
      <c r="J70" s="49"/>
      <c r="K70" s="29"/>
      <c r="L70" s="51"/>
    </row>
    <row r="71" spans="2:12" x14ac:dyDescent="0.35">
      <c r="B71" s="47"/>
      <c r="C71" s="183"/>
      <c r="D71" s="24"/>
      <c r="G71" s="22"/>
      <c r="I71" s="22"/>
      <c r="J71" s="49"/>
      <c r="K71" s="29"/>
      <c r="L71" s="51"/>
    </row>
    <row r="72" spans="2:12" x14ac:dyDescent="0.35">
      <c r="B72" s="47"/>
      <c r="C72" s="183"/>
      <c r="D72" s="24"/>
      <c r="G72" s="22"/>
      <c r="I72" s="22"/>
      <c r="J72" s="49"/>
      <c r="K72" s="29"/>
      <c r="L72" s="51"/>
    </row>
    <row r="73" spans="2:12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196856500</v>
      </c>
      <c r="L73" s="7">
        <f>SUM(L20:L72)</f>
        <v>64620000</v>
      </c>
    </row>
    <row r="74" spans="2:12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21</v>
      </c>
      <c r="L74" s="36" t="s">
        <v>22</v>
      </c>
    </row>
    <row r="75" spans="2:12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</row>
    <row r="76" spans="2:12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12" x14ac:dyDescent="0.35">
      <c r="B77" s="28" t="s">
        <v>6</v>
      </c>
      <c r="C77" s="27"/>
      <c r="D77" s="27"/>
      <c r="E77" s="26"/>
      <c r="F77" s="26"/>
      <c r="G77" s="5"/>
      <c r="K77" s="271" t="s">
        <v>423</v>
      </c>
      <c r="L77" s="272"/>
    </row>
    <row r="78" spans="2:12" x14ac:dyDescent="0.35">
      <c r="B78" s="28">
        <v>1</v>
      </c>
      <c r="C78" s="27"/>
      <c r="D78" s="27"/>
      <c r="E78" s="26" t="s">
        <v>7</v>
      </c>
      <c r="F78" s="26"/>
      <c r="G78" s="5"/>
      <c r="K78" s="271" t="s">
        <v>27</v>
      </c>
      <c r="L78" s="272"/>
    </row>
    <row r="79" spans="2:12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12" x14ac:dyDescent="0.35">
      <c r="B80" s="28"/>
      <c r="C80" s="27"/>
      <c r="D80" s="27"/>
      <c r="E80" s="26"/>
      <c r="F80" s="26"/>
      <c r="G80" s="5"/>
      <c r="L80" s="22"/>
    </row>
    <row r="81" spans="2:12" x14ac:dyDescent="0.35">
      <c r="B81" s="45"/>
      <c r="E81" s="5"/>
      <c r="F81" s="5"/>
      <c r="G81" s="5"/>
      <c r="L81" s="22"/>
    </row>
    <row r="82" spans="2:12" x14ac:dyDescent="0.35">
      <c r="B82" s="45"/>
      <c r="E82" s="5"/>
      <c r="F82" s="5"/>
      <c r="G82" s="5"/>
      <c r="L82" s="22"/>
    </row>
    <row r="83" spans="2:12" x14ac:dyDescent="0.35">
      <c r="B83" s="45"/>
      <c r="E83" s="5"/>
      <c r="F83" s="5"/>
      <c r="G83" s="5"/>
      <c r="L83" s="22"/>
    </row>
    <row r="84" spans="2:12" x14ac:dyDescent="0.35">
      <c r="B84" s="45"/>
      <c r="E84" s="5"/>
      <c r="F84" s="5"/>
      <c r="G84" s="5"/>
      <c r="J84" s="40"/>
      <c r="K84" s="273" t="s">
        <v>35</v>
      </c>
      <c r="L84" s="274"/>
    </row>
    <row r="85" spans="2:12" x14ac:dyDescent="0.35">
      <c r="B85" s="45"/>
      <c r="K85" s="277" t="s">
        <v>36</v>
      </c>
      <c r="L85" s="278"/>
    </row>
    <row r="86" spans="2:12" x14ac:dyDescent="0.35">
      <c r="B86" s="275"/>
      <c r="C86" s="276"/>
      <c r="D86" s="276"/>
      <c r="E86" s="41"/>
      <c r="F86" s="41"/>
      <c r="G86" s="41"/>
      <c r="H86" s="2"/>
      <c r="I86" s="2"/>
      <c r="J86" s="2"/>
      <c r="K86" s="2"/>
      <c r="L86" s="21"/>
    </row>
    <row r="87" spans="2:12" x14ac:dyDescent="0.35">
      <c r="B87" s="47"/>
      <c r="C87" s="183"/>
      <c r="D87" s="48"/>
      <c r="G87" s="22"/>
      <c r="H87" s="1"/>
      <c r="I87" s="1"/>
      <c r="J87" s="43"/>
      <c r="K87" s="30"/>
      <c r="L87" s="44"/>
    </row>
    <row r="88" spans="2:12" x14ac:dyDescent="0.35">
      <c r="B88" s="213" t="s">
        <v>99</v>
      </c>
      <c r="C88" s="214"/>
      <c r="D88" s="215"/>
      <c r="E88" s="206" t="s">
        <v>100</v>
      </c>
      <c r="G88" s="22"/>
      <c r="H88" s="150"/>
      <c r="I88" s="22"/>
      <c r="J88" s="49"/>
      <c r="K88" s="208"/>
      <c r="L88" s="46"/>
    </row>
    <row r="89" spans="2:12" x14ac:dyDescent="0.35">
      <c r="B89" s="212"/>
      <c r="C89" s="25"/>
      <c r="D89" s="24" t="s">
        <v>44</v>
      </c>
      <c r="F89" s="18" t="s">
        <v>101</v>
      </c>
      <c r="G89" s="22"/>
      <c r="H89" s="224">
        <v>4</v>
      </c>
      <c r="I89" s="211" t="s">
        <v>102</v>
      </c>
      <c r="J89" s="225">
        <v>550000</v>
      </c>
      <c r="K89" s="208">
        <f t="shared" ref="K89:K90" si="2">H89*J89</f>
        <v>2200000</v>
      </c>
      <c r="L89" s="46"/>
    </row>
    <row r="90" spans="2:12" x14ac:dyDescent="0.35">
      <c r="B90" s="212"/>
      <c r="C90" s="25"/>
      <c r="D90" s="24" t="s">
        <v>47</v>
      </c>
      <c r="F90" s="18" t="s">
        <v>103</v>
      </c>
      <c r="G90" s="22"/>
      <c r="H90" s="224">
        <v>2</v>
      </c>
      <c r="I90" s="211" t="s">
        <v>98</v>
      </c>
      <c r="J90" s="49">
        <v>900000</v>
      </c>
      <c r="K90" s="208">
        <f t="shared" si="2"/>
        <v>1800000</v>
      </c>
      <c r="L90" s="46"/>
    </row>
    <row r="91" spans="2:12" x14ac:dyDescent="0.35">
      <c r="B91" s="212"/>
      <c r="C91" s="25"/>
      <c r="D91" s="226" t="s">
        <v>49</v>
      </c>
      <c r="E91" s="227"/>
      <c r="F91" s="228" t="s">
        <v>380</v>
      </c>
      <c r="G91" s="228"/>
      <c r="H91" s="229">
        <v>2</v>
      </c>
      <c r="I91" s="230" t="s">
        <v>105</v>
      </c>
      <c r="J91" s="231">
        <v>1750000</v>
      </c>
      <c r="K91" s="50">
        <f>J91*H91</f>
        <v>3500000</v>
      </c>
      <c r="L91" s="46"/>
    </row>
    <row r="92" spans="2:12" x14ac:dyDescent="0.35">
      <c r="B92" s="212"/>
      <c r="C92" s="25"/>
      <c r="D92" s="226"/>
      <c r="E92" s="227"/>
      <c r="F92" s="228" t="s">
        <v>94</v>
      </c>
      <c r="G92" s="228" t="s">
        <v>424</v>
      </c>
      <c r="H92" s="156">
        <v>8000</v>
      </c>
      <c r="I92" s="232" t="s">
        <v>153</v>
      </c>
      <c r="J92" s="231"/>
      <c r="K92" s="233"/>
      <c r="L92" s="46"/>
    </row>
    <row r="93" spans="2:12" x14ac:dyDescent="0.35">
      <c r="B93" s="234"/>
      <c r="C93" s="235"/>
      <c r="D93" s="236" t="s">
        <v>51</v>
      </c>
      <c r="E93" s="237"/>
      <c r="F93" s="237" t="s">
        <v>104</v>
      </c>
      <c r="G93" s="238"/>
      <c r="H93" s="239">
        <v>2</v>
      </c>
      <c r="I93" s="238" t="s">
        <v>105</v>
      </c>
      <c r="J93" s="49">
        <v>7000000</v>
      </c>
      <c r="K93" s="208">
        <f t="shared" ref="K93" si="3">H93*J93</f>
        <v>14000000</v>
      </c>
      <c r="L93" s="46"/>
    </row>
    <row r="94" spans="2:12" x14ac:dyDescent="0.35">
      <c r="B94" s="240"/>
      <c r="C94" s="241"/>
      <c r="D94" s="242" t="s">
        <v>54</v>
      </c>
      <c r="E94" s="243"/>
      <c r="F94" s="243" t="s">
        <v>106</v>
      </c>
      <c r="G94" s="244"/>
      <c r="H94" s="245">
        <v>0</v>
      </c>
      <c r="I94" s="244" t="s">
        <v>105</v>
      </c>
      <c r="J94" s="246" t="s">
        <v>425</v>
      </c>
      <c r="K94" s="247"/>
      <c r="L94" s="248">
        <v>0</v>
      </c>
    </row>
    <row r="95" spans="2:12" x14ac:dyDescent="0.35">
      <c r="B95" s="234"/>
      <c r="C95" s="235"/>
      <c r="D95" s="236" t="s">
        <v>56</v>
      </c>
      <c r="E95" s="237"/>
      <c r="F95" s="237" t="s">
        <v>107</v>
      </c>
      <c r="G95" s="238"/>
      <c r="H95" s="239">
        <v>2</v>
      </c>
      <c r="I95" s="238" t="s">
        <v>105</v>
      </c>
      <c r="J95" s="49">
        <v>2750000</v>
      </c>
      <c r="K95" s="208">
        <f t="shared" ref="K95:K96" si="4">H95*J95</f>
        <v>5500000</v>
      </c>
      <c r="L95" s="46"/>
    </row>
    <row r="96" spans="2:12" x14ac:dyDescent="0.35">
      <c r="B96" s="249"/>
      <c r="C96" s="235"/>
      <c r="D96" s="236" t="s">
        <v>58</v>
      </c>
      <c r="E96" s="250"/>
      <c r="F96" s="237" t="s">
        <v>108</v>
      </c>
      <c r="G96" s="238"/>
      <c r="H96" s="224">
        <v>2</v>
      </c>
      <c r="I96" s="211" t="s">
        <v>105</v>
      </c>
      <c r="J96" s="225">
        <v>8000000</v>
      </c>
      <c r="K96" s="208">
        <f t="shared" si="4"/>
        <v>16000000</v>
      </c>
      <c r="L96" s="46"/>
    </row>
    <row r="97" spans="2:12" x14ac:dyDescent="0.35">
      <c r="B97" s="234"/>
      <c r="C97" s="235"/>
      <c r="D97" s="236"/>
      <c r="E97" s="237"/>
      <c r="F97" s="251" t="s">
        <v>426</v>
      </c>
      <c r="G97" s="238"/>
      <c r="H97" s="237"/>
      <c r="I97" s="238"/>
      <c r="J97" s="225"/>
      <c r="K97" s="208"/>
      <c r="L97" s="46"/>
    </row>
    <row r="98" spans="2:12" x14ac:dyDescent="0.35">
      <c r="B98" s="234"/>
      <c r="C98" s="235"/>
      <c r="D98" s="236" t="s">
        <v>60</v>
      </c>
      <c r="E98" s="237"/>
      <c r="F98" s="237" t="s">
        <v>109</v>
      </c>
      <c r="G98" s="238"/>
      <c r="H98" s="239">
        <v>2</v>
      </c>
      <c r="I98" s="238" t="s">
        <v>105</v>
      </c>
      <c r="J98" s="49">
        <v>2750000</v>
      </c>
      <c r="K98" s="208">
        <f t="shared" ref="K98:K100" si="5">H98*J98</f>
        <v>5500000</v>
      </c>
      <c r="L98" s="46"/>
    </row>
    <row r="99" spans="2:12" x14ac:dyDescent="0.35">
      <c r="B99" s="234"/>
      <c r="C99" s="235"/>
      <c r="D99" s="236" t="s">
        <v>62</v>
      </c>
      <c r="E99" s="237"/>
      <c r="F99" s="237" t="s">
        <v>110</v>
      </c>
      <c r="G99" s="238"/>
      <c r="H99" s="239">
        <v>2</v>
      </c>
      <c r="I99" s="238" t="s">
        <v>105</v>
      </c>
      <c r="J99" s="49">
        <v>1700000</v>
      </c>
      <c r="K99" s="208">
        <f t="shared" si="5"/>
        <v>3400000</v>
      </c>
      <c r="L99" s="46"/>
    </row>
    <row r="100" spans="2:12" x14ac:dyDescent="0.35">
      <c r="B100" s="252"/>
      <c r="C100" s="235"/>
      <c r="D100" s="236" t="s">
        <v>64</v>
      </c>
      <c r="E100" s="250"/>
      <c r="F100" s="237" t="s">
        <v>111</v>
      </c>
      <c r="G100" s="238"/>
      <c r="H100" s="239">
        <v>2</v>
      </c>
      <c r="I100" s="238" t="s">
        <v>105</v>
      </c>
      <c r="J100" s="49">
        <v>2000000</v>
      </c>
      <c r="K100" s="208">
        <f t="shared" si="5"/>
        <v>4000000</v>
      </c>
      <c r="L100" s="46"/>
    </row>
    <row r="101" spans="2:12" x14ac:dyDescent="0.35">
      <c r="B101" s="203" t="s">
        <v>112</v>
      </c>
      <c r="C101" s="204"/>
      <c r="D101" s="205"/>
      <c r="E101" s="206" t="s">
        <v>113</v>
      </c>
      <c r="G101" s="22"/>
      <c r="I101" s="22"/>
      <c r="J101" s="161"/>
      <c r="K101" s="161"/>
      <c r="L101" s="46"/>
    </row>
    <row r="102" spans="2:12" x14ac:dyDescent="0.35">
      <c r="B102" s="47"/>
      <c r="C102" s="183"/>
      <c r="D102" s="253" t="s">
        <v>44</v>
      </c>
      <c r="E102" s="25"/>
      <c r="F102" s="18" t="s">
        <v>114</v>
      </c>
      <c r="G102" s="22"/>
      <c r="H102" s="254">
        <v>4</v>
      </c>
      <c r="I102" s="217" t="s">
        <v>102</v>
      </c>
      <c r="J102" s="46">
        <v>550000</v>
      </c>
      <c r="K102" s="208">
        <f>J102*H102</f>
        <v>2200000</v>
      </c>
      <c r="L102" s="46"/>
    </row>
    <row r="103" spans="2:12" x14ac:dyDescent="0.35">
      <c r="B103" s="47"/>
      <c r="C103" s="183"/>
      <c r="D103" s="253" t="s">
        <v>47</v>
      </c>
      <c r="E103" s="25"/>
      <c r="F103" s="18" t="s">
        <v>115</v>
      </c>
      <c r="G103" s="22"/>
      <c r="H103" s="239">
        <v>2</v>
      </c>
      <c r="I103" s="217" t="s">
        <v>105</v>
      </c>
      <c r="J103" s="46">
        <v>600000</v>
      </c>
      <c r="K103" s="208">
        <f t="shared" ref="K103:K106" si="6">J103*H103</f>
        <v>1200000</v>
      </c>
      <c r="L103" s="46"/>
    </row>
    <row r="104" spans="2:12" x14ac:dyDescent="0.35">
      <c r="B104" s="47"/>
      <c r="C104" s="183"/>
      <c r="D104" s="253" t="s">
        <v>49</v>
      </c>
      <c r="E104" s="25"/>
      <c r="F104" s="18" t="s">
        <v>116</v>
      </c>
      <c r="G104" s="22"/>
      <c r="H104" s="239">
        <v>2</v>
      </c>
      <c r="I104" s="217" t="s">
        <v>105</v>
      </c>
      <c r="J104" s="46">
        <v>5000000</v>
      </c>
      <c r="K104" s="208">
        <f t="shared" si="6"/>
        <v>10000000</v>
      </c>
      <c r="L104" s="46"/>
    </row>
    <row r="105" spans="2:12" x14ac:dyDescent="0.35">
      <c r="B105" s="47"/>
      <c r="C105" s="183"/>
      <c r="D105" s="253" t="s">
        <v>51</v>
      </c>
      <c r="E105" s="25"/>
      <c r="F105" s="18" t="s">
        <v>117</v>
      </c>
      <c r="G105" s="22"/>
      <c r="H105" s="239">
        <v>2</v>
      </c>
      <c r="I105" s="217" t="s">
        <v>105</v>
      </c>
      <c r="J105" s="46">
        <v>2000000</v>
      </c>
      <c r="K105" s="208">
        <f t="shared" si="6"/>
        <v>4000000</v>
      </c>
      <c r="L105" s="46"/>
    </row>
    <row r="106" spans="2:12" x14ac:dyDescent="0.35">
      <c r="B106" s="213"/>
      <c r="C106" s="214"/>
      <c r="D106" s="24" t="s">
        <v>54</v>
      </c>
      <c r="E106" s="206"/>
      <c r="F106" s="18" t="s">
        <v>118</v>
      </c>
      <c r="G106" s="22"/>
      <c r="H106" s="150">
        <v>2</v>
      </c>
      <c r="I106" s="22" t="s">
        <v>105</v>
      </c>
      <c r="J106" s="49">
        <v>5000000</v>
      </c>
      <c r="K106" s="208">
        <f t="shared" si="6"/>
        <v>10000000</v>
      </c>
      <c r="L106" s="46"/>
    </row>
    <row r="107" spans="2:12" x14ac:dyDescent="0.35">
      <c r="B107" s="212"/>
      <c r="C107" s="25"/>
      <c r="D107" s="24" t="s">
        <v>56</v>
      </c>
      <c r="F107" s="18" t="s">
        <v>427</v>
      </c>
      <c r="G107" s="22"/>
      <c r="H107" s="150">
        <v>2</v>
      </c>
      <c r="I107" s="22" t="s">
        <v>105</v>
      </c>
      <c r="J107" s="49">
        <v>1500000</v>
      </c>
      <c r="K107" s="153"/>
      <c r="L107" s="46">
        <f>J107*H107</f>
        <v>3000000</v>
      </c>
    </row>
    <row r="108" spans="2:12" x14ac:dyDescent="0.35">
      <c r="B108" s="249" t="s">
        <v>119</v>
      </c>
      <c r="C108" s="235"/>
      <c r="D108" s="236"/>
      <c r="E108" s="250" t="s">
        <v>142</v>
      </c>
      <c r="F108" s="237"/>
      <c r="G108" s="238"/>
      <c r="H108" s="224"/>
      <c r="I108" s="211"/>
      <c r="J108" s="154"/>
      <c r="K108" s="50"/>
      <c r="L108" s="46"/>
    </row>
    <row r="109" spans="2:12" x14ac:dyDescent="0.35">
      <c r="B109" s="234"/>
      <c r="C109" s="235"/>
      <c r="D109" s="236" t="s">
        <v>44</v>
      </c>
      <c r="E109" s="237"/>
      <c r="F109" s="237" t="s">
        <v>428</v>
      </c>
      <c r="G109" s="238"/>
      <c r="H109" s="239">
        <v>0</v>
      </c>
      <c r="I109" s="238" t="s">
        <v>147</v>
      </c>
      <c r="J109" s="148">
        <v>32000</v>
      </c>
      <c r="K109" s="208"/>
      <c r="L109" s="46">
        <f t="shared" ref="L109:L111" si="7">J109*H109</f>
        <v>0</v>
      </c>
    </row>
    <row r="110" spans="2:12" x14ac:dyDescent="0.35">
      <c r="B110" s="234"/>
      <c r="C110" s="235"/>
      <c r="D110" s="236" t="s">
        <v>47</v>
      </c>
      <c r="E110" s="237"/>
      <c r="F110" s="237" t="s">
        <v>429</v>
      </c>
      <c r="G110" s="238"/>
      <c r="H110" s="239">
        <v>0</v>
      </c>
      <c r="I110" s="238" t="s">
        <v>147</v>
      </c>
      <c r="J110" s="148">
        <v>34000</v>
      </c>
      <c r="K110" s="208"/>
      <c r="L110" s="46">
        <f t="shared" si="7"/>
        <v>0</v>
      </c>
    </row>
    <row r="111" spans="2:12" x14ac:dyDescent="0.35">
      <c r="B111" s="234"/>
      <c r="C111" s="235"/>
      <c r="D111" s="236" t="s">
        <v>49</v>
      </c>
      <c r="E111" s="237"/>
      <c r="F111" s="237" t="s">
        <v>430</v>
      </c>
      <c r="G111" s="238"/>
      <c r="H111" s="239">
        <v>0</v>
      </c>
      <c r="I111" s="238" t="s">
        <v>147</v>
      </c>
      <c r="J111" s="148">
        <v>30000</v>
      </c>
      <c r="K111" s="153"/>
      <c r="L111" s="46">
        <f t="shared" si="7"/>
        <v>0</v>
      </c>
    </row>
    <row r="112" spans="2:12" x14ac:dyDescent="0.35">
      <c r="B112" s="252" t="s">
        <v>122</v>
      </c>
      <c r="C112" s="235"/>
      <c r="D112" s="236"/>
      <c r="E112" s="250" t="s">
        <v>120</v>
      </c>
      <c r="F112" s="237"/>
      <c r="G112" s="238"/>
      <c r="H112" s="239"/>
      <c r="I112" s="238"/>
      <c r="J112" s="154"/>
      <c r="K112" s="50"/>
      <c r="L112" s="46"/>
    </row>
    <row r="113" spans="2:12" x14ac:dyDescent="0.35">
      <c r="B113" s="234"/>
      <c r="C113" s="235"/>
      <c r="D113" s="236" t="s">
        <v>44</v>
      </c>
      <c r="E113" s="237"/>
      <c r="F113" s="237" t="s">
        <v>121</v>
      </c>
      <c r="G113" s="238"/>
      <c r="H113" s="239">
        <v>1</v>
      </c>
      <c r="I113" s="238" t="s">
        <v>46</v>
      </c>
      <c r="J113" s="152">
        <v>7500000</v>
      </c>
      <c r="K113" s="208">
        <f t="shared" ref="K113:K116" si="8">J113*H113</f>
        <v>7500000</v>
      </c>
      <c r="L113" s="46"/>
    </row>
    <row r="114" spans="2:12" x14ac:dyDescent="0.35">
      <c r="B114" s="252" t="s">
        <v>431</v>
      </c>
      <c r="C114" s="235"/>
      <c r="D114" s="236"/>
      <c r="E114" s="250" t="s">
        <v>123</v>
      </c>
      <c r="F114" s="237"/>
      <c r="G114" s="238"/>
      <c r="H114" s="239"/>
      <c r="I114" s="238"/>
      <c r="J114" s="152"/>
      <c r="K114" s="208"/>
      <c r="L114" s="46"/>
    </row>
    <row r="115" spans="2:12" x14ac:dyDescent="0.35">
      <c r="B115" s="47"/>
      <c r="C115" s="183"/>
      <c r="D115" s="253" t="s">
        <v>44</v>
      </c>
      <c r="E115" s="25"/>
      <c r="F115" s="18" t="s">
        <v>432</v>
      </c>
      <c r="G115" s="22"/>
      <c r="H115" s="239">
        <v>1</v>
      </c>
      <c r="I115" s="217" t="s">
        <v>46</v>
      </c>
      <c r="J115" s="46">
        <v>9500000</v>
      </c>
      <c r="K115" s="208">
        <f t="shared" si="8"/>
        <v>9500000</v>
      </c>
      <c r="L115" s="46"/>
    </row>
    <row r="116" spans="2:12" x14ac:dyDescent="0.35">
      <c r="B116" s="47"/>
      <c r="C116" s="183"/>
      <c r="D116" s="253" t="s">
        <v>47</v>
      </c>
      <c r="E116" s="25"/>
      <c r="F116" s="18" t="s">
        <v>124</v>
      </c>
      <c r="G116" s="22"/>
      <c r="H116" s="239">
        <v>1</v>
      </c>
      <c r="I116" s="217" t="s">
        <v>46</v>
      </c>
      <c r="J116" s="46">
        <v>3000000</v>
      </c>
      <c r="K116" s="208">
        <f t="shared" si="8"/>
        <v>3000000</v>
      </c>
      <c r="L116" s="46"/>
    </row>
    <row r="117" spans="2:12" x14ac:dyDescent="0.35">
      <c r="B117" s="47"/>
      <c r="C117" s="183"/>
      <c r="D117" s="255" t="s">
        <v>49</v>
      </c>
      <c r="E117" s="256"/>
      <c r="F117" s="18" t="s">
        <v>433</v>
      </c>
      <c r="G117" s="22"/>
      <c r="H117" s="224">
        <v>0</v>
      </c>
      <c r="I117" s="221" t="s">
        <v>93</v>
      </c>
      <c r="J117" s="154">
        <v>300000</v>
      </c>
      <c r="K117" s="208"/>
      <c r="L117" s="46">
        <f t="shared" ref="L117" si="9">J117*H117</f>
        <v>0</v>
      </c>
    </row>
    <row r="118" spans="2:12" x14ac:dyDescent="0.35">
      <c r="B118" s="249" t="s">
        <v>126</v>
      </c>
      <c r="C118" s="235"/>
      <c r="D118" s="236"/>
      <c r="E118" s="250" t="s">
        <v>127</v>
      </c>
      <c r="F118" s="237"/>
      <c r="G118" s="238"/>
      <c r="H118" s="239"/>
      <c r="I118" s="22"/>
      <c r="J118" s="161"/>
      <c r="K118" s="161"/>
      <c r="L118" s="46"/>
    </row>
    <row r="119" spans="2:12" x14ac:dyDescent="0.35">
      <c r="B119" s="234"/>
      <c r="C119" s="235"/>
      <c r="D119" s="236" t="s">
        <v>44</v>
      </c>
      <c r="E119" s="237"/>
      <c r="F119" s="237" t="s">
        <v>128</v>
      </c>
      <c r="G119" s="238"/>
      <c r="H119" s="239">
        <v>9</v>
      </c>
      <c r="I119" s="238" t="s">
        <v>129</v>
      </c>
      <c r="J119" s="152">
        <v>500000</v>
      </c>
      <c r="K119" s="208">
        <f t="shared" ref="K119:K123" si="10">J119*H119</f>
        <v>4500000</v>
      </c>
      <c r="L119" s="46"/>
    </row>
    <row r="120" spans="2:12" x14ac:dyDescent="0.35">
      <c r="B120" s="234"/>
      <c r="C120" s="235"/>
      <c r="D120" s="236" t="s">
        <v>47</v>
      </c>
      <c r="E120" s="237"/>
      <c r="F120" s="237" t="s">
        <v>130</v>
      </c>
      <c r="G120" s="238"/>
      <c r="H120" s="239">
        <v>9</v>
      </c>
      <c r="I120" s="238" t="s">
        <v>131</v>
      </c>
      <c r="J120" s="152">
        <v>375000</v>
      </c>
      <c r="K120" s="208">
        <f t="shared" si="10"/>
        <v>3375000</v>
      </c>
      <c r="L120" s="46"/>
    </row>
    <row r="121" spans="2:12" x14ac:dyDescent="0.35">
      <c r="B121" s="234"/>
      <c r="C121" s="235"/>
      <c r="D121" s="236" t="s">
        <v>49</v>
      </c>
      <c r="E121" s="237"/>
      <c r="F121" s="237" t="s">
        <v>132</v>
      </c>
      <c r="G121" s="238"/>
      <c r="H121" s="239">
        <v>2</v>
      </c>
      <c r="I121" s="238" t="s">
        <v>105</v>
      </c>
      <c r="J121" s="152">
        <v>900000</v>
      </c>
      <c r="K121" s="208">
        <f t="shared" si="10"/>
        <v>1800000</v>
      </c>
      <c r="L121" s="46"/>
    </row>
    <row r="122" spans="2:12" x14ac:dyDescent="0.35">
      <c r="B122" s="234"/>
      <c r="C122" s="235"/>
      <c r="D122" s="236" t="s">
        <v>51</v>
      </c>
      <c r="E122" s="237"/>
      <c r="F122" s="237" t="s">
        <v>133</v>
      </c>
      <c r="G122" s="238"/>
      <c r="H122" s="239">
        <v>9</v>
      </c>
      <c r="I122" s="238" t="s">
        <v>131</v>
      </c>
      <c r="J122" s="152">
        <v>175000</v>
      </c>
      <c r="K122" s="208">
        <f t="shared" si="10"/>
        <v>1575000</v>
      </c>
      <c r="L122" s="46"/>
    </row>
    <row r="123" spans="2:12" x14ac:dyDescent="0.35">
      <c r="B123" s="234"/>
      <c r="C123" s="235"/>
      <c r="D123" s="236" t="s">
        <v>54</v>
      </c>
      <c r="E123" s="237"/>
      <c r="F123" s="237" t="s">
        <v>134</v>
      </c>
      <c r="G123" s="238"/>
      <c r="H123" s="239">
        <v>2</v>
      </c>
      <c r="I123" s="238" t="s">
        <v>105</v>
      </c>
      <c r="J123" s="152">
        <v>600000</v>
      </c>
      <c r="K123" s="208">
        <f t="shared" si="10"/>
        <v>1200000</v>
      </c>
      <c r="L123" s="46"/>
    </row>
    <row r="124" spans="2:12" x14ac:dyDescent="0.35">
      <c r="B124" s="240"/>
      <c r="C124" s="25"/>
      <c r="D124" s="236" t="s">
        <v>56</v>
      </c>
      <c r="E124" s="237"/>
      <c r="F124" s="237" t="s">
        <v>434</v>
      </c>
      <c r="G124" s="238"/>
      <c r="H124" s="239">
        <v>0</v>
      </c>
      <c r="I124" s="238" t="s">
        <v>155</v>
      </c>
      <c r="J124" s="152">
        <v>200000</v>
      </c>
      <c r="K124" s="208"/>
      <c r="L124" s="46">
        <f t="shared" ref="L124" si="11">J124*H124</f>
        <v>0</v>
      </c>
    </row>
    <row r="125" spans="2:12" x14ac:dyDescent="0.35">
      <c r="B125" s="212"/>
      <c r="C125" s="25"/>
      <c r="D125" s="236" t="s">
        <v>58</v>
      </c>
      <c r="E125" s="237"/>
      <c r="F125" s="237" t="s">
        <v>135</v>
      </c>
      <c r="G125" s="238"/>
      <c r="H125" s="239">
        <v>0</v>
      </c>
      <c r="I125" s="238" t="s">
        <v>136</v>
      </c>
      <c r="J125" s="153">
        <v>4500000</v>
      </c>
      <c r="K125" s="208">
        <f t="shared" ref="K125:K128" si="12">J125*H125</f>
        <v>0</v>
      </c>
      <c r="L125" s="46"/>
    </row>
    <row r="126" spans="2:12" x14ac:dyDescent="0.35">
      <c r="B126" s="212"/>
      <c r="C126" s="25"/>
      <c r="D126" s="24" t="s">
        <v>60</v>
      </c>
      <c r="F126" s="256" t="s">
        <v>137</v>
      </c>
      <c r="G126" s="219"/>
      <c r="H126" s="257">
        <v>9</v>
      </c>
      <c r="I126" s="219" t="s">
        <v>129</v>
      </c>
      <c r="J126" s="154">
        <v>175000</v>
      </c>
      <c r="K126" s="208">
        <f t="shared" si="12"/>
        <v>1575000</v>
      </c>
      <c r="L126" s="46"/>
    </row>
    <row r="127" spans="2:12" x14ac:dyDescent="0.35">
      <c r="B127" s="213" t="s">
        <v>138</v>
      </c>
      <c r="C127" s="214"/>
      <c r="D127" s="215"/>
      <c r="E127" s="206" t="s">
        <v>139</v>
      </c>
      <c r="G127" s="22"/>
      <c r="H127" s="150"/>
      <c r="I127" s="22"/>
      <c r="J127" s="152"/>
      <c r="K127" s="161"/>
      <c r="L127" s="46"/>
    </row>
    <row r="128" spans="2:12" x14ac:dyDescent="0.35">
      <c r="B128" s="212"/>
      <c r="C128" s="25"/>
      <c r="D128" s="24" t="s">
        <v>44</v>
      </c>
      <c r="F128" s="18" t="s">
        <v>140</v>
      </c>
      <c r="G128" s="22"/>
      <c r="H128" s="150">
        <v>1</v>
      </c>
      <c r="I128" s="22" t="s">
        <v>46</v>
      </c>
      <c r="J128" s="152">
        <v>2000000</v>
      </c>
      <c r="K128" s="208">
        <f t="shared" si="12"/>
        <v>2000000</v>
      </c>
      <c r="L128" s="46"/>
    </row>
    <row r="129" spans="2:12" x14ac:dyDescent="0.35">
      <c r="B129" s="47"/>
      <c r="C129" s="183"/>
      <c r="D129" s="24"/>
      <c r="G129" s="22"/>
      <c r="I129" s="22"/>
      <c r="J129" s="49"/>
      <c r="K129" s="29"/>
      <c r="L129" s="51"/>
    </row>
    <row r="130" spans="2:12" x14ac:dyDescent="0.35">
      <c r="B130" s="47"/>
      <c r="C130" s="183"/>
      <c r="D130" s="24"/>
      <c r="G130" s="22"/>
      <c r="I130" s="22"/>
      <c r="J130" s="49"/>
      <c r="K130" s="29"/>
      <c r="L130" s="51"/>
    </row>
    <row r="131" spans="2:12" x14ac:dyDescent="0.35">
      <c r="B131" s="47"/>
      <c r="C131" s="183"/>
      <c r="D131" s="24"/>
      <c r="G131" s="22"/>
      <c r="I131" s="22"/>
      <c r="J131" s="49"/>
      <c r="K131" s="29"/>
      <c r="L131" s="51"/>
    </row>
    <row r="132" spans="2:12" x14ac:dyDescent="0.35">
      <c r="B132" s="47"/>
      <c r="C132" s="183"/>
      <c r="D132" s="24"/>
      <c r="G132" s="22"/>
      <c r="I132" s="22"/>
      <c r="J132" s="49"/>
      <c r="K132" s="29"/>
      <c r="L132" s="51"/>
    </row>
    <row r="133" spans="2:12" x14ac:dyDescent="0.35">
      <c r="B133" s="47"/>
      <c r="C133" s="183"/>
      <c r="D133" s="24"/>
      <c r="G133" s="22"/>
      <c r="I133" s="22"/>
      <c r="J133" s="49"/>
      <c r="K133" s="29"/>
      <c r="L133" s="51"/>
    </row>
    <row r="134" spans="2:12" x14ac:dyDescent="0.35">
      <c r="B134" s="47"/>
      <c r="C134" s="183"/>
      <c r="D134" s="24"/>
      <c r="G134" s="22"/>
      <c r="I134" s="22"/>
      <c r="J134" s="49"/>
      <c r="K134" s="29"/>
      <c r="L134" s="51"/>
    </row>
    <row r="135" spans="2:12" x14ac:dyDescent="0.35">
      <c r="B135" s="47"/>
      <c r="C135" s="183"/>
      <c r="D135" s="24"/>
      <c r="G135" s="22"/>
      <c r="I135" s="22"/>
      <c r="J135" s="49"/>
      <c r="K135" s="29"/>
      <c r="L135" s="51"/>
    </row>
    <row r="136" spans="2:12" x14ac:dyDescent="0.35">
      <c r="B136" s="47"/>
      <c r="C136" s="183"/>
      <c r="D136" s="24"/>
      <c r="G136" s="22"/>
      <c r="I136" s="22"/>
      <c r="J136" s="49"/>
      <c r="K136" s="29"/>
      <c r="L136" s="51"/>
    </row>
    <row r="137" spans="2:12" x14ac:dyDescent="0.35">
      <c r="B137" s="47"/>
      <c r="C137" s="183"/>
      <c r="D137" s="24"/>
      <c r="G137" s="22"/>
      <c r="I137" s="22"/>
      <c r="J137" s="49"/>
      <c r="K137" s="29"/>
      <c r="L137" s="51"/>
    </row>
    <row r="138" spans="2:12" x14ac:dyDescent="0.35">
      <c r="B138" s="47"/>
      <c r="C138" s="183"/>
      <c r="D138" s="24"/>
      <c r="G138" s="22"/>
      <c r="I138" s="22"/>
      <c r="J138" s="49"/>
      <c r="K138" s="29"/>
      <c r="L138" s="51"/>
    </row>
    <row r="139" spans="2:12" x14ac:dyDescent="0.35">
      <c r="B139" s="47"/>
      <c r="C139" s="183"/>
      <c r="D139" s="24"/>
      <c r="G139" s="22"/>
      <c r="I139" s="22"/>
      <c r="J139" s="49"/>
      <c r="K139" s="29"/>
      <c r="L139" s="51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119325000</v>
      </c>
      <c r="L140" s="7">
        <f>SUM(L87:L139)</f>
        <v>3000000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21</v>
      </c>
      <c r="L141" s="36" t="s">
        <v>22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271" t="s">
        <v>423</v>
      </c>
      <c r="L144" s="272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271" t="s">
        <v>27</v>
      </c>
      <c r="L145" s="272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273" t="s">
        <v>35</v>
      </c>
      <c r="L151" s="274"/>
    </row>
    <row r="152" spans="2:12" x14ac:dyDescent="0.35">
      <c r="B152" s="45"/>
      <c r="K152" s="277" t="s">
        <v>36</v>
      </c>
      <c r="L152" s="278"/>
    </row>
    <row r="153" spans="2:12" x14ac:dyDescent="0.35">
      <c r="B153" s="275"/>
      <c r="C153" s="276"/>
      <c r="D153" s="276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183"/>
      <c r="D154" s="48"/>
      <c r="G154" s="22"/>
      <c r="H154" s="1"/>
      <c r="I154" s="1"/>
      <c r="J154" s="43"/>
      <c r="K154" s="30"/>
      <c r="L154" s="44"/>
    </row>
    <row r="155" spans="2:12" x14ac:dyDescent="0.35">
      <c r="B155" s="258"/>
      <c r="C155" s="259"/>
      <c r="D155" s="259"/>
      <c r="E155" s="102"/>
      <c r="F155" s="103" t="s">
        <v>141</v>
      </c>
      <c r="G155" s="103"/>
      <c r="H155" s="104"/>
      <c r="I155" s="62"/>
      <c r="J155" s="152"/>
      <c r="K155" s="208"/>
      <c r="L155" s="46"/>
    </row>
    <row r="156" spans="2:12" x14ac:dyDescent="0.35">
      <c r="B156" s="101"/>
      <c r="C156" s="187"/>
      <c r="D156" s="187"/>
      <c r="E156" s="102"/>
      <c r="F156" s="103"/>
      <c r="G156" s="103"/>
      <c r="H156" s="104"/>
      <c r="I156" s="62"/>
      <c r="J156" s="160"/>
      <c r="K156" s="208"/>
      <c r="L156" s="46"/>
    </row>
    <row r="157" spans="2:12" x14ac:dyDescent="0.35">
      <c r="B157" s="101" t="s">
        <v>43</v>
      </c>
      <c r="C157" s="187"/>
      <c r="D157" s="187"/>
      <c r="E157" s="102" t="s">
        <v>142</v>
      </c>
      <c r="F157" s="103"/>
      <c r="G157" s="103"/>
      <c r="H157" s="104"/>
      <c r="I157" s="62"/>
      <c r="J157" s="154"/>
      <c r="K157" s="50"/>
      <c r="L157" s="46"/>
    </row>
    <row r="158" spans="2:12" x14ac:dyDescent="0.35">
      <c r="B158" s="101"/>
      <c r="C158" s="187" t="s">
        <v>143</v>
      </c>
      <c r="D158" s="187"/>
      <c r="E158" s="102"/>
      <c r="F158" s="103" t="s">
        <v>144</v>
      </c>
      <c r="G158" s="103"/>
      <c r="H158" s="104"/>
      <c r="I158" s="62"/>
      <c r="J158" s="162"/>
      <c r="K158" s="51"/>
      <c r="L158" s="46"/>
    </row>
    <row r="159" spans="2:12" x14ac:dyDescent="0.35">
      <c r="B159" s="101"/>
      <c r="C159" s="187"/>
      <c r="D159" s="187" t="s">
        <v>44</v>
      </c>
      <c r="E159" s="102"/>
      <c r="F159" s="103" t="s">
        <v>145</v>
      </c>
      <c r="G159" s="103"/>
      <c r="H159" s="104"/>
      <c r="I159" s="62"/>
      <c r="J159" s="154"/>
      <c r="K159" s="50"/>
      <c r="L159" s="46"/>
    </row>
    <row r="160" spans="2:12" x14ac:dyDescent="0.35">
      <c r="B160" s="101"/>
      <c r="C160" s="187"/>
      <c r="D160" s="187"/>
      <c r="E160" s="102"/>
      <c r="F160" s="103" t="s">
        <v>94</v>
      </c>
      <c r="G160" s="103" t="s">
        <v>435</v>
      </c>
      <c r="H160" s="104">
        <v>33.911999999999999</v>
      </c>
      <c r="I160" s="62" t="s">
        <v>147</v>
      </c>
      <c r="J160" s="155">
        <v>32000</v>
      </c>
      <c r="K160" s="247"/>
      <c r="L160" s="46">
        <f>J160*H160</f>
        <v>1085184</v>
      </c>
    </row>
    <row r="161" spans="2:12" x14ac:dyDescent="0.35">
      <c r="B161" s="101"/>
      <c r="C161" s="187"/>
      <c r="D161" s="187"/>
      <c r="E161" s="102"/>
      <c r="F161" s="103" t="s">
        <v>94</v>
      </c>
      <c r="G161" s="103" t="s">
        <v>436</v>
      </c>
      <c r="H161" s="104">
        <v>22.608000000000001</v>
      </c>
      <c r="I161" s="62" t="s">
        <v>147</v>
      </c>
      <c r="J161" s="154">
        <v>32000</v>
      </c>
      <c r="K161" s="50"/>
      <c r="L161" s="46">
        <f>J161*H161</f>
        <v>723456</v>
      </c>
    </row>
    <row r="162" spans="2:12" x14ac:dyDescent="0.35">
      <c r="B162" s="101"/>
      <c r="C162" s="187" t="s">
        <v>149</v>
      </c>
      <c r="D162" s="187"/>
      <c r="E162" s="102"/>
      <c r="F162" s="103" t="s">
        <v>150</v>
      </c>
      <c r="G162" s="103"/>
      <c r="H162" s="104"/>
      <c r="I162" s="62"/>
      <c r="J162" s="162"/>
      <c r="K162" s="50"/>
      <c r="L162" s="46"/>
    </row>
    <row r="163" spans="2:12" x14ac:dyDescent="0.35">
      <c r="B163" s="258"/>
      <c r="C163" s="259"/>
      <c r="D163" s="259" t="s">
        <v>44</v>
      </c>
      <c r="E163" s="260"/>
      <c r="F163" s="261" t="s">
        <v>151</v>
      </c>
      <c r="G163" s="261"/>
      <c r="H163" s="229">
        <v>1</v>
      </c>
      <c r="I163" s="262" t="s">
        <v>105</v>
      </c>
      <c r="J163" s="162">
        <v>1500000</v>
      </c>
      <c r="K163" s="50">
        <f>J163*H163</f>
        <v>1500000</v>
      </c>
      <c r="L163" s="46"/>
    </row>
    <row r="164" spans="2:12" x14ac:dyDescent="0.35">
      <c r="B164" s="105"/>
      <c r="C164" s="188"/>
      <c r="D164" s="188"/>
      <c r="E164" s="102"/>
      <c r="F164" s="103" t="s">
        <v>94</v>
      </c>
      <c r="G164" s="103" t="s">
        <v>437</v>
      </c>
      <c r="H164" s="163">
        <v>300</v>
      </c>
      <c r="I164" s="164" t="s">
        <v>153</v>
      </c>
      <c r="J164" s="154"/>
      <c r="K164" s="50"/>
      <c r="L164" s="46"/>
    </row>
    <row r="165" spans="2:12" x14ac:dyDescent="0.35">
      <c r="B165" s="105"/>
      <c r="C165" s="188"/>
      <c r="D165" s="188"/>
      <c r="E165" s="102"/>
      <c r="F165" s="103" t="s">
        <v>94</v>
      </c>
      <c r="G165" s="103" t="s">
        <v>438</v>
      </c>
      <c r="H165" s="163">
        <v>1</v>
      </c>
      <c r="I165" s="164" t="s">
        <v>155</v>
      </c>
      <c r="J165" s="154"/>
      <c r="K165" s="50"/>
      <c r="L165" s="46"/>
    </row>
    <row r="166" spans="2:12" x14ac:dyDescent="0.35">
      <c r="B166" s="105"/>
      <c r="C166" s="188"/>
      <c r="D166" s="188"/>
      <c r="E166" s="102"/>
      <c r="F166" s="103" t="s">
        <v>94</v>
      </c>
      <c r="G166" s="103" t="s">
        <v>439</v>
      </c>
      <c r="H166" s="163">
        <v>11.304</v>
      </c>
      <c r="I166" s="164" t="s">
        <v>147</v>
      </c>
      <c r="J166" s="154"/>
      <c r="K166" s="50"/>
      <c r="L166" s="46"/>
    </row>
    <row r="167" spans="2:12" x14ac:dyDescent="0.35">
      <c r="B167" s="105"/>
      <c r="C167" s="188" t="s">
        <v>161</v>
      </c>
      <c r="D167" s="188"/>
      <c r="E167" s="102"/>
      <c r="F167" s="103" t="s">
        <v>162</v>
      </c>
      <c r="G167" s="103"/>
      <c r="H167" s="104"/>
      <c r="I167" s="62"/>
      <c r="J167" s="231"/>
      <c r="K167" s="231"/>
      <c r="L167" s="46"/>
    </row>
    <row r="168" spans="2:12" x14ac:dyDescent="0.35">
      <c r="B168" s="105"/>
      <c r="C168" s="188"/>
      <c r="D168" s="188" t="s">
        <v>44</v>
      </c>
      <c r="E168" s="102"/>
      <c r="F168" s="103" t="s">
        <v>163</v>
      </c>
      <c r="G168" s="103"/>
      <c r="H168" s="104"/>
      <c r="I168" s="62"/>
      <c r="J168" s="51"/>
      <c r="K168" s="50"/>
      <c r="L168" s="46"/>
    </row>
    <row r="169" spans="2:12" x14ac:dyDescent="0.35">
      <c r="B169" s="105"/>
      <c r="C169" s="188"/>
      <c r="D169" s="188"/>
      <c r="E169" s="102"/>
      <c r="F169" s="103" t="s">
        <v>94</v>
      </c>
      <c r="G169" s="103" t="s">
        <v>440</v>
      </c>
      <c r="H169" s="104">
        <v>50.867999999999995</v>
      </c>
      <c r="I169" s="62" t="s">
        <v>147</v>
      </c>
      <c r="J169" s="51">
        <v>30000</v>
      </c>
      <c r="K169" s="50"/>
      <c r="L169" s="46">
        <f>J169*H169</f>
        <v>1526039.9999999998</v>
      </c>
    </row>
    <row r="170" spans="2:12" x14ac:dyDescent="0.35">
      <c r="B170" s="105"/>
      <c r="C170" s="188"/>
      <c r="D170" s="188"/>
      <c r="E170" s="102"/>
      <c r="F170" s="103" t="s">
        <v>94</v>
      </c>
      <c r="G170" s="103" t="s">
        <v>441</v>
      </c>
      <c r="H170" s="104">
        <v>33.911999999999999</v>
      </c>
      <c r="I170" s="62" t="s">
        <v>147</v>
      </c>
      <c r="J170" s="51">
        <v>30000</v>
      </c>
      <c r="K170" s="50"/>
      <c r="L170" s="46">
        <f>J170*H170</f>
        <v>1017360</v>
      </c>
    </row>
    <row r="171" spans="2:12" x14ac:dyDescent="0.35">
      <c r="B171" s="105"/>
      <c r="C171" s="188"/>
      <c r="D171" s="188" t="s">
        <v>47</v>
      </c>
      <c r="E171" s="102"/>
      <c r="F171" s="103" t="s">
        <v>186</v>
      </c>
      <c r="G171" s="103"/>
      <c r="H171" s="104"/>
      <c r="I171" s="62"/>
      <c r="J171" s="51"/>
      <c r="K171" s="50"/>
      <c r="L171" s="46"/>
    </row>
    <row r="172" spans="2:12" x14ac:dyDescent="0.35">
      <c r="B172" s="105"/>
      <c r="C172" s="188"/>
      <c r="D172" s="188"/>
      <c r="E172" s="102"/>
      <c r="F172" s="103" t="s">
        <v>94</v>
      </c>
      <c r="G172" s="103" t="s">
        <v>442</v>
      </c>
      <c r="H172" s="104">
        <v>120.57600000000002</v>
      </c>
      <c r="I172" s="62" t="s">
        <v>147</v>
      </c>
      <c r="J172" s="154">
        <v>30000</v>
      </c>
      <c r="K172" s="50"/>
      <c r="L172" s="46">
        <f>J172*H172</f>
        <v>3617280.0000000005</v>
      </c>
    </row>
    <row r="173" spans="2:12" x14ac:dyDescent="0.35">
      <c r="B173" s="105"/>
      <c r="C173" s="188"/>
      <c r="D173" s="188"/>
      <c r="E173" s="102"/>
      <c r="F173" s="103" t="s">
        <v>94</v>
      </c>
      <c r="G173" s="103" t="s">
        <v>443</v>
      </c>
      <c r="H173" s="104">
        <v>71.592000000000013</v>
      </c>
      <c r="I173" s="62" t="s">
        <v>147</v>
      </c>
      <c r="J173" s="154">
        <v>30000</v>
      </c>
      <c r="K173" s="263"/>
      <c r="L173" s="46">
        <f>J173*H173</f>
        <v>2147760.0000000005</v>
      </c>
    </row>
    <row r="174" spans="2:12" x14ac:dyDescent="0.35">
      <c r="B174" s="105"/>
      <c r="C174" s="188"/>
      <c r="D174" s="188" t="s">
        <v>49</v>
      </c>
      <c r="E174" s="102"/>
      <c r="F174" s="103" t="s">
        <v>193</v>
      </c>
      <c r="G174" s="103"/>
      <c r="H174" s="104"/>
      <c r="I174" s="62"/>
      <c r="J174" s="154"/>
      <c r="K174" s="50"/>
      <c r="L174" s="46"/>
    </row>
    <row r="175" spans="2:12" x14ac:dyDescent="0.35">
      <c r="B175" s="105"/>
      <c r="C175" s="188"/>
      <c r="D175" s="188"/>
      <c r="E175" s="102"/>
      <c r="F175" s="103" t="s">
        <v>94</v>
      </c>
      <c r="G175" s="103" t="s">
        <v>444</v>
      </c>
      <c r="H175" s="104">
        <v>120.57599999999998</v>
      </c>
      <c r="I175" s="62" t="s">
        <v>147</v>
      </c>
      <c r="J175" s="161">
        <v>30000</v>
      </c>
      <c r="K175" s="208"/>
      <c r="L175" s="46">
        <f>J175*H175</f>
        <v>3617279.9999999995</v>
      </c>
    </row>
    <row r="176" spans="2:12" x14ac:dyDescent="0.35">
      <c r="B176" s="101"/>
      <c r="C176" s="187"/>
      <c r="D176" s="187"/>
      <c r="E176" s="102"/>
      <c r="F176" s="103" t="s">
        <v>94</v>
      </c>
      <c r="G176" s="103" t="s">
        <v>445</v>
      </c>
      <c r="H176" s="104">
        <v>18.086399999999998</v>
      </c>
      <c r="I176" s="62" t="s">
        <v>147</v>
      </c>
      <c r="J176" s="161">
        <v>30000</v>
      </c>
      <c r="K176" s="208"/>
      <c r="L176" s="46">
        <f>J176*H176</f>
        <v>542591.99999999988</v>
      </c>
    </row>
    <row r="177" spans="2:12" x14ac:dyDescent="0.35">
      <c r="B177" s="101"/>
      <c r="C177" s="187"/>
      <c r="D177" s="187"/>
      <c r="E177" s="102"/>
      <c r="F177" s="103" t="s">
        <v>94</v>
      </c>
      <c r="G177" s="103" t="s">
        <v>446</v>
      </c>
      <c r="H177" s="104">
        <v>71.591999999999999</v>
      </c>
      <c r="I177" s="62" t="s">
        <v>147</v>
      </c>
      <c r="J177" s="161">
        <v>30000</v>
      </c>
      <c r="K177" s="153"/>
      <c r="L177" s="46">
        <f>J177*H177</f>
        <v>2147760</v>
      </c>
    </row>
    <row r="178" spans="2:12" x14ac:dyDescent="0.35">
      <c r="B178" s="101"/>
      <c r="C178" s="187" t="s">
        <v>197</v>
      </c>
      <c r="D178" s="187"/>
      <c r="E178" s="102"/>
      <c r="F178" s="103" t="s">
        <v>198</v>
      </c>
      <c r="G178" s="103"/>
      <c r="H178" s="104"/>
      <c r="I178" s="62"/>
      <c r="J178" s="154"/>
      <c r="K178" s="50"/>
      <c r="L178" s="46"/>
    </row>
    <row r="179" spans="2:12" x14ac:dyDescent="0.35">
      <c r="B179" s="101"/>
      <c r="C179" s="187"/>
      <c r="D179" s="187" t="s">
        <v>44</v>
      </c>
      <c r="E179" s="102"/>
      <c r="F179" s="103" t="s">
        <v>163</v>
      </c>
      <c r="G179" s="103"/>
      <c r="H179" s="104"/>
      <c r="I179" s="62"/>
      <c r="J179" s="152"/>
      <c r="K179" s="208"/>
      <c r="L179" s="46"/>
    </row>
    <row r="180" spans="2:12" x14ac:dyDescent="0.35">
      <c r="B180" s="101"/>
      <c r="C180" s="187"/>
      <c r="D180" s="187"/>
      <c r="E180" s="102"/>
      <c r="F180" s="103" t="s">
        <v>94</v>
      </c>
      <c r="G180" s="103" t="s">
        <v>440</v>
      </c>
      <c r="H180" s="104">
        <v>50.867999999999995</v>
      </c>
      <c r="I180" s="62" t="s">
        <v>147</v>
      </c>
      <c r="J180" s="152">
        <v>30000</v>
      </c>
      <c r="K180" s="208"/>
      <c r="L180" s="46">
        <f>J180*H180</f>
        <v>1526039.9999999998</v>
      </c>
    </row>
    <row r="181" spans="2:12" x14ac:dyDescent="0.35">
      <c r="B181" s="101"/>
      <c r="C181" s="187"/>
      <c r="D181" s="187"/>
      <c r="E181" s="102"/>
      <c r="F181" s="103" t="s">
        <v>94</v>
      </c>
      <c r="G181" s="103" t="s">
        <v>447</v>
      </c>
      <c r="H181" s="104">
        <v>8.4779999999999998</v>
      </c>
      <c r="I181" s="62" t="s">
        <v>147</v>
      </c>
      <c r="J181" s="51">
        <v>30000</v>
      </c>
      <c r="K181" s="208"/>
      <c r="L181" s="46">
        <f>J181*H181</f>
        <v>254340</v>
      </c>
    </row>
    <row r="182" spans="2:12" x14ac:dyDescent="0.35">
      <c r="B182" s="105"/>
      <c r="C182" s="188"/>
      <c r="D182" s="188" t="s">
        <v>47</v>
      </c>
      <c r="E182" s="102"/>
      <c r="F182" s="103" t="s">
        <v>186</v>
      </c>
      <c r="G182" s="103"/>
      <c r="H182" s="104"/>
      <c r="I182" s="62"/>
      <c r="J182" s="51"/>
      <c r="K182" s="208"/>
      <c r="L182" s="46"/>
    </row>
    <row r="183" spans="2:12" x14ac:dyDescent="0.35">
      <c r="B183" s="105"/>
      <c r="C183" s="188"/>
      <c r="D183" s="188"/>
      <c r="E183" s="102"/>
      <c r="F183" s="103" t="s">
        <v>94</v>
      </c>
      <c r="G183" s="103" t="s">
        <v>442</v>
      </c>
      <c r="H183" s="104">
        <v>120.57600000000002</v>
      </c>
      <c r="I183" s="62" t="s">
        <v>147</v>
      </c>
      <c r="J183" s="154">
        <v>30000</v>
      </c>
      <c r="K183" s="208"/>
      <c r="L183" s="46">
        <f>J183*H183</f>
        <v>3617280.0000000005</v>
      </c>
    </row>
    <row r="184" spans="2:12" x14ac:dyDescent="0.35">
      <c r="B184" s="105"/>
      <c r="C184" s="188"/>
      <c r="D184" s="188"/>
      <c r="E184" s="102"/>
      <c r="F184" s="103" t="s">
        <v>94</v>
      </c>
      <c r="G184" s="103" t="s">
        <v>448</v>
      </c>
      <c r="H184" s="104">
        <v>114.92400000000002</v>
      </c>
      <c r="I184" s="62" t="s">
        <v>147</v>
      </c>
      <c r="J184" s="161">
        <v>30000</v>
      </c>
      <c r="K184" s="161"/>
      <c r="L184" s="46">
        <f>J184*H184</f>
        <v>3447720.0000000005</v>
      </c>
    </row>
    <row r="185" spans="2:12" x14ac:dyDescent="0.35">
      <c r="B185" s="105"/>
      <c r="C185" s="188"/>
      <c r="D185" s="188" t="s">
        <v>49</v>
      </c>
      <c r="E185" s="102"/>
      <c r="F185" s="103" t="s">
        <v>193</v>
      </c>
      <c r="G185" s="103"/>
      <c r="H185" s="104"/>
      <c r="I185" s="62"/>
      <c r="J185" s="152"/>
      <c r="K185" s="208"/>
      <c r="L185" s="46"/>
    </row>
    <row r="186" spans="2:12" x14ac:dyDescent="0.35">
      <c r="B186" s="105"/>
      <c r="C186" s="188"/>
      <c r="D186" s="188"/>
      <c r="E186" s="102"/>
      <c r="F186" s="103" t="s">
        <v>94</v>
      </c>
      <c r="G186" s="103" t="s">
        <v>449</v>
      </c>
      <c r="H186" s="104">
        <v>30.143999999999995</v>
      </c>
      <c r="I186" s="62" t="s">
        <v>147</v>
      </c>
      <c r="J186" s="152">
        <v>30000</v>
      </c>
      <c r="K186" s="208"/>
      <c r="L186" s="46">
        <f>J186*H186</f>
        <v>904319.99999999988</v>
      </c>
    </row>
    <row r="187" spans="2:12" x14ac:dyDescent="0.35">
      <c r="B187" s="105"/>
      <c r="C187" s="188"/>
      <c r="D187" s="188"/>
      <c r="E187" s="102"/>
      <c r="F187" s="103" t="s">
        <v>94</v>
      </c>
      <c r="G187" s="103" t="s">
        <v>450</v>
      </c>
      <c r="H187" s="104">
        <v>84.779999999999987</v>
      </c>
      <c r="I187" s="62" t="s">
        <v>147</v>
      </c>
      <c r="J187" s="152">
        <v>30000</v>
      </c>
      <c r="K187" s="208"/>
      <c r="L187" s="46">
        <f>J187*H187</f>
        <v>2543399.9999999995</v>
      </c>
    </row>
    <row r="188" spans="2:12" x14ac:dyDescent="0.35">
      <c r="B188" s="105"/>
      <c r="C188" s="188"/>
      <c r="D188" s="188"/>
      <c r="E188" s="102"/>
      <c r="F188" s="103" t="s">
        <v>94</v>
      </c>
      <c r="G188" s="103" t="s">
        <v>451</v>
      </c>
      <c r="H188" s="104">
        <v>117.43599999999999</v>
      </c>
      <c r="I188" s="62" t="s">
        <v>147</v>
      </c>
      <c r="J188" s="152">
        <v>30000</v>
      </c>
      <c r="K188" s="208"/>
      <c r="L188" s="46">
        <f>J188*H188</f>
        <v>3523080</v>
      </c>
    </row>
    <row r="189" spans="2:12" x14ac:dyDescent="0.35">
      <c r="B189" s="105"/>
      <c r="C189" s="188"/>
      <c r="D189" s="188"/>
      <c r="E189" s="102"/>
      <c r="F189" s="103" t="s">
        <v>94</v>
      </c>
      <c r="G189" s="103" t="s">
        <v>452</v>
      </c>
      <c r="H189" s="104">
        <v>69.707999999999998</v>
      </c>
      <c r="I189" s="62" t="s">
        <v>147</v>
      </c>
      <c r="J189" s="152">
        <v>30000</v>
      </c>
      <c r="K189" s="208"/>
      <c r="L189" s="46">
        <f>J189*H189</f>
        <v>2091240</v>
      </c>
    </row>
    <row r="190" spans="2:12" x14ac:dyDescent="0.35">
      <c r="B190" s="105"/>
      <c r="C190" s="188" t="s">
        <v>237</v>
      </c>
      <c r="D190" s="188"/>
      <c r="E190" s="102"/>
      <c r="F190" s="103" t="s">
        <v>238</v>
      </c>
      <c r="G190" s="103"/>
      <c r="H190" s="104"/>
      <c r="I190" s="62"/>
      <c r="J190" s="152"/>
      <c r="K190" s="208"/>
      <c r="L190" s="46"/>
    </row>
    <row r="191" spans="2:12" x14ac:dyDescent="0.35">
      <c r="B191" s="105"/>
      <c r="C191" s="188"/>
      <c r="D191" s="188" t="s">
        <v>44</v>
      </c>
      <c r="E191" s="102"/>
      <c r="F191" s="103" t="s">
        <v>239</v>
      </c>
      <c r="G191" s="103"/>
      <c r="H191" s="104"/>
      <c r="I191" s="62"/>
      <c r="J191" s="153"/>
      <c r="K191" s="208"/>
      <c r="L191" s="46"/>
    </row>
    <row r="192" spans="2:12" x14ac:dyDescent="0.35">
      <c r="B192" s="105"/>
      <c r="C192" s="188"/>
      <c r="D192" s="188"/>
      <c r="E192" s="102"/>
      <c r="F192" s="103" t="s">
        <v>94</v>
      </c>
      <c r="G192" s="103" t="s">
        <v>453</v>
      </c>
      <c r="H192" s="104">
        <v>87.919999999999987</v>
      </c>
      <c r="I192" s="62" t="s">
        <v>147</v>
      </c>
      <c r="J192" s="152">
        <v>30000</v>
      </c>
      <c r="K192" s="208"/>
      <c r="L192" s="46">
        <f>J192*H192</f>
        <v>2637599.9999999995</v>
      </c>
    </row>
    <row r="193" spans="2:12" x14ac:dyDescent="0.35">
      <c r="B193" s="105"/>
      <c r="C193" s="188" t="s">
        <v>241</v>
      </c>
      <c r="D193" s="188"/>
      <c r="E193" s="102"/>
      <c r="F193" s="103" t="s">
        <v>150</v>
      </c>
      <c r="G193" s="103"/>
      <c r="H193" s="104"/>
      <c r="I193" s="62"/>
      <c r="J193" s="152"/>
      <c r="K193" s="161"/>
      <c r="L193" s="46"/>
    </row>
    <row r="194" spans="2:12" x14ac:dyDescent="0.35">
      <c r="B194" s="105"/>
      <c r="C194" s="188"/>
      <c r="D194" s="188" t="s">
        <v>44</v>
      </c>
      <c r="E194" s="102"/>
      <c r="F194" s="103" t="s">
        <v>242</v>
      </c>
      <c r="G194" s="103"/>
      <c r="H194" s="104"/>
      <c r="I194" s="62"/>
      <c r="J194" s="152"/>
      <c r="K194" s="208"/>
      <c r="L194" s="46"/>
    </row>
    <row r="195" spans="2:12" x14ac:dyDescent="0.35">
      <c r="B195" s="105"/>
      <c r="C195" s="188"/>
      <c r="D195" s="188"/>
      <c r="E195" s="102"/>
      <c r="F195" s="103" t="s">
        <v>94</v>
      </c>
      <c r="G195" s="103" t="s">
        <v>454</v>
      </c>
      <c r="H195" s="104">
        <v>12.057599999999997</v>
      </c>
      <c r="I195" s="62" t="s">
        <v>147</v>
      </c>
      <c r="J195" s="152">
        <v>30000</v>
      </c>
      <c r="K195" s="223"/>
      <c r="L195" s="46">
        <f>J195*H195</f>
        <v>361727.99999999994</v>
      </c>
    </row>
    <row r="196" spans="2:12" x14ac:dyDescent="0.35">
      <c r="B196" s="105"/>
      <c r="C196" s="188" t="s">
        <v>249</v>
      </c>
      <c r="D196" s="188"/>
      <c r="E196" s="102"/>
      <c r="F196" s="103" t="s">
        <v>250</v>
      </c>
      <c r="G196" s="103"/>
      <c r="H196" s="104"/>
      <c r="I196" s="62"/>
      <c r="J196" s="161"/>
      <c r="K196" s="223"/>
      <c r="L196" s="46"/>
    </row>
    <row r="197" spans="2:12" x14ac:dyDescent="0.35">
      <c r="B197" s="105"/>
      <c r="C197" s="188"/>
      <c r="D197" s="188" t="s">
        <v>44</v>
      </c>
      <c r="E197" s="102"/>
      <c r="F197" s="103" t="s">
        <v>251</v>
      </c>
      <c r="G197" s="103"/>
      <c r="H197" s="104"/>
      <c r="I197" s="62"/>
      <c r="J197" s="161"/>
      <c r="K197" s="223"/>
      <c r="L197" s="46"/>
    </row>
    <row r="198" spans="2:12" x14ac:dyDescent="0.35">
      <c r="B198" s="101"/>
      <c r="C198" s="187"/>
      <c r="D198" s="187"/>
      <c r="E198" s="102"/>
      <c r="F198" s="103" t="s">
        <v>94</v>
      </c>
      <c r="G198" s="103" t="s">
        <v>455</v>
      </c>
      <c r="H198" s="104">
        <v>27.129599999999996</v>
      </c>
      <c r="I198" s="62" t="s">
        <v>147</v>
      </c>
      <c r="J198" s="152">
        <v>30000</v>
      </c>
      <c r="K198" s="223"/>
      <c r="L198" s="46">
        <f>J198*H198</f>
        <v>813887.99999999988</v>
      </c>
    </row>
    <row r="199" spans="2:12" x14ac:dyDescent="0.35">
      <c r="B199" s="101"/>
      <c r="C199" s="187"/>
      <c r="D199" s="187"/>
      <c r="E199" s="102"/>
      <c r="F199" s="103" t="s">
        <v>94</v>
      </c>
      <c r="G199" s="103" t="s">
        <v>456</v>
      </c>
      <c r="H199" s="104">
        <v>10.5504</v>
      </c>
      <c r="I199" s="62" t="s">
        <v>147</v>
      </c>
      <c r="J199" s="152">
        <v>30000</v>
      </c>
      <c r="K199" s="223"/>
      <c r="L199" s="46">
        <f>J199*H199</f>
        <v>316512</v>
      </c>
    </row>
    <row r="200" spans="2:12" x14ac:dyDescent="0.35">
      <c r="B200" s="47"/>
      <c r="C200" s="183"/>
      <c r="D200" s="24"/>
      <c r="G200" s="22"/>
      <c r="I200" s="22"/>
      <c r="J200" s="49"/>
      <c r="K200" s="29"/>
      <c r="L200" s="51"/>
    </row>
    <row r="201" spans="2:12" x14ac:dyDescent="0.35">
      <c r="B201" s="47"/>
      <c r="C201" s="183"/>
      <c r="D201" s="24"/>
      <c r="G201" s="22"/>
      <c r="I201" s="22"/>
      <c r="J201" s="49"/>
      <c r="K201" s="29"/>
      <c r="L201" s="51"/>
    </row>
    <row r="202" spans="2:12" x14ac:dyDescent="0.35">
      <c r="B202" s="47"/>
      <c r="C202" s="183"/>
      <c r="D202" s="24"/>
      <c r="G202" s="22"/>
      <c r="I202" s="22"/>
      <c r="J202" s="49"/>
      <c r="K202" s="29"/>
      <c r="L202" s="51"/>
    </row>
    <row r="203" spans="2:12" x14ac:dyDescent="0.35">
      <c r="B203" s="47"/>
      <c r="C203" s="183"/>
      <c r="D203" s="24"/>
      <c r="G203" s="22"/>
      <c r="I203" s="22"/>
      <c r="J203" s="49"/>
      <c r="K203" s="29"/>
      <c r="L203" s="51"/>
    </row>
    <row r="204" spans="2:12" x14ac:dyDescent="0.35">
      <c r="B204" s="47"/>
      <c r="C204" s="183"/>
      <c r="D204" s="24"/>
      <c r="G204" s="22"/>
      <c r="I204" s="22"/>
      <c r="J204" s="49"/>
      <c r="K204" s="29"/>
      <c r="L204" s="51"/>
    </row>
    <row r="205" spans="2:12" x14ac:dyDescent="0.35">
      <c r="B205" s="47"/>
      <c r="C205" s="183"/>
      <c r="D205" s="24"/>
      <c r="G205" s="22"/>
      <c r="I205" s="22"/>
      <c r="J205" s="49"/>
      <c r="K205" s="29"/>
      <c r="L205" s="51"/>
    </row>
    <row r="206" spans="2:12" x14ac:dyDescent="0.35">
      <c r="B206" s="47"/>
      <c r="C206" s="183"/>
      <c r="D206" s="24"/>
      <c r="G206" s="22"/>
      <c r="I206" s="22"/>
      <c r="J206" s="49"/>
      <c r="K206" s="29"/>
      <c r="L206" s="51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1500000</v>
      </c>
      <c r="L207" s="7">
        <f>SUM(L154:L206)</f>
        <v>38461860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21</v>
      </c>
      <c r="L208" s="36" t="s">
        <v>22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2" x14ac:dyDescent="0.35">
      <c r="B211" s="28" t="s">
        <v>6</v>
      </c>
      <c r="C211" s="27"/>
      <c r="D211" s="27"/>
      <c r="E211" s="26"/>
      <c r="F211" s="26"/>
      <c r="G211" s="5"/>
      <c r="K211" s="271" t="s">
        <v>423</v>
      </c>
      <c r="L211" s="272"/>
    </row>
    <row r="212" spans="2:12" x14ac:dyDescent="0.35">
      <c r="B212" s="28">
        <v>1</v>
      </c>
      <c r="C212" s="27"/>
      <c r="D212" s="27"/>
      <c r="E212" s="26" t="s">
        <v>7</v>
      </c>
      <c r="F212" s="26"/>
      <c r="G212" s="5"/>
      <c r="K212" s="271" t="s">
        <v>27</v>
      </c>
      <c r="L212" s="272"/>
    </row>
    <row r="213" spans="2:12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2" x14ac:dyDescent="0.35">
      <c r="B214" s="28"/>
      <c r="C214" s="27"/>
      <c r="D214" s="27"/>
      <c r="E214" s="26"/>
      <c r="F214" s="26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L217" s="22"/>
    </row>
    <row r="218" spans="2:12" x14ac:dyDescent="0.35">
      <c r="B218" s="45"/>
      <c r="E218" s="5"/>
      <c r="F218" s="5"/>
      <c r="G218" s="5"/>
      <c r="J218" s="40"/>
      <c r="K218" s="273" t="s">
        <v>35</v>
      </c>
      <c r="L218" s="274"/>
    </row>
    <row r="219" spans="2:12" x14ac:dyDescent="0.35">
      <c r="B219" s="45"/>
      <c r="K219" s="277" t="s">
        <v>36</v>
      </c>
      <c r="L219" s="278"/>
    </row>
    <row r="220" spans="2:12" x14ac:dyDescent="0.35">
      <c r="B220" s="275"/>
      <c r="C220" s="276"/>
      <c r="D220" s="276"/>
      <c r="E220" s="41"/>
      <c r="F220" s="41"/>
      <c r="G220" s="41"/>
      <c r="H220" s="2"/>
      <c r="I220" s="2"/>
      <c r="J220" s="2"/>
      <c r="K220" s="2"/>
      <c r="L220" s="21"/>
    </row>
    <row r="221" spans="2:12" x14ac:dyDescent="0.35">
      <c r="B221" s="47"/>
      <c r="C221" s="183"/>
      <c r="D221" s="48"/>
      <c r="G221" s="22"/>
      <c r="H221" s="1"/>
      <c r="I221" s="1"/>
      <c r="J221" s="43"/>
      <c r="K221" s="30"/>
      <c r="L221" s="44"/>
    </row>
    <row r="222" spans="2:12" x14ac:dyDescent="0.35">
      <c r="B222" s="101" t="s">
        <v>80</v>
      </c>
      <c r="C222" s="187"/>
      <c r="D222" s="187"/>
      <c r="E222" s="102" t="s">
        <v>17</v>
      </c>
      <c r="F222" s="103"/>
      <c r="G222" s="103"/>
      <c r="H222" s="104"/>
      <c r="I222" s="62"/>
      <c r="J222" s="152"/>
      <c r="K222" s="208"/>
      <c r="L222" s="46"/>
    </row>
    <row r="223" spans="2:12" x14ac:dyDescent="0.35">
      <c r="B223" s="101"/>
      <c r="C223" s="187" t="s">
        <v>254</v>
      </c>
      <c r="D223" s="187"/>
      <c r="E223" s="102"/>
      <c r="F223" s="103" t="s">
        <v>255</v>
      </c>
      <c r="G223" s="103"/>
      <c r="H223" s="104"/>
      <c r="I223" s="62"/>
      <c r="J223" s="160"/>
      <c r="K223" s="208"/>
      <c r="L223" s="46"/>
    </row>
    <row r="224" spans="2:12" x14ac:dyDescent="0.35">
      <c r="B224" s="105"/>
      <c r="C224" s="188"/>
      <c r="D224" s="188" t="s">
        <v>44</v>
      </c>
      <c r="E224" s="108"/>
      <c r="F224" s="109" t="s">
        <v>256</v>
      </c>
      <c r="G224" s="103"/>
      <c r="H224" s="104">
        <v>7</v>
      </c>
      <c r="I224" s="62" t="s">
        <v>257</v>
      </c>
      <c r="J224" s="152">
        <v>225000</v>
      </c>
      <c r="K224" s="50">
        <f>J224*H224</f>
        <v>1575000</v>
      </c>
      <c r="L224" s="46"/>
    </row>
    <row r="225" spans="2:12" x14ac:dyDescent="0.35">
      <c r="B225" s="105"/>
      <c r="C225" s="188"/>
      <c r="D225" s="188"/>
      <c r="E225" s="108"/>
      <c r="F225" s="109" t="s">
        <v>94</v>
      </c>
      <c r="G225" s="103" t="s">
        <v>457</v>
      </c>
      <c r="H225" s="104">
        <v>700</v>
      </c>
      <c r="I225" s="62" t="s">
        <v>153</v>
      </c>
      <c r="J225" s="160">
        <v>480</v>
      </c>
      <c r="K225" s="51"/>
      <c r="L225" s="46">
        <f>J225*H225</f>
        <v>336000</v>
      </c>
    </row>
    <row r="226" spans="2:12" x14ac:dyDescent="0.35">
      <c r="B226" s="105"/>
      <c r="C226" s="188"/>
      <c r="D226" s="188"/>
      <c r="E226" s="108"/>
      <c r="F226" s="109" t="s">
        <v>94</v>
      </c>
      <c r="G226" s="103" t="s">
        <v>458</v>
      </c>
      <c r="H226" s="104">
        <v>3</v>
      </c>
      <c r="I226" s="62" t="s">
        <v>155</v>
      </c>
      <c r="J226" s="154">
        <v>165000</v>
      </c>
      <c r="K226" s="50"/>
      <c r="L226" s="46">
        <f>J226*H226</f>
        <v>495000</v>
      </c>
    </row>
    <row r="227" spans="2:12" x14ac:dyDescent="0.35">
      <c r="B227" s="105"/>
      <c r="C227" s="188"/>
      <c r="D227" s="188"/>
      <c r="E227" s="108"/>
      <c r="F227" s="109" t="s">
        <v>94</v>
      </c>
      <c r="G227" s="103" t="s">
        <v>459</v>
      </c>
      <c r="H227" s="104">
        <v>8</v>
      </c>
      <c r="I227" s="62" t="s">
        <v>155</v>
      </c>
      <c r="J227" s="155">
        <v>35000</v>
      </c>
      <c r="K227" s="247"/>
      <c r="L227" s="46">
        <f>J227*H227</f>
        <v>280000</v>
      </c>
    </row>
    <row r="228" spans="2:12" x14ac:dyDescent="0.35">
      <c r="B228" s="105"/>
      <c r="C228" s="188"/>
      <c r="D228" s="188"/>
      <c r="E228" s="108"/>
      <c r="F228" s="103" t="s">
        <v>94</v>
      </c>
      <c r="G228" s="103" t="s">
        <v>460</v>
      </c>
      <c r="H228" s="104">
        <v>2</v>
      </c>
      <c r="I228" s="62" t="s">
        <v>155</v>
      </c>
      <c r="J228" s="154">
        <v>35000</v>
      </c>
      <c r="K228" s="50"/>
      <c r="L228" s="46">
        <f>J228*H228</f>
        <v>70000</v>
      </c>
    </row>
    <row r="229" spans="2:12" x14ac:dyDescent="0.35">
      <c r="B229" s="105"/>
      <c r="C229" s="188"/>
      <c r="D229" s="188" t="s">
        <v>47</v>
      </c>
      <c r="E229" s="108"/>
      <c r="F229" s="103" t="s">
        <v>262</v>
      </c>
      <c r="G229" s="103"/>
      <c r="H229" s="104">
        <v>7</v>
      </c>
      <c r="I229" s="62" t="s">
        <v>257</v>
      </c>
      <c r="J229" s="152">
        <v>225000</v>
      </c>
      <c r="K229" s="50">
        <f>J229*H229</f>
        <v>1575000</v>
      </c>
      <c r="L229" s="46"/>
    </row>
    <row r="230" spans="2:12" x14ac:dyDescent="0.35">
      <c r="B230" s="105"/>
      <c r="C230" s="188"/>
      <c r="D230" s="188"/>
      <c r="E230" s="108"/>
      <c r="F230" s="103" t="s">
        <v>94</v>
      </c>
      <c r="G230" s="103" t="s">
        <v>457</v>
      </c>
      <c r="H230" s="104">
        <v>700</v>
      </c>
      <c r="I230" s="62" t="s">
        <v>153</v>
      </c>
      <c r="J230" s="160">
        <v>480</v>
      </c>
      <c r="K230" s="50"/>
      <c r="L230" s="46">
        <f>J230*H230</f>
        <v>336000</v>
      </c>
    </row>
    <row r="231" spans="2:12" x14ac:dyDescent="0.35">
      <c r="B231" s="105"/>
      <c r="C231" s="188"/>
      <c r="D231" s="188"/>
      <c r="E231" s="108"/>
      <c r="F231" s="103" t="s">
        <v>94</v>
      </c>
      <c r="G231" s="103" t="s">
        <v>458</v>
      </c>
      <c r="H231" s="104">
        <v>3</v>
      </c>
      <c r="I231" s="62" t="s">
        <v>155</v>
      </c>
      <c r="J231" s="154">
        <v>165000</v>
      </c>
      <c r="K231" s="50"/>
      <c r="L231" s="46">
        <f>J231*H231</f>
        <v>495000</v>
      </c>
    </row>
    <row r="232" spans="2:12" x14ac:dyDescent="0.35">
      <c r="B232" s="105"/>
      <c r="C232" s="188"/>
      <c r="D232" s="188"/>
      <c r="E232" s="108"/>
      <c r="F232" s="109" t="s">
        <v>94</v>
      </c>
      <c r="G232" s="103" t="s">
        <v>459</v>
      </c>
      <c r="H232" s="104">
        <v>8</v>
      </c>
      <c r="I232" s="62" t="s">
        <v>155</v>
      </c>
      <c r="J232" s="155">
        <v>35000</v>
      </c>
      <c r="K232" s="50"/>
      <c r="L232" s="46">
        <f>J232*H232</f>
        <v>280000</v>
      </c>
    </row>
    <row r="233" spans="2:12" x14ac:dyDescent="0.35">
      <c r="B233" s="105"/>
      <c r="C233" s="188"/>
      <c r="D233" s="188"/>
      <c r="E233" s="108"/>
      <c r="F233" s="109" t="s">
        <v>94</v>
      </c>
      <c r="G233" s="103" t="s">
        <v>460</v>
      </c>
      <c r="H233" s="104">
        <v>2</v>
      </c>
      <c r="I233" s="62" t="s">
        <v>155</v>
      </c>
      <c r="J233" s="154">
        <v>35000</v>
      </c>
      <c r="K233" s="50"/>
      <c r="L233" s="46">
        <f>J233*H233</f>
        <v>70000</v>
      </c>
    </row>
    <row r="234" spans="2:12" x14ac:dyDescent="0.35">
      <c r="B234" s="105"/>
      <c r="C234" s="188"/>
      <c r="D234" s="187" t="s">
        <v>49</v>
      </c>
      <c r="E234" s="102"/>
      <c r="F234" s="103" t="s">
        <v>263</v>
      </c>
      <c r="G234" s="103"/>
      <c r="H234" s="104">
        <v>7</v>
      </c>
      <c r="I234" s="62" t="s">
        <v>257</v>
      </c>
      <c r="J234" s="152">
        <v>225000</v>
      </c>
      <c r="K234" s="50">
        <f>J234*H234</f>
        <v>1575000</v>
      </c>
      <c r="L234" s="46"/>
    </row>
    <row r="235" spans="2:12" x14ac:dyDescent="0.35">
      <c r="B235" s="105"/>
      <c r="C235" s="188"/>
      <c r="D235" s="188"/>
      <c r="E235" s="102"/>
      <c r="F235" s="103" t="s">
        <v>94</v>
      </c>
      <c r="G235" s="103" t="s">
        <v>457</v>
      </c>
      <c r="H235" s="104">
        <v>700</v>
      </c>
      <c r="I235" s="62" t="s">
        <v>153</v>
      </c>
      <c r="J235" s="160">
        <v>480</v>
      </c>
      <c r="K235" s="208"/>
      <c r="L235" s="46">
        <f>J235*H235</f>
        <v>336000</v>
      </c>
    </row>
    <row r="236" spans="2:12" x14ac:dyDescent="0.35">
      <c r="B236" s="105"/>
      <c r="C236" s="188"/>
      <c r="D236" s="188"/>
      <c r="E236" s="102"/>
      <c r="F236" s="103" t="s">
        <v>94</v>
      </c>
      <c r="G236" s="103" t="s">
        <v>458</v>
      </c>
      <c r="H236" s="104">
        <v>3</v>
      </c>
      <c r="I236" s="62" t="s">
        <v>155</v>
      </c>
      <c r="J236" s="154">
        <v>165000</v>
      </c>
      <c r="K236" s="208"/>
      <c r="L236" s="46">
        <f>J236*H236</f>
        <v>495000</v>
      </c>
    </row>
    <row r="237" spans="2:12" x14ac:dyDescent="0.35">
      <c r="B237" s="105"/>
      <c r="C237" s="188"/>
      <c r="D237" s="188"/>
      <c r="E237" s="102"/>
      <c r="F237" s="103" t="s">
        <v>94</v>
      </c>
      <c r="G237" s="103" t="s">
        <v>459</v>
      </c>
      <c r="H237" s="104">
        <v>8</v>
      </c>
      <c r="I237" s="62" t="s">
        <v>155</v>
      </c>
      <c r="J237" s="155">
        <v>35000</v>
      </c>
      <c r="K237" s="208"/>
      <c r="L237" s="46">
        <f>J237*H237</f>
        <v>280000</v>
      </c>
    </row>
    <row r="238" spans="2:12" x14ac:dyDescent="0.35">
      <c r="B238" s="105"/>
      <c r="C238" s="188"/>
      <c r="D238" s="188"/>
      <c r="E238" s="102"/>
      <c r="F238" s="103" t="s">
        <v>94</v>
      </c>
      <c r="G238" s="103" t="s">
        <v>460</v>
      </c>
      <c r="H238" s="104">
        <v>2</v>
      </c>
      <c r="I238" s="62" t="s">
        <v>155</v>
      </c>
      <c r="J238" s="154">
        <v>35000</v>
      </c>
      <c r="K238" s="208"/>
      <c r="L238" s="46">
        <f>J238*H238</f>
        <v>70000</v>
      </c>
    </row>
    <row r="239" spans="2:12" x14ac:dyDescent="0.35">
      <c r="B239" s="105"/>
      <c r="C239" s="188"/>
      <c r="D239" s="188" t="s">
        <v>51</v>
      </c>
      <c r="E239" s="102"/>
      <c r="F239" s="103" t="s">
        <v>264</v>
      </c>
      <c r="G239" s="103"/>
      <c r="H239" s="104">
        <v>7</v>
      </c>
      <c r="I239" s="62" t="s">
        <v>257</v>
      </c>
      <c r="J239" s="152">
        <v>150000</v>
      </c>
      <c r="K239" s="50">
        <f>J239*H239</f>
        <v>1050000</v>
      </c>
      <c r="L239" s="46"/>
    </row>
    <row r="240" spans="2:12" x14ac:dyDescent="0.35">
      <c r="B240" s="105"/>
      <c r="C240" s="188"/>
      <c r="D240" s="188"/>
      <c r="E240" s="102"/>
      <c r="F240" s="103" t="s">
        <v>94</v>
      </c>
      <c r="G240" s="103" t="s">
        <v>461</v>
      </c>
      <c r="H240" s="104">
        <v>700</v>
      </c>
      <c r="I240" s="62" t="s">
        <v>153</v>
      </c>
      <c r="J240" s="152">
        <v>332</v>
      </c>
      <c r="K240" s="153"/>
      <c r="L240" s="46">
        <f>J240*H240</f>
        <v>232400</v>
      </c>
    </row>
    <row r="241" spans="2:12" x14ac:dyDescent="0.35">
      <c r="B241" s="105"/>
      <c r="C241" s="188"/>
      <c r="D241" s="188"/>
      <c r="E241" s="102"/>
      <c r="F241" s="103" t="s">
        <v>94</v>
      </c>
      <c r="G241" s="103" t="s">
        <v>462</v>
      </c>
      <c r="H241" s="104">
        <v>2</v>
      </c>
      <c r="I241" s="62" t="s">
        <v>155</v>
      </c>
      <c r="J241" s="154">
        <v>145000</v>
      </c>
      <c r="K241" s="50"/>
      <c r="L241" s="46">
        <f>J241*H241</f>
        <v>290000</v>
      </c>
    </row>
    <row r="242" spans="2:12" x14ac:dyDescent="0.35">
      <c r="B242" s="105"/>
      <c r="C242" s="188"/>
      <c r="D242" s="188"/>
      <c r="E242" s="102"/>
      <c r="F242" s="103" t="s">
        <v>94</v>
      </c>
      <c r="G242" s="103" t="s">
        <v>463</v>
      </c>
      <c r="H242" s="104">
        <v>2</v>
      </c>
      <c r="I242" s="62" t="s">
        <v>155</v>
      </c>
      <c r="J242" s="161">
        <v>70000</v>
      </c>
      <c r="K242" s="208"/>
      <c r="L242" s="46">
        <f>J242*H242</f>
        <v>140000</v>
      </c>
    </row>
    <row r="243" spans="2:12" x14ac:dyDescent="0.35">
      <c r="B243" s="105"/>
      <c r="C243" s="188"/>
      <c r="D243" s="188"/>
      <c r="E243" s="102"/>
      <c r="F243" s="103" t="s">
        <v>94</v>
      </c>
      <c r="G243" s="103" t="s">
        <v>464</v>
      </c>
      <c r="H243" s="104">
        <v>4</v>
      </c>
      <c r="I243" s="62" t="s">
        <v>155</v>
      </c>
      <c r="J243" s="161">
        <v>35000</v>
      </c>
      <c r="K243" s="208"/>
      <c r="L243" s="46">
        <f>J243*H243</f>
        <v>140000</v>
      </c>
    </row>
    <row r="244" spans="2:12" x14ac:dyDescent="0.35">
      <c r="B244" s="105"/>
      <c r="C244" s="188"/>
      <c r="D244" s="188"/>
      <c r="E244" s="102"/>
      <c r="F244" s="103" t="s">
        <v>94</v>
      </c>
      <c r="G244" s="103" t="s">
        <v>465</v>
      </c>
      <c r="H244" s="104">
        <v>1</v>
      </c>
      <c r="I244" s="62" t="s">
        <v>155</v>
      </c>
      <c r="J244" s="161">
        <v>35000</v>
      </c>
      <c r="K244" s="153"/>
      <c r="L244" s="46">
        <f>J244*H244</f>
        <v>35000</v>
      </c>
    </row>
    <row r="245" spans="2:12" x14ac:dyDescent="0.35">
      <c r="B245" s="105"/>
      <c r="C245" s="188"/>
      <c r="D245" s="188" t="s">
        <v>54</v>
      </c>
      <c r="E245" s="102"/>
      <c r="F245" s="103" t="s">
        <v>270</v>
      </c>
      <c r="G245" s="103"/>
      <c r="H245" s="104">
        <v>7</v>
      </c>
      <c r="I245" s="62" t="s">
        <v>257</v>
      </c>
      <c r="J245" s="154">
        <v>200000</v>
      </c>
      <c r="K245" s="50">
        <f>J245*H245</f>
        <v>1400000</v>
      </c>
      <c r="L245" s="46"/>
    </row>
    <row r="246" spans="2:12" x14ac:dyDescent="0.35">
      <c r="B246" s="105"/>
      <c r="C246" s="188"/>
      <c r="D246" s="188"/>
      <c r="E246" s="102"/>
      <c r="F246" s="103" t="s">
        <v>94</v>
      </c>
      <c r="G246" s="103" t="s">
        <v>466</v>
      </c>
      <c r="H246" s="104">
        <v>700</v>
      </c>
      <c r="I246" s="62" t="s">
        <v>153</v>
      </c>
      <c r="J246" s="152">
        <v>393</v>
      </c>
      <c r="K246" s="208"/>
      <c r="L246" s="46">
        <f t="shared" ref="L246:L254" si="13">J246*H246</f>
        <v>275100</v>
      </c>
    </row>
    <row r="247" spans="2:12" x14ac:dyDescent="0.35">
      <c r="B247" s="105"/>
      <c r="C247" s="188"/>
      <c r="D247" s="188"/>
      <c r="E247" s="102"/>
      <c r="F247" s="103" t="s">
        <v>94</v>
      </c>
      <c r="G247" s="103" t="s">
        <v>467</v>
      </c>
      <c r="H247" s="104">
        <v>2</v>
      </c>
      <c r="I247" s="62" t="s">
        <v>155</v>
      </c>
      <c r="J247" s="152">
        <v>195000</v>
      </c>
      <c r="K247" s="208"/>
      <c r="L247" s="46">
        <f t="shared" si="13"/>
        <v>390000</v>
      </c>
    </row>
    <row r="248" spans="2:12" x14ac:dyDescent="0.35">
      <c r="B248" s="105"/>
      <c r="C248" s="188"/>
      <c r="D248" s="188"/>
      <c r="E248" s="102"/>
      <c r="F248" s="103" t="s">
        <v>94</v>
      </c>
      <c r="G248" s="103" t="s">
        <v>468</v>
      </c>
      <c r="H248" s="104">
        <v>1</v>
      </c>
      <c r="I248" s="62" t="s">
        <v>155</v>
      </c>
      <c r="J248" s="51">
        <v>90000</v>
      </c>
      <c r="K248" s="208"/>
      <c r="L248" s="46">
        <f t="shared" si="13"/>
        <v>90000</v>
      </c>
    </row>
    <row r="249" spans="2:12" x14ac:dyDescent="0.35">
      <c r="B249" s="105"/>
      <c r="C249" s="188"/>
      <c r="D249" s="188"/>
      <c r="E249" s="102"/>
      <c r="F249" s="103" t="s">
        <v>94</v>
      </c>
      <c r="G249" s="103" t="s">
        <v>469</v>
      </c>
      <c r="H249" s="104">
        <v>33.911999999999999</v>
      </c>
      <c r="I249" s="62" t="s">
        <v>147</v>
      </c>
      <c r="J249" s="51">
        <v>30000</v>
      </c>
      <c r="K249" s="208"/>
      <c r="L249" s="46">
        <f t="shared" si="13"/>
        <v>1017360</v>
      </c>
    </row>
    <row r="250" spans="2:12" x14ac:dyDescent="0.35">
      <c r="B250" s="105"/>
      <c r="C250" s="188"/>
      <c r="D250" s="188"/>
      <c r="E250" s="108"/>
      <c r="F250" s="103" t="s">
        <v>94</v>
      </c>
      <c r="G250" s="103" t="s">
        <v>470</v>
      </c>
      <c r="H250" s="104">
        <v>33.911999999999999</v>
      </c>
      <c r="I250" s="113" t="s">
        <v>147</v>
      </c>
      <c r="J250" s="154">
        <v>30000</v>
      </c>
      <c r="K250" s="208"/>
      <c r="L250" s="46">
        <f t="shared" si="13"/>
        <v>1017360</v>
      </c>
    </row>
    <row r="251" spans="2:12" x14ac:dyDescent="0.35">
      <c r="B251" s="105"/>
      <c r="C251" s="188"/>
      <c r="D251" s="188"/>
      <c r="E251" s="108"/>
      <c r="F251" s="103" t="s">
        <v>94</v>
      </c>
      <c r="G251" s="103" t="s">
        <v>464</v>
      </c>
      <c r="H251" s="104">
        <v>4</v>
      </c>
      <c r="I251" s="113" t="s">
        <v>155</v>
      </c>
      <c r="J251" s="161">
        <v>35000</v>
      </c>
      <c r="K251" s="161"/>
      <c r="L251" s="46">
        <f t="shared" si="13"/>
        <v>140000</v>
      </c>
    </row>
    <row r="252" spans="2:12" x14ac:dyDescent="0.35">
      <c r="B252" s="105"/>
      <c r="C252" s="188"/>
      <c r="D252" s="188"/>
      <c r="E252" s="108"/>
      <c r="F252" s="109" t="s">
        <v>94</v>
      </c>
      <c r="G252" s="103" t="s">
        <v>471</v>
      </c>
      <c r="H252" s="104">
        <v>8</v>
      </c>
      <c r="I252" s="62" t="s">
        <v>155</v>
      </c>
      <c r="J252" s="161">
        <v>35000</v>
      </c>
      <c r="K252" s="208"/>
      <c r="L252" s="46">
        <f t="shared" si="13"/>
        <v>280000</v>
      </c>
    </row>
    <row r="253" spans="2:12" x14ac:dyDescent="0.35">
      <c r="B253" s="105"/>
      <c r="C253" s="188"/>
      <c r="D253" s="188"/>
      <c r="E253" s="108"/>
      <c r="F253" s="109" t="s">
        <v>94</v>
      </c>
      <c r="G253" s="103" t="s">
        <v>472</v>
      </c>
      <c r="H253" s="104">
        <v>1</v>
      </c>
      <c r="I253" s="62" t="s">
        <v>155</v>
      </c>
      <c r="J253" s="161">
        <v>35000</v>
      </c>
      <c r="K253" s="208"/>
      <c r="L253" s="46">
        <f t="shared" si="13"/>
        <v>35000</v>
      </c>
    </row>
    <row r="254" spans="2:12" x14ac:dyDescent="0.35">
      <c r="B254" s="105"/>
      <c r="C254" s="188"/>
      <c r="D254" s="188"/>
      <c r="E254" s="108"/>
      <c r="F254" s="109" t="s">
        <v>94</v>
      </c>
      <c r="G254" s="103" t="s">
        <v>460</v>
      </c>
      <c r="H254" s="104">
        <v>1</v>
      </c>
      <c r="I254" s="62" t="s">
        <v>155</v>
      </c>
      <c r="J254" s="161">
        <v>35000</v>
      </c>
      <c r="K254" s="208"/>
      <c r="L254" s="46">
        <f t="shared" si="13"/>
        <v>35000</v>
      </c>
    </row>
    <row r="255" spans="2:12" x14ac:dyDescent="0.35">
      <c r="B255" s="105"/>
      <c r="C255" s="188"/>
      <c r="D255" s="188" t="s">
        <v>56</v>
      </c>
      <c r="E255" s="108"/>
      <c r="F255" s="109" t="s">
        <v>280</v>
      </c>
      <c r="G255" s="103"/>
      <c r="H255" s="104">
        <v>7</v>
      </c>
      <c r="I255" s="62" t="s">
        <v>257</v>
      </c>
      <c r="J255" s="152">
        <v>225000</v>
      </c>
      <c r="K255" s="50">
        <f>J255*H255</f>
        <v>1575000</v>
      </c>
      <c r="L255" s="46"/>
    </row>
    <row r="256" spans="2:12" x14ac:dyDescent="0.35">
      <c r="B256" s="105"/>
      <c r="C256" s="188"/>
      <c r="D256" s="187"/>
      <c r="E256" s="102"/>
      <c r="F256" s="103" t="s">
        <v>94</v>
      </c>
      <c r="G256" s="103" t="s">
        <v>457</v>
      </c>
      <c r="H256" s="104">
        <v>700</v>
      </c>
      <c r="I256" s="114" t="s">
        <v>153</v>
      </c>
      <c r="J256" s="152">
        <v>480</v>
      </c>
      <c r="K256" s="208"/>
      <c r="L256" s="46">
        <f>J256*H256</f>
        <v>336000</v>
      </c>
    </row>
    <row r="257" spans="2:12" x14ac:dyDescent="0.35">
      <c r="B257" s="101"/>
      <c r="C257" s="187"/>
      <c r="D257" s="187"/>
      <c r="E257" s="102"/>
      <c r="F257" s="103" t="s">
        <v>94</v>
      </c>
      <c r="G257" s="103" t="s">
        <v>458</v>
      </c>
      <c r="H257" s="104">
        <v>3</v>
      </c>
      <c r="I257" s="62" t="s">
        <v>155</v>
      </c>
      <c r="J257" s="152">
        <v>165000</v>
      </c>
      <c r="K257" s="208"/>
      <c r="L257" s="46">
        <f>J257*H257</f>
        <v>495000</v>
      </c>
    </row>
    <row r="258" spans="2:12" x14ac:dyDescent="0.35">
      <c r="B258" s="101"/>
      <c r="C258" s="187"/>
      <c r="D258" s="187"/>
      <c r="E258" s="102"/>
      <c r="F258" s="103" t="s">
        <v>94</v>
      </c>
      <c r="G258" s="103" t="s">
        <v>459</v>
      </c>
      <c r="H258" s="104">
        <v>8</v>
      </c>
      <c r="I258" s="62" t="s">
        <v>155</v>
      </c>
      <c r="J258" s="153">
        <v>35000</v>
      </c>
      <c r="K258" s="208"/>
      <c r="L258" s="46">
        <f>J258*H258</f>
        <v>280000</v>
      </c>
    </row>
    <row r="259" spans="2:12" x14ac:dyDescent="0.35">
      <c r="B259" s="101"/>
      <c r="C259" s="187"/>
      <c r="D259" s="187"/>
      <c r="E259" s="102"/>
      <c r="F259" s="103" t="s">
        <v>94</v>
      </c>
      <c r="G259" s="103" t="s">
        <v>460</v>
      </c>
      <c r="H259" s="104">
        <v>2</v>
      </c>
      <c r="I259" s="62" t="s">
        <v>155</v>
      </c>
      <c r="J259" s="154">
        <v>35000</v>
      </c>
      <c r="K259" s="208"/>
      <c r="L259" s="46">
        <f>J259*H259</f>
        <v>70000</v>
      </c>
    </row>
    <row r="260" spans="2:12" x14ac:dyDescent="0.35">
      <c r="B260" s="101"/>
      <c r="C260" s="187"/>
      <c r="D260" s="187" t="s">
        <v>58</v>
      </c>
      <c r="E260" s="102"/>
      <c r="F260" s="103" t="s">
        <v>281</v>
      </c>
      <c r="G260" s="103"/>
      <c r="H260" s="104">
        <v>7</v>
      </c>
      <c r="I260" s="62" t="s">
        <v>257</v>
      </c>
      <c r="J260" s="152">
        <v>225000</v>
      </c>
      <c r="K260" s="50">
        <f>J260*H260</f>
        <v>1575000</v>
      </c>
      <c r="L260" s="46"/>
    </row>
    <row r="261" spans="2:12" x14ac:dyDescent="0.35">
      <c r="B261" s="101"/>
      <c r="C261" s="187"/>
      <c r="D261" s="187"/>
      <c r="E261" s="102"/>
      <c r="F261" s="103" t="s">
        <v>94</v>
      </c>
      <c r="G261" s="103" t="s">
        <v>457</v>
      </c>
      <c r="H261" s="104">
        <v>700</v>
      </c>
      <c r="I261" s="62" t="s">
        <v>153</v>
      </c>
      <c r="J261" s="152">
        <v>480</v>
      </c>
      <c r="K261" s="208"/>
      <c r="L261" s="46">
        <f>J261*H261</f>
        <v>336000</v>
      </c>
    </row>
    <row r="262" spans="2:12" x14ac:dyDescent="0.35">
      <c r="B262" s="101"/>
      <c r="C262" s="187"/>
      <c r="D262" s="187"/>
      <c r="E262" s="102"/>
      <c r="F262" s="103" t="s">
        <v>94</v>
      </c>
      <c r="G262" s="103" t="s">
        <v>458</v>
      </c>
      <c r="H262" s="104">
        <v>3</v>
      </c>
      <c r="I262" s="62" t="s">
        <v>155</v>
      </c>
      <c r="J262" s="152">
        <v>165000</v>
      </c>
      <c r="K262" s="223"/>
      <c r="L262" s="46">
        <f>J262*H262</f>
        <v>495000</v>
      </c>
    </row>
    <row r="263" spans="2:12" x14ac:dyDescent="0.35">
      <c r="B263" s="101"/>
      <c r="C263" s="187"/>
      <c r="D263" s="187"/>
      <c r="E263" s="102"/>
      <c r="F263" s="103" t="s">
        <v>94</v>
      </c>
      <c r="G263" s="103" t="s">
        <v>459</v>
      </c>
      <c r="H263" s="104">
        <v>8</v>
      </c>
      <c r="I263" s="62" t="s">
        <v>155</v>
      </c>
      <c r="J263" s="153">
        <v>35000</v>
      </c>
      <c r="K263" s="223"/>
      <c r="L263" s="46">
        <f>J263*H263</f>
        <v>280000</v>
      </c>
    </row>
    <row r="264" spans="2:12" x14ac:dyDescent="0.35">
      <c r="B264" s="101"/>
      <c r="C264" s="187"/>
      <c r="D264" s="187"/>
      <c r="E264" s="102"/>
      <c r="F264" s="103" t="s">
        <v>94</v>
      </c>
      <c r="G264" s="103" t="s">
        <v>460</v>
      </c>
      <c r="H264" s="104">
        <v>2</v>
      </c>
      <c r="I264" s="62" t="s">
        <v>155</v>
      </c>
      <c r="J264" s="154">
        <v>35000</v>
      </c>
      <c r="K264" s="223"/>
      <c r="L264" s="46">
        <f>J264*H264</f>
        <v>70000</v>
      </c>
    </row>
    <row r="265" spans="2:12" x14ac:dyDescent="0.35">
      <c r="B265" s="101"/>
      <c r="C265" s="187"/>
      <c r="D265" s="187" t="s">
        <v>60</v>
      </c>
      <c r="E265" s="102"/>
      <c r="F265" s="103" t="s">
        <v>282</v>
      </c>
      <c r="G265" s="103"/>
      <c r="H265" s="104">
        <v>6</v>
      </c>
      <c r="I265" s="62" t="s">
        <v>257</v>
      </c>
      <c r="J265" s="161">
        <v>225000</v>
      </c>
      <c r="K265" s="50">
        <f>J265*H265</f>
        <v>1350000</v>
      </c>
      <c r="L265" s="46"/>
    </row>
    <row r="266" spans="2:12" x14ac:dyDescent="0.35">
      <c r="B266" s="101"/>
      <c r="C266" s="187"/>
      <c r="D266" s="187"/>
      <c r="E266" s="102"/>
      <c r="F266" s="103" t="s">
        <v>94</v>
      </c>
      <c r="G266" s="103" t="s">
        <v>457</v>
      </c>
      <c r="H266" s="104">
        <v>700</v>
      </c>
      <c r="I266" s="62" t="s">
        <v>153</v>
      </c>
      <c r="J266" s="161">
        <v>480</v>
      </c>
      <c r="K266" s="223"/>
      <c r="L266" s="46">
        <f>J266*H266</f>
        <v>336000</v>
      </c>
    </row>
    <row r="267" spans="2:12" x14ac:dyDescent="0.35">
      <c r="B267" s="101"/>
      <c r="C267" s="187"/>
      <c r="D267" s="187"/>
      <c r="E267" s="102"/>
      <c r="F267" s="103" t="s">
        <v>94</v>
      </c>
      <c r="G267" s="103" t="s">
        <v>458</v>
      </c>
      <c r="H267" s="104">
        <v>2</v>
      </c>
      <c r="I267" s="62" t="s">
        <v>155</v>
      </c>
      <c r="J267" s="152">
        <v>165000</v>
      </c>
      <c r="K267" s="208"/>
      <c r="L267" s="46">
        <f>J267*H267</f>
        <v>330000</v>
      </c>
    </row>
    <row r="268" spans="2:12" x14ac:dyDescent="0.35">
      <c r="B268" s="47"/>
      <c r="C268" s="183"/>
      <c r="D268" s="24"/>
      <c r="G268" s="22"/>
      <c r="I268" s="22"/>
      <c r="J268" s="49"/>
      <c r="K268" s="29"/>
      <c r="L268" s="51"/>
    </row>
    <row r="269" spans="2:12" x14ac:dyDescent="0.35">
      <c r="B269" s="47"/>
      <c r="C269" s="183"/>
      <c r="D269" s="24"/>
      <c r="G269" s="22"/>
      <c r="I269" s="22"/>
      <c r="J269" s="49"/>
      <c r="K269" s="29"/>
      <c r="L269" s="51"/>
    </row>
    <row r="270" spans="2:12" x14ac:dyDescent="0.35">
      <c r="B270" s="47"/>
      <c r="C270" s="183"/>
      <c r="D270" s="24"/>
      <c r="G270" s="22"/>
      <c r="I270" s="22"/>
      <c r="J270" s="49"/>
      <c r="K270" s="29"/>
      <c r="L270" s="51"/>
    </row>
    <row r="271" spans="2:12" x14ac:dyDescent="0.35">
      <c r="B271" s="47"/>
      <c r="C271" s="183"/>
      <c r="D271" s="24"/>
      <c r="G271" s="22"/>
      <c r="I271" s="22"/>
      <c r="J271" s="49"/>
      <c r="K271" s="29"/>
      <c r="L271" s="51"/>
    </row>
    <row r="272" spans="2:12" x14ac:dyDescent="0.35">
      <c r="B272" s="47"/>
      <c r="C272" s="183"/>
      <c r="D272" s="24"/>
      <c r="G272" s="22"/>
      <c r="I272" s="22"/>
      <c r="J272" s="49"/>
      <c r="K272" s="29"/>
      <c r="L272" s="51"/>
    </row>
    <row r="273" spans="2:12" x14ac:dyDescent="0.35">
      <c r="B273" s="47"/>
      <c r="C273" s="183"/>
      <c r="D273" s="24"/>
      <c r="G273" s="22"/>
      <c r="I273" s="22"/>
      <c r="J273" s="49"/>
      <c r="K273" s="29"/>
      <c r="L273" s="51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11675000</v>
      </c>
      <c r="L274" s="7">
        <f>SUM(L221:L273)</f>
        <v>10688220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21</v>
      </c>
      <c r="L275" s="36" t="s">
        <v>22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</row>
    <row r="278" spans="2:12" x14ac:dyDescent="0.35">
      <c r="B278" s="28" t="s">
        <v>6</v>
      </c>
      <c r="C278" s="27"/>
      <c r="D278" s="27"/>
      <c r="E278" s="26"/>
      <c r="F278" s="26"/>
      <c r="G278" s="5"/>
      <c r="K278" s="271" t="s">
        <v>423</v>
      </c>
      <c r="L278" s="272"/>
    </row>
    <row r="279" spans="2:12" x14ac:dyDescent="0.35">
      <c r="B279" s="28">
        <v>1</v>
      </c>
      <c r="C279" s="27"/>
      <c r="D279" s="27"/>
      <c r="E279" s="26" t="s">
        <v>7</v>
      </c>
      <c r="F279" s="26"/>
      <c r="G279" s="5"/>
      <c r="K279" s="271" t="s">
        <v>27</v>
      </c>
      <c r="L279" s="272"/>
    </row>
    <row r="280" spans="2:12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2" x14ac:dyDescent="0.35">
      <c r="B281" s="28"/>
      <c r="C281" s="27"/>
      <c r="D281" s="27"/>
      <c r="E281" s="26"/>
      <c r="F281" s="26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L284" s="22"/>
    </row>
    <row r="285" spans="2:12" x14ac:dyDescent="0.35">
      <c r="B285" s="45"/>
      <c r="E285" s="5"/>
      <c r="F285" s="5"/>
      <c r="G285" s="5"/>
      <c r="J285" s="40"/>
      <c r="K285" s="273" t="s">
        <v>35</v>
      </c>
      <c r="L285" s="274"/>
    </row>
    <row r="286" spans="2:12" x14ac:dyDescent="0.35">
      <c r="B286" s="45"/>
      <c r="K286" s="277" t="s">
        <v>36</v>
      </c>
      <c r="L286" s="278"/>
    </row>
    <row r="287" spans="2:12" x14ac:dyDescent="0.35">
      <c r="B287" s="275"/>
      <c r="C287" s="276"/>
      <c r="D287" s="276"/>
      <c r="E287" s="41"/>
      <c r="F287" s="41"/>
      <c r="G287" s="41"/>
      <c r="H287" s="2"/>
      <c r="I287" s="2"/>
      <c r="J287" s="2"/>
      <c r="K287" s="2"/>
      <c r="L287" s="21"/>
    </row>
    <row r="288" spans="2:12" x14ac:dyDescent="0.35">
      <c r="B288" s="47"/>
      <c r="C288" s="183"/>
      <c r="D288" s="48"/>
      <c r="G288" s="22"/>
      <c r="H288" s="1"/>
      <c r="I288" s="1"/>
      <c r="J288" s="43"/>
      <c r="K288" s="30"/>
      <c r="L288" s="44"/>
    </row>
    <row r="289" spans="2:12" x14ac:dyDescent="0.35">
      <c r="B289" s="101"/>
      <c r="C289" s="187"/>
      <c r="D289" s="187"/>
      <c r="E289" s="102"/>
      <c r="F289" s="103" t="s">
        <v>94</v>
      </c>
      <c r="G289" s="103" t="s">
        <v>473</v>
      </c>
      <c r="H289" s="104">
        <v>1</v>
      </c>
      <c r="I289" s="62" t="s">
        <v>93</v>
      </c>
      <c r="J289" s="152">
        <v>415000</v>
      </c>
      <c r="K289" s="208"/>
      <c r="L289" s="46">
        <f>J289*H289</f>
        <v>415000</v>
      </c>
    </row>
    <row r="290" spans="2:12" x14ac:dyDescent="0.35">
      <c r="B290" s="101"/>
      <c r="C290" s="187"/>
      <c r="D290" s="187"/>
      <c r="E290" s="102"/>
      <c r="F290" s="103" t="s">
        <v>94</v>
      </c>
      <c r="G290" s="103" t="s">
        <v>474</v>
      </c>
      <c r="H290" s="104">
        <v>1</v>
      </c>
      <c r="I290" s="62" t="s">
        <v>155</v>
      </c>
      <c r="J290" s="160">
        <v>130000</v>
      </c>
      <c r="K290" s="208"/>
      <c r="L290" s="46">
        <f>J290*H290</f>
        <v>130000</v>
      </c>
    </row>
    <row r="291" spans="2:12" x14ac:dyDescent="0.35">
      <c r="B291" s="101"/>
      <c r="C291" s="187"/>
      <c r="D291" s="187"/>
      <c r="E291" s="102"/>
      <c r="F291" s="103" t="s">
        <v>94</v>
      </c>
      <c r="G291" s="103" t="s">
        <v>459</v>
      </c>
      <c r="H291" s="104">
        <v>4</v>
      </c>
      <c r="I291" s="62" t="s">
        <v>155</v>
      </c>
      <c r="J291" s="152">
        <v>35000</v>
      </c>
      <c r="K291" s="208"/>
      <c r="L291" s="46">
        <f>J291*H291</f>
        <v>140000</v>
      </c>
    </row>
    <row r="292" spans="2:12" x14ac:dyDescent="0.35">
      <c r="B292" s="101"/>
      <c r="C292" s="187"/>
      <c r="D292" s="187"/>
      <c r="E292" s="102"/>
      <c r="F292" s="103" t="s">
        <v>94</v>
      </c>
      <c r="G292" s="103" t="s">
        <v>460</v>
      </c>
      <c r="H292" s="104">
        <v>1</v>
      </c>
      <c r="I292" s="62" t="s">
        <v>155</v>
      </c>
      <c r="J292" s="162">
        <v>35000</v>
      </c>
      <c r="K292" s="51"/>
      <c r="L292" s="46">
        <f>J292*H292</f>
        <v>35000</v>
      </c>
    </row>
    <row r="293" spans="2:12" x14ac:dyDescent="0.35">
      <c r="B293" s="101"/>
      <c r="C293" s="187"/>
      <c r="D293" s="187" t="s">
        <v>62</v>
      </c>
      <c r="E293" s="102"/>
      <c r="F293" s="103" t="s">
        <v>285</v>
      </c>
      <c r="G293" s="103"/>
      <c r="H293" s="104">
        <v>7</v>
      </c>
      <c r="I293" s="62" t="s">
        <v>257</v>
      </c>
      <c r="J293" s="154">
        <v>225000</v>
      </c>
      <c r="K293" s="50">
        <f>J293*H293</f>
        <v>1575000</v>
      </c>
      <c r="L293" s="46"/>
    </row>
    <row r="294" spans="2:12" x14ac:dyDescent="0.35">
      <c r="B294" s="101"/>
      <c r="C294" s="187"/>
      <c r="D294" s="187"/>
      <c r="E294" s="102"/>
      <c r="F294" s="103" t="s">
        <v>94</v>
      </c>
      <c r="G294" s="103" t="s">
        <v>457</v>
      </c>
      <c r="H294" s="104">
        <v>700</v>
      </c>
      <c r="I294" s="62" t="s">
        <v>153</v>
      </c>
      <c r="J294" s="155">
        <v>480</v>
      </c>
      <c r="K294" s="247"/>
      <c r="L294" s="46">
        <f>J294*H294</f>
        <v>336000</v>
      </c>
    </row>
    <row r="295" spans="2:12" x14ac:dyDescent="0.35">
      <c r="B295" s="101"/>
      <c r="C295" s="187"/>
      <c r="D295" s="187"/>
      <c r="E295" s="102"/>
      <c r="F295" s="103" t="s">
        <v>94</v>
      </c>
      <c r="G295" s="103" t="s">
        <v>458</v>
      </c>
      <c r="H295" s="104">
        <v>3</v>
      </c>
      <c r="I295" s="62" t="s">
        <v>155</v>
      </c>
      <c r="J295" s="154">
        <v>165000</v>
      </c>
      <c r="K295" s="50"/>
      <c r="L295" s="46">
        <f>J295*H295</f>
        <v>495000</v>
      </c>
    </row>
    <row r="296" spans="2:12" x14ac:dyDescent="0.35">
      <c r="B296" s="101"/>
      <c r="C296" s="187"/>
      <c r="D296" s="187"/>
      <c r="E296" s="102"/>
      <c r="F296" s="103" t="s">
        <v>94</v>
      </c>
      <c r="G296" s="103" t="s">
        <v>459</v>
      </c>
      <c r="H296" s="104">
        <v>8</v>
      </c>
      <c r="I296" s="62" t="s">
        <v>155</v>
      </c>
      <c r="J296" s="162">
        <v>35000</v>
      </c>
      <c r="K296" s="50"/>
      <c r="L296" s="46">
        <f>J296*H296</f>
        <v>280000</v>
      </c>
    </row>
    <row r="297" spans="2:12" x14ac:dyDescent="0.35">
      <c r="B297" s="101"/>
      <c r="C297" s="187"/>
      <c r="D297" s="187"/>
      <c r="E297" s="102"/>
      <c r="F297" s="103" t="s">
        <v>94</v>
      </c>
      <c r="G297" s="103" t="s">
        <v>460</v>
      </c>
      <c r="H297" s="104">
        <v>2</v>
      </c>
      <c r="I297" s="62" t="s">
        <v>155</v>
      </c>
      <c r="J297" s="162">
        <v>35000</v>
      </c>
      <c r="K297" s="50"/>
      <c r="L297" s="46">
        <f>J297*H297</f>
        <v>70000</v>
      </c>
    </row>
    <row r="298" spans="2:12" x14ac:dyDescent="0.35">
      <c r="B298" s="258"/>
      <c r="C298" s="259" t="s">
        <v>286</v>
      </c>
      <c r="D298" s="259"/>
      <c r="E298" s="260"/>
      <c r="F298" s="261" t="s">
        <v>287</v>
      </c>
      <c r="G298" s="261"/>
      <c r="H298" s="229"/>
      <c r="I298" s="262"/>
      <c r="J298" s="154"/>
      <c r="K298" s="50"/>
      <c r="L298" s="46"/>
    </row>
    <row r="299" spans="2:12" x14ac:dyDescent="0.35">
      <c r="B299" s="101"/>
      <c r="C299" s="187"/>
      <c r="D299" s="187" t="s">
        <v>44</v>
      </c>
      <c r="E299" s="102"/>
      <c r="F299" s="103" t="s">
        <v>475</v>
      </c>
      <c r="G299" s="103"/>
      <c r="H299" s="104">
        <v>1</v>
      </c>
      <c r="I299" s="62" t="s">
        <v>105</v>
      </c>
      <c r="J299" s="154">
        <v>4750000</v>
      </c>
      <c r="K299" s="50">
        <f>J299*H299</f>
        <v>4750000</v>
      </c>
      <c r="L299" s="46"/>
    </row>
    <row r="300" spans="2:12" x14ac:dyDescent="0.35">
      <c r="B300" s="101"/>
      <c r="C300" s="187"/>
      <c r="D300" s="187"/>
      <c r="E300" s="102"/>
      <c r="F300" s="103" t="s">
        <v>94</v>
      </c>
      <c r="G300" s="103" t="s">
        <v>476</v>
      </c>
      <c r="H300" s="163">
        <v>1500</v>
      </c>
      <c r="I300" s="164" t="s">
        <v>153</v>
      </c>
      <c r="J300" s="154"/>
      <c r="K300" s="50"/>
      <c r="L300" s="46"/>
    </row>
    <row r="301" spans="2:12" x14ac:dyDescent="0.35">
      <c r="B301" s="101"/>
      <c r="C301" s="187"/>
      <c r="D301" s="187"/>
      <c r="E301" s="102"/>
      <c r="F301" s="103" t="s">
        <v>94</v>
      </c>
      <c r="G301" s="103" t="s">
        <v>477</v>
      </c>
      <c r="H301" s="163">
        <v>5.8875000000000002</v>
      </c>
      <c r="I301" s="164" t="s">
        <v>147</v>
      </c>
      <c r="J301" s="231"/>
      <c r="K301" s="231"/>
      <c r="L301" s="46"/>
    </row>
    <row r="302" spans="2:12" x14ac:dyDescent="0.35">
      <c r="B302" s="101"/>
      <c r="C302" s="187"/>
      <c r="D302" s="187"/>
      <c r="E302" s="102"/>
      <c r="F302" s="103" t="s">
        <v>94</v>
      </c>
      <c r="G302" s="103" t="s">
        <v>478</v>
      </c>
      <c r="H302" s="163">
        <v>7.96</v>
      </c>
      <c r="I302" s="164" t="s">
        <v>160</v>
      </c>
      <c r="J302" s="51"/>
      <c r="K302" s="50"/>
      <c r="L302" s="46"/>
    </row>
    <row r="303" spans="2:12" x14ac:dyDescent="0.35">
      <c r="B303" s="101"/>
      <c r="C303" s="187"/>
      <c r="D303" s="187"/>
      <c r="E303" s="102"/>
      <c r="F303" s="103" t="s">
        <v>94</v>
      </c>
      <c r="G303" s="103" t="s">
        <v>479</v>
      </c>
      <c r="H303" s="163">
        <v>20.347199999999997</v>
      </c>
      <c r="I303" s="164" t="s">
        <v>147</v>
      </c>
      <c r="J303" s="51"/>
      <c r="K303" s="50"/>
      <c r="L303" s="46"/>
    </row>
    <row r="304" spans="2:12" x14ac:dyDescent="0.35">
      <c r="B304" s="101"/>
      <c r="C304" s="187"/>
      <c r="D304" s="187"/>
      <c r="E304" s="102"/>
      <c r="F304" s="103" t="s">
        <v>94</v>
      </c>
      <c r="G304" s="103" t="s">
        <v>480</v>
      </c>
      <c r="H304" s="163">
        <v>2</v>
      </c>
      <c r="I304" s="164" t="s">
        <v>160</v>
      </c>
      <c r="J304" s="51"/>
      <c r="K304" s="50"/>
      <c r="L304" s="46"/>
    </row>
    <row r="305" spans="2:12" x14ac:dyDescent="0.35">
      <c r="B305" s="258"/>
      <c r="C305" s="259" t="s">
        <v>294</v>
      </c>
      <c r="D305" s="259"/>
      <c r="E305" s="260"/>
      <c r="F305" s="261" t="s">
        <v>250</v>
      </c>
      <c r="G305" s="261"/>
      <c r="H305" s="229"/>
      <c r="I305" s="262"/>
      <c r="J305" s="51"/>
      <c r="K305" s="50"/>
      <c r="L305" s="46"/>
    </row>
    <row r="306" spans="2:12" x14ac:dyDescent="0.35">
      <c r="B306" s="101"/>
      <c r="C306" s="187"/>
      <c r="D306" s="187" t="s">
        <v>44</v>
      </c>
      <c r="E306" s="102"/>
      <c r="F306" s="103" t="s">
        <v>295</v>
      </c>
      <c r="G306" s="103"/>
      <c r="H306" s="104">
        <v>1</v>
      </c>
      <c r="I306" s="62" t="s">
        <v>105</v>
      </c>
      <c r="J306" s="154">
        <v>7800000</v>
      </c>
      <c r="K306" s="50">
        <f>J306*H306</f>
        <v>7800000</v>
      </c>
      <c r="L306" s="46"/>
    </row>
    <row r="307" spans="2:12" x14ac:dyDescent="0.35">
      <c r="B307" s="101"/>
      <c r="C307" s="187"/>
      <c r="D307" s="187"/>
      <c r="E307" s="102"/>
      <c r="F307" s="103" t="s">
        <v>94</v>
      </c>
      <c r="G307" s="103" t="s">
        <v>296</v>
      </c>
      <c r="H307" s="163">
        <v>3</v>
      </c>
      <c r="I307" s="164" t="s">
        <v>93</v>
      </c>
      <c r="J307" s="154"/>
      <c r="K307" s="263"/>
      <c r="L307" s="46"/>
    </row>
    <row r="308" spans="2:12" x14ac:dyDescent="0.35">
      <c r="B308" s="101" t="s">
        <v>95</v>
      </c>
      <c r="C308" s="187"/>
      <c r="D308" s="187"/>
      <c r="E308" s="102" t="s">
        <v>297</v>
      </c>
      <c r="F308" s="103"/>
      <c r="G308" s="103"/>
      <c r="H308" s="104"/>
      <c r="I308" s="62"/>
      <c r="J308" s="154"/>
      <c r="K308" s="50"/>
      <c r="L308" s="46"/>
    </row>
    <row r="309" spans="2:12" x14ac:dyDescent="0.35">
      <c r="B309" s="101"/>
      <c r="C309" s="187" t="s">
        <v>298</v>
      </c>
      <c r="D309" s="187"/>
      <c r="E309" s="102"/>
      <c r="F309" s="103" t="s">
        <v>299</v>
      </c>
      <c r="G309" s="103"/>
      <c r="H309" s="104"/>
      <c r="I309" s="62"/>
      <c r="J309" s="161"/>
      <c r="K309" s="208"/>
      <c r="L309" s="46"/>
    </row>
    <row r="310" spans="2:12" x14ac:dyDescent="0.35">
      <c r="B310" s="258"/>
      <c r="C310" s="259"/>
      <c r="D310" s="259" t="s">
        <v>44</v>
      </c>
      <c r="E310" s="260"/>
      <c r="F310" s="261" t="s">
        <v>300</v>
      </c>
      <c r="G310" s="261"/>
      <c r="H310" s="229">
        <v>1</v>
      </c>
      <c r="I310" s="262" t="s">
        <v>105</v>
      </c>
      <c r="J310" s="231">
        <v>3000000</v>
      </c>
      <c r="K310" s="50">
        <f>J310*H310</f>
        <v>3000000</v>
      </c>
      <c r="L310" s="46"/>
    </row>
    <row r="311" spans="2:12" x14ac:dyDescent="0.35">
      <c r="B311" s="101"/>
      <c r="C311" s="187"/>
      <c r="D311" s="187"/>
      <c r="E311" s="102"/>
      <c r="F311" s="103" t="s">
        <v>94</v>
      </c>
      <c r="G311" s="103" t="s">
        <v>481</v>
      </c>
      <c r="H311" s="163">
        <v>22.608000000000001</v>
      </c>
      <c r="I311" s="164" t="s">
        <v>147</v>
      </c>
      <c r="J311" s="161"/>
      <c r="K311" s="153"/>
      <c r="L311" s="46"/>
    </row>
    <row r="312" spans="2:12" x14ac:dyDescent="0.35">
      <c r="B312" s="101"/>
      <c r="C312" s="187"/>
      <c r="D312" s="187"/>
      <c r="E312" s="102"/>
      <c r="F312" s="103" t="s">
        <v>94</v>
      </c>
      <c r="G312" s="103" t="s">
        <v>482</v>
      </c>
      <c r="H312" s="163">
        <v>11.304</v>
      </c>
      <c r="I312" s="164" t="s">
        <v>147</v>
      </c>
      <c r="J312" s="161"/>
      <c r="K312" s="50"/>
      <c r="L312" s="46"/>
    </row>
    <row r="313" spans="2:12" x14ac:dyDescent="0.35">
      <c r="B313" s="101"/>
      <c r="C313" s="187"/>
      <c r="D313" s="187"/>
      <c r="E313" s="102"/>
      <c r="F313" s="103" t="s">
        <v>94</v>
      </c>
      <c r="G313" s="103" t="s">
        <v>483</v>
      </c>
      <c r="H313" s="163">
        <v>11.454839999999999</v>
      </c>
      <c r="I313" s="164" t="s">
        <v>147</v>
      </c>
      <c r="J313" s="161"/>
      <c r="K313" s="208"/>
      <c r="L313" s="46"/>
    </row>
    <row r="314" spans="2:12" x14ac:dyDescent="0.35">
      <c r="B314" s="101"/>
      <c r="C314" s="187"/>
      <c r="D314" s="187"/>
      <c r="E314" s="102"/>
      <c r="F314" s="103" t="s">
        <v>94</v>
      </c>
      <c r="G314" s="103" t="s">
        <v>484</v>
      </c>
      <c r="H314" s="163">
        <v>600</v>
      </c>
      <c r="I314" s="164" t="s">
        <v>153</v>
      </c>
      <c r="J314" s="152"/>
      <c r="K314" s="208"/>
      <c r="L314" s="46"/>
    </row>
    <row r="315" spans="2:12" x14ac:dyDescent="0.35">
      <c r="B315" s="101"/>
      <c r="C315" s="187"/>
      <c r="D315" s="187"/>
      <c r="E315" s="102"/>
      <c r="F315" s="103" t="s">
        <v>94</v>
      </c>
      <c r="G315" s="103" t="s">
        <v>485</v>
      </c>
      <c r="H315" s="163">
        <v>200</v>
      </c>
      <c r="I315" s="164" t="s">
        <v>153</v>
      </c>
      <c r="J315" s="51"/>
      <c r="K315" s="208"/>
      <c r="L315" s="46"/>
    </row>
    <row r="316" spans="2:12" x14ac:dyDescent="0.35">
      <c r="B316" s="101"/>
      <c r="C316" s="187"/>
      <c r="D316" s="187"/>
      <c r="E316" s="102"/>
      <c r="F316" s="103" t="s">
        <v>94</v>
      </c>
      <c r="G316" s="103" t="s">
        <v>486</v>
      </c>
      <c r="H316" s="163">
        <v>15.071999999999997</v>
      </c>
      <c r="I316" s="164" t="s">
        <v>147</v>
      </c>
      <c r="J316" s="51"/>
      <c r="K316" s="208"/>
      <c r="L316" s="46"/>
    </row>
    <row r="317" spans="2:12" x14ac:dyDescent="0.35">
      <c r="B317" s="258"/>
      <c r="C317" s="259"/>
      <c r="D317" s="259" t="s">
        <v>47</v>
      </c>
      <c r="E317" s="260"/>
      <c r="F317" s="261" t="s">
        <v>310</v>
      </c>
      <c r="G317" s="261"/>
      <c r="H317" s="229">
        <v>1</v>
      </c>
      <c r="I317" s="262" t="s">
        <v>105</v>
      </c>
      <c r="J317" s="154">
        <v>3000000</v>
      </c>
      <c r="K317" s="50">
        <f>J317*H317</f>
        <v>3000000</v>
      </c>
      <c r="L317" s="46"/>
    </row>
    <row r="318" spans="2:12" x14ac:dyDescent="0.35">
      <c r="B318" s="101"/>
      <c r="C318" s="187"/>
      <c r="D318" s="187"/>
      <c r="E318" s="102"/>
      <c r="F318" s="103" t="s">
        <v>94</v>
      </c>
      <c r="G318" s="103" t="s">
        <v>481</v>
      </c>
      <c r="H318" s="163">
        <v>22.608000000000001</v>
      </c>
      <c r="I318" s="164" t="s">
        <v>147</v>
      </c>
      <c r="J318" s="161"/>
      <c r="K318" s="161"/>
      <c r="L318" s="46"/>
    </row>
    <row r="319" spans="2:12" x14ac:dyDescent="0.35">
      <c r="B319" s="101"/>
      <c r="C319" s="187"/>
      <c r="D319" s="187"/>
      <c r="E319" s="102"/>
      <c r="F319" s="103" t="s">
        <v>94</v>
      </c>
      <c r="G319" s="103" t="s">
        <v>482</v>
      </c>
      <c r="H319" s="163">
        <v>11.304</v>
      </c>
      <c r="I319" s="164" t="s">
        <v>147</v>
      </c>
      <c r="J319" s="161"/>
      <c r="K319" s="208"/>
      <c r="L319" s="46"/>
    </row>
    <row r="320" spans="2:12" x14ac:dyDescent="0.35">
      <c r="B320" s="101"/>
      <c r="C320" s="191"/>
      <c r="D320" s="191"/>
      <c r="E320" s="108"/>
      <c r="F320" s="109" t="s">
        <v>94</v>
      </c>
      <c r="G320" s="109" t="s">
        <v>483</v>
      </c>
      <c r="H320" s="163">
        <v>11.454839999999999</v>
      </c>
      <c r="I320" s="167" t="s">
        <v>147</v>
      </c>
      <c r="J320" s="161"/>
      <c r="K320" s="208"/>
      <c r="L320" s="46"/>
    </row>
    <row r="321" spans="2:12" x14ac:dyDescent="0.35">
      <c r="B321" s="116"/>
      <c r="C321" s="191"/>
      <c r="D321" s="191"/>
      <c r="E321" s="108"/>
      <c r="F321" s="109" t="s">
        <v>94</v>
      </c>
      <c r="G321" s="109" t="s">
        <v>484</v>
      </c>
      <c r="H321" s="163">
        <v>600</v>
      </c>
      <c r="I321" s="167" t="s">
        <v>153</v>
      </c>
      <c r="J321" s="152"/>
      <c r="K321" s="208"/>
      <c r="L321" s="46"/>
    </row>
    <row r="322" spans="2:12" x14ac:dyDescent="0.35">
      <c r="B322" s="116"/>
      <c r="C322" s="191"/>
      <c r="D322" s="191"/>
      <c r="E322" s="108"/>
      <c r="F322" s="109" t="s">
        <v>94</v>
      </c>
      <c r="G322" s="109" t="s">
        <v>485</v>
      </c>
      <c r="H322" s="163">
        <v>200</v>
      </c>
      <c r="I322" s="167" t="s">
        <v>153</v>
      </c>
      <c r="J322" s="51"/>
      <c r="K322" s="208"/>
      <c r="L322" s="46"/>
    </row>
    <row r="323" spans="2:12" x14ac:dyDescent="0.35">
      <c r="B323" s="116"/>
      <c r="C323" s="191"/>
      <c r="D323" s="191"/>
      <c r="E323" s="108"/>
      <c r="F323" s="109" t="s">
        <v>94</v>
      </c>
      <c r="G323" s="109" t="s">
        <v>486</v>
      </c>
      <c r="H323" s="163">
        <v>15.071999999999997</v>
      </c>
      <c r="I323" s="167" t="s">
        <v>147</v>
      </c>
      <c r="J323" s="51"/>
      <c r="K323" s="208"/>
      <c r="L323" s="46"/>
    </row>
    <row r="324" spans="2:12" x14ac:dyDescent="0.35">
      <c r="B324" s="116" t="s">
        <v>99</v>
      </c>
      <c r="C324" s="191"/>
      <c r="D324" s="191"/>
      <c r="E324" s="108" t="s">
        <v>120</v>
      </c>
      <c r="F324" s="109"/>
      <c r="G324" s="109"/>
      <c r="H324" s="104"/>
      <c r="I324" s="113"/>
      <c r="J324" s="152"/>
      <c r="K324" s="208"/>
      <c r="L324" s="46"/>
    </row>
    <row r="325" spans="2:12" x14ac:dyDescent="0.35">
      <c r="B325" s="116"/>
      <c r="C325" s="191" t="s">
        <v>311</v>
      </c>
      <c r="D325" s="191"/>
      <c r="E325" s="108"/>
      <c r="F325" s="109" t="s">
        <v>312</v>
      </c>
      <c r="G325" s="109"/>
      <c r="H325" s="104"/>
      <c r="I325" s="113"/>
      <c r="J325" s="153"/>
      <c r="K325" s="208"/>
      <c r="L325" s="46"/>
    </row>
    <row r="326" spans="2:12" x14ac:dyDescent="0.35">
      <c r="B326" s="264"/>
      <c r="C326" s="226"/>
      <c r="D326" s="226" t="s">
        <v>44</v>
      </c>
      <c r="E326" s="227"/>
      <c r="F326" s="228" t="s">
        <v>313</v>
      </c>
      <c r="G326" s="228"/>
      <c r="H326" s="229">
        <v>2</v>
      </c>
      <c r="I326" s="230" t="s">
        <v>105</v>
      </c>
      <c r="J326" s="154">
        <v>800000</v>
      </c>
      <c r="K326" s="50">
        <f>J326*H326</f>
        <v>1600000</v>
      </c>
      <c r="L326" s="46"/>
    </row>
    <row r="327" spans="2:12" x14ac:dyDescent="0.35">
      <c r="B327" s="264"/>
      <c r="C327" s="226"/>
      <c r="D327" s="226"/>
      <c r="E327" s="227"/>
      <c r="F327" s="228" t="s">
        <v>94</v>
      </c>
      <c r="G327" s="228" t="s">
        <v>487</v>
      </c>
      <c r="H327" s="156">
        <v>2</v>
      </c>
      <c r="I327" s="232" t="s">
        <v>155</v>
      </c>
      <c r="J327" s="154"/>
      <c r="K327" s="50"/>
      <c r="L327" s="46"/>
    </row>
    <row r="328" spans="2:12" x14ac:dyDescent="0.35">
      <c r="B328" s="264"/>
      <c r="C328" s="226"/>
      <c r="D328" s="226"/>
      <c r="E328" s="227"/>
      <c r="F328" s="228" t="s">
        <v>94</v>
      </c>
      <c r="G328" s="228" t="s">
        <v>464</v>
      </c>
      <c r="H328" s="156">
        <v>16</v>
      </c>
      <c r="I328" s="232" t="s">
        <v>155</v>
      </c>
      <c r="J328" s="154"/>
      <c r="K328" s="50"/>
      <c r="L328" s="46"/>
    </row>
    <row r="329" spans="2:12" x14ac:dyDescent="0.35">
      <c r="B329" s="264"/>
      <c r="C329" s="226"/>
      <c r="D329" s="226"/>
      <c r="E329" s="227"/>
      <c r="F329" s="228" t="s">
        <v>94</v>
      </c>
      <c r="G329" s="228" t="s">
        <v>488</v>
      </c>
      <c r="H329" s="156">
        <v>1000</v>
      </c>
      <c r="I329" s="232" t="s">
        <v>153</v>
      </c>
      <c r="J329" s="154"/>
      <c r="K329" s="50"/>
      <c r="L329" s="46"/>
    </row>
    <row r="330" spans="2:12" x14ac:dyDescent="0.35">
      <c r="B330" s="116"/>
      <c r="C330" s="191"/>
      <c r="D330" s="191" t="s">
        <v>47</v>
      </c>
      <c r="E330" s="108"/>
      <c r="F330" s="109" t="s">
        <v>314</v>
      </c>
      <c r="G330" s="109"/>
      <c r="H330" s="104">
        <v>2</v>
      </c>
      <c r="I330" s="113" t="s">
        <v>155</v>
      </c>
      <c r="J330" s="152">
        <v>1500000</v>
      </c>
      <c r="K330" s="50">
        <f>J330*H330</f>
        <v>3000000</v>
      </c>
      <c r="L330" s="46"/>
    </row>
    <row r="331" spans="2:12" x14ac:dyDescent="0.35">
      <c r="B331" s="116"/>
      <c r="C331" s="191" t="s">
        <v>315</v>
      </c>
      <c r="D331" s="191"/>
      <c r="E331" s="108"/>
      <c r="F331" s="109" t="s">
        <v>316</v>
      </c>
      <c r="G331" s="109"/>
      <c r="H331" s="104"/>
      <c r="I331" s="113"/>
      <c r="J331" s="152"/>
      <c r="K331" s="208"/>
      <c r="L331" s="46"/>
    </row>
    <row r="332" spans="2:12" x14ac:dyDescent="0.35">
      <c r="B332" s="116"/>
      <c r="C332" s="191"/>
      <c r="D332" s="191" t="s">
        <v>44</v>
      </c>
      <c r="E332" s="108"/>
      <c r="F332" s="109" t="s">
        <v>317</v>
      </c>
      <c r="G332" s="109"/>
      <c r="H332" s="104">
        <v>22</v>
      </c>
      <c r="I332" s="113" t="s">
        <v>257</v>
      </c>
      <c r="J332" s="161">
        <v>200000</v>
      </c>
      <c r="K332" s="50">
        <f>J332*H332</f>
        <v>4400000</v>
      </c>
      <c r="L332" s="46"/>
    </row>
    <row r="333" spans="2:12" x14ac:dyDescent="0.35">
      <c r="B333" s="116"/>
      <c r="C333" s="191"/>
      <c r="D333" s="191"/>
      <c r="E333" s="108"/>
      <c r="F333" s="109" t="s">
        <v>94</v>
      </c>
      <c r="G333" s="109" t="s">
        <v>489</v>
      </c>
      <c r="H333" s="104">
        <v>3400</v>
      </c>
      <c r="I333" s="113" t="s">
        <v>153</v>
      </c>
      <c r="J333" s="161">
        <v>462</v>
      </c>
      <c r="K333" s="223"/>
      <c r="L333" s="46">
        <f>J333*H333</f>
        <v>1570800</v>
      </c>
    </row>
    <row r="334" spans="2:12" x14ac:dyDescent="0.35">
      <c r="B334" s="116"/>
      <c r="C334" s="191"/>
      <c r="D334" s="191"/>
      <c r="E334" s="108"/>
      <c r="F334" s="109" t="s">
        <v>94</v>
      </c>
      <c r="G334" s="109" t="s">
        <v>490</v>
      </c>
      <c r="H334" s="104">
        <v>8</v>
      </c>
      <c r="I334" s="113" t="s">
        <v>155</v>
      </c>
      <c r="J334" s="161">
        <v>120000</v>
      </c>
      <c r="K334" s="223"/>
      <c r="L334" s="46">
        <f>J334*H334</f>
        <v>960000</v>
      </c>
    </row>
    <row r="335" spans="2:12" x14ac:dyDescent="0.35">
      <c r="B335" s="116"/>
      <c r="C335" s="191"/>
      <c r="D335" s="191"/>
      <c r="E335" s="108"/>
      <c r="F335" s="109" t="s">
        <v>94</v>
      </c>
      <c r="G335" s="109" t="s">
        <v>467</v>
      </c>
      <c r="H335" s="104">
        <v>4</v>
      </c>
      <c r="I335" s="113" t="s">
        <v>155</v>
      </c>
      <c r="J335" s="161">
        <v>195000</v>
      </c>
      <c r="K335" s="223"/>
      <c r="L335" s="46">
        <f>J335*H335</f>
        <v>780000</v>
      </c>
    </row>
    <row r="336" spans="2:12" x14ac:dyDescent="0.35">
      <c r="B336" s="116"/>
      <c r="C336" s="191"/>
      <c r="D336" s="191"/>
      <c r="E336" s="108"/>
      <c r="F336" s="109" t="s">
        <v>94</v>
      </c>
      <c r="G336" s="109" t="s">
        <v>460</v>
      </c>
      <c r="H336" s="104">
        <v>4</v>
      </c>
      <c r="I336" s="113" t="s">
        <v>155</v>
      </c>
      <c r="J336" s="161">
        <v>35000</v>
      </c>
      <c r="K336" s="223"/>
      <c r="L336" s="46">
        <f>J336*H336</f>
        <v>140000</v>
      </c>
    </row>
    <row r="337" spans="2:12" x14ac:dyDescent="0.35">
      <c r="B337" s="116"/>
      <c r="C337" s="191"/>
      <c r="D337" s="191"/>
      <c r="E337" s="108"/>
      <c r="F337" s="109" t="s">
        <v>94</v>
      </c>
      <c r="G337" s="109" t="s">
        <v>491</v>
      </c>
      <c r="H337" s="104">
        <v>600</v>
      </c>
      <c r="I337" s="113" t="s">
        <v>153</v>
      </c>
      <c r="J337" s="152">
        <v>375</v>
      </c>
      <c r="K337" s="208"/>
      <c r="L337" s="46">
        <f>J337*H337</f>
        <v>225000</v>
      </c>
    </row>
    <row r="338" spans="2:12" x14ac:dyDescent="0.35">
      <c r="B338" s="47"/>
      <c r="C338" s="183"/>
      <c r="D338" s="24"/>
      <c r="G338" s="22"/>
      <c r="I338" s="22"/>
      <c r="J338" s="49"/>
      <c r="K338" s="29"/>
      <c r="L338" s="51"/>
    </row>
    <row r="339" spans="2:12" x14ac:dyDescent="0.35">
      <c r="B339" s="47"/>
      <c r="C339" s="183"/>
      <c r="D339" s="24"/>
      <c r="G339" s="22"/>
      <c r="I339" s="22"/>
      <c r="J339" s="49"/>
      <c r="K339" s="29"/>
      <c r="L339" s="51"/>
    </row>
    <row r="340" spans="2:12" x14ac:dyDescent="0.35">
      <c r="B340" s="47"/>
      <c r="C340" s="183"/>
      <c r="D340" s="24"/>
      <c r="G340" s="22"/>
      <c r="I340" s="22"/>
      <c r="J340" s="29"/>
      <c r="K340" s="29"/>
      <c r="L340" s="51"/>
    </row>
    <row r="341" spans="2:12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29125000</v>
      </c>
      <c r="L341" s="7">
        <f>SUM(L288:L340)</f>
        <v>5576800</v>
      </c>
    </row>
    <row r="342" spans="2:12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5" t="s">
        <v>21</v>
      </c>
      <c r="L342" s="36" t="s">
        <v>22</v>
      </c>
    </row>
    <row r="343" spans="2:12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2" x14ac:dyDescent="0.35">
      <c r="B344" s="37"/>
      <c r="C344" s="1"/>
      <c r="D344" s="1"/>
      <c r="E344" s="38"/>
      <c r="F344" s="38"/>
      <c r="G344" s="38"/>
      <c r="H344" s="1"/>
      <c r="I344" s="1"/>
      <c r="J344" s="1"/>
      <c r="K344" s="1"/>
      <c r="L344" s="19"/>
    </row>
    <row r="345" spans="2:12" x14ac:dyDescent="0.35">
      <c r="B345" s="28" t="s">
        <v>6</v>
      </c>
      <c r="C345" s="27"/>
      <c r="D345" s="27"/>
      <c r="E345" s="26"/>
      <c r="F345" s="26"/>
      <c r="G345" s="5"/>
      <c r="K345" s="271" t="s">
        <v>423</v>
      </c>
      <c r="L345" s="272"/>
    </row>
    <row r="346" spans="2:12" x14ac:dyDescent="0.35">
      <c r="B346" s="28">
        <v>1</v>
      </c>
      <c r="C346" s="27"/>
      <c r="D346" s="27"/>
      <c r="E346" s="26" t="s">
        <v>7</v>
      </c>
      <c r="F346" s="26"/>
      <c r="G346" s="5"/>
      <c r="K346" s="271" t="s">
        <v>27</v>
      </c>
      <c r="L346" s="272"/>
    </row>
    <row r="347" spans="2:12" x14ac:dyDescent="0.35">
      <c r="B347" s="39"/>
      <c r="C347" s="27"/>
      <c r="D347" s="27"/>
      <c r="E347" s="26"/>
      <c r="F347" s="26"/>
      <c r="G347" s="5"/>
      <c r="J347" s="25"/>
      <c r="K347" s="25"/>
      <c r="L347" s="24"/>
    </row>
    <row r="348" spans="2:12" x14ac:dyDescent="0.35">
      <c r="B348" s="28"/>
      <c r="C348" s="27"/>
      <c r="D348" s="27"/>
      <c r="E348" s="26"/>
      <c r="F348" s="26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L351" s="22"/>
    </row>
    <row r="352" spans="2:12" x14ac:dyDescent="0.35">
      <c r="B352" s="45"/>
      <c r="E352" s="5"/>
      <c r="F352" s="5"/>
      <c r="G352" s="5"/>
      <c r="J352" s="40"/>
      <c r="K352" s="273" t="s">
        <v>35</v>
      </c>
      <c r="L352" s="274"/>
    </row>
    <row r="353" spans="2:12" x14ac:dyDescent="0.35">
      <c r="B353" s="45"/>
      <c r="K353" s="277" t="s">
        <v>36</v>
      </c>
      <c r="L353" s="278"/>
    </row>
    <row r="354" spans="2:12" x14ac:dyDescent="0.35">
      <c r="B354" s="275"/>
      <c r="C354" s="276"/>
      <c r="D354" s="276"/>
      <c r="E354" s="41"/>
      <c r="F354" s="41"/>
      <c r="G354" s="41"/>
      <c r="H354" s="2"/>
      <c r="I354" s="2"/>
      <c r="J354" s="2"/>
      <c r="K354" s="2"/>
      <c r="L354" s="21"/>
    </row>
    <row r="355" spans="2:12" x14ac:dyDescent="0.35">
      <c r="B355" s="47"/>
      <c r="C355" s="183"/>
      <c r="D355" s="48"/>
      <c r="G355" s="22"/>
      <c r="H355" s="1"/>
      <c r="I355" s="1"/>
      <c r="J355" s="43"/>
      <c r="K355" s="30"/>
      <c r="L355" s="44"/>
    </row>
    <row r="356" spans="2:12" x14ac:dyDescent="0.35">
      <c r="B356" s="116"/>
      <c r="C356" s="191"/>
      <c r="D356" s="191"/>
      <c r="E356" s="108"/>
      <c r="F356" s="109" t="s">
        <v>94</v>
      </c>
      <c r="G356" s="109" t="s">
        <v>492</v>
      </c>
      <c r="H356" s="104">
        <v>6</v>
      </c>
      <c r="I356" s="113" t="s">
        <v>155</v>
      </c>
      <c r="J356" s="154">
        <v>55000</v>
      </c>
      <c r="K356" s="50"/>
      <c r="L356" s="46">
        <f>J356*H356</f>
        <v>330000</v>
      </c>
    </row>
    <row r="357" spans="2:12" x14ac:dyDescent="0.35">
      <c r="B357" s="116"/>
      <c r="C357" s="191"/>
      <c r="D357" s="191"/>
      <c r="E357" s="108"/>
      <c r="F357" s="109" t="s">
        <v>94</v>
      </c>
      <c r="G357" s="109" t="s">
        <v>464</v>
      </c>
      <c r="H357" s="104">
        <v>12</v>
      </c>
      <c r="I357" s="113" t="s">
        <v>155</v>
      </c>
      <c r="J357" s="162">
        <v>35000</v>
      </c>
      <c r="K357" s="50"/>
      <c r="L357" s="46">
        <f>J357*H357</f>
        <v>420000</v>
      </c>
    </row>
    <row r="358" spans="2:12" x14ac:dyDescent="0.35">
      <c r="B358" s="116"/>
      <c r="C358" s="191"/>
      <c r="D358" s="191" t="s">
        <v>47</v>
      </c>
      <c r="E358" s="108"/>
      <c r="F358" s="109" t="s">
        <v>323</v>
      </c>
      <c r="G358" s="109"/>
      <c r="H358" s="104">
        <v>5</v>
      </c>
      <c r="I358" s="113" t="s">
        <v>257</v>
      </c>
      <c r="J358" s="154">
        <v>200000</v>
      </c>
      <c r="K358" s="50">
        <f>J358*H358</f>
        <v>1000000</v>
      </c>
      <c r="L358" s="46"/>
    </row>
    <row r="359" spans="2:12" x14ac:dyDescent="0.35">
      <c r="B359" s="116"/>
      <c r="C359" s="191"/>
      <c r="D359" s="191"/>
      <c r="E359" s="108"/>
      <c r="F359" s="109" t="s">
        <v>94</v>
      </c>
      <c r="G359" s="109" t="s">
        <v>489</v>
      </c>
      <c r="H359" s="104">
        <v>100</v>
      </c>
      <c r="I359" s="113" t="s">
        <v>153</v>
      </c>
      <c r="J359" s="162">
        <v>462</v>
      </c>
      <c r="K359" s="51"/>
      <c r="L359" s="46">
        <f>J359*H359</f>
        <v>46200</v>
      </c>
    </row>
    <row r="360" spans="2:12" x14ac:dyDescent="0.35">
      <c r="B360" s="116"/>
      <c r="C360" s="191"/>
      <c r="D360" s="191"/>
      <c r="E360" s="108"/>
      <c r="F360" s="109" t="s">
        <v>94</v>
      </c>
      <c r="G360" s="109" t="s">
        <v>490</v>
      </c>
      <c r="H360" s="104">
        <v>2</v>
      </c>
      <c r="I360" s="113" t="s">
        <v>155</v>
      </c>
      <c r="J360" s="154">
        <v>120000</v>
      </c>
      <c r="K360" s="50"/>
      <c r="L360" s="46">
        <f t="shared" ref="L360:L402" si="14">J360*H360</f>
        <v>240000</v>
      </c>
    </row>
    <row r="361" spans="2:12" x14ac:dyDescent="0.35">
      <c r="B361" s="116"/>
      <c r="C361" s="191"/>
      <c r="D361" s="191"/>
      <c r="E361" s="108"/>
      <c r="F361" s="109" t="s">
        <v>94</v>
      </c>
      <c r="G361" s="109" t="s">
        <v>493</v>
      </c>
      <c r="H361" s="104">
        <v>1.413</v>
      </c>
      <c r="I361" s="113" t="s">
        <v>147</v>
      </c>
      <c r="J361" s="155">
        <v>145000</v>
      </c>
      <c r="K361" s="247"/>
      <c r="L361" s="46">
        <f t="shared" si="14"/>
        <v>204885</v>
      </c>
    </row>
    <row r="362" spans="2:12" x14ac:dyDescent="0.35">
      <c r="B362" s="116"/>
      <c r="C362" s="191"/>
      <c r="D362" s="191"/>
      <c r="E362" s="108"/>
      <c r="F362" s="109" t="s">
        <v>94</v>
      </c>
      <c r="G362" s="109" t="s">
        <v>494</v>
      </c>
      <c r="H362" s="104">
        <v>2</v>
      </c>
      <c r="I362" s="113" t="s">
        <v>155</v>
      </c>
      <c r="J362" s="154">
        <v>35000</v>
      </c>
      <c r="K362" s="50"/>
      <c r="L362" s="46">
        <f t="shared" si="14"/>
        <v>70000</v>
      </c>
    </row>
    <row r="363" spans="2:12" x14ac:dyDescent="0.35">
      <c r="B363" s="116"/>
      <c r="C363" s="191"/>
      <c r="D363" s="191"/>
      <c r="E363" s="108"/>
      <c r="F363" s="109" t="s">
        <v>94</v>
      </c>
      <c r="G363" s="109" t="s">
        <v>495</v>
      </c>
      <c r="H363" s="104">
        <v>1</v>
      </c>
      <c r="I363" s="113" t="s">
        <v>155</v>
      </c>
      <c r="J363" s="162">
        <v>60000</v>
      </c>
      <c r="K363" s="50"/>
      <c r="L363" s="46">
        <f t="shared" si="14"/>
        <v>60000</v>
      </c>
    </row>
    <row r="364" spans="2:12" x14ac:dyDescent="0.35">
      <c r="B364" s="116"/>
      <c r="C364" s="191"/>
      <c r="D364" s="191"/>
      <c r="E364" s="108"/>
      <c r="F364" s="109" t="s">
        <v>94</v>
      </c>
      <c r="G364" s="109" t="s">
        <v>491</v>
      </c>
      <c r="H364" s="104">
        <v>200</v>
      </c>
      <c r="I364" s="113" t="s">
        <v>153</v>
      </c>
      <c r="J364" s="162">
        <v>375</v>
      </c>
      <c r="K364" s="50"/>
      <c r="L364" s="46">
        <f t="shared" si="14"/>
        <v>75000</v>
      </c>
    </row>
    <row r="365" spans="2:12" x14ac:dyDescent="0.35">
      <c r="B365" s="116"/>
      <c r="C365" s="191"/>
      <c r="D365" s="191"/>
      <c r="E365" s="108"/>
      <c r="F365" s="109" t="s">
        <v>94</v>
      </c>
      <c r="G365" s="109" t="s">
        <v>492</v>
      </c>
      <c r="H365" s="104">
        <v>2</v>
      </c>
      <c r="I365" s="113" t="s">
        <v>155</v>
      </c>
      <c r="J365" s="154">
        <v>55000</v>
      </c>
      <c r="K365" s="50"/>
      <c r="L365" s="46">
        <f t="shared" si="14"/>
        <v>110000</v>
      </c>
    </row>
    <row r="366" spans="2:12" x14ac:dyDescent="0.35">
      <c r="B366" s="116"/>
      <c r="C366" s="191"/>
      <c r="D366" s="191" t="s">
        <v>49</v>
      </c>
      <c r="E366" s="108"/>
      <c r="F366" s="109" t="s">
        <v>325</v>
      </c>
      <c r="G366" s="109"/>
      <c r="H366" s="104">
        <v>5</v>
      </c>
      <c r="I366" s="113" t="s">
        <v>257</v>
      </c>
      <c r="J366" s="154">
        <v>200000</v>
      </c>
      <c r="K366" s="50">
        <f>J366*H366</f>
        <v>1000000</v>
      </c>
      <c r="L366" s="46"/>
    </row>
    <row r="367" spans="2:12" x14ac:dyDescent="0.35">
      <c r="B367" s="116"/>
      <c r="C367" s="191"/>
      <c r="D367" s="191"/>
      <c r="E367" s="108"/>
      <c r="F367" s="109" t="s">
        <v>94</v>
      </c>
      <c r="G367" s="109" t="s">
        <v>489</v>
      </c>
      <c r="H367" s="104">
        <v>100</v>
      </c>
      <c r="I367" s="113" t="s">
        <v>153</v>
      </c>
      <c r="J367" s="162">
        <v>462</v>
      </c>
      <c r="K367" s="50"/>
      <c r="L367" s="46">
        <f t="shared" si="14"/>
        <v>46200</v>
      </c>
    </row>
    <row r="368" spans="2:12" x14ac:dyDescent="0.35">
      <c r="B368" s="116"/>
      <c r="C368" s="191"/>
      <c r="D368" s="191"/>
      <c r="E368" s="108"/>
      <c r="F368" s="109" t="s">
        <v>94</v>
      </c>
      <c r="G368" s="109" t="s">
        <v>490</v>
      </c>
      <c r="H368" s="104">
        <v>2</v>
      </c>
      <c r="I368" s="113" t="s">
        <v>155</v>
      </c>
      <c r="J368" s="154">
        <v>120000</v>
      </c>
      <c r="K368" s="231"/>
      <c r="L368" s="46">
        <f t="shared" si="14"/>
        <v>240000</v>
      </c>
    </row>
    <row r="369" spans="2:12" x14ac:dyDescent="0.35">
      <c r="B369" s="116"/>
      <c r="C369" s="191"/>
      <c r="D369" s="191"/>
      <c r="E369" s="108"/>
      <c r="F369" s="109" t="s">
        <v>94</v>
      </c>
      <c r="G369" s="109" t="s">
        <v>493</v>
      </c>
      <c r="H369" s="104">
        <v>1.413</v>
      </c>
      <c r="I369" s="113" t="s">
        <v>147</v>
      </c>
      <c r="J369" s="155">
        <v>145000</v>
      </c>
      <c r="K369" s="208"/>
      <c r="L369" s="46">
        <f t="shared" si="14"/>
        <v>204885</v>
      </c>
    </row>
    <row r="370" spans="2:12" x14ac:dyDescent="0.35">
      <c r="B370" s="116"/>
      <c r="C370" s="191"/>
      <c r="D370" s="191"/>
      <c r="E370" s="108"/>
      <c r="F370" s="109" t="s">
        <v>94</v>
      </c>
      <c r="G370" s="109" t="s">
        <v>494</v>
      </c>
      <c r="H370" s="104">
        <v>4</v>
      </c>
      <c r="I370" s="113" t="s">
        <v>155</v>
      </c>
      <c r="J370" s="154">
        <v>35000</v>
      </c>
      <c r="K370" s="208"/>
      <c r="L370" s="46">
        <f t="shared" si="14"/>
        <v>140000</v>
      </c>
    </row>
    <row r="371" spans="2:12" x14ac:dyDescent="0.35">
      <c r="B371" s="116"/>
      <c r="C371" s="191"/>
      <c r="D371" s="191"/>
      <c r="E371" s="108"/>
      <c r="F371" s="109" t="s">
        <v>94</v>
      </c>
      <c r="G371" s="109" t="s">
        <v>495</v>
      </c>
      <c r="H371" s="104">
        <v>2</v>
      </c>
      <c r="I371" s="113" t="s">
        <v>155</v>
      </c>
      <c r="J371" s="162">
        <v>60000</v>
      </c>
      <c r="K371" s="208"/>
      <c r="L371" s="46">
        <f t="shared" si="14"/>
        <v>120000</v>
      </c>
    </row>
    <row r="372" spans="2:12" x14ac:dyDescent="0.35">
      <c r="B372" s="116"/>
      <c r="C372" s="191"/>
      <c r="D372" s="191"/>
      <c r="E372" s="108"/>
      <c r="F372" s="109" t="s">
        <v>94</v>
      </c>
      <c r="G372" s="109" t="s">
        <v>491</v>
      </c>
      <c r="H372" s="104">
        <v>200</v>
      </c>
      <c r="I372" s="113" t="s">
        <v>153</v>
      </c>
      <c r="J372" s="162">
        <v>375</v>
      </c>
      <c r="K372" s="208"/>
      <c r="L372" s="46">
        <f t="shared" si="14"/>
        <v>75000</v>
      </c>
    </row>
    <row r="373" spans="2:12" x14ac:dyDescent="0.35">
      <c r="B373" s="116"/>
      <c r="C373" s="191"/>
      <c r="D373" s="191"/>
      <c r="E373" s="108"/>
      <c r="F373" s="109" t="s">
        <v>94</v>
      </c>
      <c r="G373" s="109" t="s">
        <v>492</v>
      </c>
      <c r="H373" s="104">
        <v>2</v>
      </c>
      <c r="I373" s="113" t="s">
        <v>155</v>
      </c>
      <c r="J373" s="154">
        <v>55000</v>
      </c>
      <c r="K373" s="208"/>
      <c r="L373" s="46">
        <f t="shared" si="14"/>
        <v>110000</v>
      </c>
    </row>
    <row r="374" spans="2:12" x14ac:dyDescent="0.35">
      <c r="B374" s="116"/>
      <c r="C374" s="191"/>
      <c r="D374" s="191"/>
      <c r="E374" s="108"/>
      <c r="F374" s="109" t="s">
        <v>94</v>
      </c>
      <c r="G374" s="109" t="s">
        <v>496</v>
      </c>
      <c r="H374" s="104">
        <v>1</v>
      </c>
      <c r="I374" s="113" t="s">
        <v>155</v>
      </c>
      <c r="J374" s="152">
        <v>200000</v>
      </c>
      <c r="K374" s="153"/>
      <c r="L374" s="46">
        <f t="shared" si="14"/>
        <v>200000</v>
      </c>
    </row>
    <row r="375" spans="2:12" x14ac:dyDescent="0.35">
      <c r="B375" s="116"/>
      <c r="C375" s="191"/>
      <c r="D375" s="191" t="s">
        <v>51</v>
      </c>
      <c r="E375" s="108"/>
      <c r="F375" s="109" t="s">
        <v>329</v>
      </c>
      <c r="G375" s="109"/>
      <c r="H375" s="104">
        <v>3</v>
      </c>
      <c r="I375" s="113" t="s">
        <v>257</v>
      </c>
      <c r="J375" s="154">
        <v>200000</v>
      </c>
      <c r="K375" s="50">
        <f>J375*H375</f>
        <v>600000</v>
      </c>
      <c r="L375" s="46"/>
    </row>
    <row r="376" spans="2:12" x14ac:dyDescent="0.35">
      <c r="B376" s="116"/>
      <c r="C376" s="191"/>
      <c r="D376" s="191"/>
      <c r="E376" s="108"/>
      <c r="F376" s="109" t="s">
        <v>94</v>
      </c>
      <c r="G376" s="109" t="s">
        <v>489</v>
      </c>
      <c r="H376" s="104">
        <v>100</v>
      </c>
      <c r="I376" s="113" t="s">
        <v>153</v>
      </c>
      <c r="J376" s="162">
        <v>462</v>
      </c>
      <c r="K376" s="208"/>
      <c r="L376" s="46">
        <f t="shared" si="14"/>
        <v>46200</v>
      </c>
    </row>
    <row r="377" spans="2:12" x14ac:dyDescent="0.35">
      <c r="B377" s="116"/>
      <c r="C377" s="191"/>
      <c r="D377" s="191"/>
      <c r="E377" s="108"/>
      <c r="F377" s="109" t="s">
        <v>94</v>
      </c>
      <c r="G377" s="109" t="s">
        <v>490</v>
      </c>
      <c r="H377" s="104">
        <v>1</v>
      </c>
      <c r="I377" s="113" t="s">
        <v>155</v>
      </c>
      <c r="J377" s="154">
        <v>120000</v>
      </c>
      <c r="K377" s="208"/>
      <c r="L377" s="46">
        <f t="shared" si="14"/>
        <v>120000</v>
      </c>
    </row>
    <row r="378" spans="2:12" x14ac:dyDescent="0.35">
      <c r="B378" s="116"/>
      <c r="C378" s="191"/>
      <c r="D378" s="191"/>
      <c r="E378" s="108"/>
      <c r="F378" s="109" t="s">
        <v>94</v>
      </c>
      <c r="G378" s="109" t="s">
        <v>493</v>
      </c>
      <c r="H378" s="104">
        <v>1.413</v>
      </c>
      <c r="I378" s="113" t="s">
        <v>147</v>
      </c>
      <c r="J378" s="155">
        <v>145000</v>
      </c>
      <c r="K378" s="153"/>
      <c r="L378" s="46">
        <f t="shared" si="14"/>
        <v>204885</v>
      </c>
    </row>
    <row r="379" spans="2:12" x14ac:dyDescent="0.35">
      <c r="B379" s="116"/>
      <c r="C379" s="191"/>
      <c r="D379" s="191"/>
      <c r="E379" s="108"/>
      <c r="F379" s="109" t="s">
        <v>94</v>
      </c>
      <c r="G379" s="109" t="s">
        <v>494</v>
      </c>
      <c r="H379" s="104">
        <v>2</v>
      </c>
      <c r="I379" s="113" t="s">
        <v>155</v>
      </c>
      <c r="J379" s="154">
        <v>35000</v>
      </c>
      <c r="K379" s="50"/>
      <c r="L379" s="46">
        <f t="shared" si="14"/>
        <v>70000</v>
      </c>
    </row>
    <row r="380" spans="2:12" x14ac:dyDescent="0.35">
      <c r="B380" s="116"/>
      <c r="C380" s="191"/>
      <c r="D380" s="191"/>
      <c r="E380" s="108"/>
      <c r="F380" s="109" t="s">
        <v>94</v>
      </c>
      <c r="G380" s="109" t="s">
        <v>495</v>
      </c>
      <c r="H380" s="104">
        <v>1</v>
      </c>
      <c r="I380" s="113" t="s">
        <v>155</v>
      </c>
      <c r="J380" s="162">
        <v>60000</v>
      </c>
      <c r="K380" s="208"/>
      <c r="L380" s="46">
        <f t="shared" si="14"/>
        <v>60000</v>
      </c>
    </row>
    <row r="381" spans="2:12" x14ac:dyDescent="0.35">
      <c r="B381" s="116"/>
      <c r="C381" s="191"/>
      <c r="D381" s="191"/>
      <c r="E381" s="108"/>
      <c r="F381" s="109" t="s">
        <v>94</v>
      </c>
      <c r="G381" s="109" t="s">
        <v>491</v>
      </c>
      <c r="H381" s="104">
        <v>200</v>
      </c>
      <c r="I381" s="113" t="s">
        <v>153</v>
      </c>
      <c r="J381" s="162">
        <v>375</v>
      </c>
      <c r="K381" s="208"/>
      <c r="L381" s="46">
        <f t="shared" si="14"/>
        <v>75000</v>
      </c>
    </row>
    <row r="382" spans="2:12" x14ac:dyDescent="0.35">
      <c r="B382" s="116"/>
      <c r="C382" s="191"/>
      <c r="D382" s="191"/>
      <c r="E382" s="108"/>
      <c r="F382" s="109" t="s">
        <v>94</v>
      </c>
      <c r="G382" s="109" t="s">
        <v>492</v>
      </c>
      <c r="H382" s="104">
        <v>2</v>
      </c>
      <c r="I382" s="113" t="s">
        <v>155</v>
      </c>
      <c r="J382" s="154">
        <v>55000</v>
      </c>
      <c r="K382" s="208"/>
      <c r="L382" s="46">
        <f t="shared" si="14"/>
        <v>110000</v>
      </c>
    </row>
    <row r="383" spans="2:12" x14ac:dyDescent="0.35">
      <c r="B383" s="116"/>
      <c r="C383" s="191" t="s">
        <v>330</v>
      </c>
      <c r="D383" s="191"/>
      <c r="E383" s="108"/>
      <c r="F383" s="109" t="s">
        <v>331</v>
      </c>
      <c r="G383" s="109"/>
      <c r="H383" s="104"/>
      <c r="I383" s="113"/>
      <c r="J383" s="51"/>
      <c r="K383" s="208"/>
      <c r="L383" s="46"/>
    </row>
    <row r="384" spans="2:12" x14ac:dyDescent="0.35">
      <c r="B384" s="116"/>
      <c r="C384" s="191"/>
      <c r="D384" s="191" t="s">
        <v>44</v>
      </c>
      <c r="E384" s="108"/>
      <c r="F384" s="109" t="s">
        <v>332</v>
      </c>
      <c r="G384" s="109"/>
      <c r="H384" s="104">
        <v>22</v>
      </c>
      <c r="I384" s="113" t="s">
        <v>257</v>
      </c>
      <c r="J384" s="154">
        <v>200000</v>
      </c>
      <c r="K384" s="50">
        <f>J384*H384</f>
        <v>4400000</v>
      </c>
      <c r="L384" s="46"/>
    </row>
    <row r="385" spans="2:12" x14ac:dyDescent="0.35">
      <c r="B385" s="116"/>
      <c r="C385" s="191"/>
      <c r="D385" s="191"/>
      <c r="E385" s="108"/>
      <c r="F385" s="109" t="s">
        <v>94</v>
      </c>
      <c r="G385" s="109" t="s">
        <v>489</v>
      </c>
      <c r="H385" s="104">
        <v>3400</v>
      </c>
      <c r="I385" s="113" t="s">
        <v>153</v>
      </c>
      <c r="J385" s="161">
        <v>462</v>
      </c>
      <c r="K385" s="161"/>
      <c r="L385" s="46">
        <f t="shared" si="14"/>
        <v>1570800</v>
      </c>
    </row>
    <row r="386" spans="2:12" x14ac:dyDescent="0.35">
      <c r="B386" s="116"/>
      <c r="C386" s="191"/>
      <c r="D386" s="191"/>
      <c r="E386" s="108"/>
      <c r="F386" s="109" t="s">
        <v>94</v>
      </c>
      <c r="G386" s="109" t="s">
        <v>490</v>
      </c>
      <c r="H386" s="104">
        <v>8</v>
      </c>
      <c r="I386" s="113" t="s">
        <v>155</v>
      </c>
      <c r="J386" s="152">
        <v>120000</v>
      </c>
      <c r="K386" s="208"/>
      <c r="L386" s="46">
        <f t="shared" si="14"/>
        <v>960000</v>
      </c>
    </row>
    <row r="387" spans="2:12" x14ac:dyDescent="0.35">
      <c r="B387" s="116"/>
      <c r="C387" s="191"/>
      <c r="D387" s="191"/>
      <c r="E387" s="108"/>
      <c r="F387" s="109" t="s">
        <v>94</v>
      </c>
      <c r="G387" s="109" t="s">
        <v>467</v>
      </c>
      <c r="H387" s="104">
        <v>4</v>
      </c>
      <c r="I387" s="113" t="s">
        <v>155</v>
      </c>
      <c r="J387" s="152">
        <v>195000</v>
      </c>
      <c r="K387" s="208"/>
      <c r="L387" s="46">
        <f t="shared" si="14"/>
        <v>780000</v>
      </c>
    </row>
    <row r="388" spans="2:12" x14ac:dyDescent="0.35">
      <c r="B388" s="116"/>
      <c r="C388" s="191"/>
      <c r="D388" s="191"/>
      <c r="E388" s="108"/>
      <c r="F388" s="109" t="s">
        <v>94</v>
      </c>
      <c r="G388" s="109" t="s">
        <v>460</v>
      </c>
      <c r="H388" s="104">
        <v>4</v>
      </c>
      <c r="I388" s="113" t="s">
        <v>155</v>
      </c>
      <c r="J388" s="152">
        <v>35000</v>
      </c>
      <c r="K388" s="208"/>
      <c r="L388" s="46">
        <f t="shared" si="14"/>
        <v>140000</v>
      </c>
    </row>
    <row r="389" spans="2:12" x14ac:dyDescent="0.35">
      <c r="B389" s="116"/>
      <c r="C389" s="191"/>
      <c r="D389" s="191"/>
      <c r="E389" s="108"/>
      <c r="F389" s="109" t="s">
        <v>94</v>
      </c>
      <c r="G389" s="109" t="s">
        <v>491</v>
      </c>
      <c r="H389" s="104">
        <v>600</v>
      </c>
      <c r="I389" s="113" t="s">
        <v>153</v>
      </c>
      <c r="J389" s="152">
        <v>375</v>
      </c>
      <c r="K389" s="208"/>
      <c r="L389" s="46">
        <f t="shared" si="14"/>
        <v>225000</v>
      </c>
    </row>
    <row r="390" spans="2:12" x14ac:dyDescent="0.35">
      <c r="B390" s="116"/>
      <c r="C390" s="191"/>
      <c r="D390" s="191"/>
      <c r="E390" s="108"/>
      <c r="F390" s="109" t="s">
        <v>94</v>
      </c>
      <c r="G390" s="109" t="s">
        <v>492</v>
      </c>
      <c r="H390" s="104">
        <v>6</v>
      </c>
      <c r="I390" s="113" t="s">
        <v>155</v>
      </c>
      <c r="J390" s="152">
        <v>55000</v>
      </c>
      <c r="K390" s="208"/>
      <c r="L390" s="46">
        <f t="shared" si="14"/>
        <v>330000</v>
      </c>
    </row>
    <row r="391" spans="2:12" x14ac:dyDescent="0.35">
      <c r="B391" s="116"/>
      <c r="C391" s="191"/>
      <c r="D391" s="191"/>
      <c r="E391" s="108"/>
      <c r="F391" s="109" t="s">
        <v>94</v>
      </c>
      <c r="G391" s="109" t="s">
        <v>464</v>
      </c>
      <c r="H391" s="104">
        <v>12</v>
      </c>
      <c r="I391" s="113" t="s">
        <v>155</v>
      </c>
      <c r="J391" s="152">
        <v>35000</v>
      </c>
      <c r="K391" s="208"/>
      <c r="L391" s="46">
        <f t="shared" si="14"/>
        <v>420000</v>
      </c>
    </row>
    <row r="392" spans="2:12" x14ac:dyDescent="0.35">
      <c r="B392" s="116"/>
      <c r="C392" s="191"/>
      <c r="D392" s="191" t="s">
        <v>47</v>
      </c>
      <c r="E392" s="108"/>
      <c r="F392" s="109" t="s">
        <v>333</v>
      </c>
      <c r="G392" s="109"/>
      <c r="H392" s="104">
        <v>5</v>
      </c>
      <c r="I392" s="113" t="s">
        <v>257</v>
      </c>
      <c r="J392" s="153">
        <v>200000</v>
      </c>
      <c r="K392" s="50">
        <f>J392*H392</f>
        <v>1000000</v>
      </c>
      <c r="L392" s="46"/>
    </row>
    <row r="393" spans="2:12" x14ac:dyDescent="0.35">
      <c r="B393" s="116"/>
      <c r="C393" s="191"/>
      <c r="D393" s="191"/>
      <c r="E393" s="108"/>
      <c r="F393" s="109" t="s">
        <v>94</v>
      </c>
      <c r="G393" s="109" t="s">
        <v>489</v>
      </c>
      <c r="H393" s="104">
        <v>100</v>
      </c>
      <c r="I393" s="113" t="s">
        <v>153</v>
      </c>
      <c r="J393" s="154">
        <v>462</v>
      </c>
      <c r="K393" s="208"/>
      <c r="L393" s="46">
        <f t="shared" si="14"/>
        <v>46200</v>
      </c>
    </row>
    <row r="394" spans="2:12" x14ac:dyDescent="0.35">
      <c r="B394" s="116"/>
      <c r="C394" s="191"/>
      <c r="D394" s="191"/>
      <c r="E394" s="108"/>
      <c r="F394" s="109" t="s">
        <v>94</v>
      </c>
      <c r="G394" s="109" t="s">
        <v>490</v>
      </c>
      <c r="H394" s="104">
        <v>2</v>
      </c>
      <c r="I394" s="113" t="s">
        <v>155</v>
      </c>
      <c r="J394" s="152">
        <v>120000</v>
      </c>
      <c r="K394" s="161"/>
      <c r="L394" s="46">
        <f t="shared" si="14"/>
        <v>240000</v>
      </c>
    </row>
    <row r="395" spans="2:12" x14ac:dyDescent="0.35">
      <c r="B395" s="116"/>
      <c r="C395" s="191"/>
      <c r="D395" s="191"/>
      <c r="E395" s="108"/>
      <c r="F395" s="109" t="s">
        <v>94</v>
      </c>
      <c r="G395" s="109" t="s">
        <v>493</v>
      </c>
      <c r="H395" s="104">
        <v>1.413</v>
      </c>
      <c r="I395" s="113" t="s">
        <v>147</v>
      </c>
      <c r="J395" s="152">
        <v>145000</v>
      </c>
      <c r="K395" s="208"/>
      <c r="L395" s="46">
        <f t="shared" si="14"/>
        <v>204885</v>
      </c>
    </row>
    <row r="396" spans="2:12" x14ac:dyDescent="0.35">
      <c r="B396" s="116"/>
      <c r="C396" s="191"/>
      <c r="D396" s="191"/>
      <c r="E396" s="108"/>
      <c r="F396" s="109" t="s">
        <v>94</v>
      </c>
      <c r="G396" s="109" t="s">
        <v>494</v>
      </c>
      <c r="H396" s="104">
        <v>2</v>
      </c>
      <c r="I396" s="113" t="s">
        <v>155</v>
      </c>
      <c r="J396" s="161">
        <v>35000</v>
      </c>
      <c r="K396" s="223"/>
      <c r="L396" s="46">
        <f t="shared" si="14"/>
        <v>70000</v>
      </c>
    </row>
    <row r="397" spans="2:12" x14ac:dyDescent="0.35">
      <c r="B397" s="116"/>
      <c r="C397" s="191"/>
      <c r="D397" s="191"/>
      <c r="E397" s="108"/>
      <c r="F397" s="109" t="s">
        <v>94</v>
      </c>
      <c r="G397" s="109" t="s">
        <v>495</v>
      </c>
      <c r="H397" s="104">
        <v>1</v>
      </c>
      <c r="I397" s="113" t="s">
        <v>155</v>
      </c>
      <c r="J397" s="161">
        <v>60000</v>
      </c>
      <c r="K397" s="223"/>
      <c r="L397" s="46">
        <f t="shared" si="14"/>
        <v>60000</v>
      </c>
    </row>
    <row r="398" spans="2:12" x14ac:dyDescent="0.35">
      <c r="B398" s="116"/>
      <c r="C398" s="191"/>
      <c r="D398" s="191"/>
      <c r="E398" s="108"/>
      <c r="F398" s="109" t="s">
        <v>94</v>
      </c>
      <c r="G398" s="109" t="s">
        <v>491</v>
      </c>
      <c r="H398" s="104">
        <v>200</v>
      </c>
      <c r="I398" s="113" t="s">
        <v>153</v>
      </c>
      <c r="J398" s="161">
        <v>375</v>
      </c>
      <c r="K398" s="223"/>
      <c r="L398" s="46">
        <f t="shared" si="14"/>
        <v>75000</v>
      </c>
    </row>
    <row r="399" spans="2:12" x14ac:dyDescent="0.35">
      <c r="B399" s="116"/>
      <c r="C399" s="191"/>
      <c r="D399" s="191"/>
      <c r="E399" s="108"/>
      <c r="F399" s="109" t="s">
        <v>94</v>
      </c>
      <c r="G399" s="109" t="s">
        <v>492</v>
      </c>
      <c r="H399" s="104">
        <v>2</v>
      </c>
      <c r="I399" s="113" t="s">
        <v>155</v>
      </c>
      <c r="J399" s="161">
        <v>55000</v>
      </c>
      <c r="K399" s="223"/>
      <c r="L399" s="46">
        <f t="shared" si="14"/>
        <v>110000</v>
      </c>
    </row>
    <row r="400" spans="2:12" x14ac:dyDescent="0.35">
      <c r="B400" s="116"/>
      <c r="C400" s="191"/>
      <c r="D400" s="191" t="s">
        <v>49</v>
      </c>
      <c r="E400" s="108"/>
      <c r="F400" s="109" t="s">
        <v>336</v>
      </c>
      <c r="G400" s="109"/>
      <c r="H400" s="104">
        <v>3</v>
      </c>
      <c r="I400" s="113" t="s">
        <v>257</v>
      </c>
      <c r="J400" s="161">
        <v>200000</v>
      </c>
      <c r="K400" s="50">
        <f>J400*H400</f>
        <v>600000</v>
      </c>
      <c r="L400" s="46"/>
    </row>
    <row r="401" spans="2:12" x14ac:dyDescent="0.35">
      <c r="B401" s="116"/>
      <c r="C401" s="191"/>
      <c r="D401" s="191"/>
      <c r="E401" s="108"/>
      <c r="F401" s="109" t="s">
        <v>94</v>
      </c>
      <c r="G401" s="109" t="s">
        <v>489</v>
      </c>
      <c r="H401" s="104">
        <v>100</v>
      </c>
      <c r="I401" s="113" t="s">
        <v>153</v>
      </c>
      <c r="J401" s="152">
        <v>462</v>
      </c>
      <c r="K401" s="208"/>
      <c r="L401" s="46">
        <f t="shared" si="14"/>
        <v>46200</v>
      </c>
    </row>
    <row r="402" spans="2:12" x14ac:dyDescent="0.35">
      <c r="B402" s="116"/>
      <c r="C402" s="191"/>
      <c r="D402" s="191"/>
      <c r="E402" s="108"/>
      <c r="F402" s="109" t="s">
        <v>94</v>
      </c>
      <c r="G402" s="109" t="s">
        <v>490</v>
      </c>
      <c r="H402" s="104">
        <v>1</v>
      </c>
      <c r="I402" s="113" t="s">
        <v>155</v>
      </c>
      <c r="J402" s="49">
        <v>120000</v>
      </c>
      <c r="K402" s="49"/>
      <c r="L402" s="46">
        <f t="shared" si="14"/>
        <v>120000</v>
      </c>
    </row>
    <row r="403" spans="2:12" x14ac:dyDescent="0.35">
      <c r="B403" s="47"/>
      <c r="C403" s="183"/>
      <c r="D403" s="24"/>
      <c r="G403" s="22"/>
      <c r="I403" s="22"/>
      <c r="J403" s="49"/>
      <c r="K403" s="29"/>
      <c r="L403" s="51"/>
    </row>
    <row r="404" spans="2:12" x14ac:dyDescent="0.35">
      <c r="B404" s="47"/>
      <c r="C404" s="183"/>
      <c r="D404" s="24"/>
      <c r="G404" s="22"/>
      <c r="I404" s="22"/>
      <c r="J404" s="49"/>
      <c r="K404" s="29"/>
      <c r="L404" s="51"/>
    </row>
    <row r="405" spans="2:12" x14ac:dyDescent="0.35">
      <c r="B405" s="47"/>
      <c r="C405" s="183"/>
      <c r="D405" s="24"/>
      <c r="G405" s="22"/>
      <c r="I405" s="22"/>
      <c r="J405" s="49"/>
      <c r="K405" s="29"/>
      <c r="L405" s="51"/>
    </row>
    <row r="406" spans="2:12" x14ac:dyDescent="0.35">
      <c r="B406" s="47"/>
      <c r="C406" s="183"/>
      <c r="D406" s="24"/>
      <c r="G406" s="22"/>
      <c r="I406" s="22"/>
      <c r="J406" s="49"/>
      <c r="K406" s="29"/>
      <c r="L406" s="51"/>
    </row>
    <row r="407" spans="2:12" x14ac:dyDescent="0.35">
      <c r="B407" s="47"/>
      <c r="C407" s="183"/>
      <c r="D407" s="24"/>
      <c r="G407" s="22"/>
      <c r="I407" s="22"/>
      <c r="J407" s="49"/>
      <c r="K407" s="29"/>
      <c r="L407" s="51"/>
    </row>
    <row r="408" spans="2:12" x14ac:dyDescent="0.35">
      <c r="B408" s="8"/>
      <c r="C408" s="9"/>
      <c r="D408" s="10"/>
      <c r="E408" s="4"/>
      <c r="F408" s="4"/>
      <c r="G408" s="4"/>
      <c r="H408" s="1"/>
      <c r="I408" s="1"/>
      <c r="J408" s="11" t="s">
        <v>8</v>
      </c>
      <c r="K408" s="7">
        <f>SUM(K355:K407)</f>
        <v>8600000</v>
      </c>
      <c r="L408" s="7">
        <f>SUM(L355:L407)</f>
        <v>8776340</v>
      </c>
    </row>
    <row r="409" spans="2:12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5" t="s">
        <v>21</v>
      </c>
      <c r="L409" s="36" t="s">
        <v>22</v>
      </c>
    </row>
    <row r="410" spans="2:12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2" x14ac:dyDescent="0.35">
      <c r="B411" s="37"/>
      <c r="C411" s="1"/>
      <c r="D411" s="1"/>
      <c r="E411" s="38"/>
      <c r="F411" s="38"/>
      <c r="G411" s="38"/>
      <c r="H411" s="1"/>
      <c r="I411" s="1"/>
      <c r="J411" s="1"/>
      <c r="K411" s="1"/>
      <c r="L411" s="19"/>
    </row>
    <row r="412" spans="2:12" x14ac:dyDescent="0.35">
      <c r="B412" s="28" t="s">
        <v>6</v>
      </c>
      <c r="C412" s="27"/>
      <c r="D412" s="27"/>
      <c r="E412" s="26"/>
      <c r="F412" s="26"/>
      <c r="G412" s="5"/>
      <c r="K412" s="271" t="s">
        <v>423</v>
      </c>
      <c r="L412" s="272"/>
    </row>
    <row r="413" spans="2:12" x14ac:dyDescent="0.35">
      <c r="B413" s="28">
        <v>1</v>
      </c>
      <c r="C413" s="27"/>
      <c r="D413" s="27"/>
      <c r="E413" s="26" t="s">
        <v>7</v>
      </c>
      <c r="F413" s="26"/>
      <c r="G413" s="5"/>
      <c r="K413" s="271" t="s">
        <v>27</v>
      </c>
      <c r="L413" s="272"/>
    </row>
    <row r="414" spans="2:12" x14ac:dyDescent="0.35">
      <c r="B414" s="39"/>
      <c r="C414" s="27"/>
      <c r="D414" s="27"/>
      <c r="E414" s="26"/>
      <c r="F414" s="26"/>
      <c r="G414" s="5"/>
      <c r="J414" s="25"/>
      <c r="K414" s="25"/>
      <c r="L414" s="24"/>
    </row>
    <row r="415" spans="2:12" x14ac:dyDescent="0.35">
      <c r="B415" s="28"/>
      <c r="C415" s="27"/>
      <c r="D415" s="27"/>
      <c r="E415" s="26"/>
      <c r="F415" s="26"/>
      <c r="G415" s="5"/>
      <c r="L415" s="22"/>
    </row>
    <row r="416" spans="2:12" x14ac:dyDescent="0.35">
      <c r="B416" s="45"/>
      <c r="E416" s="5"/>
      <c r="F416" s="5"/>
      <c r="G416" s="5"/>
      <c r="L416" s="22"/>
    </row>
    <row r="417" spans="2:12" x14ac:dyDescent="0.35">
      <c r="B417" s="45"/>
      <c r="E417" s="5"/>
      <c r="F417" s="5"/>
      <c r="G417" s="5"/>
      <c r="L417" s="22"/>
    </row>
    <row r="418" spans="2:12" x14ac:dyDescent="0.35">
      <c r="B418" s="45"/>
      <c r="E418" s="5"/>
      <c r="F418" s="5"/>
      <c r="G418" s="5"/>
      <c r="L418" s="22"/>
    </row>
    <row r="419" spans="2:12" x14ac:dyDescent="0.35">
      <c r="B419" s="45"/>
      <c r="E419" s="5"/>
      <c r="F419" s="5"/>
      <c r="G419" s="5"/>
      <c r="J419" s="40"/>
      <c r="K419" s="273" t="s">
        <v>35</v>
      </c>
      <c r="L419" s="274"/>
    </row>
    <row r="420" spans="2:12" x14ac:dyDescent="0.35">
      <c r="B420" s="45"/>
      <c r="K420" s="277" t="s">
        <v>36</v>
      </c>
      <c r="L420" s="278"/>
    </row>
    <row r="421" spans="2:12" x14ac:dyDescent="0.35">
      <c r="B421" s="275"/>
      <c r="C421" s="276"/>
      <c r="D421" s="276"/>
      <c r="E421" s="41"/>
      <c r="F421" s="41"/>
      <c r="G421" s="41"/>
      <c r="H421" s="2"/>
      <c r="I421" s="2"/>
      <c r="J421" s="2"/>
      <c r="K421" s="2"/>
      <c r="L421" s="21"/>
    </row>
    <row r="422" spans="2:12" x14ac:dyDescent="0.35">
      <c r="B422" s="47"/>
      <c r="C422" s="183"/>
      <c r="D422" s="48"/>
      <c r="G422" s="22"/>
      <c r="H422" s="1"/>
      <c r="I422" s="1"/>
      <c r="J422" s="43"/>
      <c r="K422" s="30"/>
      <c r="L422" s="44"/>
    </row>
    <row r="423" spans="2:12" x14ac:dyDescent="0.35">
      <c r="B423" s="116"/>
      <c r="C423" s="191"/>
      <c r="D423" s="191"/>
      <c r="E423" s="108"/>
      <c r="F423" s="109" t="s">
        <v>94</v>
      </c>
      <c r="G423" s="109" t="s">
        <v>493</v>
      </c>
      <c r="H423" s="104">
        <v>1.413</v>
      </c>
      <c r="I423" s="113" t="s">
        <v>147</v>
      </c>
      <c r="J423" s="152">
        <v>145000</v>
      </c>
      <c r="K423" s="208"/>
      <c r="L423" s="46">
        <f t="shared" ref="L423:L426" si="15">J423*H423</f>
        <v>204885</v>
      </c>
    </row>
    <row r="424" spans="2:12" x14ac:dyDescent="0.35">
      <c r="B424" s="116"/>
      <c r="C424" s="191"/>
      <c r="D424" s="191"/>
      <c r="E424" s="108"/>
      <c r="F424" s="109" t="s">
        <v>94</v>
      </c>
      <c r="G424" s="109" t="s">
        <v>494</v>
      </c>
      <c r="H424" s="104">
        <v>2</v>
      </c>
      <c r="I424" s="113" t="s">
        <v>155</v>
      </c>
      <c r="J424" s="162">
        <v>35000</v>
      </c>
      <c r="K424" s="50"/>
      <c r="L424" s="46">
        <f t="shared" si="15"/>
        <v>70000</v>
      </c>
    </row>
    <row r="425" spans="2:12" x14ac:dyDescent="0.35">
      <c r="B425" s="116"/>
      <c r="C425" s="191"/>
      <c r="D425" s="191"/>
      <c r="E425" s="108"/>
      <c r="F425" s="109" t="s">
        <v>94</v>
      </c>
      <c r="G425" s="109" t="s">
        <v>495</v>
      </c>
      <c r="H425" s="104">
        <v>1</v>
      </c>
      <c r="I425" s="113" t="s">
        <v>155</v>
      </c>
      <c r="J425" s="154">
        <v>60000</v>
      </c>
      <c r="K425" s="50"/>
      <c r="L425" s="46">
        <f t="shared" si="15"/>
        <v>60000</v>
      </c>
    </row>
    <row r="426" spans="2:12" x14ac:dyDescent="0.35">
      <c r="B426" s="116"/>
      <c r="C426" s="191"/>
      <c r="D426" s="191"/>
      <c r="E426" s="108"/>
      <c r="F426" s="109" t="s">
        <v>94</v>
      </c>
      <c r="G426" s="109" t="s">
        <v>492</v>
      </c>
      <c r="H426" s="104">
        <v>2</v>
      </c>
      <c r="I426" s="113" t="s">
        <v>155</v>
      </c>
      <c r="J426" s="162">
        <v>55000</v>
      </c>
      <c r="K426" s="51"/>
      <c r="L426" s="46">
        <f t="shared" si="15"/>
        <v>110000</v>
      </c>
    </row>
    <row r="427" spans="2:12" x14ac:dyDescent="0.35">
      <c r="B427" s="116"/>
      <c r="C427" s="191" t="s">
        <v>337</v>
      </c>
      <c r="D427" s="191"/>
      <c r="E427" s="108"/>
      <c r="F427" s="109" t="s">
        <v>338</v>
      </c>
      <c r="G427" s="109"/>
      <c r="H427" s="104">
        <v>13</v>
      </c>
      <c r="I427" s="113" t="s">
        <v>257</v>
      </c>
      <c r="J427" s="154">
        <v>200000</v>
      </c>
      <c r="K427" s="50">
        <f>J427*H427</f>
        <v>2600000</v>
      </c>
      <c r="L427" s="46"/>
    </row>
    <row r="428" spans="2:12" x14ac:dyDescent="0.35">
      <c r="B428" s="116"/>
      <c r="C428" s="191"/>
      <c r="D428" s="191"/>
      <c r="E428" s="108"/>
      <c r="F428" s="109" t="s">
        <v>94</v>
      </c>
      <c r="G428" s="109" t="s">
        <v>489</v>
      </c>
      <c r="H428" s="104">
        <v>1700</v>
      </c>
      <c r="I428" s="113" t="s">
        <v>153</v>
      </c>
      <c r="J428" s="155">
        <v>462</v>
      </c>
      <c r="K428" s="247"/>
      <c r="L428" s="46">
        <f t="shared" ref="L428:L433" si="16">J428*H428</f>
        <v>785400</v>
      </c>
    </row>
    <row r="429" spans="2:12" x14ac:dyDescent="0.35">
      <c r="B429" s="116"/>
      <c r="C429" s="191"/>
      <c r="D429" s="191"/>
      <c r="E429" s="108"/>
      <c r="F429" s="109" t="s">
        <v>94</v>
      </c>
      <c r="G429" s="109" t="s">
        <v>490</v>
      </c>
      <c r="H429" s="104">
        <v>2</v>
      </c>
      <c r="I429" s="113" t="s">
        <v>155</v>
      </c>
      <c r="J429" s="154">
        <v>120000</v>
      </c>
      <c r="K429" s="50"/>
      <c r="L429" s="46">
        <f t="shared" si="16"/>
        <v>240000</v>
      </c>
    </row>
    <row r="430" spans="2:12" x14ac:dyDescent="0.35">
      <c r="B430" s="116"/>
      <c r="C430" s="191"/>
      <c r="D430" s="191"/>
      <c r="E430" s="108"/>
      <c r="F430" s="109" t="s">
        <v>94</v>
      </c>
      <c r="G430" s="109" t="s">
        <v>497</v>
      </c>
      <c r="H430" s="104">
        <v>1</v>
      </c>
      <c r="I430" s="113" t="s">
        <v>155</v>
      </c>
      <c r="J430" s="162">
        <v>350000</v>
      </c>
      <c r="K430" s="50"/>
      <c r="L430" s="46">
        <f t="shared" si="16"/>
        <v>350000</v>
      </c>
    </row>
    <row r="431" spans="2:12" x14ac:dyDescent="0.35">
      <c r="B431" s="116"/>
      <c r="C431" s="191"/>
      <c r="D431" s="191"/>
      <c r="E431" s="108"/>
      <c r="F431" s="109" t="s">
        <v>94</v>
      </c>
      <c r="G431" s="109" t="s">
        <v>464</v>
      </c>
      <c r="H431" s="104">
        <v>4</v>
      </c>
      <c r="I431" s="113" t="s">
        <v>155</v>
      </c>
      <c r="J431" s="162">
        <v>35000</v>
      </c>
      <c r="K431" s="50"/>
      <c r="L431" s="46">
        <f t="shared" si="16"/>
        <v>140000</v>
      </c>
    </row>
    <row r="432" spans="2:12" x14ac:dyDescent="0.35">
      <c r="B432" s="116"/>
      <c r="C432" s="191"/>
      <c r="D432" s="191"/>
      <c r="E432" s="108"/>
      <c r="F432" s="109" t="s">
        <v>94</v>
      </c>
      <c r="G432" s="109" t="s">
        <v>491</v>
      </c>
      <c r="H432" s="104">
        <v>200</v>
      </c>
      <c r="I432" s="113" t="s">
        <v>153</v>
      </c>
      <c r="J432" s="154">
        <v>375</v>
      </c>
      <c r="K432" s="50"/>
      <c r="L432" s="46">
        <f t="shared" si="16"/>
        <v>75000</v>
      </c>
    </row>
    <row r="433" spans="2:12" x14ac:dyDescent="0.35">
      <c r="B433" s="116"/>
      <c r="C433" s="191"/>
      <c r="D433" s="191"/>
      <c r="E433" s="108"/>
      <c r="F433" s="109" t="s">
        <v>94</v>
      </c>
      <c r="G433" s="109" t="s">
        <v>492</v>
      </c>
      <c r="H433" s="104">
        <v>2</v>
      </c>
      <c r="I433" s="113" t="s">
        <v>155</v>
      </c>
      <c r="J433" s="152">
        <v>55000</v>
      </c>
      <c r="K433" s="208"/>
      <c r="L433" s="46">
        <f t="shared" si="16"/>
        <v>110000</v>
      </c>
    </row>
    <row r="434" spans="2:12" x14ac:dyDescent="0.35">
      <c r="B434" s="116"/>
      <c r="C434" s="191" t="s">
        <v>340</v>
      </c>
      <c r="D434" s="191"/>
      <c r="E434" s="108"/>
      <c r="F434" s="109" t="s">
        <v>341</v>
      </c>
      <c r="G434" s="109"/>
      <c r="H434" s="104"/>
      <c r="I434" s="113"/>
      <c r="J434" s="152"/>
      <c r="K434" s="208"/>
      <c r="L434" s="46"/>
    </row>
    <row r="435" spans="2:12" x14ac:dyDescent="0.35">
      <c r="B435" s="264"/>
      <c r="C435" s="226"/>
      <c r="D435" s="226" t="s">
        <v>44</v>
      </c>
      <c r="E435" s="227"/>
      <c r="F435" s="228" t="s">
        <v>342</v>
      </c>
      <c r="G435" s="228"/>
      <c r="H435" s="229">
        <v>1</v>
      </c>
      <c r="I435" s="230" t="s">
        <v>125</v>
      </c>
      <c r="J435" s="231">
        <v>6750000</v>
      </c>
      <c r="K435" s="50">
        <f>J435*H435</f>
        <v>6750000</v>
      </c>
      <c r="L435" s="46"/>
    </row>
    <row r="436" spans="2:12" x14ac:dyDescent="0.35">
      <c r="B436" s="116"/>
      <c r="C436" s="191"/>
      <c r="D436" s="191"/>
      <c r="E436" s="108"/>
      <c r="F436" s="109" t="s">
        <v>94</v>
      </c>
      <c r="G436" s="109" t="s">
        <v>498</v>
      </c>
      <c r="H436" s="163">
        <v>141.30000000000001</v>
      </c>
      <c r="I436" s="167" t="s">
        <v>147</v>
      </c>
      <c r="J436" s="51"/>
      <c r="K436" s="208"/>
      <c r="L436" s="46"/>
    </row>
    <row r="437" spans="2:12" x14ac:dyDescent="0.35">
      <c r="B437" s="116"/>
      <c r="C437" s="191"/>
      <c r="D437" s="191"/>
      <c r="E437" s="108"/>
      <c r="F437" s="109" t="s">
        <v>94</v>
      </c>
      <c r="G437" s="109" t="s">
        <v>499</v>
      </c>
      <c r="H437" s="163">
        <v>11.539499999999999</v>
      </c>
      <c r="I437" s="167" t="s">
        <v>147</v>
      </c>
      <c r="J437" s="51"/>
      <c r="K437" s="208"/>
      <c r="L437" s="46"/>
    </row>
    <row r="438" spans="2:12" x14ac:dyDescent="0.35">
      <c r="B438" s="116"/>
      <c r="C438" s="191"/>
      <c r="D438" s="191"/>
      <c r="E438" s="108"/>
      <c r="F438" s="109" t="s">
        <v>94</v>
      </c>
      <c r="G438" s="109" t="s">
        <v>500</v>
      </c>
      <c r="H438" s="163">
        <v>8.4779999999999998</v>
      </c>
      <c r="I438" s="167" t="s">
        <v>147</v>
      </c>
      <c r="J438" s="51"/>
      <c r="K438" s="208"/>
      <c r="L438" s="46"/>
    </row>
    <row r="439" spans="2:12" x14ac:dyDescent="0.35">
      <c r="B439" s="116"/>
      <c r="C439" s="191"/>
      <c r="D439" s="191"/>
      <c r="E439" s="108"/>
      <c r="F439" s="109" t="s">
        <v>94</v>
      </c>
      <c r="G439" s="109" t="s">
        <v>346</v>
      </c>
      <c r="H439" s="163">
        <v>8</v>
      </c>
      <c r="I439" s="167" t="s">
        <v>155</v>
      </c>
      <c r="J439" s="51"/>
      <c r="K439" s="208"/>
      <c r="L439" s="46"/>
    </row>
    <row r="440" spans="2:12" x14ac:dyDescent="0.35">
      <c r="B440" s="116"/>
      <c r="C440" s="191"/>
      <c r="D440" s="191" t="s">
        <v>47</v>
      </c>
      <c r="E440" s="108"/>
      <c r="F440" s="109" t="s">
        <v>347</v>
      </c>
      <c r="G440" s="109"/>
      <c r="H440" s="104">
        <v>6</v>
      </c>
      <c r="I440" s="113" t="s">
        <v>257</v>
      </c>
      <c r="J440" s="152">
        <v>200000</v>
      </c>
      <c r="K440" s="50">
        <f>J440*H440</f>
        <v>1200000</v>
      </c>
      <c r="L440" s="46"/>
    </row>
    <row r="441" spans="2:12" x14ac:dyDescent="0.35">
      <c r="B441" s="116"/>
      <c r="C441" s="191"/>
      <c r="D441" s="191"/>
      <c r="E441" s="108"/>
      <c r="F441" s="109" t="s">
        <v>94</v>
      </c>
      <c r="G441" s="109" t="s">
        <v>489</v>
      </c>
      <c r="H441" s="104">
        <v>800</v>
      </c>
      <c r="I441" s="113" t="s">
        <v>153</v>
      </c>
      <c r="J441" s="152">
        <v>462</v>
      </c>
      <c r="K441" s="153"/>
      <c r="L441" s="46">
        <f t="shared" ref="L441:L448" si="17">J441*H441</f>
        <v>369600</v>
      </c>
    </row>
    <row r="442" spans="2:12" x14ac:dyDescent="0.35">
      <c r="B442" s="116"/>
      <c r="C442" s="191"/>
      <c r="D442" s="191"/>
      <c r="E442" s="108"/>
      <c r="F442" s="109" t="s">
        <v>94</v>
      </c>
      <c r="G442" s="109" t="s">
        <v>490</v>
      </c>
      <c r="H442" s="104">
        <v>2</v>
      </c>
      <c r="I442" s="113" t="s">
        <v>155</v>
      </c>
      <c r="J442" s="154">
        <v>120000</v>
      </c>
      <c r="K442" s="50"/>
      <c r="L442" s="46">
        <f t="shared" si="17"/>
        <v>240000</v>
      </c>
    </row>
    <row r="443" spans="2:12" x14ac:dyDescent="0.35">
      <c r="B443" s="116"/>
      <c r="C443" s="191"/>
      <c r="D443" s="191"/>
      <c r="E443" s="108"/>
      <c r="F443" s="109" t="s">
        <v>94</v>
      </c>
      <c r="G443" s="109" t="s">
        <v>467</v>
      </c>
      <c r="H443" s="104">
        <v>2</v>
      </c>
      <c r="I443" s="113" t="s">
        <v>155</v>
      </c>
      <c r="J443" s="161">
        <v>195000</v>
      </c>
      <c r="K443" s="208"/>
      <c r="L443" s="46">
        <f t="shared" si="17"/>
        <v>390000</v>
      </c>
    </row>
    <row r="444" spans="2:12" x14ac:dyDescent="0.35">
      <c r="B444" s="116"/>
      <c r="C444" s="191"/>
      <c r="D444" s="191"/>
      <c r="E444" s="108"/>
      <c r="F444" s="109" t="s">
        <v>94</v>
      </c>
      <c r="G444" s="109" t="s">
        <v>460</v>
      </c>
      <c r="H444" s="104">
        <v>1</v>
      </c>
      <c r="I444" s="113" t="s">
        <v>155</v>
      </c>
      <c r="J444" s="161">
        <v>35000</v>
      </c>
      <c r="K444" s="208"/>
      <c r="L444" s="46">
        <f t="shared" si="17"/>
        <v>35000</v>
      </c>
    </row>
    <row r="445" spans="2:12" x14ac:dyDescent="0.35">
      <c r="B445" s="116"/>
      <c r="C445" s="191"/>
      <c r="D445" s="191"/>
      <c r="E445" s="108"/>
      <c r="F445" s="109" t="s">
        <v>94</v>
      </c>
      <c r="G445" s="109" t="s">
        <v>464</v>
      </c>
      <c r="H445" s="104">
        <v>4</v>
      </c>
      <c r="I445" s="113" t="s">
        <v>155</v>
      </c>
      <c r="J445" s="161">
        <v>35000</v>
      </c>
      <c r="K445" s="153"/>
      <c r="L445" s="46">
        <f t="shared" si="17"/>
        <v>140000</v>
      </c>
    </row>
    <row r="446" spans="2:12" x14ac:dyDescent="0.35">
      <c r="B446" s="116"/>
      <c r="C446" s="191"/>
      <c r="D446" s="191" t="s">
        <v>49</v>
      </c>
      <c r="E446" s="108"/>
      <c r="F446" s="109" t="s">
        <v>348</v>
      </c>
      <c r="G446" s="109"/>
      <c r="H446" s="104">
        <v>6</v>
      </c>
      <c r="I446" s="113" t="s">
        <v>257</v>
      </c>
      <c r="J446" s="154">
        <v>250000</v>
      </c>
      <c r="K446" s="50">
        <f>J446*H446</f>
        <v>1500000</v>
      </c>
      <c r="L446" s="46"/>
    </row>
    <row r="447" spans="2:12" x14ac:dyDescent="0.35">
      <c r="B447" s="116"/>
      <c r="C447" s="191"/>
      <c r="D447" s="191"/>
      <c r="E447" s="108"/>
      <c r="F447" s="109" t="s">
        <v>94</v>
      </c>
      <c r="G447" s="109" t="s">
        <v>501</v>
      </c>
      <c r="H447" s="104">
        <v>1</v>
      </c>
      <c r="I447" s="113" t="s">
        <v>155</v>
      </c>
      <c r="J447" s="152">
        <v>500000</v>
      </c>
      <c r="K447" s="208"/>
      <c r="L447" s="46">
        <f t="shared" si="17"/>
        <v>500000</v>
      </c>
    </row>
    <row r="448" spans="2:12" x14ac:dyDescent="0.35">
      <c r="B448" s="116"/>
      <c r="C448" s="191"/>
      <c r="D448" s="191"/>
      <c r="E448" s="108"/>
      <c r="F448" s="109" t="s">
        <v>94</v>
      </c>
      <c r="G448" s="109" t="s">
        <v>502</v>
      </c>
      <c r="H448" s="104">
        <v>2</v>
      </c>
      <c r="I448" s="113" t="s">
        <v>93</v>
      </c>
      <c r="J448" s="152">
        <v>500000</v>
      </c>
      <c r="K448" s="208"/>
      <c r="L448" s="46">
        <f t="shared" si="17"/>
        <v>1000000</v>
      </c>
    </row>
    <row r="449" spans="2:12" x14ac:dyDescent="0.35">
      <c r="B449" s="116" t="s">
        <v>112</v>
      </c>
      <c r="C449" s="191"/>
      <c r="D449" s="191"/>
      <c r="E449" s="108" t="s">
        <v>351</v>
      </c>
      <c r="F449" s="109"/>
      <c r="G449" s="109"/>
      <c r="H449" s="104"/>
      <c r="I449" s="113"/>
      <c r="J449" s="51"/>
      <c r="K449" s="208"/>
      <c r="L449" s="46"/>
    </row>
    <row r="450" spans="2:12" x14ac:dyDescent="0.35">
      <c r="B450" s="116"/>
      <c r="C450" s="191"/>
      <c r="D450" s="191" t="s">
        <v>44</v>
      </c>
      <c r="E450" s="108"/>
      <c r="F450" s="109" t="s">
        <v>352</v>
      </c>
      <c r="G450" s="109"/>
      <c r="H450" s="104">
        <v>17</v>
      </c>
      <c r="I450" s="113" t="s">
        <v>105</v>
      </c>
      <c r="J450" s="51">
        <v>350000</v>
      </c>
      <c r="K450" s="50">
        <f>J450*H450</f>
        <v>5950000</v>
      </c>
      <c r="L450" s="46"/>
    </row>
    <row r="451" spans="2:12" x14ac:dyDescent="0.35">
      <c r="B451" s="116"/>
      <c r="C451" s="191"/>
      <c r="D451" s="191" t="s">
        <v>47</v>
      </c>
      <c r="E451" s="108"/>
      <c r="F451" s="109" t="s">
        <v>353</v>
      </c>
      <c r="G451" s="109"/>
      <c r="H451" s="104"/>
      <c r="I451" s="113"/>
      <c r="J451" s="154"/>
      <c r="K451" s="208"/>
      <c r="L451" s="46"/>
    </row>
    <row r="452" spans="2:12" x14ac:dyDescent="0.35">
      <c r="B452" s="116"/>
      <c r="C452" s="191"/>
      <c r="D452" s="191"/>
      <c r="E452" s="108"/>
      <c r="F452" s="109" t="s">
        <v>94</v>
      </c>
      <c r="G452" s="109" t="s">
        <v>354</v>
      </c>
      <c r="H452" s="104">
        <v>2</v>
      </c>
      <c r="I452" s="113" t="s">
        <v>155</v>
      </c>
      <c r="J452" s="161">
        <v>250000</v>
      </c>
      <c r="K452" s="161"/>
      <c r="L452" s="46">
        <f t="shared" ref="L452:L457" si="18">J452*H452</f>
        <v>500000</v>
      </c>
    </row>
    <row r="453" spans="2:12" x14ac:dyDescent="0.35">
      <c r="B453" s="116"/>
      <c r="C453" s="191"/>
      <c r="D453" s="191"/>
      <c r="E453" s="108"/>
      <c r="F453" s="109" t="s">
        <v>94</v>
      </c>
      <c r="G453" s="109" t="s">
        <v>356</v>
      </c>
      <c r="H453" s="104">
        <v>3</v>
      </c>
      <c r="I453" s="113" t="s">
        <v>155</v>
      </c>
      <c r="J453" s="161">
        <v>250000</v>
      </c>
      <c r="K453" s="208"/>
      <c r="L453" s="46">
        <f t="shared" si="18"/>
        <v>750000</v>
      </c>
    </row>
    <row r="454" spans="2:12" x14ac:dyDescent="0.35">
      <c r="B454" s="116"/>
      <c r="C454" s="191"/>
      <c r="D454" s="191"/>
      <c r="E454" s="108"/>
      <c r="F454" s="109" t="s">
        <v>94</v>
      </c>
      <c r="G454" s="109" t="s">
        <v>357</v>
      </c>
      <c r="H454" s="104">
        <v>1</v>
      </c>
      <c r="I454" s="113" t="s">
        <v>155</v>
      </c>
      <c r="J454" s="161">
        <v>250000</v>
      </c>
      <c r="K454" s="208"/>
      <c r="L454" s="46">
        <f t="shared" si="18"/>
        <v>250000</v>
      </c>
    </row>
    <row r="455" spans="2:12" x14ac:dyDescent="0.35">
      <c r="B455" s="116"/>
      <c r="C455" s="191"/>
      <c r="D455" s="191"/>
      <c r="E455" s="108"/>
      <c r="F455" s="109" t="s">
        <v>94</v>
      </c>
      <c r="G455" s="109" t="s">
        <v>358</v>
      </c>
      <c r="H455" s="104">
        <v>2</v>
      </c>
      <c r="I455" s="113" t="s">
        <v>155</v>
      </c>
      <c r="J455" s="161">
        <v>250000</v>
      </c>
      <c r="K455" s="208"/>
      <c r="L455" s="46">
        <f t="shared" si="18"/>
        <v>500000</v>
      </c>
    </row>
    <row r="456" spans="2:12" x14ac:dyDescent="0.35">
      <c r="B456" s="116"/>
      <c r="C456" s="191"/>
      <c r="D456" s="191"/>
      <c r="E456" s="108"/>
      <c r="F456" s="109" t="s">
        <v>94</v>
      </c>
      <c r="G456" s="109" t="s">
        <v>359</v>
      </c>
      <c r="H456" s="104">
        <v>2</v>
      </c>
      <c r="I456" s="113" t="s">
        <v>155</v>
      </c>
      <c r="J456" s="161">
        <v>250000</v>
      </c>
      <c r="K456" s="208"/>
      <c r="L456" s="46">
        <f t="shared" si="18"/>
        <v>500000</v>
      </c>
    </row>
    <row r="457" spans="2:12" x14ac:dyDescent="0.35">
      <c r="B457" s="116"/>
      <c r="C457" s="191"/>
      <c r="D457" s="191" t="s">
        <v>49</v>
      </c>
      <c r="E457" s="108"/>
      <c r="F457" s="109" t="s">
        <v>503</v>
      </c>
      <c r="G457" s="109"/>
      <c r="H457" s="104">
        <v>30</v>
      </c>
      <c r="I457" s="113" t="s">
        <v>155</v>
      </c>
      <c r="J457" s="152">
        <v>100000</v>
      </c>
      <c r="K457" s="208"/>
      <c r="L457" s="46">
        <f t="shared" si="18"/>
        <v>3000000</v>
      </c>
    </row>
    <row r="458" spans="2:12" x14ac:dyDescent="0.35">
      <c r="B458" s="116" t="s">
        <v>119</v>
      </c>
      <c r="C458" s="191"/>
      <c r="D458" s="191"/>
      <c r="E458" s="108" t="s">
        <v>100</v>
      </c>
      <c r="F458" s="109"/>
      <c r="G458" s="109"/>
      <c r="H458" s="104"/>
      <c r="I458" s="113"/>
      <c r="J458" s="152"/>
      <c r="K458" s="208"/>
      <c r="L458" s="46"/>
    </row>
    <row r="459" spans="2:12" x14ac:dyDescent="0.35">
      <c r="B459" s="116"/>
      <c r="C459" s="191"/>
      <c r="D459" s="191" t="s">
        <v>44</v>
      </c>
      <c r="E459" s="108"/>
      <c r="F459" s="109" t="s">
        <v>360</v>
      </c>
      <c r="G459" s="109"/>
      <c r="H459" s="104">
        <v>1</v>
      </c>
      <c r="I459" s="113" t="s">
        <v>46</v>
      </c>
      <c r="J459" s="154">
        <v>16000000</v>
      </c>
      <c r="K459" s="50">
        <f>J459*H459</f>
        <v>16000000</v>
      </c>
      <c r="L459" s="46"/>
    </row>
    <row r="460" spans="2:12" x14ac:dyDescent="0.35">
      <c r="B460" s="116"/>
      <c r="C460" s="191"/>
      <c r="D460" s="191" t="s">
        <v>47</v>
      </c>
      <c r="E460" s="108"/>
      <c r="F460" s="109" t="s">
        <v>382</v>
      </c>
      <c r="G460" s="109"/>
      <c r="H460" s="104">
        <v>2</v>
      </c>
      <c r="I460" s="113" t="s">
        <v>105</v>
      </c>
      <c r="J460" s="161">
        <v>15000000</v>
      </c>
      <c r="K460" s="208">
        <f>J460*H460</f>
        <v>30000000</v>
      </c>
      <c r="L460" s="46"/>
    </row>
    <row r="461" spans="2:12" x14ac:dyDescent="0.35">
      <c r="B461" s="264"/>
      <c r="C461" s="226"/>
      <c r="D461" s="191"/>
      <c r="E461" s="108"/>
      <c r="F461" s="109" t="s">
        <v>94</v>
      </c>
      <c r="G461" s="109" t="s">
        <v>383</v>
      </c>
      <c r="H461" s="163">
        <v>1</v>
      </c>
      <c r="I461" s="167" t="s">
        <v>93</v>
      </c>
      <c r="J461" s="161"/>
      <c r="K461" s="223"/>
      <c r="L461" s="46"/>
    </row>
    <row r="462" spans="2:12" x14ac:dyDescent="0.35">
      <c r="B462" s="47"/>
      <c r="C462" s="183"/>
      <c r="D462" s="191"/>
      <c r="E462" s="108"/>
      <c r="F462" s="109" t="s">
        <v>94</v>
      </c>
      <c r="G462" s="113" t="s">
        <v>384</v>
      </c>
      <c r="H462" s="265">
        <v>2</v>
      </c>
      <c r="I462" s="167" t="s">
        <v>93</v>
      </c>
      <c r="J462" s="152"/>
      <c r="K462" s="208"/>
      <c r="L462" s="29"/>
    </row>
    <row r="463" spans="2:12" x14ac:dyDescent="0.35">
      <c r="B463" s="47"/>
      <c r="C463" s="183"/>
      <c r="D463" s="24"/>
      <c r="G463" s="22"/>
      <c r="I463" s="22"/>
      <c r="J463" s="49"/>
      <c r="K463" s="29"/>
      <c r="L463" s="51"/>
    </row>
    <row r="464" spans="2:12" x14ac:dyDescent="0.35">
      <c r="B464" s="47"/>
      <c r="C464" s="183"/>
      <c r="D464" s="24"/>
      <c r="G464" s="22"/>
      <c r="I464" s="22"/>
      <c r="J464" s="49"/>
      <c r="K464" s="29"/>
      <c r="L464" s="51"/>
    </row>
    <row r="465" spans="2:12" x14ac:dyDescent="0.35">
      <c r="B465" s="47"/>
      <c r="C465" s="183"/>
      <c r="D465" s="24"/>
      <c r="G465" s="22"/>
      <c r="I465" s="22"/>
      <c r="J465" s="49"/>
      <c r="K465" s="29"/>
      <c r="L465" s="51"/>
    </row>
    <row r="466" spans="2:12" x14ac:dyDescent="0.35">
      <c r="B466" s="47"/>
      <c r="C466" s="183"/>
      <c r="D466" s="24"/>
      <c r="G466" s="22"/>
      <c r="I466" s="22"/>
      <c r="J466" s="49"/>
      <c r="K466" s="29"/>
      <c r="L466" s="51"/>
    </row>
    <row r="467" spans="2:12" x14ac:dyDescent="0.35">
      <c r="B467" s="47"/>
      <c r="C467" s="183"/>
      <c r="D467" s="24"/>
      <c r="G467" s="22"/>
      <c r="I467" s="22"/>
      <c r="J467" s="49"/>
      <c r="K467" s="29"/>
      <c r="L467" s="51"/>
    </row>
    <row r="468" spans="2:12" x14ac:dyDescent="0.35">
      <c r="B468" s="47"/>
      <c r="C468" s="183"/>
      <c r="D468" s="24"/>
      <c r="G468" s="22"/>
      <c r="I468" s="22"/>
      <c r="J468" s="49"/>
      <c r="K468" s="29"/>
      <c r="L468" s="51"/>
    </row>
    <row r="469" spans="2:12" x14ac:dyDescent="0.35">
      <c r="B469" s="47"/>
      <c r="C469" s="183"/>
      <c r="D469" s="24"/>
      <c r="G469" s="22"/>
      <c r="I469" s="22"/>
      <c r="J469" s="49"/>
      <c r="K469" s="29"/>
      <c r="L469" s="51"/>
    </row>
    <row r="470" spans="2:12" x14ac:dyDescent="0.35">
      <c r="B470" s="47"/>
      <c r="C470" s="183"/>
      <c r="D470" s="24"/>
      <c r="G470" s="22"/>
      <c r="I470" s="22"/>
      <c r="J470" s="49"/>
      <c r="K470" s="29"/>
      <c r="L470" s="51"/>
    </row>
    <row r="471" spans="2:12" x14ac:dyDescent="0.35">
      <c r="B471" s="47"/>
      <c r="C471" s="183"/>
      <c r="D471" s="24"/>
      <c r="G471" s="22"/>
      <c r="I471" s="22"/>
      <c r="J471" s="49"/>
      <c r="K471" s="29"/>
      <c r="L471" s="51"/>
    </row>
    <row r="472" spans="2:12" x14ac:dyDescent="0.35">
      <c r="B472" s="47"/>
      <c r="C472" s="183"/>
      <c r="D472" s="24"/>
      <c r="G472" s="22"/>
      <c r="I472" s="22"/>
      <c r="J472" s="49"/>
      <c r="K472" s="29"/>
      <c r="L472" s="51"/>
    </row>
    <row r="473" spans="2:12" x14ac:dyDescent="0.35">
      <c r="B473" s="47"/>
      <c r="C473" s="183"/>
      <c r="D473" s="24"/>
      <c r="G473" s="22"/>
      <c r="I473" s="22"/>
      <c r="J473" s="49"/>
      <c r="K473" s="29"/>
      <c r="L473" s="51"/>
    </row>
    <row r="474" spans="2:12" x14ac:dyDescent="0.35">
      <c r="B474" s="47"/>
      <c r="C474" s="183"/>
      <c r="D474" s="24"/>
      <c r="G474" s="22"/>
      <c r="I474" s="22"/>
      <c r="J474" s="49"/>
      <c r="K474" s="29"/>
      <c r="L474" s="51"/>
    </row>
    <row r="475" spans="2:12" x14ac:dyDescent="0.35">
      <c r="B475" s="8"/>
      <c r="C475" s="9"/>
      <c r="D475" s="10"/>
      <c r="E475" s="4"/>
      <c r="F475" s="4"/>
      <c r="G475" s="4"/>
      <c r="H475" s="1"/>
      <c r="I475" s="1"/>
      <c r="J475" s="11" t="s">
        <v>8</v>
      </c>
      <c r="K475" s="7">
        <f>SUM(K422:K474)</f>
        <v>64000000</v>
      </c>
      <c r="L475" s="7">
        <f>SUM(L422:L474)</f>
        <v>10319885</v>
      </c>
    </row>
    <row r="476" spans="2:12" x14ac:dyDescent="0.35">
      <c r="B476" s="8"/>
      <c r="C476" s="9"/>
      <c r="D476" s="9"/>
      <c r="E476" s="4"/>
      <c r="F476" s="4"/>
      <c r="G476" s="4"/>
      <c r="H476" s="1"/>
      <c r="I476" s="1"/>
      <c r="J476" s="11"/>
      <c r="K476" s="35" t="s">
        <v>21</v>
      </c>
      <c r="L476" s="36" t="s">
        <v>22</v>
      </c>
    </row>
    <row r="477" spans="2:12" x14ac:dyDescent="0.35">
      <c r="B477" s="3" t="s">
        <v>9</v>
      </c>
      <c r="C477" s="4"/>
      <c r="D477" s="4"/>
      <c r="E477" s="4"/>
      <c r="F477" s="4"/>
      <c r="G477" s="4"/>
      <c r="H477" s="1"/>
      <c r="I477" s="1"/>
      <c r="J477" s="12"/>
      <c r="K477" s="12"/>
      <c r="L477" s="13"/>
    </row>
    <row r="478" spans="2:12" x14ac:dyDescent="0.35">
      <c r="B478" s="37"/>
      <c r="C478" s="1"/>
      <c r="D478" s="1"/>
      <c r="E478" s="38"/>
      <c r="F478" s="38"/>
      <c r="G478" s="38"/>
      <c r="H478" s="1"/>
      <c r="I478" s="1"/>
      <c r="J478" s="1"/>
      <c r="K478" s="1"/>
      <c r="L478" s="19"/>
    </row>
    <row r="479" spans="2:12" x14ac:dyDescent="0.35">
      <c r="B479" s="28" t="s">
        <v>6</v>
      </c>
      <c r="C479" s="27"/>
      <c r="D479" s="27"/>
      <c r="E479" s="26"/>
      <c r="F479" s="26"/>
      <c r="G479" s="5"/>
      <c r="K479" s="271" t="s">
        <v>423</v>
      </c>
      <c r="L479" s="272"/>
    </row>
    <row r="480" spans="2:12" x14ac:dyDescent="0.35">
      <c r="B480" s="28">
        <v>1</v>
      </c>
      <c r="C480" s="27"/>
      <c r="D480" s="27"/>
      <c r="E480" s="26" t="s">
        <v>7</v>
      </c>
      <c r="F480" s="26"/>
      <c r="G480" s="5"/>
      <c r="K480" s="271" t="s">
        <v>27</v>
      </c>
      <c r="L480" s="272"/>
    </row>
    <row r="481" spans="2:12" x14ac:dyDescent="0.35">
      <c r="B481" s="39"/>
      <c r="C481" s="27"/>
      <c r="D481" s="27"/>
      <c r="E481" s="26"/>
      <c r="F481" s="26"/>
      <c r="G481" s="5"/>
      <c r="J481" s="25"/>
      <c r="K481" s="25"/>
      <c r="L481" s="24"/>
    </row>
    <row r="482" spans="2:12" x14ac:dyDescent="0.35">
      <c r="B482" s="28"/>
      <c r="C482" s="27"/>
      <c r="D482" s="27"/>
      <c r="E482" s="26"/>
      <c r="F482" s="26"/>
      <c r="G482" s="5"/>
      <c r="L482" s="22"/>
    </row>
    <row r="483" spans="2:12" x14ac:dyDescent="0.35">
      <c r="B483" s="45"/>
      <c r="E483" s="5"/>
      <c r="F483" s="5"/>
      <c r="G483" s="5"/>
      <c r="L483" s="22"/>
    </row>
    <row r="484" spans="2:12" x14ac:dyDescent="0.35">
      <c r="B484" s="45"/>
      <c r="E484" s="5"/>
      <c r="F484" s="5"/>
      <c r="G484" s="5"/>
      <c r="L484" s="22"/>
    </row>
    <row r="485" spans="2:12" x14ac:dyDescent="0.35">
      <c r="B485" s="45"/>
      <c r="E485" s="5"/>
      <c r="F485" s="5"/>
      <c r="G485" s="5"/>
      <c r="L485" s="22"/>
    </row>
    <row r="486" spans="2:12" x14ac:dyDescent="0.35">
      <c r="B486" s="45"/>
      <c r="E486" s="5"/>
      <c r="F486" s="5"/>
      <c r="G486" s="5"/>
      <c r="J486" s="40"/>
      <c r="K486" s="273" t="s">
        <v>35</v>
      </c>
      <c r="L486" s="274"/>
    </row>
    <row r="487" spans="2:12" x14ac:dyDescent="0.35">
      <c r="B487" s="45"/>
      <c r="K487" s="277" t="s">
        <v>36</v>
      </c>
      <c r="L487" s="278"/>
    </row>
    <row r="488" spans="2:12" x14ac:dyDescent="0.35">
      <c r="B488" s="275"/>
      <c r="C488" s="276"/>
      <c r="D488" s="276"/>
      <c r="E488" s="41"/>
      <c r="F488" s="41"/>
      <c r="G488" s="41"/>
      <c r="H488" s="2"/>
      <c r="I488" s="2"/>
      <c r="J488" s="2"/>
      <c r="K488" s="2"/>
      <c r="L488" s="21"/>
    </row>
    <row r="489" spans="2:12" x14ac:dyDescent="0.35">
      <c r="B489" s="47"/>
      <c r="C489" s="183"/>
      <c r="D489" s="48"/>
      <c r="G489" s="22"/>
      <c r="H489" s="1"/>
      <c r="I489" s="1"/>
      <c r="J489" s="43"/>
      <c r="K489" s="30"/>
      <c r="L489" s="44"/>
    </row>
    <row r="490" spans="2:12" x14ac:dyDescent="0.35">
      <c r="B490" s="116"/>
      <c r="C490" s="191"/>
      <c r="D490" s="191"/>
      <c r="E490" s="108"/>
      <c r="F490" s="109" t="s">
        <v>361</v>
      </c>
      <c r="G490" s="109"/>
      <c r="H490" s="104"/>
      <c r="I490" s="113"/>
      <c r="J490" s="152"/>
      <c r="K490" s="208"/>
      <c r="L490" s="46"/>
    </row>
    <row r="491" spans="2:12" x14ac:dyDescent="0.35">
      <c r="B491" s="116" t="s">
        <v>43</v>
      </c>
      <c r="C491" s="191"/>
      <c r="D491" s="191"/>
      <c r="E491" s="108" t="s">
        <v>17</v>
      </c>
      <c r="F491" s="109"/>
      <c r="G491" s="109"/>
      <c r="H491" s="104"/>
      <c r="I491" s="113"/>
      <c r="J491" s="154"/>
      <c r="K491" s="50"/>
      <c r="L491" s="46"/>
    </row>
    <row r="492" spans="2:12" x14ac:dyDescent="0.35">
      <c r="B492" s="116"/>
      <c r="C492" s="191" t="s">
        <v>143</v>
      </c>
      <c r="D492" s="191"/>
      <c r="E492" s="108"/>
      <c r="F492" s="109" t="s">
        <v>287</v>
      </c>
      <c r="G492" s="109"/>
      <c r="H492" s="104"/>
      <c r="I492" s="113"/>
      <c r="J492" s="162"/>
      <c r="K492" s="51"/>
      <c r="L492" s="46"/>
    </row>
    <row r="493" spans="2:12" x14ac:dyDescent="0.35">
      <c r="B493" s="116"/>
      <c r="C493" s="191"/>
      <c r="D493" s="191" t="s">
        <v>44</v>
      </c>
      <c r="E493" s="108"/>
      <c r="F493" s="109" t="s">
        <v>504</v>
      </c>
      <c r="G493" s="109"/>
      <c r="H493" s="104">
        <v>1</v>
      </c>
      <c r="I493" s="113" t="s">
        <v>105</v>
      </c>
      <c r="J493" s="154">
        <v>4750000</v>
      </c>
      <c r="K493" s="208">
        <f>J493*H493</f>
        <v>4750000</v>
      </c>
      <c r="L493" s="46"/>
    </row>
    <row r="494" spans="2:12" x14ac:dyDescent="0.35">
      <c r="B494" s="116"/>
      <c r="C494" s="191"/>
      <c r="D494" s="191"/>
      <c r="E494" s="108"/>
      <c r="F494" s="109" t="s">
        <v>94</v>
      </c>
      <c r="G494" s="109" t="s">
        <v>476</v>
      </c>
      <c r="H494" s="163">
        <v>1500</v>
      </c>
      <c r="I494" s="167" t="s">
        <v>153</v>
      </c>
      <c r="J494" s="266">
        <v>1676</v>
      </c>
      <c r="K494" s="247"/>
      <c r="L494" s="46"/>
    </row>
    <row r="495" spans="2:12" x14ac:dyDescent="0.35">
      <c r="B495" s="116"/>
      <c r="C495" s="191"/>
      <c r="D495" s="191"/>
      <c r="E495" s="108"/>
      <c r="F495" s="109" t="s">
        <v>94</v>
      </c>
      <c r="G495" s="109" t="s">
        <v>477</v>
      </c>
      <c r="H495" s="163">
        <v>5.8875000000000002</v>
      </c>
      <c r="I495" s="167" t="s">
        <v>147</v>
      </c>
      <c r="J495" s="267">
        <v>30000</v>
      </c>
      <c r="K495" s="50"/>
      <c r="L495" s="46"/>
    </row>
    <row r="496" spans="2:12" x14ac:dyDescent="0.35">
      <c r="B496" s="116"/>
      <c r="C496" s="191"/>
      <c r="D496" s="191"/>
      <c r="E496" s="108"/>
      <c r="F496" s="109" t="s">
        <v>94</v>
      </c>
      <c r="G496" s="103" t="s">
        <v>505</v>
      </c>
      <c r="H496" s="163">
        <v>9.5456999999999983</v>
      </c>
      <c r="I496" s="164" t="s">
        <v>160</v>
      </c>
      <c r="J496" s="268">
        <v>30000</v>
      </c>
      <c r="K496" s="50"/>
      <c r="L496" s="46"/>
    </row>
    <row r="497" spans="2:12" x14ac:dyDescent="0.35">
      <c r="B497" s="116"/>
      <c r="C497" s="191"/>
      <c r="D497" s="191"/>
      <c r="E497" s="108"/>
      <c r="F497" s="109" t="s">
        <v>94</v>
      </c>
      <c r="G497" s="103" t="s">
        <v>479</v>
      </c>
      <c r="H497" s="163">
        <v>20.347199999999997</v>
      </c>
      <c r="I497" s="164" t="s">
        <v>147</v>
      </c>
      <c r="J497" s="268">
        <v>30000</v>
      </c>
      <c r="K497" s="50"/>
      <c r="L497" s="46"/>
    </row>
    <row r="498" spans="2:12" x14ac:dyDescent="0.35">
      <c r="B498" s="116"/>
      <c r="C498" s="191"/>
      <c r="D498" s="191"/>
      <c r="E498" s="108"/>
      <c r="F498" s="109" t="s">
        <v>94</v>
      </c>
      <c r="G498" s="103" t="s">
        <v>506</v>
      </c>
      <c r="H498" s="163">
        <v>2</v>
      </c>
      <c r="I498" s="164" t="s">
        <v>160</v>
      </c>
      <c r="J498" s="267">
        <v>30000</v>
      </c>
      <c r="K498" s="50"/>
      <c r="L498" s="46"/>
    </row>
    <row r="499" spans="2:12" x14ac:dyDescent="0.35">
      <c r="B499" s="116"/>
      <c r="C499" s="191" t="s">
        <v>149</v>
      </c>
      <c r="D499" s="191"/>
      <c r="E499" s="108"/>
      <c r="F499" s="109" t="s">
        <v>250</v>
      </c>
      <c r="G499" s="109"/>
      <c r="H499" s="104"/>
      <c r="I499" s="113"/>
      <c r="J499" s="152"/>
      <c r="K499" s="208"/>
      <c r="L499" s="46"/>
    </row>
    <row r="500" spans="2:12" x14ac:dyDescent="0.35">
      <c r="B500" s="116"/>
      <c r="C500" s="191"/>
      <c r="D500" s="191" t="s">
        <v>44</v>
      </c>
      <c r="E500" s="108"/>
      <c r="F500" s="109" t="s">
        <v>295</v>
      </c>
      <c r="G500" s="109"/>
      <c r="H500" s="104">
        <v>1</v>
      </c>
      <c r="I500" s="113" t="s">
        <v>105</v>
      </c>
      <c r="J500" s="152">
        <v>7800000</v>
      </c>
      <c r="K500" s="208">
        <f>J500*H500</f>
        <v>7800000</v>
      </c>
      <c r="L500" s="46"/>
    </row>
    <row r="501" spans="2:12" x14ac:dyDescent="0.35">
      <c r="B501" s="116"/>
      <c r="C501" s="191"/>
      <c r="D501" s="191"/>
      <c r="E501" s="108"/>
      <c r="F501" s="109" t="s">
        <v>94</v>
      </c>
      <c r="G501" s="109" t="s">
        <v>296</v>
      </c>
      <c r="H501" s="163">
        <v>1</v>
      </c>
      <c r="I501" s="167" t="s">
        <v>93</v>
      </c>
      <c r="J501" s="231"/>
      <c r="K501" s="50"/>
      <c r="L501" s="46"/>
    </row>
    <row r="502" spans="2:12" x14ac:dyDescent="0.35">
      <c r="B502" s="116"/>
      <c r="C502" s="191" t="s">
        <v>161</v>
      </c>
      <c r="D502" s="191"/>
      <c r="E502" s="108"/>
      <c r="F502" s="109" t="s">
        <v>362</v>
      </c>
      <c r="G502" s="109"/>
      <c r="H502" s="104">
        <v>1</v>
      </c>
      <c r="I502" s="113" t="s">
        <v>46</v>
      </c>
      <c r="J502" s="51">
        <v>1000000</v>
      </c>
      <c r="K502" s="208">
        <f>J502*H502</f>
        <v>1000000</v>
      </c>
      <c r="L502" s="46"/>
    </row>
    <row r="503" spans="2:12" x14ac:dyDescent="0.35">
      <c r="B503" s="116" t="s">
        <v>80</v>
      </c>
      <c r="C503" s="191"/>
      <c r="D503" s="191"/>
      <c r="E503" s="108" t="s">
        <v>142</v>
      </c>
      <c r="F503" s="109"/>
      <c r="G503" s="109"/>
      <c r="H503" s="104"/>
      <c r="I503" s="113"/>
      <c r="J503" s="51"/>
      <c r="K503" s="208"/>
      <c r="L503" s="46"/>
    </row>
    <row r="504" spans="2:12" x14ac:dyDescent="0.35">
      <c r="B504" s="116"/>
      <c r="C504" s="191" t="s">
        <v>254</v>
      </c>
      <c r="D504" s="191"/>
      <c r="E504" s="108"/>
      <c r="F504" s="109" t="s">
        <v>150</v>
      </c>
      <c r="G504" s="109"/>
      <c r="H504" s="104"/>
      <c r="I504" s="113"/>
      <c r="J504" s="51"/>
      <c r="K504" s="208"/>
      <c r="L504" s="46"/>
    </row>
    <row r="505" spans="2:12" x14ac:dyDescent="0.35">
      <c r="B505" s="116"/>
      <c r="C505" s="191"/>
      <c r="D505" s="191" t="s">
        <v>44</v>
      </c>
      <c r="E505" s="108"/>
      <c r="F505" s="109" t="s">
        <v>363</v>
      </c>
      <c r="G505" s="109"/>
      <c r="H505" s="104"/>
      <c r="I505" s="113"/>
      <c r="J505" s="51"/>
      <c r="K505" s="208"/>
      <c r="L505" s="46"/>
    </row>
    <row r="506" spans="2:12" x14ac:dyDescent="0.35">
      <c r="B506" s="116"/>
      <c r="C506" s="191"/>
      <c r="D506" s="191"/>
      <c r="E506" s="108"/>
      <c r="F506" s="109" t="s">
        <v>94</v>
      </c>
      <c r="G506" s="109" t="s">
        <v>507</v>
      </c>
      <c r="H506" s="104">
        <v>7.4606399999999997</v>
      </c>
      <c r="I506" s="113" t="s">
        <v>147</v>
      </c>
      <c r="J506" s="152">
        <v>30000</v>
      </c>
      <c r="K506" s="50"/>
      <c r="L506" s="46">
        <f t="shared" ref="L506:L511" si="19">J506*H506</f>
        <v>223819.19999999998</v>
      </c>
    </row>
    <row r="507" spans="2:12" x14ac:dyDescent="0.35">
      <c r="B507" s="116"/>
      <c r="C507" s="191"/>
      <c r="D507" s="191"/>
      <c r="E507" s="108"/>
      <c r="F507" s="109" t="s">
        <v>94</v>
      </c>
      <c r="G507" s="109" t="s">
        <v>508</v>
      </c>
      <c r="H507" s="104">
        <v>4.5215999999999994</v>
      </c>
      <c r="I507" s="113" t="s">
        <v>147</v>
      </c>
      <c r="J507" s="152">
        <v>30000</v>
      </c>
      <c r="K507" s="153"/>
      <c r="L507" s="46">
        <f t="shared" si="19"/>
        <v>135647.99999999997</v>
      </c>
    </row>
    <row r="508" spans="2:12" x14ac:dyDescent="0.35">
      <c r="B508" s="116"/>
      <c r="C508" s="191"/>
      <c r="D508" s="191"/>
      <c r="E508" s="108"/>
      <c r="F508" s="109" t="s">
        <v>94</v>
      </c>
      <c r="G508" s="109" t="s">
        <v>366</v>
      </c>
      <c r="H508" s="104">
        <v>10.5504</v>
      </c>
      <c r="I508" s="113" t="s">
        <v>147</v>
      </c>
      <c r="J508" s="152">
        <v>30000</v>
      </c>
      <c r="K508" s="50"/>
      <c r="L508" s="46">
        <f t="shared" si="19"/>
        <v>316512</v>
      </c>
    </row>
    <row r="509" spans="2:12" x14ac:dyDescent="0.35">
      <c r="B509" s="116"/>
      <c r="C509" s="191"/>
      <c r="D509" s="191"/>
      <c r="E509" s="108"/>
      <c r="F509" s="109" t="s">
        <v>94</v>
      </c>
      <c r="G509" s="109" t="s">
        <v>367</v>
      </c>
      <c r="H509" s="104">
        <v>15.516623999999998</v>
      </c>
      <c r="I509" s="113" t="s">
        <v>147</v>
      </c>
      <c r="J509" s="152">
        <v>30000</v>
      </c>
      <c r="K509" s="208"/>
      <c r="L509" s="46">
        <f t="shared" si="19"/>
        <v>465498.72</v>
      </c>
    </row>
    <row r="510" spans="2:12" x14ac:dyDescent="0.35">
      <c r="B510" s="116"/>
      <c r="C510" s="191"/>
      <c r="D510" s="191"/>
      <c r="E510" s="108"/>
      <c r="F510" s="109" t="s">
        <v>94</v>
      </c>
      <c r="G510" s="109" t="s">
        <v>368</v>
      </c>
      <c r="H510" s="104">
        <v>7.9127999999999989</v>
      </c>
      <c r="I510" s="113" t="s">
        <v>147</v>
      </c>
      <c r="J510" s="152">
        <v>30000</v>
      </c>
      <c r="K510" s="208"/>
      <c r="L510" s="46">
        <f t="shared" si="19"/>
        <v>237383.99999999997</v>
      </c>
    </row>
    <row r="511" spans="2:12" x14ac:dyDescent="0.35">
      <c r="B511" s="116"/>
      <c r="C511" s="191"/>
      <c r="D511" s="191"/>
      <c r="E511" s="108"/>
      <c r="F511" s="109" t="s">
        <v>94</v>
      </c>
      <c r="G511" s="109" t="s">
        <v>509</v>
      </c>
      <c r="H511" s="104">
        <v>4.0091519999999994</v>
      </c>
      <c r="I511" s="113" t="s">
        <v>147</v>
      </c>
      <c r="J511" s="152">
        <v>30000</v>
      </c>
      <c r="K511" s="153"/>
      <c r="L511" s="46">
        <f t="shared" si="19"/>
        <v>120274.55999999998</v>
      </c>
    </row>
    <row r="512" spans="2:12" x14ac:dyDescent="0.35">
      <c r="B512" s="47"/>
      <c r="C512" s="183"/>
      <c r="D512" s="24"/>
      <c r="G512" s="22"/>
      <c r="I512" s="22"/>
      <c r="J512" s="49"/>
      <c r="K512" s="29"/>
      <c r="L512" s="51"/>
    </row>
    <row r="513" spans="2:12" x14ac:dyDescent="0.35">
      <c r="B513" s="47"/>
      <c r="C513" s="183"/>
      <c r="D513" s="24"/>
      <c r="G513" s="22"/>
      <c r="I513" s="22"/>
      <c r="J513" s="49"/>
      <c r="K513" s="29"/>
      <c r="L513" s="51"/>
    </row>
    <row r="514" spans="2:12" x14ac:dyDescent="0.35">
      <c r="B514" s="47"/>
      <c r="C514" s="183"/>
      <c r="D514" s="24"/>
      <c r="G514" s="22"/>
      <c r="I514" s="22"/>
      <c r="J514" s="49"/>
      <c r="K514" s="29"/>
      <c r="L514" s="51"/>
    </row>
    <row r="515" spans="2:12" x14ac:dyDescent="0.35">
      <c r="B515" s="47"/>
      <c r="C515" s="183"/>
      <c r="D515" s="24"/>
      <c r="G515" s="22"/>
      <c r="I515" s="22"/>
      <c r="J515" s="49"/>
      <c r="K515" s="29"/>
      <c r="L515" s="51"/>
    </row>
    <row r="516" spans="2:12" x14ac:dyDescent="0.35">
      <c r="B516" s="47"/>
      <c r="C516" s="183"/>
      <c r="D516" s="24"/>
      <c r="G516" s="22"/>
      <c r="I516" s="22"/>
      <c r="J516" s="49"/>
      <c r="K516" s="29"/>
      <c r="L516" s="51"/>
    </row>
    <row r="517" spans="2:12" x14ac:dyDescent="0.35">
      <c r="B517" s="47"/>
      <c r="C517" s="183"/>
      <c r="D517" s="24"/>
      <c r="G517" s="22"/>
      <c r="I517" s="22"/>
      <c r="J517" s="49"/>
      <c r="K517" s="29"/>
      <c r="L517" s="51"/>
    </row>
    <row r="518" spans="2:12" x14ac:dyDescent="0.35">
      <c r="B518" s="47"/>
      <c r="C518" s="183"/>
      <c r="D518" s="24"/>
      <c r="G518" s="22"/>
      <c r="I518" s="22"/>
      <c r="J518" s="49"/>
      <c r="K518" s="29"/>
      <c r="L518" s="51"/>
    </row>
    <row r="519" spans="2:12" x14ac:dyDescent="0.35">
      <c r="B519" s="47"/>
      <c r="C519" s="183"/>
      <c r="D519" s="24"/>
      <c r="G519" s="22"/>
      <c r="I519" s="22"/>
      <c r="J519" s="49"/>
      <c r="K519" s="29"/>
      <c r="L519" s="51"/>
    </row>
    <row r="520" spans="2:12" x14ac:dyDescent="0.35">
      <c r="B520" s="47"/>
      <c r="C520" s="183"/>
      <c r="D520" s="24"/>
      <c r="G520" s="22"/>
      <c r="I520" s="22"/>
      <c r="J520" s="49"/>
      <c r="K520" s="29"/>
      <c r="L520" s="51"/>
    </row>
    <row r="521" spans="2:12" x14ac:dyDescent="0.35">
      <c r="B521" s="47"/>
      <c r="C521" s="183"/>
      <c r="D521" s="24"/>
      <c r="G521" s="22"/>
      <c r="I521" s="22"/>
      <c r="J521" s="49"/>
      <c r="K521" s="29"/>
      <c r="L521" s="51"/>
    </row>
    <row r="522" spans="2:12" x14ac:dyDescent="0.35">
      <c r="B522" s="47"/>
      <c r="C522" s="183"/>
      <c r="D522" s="24"/>
      <c r="G522" s="22"/>
      <c r="I522" s="22"/>
      <c r="J522" s="49"/>
      <c r="K522" s="29"/>
      <c r="L522" s="51"/>
    </row>
    <row r="523" spans="2:12" x14ac:dyDescent="0.35">
      <c r="B523" s="47"/>
      <c r="C523" s="183"/>
      <c r="D523" s="24"/>
      <c r="G523" s="22"/>
      <c r="I523" s="22"/>
      <c r="J523" s="49"/>
      <c r="K523" s="29"/>
      <c r="L523" s="51"/>
    </row>
    <row r="524" spans="2:12" x14ac:dyDescent="0.35">
      <c r="B524" s="47"/>
      <c r="C524" s="183"/>
      <c r="D524" s="24"/>
      <c r="G524" s="22"/>
      <c r="I524" s="22"/>
      <c r="J524" s="49"/>
      <c r="K524" s="29"/>
      <c r="L524" s="51"/>
    </row>
    <row r="525" spans="2:12" x14ac:dyDescent="0.35">
      <c r="B525" s="47"/>
      <c r="C525" s="183"/>
      <c r="D525" s="24"/>
      <c r="G525" s="22"/>
      <c r="I525" s="22"/>
      <c r="J525" s="49"/>
      <c r="K525" s="29"/>
      <c r="L525" s="51"/>
    </row>
    <row r="526" spans="2:12" x14ac:dyDescent="0.35">
      <c r="B526" s="8"/>
      <c r="C526" s="9"/>
      <c r="D526" s="10"/>
      <c r="E526" s="4"/>
      <c r="F526" s="4"/>
      <c r="G526" s="4"/>
      <c r="H526" s="1"/>
      <c r="I526" s="1"/>
      <c r="J526" s="11" t="s">
        <v>8</v>
      </c>
      <c r="K526" s="7">
        <f>SUM(K489:K525)</f>
        <v>13550000</v>
      </c>
      <c r="L526" s="7">
        <f>SUM(L489:L525)</f>
        <v>1499136.48</v>
      </c>
    </row>
    <row r="527" spans="2:12" x14ac:dyDescent="0.35">
      <c r="B527" s="8"/>
      <c r="C527" s="9"/>
      <c r="D527" s="9"/>
      <c r="E527" s="4"/>
      <c r="F527" s="4"/>
      <c r="G527" s="4"/>
      <c r="H527" s="1"/>
      <c r="I527" s="1"/>
      <c r="J527" s="11"/>
      <c r="K527" s="35" t="s">
        <v>21</v>
      </c>
      <c r="L527" s="36" t="s">
        <v>22</v>
      </c>
    </row>
    <row r="528" spans="2:12" x14ac:dyDescent="0.35">
      <c r="B528" s="3" t="s">
        <v>9</v>
      </c>
      <c r="C528" s="4"/>
      <c r="D528" s="4"/>
      <c r="E528" s="4"/>
      <c r="F528" s="4"/>
      <c r="G528" s="4"/>
      <c r="H528" s="1"/>
      <c r="I528" s="1"/>
      <c r="J528" s="12"/>
      <c r="K528" s="12"/>
      <c r="L528" s="13"/>
    </row>
    <row r="529" spans="2:12" x14ac:dyDescent="0.35">
      <c r="B529" s="37"/>
      <c r="C529" s="1"/>
      <c r="D529" s="1"/>
      <c r="E529" s="38"/>
      <c r="F529" s="38"/>
      <c r="G529" s="38"/>
      <c r="H529" s="1"/>
      <c r="I529" s="1"/>
      <c r="J529" s="1"/>
      <c r="K529" s="1"/>
      <c r="L529" s="19"/>
    </row>
    <row r="530" spans="2:12" x14ac:dyDescent="0.35">
      <c r="B530" s="28" t="s">
        <v>6</v>
      </c>
      <c r="C530" s="27"/>
      <c r="D530" s="27"/>
      <c r="E530" s="26"/>
      <c r="F530" s="26"/>
      <c r="G530" s="5"/>
      <c r="K530" s="271" t="s">
        <v>423</v>
      </c>
      <c r="L530" s="272"/>
    </row>
    <row r="531" spans="2:12" x14ac:dyDescent="0.35">
      <c r="B531" s="28">
        <v>1</v>
      </c>
      <c r="C531" s="27"/>
      <c r="D531" s="27"/>
      <c r="E531" s="26" t="s">
        <v>7</v>
      </c>
      <c r="F531" s="26"/>
      <c r="G531" s="5"/>
      <c r="K531" s="271" t="s">
        <v>27</v>
      </c>
      <c r="L531" s="272"/>
    </row>
    <row r="532" spans="2:12" x14ac:dyDescent="0.35">
      <c r="B532" s="39"/>
      <c r="C532" s="27"/>
      <c r="D532" s="27"/>
      <c r="E532" s="26"/>
      <c r="F532" s="26"/>
      <c r="G532" s="5"/>
      <c r="J532" s="25"/>
      <c r="K532" s="25"/>
      <c r="L532" s="24"/>
    </row>
    <row r="533" spans="2:12" x14ac:dyDescent="0.35">
      <c r="B533" s="28"/>
      <c r="C533" s="27"/>
      <c r="D533" s="27"/>
      <c r="E533" s="26"/>
      <c r="F533" s="26"/>
      <c r="G533" s="5"/>
      <c r="L533" s="22"/>
    </row>
    <row r="534" spans="2:12" x14ac:dyDescent="0.35">
      <c r="B534" s="45"/>
      <c r="E534" s="5"/>
      <c r="F534" s="5"/>
      <c r="G534" s="5"/>
      <c r="L534" s="22"/>
    </row>
    <row r="535" spans="2:12" x14ac:dyDescent="0.35">
      <c r="B535" s="45"/>
      <c r="E535" s="5"/>
      <c r="F535" s="5"/>
      <c r="G535" s="5"/>
      <c r="L535" s="22"/>
    </row>
    <row r="536" spans="2:12" x14ac:dyDescent="0.35">
      <c r="B536" s="45"/>
      <c r="E536" s="5"/>
      <c r="F536" s="5"/>
      <c r="G536" s="5"/>
      <c r="L536" s="22"/>
    </row>
    <row r="537" spans="2:12" x14ac:dyDescent="0.35">
      <c r="B537" s="45"/>
      <c r="E537" s="5"/>
      <c r="F537" s="5"/>
      <c r="G537" s="5"/>
      <c r="J537" s="40"/>
      <c r="K537" s="273" t="s">
        <v>35</v>
      </c>
      <c r="L537" s="274"/>
    </row>
    <row r="538" spans="2:12" x14ac:dyDescent="0.35">
      <c r="B538" s="45"/>
      <c r="K538" s="277" t="s">
        <v>36</v>
      </c>
      <c r="L538" s="278"/>
    </row>
    <row r="539" spans="2:12" x14ac:dyDescent="0.35">
      <c r="B539" s="275"/>
      <c r="C539" s="276"/>
      <c r="D539" s="276"/>
      <c r="E539" s="41"/>
      <c r="F539" s="41"/>
      <c r="G539" s="41"/>
      <c r="H539" s="2"/>
      <c r="I539" s="2"/>
      <c r="J539" s="2"/>
      <c r="K539" s="2"/>
      <c r="L539" s="21"/>
    </row>
  </sheetData>
  <mergeCells count="47">
    <mergeCell ref="L18:L19"/>
    <mergeCell ref="F15:G15"/>
    <mergeCell ref="B18:D19"/>
    <mergeCell ref="E18:G19"/>
    <mergeCell ref="H18:I19"/>
    <mergeCell ref="J18:J19"/>
    <mergeCell ref="K18:K19"/>
    <mergeCell ref="K286:L286"/>
    <mergeCell ref="B220:D220"/>
    <mergeCell ref="K144:L144"/>
    <mergeCell ref="K145:L145"/>
    <mergeCell ref="K151:L151"/>
    <mergeCell ref="K219:L219"/>
    <mergeCell ref="B153:D153"/>
    <mergeCell ref="K211:L211"/>
    <mergeCell ref="K212:L212"/>
    <mergeCell ref="K218:L218"/>
    <mergeCell ref="B86:D86"/>
    <mergeCell ref="K538:L538"/>
    <mergeCell ref="K486:L486"/>
    <mergeCell ref="K487:L487"/>
    <mergeCell ref="B488:D488"/>
    <mergeCell ref="K530:L530"/>
    <mergeCell ref="K479:L479"/>
    <mergeCell ref="K480:L480"/>
    <mergeCell ref="K419:L419"/>
    <mergeCell ref="K420:L420"/>
    <mergeCell ref="B421:D421"/>
    <mergeCell ref="K413:L413"/>
    <mergeCell ref="K412:L412"/>
    <mergeCell ref="K278:L278"/>
    <mergeCell ref="K279:L279"/>
    <mergeCell ref="K285:L285"/>
    <mergeCell ref="K77:L77"/>
    <mergeCell ref="K78:L78"/>
    <mergeCell ref="K84:L84"/>
    <mergeCell ref="K85:L85"/>
    <mergeCell ref="K152:L152"/>
    <mergeCell ref="K531:L531"/>
    <mergeCell ref="K537:L537"/>
    <mergeCell ref="B539:D539"/>
    <mergeCell ref="B287:D287"/>
    <mergeCell ref="K345:L345"/>
    <mergeCell ref="K346:L346"/>
    <mergeCell ref="K352:L352"/>
    <mergeCell ref="K353:L353"/>
    <mergeCell ref="B354:D354"/>
  </mergeCells>
  <conditionalFormatting sqref="B155:B199 B289:B325 B330:B337 B423:B459 B490:B511">
    <cfRule type="expression" dxfId="66" priority="15">
      <formula>ISTEXT($E155)=TRUE</formula>
    </cfRule>
  </conditionalFormatting>
  <conditionalFormatting sqref="B222:B267">
    <cfRule type="expression" dxfId="65" priority="11">
      <formula>ISTEXT($E222)=TRUE</formula>
    </cfRule>
  </conditionalFormatting>
  <conditionalFormatting sqref="B326:B329 B460:B461">
    <cfRule type="expression" dxfId="64" priority="20">
      <formula>ISTEXT(#REF!)=TRUE</formula>
    </cfRule>
  </conditionalFormatting>
  <conditionalFormatting sqref="B356:B402">
    <cfRule type="expression" dxfId="63" priority="7">
      <formula>ISTEXT($E356)=TRUE</formula>
    </cfRule>
  </conditionalFormatting>
  <conditionalFormatting sqref="B326:C329 B460:C461">
    <cfRule type="expression" dxfId="62" priority="21">
      <formula>AND((ISTEXT(#REF!)=TRUE),(ISTEXT($B326)=FALSE),(ISTEXT($C326)=FALSE),(ISTEXT(#REF!)=FALSE),(ISTEXT(#REF!)=FALSE))</formula>
    </cfRule>
  </conditionalFormatting>
  <conditionalFormatting sqref="B155:I199 B289:I325 B330:I337 B423:I459 B490:I511">
    <cfRule type="expression" dxfId="61" priority="13">
      <formula>AND((ISTEXT($F155)=TRUE),(ISTEXT($B155)=FALSE),(ISTEXT($C155)=FALSE),(ISTEXT($D155)=FALSE),(ISTEXT($G155)=FALSE))</formula>
    </cfRule>
  </conditionalFormatting>
  <conditionalFormatting sqref="B222:I267">
    <cfRule type="expression" dxfId="60" priority="9">
      <formula>AND((ISTEXT($F222)=TRUE),(ISTEXT($B222)=FALSE),(ISTEXT($C222)=FALSE),(ISTEXT($D222)=FALSE),(ISTEXT($G222)=FALSE))</formula>
    </cfRule>
  </conditionalFormatting>
  <conditionalFormatting sqref="B356:I402">
    <cfRule type="expression" dxfId="59" priority="5">
      <formula>AND((ISTEXT($F356)=TRUE),(ISTEXT($B356)=FALSE),(ISTEXT($C356)=FALSE),(ISTEXT($D356)=FALSE),(ISTEXT($G356)=FALSE))</formula>
    </cfRule>
  </conditionalFormatting>
  <conditionalFormatting sqref="D58:I64">
    <cfRule type="expression" dxfId="58" priority="1">
      <formula>AND((ISTEXT($F58)=TRUE),(ISTEXT($B58)=FALSE),(ISTEXT($C58)=FALSE),(ISTEXT($D58)=FALSE),(ISTEXT($G58)=FALSE))</formula>
    </cfRule>
  </conditionalFormatting>
  <conditionalFormatting sqref="D91:I92">
    <cfRule type="expression" dxfId="57" priority="24">
      <formula>AND((ISTEXT($F91)=TRUE),(ISTEXT(#REF!)=FALSE),(ISTEXT(#REF!)=FALSE),(ISTEXT($D91)=FALSE),(ISTEXT($G91)=FALSE))</formula>
    </cfRule>
  </conditionalFormatting>
  <conditionalFormatting sqref="D326:I329">
    <cfRule type="expression" dxfId="56" priority="26">
      <formula>AND((ISTEXT($F326)=TRUE),(ISTEXT(#REF!)=FALSE),(ISTEXT(#REF!)=FALSE),(ISTEXT($D326)=FALSE),(ISTEXT($G326)=FALSE))</formula>
    </cfRule>
  </conditionalFormatting>
  <conditionalFormatting sqref="D460:I462">
    <cfRule type="expression" dxfId="55" priority="28">
      <formula>AND((ISTEXT($F460)=TRUE),(ISTEXT(#REF!)=FALSE),(ISTEXT(#REF!)=FALSE),(ISTEXT($D460)=FALSE),(ISTEXT($G460)=FALSE))</formula>
    </cfRule>
  </conditionalFormatting>
  <conditionalFormatting sqref="E58:E64">
    <cfRule type="expression" dxfId="54" priority="3">
      <formula>ISTEXT($B58)=TRUE</formula>
    </cfRule>
  </conditionalFormatting>
  <conditionalFormatting sqref="E91:E92">
    <cfRule type="expression" dxfId="53" priority="22">
      <formula>ISTEXT(#REF!)=TRUE</formula>
    </cfRule>
  </conditionalFormatting>
  <conditionalFormatting sqref="E108:E110">
    <cfRule type="expression" dxfId="52" priority="18">
      <formula>AND((ISBLANK($B108)=FALSE),(ISBLANK($E108)=FALSE))</formula>
    </cfRule>
  </conditionalFormatting>
  <conditionalFormatting sqref="E114:E119">
    <cfRule type="expression" dxfId="51" priority="17">
      <formula>AND((ISBLANK($B114)=FALSE),(ISBLANK($E114)=FALSE))</formula>
    </cfRule>
  </conditionalFormatting>
  <conditionalFormatting sqref="E123:E125">
    <cfRule type="expression" dxfId="50" priority="19">
      <formula>AND((ISBLANK($B123)=FALSE),(ISBLANK($E123)=FALSE))</formula>
    </cfRule>
  </conditionalFormatting>
  <conditionalFormatting sqref="E155:E199 E289:E337 E490:E511">
    <cfRule type="expression" dxfId="49" priority="16">
      <formula>ISTEXT($B155)=TRUE</formula>
    </cfRule>
  </conditionalFormatting>
  <conditionalFormatting sqref="E222:E267">
    <cfRule type="expression" dxfId="48" priority="12">
      <formula>ISTEXT($B222)=TRUE</formula>
    </cfRule>
  </conditionalFormatting>
  <conditionalFormatting sqref="E326:E329">
    <cfRule type="expression" dxfId="47" priority="23">
      <formula>ISTEXT(#REF!)=TRUE</formula>
    </cfRule>
  </conditionalFormatting>
  <conditionalFormatting sqref="E356:E402">
    <cfRule type="expression" dxfId="46" priority="8">
      <formula>ISTEXT($B356)=TRUE</formula>
    </cfRule>
  </conditionalFormatting>
  <conditionalFormatting sqref="E423:E459">
    <cfRule type="expression" dxfId="45" priority="4">
      <formula>ISTEXT($B423)=TRUE</formula>
    </cfRule>
  </conditionalFormatting>
  <conditionalFormatting sqref="E460:E462">
    <cfRule type="expression" dxfId="44" priority="29">
      <formula>ISTEXT(#REF!)=TRUE</formula>
    </cfRule>
  </conditionalFormatting>
  <conditionalFormatting sqref="F58:F64">
    <cfRule type="expression" dxfId="43" priority="2">
      <formula>AND((ISTEXT($B58)=FALSE),(ISTEXT($C58)=FALSE),(ISTEXT($D58)=FALSE),(ISTEXT($G58)=FALSE))</formula>
    </cfRule>
  </conditionalFormatting>
  <conditionalFormatting sqref="F91:F92">
    <cfRule type="expression" dxfId="42" priority="25">
      <formula>AND((ISTEXT(#REF!)=FALSE),(ISTEXT(#REF!)=FALSE),(ISTEXT($D91)=FALSE),(ISTEXT($G91)=FALSE))</formula>
    </cfRule>
  </conditionalFormatting>
  <conditionalFormatting sqref="F155:F199 F289:F325 F330:F337 F423:F459 F490:F511">
    <cfRule type="expression" dxfId="41" priority="14">
      <formula>AND((ISTEXT($B155)=FALSE),(ISTEXT($C155)=FALSE),(ISTEXT($D155)=FALSE),(ISTEXT($G155)=FALSE))</formula>
    </cfRule>
  </conditionalFormatting>
  <conditionalFormatting sqref="F222:F267">
    <cfRule type="expression" dxfId="40" priority="10">
      <formula>AND((ISTEXT($B222)=FALSE),(ISTEXT($C222)=FALSE),(ISTEXT($D222)=FALSE),(ISTEXT($G222)=FALSE))</formula>
    </cfRule>
  </conditionalFormatting>
  <conditionalFormatting sqref="F326:F329">
    <cfRule type="expression" dxfId="39" priority="27">
      <formula>AND((ISTEXT(#REF!)=FALSE),(ISTEXT(#REF!)=FALSE),(ISTEXT($D326)=FALSE),(ISTEXT($G326)=FALSE))</formula>
    </cfRule>
  </conditionalFormatting>
  <conditionalFormatting sqref="F356:F402">
    <cfRule type="expression" dxfId="38" priority="6">
      <formula>AND((ISTEXT($B356)=FALSE),(ISTEXT($C356)=FALSE),(ISTEXT($D356)=FALSE),(ISTEXT($G356)=FALSE))</formula>
    </cfRule>
  </conditionalFormatting>
  <conditionalFormatting sqref="F460:F462">
    <cfRule type="expression" dxfId="37" priority="30">
      <formula>AND((ISTEXT(#REF!)=FALSE),(ISTEXT(#REF!)=FALSE),(ISTEXT($D460)=FALSE),(ISTEXT($G460)=FALSE))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7:W613"/>
  <sheetViews>
    <sheetView showGridLines="0" view="pageBreakPreview" topLeftCell="A601" zoomScale="99" zoomScaleSheetLayoutView="79" workbookViewId="0">
      <selection activeCell="J608" sqref="J608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23</v>
      </c>
      <c r="C8" s="17"/>
      <c r="D8" s="17"/>
    </row>
    <row r="9" spans="2:13" x14ac:dyDescent="0.35">
      <c r="B9" s="32" t="s">
        <v>24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28</v>
      </c>
      <c r="L10" s="20"/>
      <c r="M10" s="18"/>
    </row>
    <row r="11" spans="2:13" x14ac:dyDescent="0.35">
      <c r="B11" s="18" t="s">
        <v>0</v>
      </c>
      <c r="F11" s="18" t="s">
        <v>510</v>
      </c>
      <c r="J11" s="18" t="s">
        <v>29</v>
      </c>
      <c r="M11" s="18"/>
    </row>
    <row r="12" spans="2:13" x14ac:dyDescent="0.35">
      <c r="B12" s="18" t="s">
        <v>34</v>
      </c>
      <c r="F12" s="18" t="s">
        <v>25</v>
      </c>
      <c r="J12" s="18" t="s">
        <v>30</v>
      </c>
      <c r="K12" s="18" t="s">
        <v>38</v>
      </c>
      <c r="M12" s="18"/>
    </row>
    <row r="13" spans="2:13" x14ac:dyDescent="0.35">
      <c r="B13" s="18" t="s">
        <v>4</v>
      </c>
      <c r="F13" s="52"/>
      <c r="J13" s="18" t="s">
        <v>31</v>
      </c>
      <c r="K13" s="18" t="s">
        <v>39</v>
      </c>
      <c r="M13" s="18"/>
    </row>
    <row r="14" spans="2:13" x14ac:dyDescent="0.35">
      <c r="B14" s="18" t="s">
        <v>5</v>
      </c>
      <c r="F14" s="52"/>
      <c r="J14" s="18" t="s">
        <v>32</v>
      </c>
      <c r="K14" s="18" t="s">
        <v>40</v>
      </c>
      <c r="M14" s="18"/>
    </row>
    <row r="15" spans="2:13" x14ac:dyDescent="0.35">
      <c r="F15" s="281"/>
      <c r="G15" s="281"/>
      <c r="J15" s="18" t="s">
        <v>33</v>
      </c>
      <c r="K15" s="18" t="s">
        <v>41</v>
      </c>
      <c r="M15" s="18"/>
    </row>
    <row r="16" spans="2:13" x14ac:dyDescent="0.35">
      <c r="F16" s="6"/>
    </row>
    <row r="18" spans="2:20" s="33" customFormat="1" ht="15" customHeight="1" x14ac:dyDescent="0.35">
      <c r="B18" s="282" t="s">
        <v>0</v>
      </c>
      <c r="C18" s="283"/>
      <c r="D18" s="284"/>
      <c r="E18" s="282" t="s">
        <v>1</v>
      </c>
      <c r="F18" s="283"/>
      <c r="G18" s="284"/>
      <c r="H18" s="282" t="s">
        <v>2</v>
      </c>
      <c r="I18" s="284"/>
      <c r="J18" s="279" t="s">
        <v>3</v>
      </c>
      <c r="K18" s="279" t="s">
        <v>21</v>
      </c>
      <c r="L18" s="279" t="s">
        <v>22</v>
      </c>
    </row>
    <row r="19" spans="2:20" s="33" customFormat="1" ht="15" customHeight="1" x14ac:dyDescent="0.35">
      <c r="B19" s="285"/>
      <c r="C19" s="286"/>
      <c r="D19" s="287"/>
      <c r="E19" s="285"/>
      <c r="F19" s="286"/>
      <c r="G19" s="287"/>
      <c r="H19" s="285"/>
      <c r="I19" s="287"/>
      <c r="J19" s="280"/>
      <c r="K19" s="280"/>
      <c r="L19" s="280"/>
    </row>
    <row r="20" spans="2:20" x14ac:dyDescent="0.35">
      <c r="B20" s="174"/>
      <c r="C20" s="175"/>
      <c r="D20" s="176"/>
      <c r="G20" s="22"/>
      <c r="H20" s="1"/>
      <c r="I20" s="1"/>
      <c r="J20" s="43"/>
      <c r="K20" s="43"/>
      <c r="L20" s="30"/>
    </row>
    <row r="21" spans="2:20" x14ac:dyDescent="0.35">
      <c r="B21" s="53" t="s">
        <v>43</v>
      </c>
      <c r="C21" s="177"/>
      <c r="D21" s="54"/>
      <c r="E21" s="55" t="s">
        <v>10</v>
      </c>
      <c r="F21" s="55"/>
      <c r="G21" s="56"/>
      <c r="H21" s="57"/>
      <c r="I21" s="58"/>
      <c r="J21" s="29"/>
      <c r="K21" s="29"/>
      <c r="L21" s="51"/>
      <c r="M21" s="18"/>
      <c r="N21" s="288" t="s">
        <v>14</v>
      </c>
      <c r="O21" s="288"/>
    </row>
    <row r="22" spans="2:20" x14ac:dyDescent="0.35">
      <c r="B22" s="59"/>
      <c r="C22" s="178"/>
      <c r="D22" s="60" t="s">
        <v>44</v>
      </c>
      <c r="E22" s="61"/>
      <c r="F22" s="61" t="s">
        <v>45</v>
      </c>
      <c r="G22" s="62"/>
      <c r="H22" s="61">
        <v>1</v>
      </c>
      <c r="I22" s="62" t="s">
        <v>46</v>
      </c>
      <c r="J22" s="49">
        <v>17000000</v>
      </c>
      <c r="K22" s="29">
        <f>J22*H22</f>
        <v>17000000</v>
      </c>
      <c r="L22" s="51"/>
      <c r="N22" s="23" t="s">
        <v>11</v>
      </c>
      <c r="O22" s="23">
        <v>26.98</v>
      </c>
      <c r="P22">
        <f>O22*O24</f>
        <v>242.82</v>
      </c>
      <c r="Q22">
        <f>O22*O24</f>
        <v>242.82</v>
      </c>
    </row>
    <row r="23" spans="2:20" x14ac:dyDescent="0.35">
      <c r="B23" s="59"/>
      <c r="C23" s="178"/>
      <c r="D23" s="63" t="s">
        <v>47</v>
      </c>
      <c r="E23" s="61"/>
      <c r="F23" s="61" t="s">
        <v>48</v>
      </c>
      <c r="G23" s="62"/>
      <c r="H23" s="61">
        <v>1</v>
      </c>
      <c r="I23" s="62" t="s">
        <v>46</v>
      </c>
      <c r="J23" s="49">
        <v>4000000</v>
      </c>
      <c r="K23" s="29">
        <f>J23*H23</f>
        <v>4000000</v>
      </c>
      <c r="L23" s="51"/>
      <c r="N23" s="23"/>
      <c r="O23" s="23"/>
    </row>
    <row r="24" spans="2:20" x14ac:dyDescent="0.35">
      <c r="B24" s="59"/>
      <c r="C24" s="178"/>
      <c r="D24" s="63" t="s">
        <v>49</v>
      </c>
      <c r="E24" s="61"/>
      <c r="F24" s="61" t="s">
        <v>50</v>
      </c>
      <c r="G24" s="62"/>
      <c r="H24" s="61">
        <v>1</v>
      </c>
      <c r="I24" s="62" t="s">
        <v>46</v>
      </c>
      <c r="J24" s="49">
        <v>5500000</v>
      </c>
      <c r="K24" s="29">
        <f t="shared" ref="K24:K66" si="0">J24*H24</f>
        <v>5500000</v>
      </c>
      <c r="L24" s="51"/>
      <c r="N24" s="23" t="s">
        <v>20</v>
      </c>
      <c r="O24" s="23">
        <v>9</v>
      </c>
      <c r="R24" t="e">
        <f>Q22-#REF!</f>
        <v>#REF!</v>
      </c>
      <c r="S24" t="e">
        <f>R24*20%</f>
        <v>#REF!</v>
      </c>
      <c r="T24" t="e">
        <f>R24+S24</f>
        <v>#REF!</v>
      </c>
    </row>
    <row r="25" spans="2:20" x14ac:dyDescent="0.35">
      <c r="B25" s="59"/>
      <c r="C25" s="178"/>
      <c r="D25" s="63" t="s">
        <v>51</v>
      </c>
      <c r="E25" s="61"/>
      <c r="F25" s="61" t="s">
        <v>52</v>
      </c>
      <c r="G25" s="62"/>
      <c r="H25" s="61">
        <v>33</v>
      </c>
      <c r="I25" s="64" t="s">
        <v>53</v>
      </c>
      <c r="J25" s="49">
        <v>1500000</v>
      </c>
      <c r="K25" s="29">
        <f t="shared" si="0"/>
        <v>49500000</v>
      </c>
      <c r="L25" s="51"/>
      <c r="N25" s="23" t="s">
        <v>12</v>
      </c>
      <c r="O25" s="23" t="e">
        <f>#REF!-#REF!</f>
        <v>#REF!</v>
      </c>
      <c r="P25">
        <f>140*50%</f>
        <v>70</v>
      </c>
    </row>
    <row r="26" spans="2:20" x14ac:dyDescent="0.35">
      <c r="B26" s="59"/>
      <c r="C26" s="178"/>
      <c r="D26" s="63" t="s">
        <v>54</v>
      </c>
      <c r="E26" s="61"/>
      <c r="F26" s="61" t="s">
        <v>55</v>
      </c>
      <c r="G26" s="62"/>
      <c r="H26" s="61">
        <v>8</v>
      </c>
      <c r="I26" s="62" t="s">
        <v>53</v>
      </c>
      <c r="J26" s="49">
        <v>350000</v>
      </c>
      <c r="K26" s="29">
        <f t="shared" si="0"/>
        <v>2800000</v>
      </c>
      <c r="L26" s="51"/>
      <c r="M26" s="18"/>
      <c r="N26" s="23" t="s">
        <v>13</v>
      </c>
      <c r="O26" s="23">
        <f>(O22-5)*O24</f>
        <v>197.82</v>
      </c>
      <c r="Q26">
        <f>O24-2</f>
        <v>7</v>
      </c>
      <c r="R26" t="s">
        <v>19</v>
      </c>
    </row>
    <row r="27" spans="2:20" x14ac:dyDescent="0.35">
      <c r="B27" s="59"/>
      <c r="C27" s="178"/>
      <c r="D27" s="63" t="s">
        <v>56</v>
      </c>
      <c r="E27" s="61"/>
      <c r="F27" s="61" t="s">
        <v>57</v>
      </c>
      <c r="G27" s="62"/>
      <c r="H27" s="61">
        <v>1</v>
      </c>
      <c r="I27" s="62" t="s">
        <v>46</v>
      </c>
      <c r="J27" s="49">
        <v>850000</v>
      </c>
      <c r="K27" s="29">
        <f t="shared" si="0"/>
        <v>850000</v>
      </c>
      <c r="L27" s="51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59"/>
      <c r="C28" s="178"/>
      <c r="D28" s="63" t="s">
        <v>58</v>
      </c>
      <c r="E28" s="61"/>
      <c r="F28" s="61" t="s">
        <v>59</v>
      </c>
      <c r="G28" s="62"/>
      <c r="H28" s="61">
        <f>H25+H26</f>
        <v>41</v>
      </c>
      <c r="I28" s="62" t="s">
        <v>53</v>
      </c>
      <c r="J28" s="49">
        <v>550000</v>
      </c>
      <c r="K28" s="29">
        <f t="shared" si="0"/>
        <v>22550000</v>
      </c>
      <c r="L28" s="51"/>
      <c r="M28" s="18"/>
      <c r="N28" s="23"/>
      <c r="O28" s="23" t="e">
        <f>#REF!+O27</f>
        <v>#REF!</v>
      </c>
    </row>
    <row r="29" spans="2:20" x14ac:dyDescent="0.35">
      <c r="B29" s="59"/>
      <c r="C29" s="178"/>
      <c r="D29" s="63" t="s">
        <v>60</v>
      </c>
      <c r="E29" s="61"/>
      <c r="F29" s="61" t="s">
        <v>61</v>
      </c>
      <c r="G29" s="62"/>
      <c r="H29" s="61">
        <v>1</v>
      </c>
      <c r="I29" s="62" t="s">
        <v>46</v>
      </c>
      <c r="J29" s="49">
        <v>1500000</v>
      </c>
      <c r="K29" s="29">
        <f t="shared" si="0"/>
        <v>1500000</v>
      </c>
      <c r="L29" s="51"/>
      <c r="M29" s="18"/>
      <c r="N29" s="23"/>
      <c r="O29" s="23"/>
    </row>
    <row r="30" spans="2:20" x14ac:dyDescent="0.35">
      <c r="B30" s="59"/>
      <c r="C30" s="178"/>
      <c r="D30" s="63" t="s">
        <v>62</v>
      </c>
      <c r="E30" s="61"/>
      <c r="F30" s="61" t="s">
        <v>63</v>
      </c>
      <c r="G30" s="62"/>
      <c r="H30" s="61">
        <v>1</v>
      </c>
      <c r="I30" s="65" t="s">
        <v>46</v>
      </c>
      <c r="J30" s="49">
        <v>1500000</v>
      </c>
      <c r="K30" s="29">
        <f t="shared" si="0"/>
        <v>1500000</v>
      </c>
      <c r="L30" s="51"/>
      <c r="M30" s="18"/>
      <c r="N30" s="23"/>
      <c r="O30" s="23"/>
    </row>
    <row r="31" spans="2:20" x14ac:dyDescent="0.35">
      <c r="B31" s="59"/>
      <c r="C31" s="178"/>
      <c r="D31" s="63" t="s">
        <v>64</v>
      </c>
      <c r="E31" s="61"/>
      <c r="F31" s="61" t="s">
        <v>65</v>
      </c>
      <c r="G31" s="62"/>
      <c r="H31" s="61">
        <v>1</v>
      </c>
      <c r="I31" s="65" t="s">
        <v>46</v>
      </c>
      <c r="J31" s="49">
        <v>2000000</v>
      </c>
      <c r="K31" s="29">
        <f t="shared" si="0"/>
        <v>2000000</v>
      </c>
      <c r="L31" s="51"/>
      <c r="M31" s="18"/>
      <c r="N31" s="23"/>
      <c r="O31" s="23"/>
    </row>
    <row r="32" spans="2:20" x14ac:dyDescent="0.35">
      <c r="B32" s="59"/>
      <c r="C32" s="178"/>
      <c r="D32" s="63" t="s">
        <v>66</v>
      </c>
      <c r="E32" s="61"/>
      <c r="F32" s="61" t="s">
        <v>67</v>
      </c>
      <c r="G32" s="62"/>
      <c r="H32" s="61">
        <v>1</v>
      </c>
      <c r="I32" s="62" t="s">
        <v>46</v>
      </c>
      <c r="J32" s="49">
        <v>9000000</v>
      </c>
      <c r="K32" s="29">
        <f t="shared" si="0"/>
        <v>9000000</v>
      </c>
      <c r="L32" s="51"/>
      <c r="M32" s="18"/>
      <c r="N32" s="23">
        <v>1</v>
      </c>
      <c r="O32" s="23" t="s">
        <v>10</v>
      </c>
    </row>
    <row r="33" spans="2:15" x14ac:dyDescent="0.35">
      <c r="B33" s="59"/>
      <c r="C33" s="178"/>
      <c r="D33" s="63" t="s">
        <v>68</v>
      </c>
      <c r="E33" s="61"/>
      <c r="F33" s="61" t="s">
        <v>69</v>
      </c>
      <c r="G33" s="62"/>
      <c r="H33" s="61">
        <v>5</v>
      </c>
      <c r="I33" s="62" t="s">
        <v>70</v>
      </c>
      <c r="J33" s="49">
        <v>80000</v>
      </c>
      <c r="K33" s="29">
        <f t="shared" si="0"/>
        <v>400000</v>
      </c>
      <c r="L33" s="51"/>
      <c r="M33" s="18"/>
      <c r="N33" s="23"/>
      <c r="O33" s="23"/>
    </row>
    <row r="34" spans="2:15" x14ac:dyDescent="0.35">
      <c r="B34" s="59"/>
      <c r="C34" s="178"/>
      <c r="D34" s="60" t="s">
        <v>71</v>
      </c>
      <c r="E34" s="61"/>
      <c r="F34" s="61" t="s">
        <v>72</v>
      </c>
      <c r="G34" s="62"/>
      <c r="H34" s="61">
        <v>2.1720000000000002</v>
      </c>
      <c r="I34" s="66" t="s">
        <v>70</v>
      </c>
      <c r="J34" s="49">
        <v>6500000</v>
      </c>
      <c r="K34" s="29">
        <f t="shared" si="0"/>
        <v>14118000.000000002</v>
      </c>
      <c r="L34" s="51"/>
      <c r="M34" s="18"/>
      <c r="N34" s="23"/>
      <c r="O34" s="23"/>
    </row>
    <row r="35" spans="2:15" x14ac:dyDescent="0.35">
      <c r="B35" s="67"/>
      <c r="C35" s="68"/>
      <c r="D35" s="63" t="s">
        <v>73</v>
      </c>
      <c r="E35" s="61"/>
      <c r="F35" s="61" t="s">
        <v>74</v>
      </c>
      <c r="G35" s="62"/>
      <c r="H35" s="61">
        <f>H28</f>
        <v>41</v>
      </c>
      <c r="I35" s="66" t="s">
        <v>75</v>
      </c>
      <c r="J35" s="49">
        <v>400000</v>
      </c>
      <c r="K35" s="29">
        <f t="shared" si="0"/>
        <v>16400000</v>
      </c>
      <c r="L35" s="51"/>
      <c r="M35" s="18"/>
      <c r="N35" s="23"/>
      <c r="O35" s="23"/>
    </row>
    <row r="36" spans="2:15" x14ac:dyDescent="0.35">
      <c r="B36" s="69"/>
      <c r="C36" s="179"/>
      <c r="D36" s="63" t="s">
        <v>76</v>
      </c>
      <c r="E36" s="70"/>
      <c r="F36" s="61" t="s">
        <v>77</v>
      </c>
      <c r="G36" s="62"/>
      <c r="H36" s="61">
        <v>33</v>
      </c>
      <c r="I36" s="66" t="s">
        <v>75</v>
      </c>
      <c r="J36" s="49">
        <v>400000</v>
      </c>
      <c r="K36" s="29">
        <f t="shared" si="0"/>
        <v>13200000</v>
      </c>
      <c r="L36" s="51"/>
      <c r="M36" s="18"/>
      <c r="N36" s="23">
        <v>2</v>
      </c>
      <c r="O36" s="23" t="s">
        <v>15</v>
      </c>
    </row>
    <row r="37" spans="2:15" x14ac:dyDescent="0.35">
      <c r="B37" s="67"/>
      <c r="C37" s="68"/>
      <c r="D37" s="63" t="s">
        <v>78</v>
      </c>
      <c r="E37" s="61"/>
      <c r="F37" s="61" t="s">
        <v>79</v>
      </c>
      <c r="G37" s="62"/>
      <c r="H37" s="61">
        <v>1</v>
      </c>
      <c r="I37" s="66" t="s">
        <v>46</v>
      </c>
      <c r="J37" s="49">
        <v>3500000</v>
      </c>
      <c r="K37" s="29">
        <f t="shared" si="0"/>
        <v>3500000</v>
      </c>
      <c r="L37" s="51"/>
      <c r="M37" s="18"/>
      <c r="N37" s="23">
        <v>4</v>
      </c>
      <c r="O37" s="23" t="s">
        <v>16</v>
      </c>
    </row>
    <row r="38" spans="2:15" x14ac:dyDescent="0.35">
      <c r="B38" s="71" t="s">
        <v>80</v>
      </c>
      <c r="C38" s="180"/>
      <c r="D38" s="72"/>
      <c r="E38" s="55" t="s">
        <v>81</v>
      </c>
      <c r="F38" s="57"/>
      <c r="G38" s="58"/>
      <c r="H38" s="57"/>
      <c r="I38" s="73"/>
      <c r="J38" s="49"/>
      <c r="K38" s="29"/>
      <c r="L38" s="51"/>
      <c r="M38" s="18"/>
      <c r="N38" s="23"/>
      <c r="O38" s="23"/>
    </row>
    <row r="39" spans="2:15" x14ac:dyDescent="0.35">
      <c r="B39" s="67"/>
      <c r="C39" s="68"/>
      <c r="D39" s="63" t="s">
        <v>44</v>
      </c>
      <c r="E39" s="61"/>
      <c r="F39" s="61" t="s">
        <v>82</v>
      </c>
      <c r="G39" s="62"/>
      <c r="H39" s="61">
        <v>348</v>
      </c>
      <c r="I39" s="66" t="s">
        <v>83</v>
      </c>
      <c r="J39" s="148">
        <v>7000</v>
      </c>
      <c r="K39" s="29">
        <f t="shared" si="0"/>
        <v>2436000</v>
      </c>
      <c r="L39" s="51"/>
      <c r="M39" s="18"/>
      <c r="N39" s="23"/>
      <c r="O39" s="23"/>
    </row>
    <row r="40" spans="2:15" x14ac:dyDescent="0.35">
      <c r="B40" s="67"/>
      <c r="C40" s="68"/>
      <c r="D40" s="63" t="s">
        <v>47</v>
      </c>
      <c r="E40" s="61"/>
      <c r="F40" s="61" t="s">
        <v>84</v>
      </c>
      <c r="G40" s="62"/>
      <c r="H40" s="61">
        <v>348</v>
      </c>
      <c r="I40" s="66" t="s">
        <v>83</v>
      </c>
      <c r="J40" s="149">
        <v>70000</v>
      </c>
      <c r="K40" s="29">
        <f t="shared" si="0"/>
        <v>24360000</v>
      </c>
      <c r="L40" s="51"/>
      <c r="M40" s="18"/>
      <c r="N40" s="23">
        <v>14</v>
      </c>
      <c r="O40" s="23" t="s">
        <v>17</v>
      </c>
    </row>
    <row r="41" spans="2:15" x14ac:dyDescent="0.35">
      <c r="B41" s="67"/>
      <c r="C41" s="68"/>
      <c r="D41" s="63" t="s">
        <v>49</v>
      </c>
      <c r="E41" s="61"/>
      <c r="F41" s="61" t="s">
        <v>85</v>
      </c>
      <c r="G41" s="62"/>
      <c r="H41" s="61">
        <v>41</v>
      </c>
      <c r="I41" s="66" t="s">
        <v>83</v>
      </c>
      <c r="J41" s="149">
        <v>70000</v>
      </c>
      <c r="K41" s="29">
        <f t="shared" si="0"/>
        <v>2870000</v>
      </c>
      <c r="L41" s="51"/>
      <c r="M41" s="18"/>
      <c r="N41" s="23">
        <v>15</v>
      </c>
      <c r="O41" s="23" t="s">
        <v>26</v>
      </c>
    </row>
    <row r="42" spans="2:15" x14ac:dyDescent="0.35">
      <c r="B42" s="67"/>
      <c r="C42" s="68"/>
      <c r="D42" s="63" t="s">
        <v>51</v>
      </c>
      <c r="E42" s="61"/>
      <c r="F42" s="61" t="s">
        <v>86</v>
      </c>
      <c r="G42" s="62"/>
      <c r="H42" s="61">
        <v>60</v>
      </c>
      <c r="I42" s="66" t="s">
        <v>83</v>
      </c>
      <c r="J42" s="149">
        <v>70000</v>
      </c>
      <c r="K42" s="29">
        <f t="shared" si="0"/>
        <v>4200000</v>
      </c>
      <c r="L42" s="51"/>
      <c r="M42" s="18"/>
      <c r="N42" s="23"/>
      <c r="O42" s="23"/>
    </row>
    <row r="43" spans="2:15" x14ac:dyDescent="0.35">
      <c r="B43" s="67"/>
      <c r="C43" s="68"/>
      <c r="D43" s="63" t="s">
        <v>54</v>
      </c>
      <c r="E43" s="61"/>
      <c r="F43" s="61" t="s">
        <v>87</v>
      </c>
      <c r="G43" s="62"/>
      <c r="H43" s="61">
        <v>449</v>
      </c>
      <c r="I43" s="66" t="s">
        <v>83</v>
      </c>
      <c r="J43" s="149">
        <v>6500</v>
      </c>
      <c r="K43" s="29">
        <f t="shared" si="0"/>
        <v>2918500</v>
      </c>
      <c r="L43" s="51"/>
      <c r="M43" s="18"/>
      <c r="N43" s="23"/>
      <c r="O43" s="23"/>
    </row>
    <row r="44" spans="2:15" x14ac:dyDescent="0.35">
      <c r="B44" s="67"/>
      <c r="C44" s="68"/>
      <c r="D44" s="63" t="s">
        <v>56</v>
      </c>
      <c r="E44" s="61"/>
      <c r="F44" s="61" t="s">
        <v>88</v>
      </c>
      <c r="G44" s="62"/>
      <c r="H44" s="61">
        <v>348</v>
      </c>
      <c r="I44" s="62" t="s">
        <v>83</v>
      </c>
      <c r="J44" s="149">
        <v>152000</v>
      </c>
      <c r="K44" s="29">
        <f t="shared" si="0"/>
        <v>52896000</v>
      </c>
      <c r="L44" s="51"/>
      <c r="M44" s="18"/>
      <c r="N44" s="23"/>
      <c r="O44" s="23"/>
    </row>
    <row r="45" spans="2:15" x14ac:dyDescent="0.35">
      <c r="B45" s="67"/>
      <c r="C45" s="68"/>
      <c r="D45" s="63" t="s">
        <v>58</v>
      </c>
      <c r="E45" s="61"/>
      <c r="F45" s="61" t="s">
        <v>89</v>
      </c>
      <c r="G45" s="62"/>
      <c r="H45" s="74">
        <v>41</v>
      </c>
      <c r="I45" s="66" t="s">
        <v>83</v>
      </c>
      <c r="J45" s="149">
        <v>120000</v>
      </c>
      <c r="K45" s="29">
        <f t="shared" si="0"/>
        <v>4920000</v>
      </c>
      <c r="L45" s="51"/>
      <c r="M45" s="18"/>
      <c r="N45" s="23"/>
      <c r="O45" s="23"/>
    </row>
    <row r="46" spans="2:15" x14ac:dyDescent="0.35">
      <c r="B46" s="67"/>
      <c r="C46" s="68"/>
      <c r="D46" s="63" t="s">
        <v>60</v>
      </c>
      <c r="E46" s="61"/>
      <c r="F46" s="61" t="s">
        <v>90</v>
      </c>
      <c r="G46" s="62"/>
      <c r="H46" s="75">
        <v>60</v>
      </c>
      <c r="I46" s="66" t="s">
        <v>83</v>
      </c>
      <c r="J46" s="29">
        <v>120000</v>
      </c>
      <c r="K46" s="29">
        <f t="shared" si="0"/>
        <v>7200000</v>
      </c>
      <c r="L46" s="51"/>
      <c r="M46" s="18"/>
      <c r="N46" s="23"/>
      <c r="O46" s="23"/>
    </row>
    <row r="47" spans="2:15" x14ac:dyDescent="0.35">
      <c r="B47" s="59"/>
      <c r="C47" s="178"/>
      <c r="D47" s="63" t="s">
        <v>62</v>
      </c>
      <c r="E47" s="61"/>
      <c r="F47" s="61" t="s">
        <v>91</v>
      </c>
      <c r="G47" s="62"/>
      <c r="H47" s="74">
        <v>1</v>
      </c>
      <c r="I47" s="66" t="s">
        <v>46</v>
      </c>
      <c r="J47" s="29">
        <v>1200000</v>
      </c>
      <c r="K47" s="29">
        <f t="shared" si="0"/>
        <v>1200000</v>
      </c>
      <c r="L47" s="51"/>
      <c r="M47" s="18"/>
      <c r="N47" s="23"/>
      <c r="O47" s="23"/>
    </row>
    <row r="48" spans="2:15" x14ac:dyDescent="0.35">
      <c r="B48" s="59"/>
      <c r="C48" s="178"/>
      <c r="D48" s="63" t="s">
        <v>64</v>
      </c>
      <c r="E48" s="61"/>
      <c r="F48" s="61" t="s">
        <v>92</v>
      </c>
      <c r="G48" s="62"/>
      <c r="H48" s="75">
        <v>30</v>
      </c>
      <c r="I48" s="66" t="s">
        <v>93</v>
      </c>
      <c r="J48" s="29">
        <v>100000</v>
      </c>
      <c r="K48" s="29">
        <f t="shared" si="0"/>
        <v>3000000</v>
      </c>
      <c r="L48" s="51"/>
      <c r="M48" s="18"/>
      <c r="N48" s="23"/>
      <c r="O48" s="23"/>
    </row>
    <row r="49" spans="2:15" x14ac:dyDescent="0.35">
      <c r="B49" s="69" t="s">
        <v>95</v>
      </c>
      <c r="C49" s="179"/>
      <c r="D49" s="77"/>
      <c r="E49" s="70" t="s">
        <v>96</v>
      </c>
      <c r="F49" s="61"/>
      <c r="G49" s="62"/>
      <c r="H49" s="78"/>
      <c r="I49" s="62"/>
      <c r="J49" s="49"/>
      <c r="K49" s="29"/>
      <c r="L49" s="51"/>
      <c r="M49" s="18"/>
      <c r="N49" s="23"/>
      <c r="O49" s="23"/>
    </row>
    <row r="50" spans="2:15" x14ac:dyDescent="0.35">
      <c r="B50" s="67"/>
      <c r="C50" s="68"/>
      <c r="D50" s="63" t="s">
        <v>44</v>
      </c>
      <c r="E50" s="61"/>
      <c r="F50" s="61" t="s">
        <v>97</v>
      </c>
      <c r="G50" s="62"/>
      <c r="H50" s="79">
        <v>2</v>
      </c>
      <c r="I50" s="66" t="s">
        <v>98</v>
      </c>
      <c r="J50" s="49">
        <v>1700000</v>
      </c>
      <c r="K50" s="29">
        <f t="shared" si="0"/>
        <v>3400000</v>
      </c>
      <c r="L50" s="51"/>
      <c r="M50" s="18"/>
      <c r="N50" s="23"/>
      <c r="O50" s="23"/>
    </row>
    <row r="51" spans="2:15" x14ac:dyDescent="0.35">
      <c r="B51" s="71" t="s">
        <v>99</v>
      </c>
      <c r="C51" s="180"/>
      <c r="D51" s="72"/>
      <c r="E51" s="55" t="s">
        <v>100</v>
      </c>
      <c r="F51" s="57"/>
      <c r="G51" s="58"/>
      <c r="H51" s="80"/>
      <c r="I51" s="58"/>
      <c r="J51" s="49"/>
      <c r="K51" s="29"/>
      <c r="L51" s="51"/>
      <c r="M51" s="18"/>
      <c r="N51" s="23"/>
      <c r="O51" s="23"/>
    </row>
    <row r="52" spans="2:15" x14ac:dyDescent="0.35">
      <c r="B52" s="67"/>
      <c r="C52" s="68"/>
      <c r="D52" s="63" t="s">
        <v>44</v>
      </c>
      <c r="E52" s="61"/>
      <c r="F52" s="61" t="s">
        <v>101</v>
      </c>
      <c r="G52" s="62"/>
      <c r="H52" s="79">
        <v>4</v>
      </c>
      <c r="I52" s="66" t="s">
        <v>102</v>
      </c>
      <c r="J52" s="49">
        <v>550000</v>
      </c>
      <c r="K52" s="29">
        <f t="shared" si="0"/>
        <v>2200000</v>
      </c>
      <c r="L52" s="51"/>
      <c r="M52" s="18"/>
      <c r="N52" s="23"/>
      <c r="O52" s="23"/>
    </row>
    <row r="53" spans="2:15" x14ac:dyDescent="0.35">
      <c r="B53" s="67"/>
      <c r="C53" s="68"/>
      <c r="D53" s="63" t="s">
        <v>47</v>
      </c>
      <c r="E53" s="61"/>
      <c r="F53" s="61" t="s">
        <v>103</v>
      </c>
      <c r="G53" s="62"/>
      <c r="H53" s="79">
        <v>2</v>
      </c>
      <c r="I53" s="66" t="s">
        <v>98</v>
      </c>
      <c r="J53" s="49">
        <v>900000</v>
      </c>
      <c r="K53" s="29">
        <f t="shared" si="0"/>
        <v>1800000</v>
      </c>
      <c r="L53" s="51"/>
      <c r="M53" s="18"/>
      <c r="N53" s="23"/>
      <c r="O53" s="23"/>
    </row>
    <row r="54" spans="2:15" x14ac:dyDescent="0.35">
      <c r="B54" s="81"/>
      <c r="C54" s="181"/>
      <c r="D54" s="82" t="s">
        <v>49</v>
      </c>
      <c r="E54" s="74"/>
      <c r="F54" s="74" t="s">
        <v>104</v>
      </c>
      <c r="G54" s="76"/>
      <c r="H54" s="79">
        <v>2</v>
      </c>
      <c r="I54" s="76" t="s">
        <v>105</v>
      </c>
      <c r="J54" s="49">
        <v>7000000</v>
      </c>
      <c r="K54" s="29">
        <f t="shared" si="0"/>
        <v>14000000</v>
      </c>
      <c r="L54" s="51"/>
      <c r="M54" s="18"/>
      <c r="N54" s="23"/>
      <c r="O54" s="23"/>
    </row>
    <row r="55" spans="2:15" x14ac:dyDescent="0.35">
      <c r="B55" s="81"/>
      <c r="C55" s="181"/>
      <c r="D55" s="82" t="s">
        <v>51</v>
      </c>
      <c r="E55" s="74"/>
      <c r="F55" s="74" t="s">
        <v>106</v>
      </c>
      <c r="G55" s="76"/>
      <c r="H55" s="79">
        <v>2</v>
      </c>
      <c r="I55" s="76" t="s">
        <v>105</v>
      </c>
      <c r="J55" s="49">
        <v>14000000</v>
      </c>
      <c r="K55" s="29">
        <f t="shared" si="0"/>
        <v>28000000</v>
      </c>
      <c r="L55" s="51"/>
      <c r="M55" s="18"/>
      <c r="N55" s="23"/>
      <c r="O55" s="23"/>
    </row>
    <row r="56" spans="2:15" x14ac:dyDescent="0.35">
      <c r="B56" s="81"/>
      <c r="C56" s="181"/>
      <c r="D56" s="82" t="s">
        <v>54</v>
      </c>
      <c r="E56" s="74"/>
      <c r="F56" s="74" t="s">
        <v>107</v>
      </c>
      <c r="G56" s="76"/>
      <c r="H56" s="79">
        <v>2</v>
      </c>
      <c r="I56" s="76" t="s">
        <v>105</v>
      </c>
      <c r="J56" s="49">
        <v>2750000</v>
      </c>
      <c r="K56" s="29">
        <f t="shared" si="0"/>
        <v>5500000</v>
      </c>
      <c r="L56" s="51"/>
      <c r="M56" s="18"/>
      <c r="N56" s="23"/>
      <c r="O56" s="23"/>
    </row>
    <row r="57" spans="2:15" x14ac:dyDescent="0.35">
      <c r="B57" s="83"/>
      <c r="C57" s="181"/>
      <c r="D57" s="82" t="s">
        <v>56</v>
      </c>
      <c r="E57" s="84"/>
      <c r="F57" s="74" t="s">
        <v>108</v>
      </c>
      <c r="G57" s="76"/>
      <c r="H57" s="79">
        <v>2</v>
      </c>
      <c r="I57" s="66" t="s">
        <v>105</v>
      </c>
      <c r="J57" s="49">
        <v>8000000</v>
      </c>
      <c r="K57" s="29">
        <f t="shared" si="0"/>
        <v>16000000</v>
      </c>
      <c r="L57" s="51"/>
      <c r="M57" s="18"/>
      <c r="N57" s="23"/>
      <c r="O57" s="23"/>
    </row>
    <row r="58" spans="2:15" x14ac:dyDescent="0.35">
      <c r="B58" s="81"/>
      <c r="C58" s="181"/>
      <c r="D58" s="82" t="s">
        <v>58</v>
      </c>
      <c r="E58" s="74"/>
      <c r="F58" s="74" t="s">
        <v>109</v>
      </c>
      <c r="G58" s="76"/>
      <c r="H58" s="79">
        <v>2</v>
      </c>
      <c r="I58" s="76" t="s">
        <v>105</v>
      </c>
      <c r="J58" s="49">
        <v>2750000</v>
      </c>
      <c r="K58" s="29">
        <f t="shared" si="0"/>
        <v>5500000</v>
      </c>
      <c r="L58" s="51"/>
      <c r="M58" s="18"/>
      <c r="N58" s="23"/>
      <c r="O58" s="23"/>
    </row>
    <row r="59" spans="2:15" x14ac:dyDescent="0.35">
      <c r="B59" s="81"/>
      <c r="C59" s="181"/>
      <c r="D59" s="82" t="s">
        <v>60</v>
      </c>
      <c r="E59" s="74"/>
      <c r="F59" s="74" t="s">
        <v>110</v>
      </c>
      <c r="G59" s="76"/>
      <c r="H59" s="79">
        <v>2</v>
      </c>
      <c r="I59" s="76" t="s">
        <v>105</v>
      </c>
      <c r="J59" s="49">
        <v>1700000</v>
      </c>
      <c r="K59" s="29">
        <f t="shared" si="0"/>
        <v>3400000</v>
      </c>
      <c r="L59" s="51"/>
      <c r="M59" s="18"/>
      <c r="N59" s="23"/>
      <c r="O59" s="23"/>
    </row>
    <row r="60" spans="2:15" x14ac:dyDescent="0.35">
      <c r="B60" s="85"/>
      <c r="C60" s="181"/>
      <c r="D60" s="82" t="s">
        <v>62</v>
      </c>
      <c r="E60" s="84"/>
      <c r="F60" s="74" t="s">
        <v>111</v>
      </c>
      <c r="G60" s="76"/>
      <c r="H60" s="79">
        <v>2</v>
      </c>
      <c r="I60" s="76" t="s">
        <v>105</v>
      </c>
      <c r="J60" s="49">
        <v>2000000</v>
      </c>
      <c r="K60" s="29">
        <f t="shared" si="0"/>
        <v>4000000</v>
      </c>
      <c r="L60" s="51"/>
      <c r="M60" s="18"/>
      <c r="N60" s="23"/>
      <c r="O60" s="23"/>
    </row>
    <row r="61" spans="2:15" x14ac:dyDescent="0.35">
      <c r="B61" s="86" t="s">
        <v>112</v>
      </c>
      <c r="C61" s="182"/>
      <c r="D61" s="87"/>
      <c r="E61" s="70" t="s">
        <v>113</v>
      </c>
      <c r="F61" s="61"/>
      <c r="G61" s="62"/>
      <c r="H61" s="61"/>
      <c r="I61" s="62"/>
      <c r="J61" s="49"/>
      <c r="K61" s="29"/>
      <c r="L61" s="51"/>
      <c r="M61" s="18"/>
      <c r="N61" s="23"/>
      <c r="O61" s="23"/>
    </row>
    <row r="62" spans="2:15" x14ac:dyDescent="0.35">
      <c r="B62" s="59"/>
      <c r="C62" s="178"/>
      <c r="D62" s="63" t="s">
        <v>44</v>
      </c>
      <c r="E62" s="68"/>
      <c r="F62" s="61" t="s">
        <v>114</v>
      </c>
      <c r="G62" s="62"/>
      <c r="H62" s="88">
        <v>4</v>
      </c>
      <c r="I62" s="66" t="s">
        <v>102</v>
      </c>
      <c r="J62" s="46">
        <v>550000</v>
      </c>
      <c r="K62" s="29">
        <f t="shared" si="0"/>
        <v>2200000</v>
      </c>
      <c r="L62" s="51"/>
      <c r="M62" s="18"/>
      <c r="N62" s="23"/>
      <c r="O62" s="23"/>
    </row>
    <row r="63" spans="2:15" x14ac:dyDescent="0.35">
      <c r="B63" s="59"/>
      <c r="C63" s="178"/>
      <c r="D63" s="63" t="s">
        <v>47</v>
      </c>
      <c r="E63" s="68"/>
      <c r="F63" s="61" t="s">
        <v>115</v>
      </c>
      <c r="G63" s="62"/>
      <c r="H63" s="79">
        <v>2</v>
      </c>
      <c r="I63" s="66" t="s">
        <v>105</v>
      </c>
      <c r="J63" s="46">
        <v>600000</v>
      </c>
      <c r="K63" s="29">
        <f t="shared" si="0"/>
        <v>1200000</v>
      </c>
      <c r="L63" s="51"/>
      <c r="M63" s="18"/>
      <c r="N63" s="23"/>
      <c r="O63" s="23"/>
    </row>
    <row r="64" spans="2:15" x14ac:dyDescent="0.35">
      <c r="B64" s="150"/>
      <c r="D64" s="63" t="s">
        <v>49</v>
      </c>
      <c r="E64" s="68"/>
      <c r="F64" s="61" t="s">
        <v>116</v>
      </c>
      <c r="G64" s="62"/>
      <c r="H64" s="79">
        <v>2</v>
      </c>
      <c r="I64" s="66" t="s">
        <v>105</v>
      </c>
      <c r="J64" s="46">
        <v>5000000</v>
      </c>
      <c r="K64" s="29">
        <f t="shared" si="0"/>
        <v>10000000</v>
      </c>
      <c r="L64" s="51"/>
      <c r="M64" s="18"/>
      <c r="N64" s="23"/>
      <c r="O64" s="23"/>
    </row>
    <row r="65" spans="2:23" x14ac:dyDescent="0.35">
      <c r="B65" s="150"/>
      <c r="D65" s="63" t="s">
        <v>51</v>
      </c>
      <c r="E65" s="68"/>
      <c r="F65" s="61" t="s">
        <v>117</v>
      </c>
      <c r="G65" s="62"/>
      <c r="H65" s="79">
        <v>2</v>
      </c>
      <c r="I65" s="66" t="s">
        <v>105</v>
      </c>
      <c r="J65" s="46">
        <v>2000000</v>
      </c>
      <c r="K65" s="29">
        <f t="shared" si="0"/>
        <v>4000000</v>
      </c>
      <c r="L65" s="51"/>
      <c r="M65" s="18"/>
      <c r="N65" s="23"/>
      <c r="O65" s="23"/>
    </row>
    <row r="66" spans="2:23" x14ac:dyDescent="0.35">
      <c r="B66" s="150"/>
      <c r="D66" s="63" t="s">
        <v>54</v>
      </c>
      <c r="E66" s="70"/>
      <c r="F66" s="61" t="s">
        <v>118</v>
      </c>
      <c r="G66" s="62"/>
      <c r="H66" s="78">
        <v>2</v>
      </c>
      <c r="I66" s="62" t="s">
        <v>105</v>
      </c>
      <c r="J66" s="49">
        <v>5000000</v>
      </c>
      <c r="K66" s="29">
        <f t="shared" si="0"/>
        <v>10000000</v>
      </c>
      <c r="L66" s="51"/>
      <c r="M66" s="18"/>
      <c r="N66" s="23"/>
      <c r="O66" s="23"/>
    </row>
    <row r="67" spans="2:23" x14ac:dyDescent="0.35">
      <c r="B67" s="150"/>
      <c r="E67" s="150"/>
      <c r="G67" s="22"/>
      <c r="J67" s="49"/>
      <c r="K67" s="29"/>
      <c r="L67" s="51"/>
      <c r="M67" s="18"/>
      <c r="N67" s="23"/>
      <c r="O67" s="23"/>
    </row>
    <row r="68" spans="2:23" x14ac:dyDescent="0.35">
      <c r="B68" s="150"/>
      <c r="E68" s="150"/>
      <c r="G68" s="22"/>
      <c r="J68" s="49"/>
      <c r="K68" s="29"/>
      <c r="L68" s="51"/>
      <c r="M68" s="18"/>
      <c r="N68" s="23"/>
      <c r="O68" s="23"/>
    </row>
    <row r="69" spans="2:23" x14ac:dyDescent="0.35">
      <c r="B69" s="150"/>
      <c r="E69" s="150"/>
      <c r="G69" s="22"/>
      <c r="J69" s="49"/>
      <c r="K69" s="29"/>
      <c r="L69" s="51"/>
      <c r="M69" s="18"/>
      <c r="N69" s="23"/>
      <c r="O69" s="23"/>
    </row>
    <row r="70" spans="2:23" x14ac:dyDescent="0.35">
      <c r="B70" s="150"/>
      <c r="E70" s="150"/>
      <c r="G70" s="22"/>
      <c r="J70" s="49"/>
      <c r="K70" s="29"/>
      <c r="L70" s="51"/>
      <c r="M70" s="18"/>
      <c r="N70" s="23"/>
      <c r="O70" s="23"/>
    </row>
    <row r="71" spans="2:23" x14ac:dyDescent="0.35">
      <c r="B71" s="47"/>
      <c r="C71" s="183"/>
      <c r="D71" s="24"/>
      <c r="G71" s="22"/>
      <c r="I71" s="22"/>
      <c r="J71" s="49"/>
      <c r="K71" s="29"/>
      <c r="L71" s="51"/>
      <c r="M71" s="18"/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381018500</v>
      </c>
      <c r="L72" s="7">
        <f>SUM(L20:L71)</f>
        <v>0</v>
      </c>
      <c r="M72" s="14">
        <f>K72+L72</f>
        <v>381018500</v>
      </c>
      <c r="N72" s="15"/>
      <c r="O72" s="34"/>
      <c r="P72" s="34"/>
      <c r="Q72" s="34"/>
      <c r="R72" s="34"/>
      <c r="S72">
        <v>102.15</v>
      </c>
      <c r="T72" s="34" t="s">
        <v>18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21</v>
      </c>
      <c r="L73" s="36" t="s">
        <v>22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19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271" t="s">
        <v>42</v>
      </c>
      <c r="L76" s="272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271" t="s">
        <v>27</v>
      </c>
      <c r="L77" s="272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273" t="s">
        <v>35</v>
      </c>
      <c r="L83" s="274"/>
      <c r="M83" s="40"/>
    </row>
    <row r="84" spans="2:13" x14ac:dyDescent="0.35">
      <c r="B84" s="45"/>
      <c r="K84" s="277" t="s">
        <v>36</v>
      </c>
      <c r="L84" s="278"/>
      <c r="M84" s="42"/>
    </row>
    <row r="85" spans="2:13" x14ac:dyDescent="0.35">
      <c r="B85" s="275"/>
      <c r="C85" s="276"/>
      <c r="D85" s="276"/>
      <c r="E85" s="41"/>
      <c r="F85" s="41"/>
      <c r="G85" s="41"/>
      <c r="H85" s="2"/>
      <c r="I85" s="2"/>
      <c r="J85" s="2"/>
      <c r="K85" s="2"/>
      <c r="L85" s="21"/>
    </row>
    <row r="86" spans="2:13" x14ac:dyDescent="0.35">
      <c r="B86" s="47"/>
      <c r="C86" s="183"/>
      <c r="D86" s="48"/>
      <c r="G86" s="22"/>
      <c r="H86" s="1"/>
      <c r="I86" s="1"/>
      <c r="J86" s="43"/>
      <c r="K86" s="30"/>
      <c r="L86" s="44"/>
    </row>
    <row r="87" spans="2:13" x14ac:dyDescent="0.35">
      <c r="B87" s="85" t="s">
        <v>119</v>
      </c>
      <c r="C87" s="181"/>
      <c r="D87" s="82"/>
      <c r="E87" s="84" t="s">
        <v>120</v>
      </c>
      <c r="F87" s="74"/>
      <c r="G87" s="76"/>
      <c r="H87" s="79"/>
      <c r="I87" s="76"/>
      <c r="J87" s="49"/>
      <c r="K87" s="50"/>
      <c r="L87" s="46"/>
    </row>
    <row r="88" spans="2:13" x14ac:dyDescent="0.35">
      <c r="B88" s="81"/>
      <c r="C88" s="181"/>
      <c r="D88" s="82" t="s">
        <v>44</v>
      </c>
      <c r="E88" s="74"/>
      <c r="F88" s="74" t="s">
        <v>121</v>
      </c>
      <c r="G88" s="76"/>
      <c r="H88" s="79">
        <v>1</v>
      </c>
      <c r="I88" s="76" t="s">
        <v>46</v>
      </c>
      <c r="J88" s="152">
        <v>7500000</v>
      </c>
      <c r="K88" s="29">
        <f t="shared" ref="K88" si="1">J88*H88</f>
        <v>7500000</v>
      </c>
      <c r="L88" s="51"/>
    </row>
    <row r="89" spans="2:13" x14ac:dyDescent="0.35">
      <c r="B89" s="85" t="s">
        <v>122</v>
      </c>
      <c r="C89" s="181"/>
      <c r="D89" s="82"/>
      <c r="E89" s="84" t="s">
        <v>123</v>
      </c>
      <c r="F89" s="74"/>
      <c r="G89" s="76"/>
      <c r="H89" s="79"/>
      <c r="I89" s="76"/>
      <c r="J89" s="49"/>
      <c r="K89" s="29"/>
      <c r="L89" s="51"/>
    </row>
    <row r="90" spans="2:13" x14ac:dyDescent="0.35">
      <c r="B90" s="59"/>
      <c r="C90" s="178"/>
      <c r="D90" s="63" t="s">
        <v>44</v>
      </c>
      <c r="E90" s="68"/>
      <c r="F90" s="61" t="s">
        <v>124</v>
      </c>
      <c r="G90" s="62"/>
      <c r="H90" s="79">
        <v>2</v>
      </c>
      <c r="I90" s="66" t="s">
        <v>125</v>
      </c>
      <c r="J90" s="46">
        <v>3000000</v>
      </c>
      <c r="K90" s="29">
        <f t="shared" ref="K90" si="2">J90*H90</f>
        <v>6000000</v>
      </c>
      <c r="L90" s="51"/>
    </row>
    <row r="91" spans="2:13" x14ac:dyDescent="0.35">
      <c r="B91" s="89" t="s">
        <v>126</v>
      </c>
      <c r="C91" s="184"/>
      <c r="D91" s="90"/>
      <c r="E91" s="91" t="s">
        <v>127</v>
      </c>
      <c r="F91" s="92"/>
      <c r="G91" s="93"/>
      <c r="H91" s="94"/>
      <c r="I91" s="58"/>
      <c r="J91" s="49"/>
      <c r="K91" s="29"/>
      <c r="L91" s="51"/>
    </row>
    <row r="92" spans="2:13" x14ac:dyDescent="0.35">
      <c r="B92" s="81"/>
      <c r="C92" s="181"/>
      <c r="D92" s="82" t="s">
        <v>44</v>
      </c>
      <c r="E92" s="74"/>
      <c r="F92" s="74" t="s">
        <v>128</v>
      </c>
      <c r="G92" s="76"/>
      <c r="H92" s="79">
        <v>9</v>
      </c>
      <c r="I92" s="76" t="s">
        <v>129</v>
      </c>
      <c r="J92" s="152">
        <v>500000</v>
      </c>
      <c r="K92" s="29">
        <f t="shared" ref="K92:K100" si="3">J92*H92</f>
        <v>4500000</v>
      </c>
      <c r="L92" s="51"/>
    </row>
    <row r="93" spans="2:13" x14ac:dyDescent="0.35">
      <c r="B93" s="81"/>
      <c r="C93" s="181"/>
      <c r="D93" s="82" t="s">
        <v>47</v>
      </c>
      <c r="E93" s="74"/>
      <c r="F93" s="74" t="s">
        <v>130</v>
      </c>
      <c r="G93" s="76"/>
      <c r="H93" s="79">
        <v>9</v>
      </c>
      <c r="I93" s="76" t="s">
        <v>131</v>
      </c>
      <c r="J93" s="152">
        <v>375000</v>
      </c>
      <c r="K93" s="29">
        <f t="shared" si="3"/>
        <v>3375000</v>
      </c>
      <c r="L93" s="51"/>
    </row>
    <row r="94" spans="2:13" x14ac:dyDescent="0.35">
      <c r="B94" s="81"/>
      <c r="C94" s="181"/>
      <c r="D94" s="82" t="s">
        <v>49</v>
      </c>
      <c r="E94" s="74"/>
      <c r="F94" s="74" t="s">
        <v>132</v>
      </c>
      <c r="G94" s="76"/>
      <c r="H94" s="79">
        <v>2</v>
      </c>
      <c r="I94" s="76" t="s">
        <v>105</v>
      </c>
      <c r="J94" s="152">
        <v>900000</v>
      </c>
      <c r="K94" s="29">
        <f t="shared" si="3"/>
        <v>1800000</v>
      </c>
      <c r="L94" s="51"/>
    </row>
    <row r="95" spans="2:13" x14ac:dyDescent="0.35">
      <c r="B95" s="81"/>
      <c r="C95" s="181"/>
      <c r="D95" s="82" t="s">
        <v>51</v>
      </c>
      <c r="E95" s="74"/>
      <c r="F95" s="74" t="s">
        <v>133</v>
      </c>
      <c r="G95" s="76"/>
      <c r="H95" s="79">
        <v>9</v>
      </c>
      <c r="I95" s="76" t="s">
        <v>131</v>
      </c>
      <c r="J95" s="152">
        <v>175000</v>
      </c>
      <c r="K95" s="29">
        <f t="shared" si="3"/>
        <v>1575000</v>
      </c>
      <c r="L95" s="51"/>
    </row>
    <row r="96" spans="2:13" x14ac:dyDescent="0.35">
      <c r="B96" s="81"/>
      <c r="C96" s="181"/>
      <c r="D96" s="82" t="s">
        <v>54</v>
      </c>
      <c r="E96" s="74"/>
      <c r="F96" s="74" t="s">
        <v>134</v>
      </c>
      <c r="G96" s="76"/>
      <c r="H96" s="79">
        <v>2</v>
      </c>
      <c r="I96" s="76" t="s">
        <v>105</v>
      </c>
      <c r="J96" s="152">
        <v>600000</v>
      </c>
      <c r="K96" s="29">
        <f t="shared" si="3"/>
        <v>1200000</v>
      </c>
      <c r="L96" s="51"/>
    </row>
    <row r="97" spans="2:14" x14ac:dyDescent="0.35">
      <c r="B97" s="67"/>
      <c r="C97" s="68"/>
      <c r="D97" s="82" t="s">
        <v>56</v>
      </c>
      <c r="E97" s="74"/>
      <c r="F97" s="74" t="s">
        <v>135</v>
      </c>
      <c r="G97" s="76"/>
      <c r="H97" s="79">
        <v>2</v>
      </c>
      <c r="I97" s="76" t="s">
        <v>136</v>
      </c>
      <c r="J97" s="153">
        <v>4500000</v>
      </c>
      <c r="K97" s="29">
        <f t="shared" si="3"/>
        <v>9000000</v>
      </c>
      <c r="L97" s="51"/>
    </row>
    <row r="98" spans="2:14" x14ac:dyDescent="0.35">
      <c r="B98" s="67"/>
      <c r="C98" s="68"/>
      <c r="D98" s="63" t="s">
        <v>58</v>
      </c>
      <c r="E98" s="61"/>
      <c r="F98" s="74" t="s">
        <v>137</v>
      </c>
      <c r="G98" s="76"/>
      <c r="H98" s="79">
        <v>9</v>
      </c>
      <c r="I98" s="76" t="s">
        <v>129</v>
      </c>
      <c r="J98" s="154">
        <v>175000</v>
      </c>
      <c r="K98" s="29">
        <f t="shared" si="3"/>
        <v>1575000</v>
      </c>
      <c r="L98" s="51"/>
    </row>
    <row r="99" spans="2:14" x14ac:dyDescent="0.35">
      <c r="B99" s="69" t="s">
        <v>138</v>
      </c>
      <c r="C99" s="179"/>
      <c r="D99" s="77"/>
      <c r="E99" s="70" t="s">
        <v>139</v>
      </c>
      <c r="F99" s="61"/>
      <c r="G99" s="62"/>
      <c r="H99" s="78"/>
      <c r="I99" s="62"/>
      <c r="J99" s="49"/>
      <c r="K99" s="29"/>
      <c r="L99" s="51"/>
    </row>
    <row r="100" spans="2:14" x14ac:dyDescent="0.35">
      <c r="B100" s="67"/>
      <c r="C100" s="68"/>
      <c r="D100" s="63" t="s">
        <v>44</v>
      </c>
      <c r="E100" s="61"/>
      <c r="F100" s="61" t="s">
        <v>140</v>
      </c>
      <c r="G100" s="62"/>
      <c r="H100" s="78">
        <v>1</v>
      </c>
      <c r="I100" s="62" t="s">
        <v>46</v>
      </c>
      <c r="J100" s="152">
        <v>2000000</v>
      </c>
      <c r="K100" s="29">
        <f t="shared" si="3"/>
        <v>2000000</v>
      </c>
      <c r="L100" s="51"/>
    </row>
    <row r="101" spans="2:14" x14ac:dyDescent="0.35">
      <c r="B101" s="95"/>
      <c r="C101" s="185"/>
      <c r="D101" s="96"/>
      <c r="E101" s="57"/>
      <c r="F101" s="57"/>
      <c r="G101" s="57"/>
      <c r="H101" s="80"/>
      <c r="I101" s="58"/>
      <c r="J101" s="49"/>
      <c r="K101" s="29"/>
      <c r="L101" s="51"/>
    </row>
    <row r="102" spans="2:14" x14ac:dyDescent="0.35">
      <c r="B102" s="97"/>
      <c r="C102" s="186"/>
      <c r="D102" s="186"/>
      <c r="E102" s="98"/>
      <c r="F102" s="99" t="s">
        <v>141</v>
      </c>
      <c r="G102" s="99"/>
      <c r="H102" s="100"/>
      <c r="I102" s="58"/>
      <c r="J102" s="49"/>
      <c r="K102" s="29"/>
      <c r="L102" s="51"/>
    </row>
    <row r="103" spans="2:14" x14ac:dyDescent="0.35">
      <c r="B103" s="97"/>
      <c r="C103" s="186"/>
      <c r="D103" s="186"/>
      <c r="E103" s="98"/>
      <c r="F103" s="99"/>
      <c r="G103" s="99"/>
      <c r="H103" s="100"/>
      <c r="I103" s="58"/>
      <c r="J103" s="49"/>
      <c r="K103" s="29"/>
      <c r="L103" s="51"/>
    </row>
    <row r="104" spans="2:14" x14ac:dyDescent="0.35">
      <c r="B104" s="101" t="s">
        <v>43</v>
      </c>
      <c r="C104" s="187"/>
      <c r="D104" s="187"/>
      <c r="E104" s="102" t="s">
        <v>142</v>
      </c>
      <c r="F104" s="103"/>
      <c r="G104" s="103"/>
      <c r="H104" s="104"/>
      <c r="I104" s="62"/>
      <c r="J104" s="49"/>
      <c r="K104" s="29"/>
      <c r="L104" s="51"/>
    </row>
    <row r="105" spans="2:14" x14ac:dyDescent="0.35">
      <c r="B105" s="101"/>
      <c r="C105" s="187" t="s">
        <v>143</v>
      </c>
      <c r="D105" s="187"/>
      <c r="E105" s="102"/>
      <c r="F105" s="103" t="s">
        <v>144</v>
      </c>
      <c r="G105" s="103"/>
      <c r="H105" s="104"/>
      <c r="I105" s="62"/>
      <c r="J105" s="49"/>
      <c r="K105" s="29"/>
      <c r="L105" s="51"/>
    </row>
    <row r="106" spans="2:14" x14ac:dyDescent="0.35">
      <c r="B106" s="101"/>
      <c r="C106" s="187"/>
      <c r="D106" s="187" t="s">
        <v>44</v>
      </c>
      <c r="E106" s="102"/>
      <c r="F106" s="103" t="s">
        <v>145</v>
      </c>
      <c r="G106" s="103"/>
      <c r="H106" s="104"/>
      <c r="I106" s="62"/>
      <c r="J106" s="49"/>
      <c r="K106" s="29"/>
      <c r="L106" s="51"/>
    </row>
    <row r="107" spans="2:14" x14ac:dyDescent="0.35">
      <c r="B107" s="101"/>
      <c r="C107" s="187"/>
      <c r="D107" s="187"/>
      <c r="E107" s="102"/>
      <c r="F107" s="103" t="s">
        <v>94</v>
      </c>
      <c r="G107" s="103" t="s">
        <v>146</v>
      </c>
      <c r="H107" s="106">
        <v>49.454999999999998</v>
      </c>
      <c r="I107" s="62" t="s">
        <v>147</v>
      </c>
      <c r="J107" s="155">
        <v>32000</v>
      </c>
      <c r="K107" s="29"/>
      <c r="L107" s="51">
        <f>J107*H107</f>
        <v>1582560</v>
      </c>
    </row>
    <row r="108" spans="2:14" x14ac:dyDescent="0.35">
      <c r="B108" s="101"/>
      <c r="C108" s="187"/>
      <c r="D108" s="187"/>
      <c r="E108" s="102"/>
      <c r="F108" s="103" t="s">
        <v>94</v>
      </c>
      <c r="G108" s="103" t="s">
        <v>148</v>
      </c>
      <c r="H108" s="106">
        <v>17.898</v>
      </c>
      <c r="I108" s="62" t="s">
        <v>147</v>
      </c>
      <c r="J108" s="154">
        <v>32000</v>
      </c>
      <c r="K108" s="29"/>
      <c r="L108" s="51">
        <f>J108*H108</f>
        <v>572736</v>
      </c>
    </row>
    <row r="109" spans="2:14" x14ac:dyDescent="0.35">
      <c r="B109" s="101"/>
      <c r="C109" s="187" t="s">
        <v>149</v>
      </c>
      <c r="D109" s="187"/>
      <c r="E109" s="102"/>
      <c r="F109" s="103" t="s">
        <v>150</v>
      </c>
      <c r="G109" s="103"/>
      <c r="H109" s="104"/>
      <c r="I109" s="62"/>
      <c r="J109" s="49"/>
      <c r="K109" s="29"/>
      <c r="L109" s="51"/>
      <c r="N109">
        <f>SUM(M110:M116)*1.3</f>
        <v>6303060.4000000004</v>
      </c>
    </row>
    <row r="110" spans="2:14" x14ac:dyDescent="0.35">
      <c r="B110" s="101"/>
      <c r="C110" s="187"/>
      <c r="D110" s="187" t="s">
        <v>44</v>
      </c>
      <c r="E110" s="102"/>
      <c r="F110" s="103" t="s">
        <v>151</v>
      </c>
      <c r="G110" s="103"/>
      <c r="H110" s="104">
        <v>1</v>
      </c>
      <c r="I110" s="62" t="s">
        <v>105</v>
      </c>
      <c r="J110" s="49">
        <v>6500000</v>
      </c>
      <c r="K110" s="29">
        <f t="shared" ref="K110" si="4">J110*H110</f>
        <v>6500000</v>
      </c>
      <c r="L110" s="51"/>
      <c r="M110">
        <v>2160000</v>
      </c>
    </row>
    <row r="111" spans="2:14" x14ac:dyDescent="0.35">
      <c r="B111" s="105"/>
      <c r="C111" s="188"/>
      <c r="D111" s="188"/>
      <c r="E111" s="102"/>
      <c r="F111" s="103" t="s">
        <v>94</v>
      </c>
      <c r="G111" s="103" t="s">
        <v>152</v>
      </c>
      <c r="H111" s="156">
        <v>1200</v>
      </c>
      <c r="I111" s="157" t="s">
        <v>153</v>
      </c>
      <c r="J111" s="158">
        <v>955</v>
      </c>
      <c r="K111" s="29"/>
      <c r="L111" s="51"/>
      <c r="M111">
        <v>1146000</v>
      </c>
    </row>
    <row r="112" spans="2:14" x14ac:dyDescent="0.35">
      <c r="B112" s="105"/>
      <c r="C112" s="188"/>
      <c r="D112" s="188"/>
      <c r="E112" s="102"/>
      <c r="F112" s="103" t="s">
        <v>94</v>
      </c>
      <c r="G112" s="103" t="s">
        <v>154</v>
      </c>
      <c r="H112" s="156">
        <v>1</v>
      </c>
      <c r="I112" s="157" t="s">
        <v>155</v>
      </c>
      <c r="J112" s="158">
        <v>490000</v>
      </c>
      <c r="K112" s="29"/>
      <c r="L112" s="51"/>
      <c r="M112">
        <v>490000</v>
      </c>
    </row>
    <row r="113" spans="2:13" x14ac:dyDescent="0.35">
      <c r="B113" s="105"/>
      <c r="C113" s="188"/>
      <c r="D113" s="188"/>
      <c r="E113" s="102"/>
      <c r="F113" s="103" t="s">
        <v>94</v>
      </c>
      <c r="G113" s="103" t="s">
        <v>156</v>
      </c>
      <c r="H113" s="159">
        <v>9.7967999999999993</v>
      </c>
      <c r="I113" s="157" t="s">
        <v>147</v>
      </c>
      <c r="J113" s="158">
        <v>30000</v>
      </c>
      <c r="K113" s="29"/>
      <c r="L113" s="51"/>
      <c r="M113">
        <v>293904</v>
      </c>
    </row>
    <row r="114" spans="2:13" x14ac:dyDescent="0.35">
      <c r="B114" s="105"/>
      <c r="C114" s="188"/>
      <c r="D114" s="188"/>
      <c r="E114" s="102"/>
      <c r="F114" s="103" t="s">
        <v>94</v>
      </c>
      <c r="G114" s="103" t="s">
        <v>157</v>
      </c>
      <c r="H114" s="159">
        <v>0.94199999999999984</v>
      </c>
      <c r="I114" s="157" t="s">
        <v>147</v>
      </c>
      <c r="J114" s="158">
        <v>30000</v>
      </c>
      <c r="K114" s="29"/>
      <c r="L114" s="51"/>
      <c r="M114">
        <v>28259.999999999996</v>
      </c>
    </row>
    <row r="115" spans="2:13" x14ac:dyDescent="0.35">
      <c r="B115" s="105"/>
      <c r="C115" s="188"/>
      <c r="D115" s="188"/>
      <c r="E115" s="102"/>
      <c r="F115" s="103" t="s">
        <v>94</v>
      </c>
      <c r="G115" s="103" t="s">
        <v>158</v>
      </c>
      <c r="H115" s="159">
        <v>19.782</v>
      </c>
      <c r="I115" s="157" t="s">
        <v>147</v>
      </c>
      <c r="J115" s="158">
        <v>30000</v>
      </c>
      <c r="K115" s="29"/>
      <c r="L115" s="51"/>
      <c r="M115">
        <v>593460</v>
      </c>
    </row>
    <row r="116" spans="2:13" x14ac:dyDescent="0.35">
      <c r="B116" s="101"/>
      <c r="C116" s="187"/>
      <c r="D116" s="187"/>
      <c r="E116" s="102"/>
      <c r="F116" s="103" t="s">
        <v>94</v>
      </c>
      <c r="G116" s="103" t="s">
        <v>159</v>
      </c>
      <c r="H116" s="159">
        <v>4.5628000000000002</v>
      </c>
      <c r="I116" s="157" t="s">
        <v>160</v>
      </c>
      <c r="J116" s="158">
        <v>30000</v>
      </c>
      <c r="K116" s="29"/>
      <c r="L116" s="51"/>
      <c r="M116">
        <v>136884</v>
      </c>
    </row>
    <row r="117" spans="2:13" x14ac:dyDescent="0.35">
      <c r="B117" s="105"/>
      <c r="C117" s="188" t="s">
        <v>161</v>
      </c>
      <c r="D117" s="188"/>
      <c r="E117" s="102"/>
      <c r="F117" s="103" t="s">
        <v>162</v>
      </c>
      <c r="G117" s="103"/>
      <c r="H117" s="104"/>
      <c r="I117" s="62"/>
      <c r="J117" s="49"/>
      <c r="K117" s="29"/>
      <c r="L117" s="51"/>
    </row>
    <row r="118" spans="2:13" x14ac:dyDescent="0.35">
      <c r="B118" s="105"/>
      <c r="C118" s="188"/>
      <c r="D118" s="188" t="s">
        <v>44</v>
      </c>
      <c r="E118" s="102"/>
      <c r="F118" s="103" t="s">
        <v>163</v>
      </c>
      <c r="G118" s="103"/>
      <c r="H118" s="104"/>
      <c r="I118" s="62"/>
      <c r="J118" s="49"/>
      <c r="K118" s="29"/>
      <c r="L118" s="51"/>
    </row>
    <row r="119" spans="2:13" x14ac:dyDescent="0.35">
      <c r="B119" s="105"/>
      <c r="C119" s="188"/>
      <c r="D119" s="188"/>
      <c r="E119" s="102"/>
      <c r="F119" s="103" t="s">
        <v>94</v>
      </c>
      <c r="G119" s="103" t="s">
        <v>164</v>
      </c>
      <c r="H119" s="106">
        <v>0.97967999999999988</v>
      </c>
      <c r="I119" s="62" t="s">
        <v>147</v>
      </c>
      <c r="J119" s="49">
        <v>30000</v>
      </c>
      <c r="K119" s="29"/>
      <c r="L119" s="51">
        <f>J119*H119</f>
        <v>29390.399999999998</v>
      </c>
    </row>
    <row r="120" spans="2:13" x14ac:dyDescent="0.35">
      <c r="B120" s="105"/>
      <c r="C120" s="188"/>
      <c r="D120" s="188"/>
      <c r="E120" s="102"/>
      <c r="F120" s="103" t="s">
        <v>94</v>
      </c>
      <c r="G120" s="103" t="s">
        <v>165</v>
      </c>
      <c r="H120" s="106">
        <v>1.0173599999999998</v>
      </c>
      <c r="I120" s="62" t="s">
        <v>147</v>
      </c>
      <c r="J120" s="49">
        <v>30000</v>
      </c>
      <c r="K120" s="29"/>
      <c r="L120" s="51">
        <f t="shared" ref="L120:L133" si="5">J120*H120</f>
        <v>30520.799999999996</v>
      </c>
    </row>
    <row r="121" spans="2:13" x14ac:dyDescent="0.35">
      <c r="B121" s="105"/>
      <c r="C121" s="188"/>
      <c r="D121" s="188"/>
      <c r="E121" s="102"/>
      <c r="F121" s="103" t="s">
        <v>94</v>
      </c>
      <c r="G121" s="103" t="s">
        <v>166</v>
      </c>
      <c r="H121" s="106">
        <v>0.79127999999999987</v>
      </c>
      <c r="I121" s="62" t="s">
        <v>147</v>
      </c>
      <c r="J121" s="49">
        <v>30000</v>
      </c>
      <c r="K121" s="29"/>
      <c r="L121" s="51">
        <f t="shared" si="5"/>
        <v>23738.399999999998</v>
      </c>
    </row>
    <row r="122" spans="2:13" x14ac:dyDescent="0.35">
      <c r="B122" s="105"/>
      <c r="C122" s="188"/>
      <c r="D122" s="188"/>
      <c r="E122" s="102"/>
      <c r="F122" s="103" t="s">
        <v>94</v>
      </c>
      <c r="G122" s="103" t="s">
        <v>167</v>
      </c>
      <c r="H122" s="106">
        <v>1.05504</v>
      </c>
      <c r="I122" s="62" t="s">
        <v>147</v>
      </c>
      <c r="J122" s="49">
        <v>30000</v>
      </c>
      <c r="K122" s="29"/>
      <c r="L122" s="51">
        <f t="shared" si="5"/>
        <v>31651.200000000001</v>
      </c>
    </row>
    <row r="123" spans="2:13" x14ac:dyDescent="0.35">
      <c r="B123" s="105"/>
      <c r="C123" s="188"/>
      <c r="D123" s="188"/>
      <c r="E123" s="102"/>
      <c r="F123" s="103" t="s">
        <v>94</v>
      </c>
      <c r="G123" s="103" t="s">
        <v>168</v>
      </c>
      <c r="H123" s="106">
        <v>0.97967999999999988</v>
      </c>
      <c r="I123" s="62" t="s">
        <v>147</v>
      </c>
      <c r="J123" s="49">
        <v>30000</v>
      </c>
      <c r="K123" s="29"/>
      <c r="L123" s="51">
        <f t="shared" si="5"/>
        <v>29390.399999999998</v>
      </c>
    </row>
    <row r="124" spans="2:13" x14ac:dyDescent="0.35">
      <c r="B124" s="105"/>
      <c r="C124" s="188"/>
      <c r="D124" s="188"/>
      <c r="E124" s="102"/>
      <c r="F124" s="103" t="s">
        <v>94</v>
      </c>
      <c r="G124" s="103" t="s">
        <v>169</v>
      </c>
      <c r="H124" s="106">
        <v>1.05504</v>
      </c>
      <c r="I124" s="62" t="s">
        <v>147</v>
      </c>
      <c r="J124" s="49">
        <v>30000</v>
      </c>
      <c r="K124" s="29"/>
      <c r="L124" s="51">
        <f t="shared" si="5"/>
        <v>31651.200000000001</v>
      </c>
    </row>
    <row r="125" spans="2:13" x14ac:dyDescent="0.35">
      <c r="B125" s="105"/>
      <c r="C125" s="188"/>
      <c r="D125" s="188"/>
      <c r="E125" s="102"/>
      <c r="F125" s="103" t="s">
        <v>94</v>
      </c>
      <c r="G125" s="103" t="s">
        <v>170</v>
      </c>
      <c r="H125" s="106">
        <v>0.75359999999999983</v>
      </c>
      <c r="I125" s="62" t="s">
        <v>147</v>
      </c>
      <c r="J125" s="49">
        <v>30000</v>
      </c>
      <c r="K125" s="29"/>
      <c r="L125" s="51">
        <f t="shared" si="5"/>
        <v>22607.999999999996</v>
      </c>
    </row>
    <row r="126" spans="2:13" x14ac:dyDescent="0.35">
      <c r="B126" s="105"/>
      <c r="C126" s="188"/>
      <c r="D126" s="188"/>
      <c r="E126" s="102"/>
      <c r="F126" s="103" t="s">
        <v>94</v>
      </c>
      <c r="G126" s="103" t="s">
        <v>171</v>
      </c>
      <c r="H126" s="106">
        <v>4.6120320000000001</v>
      </c>
      <c r="I126" s="62" t="s">
        <v>147</v>
      </c>
      <c r="J126" s="49">
        <v>30000</v>
      </c>
      <c r="K126" s="29"/>
      <c r="L126" s="51">
        <f t="shared" si="5"/>
        <v>138360.95999999999</v>
      </c>
    </row>
    <row r="127" spans="2:13" x14ac:dyDescent="0.35">
      <c r="B127" s="105"/>
      <c r="C127" s="188"/>
      <c r="D127" s="188"/>
      <c r="E127" s="102"/>
      <c r="F127" s="103" t="s">
        <v>94</v>
      </c>
      <c r="G127" s="103" t="s">
        <v>172</v>
      </c>
      <c r="H127" s="106">
        <v>4.6120320000000001</v>
      </c>
      <c r="I127" s="62" t="s">
        <v>147</v>
      </c>
      <c r="J127" s="49">
        <v>30000</v>
      </c>
      <c r="K127" s="29"/>
      <c r="L127" s="51">
        <f t="shared" si="5"/>
        <v>138360.95999999999</v>
      </c>
    </row>
    <row r="128" spans="2:13" x14ac:dyDescent="0.35">
      <c r="B128" s="105"/>
      <c r="C128" s="188"/>
      <c r="D128" s="188"/>
      <c r="E128" s="102"/>
      <c r="F128" s="103" t="s">
        <v>94</v>
      </c>
      <c r="G128" s="103" t="s">
        <v>173</v>
      </c>
      <c r="H128" s="106">
        <v>3.9337919999999995</v>
      </c>
      <c r="I128" s="62" t="s">
        <v>147</v>
      </c>
      <c r="J128" s="49">
        <v>30000</v>
      </c>
      <c r="K128" s="29"/>
      <c r="L128" s="51">
        <f t="shared" si="5"/>
        <v>118013.75999999998</v>
      </c>
    </row>
    <row r="129" spans="2:12" x14ac:dyDescent="0.35">
      <c r="B129" s="105"/>
      <c r="C129" s="188"/>
      <c r="D129" s="188"/>
      <c r="E129" s="102"/>
      <c r="F129" s="103" t="s">
        <v>94</v>
      </c>
      <c r="G129" s="103" t="s">
        <v>174</v>
      </c>
      <c r="H129" s="106">
        <v>4.6120320000000001</v>
      </c>
      <c r="I129" s="62" t="s">
        <v>147</v>
      </c>
      <c r="J129" s="49">
        <v>30000</v>
      </c>
      <c r="K129" s="29"/>
      <c r="L129" s="51">
        <f t="shared" si="5"/>
        <v>138360.95999999999</v>
      </c>
    </row>
    <row r="130" spans="2:12" x14ac:dyDescent="0.35">
      <c r="B130" s="105"/>
      <c r="C130" s="188"/>
      <c r="D130" s="188"/>
      <c r="E130" s="102"/>
      <c r="F130" s="103" t="s">
        <v>94</v>
      </c>
      <c r="G130" s="103" t="s">
        <v>175</v>
      </c>
      <c r="H130" s="106">
        <v>4.6120320000000001</v>
      </c>
      <c r="I130" s="62" t="s">
        <v>147</v>
      </c>
      <c r="J130" s="49">
        <v>30000</v>
      </c>
      <c r="K130" s="29"/>
      <c r="L130" s="51">
        <f t="shared" si="5"/>
        <v>138360.95999999999</v>
      </c>
    </row>
    <row r="131" spans="2:12" x14ac:dyDescent="0.35">
      <c r="B131" s="105"/>
      <c r="C131" s="188"/>
      <c r="D131" s="188"/>
      <c r="E131" s="102"/>
      <c r="F131" s="103" t="s">
        <v>94</v>
      </c>
      <c r="G131" s="103" t="s">
        <v>176</v>
      </c>
      <c r="H131" s="106">
        <v>4.6120320000000001</v>
      </c>
      <c r="I131" s="62" t="s">
        <v>147</v>
      </c>
      <c r="J131" s="49">
        <v>30000</v>
      </c>
      <c r="K131" s="29"/>
      <c r="L131" s="51">
        <f t="shared" si="5"/>
        <v>138360.95999999999</v>
      </c>
    </row>
    <row r="132" spans="2:12" x14ac:dyDescent="0.35">
      <c r="B132" s="105"/>
      <c r="C132" s="188"/>
      <c r="D132" s="188"/>
      <c r="E132" s="102"/>
      <c r="F132" s="103" t="s">
        <v>94</v>
      </c>
      <c r="G132" s="103" t="s">
        <v>177</v>
      </c>
      <c r="H132" s="106">
        <v>3.3309120000000001</v>
      </c>
      <c r="I132" s="62" t="s">
        <v>147</v>
      </c>
      <c r="J132" s="49">
        <v>30000</v>
      </c>
      <c r="K132" s="29"/>
      <c r="L132" s="51">
        <f t="shared" si="5"/>
        <v>99927.360000000001</v>
      </c>
    </row>
    <row r="133" spans="2:12" x14ac:dyDescent="0.35">
      <c r="B133" s="105"/>
      <c r="C133" s="188"/>
      <c r="D133" s="188"/>
      <c r="E133" s="102"/>
      <c r="F133" s="103" t="s">
        <v>94</v>
      </c>
      <c r="G133" s="143" t="s">
        <v>178</v>
      </c>
      <c r="H133" s="151">
        <v>0.79127999999999987</v>
      </c>
      <c r="I133" s="62" t="s">
        <v>147</v>
      </c>
      <c r="J133" s="49">
        <v>30000</v>
      </c>
      <c r="K133" s="29"/>
      <c r="L133" s="51">
        <f t="shared" si="5"/>
        <v>23738.399999999998</v>
      </c>
    </row>
    <row r="134" spans="2:12" x14ac:dyDescent="0.35">
      <c r="B134" s="105"/>
      <c r="C134" s="188"/>
      <c r="D134" s="188"/>
      <c r="E134" s="102"/>
      <c r="F134" s="103"/>
      <c r="G134" s="143"/>
      <c r="H134" s="151"/>
      <c r="I134" s="62"/>
      <c r="J134" s="49"/>
      <c r="K134" s="29"/>
      <c r="L134" s="51"/>
    </row>
    <row r="135" spans="2:12" x14ac:dyDescent="0.35">
      <c r="B135" s="105"/>
      <c r="C135" s="188"/>
      <c r="D135" s="188"/>
      <c r="E135" s="102"/>
      <c r="F135" s="103"/>
      <c r="G135" s="143"/>
      <c r="H135" s="151"/>
      <c r="I135" s="62"/>
      <c r="J135" s="49"/>
      <c r="K135" s="29"/>
      <c r="L135" s="51"/>
    </row>
    <row r="136" spans="2:12" x14ac:dyDescent="0.35">
      <c r="B136" s="105"/>
      <c r="C136" s="188"/>
      <c r="D136" s="188"/>
      <c r="E136" s="102"/>
      <c r="F136" s="103"/>
      <c r="G136" s="143"/>
      <c r="H136" s="151"/>
      <c r="I136" s="62"/>
      <c r="J136" s="49"/>
      <c r="K136" s="29"/>
      <c r="L136" s="51"/>
    </row>
    <row r="137" spans="2:12" x14ac:dyDescent="0.35">
      <c r="B137" s="47"/>
      <c r="C137" s="183"/>
      <c r="D137" s="24"/>
      <c r="G137" s="22"/>
      <c r="I137" s="22"/>
      <c r="J137" s="49"/>
      <c r="K137" s="29"/>
      <c r="L137" s="51"/>
    </row>
    <row r="138" spans="2:12" x14ac:dyDescent="0.35">
      <c r="B138" s="8"/>
      <c r="C138" s="9"/>
      <c r="D138" s="10"/>
      <c r="E138" s="4"/>
      <c r="F138" s="4"/>
      <c r="G138" s="4"/>
      <c r="H138" s="1"/>
      <c r="I138" s="1"/>
      <c r="J138" s="11" t="s">
        <v>8</v>
      </c>
      <c r="K138" s="7">
        <f>SUM(K86:K137)</f>
        <v>45025000</v>
      </c>
      <c r="L138" s="7">
        <f>SUM(L86:L137)</f>
        <v>3287730.7199999993</v>
      </c>
    </row>
    <row r="139" spans="2:12" x14ac:dyDescent="0.35">
      <c r="B139" s="8"/>
      <c r="C139" s="9"/>
      <c r="D139" s="9"/>
      <c r="E139" s="4"/>
      <c r="F139" s="4"/>
      <c r="G139" s="4"/>
      <c r="H139" s="1"/>
      <c r="I139" s="1"/>
      <c r="J139" s="11"/>
      <c r="K139" s="35" t="s">
        <v>21</v>
      </c>
      <c r="L139" s="36" t="s">
        <v>22</v>
      </c>
    </row>
    <row r="140" spans="2:12" x14ac:dyDescent="0.35">
      <c r="B140" s="3" t="s">
        <v>9</v>
      </c>
      <c r="C140" s="4"/>
      <c r="D140" s="4"/>
      <c r="E140" s="4"/>
      <c r="F140" s="4"/>
      <c r="G140" s="4"/>
      <c r="H140" s="1"/>
      <c r="I140" s="1"/>
      <c r="J140" s="12"/>
      <c r="K140" s="12"/>
      <c r="L140" s="13"/>
    </row>
    <row r="141" spans="2:12" x14ac:dyDescent="0.35">
      <c r="B141" s="37"/>
      <c r="C141" s="1"/>
      <c r="D141" s="1"/>
      <c r="E141" s="38"/>
      <c r="F141" s="38"/>
      <c r="G141" s="38"/>
      <c r="H141" s="1"/>
      <c r="I141" s="1"/>
      <c r="J141" s="1"/>
      <c r="K141" s="1"/>
      <c r="L141" s="19"/>
    </row>
    <row r="142" spans="2:12" x14ac:dyDescent="0.35">
      <c r="B142" s="28" t="s">
        <v>6</v>
      </c>
      <c r="C142" s="27"/>
      <c r="D142" s="27"/>
      <c r="E142" s="26"/>
      <c r="F142" s="26"/>
      <c r="G142" s="5"/>
      <c r="K142" s="271" t="s">
        <v>42</v>
      </c>
      <c r="L142" s="272"/>
    </row>
    <row r="143" spans="2:12" x14ac:dyDescent="0.35">
      <c r="B143" s="28">
        <v>1</v>
      </c>
      <c r="C143" s="27"/>
      <c r="D143" s="27"/>
      <c r="E143" s="26" t="s">
        <v>7</v>
      </c>
      <c r="F143" s="26"/>
      <c r="G143" s="5"/>
      <c r="K143" s="271" t="s">
        <v>27</v>
      </c>
      <c r="L143" s="272"/>
    </row>
    <row r="144" spans="2:12" x14ac:dyDescent="0.35">
      <c r="B144" s="39"/>
      <c r="C144" s="27"/>
      <c r="D144" s="27"/>
      <c r="E144" s="26"/>
      <c r="F144" s="26"/>
      <c r="G144" s="5"/>
      <c r="J144" s="25"/>
      <c r="K144" s="25"/>
      <c r="L144" s="24"/>
    </row>
    <row r="145" spans="2:12" x14ac:dyDescent="0.35">
      <c r="B145" s="28"/>
      <c r="C145" s="27"/>
      <c r="D145" s="27"/>
      <c r="E145" s="26"/>
      <c r="F145" s="26"/>
      <c r="G145" s="5"/>
      <c r="L145" s="22"/>
    </row>
    <row r="146" spans="2:12" x14ac:dyDescent="0.35">
      <c r="B146" s="45"/>
      <c r="E146" s="5"/>
      <c r="F146" s="5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J149" s="40"/>
      <c r="K149" s="273" t="s">
        <v>35</v>
      </c>
      <c r="L149" s="274"/>
    </row>
    <row r="150" spans="2:12" x14ac:dyDescent="0.35">
      <c r="B150" s="45"/>
      <c r="K150" s="277" t="s">
        <v>36</v>
      </c>
      <c r="L150" s="278"/>
    </row>
    <row r="151" spans="2:12" x14ac:dyDescent="0.35">
      <c r="B151" s="275"/>
      <c r="C151" s="276"/>
      <c r="D151" s="276"/>
      <c r="E151" s="41"/>
      <c r="F151" s="41"/>
      <c r="G151" s="41"/>
      <c r="H151" s="2"/>
      <c r="I151" s="2"/>
      <c r="J151" s="2"/>
      <c r="K151" s="2"/>
      <c r="L151" s="21"/>
    </row>
    <row r="152" spans="2:12" x14ac:dyDescent="0.35">
      <c r="B152" s="47"/>
      <c r="C152" s="183"/>
      <c r="D152" s="48"/>
      <c r="G152" s="22"/>
      <c r="H152" s="1"/>
      <c r="I152" s="1"/>
      <c r="J152" s="43"/>
      <c r="K152" s="30"/>
      <c r="L152" s="44"/>
    </row>
    <row r="153" spans="2:12" x14ac:dyDescent="0.35">
      <c r="B153" s="105"/>
      <c r="C153" s="188"/>
      <c r="D153" s="188"/>
      <c r="E153" s="102"/>
      <c r="F153" s="103" t="s">
        <v>94</v>
      </c>
      <c r="G153" s="103" t="s">
        <v>179</v>
      </c>
      <c r="H153" s="106">
        <v>1.4921279999999999</v>
      </c>
      <c r="I153" s="62" t="s">
        <v>147</v>
      </c>
      <c r="J153" s="49">
        <v>30000</v>
      </c>
      <c r="K153" s="29"/>
      <c r="L153" s="51">
        <f t="shared" ref="L153:L202" si="6">J153*H153</f>
        <v>44763.839999999997</v>
      </c>
    </row>
    <row r="154" spans="2:12" x14ac:dyDescent="0.35">
      <c r="B154" s="105"/>
      <c r="C154" s="188"/>
      <c r="D154" s="188"/>
      <c r="E154" s="102"/>
      <c r="F154" s="103" t="s">
        <v>94</v>
      </c>
      <c r="G154" s="103" t="s">
        <v>180</v>
      </c>
      <c r="H154" s="106">
        <v>1.5825599999999997</v>
      </c>
      <c r="I154" s="62" t="s">
        <v>147</v>
      </c>
      <c r="J154" s="49">
        <v>30000</v>
      </c>
      <c r="K154" s="29"/>
      <c r="L154" s="51">
        <f t="shared" si="6"/>
        <v>47476.799999999996</v>
      </c>
    </row>
    <row r="155" spans="2:12" x14ac:dyDescent="0.35">
      <c r="B155" s="105"/>
      <c r="C155" s="188"/>
      <c r="D155" s="188"/>
      <c r="E155" s="102"/>
      <c r="F155" s="103" t="s">
        <v>94</v>
      </c>
      <c r="G155" s="103" t="s">
        <v>181</v>
      </c>
      <c r="H155" s="106">
        <v>1.7332799999999999</v>
      </c>
      <c r="I155" s="62" t="s">
        <v>147</v>
      </c>
      <c r="J155" s="49">
        <v>30000</v>
      </c>
      <c r="K155" s="29"/>
      <c r="L155" s="51">
        <f t="shared" si="6"/>
        <v>51998.400000000001</v>
      </c>
    </row>
    <row r="156" spans="2:12" x14ac:dyDescent="0.35">
      <c r="B156" s="105"/>
      <c r="C156" s="188"/>
      <c r="D156" s="188"/>
      <c r="E156" s="102"/>
      <c r="F156" s="103" t="s">
        <v>94</v>
      </c>
      <c r="G156" s="103" t="s">
        <v>182</v>
      </c>
      <c r="H156" s="106">
        <v>7.347599999999999</v>
      </c>
      <c r="I156" s="62" t="s">
        <v>147</v>
      </c>
      <c r="J156" s="49">
        <v>30000</v>
      </c>
      <c r="K156" s="29"/>
      <c r="L156" s="51">
        <f t="shared" si="6"/>
        <v>220427.99999999997</v>
      </c>
    </row>
    <row r="157" spans="2:12" x14ac:dyDescent="0.35">
      <c r="B157" s="105"/>
      <c r="C157" s="188"/>
      <c r="D157" s="188"/>
      <c r="E157" s="102"/>
      <c r="F157" s="103" t="s">
        <v>94</v>
      </c>
      <c r="G157" s="103" t="s">
        <v>183</v>
      </c>
      <c r="H157" s="106">
        <v>6.4997999999999987</v>
      </c>
      <c r="I157" s="62" t="s">
        <v>147</v>
      </c>
      <c r="J157" s="49">
        <v>30000</v>
      </c>
      <c r="K157" s="29"/>
      <c r="L157" s="51">
        <f t="shared" si="6"/>
        <v>194993.99999999997</v>
      </c>
    </row>
    <row r="158" spans="2:12" x14ac:dyDescent="0.35">
      <c r="B158" s="105"/>
      <c r="C158" s="188"/>
      <c r="D158" s="188"/>
      <c r="E158" s="102"/>
      <c r="F158" s="103" t="s">
        <v>94</v>
      </c>
      <c r="G158" s="103" t="s">
        <v>184</v>
      </c>
      <c r="H158" s="106">
        <v>5.9345999999999997</v>
      </c>
      <c r="I158" s="62" t="s">
        <v>147</v>
      </c>
      <c r="J158" s="49">
        <v>30000</v>
      </c>
      <c r="K158" s="29"/>
      <c r="L158" s="51">
        <f t="shared" si="6"/>
        <v>178038</v>
      </c>
    </row>
    <row r="159" spans="2:12" x14ac:dyDescent="0.35">
      <c r="B159" s="105"/>
      <c r="C159" s="188"/>
      <c r="D159" s="188"/>
      <c r="E159" s="102"/>
      <c r="F159" s="103" t="s">
        <v>94</v>
      </c>
      <c r="G159" s="103" t="s">
        <v>185</v>
      </c>
      <c r="H159" s="106">
        <v>7.347599999999999</v>
      </c>
      <c r="I159" s="62" t="s">
        <v>147</v>
      </c>
      <c r="J159" s="49">
        <v>30000</v>
      </c>
      <c r="K159" s="29"/>
      <c r="L159" s="51">
        <f t="shared" si="6"/>
        <v>220427.99999999997</v>
      </c>
    </row>
    <row r="160" spans="2:12" x14ac:dyDescent="0.35">
      <c r="B160" s="105"/>
      <c r="C160" s="188"/>
      <c r="D160" s="188" t="s">
        <v>47</v>
      </c>
      <c r="E160" s="102"/>
      <c r="F160" s="103" t="s">
        <v>186</v>
      </c>
      <c r="G160" s="103"/>
      <c r="H160" s="104"/>
      <c r="I160" s="62"/>
      <c r="J160" s="49"/>
      <c r="K160" s="29"/>
      <c r="L160" s="51"/>
    </row>
    <row r="161" spans="2:12" x14ac:dyDescent="0.35">
      <c r="B161" s="101"/>
      <c r="C161" s="187"/>
      <c r="D161" s="187"/>
      <c r="E161" s="102"/>
      <c r="F161" s="103" t="s">
        <v>94</v>
      </c>
      <c r="G161" s="103" t="s">
        <v>187</v>
      </c>
      <c r="H161" s="106">
        <v>124.34400000000002</v>
      </c>
      <c r="I161" s="62" t="s">
        <v>147</v>
      </c>
      <c r="J161" s="49">
        <v>30000</v>
      </c>
      <c r="K161" s="29"/>
      <c r="L161" s="51">
        <f t="shared" si="6"/>
        <v>3730320.0000000005</v>
      </c>
    </row>
    <row r="162" spans="2:12" x14ac:dyDescent="0.35">
      <c r="B162" s="101"/>
      <c r="C162" s="187"/>
      <c r="D162" s="187"/>
      <c r="E162" s="102"/>
      <c r="F162" s="103" t="s">
        <v>94</v>
      </c>
      <c r="G162" s="103" t="s">
        <v>188</v>
      </c>
      <c r="H162" s="106">
        <v>23.550000000000004</v>
      </c>
      <c r="I162" s="62" t="s">
        <v>147</v>
      </c>
      <c r="J162" s="49">
        <v>30000</v>
      </c>
      <c r="K162" s="29"/>
      <c r="L162" s="51">
        <f t="shared" si="6"/>
        <v>706500.00000000012</v>
      </c>
    </row>
    <row r="163" spans="2:12" x14ac:dyDescent="0.35">
      <c r="B163" s="101"/>
      <c r="C163" s="187"/>
      <c r="D163" s="187"/>
      <c r="E163" s="102"/>
      <c r="F163" s="103" t="s">
        <v>94</v>
      </c>
      <c r="G163" s="103" t="s">
        <v>189</v>
      </c>
      <c r="H163" s="106">
        <v>19.216800000000003</v>
      </c>
      <c r="I163" s="62" t="s">
        <v>147</v>
      </c>
      <c r="J163" s="49">
        <v>30000</v>
      </c>
      <c r="K163" s="29"/>
      <c r="L163" s="51">
        <f t="shared" si="6"/>
        <v>576504.00000000012</v>
      </c>
    </row>
    <row r="164" spans="2:12" x14ac:dyDescent="0.35">
      <c r="B164" s="101"/>
      <c r="C164" s="187"/>
      <c r="D164" s="187"/>
      <c r="E164" s="102"/>
      <c r="F164" s="103" t="s">
        <v>94</v>
      </c>
      <c r="G164" s="103" t="s">
        <v>190</v>
      </c>
      <c r="H164" s="106">
        <v>12.434400000000002</v>
      </c>
      <c r="I164" s="62" t="s">
        <v>147</v>
      </c>
      <c r="J164" s="49">
        <v>30000</v>
      </c>
      <c r="K164" s="29"/>
      <c r="L164" s="51">
        <f t="shared" si="6"/>
        <v>373032.00000000006</v>
      </c>
    </row>
    <row r="165" spans="2:12" x14ac:dyDescent="0.35">
      <c r="B165" s="101"/>
      <c r="C165" s="187"/>
      <c r="D165" s="187"/>
      <c r="E165" s="102"/>
      <c r="F165" s="103" t="s">
        <v>94</v>
      </c>
      <c r="G165" s="103" t="s">
        <v>191</v>
      </c>
      <c r="H165" s="106">
        <v>9.6084000000000014</v>
      </c>
      <c r="I165" s="62" t="s">
        <v>147</v>
      </c>
      <c r="J165" s="49">
        <v>30000</v>
      </c>
      <c r="K165" s="29"/>
      <c r="L165" s="51">
        <f t="shared" si="6"/>
        <v>288252.00000000006</v>
      </c>
    </row>
    <row r="166" spans="2:12" x14ac:dyDescent="0.35">
      <c r="B166" s="105"/>
      <c r="C166" s="188"/>
      <c r="D166" s="188"/>
      <c r="E166" s="102"/>
      <c r="F166" s="103" t="s">
        <v>94</v>
      </c>
      <c r="G166" s="103" t="s">
        <v>192</v>
      </c>
      <c r="H166" s="106">
        <v>5.4636000000000005</v>
      </c>
      <c r="I166" s="62" t="s">
        <v>147</v>
      </c>
      <c r="J166" s="49">
        <v>30000</v>
      </c>
      <c r="K166" s="29"/>
      <c r="L166" s="51">
        <f t="shared" si="6"/>
        <v>163908</v>
      </c>
    </row>
    <row r="167" spans="2:12" x14ac:dyDescent="0.35">
      <c r="B167" s="105"/>
      <c r="C167" s="188"/>
      <c r="D167" s="188" t="s">
        <v>49</v>
      </c>
      <c r="E167" s="102"/>
      <c r="F167" s="103" t="s">
        <v>193</v>
      </c>
      <c r="G167" s="103"/>
      <c r="H167" s="106"/>
      <c r="I167" s="62"/>
      <c r="J167" s="49"/>
      <c r="K167" s="29"/>
      <c r="L167" s="51"/>
    </row>
    <row r="168" spans="2:12" x14ac:dyDescent="0.35">
      <c r="B168" s="105"/>
      <c r="C168" s="188"/>
      <c r="D168" s="188"/>
      <c r="E168" s="102"/>
      <c r="F168" s="103" t="s">
        <v>94</v>
      </c>
      <c r="G168" s="103" t="s">
        <v>194</v>
      </c>
      <c r="H168" s="106">
        <v>54.379775999999985</v>
      </c>
      <c r="I168" s="62" t="s">
        <v>147</v>
      </c>
      <c r="J168" s="49">
        <v>30000</v>
      </c>
      <c r="K168" s="29"/>
      <c r="L168" s="51">
        <f t="shared" si="6"/>
        <v>1631393.2799999996</v>
      </c>
    </row>
    <row r="169" spans="2:12" x14ac:dyDescent="0.35">
      <c r="B169" s="105"/>
      <c r="C169" s="188"/>
      <c r="D169" s="188"/>
      <c r="E169" s="102"/>
      <c r="F169" s="103" t="s">
        <v>94</v>
      </c>
      <c r="G169" s="103" t="s">
        <v>195</v>
      </c>
      <c r="H169" s="106">
        <v>37.190159999999999</v>
      </c>
      <c r="I169" s="62" t="s">
        <v>147</v>
      </c>
      <c r="J169" s="49">
        <v>30000</v>
      </c>
      <c r="K169" s="29"/>
      <c r="L169" s="51">
        <f t="shared" si="6"/>
        <v>1115704.8</v>
      </c>
    </row>
    <row r="170" spans="2:12" x14ac:dyDescent="0.35">
      <c r="B170" s="105"/>
      <c r="C170" s="188"/>
      <c r="D170" s="188"/>
      <c r="E170" s="102"/>
      <c r="F170" s="103" t="s">
        <v>94</v>
      </c>
      <c r="G170" s="103" t="s">
        <v>196</v>
      </c>
      <c r="H170" s="106">
        <v>3.9187199999999995</v>
      </c>
      <c r="I170" s="62" t="s">
        <v>147</v>
      </c>
      <c r="J170" s="49">
        <v>30000</v>
      </c>
      <c r="K170" s="29"/>
      <c r="L170" s="51">
        <f t="shared" si="6"/>
        <v>117561.59999999999</v>
      </c>
    </row>
    <row r="171" spans="2:12" x14ac:dyDescent="0.35">
      <c r="B171" s="105"/>
      <c r="C171" s="188" t="s">
        <v>197</v>
      </c>
      <c r="D171" s="188"/>
      <c r="E171" s="102"/>
      <c r="F171" s="103" t="s">
        <v>198</v>
      </c>
      <c r="G171" s="103"/>
      <c r="H171" s="104"/>
      <c r="I171" s="62"/>
      <c r="J171" s="49"/>
      <c r="K171" s="29"/>
      <c r="L171" s="51"/>
    </row>
    <row r="172" spans="2:12" x14ac:dyDescent="0.35">
      <c r="B172" s="105"/>
      <c r="C172" s="188"/>
      <c r="D172" s="188" t="s">
        <v>44</v>
      </c>
      <c r="E172" s="102"/>
      <c r="F172" s="103" t="s">
        <v>163</v>
      </c>
      <c r="G172" s="103"/>
      <c r="H172" s="104"/>
      <c r="I172" s="62"/>
      <c r="J172" s="49"/>
      <c r="K172" s="29"/>
      <c r="L172" s="51"/>
    </row>
    <row r="173" spans="2:12" x14ac:dyDescent="0.35">
      <c r="B173" s="105"/>
      <c r="C173" s="188"/>
      <c r="D173" s="188"/>
      <c r="E173" s="102"/>
      <c r="F173" s="103" t="s">
        <v>94</v>
      </c>
      <c r="G173" s="103" t="s">
        <v>199</v>
      </c>
      <c r="H173" s="106">
        <v>1.0173599999999998</v>
      </c>
      <c r="I173" s="62" t="s">
        <v>147</v>
      </c>
      <c r="J173" s="49">
        <v>30000</v>
      </c>
      <c r="K173" s="29"/>
      <c r="L173" s="51">
        <f t="shared" si="6"/>
        <v>30520.799999999996</v>
      </c>
    </row>
    <row r="174" spans="2:12" x14ac:dyDescent="0.35">
      <c r="B174" s="105"/>
      <c r="C174" s="188"/>
      <c r="D174" s="188"/>
      <c r="E174" s="102"/>
      <c r="F174" s="103" t="s">
        <v>94</v>
      </c>
      <c r="G174" s="103" t="s">
        <v>200</v>
      </c>
      <c r="H174" s="106">
        <v>1.2057599999999999</v>
      </c>
      <c r="I174" s="62" t="s">
        <v>147</v>
      </c>
      <c r="J174" s="49">
        <v>30000</v>
      </c>
      <c r="K174" s="29"/>
      <c r="L174" s="51">
        <f t="shared" si="6"/>
        <v>36172.799999999996</v>
      </c>
    </row>
    <row r="175" spans="2:12" x14ac:dyDescent="0.35">
      <c r="B175" s="105"/>
      <c r="C175" s="188"/>
      <c r="D175" s="188"/>
      <c r="E175" s="102"/>
      <c r="F175" s="103" t="s">
        <v>94</v>
      </c>
      <c r="G175" s="103" t="s">
        <v>201</v>
      </c>
      <c r="H175" s="106">
        <v>0.97967999999999988</v>
      </c>
      <c r="I175" s="62" t="s">
        <v>147</v>
      </c>
      <c r="J175" s="49">
        <v>30000</v>
      </c>
      <c r="K175" s="29"/>
      <c r="L175" s="51">
        <f t="shared" si="6"/>
        <v>29390.399999999998</v>
      </c>
    </row>
    <row r="176" spans="2:12" x14ac:dyDescent="0.35">
      <c r="B176" s="105"/>
      <c r="C176" s="188"/>
      <c r="D176" s="188"/>
      <c r="E176" s="102"/>
      <c r="F176" s="103" t="s">
        <v>94</v>
      </c>
      <c r="G176" s="103" t="s">
        <v>168</v>
      </c>
      <c r="H176" s="106">
        <v>0.97967999999999988</v>
      </c>
      <c r="I176" s="62" t="s">
        <v>147</v>
      </c>
      <c r="J176" s="49">
        <v>30000</v>
      </c>
      <c r="K176" s="29"/>
      <c r="L176" s="51">
        <f t="shared" si="6"/>
        <v>29390.399999999998</v>
      </c>
    </row>
    <row r="177" spans="2:12" x14ac:dyDescent="0.35">
      <c r="B177" s="105"/>
      <c r="C177" s="188"/>
      <c r="D177" s="188"/>
      <c r="E177" s="102"/>
      <c r="F177" s="103" t="s">
        <v>94</v>
      </c>
      <c r="G177" s="103" t="s">
        <v>202</v>
      </c>
      <c r="H177" s="106">
        <v>1.0927199999999999</v>
      </c>
      <c r="I177" s="62" t="s">
        <v>147</v>
      </c>
      <c r="J177" s="49">
        <v>30000</v>
      </c>
      <c r="K177" s="29"/>
      <c r="L177" s="51">
        <f t="shared" si="6"/>
        <v>32781.599999999999</v>
      </c>
    </row>
    <row r="178" spans="2:12" x14ac:dyDescent="0.35">
      <c r="B178" s="105"/>
      <c r="C178" s="188"/>
      <c r="D178" s="188"/>
      <c r="E178" s="102"/>
      <c r="F178" s="103"/>
      <c r="G178" s="103" t="s">
        <v>203</v>
      </c>
      <c r="H178" s="106">
        <f>0.35*0.17*10*7.85*1.2</f>
        <v>5.6048999999999998</v>
      </c>
      <c r="I178" s="62" t="s">
        <v>147</v>
      </c>
      <c r="J178" s="49">
        <v>30000</v>
      </c>
      <c r="K178" s="29"/>
      <c r="L178" s="51">
        <f t="shared" si="6"/>
        <v>168147</v>
      </c>
    </row>
    <row r="179" spans="2:12" x14ac:dyDescent="0.35">
      <c r="B179" s="105"/>
      <c r="C179" s="188"/>
      <c r="D179" s="188"/>
      <c r="E179" s="102"/>
      <c r="F179" s="103" t="s">
        <v>94</v>
      </c>
      <c r="G179" s="103" t="s">
        <v>204</v>
      </c>
      <c r="H179" s="106">
        <v>6.7823999999999991</v>
      </c>
      <c r="I179" s="62" t="s">
        <v>147</v>
      </c>
      <c r="J179" s="49">
        <v>30000</v>
      </c>
      <c r="K179" s="29"/>
      <c r="L179" s="51">
        <f t="shared" si="6"/>
        <v>203471.99999999997</v>
      </c>
    </row>
    <row r="180" spans="2:12" x14ac:dyDescent="0.35">
      <c r="B180" s="105"/>
      <c r="C180" s="188"/>
      <c r="D180" s="188"/>
      <c r="E180" s="102"/>
      <c r="F180" s="103" t="s">
        <v>94</v>
      </c>
      <c r="G180" s="103" t="s">
        <v>205</v>
      </c>
      <c r="H180" s="106">
        <v>5.5954799999999993</v>
      </c>
      <c r="I180" s="62" t="s">
        <v>147</v>
      </c>
      <c r="J180" s="49">
        <v>30000</v>
      </c>
      <c r="K180" s="29"/>
      <c r="L180" s="51">
        <f t="shared" si="6"/>
        <v>167864.4</v>
      </c>
    </row>
    <row r="181" spans="2:12" x14ac:dyDescent="0.35">
      <c r="B181" s="105"/>
      <c r="C181" s="188"/>
      <c r="D181" s="188"/>
      <c r="E181" s="102"/>
      <c r="F181" s="103" t="s">
        <v>94</v>
      </c>
      <c r="G181" s="103" t="s">
        <v>206</v>
      </c>
      <c r="H181" s="106">
        <v>5.4259200000000005</v>
      </c>
      <c r="I181" s="62" t="s">
        <v>147</v>
      </c>
      <c r="J181" s="49">
        <v>30000</v>
      </c>
      <c r="K181" s="29"/>
      <c r="L181" s="51">
        <f t="shared" si="6"/>
        <v>162777.60000000001</v>
      </c>
    </row>
    <row r="182" spans="2:12" x14ac:dyDescent="0.35">
      <c r="B182" s="101"/>
      <c r="C182" s="187"/>
      <c r="D182" s="187"/>
      <c r="E182" s="102"/>
      <c r="F182" s="103" t="s">
        <v>94</v>
      </c>
      <c r="G182" s="103" t="s">
        <v>207</v>
      </c>
      <c r="H182" s="106">
        <v>5.9345999999999997</v>
      </c>
      <c r="I182" s="62" t="s">
        <v>147</v>
      </c>
      <c r="J182" s="49">
        <v>30000</v>
      </c>
      <c r="K182" s="29"/>
      <c r="L182" s="51">
        <f t="shared" si="6"/>
        <v>178038</v>
      </c>
    </row>
    <row r="183" spans="2:12" x14ac:dyDescent="0.35">
      <c r="B183" s="105"/>
      <c r="C183" s="188"/>
      <c r="D183" s="188"/>
      <c r="E183" s="102"/>
      <c r="F183" s="103" t="s">
        <v>94</v>
      </c>
      <c r="G183" s="103" t="s">
        <v>208</v>
      </c>
      <c r="H183" s="106">
        <v>1.0173599999999998</v>
      </c>
      <c r="I183" s="62" t="s">
        <v>147</v>
      </c>
      <c r="J183" s="49">
        <v>30000</v>
      </c>
      <c r="K183" s="29"/>
      <c r="L183" s="51">
        <f t="shared" si="6"/>
        <v>30520.799999999996</v>
      </c>
    </row>
    <row r="184" spans="2:12" x14ac:dyDescent="0.35">
      <c r="B184" s="105"/>
      <c r="C184" s="188"/>
      <c r="D184" s="188"/>
      <c r="E184" s="102"/>
      <c r="F184" s="103" t="s">
        <v>94</v>
      </c>
      <c r="G184" s="103" t="s">
        <v>209</v>
      </c>
      <c r="H184" s="106">
        <v>0.86663999999999997</v>
      </c>
      <c r="I184" s="62" t="s">
        <v>147</v>
      </c>
      <c r="J184" s="49">
        <v>30000</v>
      </c>
      <c r="K184" s="29"/>
      <c r="L184" s="51">
        <f t="shared" si="6"/>
        <v>25999.200000000001</v>
      </c>
    </row>
    <row r="185" spans="2:12" x14ac:dyDescent="0.35">
      <c r="B185" s="105"/>
      <c r="C185" s="188"/>
      <c r="D185" s="188"/>
      <c r="E185" s="102"/>
      <c r="F185" s="103" t="s">
        <v>94</v>
      </c>
      <c r="G185" s="103" t="s">
        <v>210</v>
      </c>
      <c r="H185" s="106">
        <v>0.75359999999999983</v>
      </c>
      <c r="I185" s="62" t="s">
        <v>147</v>
      </c>
      <c r="J185" s="49">
        <v>30000</v>
      </c>
      <c r="K185" s="29"/>
      <c r="L185" s="51">
        <f t="shared" si="6"/>
        <v>22607.999999999996</v>
      </c>
    </row>
    <row r="186" spans="2:12" x14ac:dyDescent="0.35">
      <c r="B186" s="105"/>
      <c r="C186" s="188"/>
      <c r="D186" s="188"/>
      <c r="E186" s="102"/>
      <c r="F186" s="103" t="s">
        <v>94</v>
      </c>
      <c r="G186" s="103" t="s">
        <v>211</v>
      </c>
      <c r="H186" s="106">
        <v>1.4243039999999996</v>
      </c>
      <c r="I186" s="62" t="s">
        <v>147</v>
      </c>
      <c r="J186" s="49">
        <v>30000</v>
      </c>
      <c r="K186" s="29"/>
      <c r="L186" s="51">
        <f t="shared" si="6"/>
        <v>42729.119999999988</v>
      </c>
    </row>
    <row r="187" spans="2:12" x14ac:dyDescent="0.35">
      <c r="B187" s="105"/>
      <c r="C187" s="188"/>
      <c r="D187" s="188"/>
      <c r="E187" s="102"/>
      <c r="F187" s="103" t="s">
        <v>94</v>
      </c>
      <c r="G187" s="103" t="s">
        <v>212</v>
      </c>
      <c r="H187" s="106">
        <v>1.4243039999999996</v>
      </c>
      <c r="I187" s="62" t="s">
        <v>147</v>
      </c>
      <c r="J187" s="49">
        <v>30000</v>
      </c>
      <c r="K187" s="29"/>
      <c r="L187" s="51">
        <f t="shared" si="6"/>
        <v>42729.119999999988</v>
      </c>
    </row>
    <row r="188" spans="2:12" x14ac:dyDescent="0.35">
      <c r="B188" s="105"/>
      <c r="C188" s="188"/>
      <c r="D188" s="188"/>
      <c r="E188" s="102"/>
      <c r="F188" s="103" t="s">
        <v>94</v>
      </c>
      <c r="G188" s="103" t="s">
        <v>213</v>
      </c>
      <c r="H188" s="106">
        <v>1.4921279999999999</v>
      </c>
      <c r="I188" s="62" t="s">
        <v>147</v>
      </c>
      <c r="J188" s="49">
        <v>30000</v>
      </c>
      <c r="K188" s="29"/>
      <c r="L188" s="51">
        <f t="shared" si="6"/>
        <v>44763.839999999997</v>
      </c>
    </row>
    <row r="189" spans="2:12" x14ac:dyDescent="0.35">
      <c r="B189" s="105"/>
      <c r="C189" s="188"/>
      <c r="D189" s="188"/>
      <c r="E189" s="102"/>
      <c r="F189" s="103" t="s">
        <v>94</v>
      </c>
      <c r="G189" s="103" t="s">
        <v>214</v>
      </c>
      <c r="H189" s="106">
        <v>1.4921279999999999</v>
      </c>
      <c r="I189" s="62" t="s">
        <v>147</v>
      </c>
      <c r="J189" s="49">
        <v>30000</v>
      </c>
      <c r="K189" s="29"/>
      <c r="L189" s="51">
        <f t="shared" si="6"/>
        <v>44763.839999999997</v>
      </c>
    </row>
    <row r="190" spans="2:12" x14ac:dyDescent="0.35">
      <c r="B190" s="105"/>
      <c r="C190" s="188"/>
      <c r="D190" s="188"/>
      <c r="E190" s="102"/>
      <c r="F190" s="103" t="s">
        <v>94</v>
      </c>
      <c r="G190" s="103" t="s">
        <v>215</v>
      </c>
      <c r="H190" s="106">
        <v>6.4432799999999997</v>
      </c>
      <c r="I190" s="62" t="s">
        <v>147</v>
      </c>
      <c r="J190" s="49">
        <v>30000</v>
      </c>
      <c r="K190" s="29"/>
      <c r="L190" s="51">
        <f t="shared" si="6"/>
        <v>193298.4</v>
      </c>
    </row>
    <row r="191" spans="2:12" x14ac:dyDescent="0.35">
      <c r="B191" s="105"/>
      <c r="C191" s="188"/>
      <c r="D191" s="188"/>
      <c r="E191" s="102"/>
      <c r="F191" s="103" t="s">
        <v>94</v>
      </c>
      <c r="G191" s="103" t="s">
        <v>216</v>
      </c>
      <c r="H191" s="106">
        <v>4.8041999999999998</v>
      </c>
      <c r="I191" s="62" t="s">
        <v>147</v>
      </c>
      <c r="J191" s="49">
        <v>30000</v>
      </c>
      <c r="K191" s="29"/>
      <c r="L191" s="51">
        <f t="shared" si="6"/>
        <v>144126</v>
      </c>
    </row>
    <row r="192" spans="2:12" x14ac:dyDescent="0.35">
      <c r="B192" s="105"/>
      <c r="C192" s="188"/>
      <c r="D192" s="188"/>
      <c r="E192" s="102"/>
      <c r="F192" s="103" t="s">
        <v>94</v>
      </c>
      <c r="G192" s="103" t="s">
        <v>217</v>
      </c>
      <c r="H192" s="106">
        <v>4.6440599999999996</v>
      </c>
      <c r="I192" s="62" t="s">
        <v>147</v>
      </c>
      <c r="J192" s="49">
        <v>30000</v>
      </c>
      <c r="K192" s="29"/>
      <c r="L192" s="51">
        <f t="shared" si="6"/>
        <v>139321.79999999999</v>
      </c>
    </row>
    <row r="193" spans="2:12" x14ac:dyDescent="0.35">
      <c r="B193" s="105"/>
      <c r="C193" s="188"/>
      <c r="D193" s="188"/>
      <c r="E193" s="102"/>
      <c r="F193" s="103" t="s">
        <v>94</v>
      </c>
      <c r="G193" s="103" t="s">
        <v>218</v>
      </c>
      <c r="H193" s="106">
        <v>6.0664799999999994</v>
      </c>
      <c r="I193" s="62" t="s">
        <v>147</v>
      </c>
      <c r="J193" s="49">
        <v>30000</v>
      </c>
      <c r="K193" s="29"/>
      <c r="L193" s="51">
        <f t="shared" si="6"/>
        <v>181994.4</v>
      </c>
    </row>
    <row r="194" spans="2:12" x14ac:dyDescent="0.35">
      <c r="B194" s="105"/>
      <c r="C194" s="188"/>
      <c r="D194" s="188"/>
      <c r="E194" s="102"/>
      <c r="F194" s="103" t="s">
        <v>94</v>
      </c>
      <c r="G194" s="103" t="s">
        <v>219</v>
      </c>
      <c r="H194" s="106">
        <v>6.2831399999999995</v>
      </c>
      <c r="I194" s="62" t="s">
        <v>147</v>
      </c>
      <c r="J194" s="49">
        <v>30000</v>
      </c>
      <c r="K194" s="29"/>
      <c r="L194" s="51">
        <f t="shared" si="6"/>
        <v>188494.19999999998</v>
      </c>
    </row>
    <row r="195" spans="2:12" x14ac:dyDescent="0.35">
      <c r="B195" s="105"/>
      <c r="C195" s="188"/>
      <c r="D195" s="188"/>
      <c r="E195" s="102"/>
      <c r="F195" s="103" t="s">
        <v>94</v>
      </c>
      <c r="G195" s="103" t="s">
        <v>220</v>
      </c>
      <c r="H195" s="106">
        <v>5.9345999999999997</v>
      </c>
      <c r="I195" s="62" t="s">
        <v>147</v>
      </c>
      <c r="J195" s="49">
        <v>30000</v>
      </c>
      <c r="K195" s="29"/>
      <c r="L195" s="51">
        <f t="shared" si="6"/>
        <v>178038</v>
      </c>
    </row>
    <row r="196" spans="2:12" x14ac:dyDescent="0.35">
      <c r="B196" s="105"/>
      <c r="C196" s="188"/>
      <c r="D196" s="188"/>
      <c r="E196" s="102"/>
      <c r="F196" s="103" t="s">
        <v>94</v>
      </c>
      <c r="G196" s="103" t="s">
        <v>221</v>
      </c>
      <c r="H196" s="106">
        <v>6.3302399999999999</v>
      </c>
      <c r="I196" s="62" t="s">
        <v>147</v>
      </c>
      <c r="J196" s="49">
        <v>30000</v>
      </c>
      <c r="K196" s="29"/>
      <c r="L196" s="51">
        <f t="shared" si="6"/>
        <v>189907.19999999998</v>
      </c>
    </row>
    <row r="197" spans="2:12" x14ac:dyDescent="0.35">
      <c r="B197" s="105"/>
      <c r="C197" s="188"/>
      <c r="D197" s="188" t="s">
        <v>47</v>
      </c>
      <c r="E197" s="102"/>
      <c r="F197" s="103" t="s">
        <v>186</v>
      </c>
      <c r="G197" s="103"/>
      <c r="H197" s="106"/>
      <c r="I197" s="62"/>
      <c r="J197" s="49"/>
      <c r="K197" s="29"/>
      <c r="L197" s="51"/>
    </row>
    <row r="198" spans="2:12" x14ac:dyDescent="0.35">
      <c r="B198" s="105"/>
      <c r="C198" s="188"/>
      <c r="D198" s="188"/>
      <c r="E198" s="102"/>
      <c r="F198" s="103" t="s">
        <v>94</v>
      </c>
      <c r="G198" s="103" t="s">
        <v>222</v>
      </c>
      <c r="H198" s="106">
        <v>13.753200000000001</v>
      </c>
      <c r="I198" s="62" t="s">
        <v>147</v>
      </c>
      <c r="J198" s="49">
        <v>30000</v>
      </c>
      <c r="K198" s="29"/>
      <c r="L198" s="51">
        <f t="shared" si="6"/>
        <v>412596.00000000006</v>
      </c>
    </row>
    <row r="199" spans="2:12" x14ac:dyDescent="0.35">
      <c r="B199" s="105"/>
      <c r="C199" s="188"/>
      <c r="D199" s="188"/>
      <c r="E199" s="102"/>
      <c r="F199" s="103" t="s">
        <v>94</v>
      </c>
      <c r="G199" s="103" t="s">
        <v>223</v>
      </c>
      <c r="H199" s="106">
        <v>46.34640000000001</v>
      </c>
      <c r="I199" s="62" t="s">
        <v>147</v>
      </c>
      <c r="J199" s="49">
        <v>30000</v>
      </c>
      <c r="K199" s="29"/>
      <c r="L199" s="51">
        <f t="shared" si="6"/>
        <v>1390392.0000000002</v>
      </c>
    </row>
    <row r="200" spans="2:12" x14ac:dyDescent="0.35">
      <c r="B200" s="105"/>
      <c r="C200" s="188"/>
      <c r="D200" s="188"/>
      <c r="E200" s="102"/>
      <c r="F200" s="103" t="s">
        <v>94</v>
      </c>
      <c r="G200" s="103" t="s">
        <v>224</v>
      </c>
      <c r="H200" s="106">
        <v>38.622000000000007</v>
      </c>
      <c r="I200" s="62" t="s">
        <v>147</v>
      </c>
      <c r="J200" s="49">
        <v>30000</v>
      </c>
      <c r="K200" s="29"/>
      <c r="L200" s="51">
        <f t="shared" si="6"/>
        <v>1158660.0000000002</v>
      </c>
    </row>
    <row r="201" spans="2:12" x14ac:dyDescent="0.35">
      <c r="B201" s="105"/>
      <c r="C201" s="188"/>
      <c r="D201" s="188"/>
      <c r="E201" s="102"/>
      <c r="F201" s="103" t="s">
        <v>94</v>
      </c>
      <c r="G201" s="103" t="s">
        <v>225</v>
      </c>
      <c r="H201" s="106">
        <v>26.376000000000005</v>
      </c>
      <c r="I201" s="62" t="s">
        <v>147</v>
      </c>
      <c r="J201" s="49">
        <v>30000</v>
      </c>
      <c r="K201" s="29"/>
      <c r="L201" s="51">
        <f t="shared" si="6"/>
        <v>791280.00000000012</v>
      </c>
    </row>
    <row r="202" spans="2:12" x14ac:dyDescent="0.35">
      <c r="B202" s="105"/>
      <c r="C202" s="188"/>
      <c r="D202" s="188"/>
      <c r="E202" s="102"/>
      <c r="F202" s="103" t="s">
        <v>94</v>
      </c>
      <c r="G202" s="103" t="s">
        <v>226</v>
      </c>
      <c r="H202" s="106">
        <v>21.854400000000002</v>
      </c>
      <c r="I202" s="62" t="s">
        <v>147</v>
      </c>
      <c r="J202" s="49">
        <v>30000</v>
      </c>
      <c r="K202" s="29"/>
      <c r="L202" s="51">
        <f t="shared" si="6"/>
        <v>655632</v>
      </c>
    </row>
    <row r="203" spans="2:12" x14ac:dyDescent="0.35">
      <c r="B203" s="47"/>
      <c r="C203" s="183"/>
      <c r="D203" s="24"/>
      <c r="G203" s="22"/>
      <c r="I203" s="22"/>
      <c r="J203" s="49"/>
      <c r="K203" s="29"/>
      <c r="L203" s="51"/>
    </row>
    <row r="204" spans="2:12" x14ac:dyDescent="0.35">
      <c r="B204" s="8"/>
      <c r="C204" s="9"/>
      <c r="D204" s="10"/>
      <c r="E204" s="4"/>
      <c r="F204" s="4"/>
      <c r="G204" s="4"/>
      <c r="H204" s="1"/>
      <c r="I204" s="1"/>
      <c r="J204" s="11" t="s">
        <v>8</v>
      </c>
      <c r="K204" s="7">
        <f>SUM(K152:K203)</f>
        <v>0</v>
      </c>
      <c r="L204" s="7">
        <f>SUM(L152:L203)</f>
        <v>16577711.640000001</v>
      </c>
    </row>
    <row r="205" spans="2:12" x14ac:dyDescent="0.35">
      <c r="B205" s="8"/>
      <c r="C205" s="9"/>
      <c r="D205" s="9"/>
      <c r="E205" s="4"/>
      <c r="F205" s="4"/>
      <c r="G205" s="4"/>
      <c r="H205" s="1"/>
      <c r="I205" s="1"/>
      <c r="J205" s="11"/>
      <c r="K205" s="35" t="s">
        <v>21</v>
      </c>
      <c r="L205" s="36" t="s">
        <v>22</v>
      </c>
    </row>
    <row r="206" spans="2:12" x14ac:dyDescent="0.35">
      <c r="B206" s="3" t="s">
        <v>9</v>
      </c>
      <c r="C206" s="4"/>
      <c r="D206" s="4"/>
      <c r="E206" s="4"/>
      <c r="F206" s="4"/>
      <c r="G206" s="4"/>
      <c r="H206" s="1"/>
      <c r="I206" s="1"/>
      <c r="J206" s="12"/>
      <c r="K206" s="12"/>
      <c r="L206" s="13"/>
    </row>
    <row r="207" spans="2:12" x14ac:dyDescent="0.35">
      <c r="B207" s="37"/>
      <c r="C207" s="1"/>
      <c r="D207" s="1"/>
      <c r="E207" s="38"/>
      <c r="F207" s="38"/>
      <c r="G207" s="38"/>
      <c r="H207" s="1"/>
      <c r="I207" s="1"/>
      <c r="J207" s="1"/>
      <c r="K207" s="1"/>
      <c r="L207" s="19"/>
    </row>
    <row r="208" spans="2:12" x14ac:dyDescent="0.35">
      <c r="B208" s="28" t="s">
        <v>6</v>
      </c>
      <c r="C208" s="27"/>
      <c r="D208" s="27"/>
      <c r="E208" s="26"/>
      <c r="F208" s="26"/>
      <c r="G208" s="5"/>
      <c r="K208" s="271" t="s">
        <v>42</v>
      </c>
      <c r="L208" s="272"/>
    </row>
    <row r="209" spans="2:12" x14ac:dyDescent="0.35">
      <c r="B209" s="28">
        <v>1</v>
      </c>
      <c r="C209" s="27"/>
      <c r="D209" s="27"/>
      <c r="E209" s="26" t="s">
        <v>7</v>
      </c>
      <c r="F209" s="26"/>
      <c r="G209" s="5"/>
      <c r="K209" s="271" t="s">
        <v>27</v>
      </c>
      <c r="L209" s="272"/>
    </row>
    <row r="210" spans="2:12" x14ac:dyDescent="0.35">
      <c r="B210" s="39"/>
      <c r="C210" s="27"/>
      <c r="D210" s="27"/>
      <c r="E210" s="26"/>
      <c r="F210" s="26"/>
      <c r="G210" s="5"/>
      <c r="J210" s="25"/>
      <c r="K210" s="25"/>
      <c r="L210" s="24"/>
    </row>
    <row r="211" spans="2:12" x14ac:dyDescent="0.35">
      <c r="B211" s="28"/>
      <c r="C211" s="27"/>
      <c r="D211" s="27"/>
      <c r="E211" s="26"/>
      <c r="F211" s="26"/>
      <c r="G211" s="5"/>
      <c r="L211" s="22"/>
    </row>
    <row r="212" spans="2:12" x14ac:dyDescent="0.35">
      <c r="B212" s="45"/>
      <c r="E212" s="5"/>
      <c r="F212" s="5"/>
      <c r="G212" s="5"/>
      <c r="L212" s="22"/>
    </row>
    <row r="213" spans="2:12" x14ac:dyDescent="0.35">
      <c r="B213" s="45"/>
      <c r="E213" s="5"/>
      <c r="F213" s="5"/>
      <c r="G213" s="5"/>
      <c r="L213" s="22"/>
    </row>
    <row r="214" spans="2:12" x14ac:dyDescent="0.35">
      <c r="B214" s="45"/>
      <c r="E214" s="5"/>
      <c r="F214" s="5"/>
      <c r="G214" s="5"/>
      <c r="L214" s="22"/>
    </row>
    <row r="215" spans="2:12" x14ac:dyDescent="0.35">
      <c r="B215" s="45"/>
      <c r="E215" s="5"/>
      <c r="F215" s="5"/>
      <c r="G215" s="5"/>
      <c r="J215" s="40"/>
      <c r="K215" s="273" t="s">
        <v>35</v>
      </c>
      <c r="L215" s="274"/>
    </row>
    <row r="216" spans="2:12" x14ac:dyDescent="0.35">
      <c r="B216" s="45"/>
      <c r="K216" s="277" t="s">
        <v>36</v>
      </c>
      <c r="L216" s="278"/>
    </row>
    <row r="217" spans="2:12" x14ac:dyDescent="0.35">
      <c r="B217" s="275"/>
      <c r="C217" s="276"/>
      <c r="D217" s="276"/>
      <c r="E217" s="41"/>
      <c r="F217" s="41"/>
      <c r="G217" s="41"/>
      <c r="H217" s="2"/>
      <c r="I217" s="2"/>
      <c r="J217" s="2"/>
      <c r="K217" s="2"/>
      <c r="L217" s="21"/>
    </row>
    <row r="218" spans="2:12" x14ac:dyDescent="0.35">
      <c r="B218" s="47"/>
      <c r="C218" s="183"/>
      <c r="D218" s="48"/>
      <c r="G218" s="22"/>
      <c r="H218" s="1"/>
      <c r="I218" s="1"/>
      <c r="J218" s="43"/>
      <c r="K218" s="43"/>
      <c r="L218" s="30"/>
    </row>
    <row r="219" spans="2:12" x14ac:dyDescent="0.35">
      <c r="B219" s="105"/>
      <c r="C219" s="188"/>
      <c r="D219" s="188"/>
      <c r="E219" s="102"/>
      <c r="F219" s="103" t="s">
        <v>94</v>
      </c>
      <c r="G219" s="103" t="s">
        <v>227</v>
      </c>
      <c r="H219" s="106">
        <v>12.434400000000002</v>
      </c>
      <c r="I219" s="62" t="s">
        <v>147</v>
      </c>
      <c r="J219" s="49">
        <v>30000</v>
      </c>
      <c r="K219" s="29"/>
      <c r="L219" s="51">
        <f t="shared" ref="L219:L267" si="7">J219*H219</f>
        <v>373032.00000000006</v>
      </c>
    </row>
    <row r="220" spans="2:12" x14ac:dyDescent="0.35">
      <c r="B220" s="105"/>
      <c r="C220" s="188"/>
      <c r="D220" s="188"/>
      <c r="E220" s="102"/>
      <c r="F220" s="103" t="s">
        <v>94</v>
      </c>
      <c r="G220" s="103" t="s">
        <v>228</v>
      </c>
      <c r="H220" s="106">
        <v>22.608000000000004</v>
      </c>
      <c r="I220" s="62" t="s">
        <v>147</v>
      </c>
      <c r="J220" s="49">
        <v>30000</v>
      </c>
      <c r="K220" s="29"/>
      <c r="L220" s="51">
        <f t="shared" si="7"/>
        <v>678240.00000000012</v>
      </c>
    </row>
    <row r="221" spans="2:12" x14ac:dyDescent="0.35">
      <c r="B221" s="105"/>
      <c r="C221" s="188"/>
      <c r="D221" s="188"/>
      <c r="E221" s="102"/>
      <c r="F221" s="103" t="s">
        <v>94</v>
      </c>
      <c r="G221" s="103" t="s">
        <v>229</v>
      </c>
      <c r="H221" s="106">
        <v>19.028400000000001</v>
      </c>
      <c r="I221" s="62" t="s">
        <v>147</v>
      </c>
      <c r="J221" s="49">
        <v>30000</v>
      </c>
      <c r="K221" s="29"/>
      <c r="L221" s="51">
        <f t="shared" si="7"/>
        <v>570852</v>
      </c>
    </row>
    <row r="222" spans="2:12" x14ac:dyDescent="0.35">
      <c r="B222" s="105"/>
      <c r="C222" s="188"/>
      <c r="D222" s="188"/>
      <c r="E222" s="102"/>
      <c r="F222" s="103" t="s">
        <v>94</v>
      </c>
      <c r="G222" s="103" t="s">
        <v>230</v>
      </c>
      <c r="H222" s="106">
        <v>25.810800000000004</v>
      </c>
      <c r="I222" s="62" t="s">
        <v>147</v>
      </c>
      <c r="J222" s="49">
        <v>30000</v>
      </c>
      <c r="K222" s="29"/>
      <c r="L222" s="51">
        <f t="shared" si="7"/>
        <v>774324.00000000012</v>
      </c>
    </row>
    <row r="223" spans="2:12" x14ac:dyDescent="0.35">
      <c r="B223" s="105"/>
      <c r="C223" s="188"/>
      <c r="D223" s="188" t="s">
        <v>49</v>
      </c>
      <c r="E223" s="102"/>
      <c r="F223" s="103" t="s">
        <v>193</v>
      </c>
      <c r="G223" s="103"/>
      <c r="H223" s="106"/>
      <c r="I223" s="62"/>
      <c r="J223" s="49"/>
      <c r="K223" s="29"/>
      <c r="L223" s="51"/>
    </row>
    <row r="224" spans="2:12" x14ac:dyDescent="0.35">
      <c r="B224" s="105"/>
      <c r="C224" s="188"/>
      <c r="D224" s="188"/>
      <c r="E224" s="102"/>
      <c r="F224" s="103" t="s">
        <v>94</v>
      </c>
      <c r="G224" s="103" t="s">
        <v>231</v>
      </c>
      <c r="H224" s="106">
        <v>17.408159999999999</v>
      </c>
      <c r="I224" s="62" t="s">
        <v>147</v>
      </c>
      <c r="J224" s="49">
        <v>30000</v>
      </c>
      <c r="K224" s="29"/>
      <c r="L224" s="51">
        <f t="shared" si="7"/>
        <v>522244.8</v>
      </c>
    </row>
    <row r="225" spans="2:12" x14ac:dyDescent="0.35">
      <c r="B225" s="105"/>
      <c r="C225" s="188"/>
      <c r="D225" s="188"/>
      <c r="E225" s="102"/>
      <c r="F225" s="103" t="s">
        <v>94</v>
      </c>
      <c r="G225" s="103" t="s">
        <v>232</v>
      </c>
      <c r="H225" s="106">
        <v>4.4839200000000003</v>
      </c>
      <c r="I225" s="62" t="s">
        <v>147</v>
      </c>
      <c r="J225" s="49">
        <v>30000</v>
      </c>
      <c r="K225" s="29"/>
      <c r="L225" s="51">
        <f t="shared" si="7"/>
        <v>134517.6</v>
      </c>
    </row>
    <row r="226" spans="2:12" x14ac:dyDescent="0.35">
      <c r="B226" s="105"/>
      <c r="C226" s="188"/>
      <c r="D226" s="188"/>
      <c r="E226" s="102"/>
      <c r="F226" s="103" t="s">
        <v>94</v>
      </c>
      <c r="G226" s="103" t="s">
        <v>233</v>
      </c>
      <c r="H226" s="106">
        <v>31.801919999999996</v>
      </c>
      <c r="I226" s="62" t="s">
        <v>147</v>
      </c>
      <c r="J226" s="49">
        <v>30000</v>
      </c>
      <c r="K226" s="29"/>
      <c r="L226" s="51">
        <f t="shared" si="7"/>
        <v>954057.59999999986</v>
      </c>
    </row>
    <row r="227" spans="2:12" x14ac:dyDescent="0.35">
      <c r="B227" s="105"/>
      <c r="C227" s="188"/>
      <c r="D227" s="188"/>
      <c r="E227" s="102"/>
      <c r="F227" s="103" t="s">
        <v>94</v>
      </c>
      <c r="G227" s="103" t="s">
        <v>234</v>
      </c>
      <c r="H227" s="106">
        <v>18.237119999999997</v>
      </c>
      <c r="I227" s="62" t="s">
        <v>147</v>
      </c>
      <c r="J227" s="49">
        <v>30000</v>
      </c>
      <c r="K227" s="29"/>
      <c r="L227" s="51">
        <f t="shared" si="7"/>
        <v>547113.6</v>
      </c>
    </row>
    <row r="228" spans="2:12" x14ac:dyDescent="0.35">
      <c r="B228" s="105"/>
      <c r="C228" s="188"/>
      <c r="D228" s="188"/>
      <c r="E228" s="102"/>
      <c r="F228" s="103" t="s">
        <v>94</v>
      </c>
      <c r="G228" s="103" t="s">
        <v>235</v>
      </c>
      <c r="H228" s="106">
        <v>6.9331199999999997</v>
      </c>
      <c r="I228" s="62" t="s">
        <v>147</v>
      </c>
      <c r="J228" s="49">
        <v>30000</v>
      </c>
      <c r="K228" s="29"/>
      <c r="L228" s="51">
        <f t="shared" si="7"/>
        <v>207993.60000000001</v>
      </c>
    </row>
    <row r="229" spans="2:12" x14ac:dyDescent="0.35">
      <c r="B229" s="105"/>
      <c r="C229" s="188"/>
      <c r="D229" s="188"/>
      <c r="E229" s="102"/>
      <c r="F229" s="103" t="s">
        <v>94</v>
      </c>
      <c r="G229" s="103" t="s">
        <v>236</v>
      </c>
      <c r="H229" s="106">
        <v>24.416639999999997</v>
      </c>
      <c r="I229" s="62" t="s">
        <v>147</v>
      </c>
      <c r="J229" s="49">
        <v>30000</v>
      </c>
      <c r="K229" s="29"/>
      <c r="L229" s="51">
        <f t="shared" si="7"/>
        <v>732499.2</v>
      </c>
    </row>
    <row r="230" spans="2:12" x14ac:dyDescent="0.35">
      <c r="B230" s="105"/>
      <c r="C230" s="188" t="s">
        <v>237</v>
      </c>
      <c r="D230" s="188"/>
      <c r="E230" s="102"/>
      <c r="F230" s="103" t="s">
        <v>238</v>
      </c>
      <c r="G230" s="103"/>
      <c r="H230" s="106"/>
      <c r="I230" s="62"/>
      <c r="J230" s="49"/>
      <c r="K230" s="29"/>
      <c r="L230" s="51"/>
    </row>
    <row r="231" spans="2:12" x14ac:dyDescent="0.35">
      <c r="B231" s="105"/>
      <c r="C231" s="188"/>
      <c r="D231" s="188" t="s">
        <v>44</v>
      </c>
      <c r="E231" s="102"/>
      <c r="F231" s="103" t="s">
        <v>239</v>
      </c>
      <c r="G231" s="103"/>
      <c r="H231" s="104"/>
      <c r="I231" s="62"/>
      <c r="J231" s="49"/>
      <c r="K231" s="29"/>
      <c r="L231" s="51"/>
    </row>
    <row r="232" spans="2:12" x14ac:dyDescent="0.35">
      <c r="B232" s="105"/>
      <c r="C232" s="188"/>
      <c r="D232" s="188"/>
      <c r="E232" s="102"/>
      <c r="F232" s="103" t="s">
        <v>94</v>
      </c>
      <c r="G232" s="103" t="s">
        <v>240</v>
      </c>
      <c r="H232" s="106">
        <v>83.649599999999992</v>
      </c>
      <c r="I232" s="62" t="s">
        <v>147</v>
      </c>
      <c r="J232" s="49">
        <v>30000</v>
      </c>
      <c r="K232" s="29"/>
      <c r="L232" s="51">
        <f t="shared" si="7"/>
        <v>2509488</v>
      </c>
    </row>
    <row r="233" spans="2:12" x14ac:dyDescent="0.35">
      <c r="B233" s="101"/>
      <c r="C233" s="187" t="s">
        <v>241</v>
      </c>
      <c r="D233" s="187"/>
      <c r="E233" s="102"/>
      <c r="F233" s="103" t="s">
        <v>150</v>
      </c>
      <c r="G233" s="103"/>
      <c r="H233" s="106"/>
      <c r="I233" s="62"/>
      <c r="J233" s="49"/>
      <c r="K233" s="29"/>
      <c r="L233" s="51"/>
    </row>
    <row r="234" spans="2:12" x14ac:dyDescent="0.35">
      <c r="B234" s="101"/>
      <c r="C234" s="187"/>
      <c r="D234" s="187" t="s">
        <v>44</v>
      </c>
      <c r="E234" s="102"/>
      <c r="F234" s="103" t="s">
        <v>242</v>
      </c>
      <c r="G234" s="103"/>
      <c r="H234" s="106"/>
      <c r="I234" s="62"/>
      <c r="J234" s="49"/>
      <c r="K234" s="29"/>
      <c r="L234" s="51"/>
    </row>
    <row r="235" spans="2:12" x14ac:dyDescent="0.35">
      <c r="B235" s="101"/>
      <c r="C235" s="187"/>
      <c r="D235" s="187"/>
      <c r="E235" s="102"/>
      <c r="F235" s="103" t="s">
        <v>94</v>
      </c>
      <c r="G235" s="103" t="s">
        <v>243</v>
      </c>
      <c r="H235" s="106">
        <v>6.0740159999999994</v>
      </c>
      <c r="I235" s="62" t="s">
        <v>147</v>
      </c>
      <c r="J235" s="49">
        <v>30000</v>
      </c>
      <c r="K235" s="29"/>
      <c r="L235" s="51">
        <f t="shared" si="7"/>
        <v>182220.47999999998</v>
      </c>
    </row>
    <row r="236" spans="2:12" x14ac:dyDescent="0.35">
      <c r="B236" s="101"/>
      <c r="C236" s="187"/>
      <c r="D236" s="187"/>
      <c r="E236" s="102"/>
      <c r="F236" s="103" t="s">
        <v>94</v>
      </c>
      <c r="G236" s="103" t="s">
        <v>244</v>
      </c>
      <c r="H236" s="106">
        <v>4.9059359999999996</v>
      </c>
      <c r="I236" s="62" t="s">
        <v>147</v>
      </c>
      <c r="J236" s="49">
        <v>30000</v>
      </c>
      <c r="K236" s="29"/>
      <c r="L236" s="51">
        <f t="shared" si="7"/>
        <v>147178.07999999999</v>
      </c>
    </row>
    <row r="237" spans="2:12" x14ac:dyDescent="0.35">
      <c r="B237" s="105"/>
      <c r="C237" s="188"/>
      <c r="D237" s="188"/>
      <c r="E237" s="108"/>
      <c r="F237" s="109" t="s">
        <v>94</v>
      </c>
      <c r="G237" s="103" t="s">
        <v>245</v>
      </c>
      <c r="H237" s="106">
        <v>7.2420959999999992</v>
      </c>
      <c r="I237" s="62" t="s">
        <v>147</v>
      </c>
      <c r="J237" s="49">
        <v>30000</v>
      </c>
      <c r="K237" s="29"/>
      <c r="L237" s="51">
        <f t="shared" si="7"/>
        <v>217262.87999999998</v>
      </c>
    </row>
    <row r="238" spans="2:12" x14ac:dyDescent="0.35">
      <c r="B238" s="105"/>
      <c r="C238" s="188"/>
      <c r="D238" s="188"/>
      <c r="E238" s="108"/>
      <c r="F238" s="109" t="s">
        <v>94</v>
      </c>
      <c r="G238" s="103" t="s">
        <v>246</v>
      </c>
      <c r="H238" s="106">
        <v>4.9059359999999996</v>
      </c>
      <c r="I238" s="62" t="s">
        <v>147</v>
      </c>
      <c r="J238" s="49">
        <v>30000</v>
      </c>
      <c r="K238" s="29"/>
      <c r="L238" s="51">
        <f t="shared" si="7"/>
        <v>147178.07999999999</v>
      </c>
    </row>
    <row r="239" spans="2:12" x14ac:dyDescent="0.35">
      <c r="B239" s="105"/>
      <c r="C239" s="188"/>
      <c r="D239" s="188"/>
      <c r="E239" s="108"/>
      <c r="F239" s="109" t="s">
        <v>94</v>
      </c>
      <c r="G239" s="103" t="s">
        <v>247</v>
      </c>
      <c r="H239" s="106">
        <v>1.8086399999999998</v>
      </c>
      <c r="I239" s="62" t="s">
        <v>147</v>
      </c>
      <c r="J239" s="49">
        <v>30000</v>
      </c>
      <c r="K239" s="29"/>
      <c r="L239" s="51">
        <f t="shared" si="7"/>
        <v>54259.199999999997</v>
      </c>
    </row>
    <row r="240" spans="2:12" x14ac:dyDescent="0.35">
      <c r="B240" s="105"/>
      <c r="C240" s="188"/>
      <c r="D240" s="188"/>
      <c r="E240" s="108"/>
      <c r="F240" s="109" t="s">
        <v>94</v>
      </c>
      <c r="G240" s="103" t="s">
        <v>248</v>
      </c>
      <c r="H240" s="106">
        <v>5.6972160000000001</v>
      </c>
      <c r="I240" s="62" t="s">
        <v>147</v>
      </c>
      <c r="J240" s="49">
        <v>30000</v>
      </c>
      <c r="K240" s="29"/>
      <c r="L240" s="51">
        <f t="shared" si="7"/>
        <v>170916.48000000001</v>
      </c>
    </row>
    <row r="241" spans="2:12" x14ac:dyDescent="0.35">
      <c r="B241" s="105"/>
      <c r="C241" s="188" t="s">
        <v>249</v>
      </c>
      <c r="D241" s="188"/>
      <c r="E241" s="108"/>
      <c r="F241" s="103" t="s">
        <v>250</v>
      </c>
      <c r="G241" s="103"/>
      <c r="H241" s="106"/>
      <c r="I241" s="62"/>
      <c r="J241" s="49"/>
      <c r="K241" s="29"/>
      <c r="L241" s="51"/>
    </row>
    <row r="242" spans="2:12" x14ac:dyDescent="0.35">
      <c r="B242" s="105"/>
      <c r="C242" s="188"/>
      <c r="D242" s="188" t="s">
        <v>44</v>
      </c>
      <c r="E242" s="108"/>
      <c r="F242" s="103" t="s">
        <v>251</v>
      </c>
      <c r="G242" s="103"/>
      <c r="H242" s="106"/>
      <c r="I242" s="62"/>
      <c r="J242" s="49"/>
      <c r="K242" s="29"/>
      <c r="L242" s="51"/>
    </row>
    <row r="243" spans="2:12" x14ac:dyDescent="0.35">
      <c r="B243" s="105"/>
      <c r="C243" s="188"/>
      <c r="D243" s="188"/>
      <c r="E243" s="108"/>
      <c r="F243" s="103" t="s">
        <v>94</v>
      </c>
      <c r="G243" s="103" t="s">
        <v>252</v>
      </c>
      <c r="H243" s="106">
        <v>23.06016</v>
      </c>
      <c r="I243" s="62" t="s">
        <v>147</v>
      </c>
      <c r="J243" s="49">
        <v>30000</v>
      </c>
      <c r="K243" s="29"/>
      <c r="L243" s="51">
        <f t="shared" si="7"/>
        <v>691804.8</v>
      </c>
    </row>
    <row r="244" spans="2:12" x14ac:dyDescent="0.35">
      <c r="B244" s="105"/>
      <c r="C244" s="188"/>
      <c r="D244" s="188"/>
      <c r="E244" s="108"/>
      <c r="F244" s="103" t="s">
        <v>94</v>
      </c>
      <c r="G244" s="103" t="s">
        <v>253</v>
      </c>
      <c r="H244" s="106">
        <v>40.185719999999996</v>
      </c>
      <c r="I244" s="62" t="s">
        <v>147</v>
      </c>
      <c r="J244" s="49">
        <v>30000</v>
      </c>
      <c r="K244" s="29"/>
      <c r="L244" s="51">
        <f t="shared" si="7"/>
        <v>1205571.5999999999</v>
      </c>
    </row>
    <row r="245" spans="2:12" x14ac:dyDescent="0.35">
      <c r="B245" s="110" t="s">
        <v>80</v>
      </c>
      <c r="C245" s="189"/>
      <c r="D245" s="189"/>
      <c r="E245" s="111" t="s">
        <v>17</v>
      </c>
      <c r="F245" s="112"/>
      <c r="G245" s="99"/>
      <c r="H245" s="100"/>
      <c r="I245" s="58"/>
      <c r="J245" s="49"/>
      <c r="K245" s="29"/>
      <c r="L245" s="51"/>
    </row>
    <row r="246" spans="2:12" x14ac:dyDescent="0.35">
      <c r="B246" s="105"/>
      <c r="C246" s="188" t="s">
        <v>254</v>
      </c>
      <c r="D246" s="188"/>
      <c r="E246" s="108"/>
      <c r="F246" s="109" t="s">
        <v>255</v>
      </c>
      <c r="G246" s="103"/>
      <c r="H246" s="104"/>
      <c r="I246" s="62"/>
      <c r="J246" s="49"/>
      <c r="K246" s="29"/>
      <c r="L246" s="51"/>
    </row>
    <row r="247" spans="2:12" x14ac:dyDescent="0.35">
      <c r="B247" s="105"/>
      <c r="C247" s="188"/>
      <c r="D247" s="187" t="s">
        <v>44</v>
      </c>
      <c r="E247" s="102"/>
      <c r="F247" s="103" t="s">
        <v>256</v>
      </c>
      <c r="G247" s="103"/>
      <c r="H247" s="104">
        <v>7</v>
      </c>
      <c r="I247" s="62" t="s">
        <v>257</v>
      </c>
      <c r="J247" s="152">
        <v>225000</v>
      </c>
      <c r="K247" s="29">
        <f t="shared" ref="K247" si="8">J247*H247</f>
        <v>1575000</v>
      </c>
      <c r="L247" s="51"/>
    </row>
    <row r="248" spans="2:12" x14ac:dyDescent="0.35">
      <c r="B248" s="105"/>
      <c r="C248" s="188"/>
      <c r="D248" s="188"/>
      <c r="E248" s="102"/>
      <c r="F248" s="103" t="s">
        <v>94</v>
      </c>
      <c r="G248" s="103" t="s">
        <v>258</v>
      </c>
      <c r="H248" s="104">
        <v>590</v>
      </c>
      <c r="I248" s="62" t="s">
        <v>153</v>
      </c>
      <c r="J248" s="160">
        <v>480</v>
      </c>
      <c r="K248" s="29"/>
      <c r="L248" s="51">
        <f t="shared" si="7"/>
        <v>283200</v>
      </c>
    </row>
    <row r="249" spans="2:12" x14ac:dyDescent="0.35">
      <c r="B249" s="105"/>
      <c r="C249" s="188"/>
      <c r="D249" s="188"/>
      <c r="E249" s="102"/>
      <c r="F249" s="103" t="s">
        <v>94</v>
      </c>
      <c r="G249" s="103" t="s">
        <v>259</v>
      </c>
      <c r="H249" s="104">
        <v>3</v>
      </c>
      <c r="I249" s="62" t="s">
        <v>155</v>
      </c>
      <c r="J249" s="154">
        <v>165000</v>
      </c>
      <c r="K249" s="29"/>
      <c r="L249" s="51">
        <f t="shared" si="7"/>
        <v>495000</v>
      </c>
    </row>
    <row r="250" spans="2:12" x14ac:dyDescent="0.35">
      <c r="B250" s="105"/>
      <c r="C250" s="188"/>
      <c r="D250" s="188"/>
      <c r="E250" s="102"/>
      <c r="F250" s="103" t="s">
        <v>94</v>
      </c>
      <c r="G250" s="103" t="s">
        <v>260</v>
      </c>
      <c r="H250" s="104">
        <v>8</v>
      </c>
      <c r="I250" s="62" t="s">
        <v>155</v>
      </c>
      <c r="J250" s="155">
        <v>35000</v>
      </c>
      <c r="K250" s="29"/>
      <c r="L250" s="51">
        <f t="shared" si="7"/>
        <v>280000</v>
      </c>
    </row>
    <row r="251" spans="2:12" x14ac:dyDescent="0.35">
      <c r="B251" s="105"/>
      <c r="C251" s="188"/>
      <c r="D251" s="188"/>
      <c r="E251" s="102"/>
      <c r="F251" s="103" t="s">
        <v>94</v>
      </c>
      <c r="G251" s="103" t="s">
        <v>261</v>
      </c>
      <c r="H251" s="104">
        <v>1</v>
      </c>
      <c r="I251" s="62" t="s">
        <v>155</v>
      </c>
      <c r="J251" s="154">
        <v>35000</v>
      </c>
      <c r="K251" s="29"/>
      <c r="L251" s="51">
        <f t="shared" si="7"/>
        <v>35000</v>
      </c>
    </row>
    <row r="252" spans="2:12" x14ac:dyDescent="0.35">
      <c r="B252" s="105"/>
      <c r="C252" s="188"/>
      <c r="D252" s="188" t="s">
        <v>47</v>
      </c>
      <c r="E252" s="102"/>
      <c r="F252" s="103" t="s">
        <v>262</v>
      </c>
      <c r="G252" s="103"/>
      <c r="H252" s="104">
        <v>7</v>
      </c>
      <c r="I252" s="62" t="s">
        <v>257</v>
      </c>
      <c r="J252" s="152">
        <v>225000</v>
      </c>
      <c r="K252" s="29">
        <f t="shared" ref="K252" si="9">J252*H252</f>
        <v>1575000</v>
      </c>
      <c r="L252" s="51"/>
    </row>
    <row r="253" spans="2:12" x14ac:dyDescent="0.35">
      <c r="B253" s="105"/>
      <c r="C253" s="188"/>
      <c r="D253" s="188"/>
      <c r="E253" s="102"/>
      <c r="F253" s="103" t="s">
        <v>94</v>
      </c>
      <c r="G253" s="103" t="s">
        <v>258</v>
      </c>
      <c r="H253" s="104">
        <v>580</v>
      </c>
      <c r="I253" s="62" t="s">
        <v>153</v>
      </c>
      <c r="J253" s="160">
        <v>480</v>
      </c>
      <c r="K253" s="29"/>
      <c r="L253" s="51">
        <f t="shared" si="7"/>
        <v>278400</v>
      </c>
    </row>
    <row r="254" spans="2:12" x14ac:dyDescent="0.35">
      <c r="B254" s="105"/>
      <c r="C254" s="188"/>
      <c r="D254" s="188"/>
      <c r="E254" s="102"/>
      <c r="F254" s="103" t="s">
        <v>94</v>
      </c>
      <c r="G254" s="103" t="s">
        <v>259</v>
      </c>
      <c r="H254" s="104">
        <v>3</v>
      </c>
      <c r="I254" s="62" t="s">
        <v>155</v>
      </c>
      <c r="J254" s="154">
        <v>165000</v>
      </c>
      <c r="K254" s="29"/>
      <c r="L254" s="51">
        <f t="shared" si="7"/>
        <v>495000</v>
      </c>
    </row>
    <row r="255" spans="2:12" x14ac:dyDescent="0.35">
      <c r="B255" s="105"/>
      <c r="C255" s="188"/>
      <c r="D255" s="188"/>
      <c r="E255" s="102"/>
      <c r="F255" s="103" t="s">
        <v>94</v>
      </c>
      <c r="G255" s="103" t="s">
        <v>260</v>
      </c>
      <c r="H255" s="104">
        <v>8</v>
      </c>
      <c r="I255" s="62" t="s">
        <v>155</v>
      </c>
      <c r="J255" s="155">
        <v>35000</v>
      </c>
      <c r="K255" s="29"/>
      <c r="L255" s="51">
        <f t="shared" si="7"/>
        <v>280000</v>
      </c>
    </row>
    <row r="256" spans="2:12" x14ac:dyDescent="0.35">
      <c r="B256" s="105"/>
      <c r="C256" s="188"/>
      <c r="D256" s="188"/>
      <c r="E256" s="102"/>
      <c r="F256" s="103" t="s">
        <v>94</v>
      </c>
      <c r="G256" s="103" t="s">
        <v>261</v>
      </c>
      <c r="H256" s="104">
        <v>2</v>
      </c>
      <c r="I256" s="62" t="s">
        <v>155</v>
      </c>
      <c r="J256" s="154">
        <v>35000</v>
      </c>
      <c r="K256" s="29"/>
      <c r="L256" s="51">
        <f t="shared" si="7"/>
        <v>70000</v>
      </c>
    </row>
    <row r="257" spans="2:12" x14ac:dyDescent="0.35">
      <c r="B257" s="105"/>
      <c r="C257" s="188"/>
      <c r="D257" s="188" t="s">
        <v>49</v>
      </c>
      <c r="E257" s="102"/>
      <c r="F257" s="103" t="s">
        <v>263</v>
      </c>
      <c r="G257" s="103"/>
      <c r="H257" s="104">
        <v>7</v>
      </c>
      <c r="I257" s="62" t="s">
        <v>257</v>
      </c>
      <c r="J257" s="152">
        <v>225000</v>
      </c>
      <c r="K257" s="29">
        <f t="shared" ref="K257" si="10">J257*H257</f>
        <v>1575000</v>
      </c>
      <c r="L257" s="51"/>
    </row>
    <row r="258" spans="2:12" x14ac:dyDescent="0.35">
      <c r="B258" s="105"/>
      <c r="C258" s="188"/>
      <c r="D258" s="188"/>
      <c r="E258" s="102"/>
      <c r="F258" s="103" t="s">
        <v>94</v>
      </c>
      <c r="G258" s="103" t="s">
        <v>258</v>
      </c>
      <c r="H258" s="104">
        <v>590</v>
      </c>
      <c r="I258" s="62" t="s">
        <v>153</v>
      </c>
      <c r="J258" s="160">
        <v>480</v>
      </c>
      <c r="K258" s="29"/>
      <c r="L258" s="51">
        <f t="shared" si="7"/>
        <v>283200</v>
      </c>
    </row>
    <row r="259" spans="2:12" x14ac:dyDescent="0.35">
      <c r="B259" s="105"/>
      <c r="C259" s="188"/>
      <c r="D259" s="188"/>
      <c r="E259" s="102"/>
      <c r="F259" s="103" t="s">
        <v>94</v>
      </c>
      <c r="G259" s="103" t="s">
        <v>259</v>
      </c>
      <c r="H259" s="104">
        <v>3</v>
      </c>
      <c r="I259" s="62" t="s">
        <v>155</v>
      </c>
      <c r="J259" s="154">
        <v>165000</v>
      </c>
      <c r="K259" s="29"/>
      <c r="L259" s="51">
        <f t="shared" si="7"/>
        <v>495000</v>
      </c>
    </row>
    <row r="260" spans="2:12" x14ac:dyDescent="0.35">
      <c r="B260" s="105"/>
      <c r="C260" s="188"/>
      <c r="D260" s="188"/>
      <c r="E260" s="102"/>
      <c r="F260" s="103" t="s">
        <v>94</v>
      </c>
      <c r="G260" s="103" t="s">
        <v>260</v>
      </c>
      <c r="H260" s="104">
        <v>8</v>
      </c>
      <c r="I260" s="62" t="s">
        <v>155</v>
      </c>
      <c r="J260" s="155">
        <v>35000</v>
      </c>
      <c r="K260" s="29"/>
      <c r="L260" s="51">
        <f t="shared" si="7"/>
        <v>280000</v>
      </c>
    </row>
    <row r="261" spans="2:12" x14ac:dyDescent="0.35">
      <c r="B261" s="105"/>
      <c r="C261" s="188"/>
      <c r="D261" s="188"/>
      <c r="E261" s="102"/>
      <c r="F261" s="103" t="s">
        <v>94</v>
      </c>
      <c r="G261" s="103" t="s">
        <v>261</v>
      </c>
      <c r="H261" s="104">
        <v>2</v>
      </c>
      <c r="I261" s="62" t="s">
        <v>155</v>
      </c>
      <c r="J261" s="154">
        <v>35000</v>
      </c>
      <c r="K261" s="29"/>
      <c r="L261" s="51">
        <f t="shared" si="7"/>
        <v>70000</v>
      </c>
    </row>
    <row r="262" spans="2:12" x14ac:dyDescent="0.35">
      <c r="B262" s="105"/>
      <c r="C262" s="188"/>
      <c r="D262" s="188" t="s">
        <v>51</v>
      </c>
      <c r="E262" s="102"/>
      <c r="F262" s="103" t="s">
        <v>264</v>
      </c>
      <c r="G262" s="103"/>
      <c r="H262" s="104">
        <v>7</v>
      </c>
      <c r="I262" s="62" t="s">
        <v>257</v>
      </c>
      <c r="J262" s="152">
        <v>150000</v>
      </c>
      <c r="K262" s="29">
        <f t="shared" ref="K262" si="11">J262*H262</f>
        <v>1050000</v>
      </c>
      <c r="L262" s="51"/>
    </row>
    <row r="263" spans="2:12" x14ac:dyDescent="0.35">
      <c r="B263" s="105"/>
      <c r="C263" s="188"/>
      <c r="D263" s="188"/>
      <c r="E263" s="108"/>
      <c r="F263" s="103" t="s">
        <v>94</v>
      </c>
      <c r="G263" s="103" t="s">
        <v>265</v>
      </c>
      <c r="H263" s="104">
        <v>660</v>
      </c>
      <c r="I263" s="113" t="s">
        <v>153</v>
      </c>
      <c r="J263" s="152">
        <v>332</v>
      </c>
      <c r="K263" s="29"/>
      <c r="L263" s="51">
        <f t="shared" si="7"/>
        <v>219120</v>
      </c>
    </row>
    <row r="264" spans="2:12" x14ac:dyDescent="0.35">
      <c r="B264" s="105"/>
      <c r="C264" s="188"/>
      <c r="D264" s="188"/>
      <c r="E264" s="108"/>
      <c r="F264" s="103" t="s">
        <v>94</v>
      </c>
      <c r="G264" s="103" t="s">
        <v>266</v>
      </c>
      <c r="H264" s="104">
        <v>2</v>
      </c>
      <c r="I264" s="113" t="s">
        <v>155</v>
      </c>
      <c r="J264" s="154">
        <v>145000</v>
      </c>
      <c r="K264" s="29"/>
      <c r="L264" s="51">
        <f t="shared" si="7"/>
        <v>290000</v>
      </c>
    </row>
    <row r="265" spans="2:12" x14ac:dyDescent="0.35">
      <c r="B265" s="105"/>
      <c r="C265" s="188"/>
      <c r="D265" s="188"/>
      <c r="E265" s="108"/>
      <c r="F265" s="103" t="s">
        <v>94</v>
      </c>
      <c r="G265" s="103" t="s">
        <v>267</v>
      </c>
      <c r="H265" s="104">
        <v>2</v>
      </c>
      <c r="I265" s="113" t="s">
        <v>155</v>
      </c>
      <c r="J265" s="161">
        <v>70000</v>
      </c>
      <c r="K265" s="29"/>
      <c r="L265" s="51">
        <f t="shared" si="7"/>
        <v>140000</v>
      </c>
    </row>
    <row r="266" spans="2:12" x14ac:dyDescent="0.35">
      <c r="B266" s="105"/>
      <c r="C266" s="188"/>
      <c r="D266" s="188"/>
      <c r="E266" s="108"/>
      <c r="F266" s="109" t="s">
        <v>94</v>
      </c>
      <c r="G266" s="103" t="s">
        <v>268</v>
      </c>
      <c r="H266" s="104">
        <v>4</v>
      </c>
      <c r="I266" s="62" t="s">
        <v>155</v>
      </c>
      <c r="J266" s="161">
        <v>35000</v>
      </c>
      <c r="K266" s="29"/>
      <c r="L266" s="51">
        <f t="shared" si="7"/>
        <v>140000</v>
      </c>
    </row>
    <row r="267" spans="2:12" x14ac:dyDescent="0.35">
      <c r="B267" s="105"/>
      <c r="C267" s="188"/>
      <c r="D267" s="188"/>
      <c r="E267" s="108"/>
      <c r="F267" s="109" t="s">
        <v>94</v>
      </c>
      <c r="G267" s="103" t="s">
        <v>269</v>
      </c>
      <c r="H267" s="104">
        <v>1</v>
      </c>
      <c r="I267" s="62" t="s">
        <v>155</v>
      </c>
      <c r="J267" s="161">
        <v>35000</v>
      </c>
      <c r="K267" s="29"/>
      <c r="L267" s="51">
        <f t="shared" si="7"/>
        <v>35000</v>
      </c>
    </row>
    <row r="268" spans="2:12" x14ac:dyDescent="0.35">
      <c r="B268" s="47"/>
      <c r="C268" s="183"/>
      <c r="D268" s="24"/>
      <c r="G268" s="22"/>
      <c r="I268" s="22"/>
      <c r="J268" s="49"/>
      <c r="K268" s="29"/>
      <c r="L268" s="51"/>
    </row>
    <row r="269" spans="2:12" x14ac:dyDescent="0.35">
      <c r="B269" s="47"/>
      <c r="C269" s="183"/>
      <c r="D269" s="24"/>
      <c r="G269" s="22"/>
      <c r="I269" s="22"/>
      <c r="J269" s="49"/>
      <c r="K269" s="29"/>
      <c r="L269" s="51"/>
    </row>
    <row r="270" spans="2:12" x14ac:dyDescent="0.35">
      <c r="B270" s="8"/>
      <c r="C270" s="9"/>
      <c r="D270" s="10"/>
      <c r="E270" s="4"/>
      <c r="F270" s="4"/>
      <c r="G270" s="4"/>
      <c r="H270" s="1"/>
      <c r="I270" s="1"/>
      <c r="J270" s="11" t="s">
        <v>8</v>
      </c>
      <c r="K270" s="7">
        <f>SUM(K218:K269)</f>
        <v>5775000</v>
      </c>
      <c r="L270" s="7">
        <f>SUM(L218:L269)</f>
        <v>14989674</v>
      </c>
    </row>
    <row r="271" spans="2:12" x14ac:dyDescent="0.35">
      <c r="B271" s="8"/>
      <c r="C271" s="9"/>
      <c r="D271" s="9"/>
      <c r="E271" s="4"/>
      <c r="F271" s="4"/>
      <c r="G271" s="4"/>
      <c r="H271" s="1"/>
      <c r="I271" s="1"/>
      <c r="J271" s="11"/>
      <c r="K271" s="35" t="s">
        <v>21</v>
      </c>
      <c r="L271" s="36" t="s">
        <v>22</v>
      </c>
    </row>
    <row r="272" spans="2:12" x14ac:dyDescent="0.35">
      <c r="B272" s="3" t="s">
        <v>9</v>
      </c>
      <c r="C272" s="4"/>
      <c r="D272" s="4"/>
      <c r="E272" s="4"/>
      <c r="F272" s="4"/>
      <c r="G272" s="4"/>
      <c r="H272" s="1"/>
      <c r="I272" s="1"/>
      <c r="J272" s="12"/>
      <c r="K272" s="12"/>
      <c r="L272" s="13"/>
    </row>
    <row r="273" spans="2:12" x14ac:dyDescent="0.35">
      <c r="B273" s="37"/>
      <c r="C273" s="1"/>
      <c r="D273" s="1"/>
      <c r="E273" s="38"/>
      <c r="F273" s="38"/>
      <c r="G273" s="38"/>
      <c r="H273" s="1"/>
      <c r="I273" s="1"/>
      <c r="J273" s="1"/>
      <c r="K273" s="1"/>
      <c r="L273" s="19"/>
    </row>
    <row r="274" spans="2:12" x14ac:dyDescent="0.35">
      <c r="B274" s="28" t="s">
        <v>6</v>
      </c>
      <c r="C274" s="27"/>
      <c r="D274" s="27"/>
      <c r="E274" s="26"/>
      <c r="F274" s="26"/>
      <c r="G274" s="5"/>
      <c r="K274" s="271" t="s">
        <v>42</v>
      </c>
      <c r="L274" s="272"/>
    </row>
    <row r="275" spans="2:12" x14ac:dyDescent="0.35">
      <c r="B275" s="28">
        <v>1</v>
      </c>
      <c r="C275" s="27"/>
      <c r="D275" s="27"/>
      <c r="E275" s="26" t="s">
        <v>7</v>
      </c>
      <c r="F275" s="26"/>
      <c r="G275" s="5"/>
      <c r="K275" s="271" t="s">
        <v>27</v>
      </c>
      <c r="L275" s="272"/>
    </row>
    <row r="276" spans="2:12" x14ac:dyDescent="0.35">
      <c r="B276" s="39"/>
      <c r="C276" s="27"/>
      <c r="D276" s="27"/>
      <c r="E276" s="26"/>
      <c r="F276" s="26"/>
      <c r="G276" s="5"/>
      <c r="J276" s="25"/>
      <c r="K276" s="25"/>
      <c r="L276" s="24"/>
    </row>
    <row r="277" spans="2:12" x14ac:dyDescent="0.35">
      <c r="B277" s="28"/>
      <c r="C277" s="27"/>
      <c r="D277" s="27"/>
      <c r="E277" s="26"/>
      <c r="F277" s="26"/>
      <c r="G277" s="5"/>
      <c r="L277" s="22"/>
    </row>
    <row r="278" spans="2:12" x14ac:dyDescent="0.35">
      <c r="B278" s="45"/>
      <c r="E278" s="5"/>
      <c r="F278" s="5"/>
      <c r="G278" s="5"/>
      <c r="L278" s="22"/>
    </row>
    <row r="279" spans="2:12" x14ac:dyDescent="0.35">
      <c r="B279" s="45"/>
      <c r="E279" s="5"/>
      <c r="F279" s="5"/>
      <c r="G279" s="5"/>
      <c r="L279" s="22"/>
    </row>
    <row r="280" spans="2:12" x14ac:dyDescent="0.35">
      <c r="B280" s="45"/>
      <c r="E280" s="5"/>
      <c r="F280" s="5"/>
      <c r="G280" s="5"/>
      <c r="L280" s="22"/>
    </row>
    <row r="281" spans="2:12" x14ac:dyDescent="0.35">
      <c r="B281" s="45"/>
      <c r="E281" s="5"/>
      <c r="F281" s="5"/>
      <c r="G281" s="5"/>
      <c r="J281" s="40"/>
      <c r="K281" s="273" t="s">
        <v>35</v>
      </c>
      <c r="L281" s="274"/>
    </row>
    <row r="282" spans="2:12" x14ac:dyDescent="0.35">
      <c r="B282" s="45"/>
      <c r="K282" s="277" t="s">
        <v>36</v>
      </c>
      <c r="L282" s="278"/>
    </row>
    <row r="283" spans="2:12" x14ac:dyDescent="0.35">
      <c r="B283" s="275"/>
      <c r="C283" s="276"/>
      <c r="D283" s="276"/>
      <c r="E283" s="41"/>
      <c r="F283" s="41"/>
      <c r="G283" s="41"/>
      <c r="H283" s="2"/>
      <c r="I283" s="2"/>
      <c r="J283" s="2"/>
      <c r="K283" s="2"/>
      <c r="L283" s="21"/>
    </row>
    <row r="284" spans="2:12" x14ac:dyDescent="0.35">
      <c r="B284" s="47"/>
      <c r="C284" s="183"/>
      <c r="D284" s="48"/>
      <c r="G284" s="22"/>
      <c r="H284" s="1"/>
      <c r="I284" s="1"/>
      <c r="J284" s="43"/>
      <c r="K284" s="30"/>
      <c r="L284" s="44"/>
    </row>
    <row r="285" spans="2:12" x14ac:dyDescent="0.35">
      <c r="B285" s="105"/>
      <c r="C285" s="188"/>
      <c r="D285" s="188" t="s">
        <v>54</v>
      </c>
      <c r="E285" s="108"/>
      <c r="F285" s="109" t="s">
        <v>270</v>
      </c>
      <c r="G285" s="103"/>
      <c r="H285" s="104">
        <v>10</v>
      </c>
      <c r="I285" s="62" t="s">
        <v>257</v>
      </c>
      <c r="J285" s="154">
        <v>200000</v>
      </c>
      <c r="K285" s="29">
        <f t="shared" ref="K285" si="12">J285*H285</f>
        <v>2000000</v>
      </c>
      <c r="L285" s="46"/>
    </row>
    <row r="286" spans="2:12" x14ac:dyDescent="0.35">
      <c r="B286" s="105"/>
      <c r="C286" s="188"/>
      <c r="D286" s="188"/>
      <c r="E286" s="108"/>
      <c r="F286" s="109" t="s">
        <v>94</v>
      </c>
      <c r="G286" s="103" t="s">
        <v>271</v>
      </c>
      <c r="H286" s="104">
        <v>600</v>
      </c>
      <c r="I286" s="62" t="s">
        <v>153</v>
      </c>
      <c r="J286" s="152">
        <v>393</v>
      </c>
      <c r="K286" s="29"/>
      <c r="L286" s="51">
        <f t="shared" ref="L286:L319" si="13">J286*H286</f>
        <v>235800</v>
      </c>
    </row>
    <row r="287" spans="2:12" x14ac:dyDescent="0.35">
      <c r="B287" s="105"/>
      <c r="C287" s="188"/>
      <c r="D287" s="187"/>
      <c r="E287" s="102"/>
      <c r="F287" s="103" t="s">
        <v>94</v>
      </c>
      <c r="G287" s="103" t="s">
        <v>272</v>
      </c>
      <c r="H287" s="104">
        <v>2</v>
      </c>
      <c r="I287" s="114" t="s">
        <v>155</v>
      </c>
      <c r="J287" s="152">
        <v>195000</v>
      </c>
      <c r="K287" s="29"/>
      <c r="L287" s="51">
        <f t="shared" si="13"/>
        <v>390000</v>
      </c>
    </row>
    <row r="288" spans="2:12" x14ac:dyDescent="0.35">
      <c r="B288" s="101"/>
      <c r="C288" s="187"/>
      <c r="D288" s="187"/>
      <c r="E288" s="102"/>
      <c r="F288" s="103" t="s">
        <v>94</v>
      </c>
      <c r="G288" s="103" t="s">
        <v>273</v>
      </c>
      <c r="H288" s="104">
        <v>1</v>
      </c>
      <c r="I288" s="62" t="s">
        <v>155</v>
      </c>
      <c r="J288" s="51">
        <v>90000</v>
      </c>
      <c r="K288" s="29"/>
      <c r="L288" s="51">
        <f t="shared" si="13"/>
        <v>90000</v>
      </c>
    </row>
    <row r="289" spans="2:12" x14ac:dyDescent="0.35">
      <c r="B289" s="101"/>
      <c r="C289" s="187"/>
      <c r="D289" s="187"/>
      <c r="E289" s="102"/>
      <c r="F289" s="103" t="s">
        <v>94</v>
      </c>
      <c r="G289" s="103" t="s">
        <v>274</v>
      </c>
      <c r="H289" s="106">
        <v>27.468719999999998</v>
      </c>
      <c r="I289" s="62" t="s">
        <v>147</v>
      </c>
      <c r="J289" s="51">
        <v>30000</v>
      </c>
      <c r="K289" s="29"/>
      <c r="L289" s="51">
        <f t="shared" si="13"/>
        <v>824061.6</v>
      </c>
    </row>
    <row r="290" spans="2:12" x14ac:dyDescent="0.35">
      <c r="B290" s="101"/>
      <c r="C290" s="187"/>
      <c r="D290" s="187"/>
      <c r="E290" s="102"/>
      <c r="F290" s="103" t="s">
        <v>94</v>
      </c>
      <c r="G290" s="103" t="s">
        <v>275</v>
      </c>
      <c r="H290" s="106">
        <v>2.2607999999999997</v>
      </c>
      <c r="I290" s="62" t="s">
        <v>147</v>
      </c>
      <c r="J290" s="49">
        <v>30000</v>
      </c>
      <c r="K290" s="29"/>
      <c r="L290" s="51">
        <f t="shared" si="13"/>
        <v>67823.999999999985</v>
      </c>
    </row>
    <row r="291" spans="2:12" x14ac:dyDescent="0.35">
      <c r="B291" s="101"/>
      <c r="C291" s="187"/>
      <c r="D291" s="187"/>
      <c r="E291" s="102"/>
      <c r="F291" s="103" t="s">
        <v>94</v>
      </c>
      <c r="G291" s="103" t="s">
        <v>276</v>
      </c>
      <c r="H291" s="106">
        <v>1.7332799999999999</v>
      </c>
      <c r="I291" s="62" t="s">
        <v>147</v>
      </c>
      <c r="J291" s="49">
        <v>30000</v>
      </c>
      <c r="K291" s="29"/>
      <c r="L291" s="51">
        <f t="shared" si="13"/>
        <v>51998.400000000001</v>
      </c>
    </row>
    <row r="292" spans="2:12" x14ac:dyDescent="0.35">
      <c r="B292" s="101"/>
      <c r="C292" s="187"/>
      <c r="D292" s="187"/>
      <c r="E292" s="102"/>
      <c r="F292" s="103" t="s">
        <v>94</v>
      </c>
      <c r="G292" s="103" t="s">
        <v>277</v>
      </c>
      <c r="H292" s="106">
        <v>4.71</v>
      </c>
      <c r="I292" s="62" t="s">
        <v>147</v>
      </c>
      <c r="J292" s="49">
        <v>30000</v>
      </c>
      <c r="K292" s="29"/>
      <c r="L292" s="51">
        <f t="shared" si="13"/>
        <v>141300</v>
      </c>
    </row>
    <row r="293" spans="2:12" x14ac:dyDescent="0.35">
      <c r="B293" s="101"/>
      <c r="C293" s="187"/>
      <c r="D293" s="187"/>
      <c r="E293" s="102"/>
      <c r="F293" s="103" t="s">
        <v>94</v>
      </c>
      <c r="G293" s="103" t="s">
        <v>268</v>
      </c>
      <c r="H293" s="104">
        <v>4</v>
      </c>
      <c r="I293" s="62" t="s">
        <v>155</v>
      </c>
      <c r="J293" s="49">
        <v>35000</v>
      </c>
      <c r="K293" s="29"/>
      <c r="L293" s="51">
        <f t="shared" si="13"/>
        <v>140000</v>
      </c>
    </row>
    <row r="294" spans="2:12" x14ac:dyDescent="0.35">
      <c r="B294" s="101"/>
      <c r="C294" s="187"/>
      <c r="D294" s="187"/>
      <c r="E294" s="102"/>
      <c r="F294" s="103" t="s">
        <v>94</v>
      </c>
      <c r="G294" s="103" t="s">
        <v>278</v>
      </c>
      <c r="H294" s="104">
        <v>8</v>
      </c>
      <c r="I294" s="62" t="s">
        <v>155</v>
      </c>
      <c r="J294" s="49">
        <v>35000</v>
      </c>
      <c r="K294" s="29"/>
      <c r="L294" s="51">
        <f t="shared" si="13"/>
        <v>280000</v>
      </c>
    </row>
    <row r="295" spans="2:12" x14ac:dyDescent="0.35">
      <c r="B295" s="101"/>
      <c r="C295" s="187"/>
      <c r="D295" s="187"/>
      <c r="E295" s="102"/>
      <c r="F295" s="103" t="s">
        <v>94</v>
      </c>
      <c r="G295" s="103" t="s">
        <v>279</v>
      </c>
      <c r="H295" s="104">
        <v>1</v>
      </c>
      <c r="I295" s="62" t="s">
        <v>155</v>
      </c>
      <c r="J295" s="49">
        <v>35000</v>
      </c>
      <c r="K295" s="29"/>
      <c r="L295" s="51">
        <f t="shared" si="13"/>
        <v>35000</v>
      </c>
    </row>
    <row r="296" spans="2:12" x14ac:dyDescent="0.35">
      <c r="B296" s="101"/>
      <c r="C296" s="187"/>
      <c r="D296" s="187"/>
      <c r="E296" s="102"/>
      <c r="F296" s="103" t="s">
        <v>94</v>
      </c>
      <c r="G296" s="103" t="s">
        <v>269</v>
      </c>
      <c r="H296" s="104">
        <v>1</v>
      </c>
      <c r="I296" s="62" t="s">
        <v>155</v>
      </c>
      <c r="J296" s="49">
        <v>35000</v>
      </c>
      <c r="K296" s="29"/>
      <c r="L296" s="51">
        <f t="shared" si="13"/>
        <v>35000</v>
      </c>
    </row>
    <row r="297" spans="2:12" x14ac:dyDescent="0.35">
      <c r="B297" s="101"/>
      <c r="C297" s="187"/>
      <c r="D297" s="187" t="s">
        <v>56</v>
      </c>
      <c r="E297" s="102"/>
      <c r="F297" s="103" t="s">
        <v>280</v>
      </c>
      <c r="G297" s="103"/>
      <c r="H297" s="104">
        <v>7</v>
      </c>
      <c r="I297" s="62" t="s">
        <v>257</v>
      </c>
      <c r="J297" s="152">
        <v>225000</v>
      </c>
      <c r="K297" s="29">
        <f t="shared" ref="K297" si="14">J297*H297</f>
        <v>1575000</v>
      </c>
      <c r="L297" s="51"/>
    </row>
    <row r="298" spans="2:12" x14ac:dyDescent="0.35">
      <c r="B298" s="101"/>
      <c r="C298" s="187"/>
      <c r="D298" s="187"/>
      <c r="E298" s="102"/>
      <c r="F298" s="103" t="s">
        <v>94</v>
      </c>
      <c r="G298" s="103" t="s">
        <v>258</v>
      </c>
      <c r="H298" s="104">
        <v>580</v>
      </c>
      <c r="I298" s="62" t="s">
        <v>153</v>
      </c>
      <c r="J298" s="152">
        <v>480</v>
      </c>
      <c r="K298" s="29"/>
      <c r="L298" s="51">
        <f t="shared" si="13"/>
        <v>278400</v>
      </c>
    </row>
    <row r="299" spans="2:12" x14ac:dyDescent="0.35">
      <c r="B299" s="101"/>
      <c r="C299" s="187"/>
      <c r="D299" s="187"/>
      <c r="E299" s="102"/>
      <c r="F299" s="103" t="s">
        <v>94</v>
      </c>
      <c r="G299" s="103" t="s">
        <v>259</v>
      </c>
      <c r="H299" s="104">
        <v>3</v>
      </c>
      <c r="I299" s="62" t="s">
        <v>155</v>
      </c>
      <c r="J299" s="152">
        <v>165000</v>
      </c>
      <c r="K299" s="29"/>
      <c r="L299" s="51">
        <f t="shared" si="13"/>
        <v>495000</v>
      </c>
    </row>
    <row r="300" spans="2:12" x14ac:dyDescent="0.35">
      <c r="B300" s="101"/>
      <c r="C300" s="187"/>
      <c r="D300" s="187"/>
      <c r="E300" s="102"/>
      <c r="F300" s="103" t="s">
        <v>94</v>
      </c>
      <c r="G300" s="103" t="s">
        <v>260</v>
      </c>
      <c r="H300" s="104">
        <v>8</v>
      </c>
      <c r="I300" s="62" t="s">
        <v>155</v>
      </c>
      <c r="J300" s="153">
        <v>35000</v>
      </c>
      <c r="K300" s="29"/>
      <c r="L300" s="51">
        <f t="shared" si="13"/>
        <v>280000</v>
      </c>
    </row>
    <row r="301" spans="2:12" x14ac:dyDescent="0.35">
      <c r="B301" s="101"/>
      <c r="C301" s="187"/>
      <c r="D301" s="187"/>
      <c r="E301" s="102"/>
      <c r="F301" s="103" t="s">
        <v>94</v>
      </c>
      <c r="G301" s="103" t="s">
        <v>261</v>
      </c>
      <c r="H301" s="104">
        <v>2</v>
      </c>
      <c r="I301" s="62" t="s">
        <v>155</v>
      </c>
      <c r="J301" s="154">
        <v>35000</v>
      </c>
      <c r="K301" s="29"/>
      <c r="L301" s="51">
        <f t="shared" si="13"/>
        <v>70000</v>
      </c>
    </row>
    <row r="302" spans="2:12" x14ac:dyDescent="0.35">
      <c r="B302" s="101"/>
      <c r="C302" s="187"/>
      <c r="D302" s="187" t="s">
        <v>58</v>
      </c>
      <c r="E302" s="102"/>
      <c r="F302" s="103" t="s">
        <v>281</v>
      </c>
      <c r="G302" s="103"/>
      <c r="H302" s="104">
        <v>7</v>
      </c>
      <c r="I302" s="62" t="s">
        <v>257</v>
      </c>
      <c r="J302" s="152">
        <v>225000</v>
      </c>
      <c r="K302" s="29">
        <f t="shared" ref="K302" si="15">J302*H302</f>
        <v>1575000</v>
      </c>
      <c r="L302" s="51"/>
    </row>
    <row r="303" spans="2:12" x14ac:dyDescent="0.35">
      <c r="B303" s="101"/>
      <c r="C303" s="187"/>
      <c r="D303" s="187"/>
      <c r="E303" s="102"/>
      <c r="F303" s="103" t="s">
        <v>94</v>
      </c>
      <c r="G303" s="103" t="s">
        <v>258</v>
      </c>
      <c r="H303" s="104">
        <v>590</v>
      </c>
      <c r="I303" s="62" t="s">
        <v>153</v>
      </c>
      <c r="J303" s="152">
        <v>480</v>
      </c>
      <c r="K303" s="29"/>
      <c r="L303" s="51">
        <f t="shared" si="13"/>
        <v>283200</v>
      </c>
    </row>
    <row r="304" spans="2:12" x14ac:dyDescent="0.35">
      <c r="B304" s="101"/>
      <c r="C304" s="187"/>
      <c r="D304" s="187"/>
      <c r="E304" s="102"/>
      <c r="F304" s="103" t="s">
        <v>94</v>
      </c>
      <c r="G304" s="103" t="s">
        <v>259</v>
      </c>
      <c r="H304" s="104">
        <v>3</v>
      </c>
      <c r="I304" s="62" t="s">
        <v>155</v>
      </c>
      <c r="J304" s="152">
        <v>165000</v>
      </c>
      <c r="K304" s="29"/>
      <c r="L304" s="51">
        <f t="shared" si="13"/>
        <v>495000</v>
      </c>
    </row>
    <row r="305" spans="2:12" x14ac:dyDescent="0.35">
      <c r="B305" s="101"/>
      <c r="C305" s="187"/>
      <c r="D305" s="187"/>
      <c r="E305" s="102"/>
      <c r="F305" s="103" t="s">
        <v>94</v>
      </c>
      <c r="G305" s="103" t="s">
        <v>260</v>
      </c>
      <c r="H305" s="104">
        <v>4</v>
      </c>
      <c r="I305" s="62" t="s">
        <v>155</v>
      </c>
      <c r="J305" s="153">
        <v>35000</v>
      </c>
      <c r="K305" s="29"/>
      <c r="L305" s="51">
        <f t="shared" si="13"/>
        <v>140000</v>
      </c>
    </row>
    <row r="306" spans="2:12" x14ac:dyDescent="0.35">
      <c r="B306" s="101"/>
      <c r="C306" s="187"/>
      <c r="D306" s="187"/>
      <c r="E306" s="102"/>
      <c r="F306" s="103" t="s">
        <v>94</v>
      </c>
      <c r="G306" s="103" t="s">
        <v>261</v>
      </c>
      <c r="H306" s="104">
        <v>2</v>
      </c>
      <c r="I306" s="62" t="s">
        <v>155</v>
      </c>
      <c r="J306" s="154">
        <v>35000</v>
      </c>
      <c r="K306" s="29"/>
      <c r="L306" s="51">
        <f t="shared" si="13"/>
        <v>70000</v>
      </c>
    </row>
    <row r="307" spans="2:12" x14ac:dyDescent="0.35">
      <c r="B307" s="101"/>
      <c r="C307" s="187"/>
      <c r="D307" s="187" t="s">
        <v>60</v>
      </c>
      <c r="E307" s="102"/>
      <c r="F307" s="103" t="s">
        <v>282</v>
      </c>
      <c r="G307" s="103"/>
      <c r="H307" s="104">
        <v>6</v>
      </c>
      <c r="I307" s="62" t="s">
        <v>257</v>
      </c>
      <c r="J307" s="161">
        <v>225000</v>
      </c>
      <c r="K307" s="29">
        <f t="shared" ref="K307" si="16">J307*H307</f>
        <v>1350000</v>
      </c>
      <c r="L307" s="51"/>
    </row>
    <row r="308" spans="2:12" x14ac:dyDescent="0.35">
      <c r="B308" s="101"/>
      <c r="C308" s="187"/>
      <c r="D308" s="187"/>
      <c r="E308" s="102"/>
      <c r="F308" s="103" t="s">
        <v>94</v>
      </c>
      <c r="G308" s="103" t="s">
        <v>258</v>
      </c>
      <c r="H308" s="104">
        <v>600</v>
      </c>
      <c r="I308" s="62" t="s">
        <v>153</v>
      </c>
      <c r="J308" s="161">
        <v>480</v>
      </c>
      <c r="K308" s="29"/>
      <c r="L308" s="51">
        <f t="shared" si="13"/>
        <v>288000</v>
      </c>
    </row>
    <row r="309" spans="2:12" x14ac:dyDescent="0.35">
      <c r="B309" s="101"/>
      <c r="C309" s="187"/>
      <c r="D309" s="187"/>
      <c r="E309" s="102"/>
      <c r="F309" s="103" t="s">
        <v>94</v>
      </c>
      <c r="G309" s="103" t="s">
        <v>259</v>
      </c>
      <c r="H309" s="104">
        <v>2</v>
      </c>
      <c r="I309" s="62" t="s">
        <v>155</v>
      </c>
      <c r="J309" s="152">
        <v>165000</v>
      </c>
      <c r="K309" s="29"/>
      <c r="L309" s="51">
        <f t="shared" si="13"/>
        <v>330000</v>
      </c>
    </row>
    <row r="310" spans="2:12" x14ac:dyDescent="0.35">
      <c r="B310" s="101"/>
      <c r="C310" s="187"/>
      <c r="D310" s="187"/>
      <c r="E310" s="102"/>
      <c r="F310" s="103" t="s">
        <v>94</v>
      </c>
      <c r="G310" s="103" t="s">
        <v>283</v>
      </c>
      <c r="H310" s="104">
        <v>1</v>
      </c>
      <c r="I310" s="62" t="s">
        <v>93</v>
      </c>
      <c r="J310" s="152">
        <v>415000</v>
      </c>
      <c r="K310" s="29"/>
      <c r="L310" s="51">
        <f t="shared" si="13"/>
        <v>415000</v>
      </c>
    </row>
    <row r="311" spans="2:12" x14ac:dyDescent="0.35">
      <c r="B311" s="101"/>
      <c r="C311" s="187"/>
      <c r="D311" s="187"/>
      <c r="E311" s="102"/>
      <c r="F311" s="103" t="s">
        <v>94</v>
      </c>
      <c r="G311" s="103" t="s">
        <v>284</v>
      </c>
      <c r="H311" s="104">
        <v>1</v>
      </c>
      <c r="I311" s="62" t="s">
        <v>155</v>
      </c>
      <c r="J311" s="160">
        <v>130000</v>
      </c>
      <c r="K311" s="29"/>
      <c r="L311" s="51">
        <f t="shared" si="13"/>
        <v>130000</v>
      </c>
    </row>
    <row r="312" spans="2:12" x14ac:dyDescent="0.35">
      <c r="B312" s="101"/>
      <c r="C312" s="187"/>
      <c r="D312" s="187"/>
      <c r="E312" s="102"/>
      <c r="F312" s="103" t="s">
        <v>94</v>
      </c>
      <c r="G312" s="103" t="s">
        <v>260</v>
      </c>
      <c r="H312" s="104">
        <v>4</v>
      </c>
      <c r="I312" s="62" t="s">
        <v>155</v>
      </c>
      <c r="J312" s="152">
        <v>35000</v>
      </c>
      <c r="K312" s="29"/>
      <c r="L312" s="51">
        <f t="shared" si="13"/>
        <v>140000</v>
      </c>
    </row>
    <row r="313" spans="2:12" x14ac:dyDescent="0.35">
      <c r="B313" s="101"/>
      <c r="C313" s="187"/>
      <c r="D313" s="187"/>
      <c r="E313" s="102"/>
      <c r="F313" s="103" t="s">
        <v>94</v>
      </c>
      <c r="G313" s="103" t="s">
        <v>261</v>
      </c>
      <c r="H313" s="104">
        <v>1</v>
      </c>
      <c r="I313" s="62" t="s">
        <v>155</v>
      </c>
      <c r="J313" s="162">
        <v>35000</v>
      </c>
      <c r="K313" s="29"/>
      <c r="L313" s="51">
        <f t="shared" si="13"/>
        <v>35000</v>
      </c>
    </row>
    <row r="314" spans="2:12" x14ac:dyDescent="0.35">
      <c r="B314" s="101"/>
      <c r="C314" s="187"/>
      <c r="D314" s="187" t="s">
        <v>62</v>
      </c>
      <c r="E314" s="102"/>
      <c r="F314" s="103" t="s">
        <v>285</v>
      </c>
      <c r="G314" s="103"/>
      <c r="H314" s="104">
        <v>7</v>
      </c>
      <c r="I314" s="62" t="s">
        <v>257</v>
      </c>
      <c r="J314" s="154">
        <v>225000</v>
      </c>
      <c r="K314" s="29">
        <f t="shared" ref="K314" si="17">J314*H314</f>
        <v>1575000</v>
      </c>
      <c r="L314" s="51"/>
    </row>
    <row r="315" spans="2:12" x14ac:dyDescent="0.35">
      <c r="B315" s="101"/>
      <c r="C315" s="187"/>
      <c r="D315" s="187"/>
      <c r="E315" s="102"/>
      <c r="F315" s="103" t="s">
        <v>94</v>
      </c>
      <c r="G315" s="103" t="s">
        <v>258</v>
      </c>
      <c r="H315" s="104">
        <v>580</v>
      </c>
      <c r="I315" s="62" t="s">
        <v>153</v>
      </c>
      <c r="J315" s="155">
        <v>480</v>
      </c>
      <c r="K315" s="29"/>
      <c r="L315" s="51">
        <f t="shared" si="13"/>
        <v>278400</v>
      </c>
    </row>
    <row r="316" spans="2:12" x14ac:dyDescent="0.35">
      <c r="B316" s="101"/>
      <c r="C316" s="187"/>
      <c r="D316" s="187"/>
      <c r="E316" s="102"/>
      <c r="F316" s="103" t="s">
        <v>94</v>
      </c>
      <c r="G316" s="103" t="s">
        <v>259</v>
      </c>
      <c r="H316" s="104">
        <v>3</v>
      </c>
      <c r="I316" s="62" t="s">
        <v>155</v>
      </c>
      <c r="J316" s="154">
        <v>165000</v>
      </c>
      <c r="K316" s="29"/>
      <c r="L316" s="51">
        <f t="shared" si="13"/>
        <v>495000</v>
      </c>
    </row>
    <row r="317" spans="2:12" x14ac:dyDescent="0.35">
      <c r="B317" s="101"/>
      <c r="C317" s="187"/>
      <c r="D317" s="187"/>
      <c r="E317" s="102"/>
      <c r="F317" s="103" t="s">
        <v>94</v>
      </c>
      <c r="G317" s="103" t="s">
        <v>260</v>
      </c>
      <c r="H317" s="104">
        <v>4</v>
      </c>
      <c r="I317" s="62" t="s">
        <v>155</v>
      </c>
      <c r="J317" s="162">
        <v>35000</v>
      </c>
      <c r="K317" s="29"/>
      <c r="L317" s="51">
        <f t="shared" si="13"/>
        <v>140000</v>
      </c>
    </row>
    <row r="318" spans="2:12" x14ac:dyDescent="0.35">
      <c r="B318" s="101"/>
      <c r="C318" s="187"/>
      <c r="D318" s="187"/>
      <c r="E318" s="102"/>
      <c r="F318" s="103" t="s">
        <v>94</v>
      </c>
      <c r="G318" s="103" t="s">
        <v>268</v>
      </c>
      <c r="H318" s="104">
        <v>4</v>
      </c>
      <c r="I318" s="62" t="s">
        <v>155</v>
      </c>
      <c r="J318" s="162">
        <v>35000</v>
      </c>
      <c r="K318" s="29"/>
      <c r="L318" s="51">
        <f t="shared" si="13"/>
        <v>140000</v>
      </c>
    </row>
    <row r="319" spans="2:12" x14ac:dyDescent="0.35">
      <c r="B319" s="101"/>
      <c r="C319" s="187"/>
      <c r="D319" s="187"/>
      <c r="E319" s="102"/>
      <c r="F319" s="103" t="s">
        <v>94</v>
      </c>
      <c r="G319" s="103" t="s">
        <v>261</v>
      </c>
      <c r="H319" s="104">
        <v>2</v>
      </c>
      <c r="I319" s="62" t="s">
        <v>155</v>
      </c>
      <c r="J319" s="162">
        <v>35000</v>
      </c>
      <c r="K319" s="29"/>
      <c r="L319" s="51">
        <f t="shared" si="13"/>
        <v>70000</v>
      </c>
    </row>
    <row r="320" spans="2:12" x14ac:dyDescent="0.35">
      <c r="B320" s="101"/>
      <c r="C320" s="187" t="s">
        <v>286</v>
      </c>
      <c r="D320" s="187"/>
      <c r="E320" s="102"/>
      <c r="F320" s="103" t="s">
        <v>287</v>
      </c>
      <c r="G320" s="103"/>
      <c r="H320" s="106"/>
      <c r="I320" s="62"/>
      <c r="J320" s="49"/>
      <c r="K320" s="29"/>
      <c r="L320" s="51"/>
    </row>
    <row r="321" spans="2:14" x14ac:dyDescent="0.35">
      <c r="B321" s="101"/>
      <c r="C321" s="187"/>
      <c r="D321" s="187" t="s">
        <v>44</v>
      </c>
      <c r="E321" s="102"/>
      <c r="F321" s="103" t="s">
        <v>403</v>
      </c>
      <c r="G321" s="103"/>
      <c r="H321" s="104">
        <v>1</v>
      </c>
      <c r="I321" s="62" t="s">
        <v>105</v>
      </c>
      <c r="J321" s="49">
        <v>7500000</v>
      </c>
      <c r="K321" s="29">
        <f t="shared" ref="K321" si="18">J321*H321</f>
        <v>7500000</v>
      </c>
      <c r="L321" s="51"/>
      <c r="M321">
        <v>1920000</v>
      </c>
      <c r="N321">
        <f>SUM(M321:M327)*1.3</f>
        <v>7239482.9000000013</v>
      </c>
    </row>
    <row r="322" spans="2:14" x14ac:dyDescent="0.35">
      <c r="B322" s="101"/>
      <c r="C322" s="187"/>
      <c r="D322" s="187"/>
      <c r="E322" s="102"/>
      <c r="F322" s="103" t="s">
        <v>94</v>
      </c>
      <c r="G322" s="103" t="s">
        <v>288</v>
      </c>
      <c r="H322" s="163">
        <v>1510</v>
      </c>
      <c r="I322" s="164" t="s">
        <v>153</v>
      </c>
      <c r="J322" s="165">
        <v>1676</v>
      </c>
      <c r="K322" s="29"/>
      <c r="L322" s="51"/>
      <c r="M322">
        <v>2530760</v>
      </c>
    </row>
    <row r="323" spans="2:14" x14ac:dyDescent="0.35">
      <c r="B323" s="101"/>
      <c r="C323" s="187"/>
      <c r="D323" s="187"/>
      <c r="E323" s="102"/>
      <c r="F323" s="103" t="s">
        <v>94</v>
      </c>
      <c r="G323" s="103" t="s">
        <v>289</v>
      </c>
      <c r="H323" s="166">
        <v>2.7223799999999998</v>
      </c>
      <c r="I323" s="164" t="s">
        <v>147</v>
      </c>
      <c r="J323" s="165">
        <v>30000</v>
      </c>
      <c r="K323" s="29"/>
      <c r="L323" s="51"/>
      <c r="M323">
        <v>81671.399999999994</v>
      </c>
    </row>
    <row r="324" spans="2:14" x14ac:dyDescent="0.35">
      <c r="B324" s="101"/>
      <c r="C324" s="187"/>
      <c r="D324" s="187"/>
      <c r="E324" s="102"/>
      <c r="F324" s="103" t="s">
        <v>94</v>
      </c>
      <c r="G324" s="103" t="s">
        <v>290</v>
      </c>
      <c r="H324" s="166">
        <v>9.5456999999999983</v>
      </c>
      <c r="I324" s="164" t="s">
        <v>160</v>
      </c>
      <c r="J324" s="165">
        <v>30000</v>
      </c>
      <c r="K324" s="29"/>
      <c r="L324" s="51"/>
      <c r="M324">
        <v>286370.99999999994</v>
      </c>
    </row>
    <row r="325" spans="2:14" x14ac:dyDescent="0.35">
      <c r="B325" s="101"/>
      <c r="C325" s="187"/>
      <c r="D325" s="187"/>
      <c r="E325" s="102"/>
      <c r="F325" s="103" t="s">
        <v>94</v>
      </c>
      <c r="G325" s="103" t="s">
        <v>291</v>
      </c>
      <c r="H325" s="166">
        <v>18.651599999999998</v>
      </c>
      <c r="I325" s="164" t="s">
        <v>147</v>
      </c>
      <c r="J325" s="165">
        <v>30000</v>
      </c>
      <c r="K325" s="29"/>
      <c r="L325" s="51"/>
      <c r="M325">
        <v>559548</v>
      </c>
    </row>
    <row r="326" spans="2:14" x14ac:dyDescent="0.35">
      <c r="B326" s="101"/>
      <c r="C326" s="187"/>
      <c r="D326" s="187"/>
      <c r="E326" s="102"/>
      <c r="F326" s="103" t="s">
        <v>94</v>
      </c>
      <c r="G326" s="103" t="s">
        <v>292</v>
      </c>
      <c r="H326" s="166">
        <v>4.0411799999999998</v>
      </c>
      <c r="I326" s="164" t="s">
        <v>147</v>
      </c>
      <c r="J326" s="165">
        <v>30000</v>
      </c>
      <c r="K326" s="29"/>
      <c r="L326" s="51"/>
      <c r="M326">
        <v>121235.4</v>
      </c>
    </row>
    <row r="327" spans="2:14" x14ac:dyDescent="0.35">
      <c r="B327" s="101"/>
      <c r="C327" s="187"/>
      <c r="D327" s="187"/>
      <c r="E327" s="102"/>
      <c r="F327" s="103" t="s">
        <v>94</v>
      </c>
      <c r="G327" s="103" t="s">
        <v>293</v>
      </c>
      <c r="H327" s="166">
        <v>2.3082400000000001</v>
      </c>
      <c r="I327" s="164" t="s">
        <v>160</v>
      </c>
      <c r="J327" s="165">
        <v>30000</v>
      </c>
      <c r="K327" s="29"/>
      <c r="L327" s="51"/>
      <c r="M327">
        <v>69247.199999999997</v>
      </c>
    </row>
    <row r="328" spans="2:14" x14ac:dyDescent="0.35">
      <c r="B328" s="101"/>
      <c r="C328" s="187" t="s">
        <v>294</v>
      </c>
      <c r="D328" s="187"/>
      <c r="E328" s="102"/>
      <c r="F328" s="103" t="s">
        <v>250</v>
      </c>
      <c r="G328" s="103"/>
      <c r="H328" s="104"/>
      <c r="I328" s="62"/>
      <c r="J328" s="49"/>
      <c r="K328" s="29"/>
      <c r="L328" s="51"/>
    </row>
    <row r="329" spans="2:14" x14ac:dyDescent="0.35">
      <c r="B329" s="101"/>
      <c r="C329" s="187"/>
      <c r="D329" s="187" t="s">
        <v>44</v>
      </c>
      <c r="E329" s="102"/>
      <c r="F329" s="103" t="s">
        <v>295</v>
      </c>
      <c r="G329" s="103"/>
      <c r="H329" s="104">
        <v>4</v>
      </c>
      <c r="I329" s="62" t="s">
        <v>105</v>
      </c>
      <c r="J329" s="49">
        <v>17000000</v>
      </c>
      <c r="K329" s="29">
        <f t="shared" ref="K329" si="19">J329*H329</f>
        <v>68000000</v>
      </c>
      <c r="L329" s="51"/>
    </row>
    <row r="330" spans="2:14" x14ac:dyDescent="0.35">
      <c r="B330" s="101"/>
      <c r="C330" s="187"/>
      <c r="D330" s="187"/>
      <c r="E330" s="102"/>
      <c r="F330" s="103" t="s">
        <v>94</v>
      </c>
      <c r="G330" s="103" t="s">
        <v>296</v>
      </c>
      <c r="H330" s="163">
        <v>4</v>
      </c>
      <c r="I330" s="164" t="s">
        <v>93</v>
      </c>
      <c r="J330" s="49"/>
      <c r="K330" s="29"/>
      <c r="L330" s="51"/>
    </row>
    <row r="331" spans="2:14" x14ac:dyDescent="0.35">
      <c r="B331" s="97" t="s">
        <v>95</v>
      </c>
      <c r="C331" s="190"/>
      <c r="D331" s="190"/>
      <c r="E331" s="111" t="s">
        <v>297</v>
      </c>
      <c r="F331" s="112"/>
      <c r="G331" s="112"/>
      <c r="H331" s="100"/>
      <c r="I331" s="115"/>
      <c r="J331" s="49"/>
      <c r="K331" s="29"/>
      <c r="L331" s="51"/>
    </row>
    <row r="332" spans="2:14" x14ac:dyDescent="0.35">
      <c r="B332" s="116"/>
      <c r="C332" s="191" t="s">
        <v>298</v>
      </c>
      <c r="D332" s="191"/>
      <c r="E332" s="108"/>
      <c r="F332" s="109" t="s">
        <v>299</v>
      </c>
      <c r="G332" s="109"/>
      <c r="H332" s="104"/>
      <c r="I332" s="113"/>
      <c r="J332" s="49"/>
      <c r="K332" s="29"/>
      <c r="L332" s="51"/>
    </row>
    <row r="333" spans="2:14" x14ac:dyDescent="0.35">
      <c r="B333" s="116"/>
      <c r="C333" s="191"/>
      <c r="D333" s="191" t="s">
        <v>44</v>
      </c>
      <c r="E333" s="108"/>
      <c r="F333" s="109" t="s">
        <v>300</v>
      </c>
      <c r="G333" s="109"/>
      <c r="H333" s="104">
        <v>1</v>
      </c>
      <c r="I333" s="113" t="s">
        <v>105</v>
      </c>
      <c r="J333" s="49">
        <v>3000000</v>
      </c>
      <c r="K333" s="29">
        <f t="shared" ref="K333" si="20">J333*H333</f>
        <v>3000000</v>
      </c>
      <c r="L333" s="51"/>
      <c r="N333">
        <f>SUM(M334:M342)*1.3</f>
        <v>2531349.574</v>
      </c>
    </row>
    <row r="334" spans="2:14" x14ac:dyDescent="0.35">
      <c r="B334" s="116"/>
      <c r="C334" s="191"/>
      <c r="D334" s="191"/>
      <c r="E334" s="108"/>
      <c r="F334" s="109" t="s">
        <v>94</v>
      </c>
      <c r="G334" s="109" t="s">
        <v>301</v>
      </c>
      <c r="H334" s="166">
        <v>18.84</v>
      </c>
      <c r="I334" s="167" t="s">
        <v>147</v>
      </c>
      <c r="J334" s="165">
        <v>30000</v>
      </c>
      <c r="K334" s="29"/>
      <c r="L334" s="51"/>
      <c r="M334">
        <v>565200</v>
      </c>
    </row>
    <row r="335" spans="2:14" x14ac:dyDescent="0.35">
      <c r="B335" s="116"/>
      <c r="C335" s="191"/>
      <c r="D335" s="191"/>
      <c r="E335" s="108"/>
      <c r="F335" s="109" t="s">
        <v>94</v>
      </c>
      <c r="G335" s="109" t="s">
        <v>302</v>
      </c>
      <c r="H335" s="166">
        <v>3.6172799999999996</v>
      </c>
      <c r="I335" s="167" t="s">
        <v>147</v>
      </c>
      <c r="J335" s="165">
        <v>30000</v>
      </c>
      <c r="K335" s="29"/>
      <c r="L335" s="51"/>
      <c r="M335">
        <v>108518.39999999999</v>
      </c>
    </row>
    <row r="336" spans="2:14" x14ac:dyDescent="0.35">
      <c r="B336" s="8"/>
      <c r="C336" s="9"/>
      <c r="D336" s="10"/>
      <c r="E336" s="4"/>
      <c r="F336" s="4"/>
      <c r="G336" s="4"/>
      <c r="H336" s="1"/>
      <c r="I336" s="1"/>
      <c r="J336" s="11" t="s">
        <v>8</v>
      </c>
      <c r="K336" s="7">
        <f>SUM(K284:K335)</f>
        <v>86575000</v>
      </c>
      <c r="L336" s="7">
        <f>SUM(L284:L335)</f>
        <v>6863984</v>
      </c>
      <c r="M336">
        <v>326462.94</v>
      </c>
    </row>
    <row r="337" spans="2:13" x14ac:dyDescent="0.35">
      <c r="B337" s="8"/>
      <c r="C337" s="9"/>
      <c r="D337" s="9"/>
      <c r="E337" s="4"/>
      <c r="F337" s="4"/>
      <c r="G337" s="4"/>
      <c r="H337" s="1"/>
      <c r="I337" s="1"/>
      <c r="J337" s="11"/>
      <c r="K337" s="35" t="s">
        <v>21</v>
      </c>
      <c r="L337" s="36" t="s">
        <v>22</v>
      </c>
      <c r="M337">
        <v>150000</v>
      </c>
    </row>
    <row r="338" spans="2:13" x14ac:dyDescent="0.35">
      <c r="B338" s="3" t="s">
        <v>9</v>
      </c>
      <c r="C338" s="4"/>
      <c r="D338" s="4"/>
      <c r="E338" s="4"/>
      <c r="F338" s="4"/>
      <c r="G338" s="4"/>
      <c r="H338" s="1"/>
      <c r="I338" s="1"/>
      <c r="J338" s="12"/>
      <c r="K338" s="12"/>
      <c r="L338" s="13"/>
      <c r="M338">
        <v>65000</v>
      </c>
    </row>
    <row r="339" spans="2:13" x14ac:dyDescent="0.35">
      <c r="B339" s="37"/>
      <c r="C339" s="1"/>
      <c r="D339" s="1"/>
      <c r="E339" s="38"/>
      <c r="F339" s="38"/>
      <c r="G339" s="38"/>
      <c r="H339" s="1"/>
      <c r="I339" s="1"/>
      <c r="J339" s="1"/>
      <c r="K339" s="1"/>
      <c r="L339" s="19"/>
      <c r="M339">
        <v>150000</v>
      </c>
    </row>
    <row r="340" spans="2:13" x14ac:dyDescent="0.35">
      <c r="B340" s="28" t="s">
        <v>6</v>
      </c>
      <c r="C340" s="27"/>
      <c r="D340" s="27"/>
      <c r="E340" s="26"/>
      <c r="F340" s="26"/>
      <c r="G340" s="5"/>
      <c r="K340" s="271" t="s">
        <v>42</v>
      </c>
      <c r="L340" s="272"/>
      <c r="M340">
        <v>80000</v>
      </c>
    </row>
    <row r="341" spans="2:13" x14ac:dyDescent="0.35">
      <c r="B341" s="28">
        <v>1</v>
      </c>
      <c r="C341" s="27"/>
      <c r="D341" s="27"/>
      <c r="E341" s="26" t="s">
        <v>7</v>
      </c>
      <c r="F341" s="26"/>
      <c r="G341" s="5"/>
      <c r="K341" s="271" t="s">
        <v>27</v>
      </c>
      <c r="L341" s="272"/>
      <c r="M341">
        <v>494550</v>
      </c>
    </row>
    <row r="342" spans="2:13" x14ac:dyDescent="0.35">
      <c r="B342" s="39"/>
      <c r="C342" s="27"/>
      <c r="D342" s="27"/>
      <c r="E342" s="26"/>
      <c r="F342" s="26"/>
      <c r="G342" s="5"/>
      <c r="J342" s="25"/>
      <c r="K342" s="25"/>
      <c r="L342" s="24"/>
      <c r="M342">
        <v>7460.6399999999985</v>
      </c>
    </row>
    <row r="343" spans="2:13" x14ac:dyDescent="0.35">
      <c r="B343" s="28"/>
      <c r="C343" s="27"/>
      <c r="D343" s="27"/>
      <c r="E343" s="26"/>
      <c r="F343" s="26"/>
      <c r="G343" s="5"/>
      <c r="L343" s="22"/>
    </row>
    <row r="344" spans="2:13" x14ac:dyDescent="0.35">
      <c r="B344" s="45"/>
      <c r="E344" s="5"/>
      <c r="F344" s="5"/>
      <c r="G344" s="5"/>
      <c r="L344" s="22"/>
    </row>
    <row r="345" spans="2:13" x14ac:dyDescent="0.35">
      <c r="B345" s="45"/>
      <c r="E345" s="5"/>
      <c r="F345" s="5"/>
      <c r="G345" s="5"/>
      <c r="L345" s="22"/>
    </row>
    <row r="346" spans="2:13" x14ac:dyDescent="0.35">
      <c r="B346" s="45"/>
      <c r="E346" s="5"/>
      <c r="F346" s="5"/>
      <c r="G346" s="5"/>
      <c r="L346" s="22"/>
    </row>
    <row r="347" spans="2:13" x14ac:dyDescent="0.35">
      <c r="B347" s="45"/>
      <c r="E347" s="5"/>
      <c r="F347" s="5"/>
      <c r="G347" s="5"/>
      <c r="J347" s="40"/>
      <c r="K347" s="273" t="s">
        <v>35</v>
      </c>
      <c r="L347" s="274"/>
    </row>
    <row r="348" spans="2:13" x14ac:dyDescent="0.35">
      <c r="B348" s="45"/>
      <c r="K348" s="277" t="s">
        <v>36</v>
      </c>
      <c r="L348" s="278"/>
    </row>
    <row r="349" spans="2:13" x14ac:dyDescent="0.35">
      <c r="B349" s="275"/>
      <c r="C349" s="276"/>
      <c r="D349" s="276"/>
      <c r="E349" s="41"/>
      <c r="F349" s="41"/>
      <c r="G349" s="41"/>
      <c r="H349" s="2"/>
      <c r="I349" s="2"/>
      <c r="J349" s="2"/>
      <c r="K349" s="2"/>
      <c r="L349" s="21"/>
    </row>
    <row r="350" spans="2:13" x14ac:dyDescent="0.35">
      <c r="B350" s="47"/>
      <c r="C350" s="183"/>
      <c r="D350" s="48"/>
      <c r="G350" s="22"/>
      <c r="H350" s="1"/>
      <c r="I350" s="1"/>
      <c r="J350" s="43"/>
      <c r="K350" s="30"/>
      <c r="L350" s="44"/>
    </row>
    <row r="351" spans="2:13" x14ac:dyDescent="0.35">
      <c r="B351" s="116"/>
      <c r="C351" s="191"/>
      <c r="D351" s="191"/>
      <c r="E351" s="108"/>
      <c r="F351" s="109" t="s">
        <v>94</v>
      </c>
      <c r="G351" s="109" t="s">
        <v>303</v>
      </c>
      <c r="H351" s="166">
        <v>10.882097999999999</v>
      </c>
      <c r="I351" s="167" t="s">
        <v>147</v>
      </c>
      <c r="J351" s="165">
        <v>30000</v>
      </c>
      <c r="K351" s="29"/>
      <c r="L351" s="51"/>
    </row>
    <row r="352" spans="2:13" x14ac:dyDescent="0.35">
      <c r="B352" s="116"/>
      <c r="C352" s="191"/>
      <c r="D352" s="191"/>
      <c r="E352" s="108"/>
      <c r="F352" s="109" t="s">
        <v>94</v>
      </c>
      <c r="G352" s="109" t="s">
        <v>304</v>
      </c>
      <c r="H352" s="163">
        <v>300</v>
      </c>
      <c r="I352" s="167" t="s">
        <v>153</v>
      </c>
      <c r="J352" s="165">
        <v>500</v>
      </c>
      <c r="K352" s="29"/>
      <c r="L352" s="51"/>
    </row>
    <row r="353" spans="2:12" x14ac:dyDescent="0.35">
      <c r="B353" s="116"/>
      <c r="C353" s="191"/>
      <c r="D353" s="191"/>
      <c r="E353" s="108"/>
      <c r="F353" s="109" t="s">
        <v>94</v>
      </c>
      <c r="G353" s="109" t="s">
        <v>305</v>
      </c>
      <c r="H353" s="163">
        <v>130</v>
      </c>
      <c r="I353" s="167" t="s">
        <v>153</v>
      </c>
      <c r="J353" s="165">
        <v>500</v>
      </c>
      <c r="K353" s="29"/>
      <c r="L353" s="51"/>
    </row>
    <row r="354" spans="2:12" x14ac:dyDescent="0.35">
      <c r="B354" s="116"/>
      <c r="C354" s="191"/>
      <c r="D354" s="191"/>
      <c r="E354" s="108"/>
      <c r="F354" s="109" t="s">
        <v>94</v>
      </c>
      <c r="G354" s="109" t="s">
        <v>306</v>
      </c>
      <c r="H354" s="163">
        <v>300</v>
      </c>
      <c r="I354" s="167" t="s">
        <v>153</v>
      </c>
      <c r="J354" s="165">
        <v>500</v>
      </c>
      <c r="K354" s="29"/>
      <c r="L354" s="51"/>
    </row>
    <row r="355" spans="2:12" x14ac:dyDescent="0.35">
      <c r="B355" s="116"/>
      <c r="C355" s="191"/>
      <c r="D355" s="191"/>
      <c r="E355" s="108"/>
      <c r="F355" s="109" t="s">
        <v>94</v>
      </c>
      <c r="G355" s="109" t="s">
        <v>307</v>
      </c>
      <c r="H355" s="163">
        <v>160</v>
      </c>
      <c r="I355" s="167" t="s">
        <v>153</v>
      </c>
      <c r="J355" s="165">
        <v>500</v>
      </c>
      <c r="K355" s="29"/>
      <c r="L355" s="51"/>
    </row>
    <row r="356" spans="2:12" x14ac:dyDescent="0.35">
      <c r="B356" s="116"/>
      <c r="C356" s="191"/>
      <c r="D356" s="191"/>
      <c r="E356" s="108"/>
      <c r="F356" s="109" t="s">
        <v>94</v>
      </c>
      <c r="G356" s="109" t="s">
        <v>308</v>
      </c>
      <c r="H356" s="166">
        <v>16.484999999999999</v>
      </c>
      <c r="I356" s="167" t="s">
        <v>147</v>
      </c>
      <c r="J356" s="165">
        <v>30000</v>
      </c>
      <c r="K356" s="29"/>
      <c r="L356" s="51"/>
    </row>
    <row r="357" spans="2:12" x14ac:dyDescent="0.35">
      <c r="B357" s="116"/>
      <c r="C357" s="191"/>
      <c r="D357" s="191"/>
      <c r="E357" s="108"/>
      <c r="F357" s="109" t="s">
        <v>94</v>
      </c>
      <c r="G357" s="109" t="s">
        <v>309</v>
      </c>
      <c r="H357" s="166">
        <v>0.24868799999999996</v>
      </c>
      <c r="I357" s="167" t="s">
        <v>147</v>
      </c>
      <c r="J357" s="165">
        <v>30000</v>
      </c>
      <c r="K357" s="29"/>
      <c r="L357" s="51"/>
    </row>
    <row r="358" spans="2:12" x14ac:dyDescent="0.35">
      <c r="B358" s="117"/>
      <c r="C358" s="190"/>
      <c r="D358" s="190" t="s">
        <v>47</v>
      </c>
      <c r="E358" s="111"/>
      <c r="F358" s="112" t="s">
        <v>310</v>
      </c>
      <c r="G358" s="112"/>
      <c r="H358" s="100">
        <v>1</v>
      </c>
      <c r="I358" s="115" t="s">
        <v>105</v>
      </c>
      <c r="J358" s="49">
        <v>3000000</v>
      </c>
      <c r="K358" s="29">
        <f t="shared" ref="K358" si="21">J358*H358</f>
        <v>3000000</v>
      </c>
      <c r="L358" s="51"/>
    </row>
    <row r="359" spans="2:12" x14ac:dyDescent="0.35">
      <c r="B359" s="118"/>
      <c r="C359" s="192"/>
      <c r="D359" s="192"/>
      <c r="E359" s="119"/>
      <c r="F359" s="109" t="s">
        <v>94</v>
      </c>
      <c r="G359" s="109" t="s">
        <v>301</v>
      </c>
      <c r="H359" s="166">
        <v>18.84</v>
      </c>
      <c r="I359" s="167" t="s">
        <v>147</v>
      </c>
      <c r="J359" s="49"/>
      <c r="K359" s="29"/>
      <c r="L359" s="51"/>
    </row>
    <row r="360" spans="2:12" x14ac:dyDescent="0.35">
      <c r="B360" s="118"/>
      <c r="C360" s="192"/>
      <c r="D360" s="192"/>
      <c r="E360" s="119"/>
      <c r="F360" s="109" t="s">
        <v>94</v>
      </c>
      <c r="G360" s="109" t="s">
        <v>302</v>
      </c>
      <c r="H360" s="166">
        <v>3.6172799999999996</v>
      </c>
      <c r="I360" s="167" t="s">
        <v>147</v>
      </c>
      <c r="J360" s="49"/>
      <c r="K360" s="29"/>
      <c r="L360" s="51"/>
    </row>
    <row r="361" spans="2:12" x14ac:dyDescent="0.35">
      <c r="B361" s="120"/>
      <c r="C361" s="193"/>
      <c r="D361" s="193"/>
      <c r="E361" s="121"/>
      <c r="F361" s="109" t="s">
        <v>94</v>
      </c>
      <c r="G361" s="109" t="s">
        <v>303</v>
      </c>
      <c r="H361" s="166">
        <v>10.882097999999999</v>
      </c>
      <c r="I361" s="167" t="s">
        <v>147</v>
      </c>
      <c r="J361" s="49"/>
      <c r="K361" s="29"/>
      <c r="L361" s="51"/>
    </row>
    <row r="362" spans="2:12" x14ac:dyDescent="0.35">
      <c r="B362" s="120"/>
      <c r="C362" s="193"/>
      <c r="D362" s="193"/>
      <c r="E362" s="121"/>
      <c r="F362" s="109" t="s">
        <v>94</v>
      </c>
      <c r="G362" s="109" t="s">
        <v>304</v>
      </c>
      <c r="H362" s="163">
        <v>300</v>
      </c>
      <c r="I362" s="167" t="s">
        <v>153</v>
      </c>
      <c r="J362" s="49"/>
      <c r="K362" s="29"/>
      <c r="L362" s="51"/>
    </row>
    <row r="363" spans="2:12" x14ac:dyDescent="0.35">
      <c r="B363" s="122"/>
      <c r="C363" s="194"/>
      <c r="D363" s="194"/>
      <c r="E363" s="123"/>
      <c r="F363" s="109" t="s">
        <v>94</v>
      </c>
      <c r="G363" s="109" t="s">
        <v>305</v>
      </c>
      <c r="H363" s="163">
        <v>130</v>
      </c>
      <c r="I363" s="167" t="s">
        <v>153</v>
      </c>
      <c r="J363" s="49"/>
      <c r="K363" s="29"/>
      <c r="L363" s="51"/>
    </row>
    <row r="364" spans="2:12" x14ac:dyDescent="0.35">
      <c r="B364" s="120"/>
      <c r="C364" s="193"/>
      <c r="D364" s="193"/>
      <c r="E364" s="121"/>
      <c r="F364" s="109" t="s">
        <v>94</v>
      </c>
      <c r="G364" s="109" t="s">
        <v>306</v>
      </c>
      <c r="H364" s="163">
        <v>300</v>
      </c>
      <c r="I364" s="167" t="s">
        <v>153</v>
      </c>
      <c r="J364" s="49"/>
      <c r="K364" s="29"/>
      <c r="L364" s="51"/>
    </row>
    <row r="365" spans="2:12" x14ac:dyDescent="0.35">
      <c r="B365" s="118"/>
      <c r="C365" s="192"/>
      <c r="D365" s="192"/>
      <c r="E365" s="119"/>
      <c r="F365" s="109" t="s">
        <v>94</v>
      </c>
      <c r="G365" s="109" t="s">
        <v>307</v>
      </c>
      <c r="H365" s="163">
        <v>160</v>
      </c>
      <c r="I365" s="167" t="s">
        <v>153</v>
      </c>
      <c r="J365" s="49"/>
      <c r="K365" s="29"/>
      <c r="L365" s="51"/>
    </row>
    <row r="366" spans="2:12" x14ac:dyDescent="0.35">
      <c r="B366" s="118"/>
      <c r="C366" s="192"/>
      <c r="D366" s="192"/>
      <c r="E366" s="119"/>
      <c r="F366" s="109" t="s">
        <v>94</v>
      </c>
      <c r="G366" s="109" t="s">
        <v>308</v>
      </c>
      <c r="H366" s="166">
        <v>16.484999999999999</v>
      </c>
      <c r="I366" s="167" t="s">
        <v>147</v>
      </c>
      <c r="J366" s="49"/>
      <c r="K366" s="29"/>
      <c r="L366" s="51"/>
    </row>
    <row r="367" spans="2:12" x14ac:dyDescent="0.35">
      <c r="B367" s="118"/>
      <c r="C367" s="192"/>
      <c r="D367" s="192"/>
      <c r="E367" s="119"/>
      <c r="F367" s="109" t="s">
        <v>94</v>
      </c>
      <c r="G367" s="109" t="s">
        <v>309</v>
      </c>
      <c r="H367" s="166">
        <v>0.24868799999999996</v>
      </c>
      <c r="I367" s="167" t="s">
        <v>147</v>
      </c>
      <c r="J367" s="49"/>
      <c r="K367" s="29"/>
      <c r="L367" s="51"/>
    </row>
    <row r="368" spans="2:12" x14ac:dyDescent="0.35">
      <c r="B368" s="116" t="s">
        <v>99</v>
      </c>
      <c r="C368" s="191"/>
      <c r="D368" s="191"/>
      <c r="E368" s="108" t="s">
        <v>120</v>
      </c>
      <c r="F368" s="109"/>
      <c r="G368" s="109"/>
      <c r="H368" s="104"/>
      <c r="I368" s="113"/>
      <c r="J368" s="49"/>
      <c r="K368" s="29"/>
      <c r="L368" s="51"/>
    </row>
    <row r="369" spans="2:12" x14ac:dyDescent="0.35">
      <c r="B369" s="116"/>
      <c r="C369" s="191" t="s">
        <v>311</v>
      </c>
      <c r="D369" s="191"/>
      <c r="E369" s="108"/>
      <c r="F369" s="109" t="s">
        <v>312</v>
      </c>
      <c r="G369" s="109"/>
      <c r="H369" s="104"/>
      <c r="I369" s="113"/>
      <c r="J369" s="49"/>
      <c r="K369" s="29"/>
      <c r="L369" s="51"/>
    </row>
    <row r="370" spans="2:12" x14ac:dyDescent="0.35">
      <c r="B370" s="116"/>
      <c r="C370" s="191"/>
      <c r="D370" s="191" t="s">
        <v>44</v>
      </c>
      <c r="E370" s="108"/>
      <c r="F370" s="109" t="s">
        <v>313</v>
      </c>
      <c r="G370" s="109"/>
      <c r="H370" s="104">
        <v>2</v>
      </c>
      <c r="I370" s="113" t="s">
        <v>155</v>
      </c>
      <c r="J370" s="49">
        <v>800000</v>
      </c>
      <c r="K370" s="29">
        <f t="shared" ref="K370:K371" si="22">J370*H370</f>
        <v>1600000</v>
      </c>
      <c r="L370" s="51"/>
    </row>
    <row r="371" spans="2:12" x14ac:dyDescent="0.35">
      <c r="B371" s="116"/>
      <c r="C371" s="191"/>
      <c r="D371" s="191" t="s">
        <v>47</v>
      </c>
      <c r="E371" s="108"/>
      <c r="F371" s="109" t="s">
        <v>314</v>
      </c>
      <c r="G371" s="109"/>
      <c r="H371" s="104">
        <v>2</v>
      </c>
      <c r="I371" s="113" t="s">
        <v>155</v>
      </c>
      <c r="J371" s="49">
        <v>1500000</v>
      </c>
      <c r="K371" s="29">
        <f t="shared" si="22"/>
        <v>3000000</v>
      </c>
      <c r="L371" s="51"/>
    </row>
    <row r="372" spans="2:12" x14ac:dyDescent="0.35">
      <c r="B372" s="116"/>
      <c r="C372" s="191" t="s">
        <v>315</v>
      </c>
      <c r="D372" s="191"/>
      <c r="E372" s="108"/>
      <c r="F372" s="109" t="s">
        <v>316</v>
      </c>
      <c r="G372" s="109"/>
      <c r="H372" s="104"/>
      <c r="I372" s="113"/>
      <c r="J372" s="49"/>
      <c r="K372" s="29"/>
      <c r="L372" s="51"/>
    </row>
    <row r="373" spans="2:12" x14ac:dyDescent="0.35">
      <c r="B373" s="116"/>
      <c r="C373" s="191"/>
      <c r="D373" s="191" t="s">
        <v>44</v>
      </c>
      <c r="E373" s="108"/>
      <c r="F373" s="109" t="s">
        <v>317</v>
      </c>
      <c r="G373" s="109"/>
      <c r="H373" s="104">
        <v>18</v>
      </c>
      <c r="I373" s="113" t="s">
        <v>257</v>
      </c>
      <c r="J373" s="161">
        <v>200000</v>
      </c>
      <c r="K373" s="29">
        <f t="shared" ref="K373" si="23">J373*H373</f>
        <v>3600000</v>
      </c>
      <c r="L373" s="51"/>
    </row>
    <row r="374" spans="2:12" x14ac:dyDescent="0.35">
      <c r="B374" s="116"/>
      <c r="C374" s="191"/>
      <c r="D374" s="191"/>
      <c r="E374" s="108"/>
      <c r="F374" s="109" t="s">
        <v>94</v>
      </c>
      <c r="G374" s="109" t="s">
        <v>318</v>
      </c>
      <c r="H374" s="104">
        <v>3060</v>
      </c>
      <c r="I374" s="113" t="s">
        <v>153</v>
      </c>
      <c r="J374" s="161">
        <v>462</v>
      </c>
      <c r="K374" s="29"/>
      <c r="L374" s="51">
        <f>J374*H374</f>
        <v>1413720</v>
      </c>
    </row>
    <row r="375" spans="2:12" x14ac:dyDescent="0.35">
      <c r="B375" s="116"/>
      <c r="C375" s="191"/>
      <c r="D375" s="191"/>
      <c r="E375" s="108"/>
      <c r="F375" s="109" t="s">
        <v>94</v>
      </c>
      <c r="G375" s="109" t="s">
        <v>319</v>
      </c>
      <c r="H375" s="104">
        <v>8</v>
      </c>
      <c r="I375" s="113" t="s">
        <v>155</v>
      </c>
      <c r="J375" s="161">
        <v>120000</v>
      </c>
      <c r="K375" s="29"/>
      <c r="L375" s="51">
        <f t="shared" ref="L375:L400" si="24">J375*H375</f>
        <v>960000</v>
      </c>
    </row>
    <row r="376" spans="2:12" x14ac:dyDescent="0.35">
      <c r="B376" s="116"/>
      <c r="C376" s="191"/>
      <c r="D376" s="191"/>
      <c r="E376" s="108"/>
      <c r="F376" s="109" t="s">
        <v>94</v>
      </c>
      <c r="G376" s="109" t="s">
        <v>320</v>
      </c>
      <c r="H376" s="104">
        <v>2</v>
      </c>
      <c r="I376" s="113" t="s">
        <v>155</v>
      </c>
      <c r="J376" s="161">
        <v>195000</v>
      </c>
      <c r="K376" s="29"/>
      <c r="L376" s="51">
        <f t="shared" si="24"/>
        <v>390000</v>
      </c>
    </row>
    <row r="377" spans="2:12" x14ac:dyDescent="0.35">
      <c r="B377" s="116"/>
      <c r="C377" s="191"/>
      <c r="D377" s="191"/>
      <c r="E377" s="108"/>
      <c r="F377" s="109" t="s">
        <v>94</v>
      </c>
      <c r="G377" s="109" t="s">
        <v>269</v>
      </c>
      <c r="H377" s="104">
        <v>2</v>
      </c>
      <c r="I377" s="113" t="s">
        <v>155</v>
      </c>
      <c r="J377" s="161">
        <v>35000</v>
      </c>
      <c r="K377" s="29"/>
      <c r="L377" s="51">
        <f t="shared" si="24"/>
        <v>70000</v>
      </c>
    </row>
    <row r="378" spans="2:12" x14ac:dyDescent="0.35">
      <c r="B378" s="116"/>
      <c r="C378" s="191"/>
      <c r="D378" s="191"/>
      <c r="E378" s="108"/>
      <c r="F378" s="109" t="s">
        <v>94</v>
      </c>
      <c r="G378" s="109" t="s">
        <v>321</v>
      </c>
      <c r="H378" s="104">
        <v>570</v>
      </c>
      <c r="I378" s="113" t="s">
        <v>153</v>
      </c>
      <c r="J378" s="152">
        <v>375</v>
      </c>
      <c r="K378" s="29"/>
      <c r="L378" s="51">
        <f t="shared" si="24"/>
        <v>213750</v>
      </c>
    </row>
    <row r="379" spans="2:12" x14ac:dyDescent="0.35">
      <c r="B379" s="116"/>
      <c r="C379" s="191"/>
      <c r="D379" s="191"/>
      <c r="E379" s="108"/>
      <c r="F379" s="109" t="s">
        <v>94</v>
      </c>
      <c r="G379" s="109" t="s">
        <v>322</v>
      </c>
      <c r="H379" s="104">
        <v>6</v>
      </c>
      <c r="I379" s="113" t="s">
        <v>155</v>
      </c>
      <c r="J379" s="154">
        <v>55000</v>
      </c>
      <c r="K379" s="29"/>
      <c r="L379" s="51">
        <f t="shared" si="24"/>
        <v>330000</v>
      </c>
    </row>
    <row r="380" spans="2:12" x14ac:dyDescent="0.35">
      <c r="B380" s="116"/>
      <c r="C380" s="191"/>
      <c r="D380" s="191"/>
      <c r="E380" s="108"/>
      <c r="F380" s="109" t="s">
        <v>94</v>
      </c>
      <c r="G380" s="109" t="s">
        <v>268</v>
      </c>
      <c r="H380" s="104">
        <v>8</v>
      </c>
      <c r="I380" s="113" t="s">
        <v>155</v>
      </c>
      <c r="J380" s="162">
        <v>35000</v>
      </c>
      <c r="K380" s="29"/>
      <c r="L380" s="51">
        <f t="shared" si="24"/>
        <v>280000</v>
      </c>
    </row>
    <row r="381" spans="2:12" x14ac:dyDescent="0.35">
      <c r="B381" s="116"/>
      <c r="C381" s="191"/>
      <c r="D381" s="191" t="s">
        <v>47</v>
      </c>
      <c r="E381" s="108"/>
      <c r="F381" s="109" t="s">
        <v>323</v>
      </c>
      <c r="G381" s="109"/>
      <c r="H381" s="104">
        <v>5</v>
      </c>
      <c r="I381" s="113" t="s">
        <v>257</v>
      </c>
      <c r="J381" s="154">
        <v>200000</v>
      </c>
      <c r="K381" s="29">
        <f t="shared" ref="K381" si="25">J381*H381</f>
        <v>1000000</v>
      </c>
      <c r="L381" s="51"/>
    </row>
    <row r="382" spans="2:12" x14ac:dyDescent="0.35">
      <c r="B382" s="116"/>
      <c r="C382" s="191"/>
      <c r="D382" s="191"/>
      <c r="E382" s="108"/>
      <c r="F382" s="109" t="s">
        <v>94</v>
      </c>
      <c r="G382" s="109" t="s">
        <v>318</v>
      </c>
      <c r="H382" s="104">
        <v>50</v>
      </c>
      <c r="I382" s="113" t="s">
        <v>153</v>
      </c>
      <c r="J382" s="162">
        <v>462</v>
      </c>
      <c r="K382" s="29"/>
      <c r="L382" s="51">
        <f t="shared" si="24"/>
        <v>23100</v>
      </c>
    </row>
    <row r="383" spans="2:12" x14ac:dyDescent="0.35">
      <c r="B383" s="116"/>
      <c r="C383" s="191"/>
      <c r="D383" s="191"/>
      <c r="E383" s="108"/>
      <c r="F383" s="109" t="s">
        <v>94</v>
      </c>
      <c r="G383" s="109" t="s">
        <v>319</v>
      </c>
      <c r="H383" s="104">
        <v>2</v>
      </c>
      <c r="I383" s="113" t="s">
        <v>155</v>
      </c>
      <c r="J383" s="154">
        <v>120000</v>
      </c>
      <c r="K383" s="29"/>
      <c r="L383" s="51">
        <f t="shared" si="24"/>
        <v>240000</v>
      </c>
    </row>
    <row r="384" spans="2:12" x14ac:dyDescent="0.35">
      <c r="B384" s="116"/>
      <c r="C384" s="191"/>
      <c r="D384" s="191"/>
      <c r="E384" s="108"/>
      <c r="F384" s="109" t="s">
        <v>94</v>
      </c>
      <c r="G384" s="109" t="s">
        <v>324</v>
      </c>
      <c r="H384" s="104">
        <v>1</v>
      </c>
      <c r="I384" s="113" t="s">
        <v>155</v>
      </c>
      <c r="J384" s="155">
        <v>145000</v>
      </c>
      <c r="K384" s="29"/>
      <c r="L384" s="51">
        <f t="shared" si="24"/>
        <v>145000</v>
      </c>
    </row>
    <row r="385" spans="2:12" x14ac:dyDescent="0.35">
      <c r="B385" s="116"/>
      <c r="C385" s="191"/>
      <c r="D385" s="191"/>
      <c r="E385" s="108"/>
      <c r="F385" s="109" t="s">
        <v>94</v>
      </c>
      <c r="G385" s="109" t="s">
        <v>321</v>
      </c>
      <c r="H385" s="104">
        <v>150</v>
      </c>
      <c r="I385" s="113" t="s">
        <v>153</v>
      </c>
      <c r="J385" s="162">
        <v>375</v>
      </c>
      <c r="K385" s="29"/>
      <c r="L385" s="51">
        <f t="shared" si="24"/>
        <v>56250</v>
      </c>
    </row>
    <row r="386" spans="2:12" x14ac:dyDescent="0.35">
      <c r="B386" s="116"/>
      <c r="C386" s="191"/>
      <c r="D386" s="191"/>
      <c r="E386" s="108"/>
      <c r="F386" s="109" t="s">
        <v>94</v>
      </c>
      <c r="G386" s="109" t="s">
        <v>322</v>
      </c>
      <c r="H386" s="104">
        <v>2</v>
      </c>
      <c r="I386" s="113" t="s">
        <v>155</v>
      </c>
      <c r="J386" s="154">
        <v>55000</v>
      </c>
      <c r="K386" s="29"/>
      <c r="L386" s="51">
        <f t="shared" si="24"/>
        <v>110000</v>
      </c>
    </row>
    <row r="387" spans="2:12" x14ac:dyDescent="0.35">
      <c r="B387" s="116"/>
      <c r="C387" s="191"/>
      <c r="D387" s="191" t="s">
        <v>49</v>
      </c>
      <c r="E387" s="108"/>
      <c r="F387" s="109" t="s">
        <v>325</v>
      </c>
      <c r="G387" s="109"/>
      <c r="H387" s="104">
        <v>8</v>
      </c>
      <c r="I387" s="113" t="s">
        <v>257</v>
      </c>
      <c r="J387" s="154">
        <v>200000</v>
      </c>
      <c r="K387" s="29">
        <f t="shared" ref="K387" si="26">J387*H387</f>
        <v>1600000</v>
      </c>
      <c r="L387" s="51"/>
    </row>
    <row r="388" spans="2:12" x14ac:dyDescent="0.35">
      <c r="B388" s="116"/>
      <c r="C388" s="191"/>
      <c r="D388" s="191"/>
      <c r="E388" s="108"/>
      <c r="F388" s="109" t="s">
        <v>94</v>
      </c>
      <c r="G388" s="109" t="s">
        <v>318</v>
      </c>
      <c r="H388" s="104">
        <v>140</v>
      </c>
      <c r="I388" s="113" t="s">
        <v>153</v>
      </c>
      <c r="J388" s="162">
        <v>462</v>
      </c>
      <c r="K388" s="29"/>
      <c r="L388" s="51">
        <f t="shared" si="24"/>
        <v>64680</v>
      </c>
    </row>
    <row r="389" spans="2:12" x14ac:dyDescent="0.35">
      <c r="B389" s="116"/>
      <c r="C389" s="191"/>
      <c r="D389" s="191"/>
      <c r="E389" s="108"/>
      <c r="F389" s="109" t="s">
        <v>94</v>
      </c>
      <c r="G389" s="109" t="s">
        <v>319</v>
      </c>
      <c r="H389" s="104">
        <v>2</v>
      </c>
      <c r="I389" s="113" t="s">
        <v>155</v>
      </c>
      <c r="J389" s="154">
        <v>120000</v>
      </c>
      <c r="K389" s="29"/>
      <c r="L389" s="51">
        <f t="shared" si="24"/>
        <v>240000</v>
      </c>
    </row>
    <row r="390" spans="2:12" x14ac:dyDescent="0.35">
      <c r="B390" s="116"/>
      <c r="C390" s="191"/>
      <c r="D390" s="191"/>
      <c r="E390" s="108"/>
      <c r="F390" s="109" t="s">
        <v>94</v>
      </c>
      <c r="G390" s="109" t="s">
        <v>326</v>
      </c>
      <c r="H390" s="104">
        <v>1</v>
      </c>
      <c r="I390" s="113" t="s">
        <v>155</v>
      </c>
      <c r="J390" s="155">
        <v>145000</v>
      </c>
      <c r="K390" s="29"/>
      <c r="L390" s="51">
        <f t="shared" si="24"/>
        <v>145000</v>
      </c>
    </row>
    <row r="391" spans="2:12" x14ac:dyDescent="0.35">
      <c r="B391" s="116"/>
      <c r="C391" s="191"/>
      <c r="D391" s="191"/>
      <c r="E391" s="108"/>
      <c r="F391" s="109" t="s">
        <v>94</v>
      </c>
      <c r="G391" s="109" t="s">
        <v>327</v>
      </c>
      <c r="H391" s="104">
        <v>2</v>
      </c>
      <c r="I391" s="113" t="s">
        <v>155</v>
      </c>
      <c r="J391" s="49">
        <v>60000</v>
      </c>
      <c r="K391" s="29"/>
      <c r="L391" s="51">
        <f t="shared" si="24"/>
        <v>120000</v>
      </c>
    </row>
    <row r="392" spans="2:12" x14ac:dyDescent="0.35">
      <c r="B392" s="116"/>
      <c r="C392" s="191"/>
      <c r="D392" s="191"/>
      <c r="E392" s="108"/>
      <c r="F392" s="109" t="s">
        <v>94</v>
      </c>
      <c r="G392" s="109" t="s">
        <v>321</v>
      </c>
      <c r="H392" s="104">
        <v>120</v>
      </c>
      <c r="I392" s="113" t="s">
        <v>153</v>
      </c>
      <c r="J392" s="49">
        <v>375</v>
      </c>
      <c r="K392" s="29"/>
      <c r="L392" s="51">
        <f t="shared" si="24"/>
        <v>45000</v>
      </c>
    </row>
    <row r="393" spans="2:12" x14ac:dyDescent="0.35">
      <c r="B393" s="116"/>
      <c r="C393" s="191"/>
      <c r="D393" s="191"/>
      <c r="E393" s="108"/>
      <c r="F393" s="109" t="s">
        <v>94</v>
      </c>
      <c r="G393" s="109" t="s">
        <v>322</v>
      </c>
      <c r="H393" s="104">
        <v>2</v>
      </c>
      <c r="I393" s="113" t="s">
        <v>155</v>
      </c>
      <c r="J393" s="49">
        <v>55000</v>
      </c>
      <c r="K393" s="29"/>
      <c r="L393" s="51">
        <f t="shared" si="24"/>
        <v>110000</v>
      </c>
    </row>
    <row r="394" spans="2:12" x14ac:dyDescent="0.35">
      <c r="B394" s="116"/>
      <c r="C394" s="191"/>
      <c r="D394" s="191"/>
      <c r="E394" s="108"/>
      <c r="F394" s="109" t="s">
        <v>94</v>
      </c>
      <c r="G394" s="109" t="s">
        <v>328</v>
      </c>
      <c r="H394" s="104">
        <v>1</v>
      </c>
      <c r="I394" s="113" t="s">
        <v>155</v>
      </c>
      <c r="J394" s="49">
        <v>200000</v>
      </c>
      <c r="K394" s="29"/>
      <c r="L394" s="51">
        <f t="shared" si="24"/>
        <v>200000</v>
      </c>
    </row>
    <row r="395" spans="2:12" x14ac:dyDescent="0.35">
      <c r="B395" s="116"/>
      <c r="C395" s="191"/>
      <c r="D395" s="191" t="s">
        <v>51</v>
      </c>
      <c r="E395" s="108"/>
      <c r="F395" s="109" t="s">
        <v>329</v>
      </c>
      <c r="G395" s="109"/>
      <c r="H395" s="104">
        <v>4</v>
      </c>
      <c r="I395" s="113" t="s">
        <v>257</v>
      </c>
      <c r="J395" s="154">
        <v>200000</v>
      </c>
      <c r="K395" s="29">
        <f t="shared" ref="K395" si="27">J395*H395</f>
        <v>800000</v>
      </c>
      <c r="L395" s="51"/>
    </row>
    <row r="396" spans="2:12" x14ac:dyDescent="0.35">
      <c r="B396" s="116"/>
      <c r="C396" s="191"/>
      <c r="D396" s="191"/>
      <c r="E396" s="108"/>
      <c r="F396" s="109" t="s">
        <v>94</v>
      </c>
      <c r="G396" s="109" t="s">
        <v>318</v>
      </c>
      <c r="H396" s="104">
        <v>130</v>
      </c>
      <c r="I396" s="113" t="s">
        <v>153</v>
      </c>
      <c r="J396" s="162">
        <v>462</v>
      </c>
      <c r="K396" s="29"/>
      <c r="L396" s="51">
        <f t="shared" si="24"/>
        <v>60060</v>
      </c>
    </row>
    <row r="397" spans="2:12" x14ac:dyDescent="0.35">
      <c r="B397" s="116"/>
      <c r="C397" s="191"/>
      <c r="D397" s="191"/>
      <c r="E397" s="108"/>
      <c r="F397" s="109" t="s">
        <v>94</v>
      </c>
      <c r="G397" s="109" t="s">
        <v>319</v>
      </c>
      <c r="H397" s="104">
        <v>1</v>
      </c>
      <c r="I397" s="113" t="s">
        <v>155</v>
      </c>
      <c r="J397" s="154">
        <v>120000</v>
      </c>
      <c r="K397" s="29"/>
      <c r="L397" s="51">
        <f t="shared" si="24"/>
        <v>120000</v>
      </c>
    </row>
    <row r="398" spans="2:12" x14ac:dyDescent="0.35">
      <c r="B398" s="116"/>
      <c r="C398" s="191"/>
      <c r="D398" s="191"/>
      <c r="E398" s="108"/>
      <c r="F398" s="109" t="s">
        <v>94</v>
      </c>
      <c r="G398" s="109" t="s">
        <v>324</v>
      </c>
      <c r="H398" s="104">
        <v>1</v>
      </c>
      <c r="I398" s="113" t="s">
        <v>155</v>
      </c>
      <c r="J398" s="155">
        <v>145000</v>
      </c>
      <c r="K398" s="29"/>
      <c r="L398" s="51">
        <f t="shared" si="24"/>
        <v>145000</v>
      </c>
    </row>
    <row r="399" spans="2:12" x14ac:dyDescent="0.35">
      <c r="B399" s="116"/>
      <c r="C399" s="191"/>
      <c r="D399" s="191"/>
      <c r="E399" s="108"/>
      <c r="F399" s="109" t="s">
        <v>94</v>
      </c>
      <c r="G399" s="109" t="s">
        <v>321</v>
      </c>
      <c r="H399" s="104">
        <v>150</v>
      </c>
      <c r="I399" s="113" t="s">
        <v>153</v>
      </c>
      <c r="J399" s="49">
        <v>375</v>
      </c>
      <c r="K399" s="29"/>
      <c r="L399" s="51">
        <f t="shared" si="24"/>
        <v>56250</v>
      </c>
    </row>
    <row r="400" spans="2:12" x14ac:dyDescent="0.35">
      <c r="B400" s="116"/>
      <c r="C400" s="191"/>
      <c r="D400" s="191"/>
      <c r="E400" s="108"/>
      <c r="F400" s="109" t="s">
        <v>94</v>
      </c>
      <c r="G400" s="109" t="s">
        <v>322</v>
      </c>
      <c r="H400" s="104">
        <v>2</v>
      </c>
      <c r="I400" s="113" t="s">
        <v>155</v>
      </c>
      <c r="J400" s="49">
        <v>55000</v>
      </c>
      <c r="K400" s="29"/>
      <c r="L400" s="51">
        <f t="shared" si="24"/>
        <v>110000</v>
      </c>
    </row>
    <row r="401" spans="2:12" x14ac:dyDescent="0.35">
      <c r="B401" s="47"/>
      <c r="C401" s="183"/>
      <c r="D401" s="24"/>
      <c r="G401" s="22"/>
      <c r="I401" s="22"/>
      <c r="J401" s="49"/>
      <c r="K401" s="29"/>
      <c r="L401" s="51"/>
    </row>
    <row r="402" spans="2:12" x14ac:dyDescent="0.35">
      <c r="B402" s="8"/>
      <c r="C402" s="9"/>
      <c r="D402" s="10"/>
      <c r="E402" s="4"/>
      <c r="F402" s="4"/>
      <c r="G402" s="4"/>
      <c r="H402" s="1"/>
      <c r="I402" s="1"/>
      <c r="J402" s="11" t="s">
        <v>8</v>
      </c>
      <c r="K402" s="7">
        <f>SUM(K350:K401)</f>
        <v>14600000</v>
      </c>
      <c r="L402" s="7">
        <f>SUM(L350:L401)</f>
        <v>5647810</v>
      </c>
    </row>
    <row r="403" spans="2:12" x14ac:dyDescent="0.35">
      <c r="B403" s="8"/>
      <c r="C403" s="9"/>
      <c r="D403" s="9"/>
      <c r="E403" s="4"/>
      <c r="F403" s="4"/>
      <c r="G403" s="4"/>
      <c r="H403" s="1"/>
      <c r="I403" s="1"/>
      <c r="J403" s="11"/>
      <c r="K403" s="35" t="s">
        <v>21</v>
      </c>
      <c r="L403" s="36" t="s">
        <v>22</v>
      </c>
    </row>
    <row r="404" spans="2:12" x14ac:dyDescent="0.35">
      <c r="B404" s="3" t="s">
        <v>9</v>
      </c>
      <c r="C404" s="4"/>
      <c r="D404" s="4"/>
      <c r="E404" s="4"/>
      <c r="F404" s="4"/>
      <c r="G404" s="4"/>
      <c r="H404" s="1"/>
      <c r="I404" s="1"/>
      <c r="J404" s="12"/>
      <c r="K404" s="12"/>
      <c r="L404" s="13"/>
    </row>
    <row r="405" spans="2:12" x14ac:dyDescent="0.35">
      <c r="B405" s="37"/>
      <c r="C405" s="1"/>
      <c r="D405" s="1"/>
      <c r="E405" s="38"/>
      <c r="F405" s="38"/>
      <c r="G405" s="38"/>
      <c r="H405" s="1"/>
      <c r="I405" s="1"/>
      <c r="J405" s="1"/>
      <c r="K405" s="1"/>
      <c r="L405" s="19"/>
    </row>
    <row r="406" spans="2:12" x14ac:dyDescent="0.35">
      <c r="B406" s="28" t="s">
        <v>6</v>
      </c>
      <c r="C406" s="27"/>
      <c r="D406" s="27"/>
      <c r="E406" s="26"/>
      <c r="F406" s="26"/>
      <c r="G406" s="5"/>
      <c r="K406" s="271" t="s">
        <v>42</v>
      </c>
      <c r="L406" s="272"/>
    </row>
    <row r="407" spans="2:12" x14ac:dyDescent="0.35">
      <c r="B407" s="28">
        <v>1</v>
      </c>
      <c r="C407" s="27"/>
      <c r="D407" s="27"/>
      <c r="E407" s="26" t="s">
        <v>7</v>
      </c>
      <c r="F407" s="26"/>
      <c r="G407" s="5"/>
      <c r="K407" s="271" t="s">
        <v>27</v>
      </c>
      <c r="L407" s="272"/>
    </row>
    <row r="408" spans="2:12" x14ac:dyDescent="0.35">
      <c r="B408" s="39"/>
      <c r="C408" s="27"/>
      <c r="D408" s="27"/>
      <c r="E408" s="26"/>
      <c r="F408" s="26"/>
      <c r="G408" s="5"/>
      <c r="J408" s="25"/>
      <c r="K408" s="25"/>
      <c r="L408" s="24"/>
    </row>
    <row r="409" spans="2:12" x14ac:dyDescent="0.35">
      <c r="B409" s="28"/>
      <c r="C409" s="27"/>
      <c r="D409" s="27"/>
      <c r="E409" s="26"/>
      <c r="F409" s="26"/>
      <c r="G409" s="5"/>
      <c r="L409" s="22"/>
    </row>
    <row r="410" spans="2:12" x14ac:dyDescent="0.35">
      <c r="B410" s="45"/>
      <c r="E410" s="5"/>
      <c r="F410" s="5"/>
      <c r="G410" s="5"/>
      <c r="L410" s="22"/>
    </row>
    <row r="411" spans="2:12" x14ac:dyDescent="0.35">
      <c r="B411" s="45"/>
      <c r="E411" s="5"/>
      <c r="F411" s="5"/>
      <c r="G411" s="5"/>
      <c r="L411" s="22"/>
    </row>
    <row r="412" spans="2:12" x14ac:dyDescent="0.35">
      <c r="B412" s="45"/>
      <c r="E412" s="5"/>
      <c r="F412" s="5"/>
      <c r="G412" s="5"/>
      <c r="L412" s="22"/>
    </row>
    <row r="413" spans="2:12" x14ac:dyDescent="0.35">
      <c r="B413" s="45"/>
      <c r="E413" s="5"/>
      <c r="F413" s="5"/>
      <c r="G413" s="5"/>
      <c r="J413" s="40"/>
      <c r="K413" s="273" t="s">
        <v>35</v>
      </c>
      <c r="L413" s="274"/>
    </row>
    <row r="414" spans="2:12" x14ac:dyDescent="0.35">
      <c r="B414" s="45"/>
      <c r="K414" s="277" t="s">
        <v>36</v>
      </c>
      <c r="L414" s="278"/>
    </row>
    <row r="415" spans="2:12" x14ac:dyDescent="0.35">
      <c r="B415" s="275"/>
      <c r="C415" s="276"/>
      <c r="D415" s="276"/>
      <c r="E415" s="41"/>
      <c r="F415" s="41"/>
      <c r="G415" s="41"/>
      <c r="H415" s="2"/>
      <c r="I415" s="2"/>
      <c r="J415" s="2"/>
      <c r="K415" s="2"/>
      <c r="L415" s="21"/>
    </row>
    <row r="416" spans="2:12" x14ac:dyDescent="0.35">
      <c r="B416" s="47"/>
      <c r="C416" s="183"/>
      <c r="D416" s="48"/>
      <c r="G416" s="22"/>
      <c r="H416" s="1"/>
      <c r="I416" s="1"/>
      <c r="J416" s="43"/>
      <c r="K416" s="30"/>
      <c r="L416" s="44"/>
    </row>
    <row r="417" spans="2:12" x14ac:dyDescent="0.35">
      <c r="B417" s="116"/>
      <c r="C417" s="191" t="s">
        <v>330</v>
      </c>
      <c r="D417" s="191"/>
      <c r="E417" s="108"/>
      <c r="F417" s="109" t="s">
        <v>331</v>
      </c>
      <c r="G417" s="109"/>
      <c r="H417" s="104"/>
      <c r="I417" s="113"/>
      <c r="J417" s="29"/>
      <c r="K417" s="50"/>
      <c r="L417" s="46"/>
    </row>
    <row r="418" spans="2:12" x14ac:dyDescent="0.35">
      <c r="B418" s="116"/>
      <c r="C418" s="191"/>
      <c r="D418" s="191" t="s">
        <v>44</v>
      </c>
      <c r="E418" s="108"/>
      <c r="F418" s="109" t="s">
        <v>332</v>
      </c>
      <c r="G418" s="109"/>
      <c r="H418" s="104">
        <v>18</v>
      </c>
      <c r="I418" s="113" t="s">
        <v>257</v>
      </c>
      <c r="J418" s="154">
        <v>200000</v>
      </c>
      <c r="K418" s="29">
        <f t="shared" ref="K418" si="28">J418*H418</f>
        <v>3600000</v>
      </c>
      <c r="L418" s="51"/>
    </row>
    <row r="419" spans="2:12" x14ac:dyDescent="0.35">
      <c r="B419" s="116"/>
      <c r="C419" s="191"/>
      <c r="D419" s="191"/>
      <c r="E419" s="108"/>
      <c r="F419" s="109" t="s">
        <v>94</v>
      </c>
      <c r="G419" s="109" t="s">
        <v>318</v>
      </c>
      <c r="H419" s="104">
        <v>3050</v>
      </c>
      <c r="I419" s="113" t="s">
        <v>153</v>
      </c>
      <c r="J419" s="161">
        <v>462</v>
      </c>
      <c r="K419" s="29"/>
      <c r="L419" s="51">
        <f t="shared" ref="L419:L449" si="29">J419*H419</f>
        <v>1409100</v>
      </c>
    </row>
    <row r="420" spans="2:12" x14ac:dyDescent="0.35">
      <c r="B420" s="116"/>
      <c r="C420" s="191"/>
      <c r="D420" s="191"/>
      <c r="E420" s="108"/>
      <c r="F420" s="109" t="s">
        <v>94</v>
      </c>
      <c r="G420" s="109" t="s">
        <v>319</v>
      </c>
      <c r="H420" s="104">
        <v>8</v>
      </c>
      <c r="I420" s="113" t="s">
        <v>155</v>
      </c>
      <c r="J420" s="152">
        <v>120000</v>
      </c>
      <c r="K420" s="29"/>
      <c r="L420" s="51">
        <f t="shared" si="29"/>
        <v>960000</v>
      </c>
    </row>
    <row r="421" spans="2:12" x14ac:dyDescent="0.35">
      <c r="B421" s="116"/>
      <c r="C421" s="191"/>
      <c r="D421" s="191"/>
      <c r="E421" s="108"/>
      <c r="F421" s="109" t="s">
        <v>94</v>
      </c>
      <c r="G421" s="109" t="s">
        <v>320</v>
      </c>
      <c r="H421" s="104">
        <v>2</v>
      </c>
      <c r="I421" s="113" t="s">
        <v>155</v>
      </c>
      <c r="J421" s="152">
        <v>195000</v>
      </c>
      <c r="K421" s="29"/>
      <c r="L421" s="51">
        <f t="shared" si="29"/>
        <v>390000</v>
      </c>
    </row>
    <row r="422" spans="2:12" x14ac:dyDescent="0.35">
      <c r="B422" s="116"/>
      <c r="C422" s="191"/>
      <c r="D422" s="191"/>
      <c r="E422" s="108"/>
      <c r="F422" s="109" t="s">
        <v>94</v>
      </c>
      <c r="G422" s="109" t="s">
        <v>261</v>
      </c>
      <c r="H422" s="104">
        <v>2</v>
      </c>
      <c r="I422" s="113" t="s">
        <v>155</v>
      </c>
      <c r="J422" s="152">
        <v>35000</v>
      </c>
      <c r="K422" s="29"/>
      <c r="L422" s="51">
        <f t="shared" si="29"/>
        <v>70000</v>
      </c>
    </row>
    <row r="423" spans="2:12" x14ac:dyDescent="0.35">
      <c r="B423" s="116"/>
      <c r="C423" s="191"/>
      <c r="D423" s="191"/>
      <c r="E423" s="108"/>
      <c r="F423" s="109" t="s">
        <v>94</v>
      </c>
      <c r="G423" s="109" t="s">
        <v>321</v>
      </c>
      <c r="H423" s="104">
        <v>520</v>
      </c>
      <c r="I423" s="113" t="s">
        <v>153</v>
      </c>
      <c r="J423" s="152">
        <v>375</v>
      </c>
      <c r="K423" s="29"/>
      <c r="L423" s="51">
        <f t="shared" si="29"/>
        <v>195000</v>
      </c>
    </row>
    <row r="424" spans="2:12" x14ac:dyDescent="0.35">
      <c r="B424" s="116"/>
      <c r="C424" s="191"/>
      <c r="D424" s="191"/>
      <c r="E424" s="108"/>
      <c r="F424" s="109" t="s">
        <v>94</v>
      </c>
      <c r="G424" s="109" t="s">
        <v>322</v>
      </c>
      <c r="H424" s="104">
        <v>6</v>
      </c>
      <c r="I424" s="113" t="s">
        <v>155</v>
      </c>
      <c r="J424" s="152">
        <v>55000</v>
      </c>
      <c r="K424" s="29"/>
      <c r="L424" s="51">
        <f t="shared" si="29"/>
        <v>330000</v>
      </c>
    </row>
    <row r="425" spans="2:12" x14ac:dyDescent="0.35">
      <c r="B425" s="116"/>
      <c r="C425" s="191"/>
      <c r="D425" s="191"/>
      <c r="E425" s="108"/>
      <c r="F425" s="109" t="s">
        <v>94</v>
      </c>
      <c r="G425" s="109" t="s">
        <v>268</v>
      </c>
      <c r="H425" s="104">
        <v>8</v>
      </c>
      <c r="I425" s="113" t="s">
        <v>155</v>
      </c>
      <c r="J425" s="152">
        <v>35000</v>
      </c>
      <c r="K425" s="29"/>
      <c r="L425" s="51">
        <f t="shared" si="29"/>
        <v>280000</v>
      </c>
    </row>
    <row r="426" spans="2:12" x14ac:dyDescent="0.35">
      <c r="B426" s="116"/>
      <c r="C426" s="191"/>
      <c r="D426" s="191" t="s">
        <v>47</v>
      </c>
      <c r="E426" s="108"/>
      <c r="F426" s="109" t="s">
        <v>333</v>
      </c>
      <c r="G426" s="109"/>
      <c r="H426" s="104">
        <v>4</v>
      </c>
      <c r="I426" s="113" t="s">
        <v>257</v>
      </c>
      <c r="J426" s="153">
        <v>200000</v>
      </c>
      <c r="K426" s="29">
        <f t="shared" ref="K426" si="30">J426*H426</f>
        <v>800000</v>
      </c>
      <c r="L426" s="51"/>
    </row>
    <row r="427" spans="2:12" x14ac:dyDescent="0.35">
      <c r="B427" s="116"/>
      <c r="C427" s="191"/>
      <c r="D427" s="191"/>
      <c r="E427" s="108"/>
      <c r="F427" s="109" t="s">
        <v>94</v>
      </c>
      <c r="G427" s="109" t="s">
        <v>318</v>
      </c>
      <c r="H427" s="104">
        <v>50</v>
      </c>
      <c r="I427" s="113" t="s">
        <v>153</v>
      </c>
      <c r="J427" s="154">
        <v>462</v>
      </c>
      <c r="K427" s="29"/>
      <c r="L427" s="51">
        <f t="shared" si="29"/>
        <v>23100</v>
      </c>
    </row>
    <row r="428" spans="2:12" x14ac:dyDescent="0.35">
      <c r="B428" s="116"/>
      <c r="C428" s="191"/>
      <c r="D428" s="191"/>
      <c r="E428" s="108"/>
      <c r="F428" s="109" t="s">
        <v>94</v>
      </c>
      <c r="G428" s="109" t="s">
        <v>319</v>
      </c>
      <c r="H428" s="104">
        <v>2</v>
      </c>
      <c r="I428" s="113" t="s">
        <v>155</v>
      </c>
      <c r="J428" s="152">
        <v>120000</v>
      </c>
      <c r="K428" s="29"/>
      <c r="L428" s="51">
        <f t="shared" si="29"/>
        <v>240000</v>
      </c>
    </row>
    <row r="429" spans="2:12" x14ac:dyDescent="0.35">
      <c r="B429" s="116"/>
      <c r="C429" s="191"/>
      <c r="D429" s="191"/>
      <c r="E429" s="108"/>
      <c r="F429" s="109" t="s">
        <v>94</v>
      </c>
      <c r="G429" s="109" t="s">
        <v>324</v>
      </c>
      <c r="H429" s="104">
        <v>1</v>
      </c>
      <c r="I429" s="113" t="s">
        <v>155</v>
      </c>
      <c r="J429" s="152">
        <v>145000</v>
      </c>
      <c r="K429" s="29"/>
      <c r="L429" s="51">
        <f t="shared" si="29"/>
        <v>145000</v>
      </c>
    </row>
    <row r="430" spans="2:12" x14ac:dyDescent="0.35">
      <c r="B430" s="116"/>
      <c r="C430" s="191"/>
      <c r="D430" s="191"/>
      <c r="E430" s="108"/>
      <c r="F430" s="109" t="s">
        <v>94</v>
      </c>
      <c r="G430" s="109" t="s">
        <v>334</v>
      </c>
      <c r="H430" s="104">
        <v>2</v>
      </c>
      <c r="I430" s="113" t="s">
        <v>155</v>
      </c>
      <c r="J430" s="161">
        <v>35000</v>
      </c>
      <c r="K430" s="29"/>
      <c r="L430" s="51">
        <f t="shared" si="29"/>
        <v>70000</v>
      </c>
    </row>
    <row r="431" spans="2:12" x14ac:dyDescent="0.35">
      <c r="B431" s="116"/>
      <c r="C431" s="191"/>
      <c r="D431" s="191"/>
      <c r="E431" s="108"/>
      <c r="F431" s="109" t="s">
        <v>94</v>
      </c>
      <c r="G431" s="109" t="s">
        <v>335</v>
      </c>
      <c r="H431" s="104">
        <v>1</v>
      </c>
      <c r="I431" s="113" t="s">
        <v>155</v>
      </c>
      <c r="J431" s="161">
        <v>60000</v>
      </c>
      <c r="K431" s="29"/>
      <c r="L431" s="51">
        <f t="shared" si="29"/>
        <v>60000</v>
      </c>
    </row>
    <row r="432" spans="2:12" x14ac:dyDescent="0.35">
      <c r="B432" s="116"/>
      <c r="C432" s="191"/>
      <c r="D432" s="191"/>
      <c r="E432" s="108"/>
      <c r="F432" s="109" t="s">
        <v>94</v>
      </c>
      <c r="G432" s="109" t="s">
        <v>321</v>
      </c>
      <c r="H432" s="104">
        <v>280</v>
      </c>
      <c r="I432" s="113" t="s">
        <v>153</v>
      </c>
      <c r="J432" s="161">
        <v>375</v>
      </c>
      <c r="K432" s="29"/>
      <c r="L432" s="51">
        <f t="shared" si="29"/>
        <v>105000</v>
      </c>
    </row>
    <row r="433" spans="2:12" x14ac:dyDescent="0.35">
      <c r="B433" s="116"/>
      <c r="C433" s="191"/>
      <c r="D433" s="191"/>
      <c r="E433" s="108"/>
      <c r="F433" s="109" t="s">
        <v>94</v>
      </c>
      <c r="G433" s="109" t="s">
        <v>322</v>
      </c>
      <c r="H433" s="104">
        <v>2</v>
      </c>
      <c r="I433" s="113" t="s">
        <v>155</v>
      </c>
      <c r="J433" s="161">
        <v>55000</v>
      </c>
      <c r="K433" s="29"/>
      <c r="L433" s="51">
        <f t="shared" si="29"/>
        <v>110000</v>
      </c>
    </row>
    <row r="434" spans="2:12" x14ac:dyDescent="0.35">
      <c r="B434" s="116"/>
      <c r="C434" s="191"/>
      <c r="D434" s="191" t="s">
        <v>49</v>
      </c>
      <c r="E434" s="108"/>
      <c r="F434" s="109" t="s">
        <v>336</v>
      </c>
      <c r="G434" s="109"/>
      <c r="H434" s="104">
        <v>3</v>
      </c>
      <c r="I434" s="113" t="s">
        <v>257</v>
      </c>
      <c r="J434" s="161">
        <v>200000</v>
      </c>
      <c r="K434" s="29">
        <f t="shared" ref="K434" si="31">J434*H434</f>
        <v>600000</v>
      </c>
      <c r="L434" s="51"/>
    </row>
    <row r="435" spans="2:12" x14ac:dyDescent="0.35">
      <c r="B435" s="116"/>
      <c r="C435" s="191"/>
      <c r="D435" s="191"/>
      <c r="E435" s="108"/>
      <c r="F435" s="109" t="s">
        <v>94</v>
      </c>
      <c r="G435" s="109" t="s">
        <v>318</v>
      </c>
      <c r="H435" s="104">
        <v>150</v>
      </c>
      <c r="I435" s="113" t="s">
        <v>153</v>
      </c>
      <c r="J435" s="152">
        <v>462</v>
      </c>
      <c r="K435" s="29"/>
      <c r="L435" s="51">
        <f t="shared" si="29"/>
        <v>69300</v>
      </c>
    </row>
    <row r="436" spans="2:12" x14ac:dyDescent="0.35">
      <c r="B436" s="116"/>
      <c r="C436" s="191"/>
      <c r="D436" s="191"/>
      <c r="E436" s="108"/>
      <c r="F436" s="109" t="s">
        <v>94</v>
      </c>
      <c r="G436" s="109" t="s">
        <v>319</v>
      </c>
      <c r="H436" s="104">
        <v>1</v>
      </c>
      <c r="I436" s="113" t="s">
        <v>155</v>
      </c>
      <c r="J436" s="152">
        <v>120000</v>
      </c>
      <c r="K436" s="29"/>
      <c r="L436" s="51">
        <f t="shared" si="29"/>
        <v>120000</v>
      </c>
    </row>
    <row r="437" spans="2:12" x14ac:dyDescent="0.35">
      <c r="B437" s="116"/>
      <c r="C437" s="191"/>
      <c r="D437" s="191"/>
      <c r="E437" s="108"/>
      <c r="F437" s="109" t="s">
        <v>94</v>
      </c>
      <c r="G437" s="109" t="s">
        <v>324</v>
      </c>
      <c r="H437" s="104">
        <v>1</v>
      </c>
      <c r="I437" s="113" t="s">
        <v>155</v>
      </c>
      <c r="J437" s="49">
        <v>145000</v>
      </c>
      <c r="K437" s="29"/>
      <c r="L437" s="51">
        <f t="shared" si="29"/>
        <v>145000</v>
      </c>
    </row>
    <row r="438" spans="2:12" x14ac:dyDescent="0.35">
      <c r="B438" s="116"/>
      <c r="C438" s="191"/>
      <c r="D438" s="191"/>
      <c r="E438" s="108"/>
      <c r="F438" s="109" t="s">
        <v>94</v>
      </c>
      <c r="G438" s="109" t="s">
        <v>334</v>
      </c>
      <c r="H438" s="104">
        <v>2</v>
      </c>
      <c r="I438" s="113" t="s">
        <v>155</v>
      </c>
      <c r="J438" s="49">
        <v>35000</v>
      </c>
      <c r="K438" s="29"/>
      <c r="L438" s="51">
        <f t="shared" si="29"/>
        <v>70000</v>
      </c>
    </row>
    <row r="439" spans="2:12" x14ac:dyDescent="0.35">
      <c r="B439" s="116"/>
      <c r="C439" s="191"/>
      <c r="D439" s="191"/>
      <c r="E439" s="108"/>
      <c r="F439" s="109" t="s">
        <v>94</v>
      </c>
      <c r="G439" s="109" t="s">
        <v>335</v>
      </c>
      <c r="H439" s="104">
        <v>1</v>
      </c>
      <c r="I439" s="113" t="s">
        <v>155</v>
      </c>
      <c r="J439" s="49">
        <v>60000</v>
      </c>
      <c r="K439" s="29"/>
      <c r="L439" s="51">
        <f t="shared" si="29"/>
        <v>60000</v>
      </c>
    </row>
    <row r="440" spans="2:12" x14ac:dyDescent="0.35">
      <c r="B440" s="116"/>
      <c r="C440" s="191"/>
      <c r="D440" s="191"/>
      <c r="E440" s="108"/>
      <c r="F440" s="109" t="s">
        <v>94</v>
      </c>
      <c r="G440" s="109" t="s">
        <v>321</v>
      </c>
      <c r="H440" s="104">
        <v>150</v>
      </c>
      <c r="I440" s="113" t="s">
        <v>153</v>
      </c>
      <c r="J440" s="49">
        <v>375</v>
      </c>
      <c r="K440" s="29"/>
      <c r="L440" s="51">
        <f t="shared" si="29"/>
        <v>56250</v>
      </c>
    </row>
    <row r="441" spans="2:12" x14ac:dyDescent="0.35">
      <c r="B441" s="116"/>
      <c r="C441" s="191"/>
      <c r="D441" s="191"/>
      <c r="E441" s="108"/>
      <c r="F441" s="109" t="s">
        <v>94</v>
      </c>
      <c r="G441" s="109" t="s">
        <v>322</v>
      </c>
      <c r="H441" s="104">
        <v>2</v>
      </c>
      <c r="I441" s="113" t="s">
        <v>155</v>
      </c>
      <c r="J441" s="49">
        <v>55000</v>
      </c>
      <c r="K441" s="29"/>
      <c r="L441" s="51">
        <f t="shared" si="29"/>
        <v>110000</v>
      </c>
    </row>
    <row r="442" spans="2:12" x14ac:dyDescent="0.35">
      <c r="B442" s="116"/>
      <c r="C442" s="191" t="s">
        <v>337</v>
      </c>
      <c r="D442" s="191"/>
      <c r="E442" s="108"/>
      <c r="F442" s="109" t="s">
        <v>338</v>
      </c>
      <c r="G442" s="109"/>
      <c r="H442" s="104">
        <v>11</v>
      </c>
      <c r="I442" s="113" t="s">
        <v>257</v>
      </c>
      <c r="J442" s="154">
        <v>200000</v>
      </c>
      <c r="K442" s="29">
        <f t="shared" ref="K442" si="32">J442*H442</f>
        <v>2200000</v>
      </c>
      <c r="L442" s="51"/>
    </row>
    <row r="443" spans="2:12" x14ac:dyDescent="0.35">
      <c r="B443" s="116"/>
      <c r="C443" s="191"/>
      <c r="D443" s="191"/>
      <c r="E443" s="108"/>
      <c r="F443" s="109" t="s">
        <v>94</v>
      </c>
      <c r="G443" s="109" t="s">
        <v>318</v>
      </c>
      <c r="H443" s="104">
        <v>1730</v>
      </c>
      <c r="I443" s="113" t="s">
        <v>153</v>
      </c>
      <c r="J443" s="155">
        <v>462</v>
      </c>
      <c r="K443" s="29"/>
      <c r="L443" s="51">
        <f t="shared" si="29"/>
        <v>799260</v>
      </c>
    </row>
    <row r="444" spans="2:12" x14ac:dyDescent="0.35">
      <c r="B444" s="116"/>
      <c r="C444" s="191"/>
      <c r="D444" s="191"/>
      <c r="E444" s="108"/>
      <c r="F444" s="109" t="s">
        <v>94</v>
      </c>
      <c r="G444" s="109" t="s">
        <v>319</v>
      </c>
      <c r="H444" s="104">
        <v>1</v>
      </c>
      <c r="I444" s="113" t="s">
        <v>155</v>
      </c>
      <c r="J444" s="154">
        <v>120000</v>
      </c>
      <c r="K444" s="29"/>
      <c r="L444" s="51">
        <f t="shared" si="29"/>
        <v>120000</v>
      </c>
    </row>
    <row r="445" spans="2:12" x14ac:dyDescent="0.35">
      <c r="B445" s="116"/>
      <c r="C445" s="191"/>
      <c r="D445" s="191"/>
      <c r="E445" s="108"/>
      <c r="F445" s="109" t="s">
        <v>94</v>
      </c>
      <c r="G445" s="109" t="s">
        <v>320</v>
      </c>
      <c r="H445" s="104">
        <v>2</v>
      </c>
      <c r="I445" s="113" t="s">
        <v>155</v>
      </c>
      <c r="J445" s="49">
        <v>210000</v>
      </c>
      <c r="K445" s="29"/>
      <c r="L445" s="51">
        <f t="shared" si="29"/>
        <v>420000</v>
      </c>
    </row>
    <row r="446" spans="2:12" x14ac:dyDescent="0.35">
      <c r="B446" s="116"/>
      <c r="C446" s="191"/>
      <c r="D446" s="191"/>
      <c r="E446" s="108"/>
      <c r="F446" s="109" t="s">
        <v>94</v>
      </c>
      <c r="G446" s="109" t="s">
        <v>339</v>
      </c>
      <c r="H446" s="104">
        <v>1</v>
      </c>
      <c r="I446" s="113" t="s">
        <v>155</v>
      </c>
      <c r="J446" s="49">
        <v>350000</v>
      </c>
      <c r="K446" s="29"/>
      <c r="L446" s="51">
        <f t="shared" si="29"/>
        <v>350000</v>
      </c>
    </row>
    <row r="447" spans="2:12" x14ac:dyDescent="0.35">
      <c r="B447" s="116"/>
      <c r="C447" s="191"/>
      <c r="D447" s="191"/>
      <c r="E447" s="108"/>
      <c r="F447" s="109" t="s">
        <v>94</v>
      </c>
      <c r="G447" s="109" t="s">
        <v>321</v>
      </c>
      <c r="H447" s="104">
        <v>120</v>
      </c>
      <c r="I447" s="113" t="s">
        <v>153</v>
      </c>
      <c r="J447" s="49">
        <v>375</v>
      </c>
      <c r="K447" s="29"/>
      <c r="L447" s="51">
        <f t="shared" si="29"/>
        <v>45000</v>
      </c>
    </row>
    <row r="448" spans="2:12" x14ac:dyDescent="0.35">
      <c r="B448" s="116"/>
      <c r="C448" s="191"/>
      <c r="D448" s="191"/>
      <c r="E448" s="108"/>
      <c r="F448" s="109"/>
      <c r="G448" s="109" t="s">
        <v>261</v>
      </c>
      <c r="H448" s="104">
        <v>2</v>
      </c>
      <c r="I448" s="113" t="s">
        <v>155</v>
      </c>
      <c r="J448" s="49">
        <v>35000</v>
      </c>
      <c r="K448" s="29"/>
      <c r="L448" s="51">
        <f t="shared" si="29"/>
        <v>70000</v>
      </c>
    </row>
    <row r="449" spans="2:14" x14ac:dyDescent="0.35">
      <c r="B449" s="116"/>
      <c r="C449" s="191"/>
      <c r="D449" s="191"/>
      <c r="E449" s="108"/>
      <c r="F449" s="109" t="s">
        <v>94</v>
      </c>
      <c r="G449" s="109" t="s">
        <v>322</v>
      </c>
      <c r="H449" s="104">
        <v>2</v>
      </c>
      <c r="I449" s="113" t="s">
        <v>155</v>
      </c>
      <c r="J449" s="49">
        <v>55000</v>
      </c>
      <c r="K449" s="29"/>
      <c r="L449" s="51">
        <f t="shared" si="29"/>
        <v>110000</v>
      </c>
    </row>
    <row r="450" spans="2:14" x14ac:dyDescent="0.35">
      <c r="B450" s="116"/>
      <c r="C450" s="191" t="s">
        <v>340</v>
      </c>
      <c r="D450" s="191"/>
      <c r="E450" s="108"/>
      <c r="F450" s="109" t="s">
        <v>341</v>
      </c>
      <c r="G450" s="109"/>
      <c r="H450" s="104"/>
      <c r="I450" s="113"/>
      <c r="J450" s="49"/>
      <c r="K450" s="29"/>
      <c r="L450" s="51"/>
    </row>
    <row r="451" spans="2:14" x14ac:dyDescent="0.35">
      <c r="B451" s="116"/>
      <c r="C451" s="191"/>
      <c r="D451" s="191" t="s">
        <v>44</v>
      </c>
      <c r="E451" s="108"/>
      <c r="F451" s="109" t="s">
        <v>342</v>
      </c>
      <c r="G451" s="109"/>
      <c r="H451" s="104">
        <v>1</v>
      </c>
      <c r="I451" s="113" t="s">
        <v>125</v>
      </c>
      <c r="J451" s="49">
        <v>7000000</v>
      </c>
      <c r="K451" s="29">
        <f t="shared" ref="K451" si="33">J451*H451</f>
        <v>7000000</v>
      </c>
      <c r="L451" s="51"/>
      <c r="N451">
        <f>SUM(M452:M455)*1.3</f>
        <v>6882423.3399999999</v>
      </c>
    </row>
    <row r="452" spans="2:14" x14ac:dyDescent="0.35">
      <c r="B452" s="116"/>
      <c r="C452" s="191"/>
      <c r="D452" s="191"/>
      <c r="E452" s="108"/>
      <c r="F452" s="109" t="s">
        <v>94</v>
      </c>
      <c r="G452" s="109" t="s">
        <v>343</v>
      </c>
      <c r="H452" s="163">
        <v>147.00852</v>
      </c>
      <c r="I452" s="167" t="s">
        <v>147</v>
      </c>
      <c r="J452" s="165">
        <v>30000</v>
      </c>
      <c r="K452" s="29"/>
      <c r="L452" s="51"/>
      <c r="M452">
        <v>4410255.6000000006</v>
      </c>
    </row>
    <row r="453" spans="2:14" x14ac:dyDescent="0.35">
      <c r="B453" s="116"/>
      <c r="C453" s="191"/>
      <c r="D453" s="191"/>
      <c r="E453" s="108"/>
      <c r="F453" s="109" t="s">
        <v>94</v>
      </c>
      <c r="G453" s="109" t="s">
        <v>344</v>
      </c>
      <c r="H453" s="163">
        <v>12.208320000000001</v>
      </c>
      <c r="I453" s="167" t="s">
        <v>147</v>
      </c>
      <c r="J453" s="165">
        <v>30000</v>
      </c>
      <c r="K453" s="29"/>
      <c r="L453" s="51"/>
      <c r="M453">
        <v>366249.60000000003</v>
      </c>
    </row>
    <row r="454" spans="2:14" x14ac:dyDescent="0.35">
      <c r="B454" s="116"/>
      <c r="C454" s="191"/>
      <c r="D454" s="191"/>
      <c r="E454" s="108"/>
      <c r="F454" s="109" t="s">
        <v>94</v>
      </c>
      <c r="G454" s="109" t="s">
        <v>345</v>
      </c>
      <c r="H454" s="163">
        <v>7.9222199999999994</v>
      </c>
      <c r="I454" s="167" t="s">
        <v>147</v>
      </c>
      <c r="J454" s="165">
        <v>30000</v>
      </c>
      <c r="K454" s="29"/>
      <c r="L454" s="51"/>
      <c r="M454">
        <v>237666.59999999998</v>
      </c>
    </row>
    <row r="455" spans="2:14" x14ac:dyDescent="0.35">
      <c r="B455" s="116"/>
      <c r="C455" s="191"/>
      <c r="D455" s="191"/>
      <c r="E455" s="108"/>
      <c r="F455" s="109" t="s">
        <v>94</v>
      </c>
      <c r="G455" s="109" t="s">
        <v>346</v>
      </c>
      <c r="H455" s="163">
        <v>8</v>
      </c>
      <c r="I455" s="167" t="s">
        <v>155</v>
      </c>
      <c r="J455" s="165">
        <v>35000</v>
      </c>
      <c r="K455" s="29"/>
      <c r="L455" s="51"/>
      <c r="M455">
        <v>280000</v>
      </c>
    </row>
    <row r="456" spans="2:14" x14ac:dyDescent="0.35">
      <c r="B456" s="116"/>
      <c r="C456" s="191"/>
      <c r="D456" s="191" t="s">
        <v>47</v>
      </c>
      <c r="E456" s="108"/>
      <c r="F456" s="109" t="s">
        <v>347</v>
      </c>
      <c r="G456" s="109"/>
      <c r="H456" s="104">
        <v>6</v>
      </c>
      <c r="I456" s="113" t="s">
        <v>257</v>
      </c>
      <c r="J456" s="49">
        <v>200000</v>
      </c>
      <c r="K456" s="29">
        <f t="shared" ref="K456" si="34">J456*H456</f>
        <v>1200000</v>
      </c>
      <c r="L456" s="51"/>
    </row>
    <row r="457" spans="2:14" x14ac:dyDescent="0.35">
      <c r="B457" s="116"/>
      <c r="C457" s="191"/>
      <c r="D457" s="191"/>
      <c r="E457" s="108"/>
      <c r="F457" s="109" t="s">
        <v>94</v>
      </c>
      <c r="G457" s="109" t="s">
        <v>318</v>
      </c>
      <c r="H457" s="104">
        <v>670</v>
      </c>
      <c r="I457" s="113" t="s">
        <v>153</v>
      </c>
      <c r="J457" s="49">
        <v>462</v>
      </c>
      <c r="K457" s="29"/>
      <c r="L457" s="51">
        <f t="shared" ref="L457:L458" si="35">J457*H457</f>
        <v>309540</v>
      </c>
    </row>
    <row r="458" spans="2:14" x14ac:dyDescent="0.35">
      <c r="B458" s="116"/>
      <c r="C458" s="191"/>
      <c r="D458" s="191"/>
      <c r="E458" s="108"/>
      <c r="F458" s="109" t="s">
        <v>94</v>
      </c>
      <c r="G458" s="109" t="s">
        <v>319</v>
      </c>
      <c r="H458" s="104">
        <v>2</v>
      </c>
      <c r="I458" s="113" t="s">
        <v>155</v>
      </c>
      <c r="J458" s="49">
        <v>120000</v>
      </c>
      <c r="K458" s="29"/>
      <c r="L458" s="51">
        <f t="shared" si="35"/>
        <v>240000</v>
      </c>
    </row>
    <row r="459" spans="2:14" x14ac:dyDescent="0.35">
      <c r="B459" s="101"/>
      <c r="C459" s="187"/>
      <c r="D459" s="187" t="s">
        <v>49</v>
      </c>
      <c r="E459" s="102"/>
      <c r="F459" s="103" t="s">
        <v>348</v>
      </c>
      <c r="G459" s="103"/>
      <c r="H459" s="104">
        <v>1</v>
      </c>
      <c r="I459" s="62" t="s">
        <v>257</v>
      </c>
      <c r="J459" s="49">
        <v>250000</v>
      </c>
      <c r="K459" s="29">
        <f t="shared" ref="K459" si="36">J459*H459</f>
        <v>250000</v>
      </c>
      <c r="L459" s="51"/>
    </row>
    <row r="460" spans="2:14" x14ac:dyDescent="0.35">
      <c r="B460" s="101"/>
      <c r="C460" s="187"/>
      <c r="D460" s="187"/>
      <c r="E460" s="102"/>
      <c r="F460" s="103" t="s">
        <v>94</v>
      </c>
      <c r="G460" s="103" t="s">
        <v>349</v>
      </c>
      <c r="H460" s="104">
        <v>1</v>
      </c>
      <c r="I460" s="62" t="s">
        <v>155</v>
      </c>
      <c r="J460" s="49">
        <v>500000</v>
      </c>
      <c r="K460" s="29"/>
      <c r="L460" s="51">
        <f t="shared" ref="L460:L461" si="37">J460*H460</f>
        <v>500000</v>
      </c>
    </row>
    <row r="461" spans="2:14" x14ac:dyDescent="0.35">
      <c r="B461" s="101"/>
      <c r="C461" s="187"/>
      <c r="D461" s="187"/>
      <c r="E461" s="102"/>
      <c r="F461" s="103" t="s">
        <v>94</v>
      </c>
      <c r="G461" s="103" t="s">
        <v>350</v>
      </c>
      <c r="H461" s="104">
        <v>2</v>
      </c>
      <c r="I461" s="62" t="s">
        <v>93</v>
      </c>
      <c r="J461" s="49">
        <v>500000</v>
      </c>
      <c r="K461" s="29"/>
      <c r="L461" s="51">
        <f t="shared" si="37"/>
        <v>1000000</v>
      </c>
    </row>
    <row r="462" spans="2:14" x14ac:dyDescent="0.35">
      <c r="B462" s="101" t="s">
        <v>112</v>
      </c>
      <c r="C462" s="187"/>
      <c r="D462" s="187"/>
      <c r="E462" s="102" t="s">
        <v>351</v>
      </c>
      <c r="F462" s="103"/>
      <c r="G462" s="103"/>
      <c r="H462" s="104"/>
      <c r="I462" s="62"/>
      <c r="J462" s="49"/>
      <c r="K462" s="29"/>
      <c r="L462" s="51"/>
    </row>
    <row r="463" spans="2:14" x14ac:dyDescent="0.35">
      <c r="B463" s="101"/>
      <c r="C463" s="187"/>
      <c r="D463" s="187" t="s">
        <v>44</v>
      </c>
      <c r="E463" s="102"/>
      <c r="F463" s="103" t="s">
        <v>352</v>
      </c>
      <c r="G463" s="103"/>
      <c r="H463" s="104">
        <v>17</v>
      </c>
      <c r="I463" s="62" t="s">
        <v>105</v>
      </c>
      <c r="J463" s="49">
        <v>350000</v>
      </c>
      <c r="K463" s="29">
        <f t="shared" ref="K463" si="38">J463*H463</f>
        <v>5950000</v>
      </c>
      <c r="L463" s="51"/>
    </row>
    <row r="464" spans="2:14" x14ac:dyDescent="0.35">
      <c r="B464" s="101"/>
      <c r="C464" s="187"/>
      <c r="D464" s="187" t="s">
        <v>47</v>
      </c>
      <c r="E464" s="102"/>
      <c r="F464" s="103" t="s">
        <v>353</v>
      </c>
      <c r="G464" s="103"/>
      <c r="H464" s="104"/>
      <c r="I464" s="62"/>
      <c r="J464" s="49"/>
      <c r="K464" s="29"/>
      <c r="L464" s="51"/>
    </row>
    <row r="465" spans="2:12" x14ac:dyDescent="0.35">
      <c r="B465" s="101"/>
      <c r="C465" s="187"/>
      <c r="D465" s="187"/>
      <c r="E465" s="102"/>
      <c r="F465" s="103" t="s">
        <v>94</v>
      </c>
      <c r="G465" s="103" t="s">
        <v>354</v>
      </c>
      <c r="H465" s="104">
        <v>5</v>
      </c>
      <c r="I465" s="62" t="s">
        <v>155</v>
      </c>
      <c r="J465" s="49">
        <v>250000</v>
      </c>
      <c r="K465" s="29">
        <f t="shared" ref="K465:K466" si="39">J465*H465</f>
        <v>1250000</v>
      </c>
      <c r="L465" s="51"/>
    </row>
    <row r="466" spans="2:12" x14ac:dyDescent="0.35">
      <c r="B466" s="101"/>
      <c r="C466" s="187"/>
      <c r="D466" s="187"/>
      <c r="E466" s="102"/>
      <c r="F466" s="103" t="s">
        <v>94</v>
      </c>
      <c r="G466" s="103" t="s">
        <v>355</v>
      </c>
      <c r="H466" s="104">
        <v>1</v>
      </c>
      <c r="I466" s="62" t="s">
        <v>155</v>
      </c>
      <c r="J466" s="49">
        <v>250000</v>
      </c>
      <c r="K466" s="29">
        <f t="shared" si="39"/>
        <v>250000</v>
      </c>
      <c r="L466" s="51"/>
    </row>
    <row r="467" spans="2:12" x14ac:dyDescent="0.35">
      <c r="B467" s="47"/>
      <c r="C467" s="183"/>
      <c r="D467" s="24"/>
      <c r="G467" s="22"/>
      <c r="I467" s="22"/>
      <c r="J467" s="49"/>
      <c r="K467" s="29"/>
      <c r="L467" s="51"/>
    </row>
    <row r="468" spans="2:12" x14ac:dyDescent="0.35">
      <c r="B468" s="8"/>
      <c r="C468" s="9"/>
      <c r="D468" s="10"/>
      <c r="E468" s="4"/>
      <c r="F468" s="4"/>
      <c r="G468" s="4"/>
      <c r="H468" s="1"/>
      <c r="I468" s="1"/>
      <c r="J468" s="11" t="s">
        <v>8</v>
      </c>
      <c r="K468" s="7">
        <f>SUM(K416:K467)</f>
        <v>23100000</v>
      </c>
      <c r="L468" s="7">
        <f>SUM(L416:L467)</f>
        <v>8981550</v>
      </c>
    </row>
    <row r="469" spans="2:12" x14ac:dyDescent="0.35">
      <c r="B469" s="8"/>
      <c r="C469" s="9"/>
      <c r="D469" s="9"/>
      <c r="E469" s="4"/>
      <c r="F469" s="4"/>
      <c r="G469" s="4"/>
      <c r="H469" s="1"/>
      <c r="I469" s="1"/>
      <c r="J469" s="11"/>
      <c r="K469" s="35" t="s">
        <v>21</v>
      </c>
      <c r="L469" s="36" t="s">
        <v>22</v>
      </c>
    </row>
    <row r="470" spans="2:12" x14ac:dyDescent="0.35">
      <c r="B470" s="3" t="s">
        <v>9</v>
      </c>
      <c r="C470" s="4"/>
      <c r="D470" s="4"/>
      <c r="E470" s="4"/>
      <c r="F470" s="4"/>
      <c r="G470" s="4"/>
      <c r="H470" s="1"/>
      <c r="I470" s="1"/>
      <c r="J470" s="12"/>
      <c r="K470" s="12"/>
      <c r="L470" s="13"/>
    </row>
    <row r="471" spans="2:12" x14ac:dyDescent="0.35">
      <c r="B471" s="37"/>
      <c r="C471" s="1"/>
      <c r="D471" s="1"/>
      <c r="E471" s="38"/>
      <c r="F471" s="38"/>
      <c r="G471" s="38"/>
      <c r="H471" s="1"/>
      <c r="I471" s="1"/>
      <c r="J471" s="1"/>
      <c r="K471" s="1"/>
      <c r="L471" s="19"/>
    </row>
    <row r="472" spans="2:12" x14ac:dyDescent="0.35">
      <c r="B472" s="28" t="s">
        <v>6</v>
      </c>
      <c r="C472" s="27"/>
      <c r="D472" s="27"/>
      <c r="E472" s="26"/>
      <c r="F472" s="26"/>
      <c r="G472" s="5"/>
      <c r="K472" s="271" t="s">
        <v>42</v>
      </c>
      <c r="L472" s="272"/>
    </row>
    <row r="473" spans="2:12" x14ac:dyDescent="0.35">
      <c r="B473" s="28">
        <v>1</v>
      </c>
      <c r="C473" s="27"/>
      <c r="D473" s="27"/>
      <c r="E473" s="26" t="s">
        <v>7</v>
      </c>
      <c r="F473" s="26"/>
      <c r="G473" s="5"/>
      <c r="K473" s="271" t="s">
        <v>27</v>
      </c>
      <c r="L473" s="272"/>
    </row>
    <row r="474" spans="2:12" x14ac:dyDescent="0.35">
      <c r="B474" s="39"/>
      <c r="C474" s="27"/>
      <c r="D474" s="27"/>
      <c r="E474" s="26"/>
      <c r="F474" s="26"/>
      <c r="G474" s="5"/>
      <c r="J474" s="25"/>
      <c r="K474" s="25"/>
      <c r="L474" s="24"/>
    </row>
    <row r="475" spans="2:12" x14ac:dyDescent="0.35">
      <c r="B475" s="28"/>
      <c r="C475" s="27"/>
      <c r="D475" s="27"/>
      <c r="E475" s="26"/>
      <c r="F475" s="26"/>
      <c r="G475" s="5"/>
      <c r="L475" s="22"/>
    </row>
    <row r="476" spans="2:12" x14ac:dyDescent="0.35">
      <c r="B476" s="45"/>
      <c r="E476" s="5"/>
      <c r="F476" s="5"/>
      <c r="G476" s="5"/>
      <c r="L476" s="22"/>
    </row>
    <row r="477" spans="2:12" x14ac:dyDescent="0.35">
      <c r="B477" s="45"/>
      <c r="E477" s="5"/>
      <c r="F477" s="5"/>
      <c r="G477" s="5"/>
      <c r="L477" s="22"/>
    </row>
    <row r="478" spans="2:12" x14ac:dyDescent="0.35">
      <c r="B478" s="45"/>
      <c r="E478" s="5"/>
      <c r="F478" s="5"/>
      <c r="G478" s="5"/>
      <c r="L478" s="22"/>
    </row>
    <row r="479" spans="2:12" x14ac:dyDescent="0.35">
      <c r="B479" s="45"/>
      <c r="E479" s="5"/>
      <c r="F479" s="5"/>
      <c r="G479" s="5"/>
      <c r="J479" s="40"/>
      <c r="K479" s="273" t="s">
        <v>35</v>
      </c>
      <c r="L479" s="274"/>
    </row>
    <row r="480" spans="2:12" x14ac:dyDescent="0.35">
      <c r="B480" s="45"/>
      <c r="K480" s="277" t="s">
        <v>36</v>
      </c>
      <c r="L480" s="278"/>
    </row>
    <row r="481" spans="2:14" x14ac:dyDescent="0.35">
      <c r="B481" s="275"/>
      <c r="C481" s="276"/>
      <c r="D481" s="276"/>
      <c r="E481" s="41"/>
      <c r="F481" s="41"/>
      <c r="G481" s="41"/>
      <c r="H481" s="2"/>
      <c r="I481" s="2"/>
      <c r="J481" s="2"/>
      <c r="K481" s="2"/>
      <c r="L481" s="21"/>
    </row>
    <row r="482" spans="2:14" x14ac:dyDescent="0.35">
      <c r="B482" s="47"/>
      <c r="C482" s="183"/>
      <c r="D482" s="48"/>
      <c r="G482" s="22"/>
      <c r="H482" s="1"/>
      <c r="I482" s="1"/>
      <c r="J482" s="43"/>
      <c r="K482" s="30"/>
      <c r="L482" s="44"/>
    </row>
    <row r="483" spans="2:14" x14ac:dyDescent="0.35">
      <c r="B483" s="116"/>
      <c r="C483" s="191"/>
      <c r="D483" s="191"/>
      <c r="E483" s="108"/>
      <c r="F483" s="109" t="s">
        <v>94</v>
      </c>
      <c r="G483" s="109" t="s">
        <v>356</v>
      </c>
      <c r="H483" s="104">
        <v>3</v>
      </c>
      <c r="I483" s="113" t="s">
        <v>155</v>
      </c>
      <c r="J483" s="49">
        <v>250000</v>
      </c>
      <c r="K483" s="29">
        <f t="shared" ref="K483:K486" si="40">J483*H483</f>
        <v>750000</v>
      </c>
      <c r="L483" s="46"/>
    </row>
    <row r="484" spans="2:14" x14ac:dyDescent="0.35">
      <c r="B484" s="116"/>
      <c r="C484" s="191"/>
      <c r="D484" s="191"/>
      <c r="E484" s="108"/>
      <c r="F484" s="109" t="s">
        <v>94</v>
      </c>
      <c r="G484" s="109" t="s">
        <v>357</v>
      </c>
      <c r="H484" s="104">
        <v>1</v>
      </c>
      <c r="I484" s="113" t="s">
        <v>155</v>
      </c>
      <c r="J484" s="49">
        <v>250000</v>
      </c>
      <c r="K484" s="29">
        <f t="shared" si="40"/>
        <v>250000</v>
      </c>
      <c r="L484" s="46"/>
    </row>
    <row r="485" spans="2:14" x14ac:dyDescent="0.35">
      <c r="B485" s="116"/>
      <c r="C485" s="191"/>
      <c r="D485" s="191"/>
      <c r="E485" s="108"/>
      <c r="F485" s="109" t="s">
        <v>94</v>
      </c>
      <c r="G485" s="109" t="s">
        <v>358</v>
      </c>
      <c r="H485" s="104">
        <v>2</v>
      </c>
      <c r="I485" s="113" t="s">
        <v>155</v>
      </c>
      <c r="J485" s="49">
        <v>250000</v>
      </c>
      <c r="K485" s="29">
        <f t="shared" si="40"/>
        <v>500000</v>
      </c>
      <c r="L485" s="46"/>
    </row>
    <row r="486" spans="2:14" x14ac:dyDescent="0.35">
      <c r="B486" s="116"/>
      <c r="C486" s="191"/>
      <c r="D486" s="191"/>
      <c r="E486" s="108"/>
      <c r="F486" s="109" t="s">
        <v>94</v>
      </c>
      <c r="G486" s="109" t="s">
        <v>359</v>
      </c>
      <c r="H486" s="104">
        <v>2</v>
      </c>
      <c r="I486" s="113" t="s">
        <v>155</v>
      </c>
      <c r="J486" s="49">
        <v>250000</v>
      </c>
      <c r="K486" s="29">
        <f t="shared" si="40"/>
        <v>500000</v>
      </c>
      <c r="L486" s="46"/>
    </row>
    <row r="487" spans="2:14" x14ac:dyDescent="0.35">
      <c r="B487" s="116" t="s">
        <v>119</v>
      </c>
      <c r="C487" s="191"/>
      <c r="D487" s="191"/>
      <c r="E487" s="108" t="s">
        <v>100</v>
      </c>
      <c r="F487" s="109"/>
      <c r="G487" s="109"/>
      <c r="H487" s="104"/>
      <c r="I487" s="113"/>
      <c r="J487" s="49"/>
      <c r="K487" s="29"/>
      <c r="L487" s="51"/>
    </row>
    <row r="488" spans="2:14" x14ac:dyDescent="0.35">
      <c r="B488" s="116"/>
      <c r="C488" s="191"/>
      <c r="D488" s="191" t="s">
        <v>44</v>
      </c>
      <c r="E488" s="108"/>
      <c r="F488" s="109" t="s">
        <v>511</v>
      </c>
      <c r="G488" s="109"/>
      <c r="H488" s="104">
        <v>2</v>
      </c>
      <c r="I488" s="113" t="s">
        <v>125</v>
      </c>
      <c r="J488" s="49">
        <v>8000000</v>
      </c>
      <c r="K488" s="29">
        <f t="shared" ref="K488" si="41">J488*H488</f>
        <v>16000000</v>
      </c>
      <c r="L488" s="51"/>
    </row>
    <row r="489" spans="2:14" x14ac:dyDescent="0.35">
      <c r="B489" s="117"/>
      <c r="C489" s="190"/>
      <c r="D489" s="190"/>
      <c r="E489" s="111"/>
      <c r="F489" s="112"/>
      <c r="G489" s="112"/>
      <c r="H489" s="100"/>
      <c r="I489" s="115"/>
      <c r="J489" s="49"/>
      <c r="K489" s="29"/>
      <c r="L489" s="51"/>
    </row>
    <row r="490" spans="2:14" x14ac:dyDescent="0.35">
      <c r="B490" s="117"/>
      <c r="C490" s="190"/>
      <c r="D490" s="190"/>
      <c r="E490" s="111"/>
      <c r="F490" s="112" t="s">
        <v>361</v>
      </c>
      <c r="G490" s="112"/>
      <c r="H490" s="100"/>
      <c r="I490" s="115"/>
      <c r="J490" s="49"/>
      <c r="K490" s="29"/>
      <c r="L490" s="51"/>
    </row>
    <row r="491" spans="2:14" x14ac:dyDescent="0.35">
      <c r="B491" s="117" t="s">
        <v>43</v>
      </c>
      <c r="C491" s="190"/>
      <c r="D491" s="190"/>
      <c r="E491" s="111" t="s">
        <v>17</v>
      </c>
      <c r="F491" s="112"/>
      <c r="G491" s="112"/>
      <c r="H491" s="100"/>
      <c r="I491" s="115"/>
      <c r="J491" s="49"/>
      <c r="K491" s="29"/>
      <c r="L491" s="51"/>
    </row>
    <row r="492" spans="2:14" x14ac:dyDescent="0.35">
      <c r="B492" s="116"/>
      <c r="C492" s="191" t="s">
        <v>143</v>
      </c>
      <c r="D492" s="191"/>
      <c r="E492" s="108"/>
      <c r="F492" s="109" t="s">
        <v>287</v>
      </c>
      <c r="G492" s="109"/>
      <c r="H492" s="104"/>
      <c r="I492" s="113"/>
      <c r="J492" s="49"/>
      <c r="K492" s="29"/>
      <c r="L492" s="51"/>
      <c r="N492">
        <f>SUM(M493:M499)*1.3</f>
        <v>7239482.9000000013</v>
      </c>
    </row>
    <row r="493" spans="2:14" x14ac:dyDescent="0.35">
      <c r="B493" s="116"/>
      <c r="C493" s="191"/>
      <c r="D493" s="191" t="s">
        <v>44</v>
      </c>
      <c r="E493" s="108"/>
      <c r="F493" s="109" t="s">
        <v>404</v>
      </c>
      <c r="G493" s="109"/>
      <c r="H493" s="104">
        <v>1</v>
      </c>
      <c r="I493" s="113" t="s">
        <v>105</v>
      </c>
      <c r="J493" s="49">
        <v>7500000</v>
      </c>
      <c r="K493" s="29">
        <f t="shared" ref="K493" si="42">J493*H493</f>
        <v>7500000</v>
      </c>
      <c r="L493" s="51"/>
      <c r="M493">
        <v>1920000</v>
      </c>
    </row>
    <row r="494" spans="2:14" x14ac:dyDescent="0.35">
      <c r="B494" s="116"/>
      <c r="C494" s="191"/>
      <c r="D494" s="191"/>
      <c r="E494" s="108"/>
      <c r="F494" s="109" t="s">
        <v>94</v>
      </c>
      <c r="G494" s="109" t="s">
        <v>288</v>
      </c>
      <c r="H494" s="163">
        <v>1510</v>
      </c>
      <c r="I494" s="167" t="s">
        <v>153</v>
      </c>
      <c r="J494" s="165">
        <v>1676</v>
      </c>
      <c r="K494" s="29"/>
      <c r="L494" s="51"/>
      <c r="M494">
        <v>2530760</v>
      </c>
    </row>
    <row r="495" spans="2:14" x14ac:dyDescent="0.35">
      <c r="B495" s="116"/>
      <c r="C495" s="191"/>
      <c r="D495" s="191"/>
      <c r="E495" s="108"/>
      <c r="F495" s="109" t="s">
        <v>94</v>
      </c>
      <c r="G495" s="109" t="s">
        <v>289</v>
      </c>
      <c r="H495" s="166">
        <v>2.7223799999999998</v>
      </c>
      <c r="I495" s="167" t="s">
        <v>147</v>
      </c>
      <c r="J495" s="165">
        <v>30000</v>
      </c>
      <c r="K495" s="29"/>
      <c r="L495" s="51"/>
      <c r="M495">
        <v>81671.399999999994</v>
      </c>
    </row>
    <row r="496" spans="2:14" x14ac:dyDescent="0.35">
      <c r="B496" s="116"/>
      <c r="C496" s="191"/>
      <c r="D496" s="191"/>
      <c r="E496" s="108"/>
      <c r="F496" s="109" t="s">
        <v>94</v>
      </c>
      <c r="G496" s="109" t="s">
        <v>290</v>
      </c>
      <c r="H496" s="166">
        <v>9.5456999999999983</v>
      </c>
      <c r="I496" s="167" t="s">
        <v>160</v>
      </c>
      <c r="J496" s="165">
        <v>30000</v>
      </c>
      <c r="K496" s="29"/>
      <c r="L496" s="51"/>
      <c r="M496">
        <v>286370.99999999994</v>
      </c>
    </row>
    <row r="497" spans="2:13" x14ac:dyDescent="0.35">
      <c r="B497" s="116"/>
      <c r="C497" s="191"/>
      <c r="D497" s="191"/>
      <c r="E497" s="108"/>
      <c r="F497" s="109" t="s">
        <v>94</v>
      </c>
      <c r="G497" s="109" t="s">
        <v>291</v>
      </c>
      <c r="H497" s="166">
        <v>18.651599999999998</v>
      </c>
      <c r="I497" s="167" t="s">
        <v>147</v>
      </c>
      <c r="J497" s="165">
        <v>30000</v>
      </c>
      <c r="K497" s="29"/>
      <c r="L497" s="51"/>
      <c r="M497">
        <v>559548</v>
      </c>
    </row>
    <row r="498" spans="2:13" x14ac:dyDescent="0.35">
      <c r="B498" s="116"/>
      <c r="C498" s="191"/>
      <c r="D498" s="191"/>
      <c r="E498" s="108"/>
      <c r="F498" s="109" t="s">
        <v>94</v>
      </c>
      <c r="G498" s="109" t="s">
        <v>292</v>
      </c>
      <c r="H498" s="166">
        <v>4.0411799999999998</v>
      </c>
      <c r="I498" s="167" t="s">
        <v>147</v>
      </c>
      <c r="J498" s="165">
        <v>30000</v>
      </c>
      <c r="K498" s="29"/>
      <c r="L498" s="51"/>
      <c r="M498">
        <v>121235.4</v>
      </c>
    </row>
    <row r="499" spans="2:13" x14ac:dyDescent="0.35">
      <c r="B499" s="116"/>
      <c r="C499" s="191"/>
      <c r="D499" s="191"/>
      <c r="E499" s="108"/>
      <c r="F499" s="109" t="s">
        <v>94</v>
      </c>
      <c r="G499" s="109" t="s">
        <v>293</v>
      </c>
      <c r="H499" s="166">
        <v>2.3082400000000001</v>
      </c>
      <c r="I499" s="167" t="s">
        <v>160</v>
      </c>
      <c r="J499" s="165">
        <v>30000</v>
      </c>
      <c r="K499" s="29"/>
      <c r="L499" s="51"/>
      <c r="M499">
        <v>69247.199999999997</v>
      </c>
    </row>
    <row r="500" spans="2:13" x14ac:dyDescent="0.35">
      <c r="B500" s="116"/>
      <c r="C500" s="191" t="s">
        <v>149</v>
      </c>
      <c r="D500" s="191"/>
      <c r="E500" s="108"/>
      <c r="F500" s="109" t="s">
        <v>362</v>
      </c>
      <c r="G500" s="109"/>
      <c r="H500" s="104">
        <v>4</v>
      </c>
      <c r="I500" s="113" t="s">
        <v>105</v>
      </c>
      <c r="J500" s="49">
        <v>500000</v>
      </c>
      <c r="K500" s="29">
        <f t="shared" ref="K500" si="43">J500*H500</f>
        <v>2000000</v>
      </c>
      <c r="L500" s="51"/>
    </row>
    <row r="501" spans="2:13" x14ac:dyDescent="0.35">
      <c r="B501" s="116" t="s">
        <v>80</v>
      </c>
      <c r="C501" s="191"/>
      <c r="D501" s="191"/>
      <c r="E501" s="108" t="s">
        <v>142</v>
      </c>
      <c r="F501" s="109"/>
      <c r="G501" s="109"/>
      <c r="H501" s="106"/>
      <c r="I501" s="113"/>
      <c r="J501" s="49"/>
      <c r="K501" s="29"/>
      <c r="L501" s="51"/>
    </row>
    <row r="502" spans="2:13" x14ac:dyDescent="0.35">
      <c r="B502" s="116"/>
      <c r="C502" s="191" t="s">
        <v>254</v>
      </c>
      <c r="D502" s="191"/>
      <c r="E502" s="108"/>
      <c r="F502" s="109" t="s">
        <v>150</v>
      </c>
      <c r="G502" s="109"/>
      <c r="H502" s="106"/>
      <c r="I502" s="113"/>
      <c r="J502" s="49"/>
      <c r="K502" s="29"/>
      <c r="L502" s="51"/>
    </row>
    <row r="503" spans="2:13" x14ac:dyDescent="0.35">
      <c r="B503" s="116"/>
      <c r="C503" s="191"/>
      <c r="D503" s="191" t="s">
        <v>44</v>
      </c>
      <c r="E503" s="108"/>
      <c r="F503" s="109" t="s">
        <v>363</v>
      </c>
      <c r="G503" s="109"/>
      <c r="H503" s="104"/>
      <c r="I503" s="113"/>
      <c r="J503" s="49"/>
      <c r="K503" s="29"/>
      <c r="L503" s="51"/>
    </row>
    <row r="504" spans="2:13" x14ac:dyDescent="0.35">
      <c r="B504" s="116"/>
      <c r="C504" s="191"/>
      <c r="D504" s="191"/>
      <c r="E504" s="108"/>
      <c r="F504" s="109" t="s">
        <v>94</v>
      </c>
      <c r="G504" s="109" t="s">
        <v>364</v>
      </c>
      <c r="H504" s="106">
        <v>7.2345599999999992</v>
      </c>
      <c r="I504" s="113" t="s">
        <v>147</v>
      </c>
      <c r="J504" s="49">
        <v>30000</v>
      </c>
      <c r="K504" s="29"/>
      <c r="L504" s="51">
        <f t="shared" ref="L504:L509" si="44">J504*H504</f>
        <v>217036.79999999999</v>
      </c>
    </row>
    <row r="505" spans="2:13" x14ac:dyDescent="0.35">
      <c r="B505" s="116"/>
      <c r="C505" s="191"/>
      <c r="D505" s="191"/>
      <c r="E505" s="108"/>
      <c r="F505" s="109" t="s">
        <v>94</v>
      </c>
      <c r="G505" s="109" t="s">
        <v>365</v>
      </c>
      <c r="H505" s="106">
        <v>4.6723199999999991</v>
      </c>
      <c r="I505" s="113" t="s">
        <v>147</v>
      </c>
      <c r="J505" s="49">
        <v>30000</v>
      </c>
      <c r="K505" s="29"/>
      <c r="L505" s="51">
        <f t="shared" si="44"/>
        <v>140169.59999999998</v>
      </c>
    </row>
    <row r="506" spans="2:13" x14ac:dyDescent="0.35">
      <c r="B506" s="116"/>
      <c r="C506" s="191"/>
      <c r="D506" s="191"/>
      <c r="E506" s="108"/>
      <c r="F506" s="109" t="s">
        <v>94</v>
      </c>
      <c r="G506" s="109" t="s">
        <v>366</v>
      </c>
      <c r="H506" s="106">
        <v>10.5504</v>
      </c>
      <c r="I506" s="113" t="s">
        <v>147</v>
      </c>
      <c r="J506" s="49">
        <v>30000</v>
      </c>
      <c r="K506" s="29"/>
      <c r="L506" s="51">
        <f t="shared" si="44"/>
        <v>316512</v>
      </c>
    </row>
    <row r="507" spans="2:13" x14ac:dyDescent="0.35">
      <c r="B507" s="116"/>
      <c r="C507" s="191"/>
      <c r="D507" s="191"/>
      <c r="E507" s="108"/>
      <c r="F507" s="109" t="s">
        <v>94</v>
      </c>
      <c r="G507" s="109" t="s">
        <v>367</v>
      </c>
      <c r="H507" s="106">
        <v>15.516623999999998</v>
      </c>
      <c r="I507" s="113" t="s">
        <v>147</v>
      </c>
      <c r="J507" s="49">
        <v>30000</v>
      </c>
      <c r="K507" s="29"/>
      <c r="L507" s="51">
        <f t="shared" si="44"/>
        <v>465498.72</v>
      </c>
    </row>
    <row r="508" spans="2:13" x14ac:dyDescent="0.35">
      <c r="B508" s="116"/>
      <c r="C508" s="191"/>
      <c r="D508" s="191"/>
      <c r="E508" s="108"/>
      <c r="F508" s="109" t="s">
        <v>94</v>
      </c>
      <c r="G508" s="109" t="s">
        <v>368</v>
      </c>
      <c r="H508" s="106">
        <v>7.9127999999999989</v>
      </c>
      <c r="I508" s="113" t="s">
        <v>147</v>
      </c>
      <c r="J508" s="49">
        <v>30000</v>
      </c>
      <c r="K508" s="29"/>
      <c r="L508" s="51">
        <f t="shared" si="44"/>
        <v>237383.99999999997</v>
      </c>
    </row>
    <row r="509" spans="2:13" x14ac:dyDescent="0.35">
      <c r="B509" s="116"/>
      <c r="C509" s="191"/>
      <c r="D509" s="191"/>
      <c r="E509" s="108"/>
      <c r="F509" s="109" t="s">
        <v>94</v>
      </c>
      <c r="G509" s="109" t="s">
        <v>369</v>
      </c>
      <c r="H509" s="106">
        <v>3.8659679999999996</v>
      </c>
      <c r="I509" s="113" t="s">
        <v>147</v>
      </c>
      <c r="J509" s="49">
        <v>30000</v>
      </c>
      <c r="K509" s="29"/>
      <c r="L509" s="51">
        <f t="shared" si="44"/>
        <v>115979.04</v>
      </c>
    </row>
    <row r="510" spans="2:13" x14ac:dyDescent="0.35">
      <c r="B510" s="117"/>
      <c r="C510" s="190"/>
      <c r="D510" s="190"/>
      <c r="E510" s="111"/>
      <c r="F510" s="112"/>
      <c r="G510" s="115"/>
      <c r="H510" s="124"/>
      <c r="I510" s="115"/>
      <c r="J510" s="49"/>
      <c r="K510" s="29"/>
      <c r="L510" s="51"/>
    </row>
    <row r="511" spans="2:13" x14ac:dyDescent="0.35">
      <c r="B511" s="117"/>
      <c r="C511" s="190"/>
      <c r="D511" s="190"/>
      <c r="E511" s="111"/>
      <c r="F511" s="112" t="s">
        <v>370</v>
      </c>
      <c r="G511" s="112"/>
      <c r="H511" s="100"/>
      <c r="I511" s="115"/>
      <c r="J511" s="49"/>
      <c r="K511" s="29"/>
      <c r="L511" s="51"/>
    </row>
    <row r="512" spans="2:13" x14ac:dyDescent="0.35">
      <c r="B512" s="117"/>
      <c r="C512" s="190"/>
      <c r="D512" s="190"/>
      <c r="E512" s="111"/>
      <c r="F512" s="112"/>
      <c r="G512" s="112"/>
      <c r="H512" s="100"/>
      <c r="I512" s="115"/>
      <c r="J512" s="49"/>
      <c r="K512" s="29"/>
      <c r="L512" s="51"/>
    </row>
    <row r="513" spans="2:12" x14ac:dyDescent="0.35">
      <c r="B513" s="117" t="s">
        <v>43</v>
      </c>
      <c r="C513" s="190"/>
      <c r="D513" s="190"/>
      <c r="E513" s="111" t="s">
        <v>96</v>
      </c>
      <c r="F513" s="112"/>
      <c r="G513" s="112"/>
      <c r="H513" s="100"/>
      <c r="I513" s="115"/>
      <c r="J513" s="49"/>
      <c r="K513" s="29"/>
      <c r="L513" s="51"/>
    </row>
    <row r="514" spans="2:12" x14ac:dyDescent="0.35">
      <c r="B514" s="116"/>
      <c r="C514" s="191"/>
      <c r="D514" s="191" t="s">
        <v>44</v>
      </c>
      <c r="E514" s="108"/>
      <c r="F514" s="109" t="s">
        <v>371</v>
      </c>
      <c r="G514" s="109"/>
      <c r="H514" s="104">
        <v>2</v>
      </c>
      <c r="I514" s="113" t="s">
        <v>105</v>
      </c>
      <c r="J514" s="49">
        <v>1300000</v>
      </c>
      <c r="K514" s="29">
        <f t="shared" ref="K514" si="45">J514*H514</f>
        <v>2600000</v>
      </c>
      <c r="L514" s="51"/>
    </row>
    <row r="515" spans="2:12" x14ac:dyDescent="0.35">
      <c r="B515" s="116"/>
      <c r="C515" s="191"/>
      <c r="D515" s="191"/>
      <c r="E515" s="108"/>
      <c r="F515" s="109" t="s">
        <v>94</v>
      </c>
      <c r="G515" s="109" t="s">
        <v>372</v>
      </c>
      <c r="H515" s="163">
        <v>2</v>
      </c>
      <c r="I515" s="167" t="s">
        <v>155</v>
      </c>
      <c r="J515" s="49"/>
      <c r="K515" s="29"/>
      <c r="L515" s="51"/>
    </row>
    <row r="516" spans="2:12" x14ac:dyDescent="0.35">
      <c r="B516" s="116"/>
      <c r="C516" s="191"/>
      <c r="D516" s="191"/>
      <c r="E516" s="108"/>
      <c r="F516" s="109" t="s">
        <v>94</v>
      </c>
      <c r="G516" s="109" t="s">
        <v>373</v>
      </c>
      <c r="H516" s="163">
        <v>2</v>
      </c>
      <c r="I516" s="167" t="s">
        <v>155</v>
      </c>
      <c r="J516" s="49"/>
      <c r="K516" s="29"/>
      <c r="L516" s="51"/>
    </row>
    <row r="517" spans="2:12" x14ac:dyDescent="0.35">
      <c r="B517" s="116"/>
      <c r="C517" s="191"/>
      <c r="D517" s="191" t="s">
        <v>47</v>
      </c>
      <c r="E517" s="108"/>
      <c r="F517" s="109" t="s">
        <v>374</v>
      </c>
      <c r="G517" s="109"/>
      <c r="H517" s="104">
        <v>2</v>
      </c>
      <c r="I517" s="113" t="s">
        <v>105</v>
      </c>
      <c r="J517" s="49">
        <v>1700000</v>
      </c>
      <c r="K517" s="29">
        <f t="shared" ref="K517" si="46">J517*H517</f>
        <v>3400000</v>
      </c>
      <c r="L517" s="51"/>
    </row>
    <row r="518" spans="2:12" x14ac:dyDescent="0.35">
      <c r="B518" s="116"/>
      <c r="C518" s="191"/>
      <c r="D518" s="191"/>
      <c r="E518" s="108"/>
      <c r="F518" s="109" t="s">
        <v>94</v>
      </c>
      <c r="G518" s="109" t="s">
        <v>375</v>
      </c>
      <c r="H518" s="163">
        <v>2</v>
      </c>
      <c r="I518" s="167" t="s">
        <v>155</v>
      </c>
      <c r="J518" s="49"/>
      <c r="K518" s="29"/>
      <c r="L518" s="51"/>
    </row>
    <row r="519" spans="2:12" x14ac:dyDescent="0.35">
      <c r="B519" s="116"/>
      <c r="C519" s="191"/>
      <c r="D519" s="191"/>
      <c r="E519" s="108"/>
      <c r="F519" s="109" t="s">
        <v>94</v>
      </c>
      <c r="G519" s="109" t="s">
        <v>376</v>
      </c>
      <c r="H519" s="163">
        <v>20</v>
      </c>
      <c r="I519" s="167" t="s">
        <v>155</v>
      </c>
      <c r="J519" s="49"/>
      <c r="K519" s="29"/>
      <c r="L519" s="51"/>
    </row>
    <row r="520" spans="2:12" x14ac:dyDescent="0.35">
      <c r="B520" s="116"/>
      <c r="C520" s="191"/>
      <c r="D520" s="191"/>
      <c r="E520" s="108"/>
      <c r="F520" s="109" t="s">
        <v>94</v>
      </c>
      <c r="G520" s="109" t="s">
        <v>377</v>
      </c>
      <c r="H520" s="163">
        <v>1000</v>
      </c>
      <c r="I520" s="167" t="s">
        <v>153</v>
      </c>
      <c r="J520" s="49"/>
      <c r="K520" s="29"/>
      <c r="L520" s="51"/>
    </row>
    <row r="521" spans="2:12" x14ac:dyDescent="0.35">
      <c r="B521" s="116"/>
      <c r="C521" s="191"/>
      <c r="D521" s="191" t="s">
        <v>49</v>
      </c>
      <c r="E521" s="108"/>
      <c r="F521" s="109" t="s">
        <v>313</v>
      </c>
      <c r="G521" s="109"/>
      <c r="H521" s="104">
        <v>2</v>
      </c>
      <c r="I521" s="113" t="s">
        <v>105</v>
      </c>
      <c r="J521" s="49">
        <v>800000</v>
      </c>
      <c r="K521" s="29">
        <f t="shared" ref="K521" si="47">J521*H521</f>
        <v>1600000</v>
      </c>
      <c r="L521" s="51"/>
    </row>
    <row r="522" spans="2:12" x14ac:dyDescent="0.35">
      <c r="B522" s="116"/>
      <c r="C522" s="191"/>
      <c r="D522" s="191"/>
      <c r="E522" s="108"/>
      <c r="F522" s="109" t="s">
        <v>94</v>
      </c>
      <c r="G522" s="109" t="s">
        <v>378</v>
      </c>
      <c r="H522" s="163">
        <v>2</v>
      </c>
      <c r="I522" s="167" t="s">
        <v>155</v>
      </c>
      <c r="J522" s="49"/>
      <c r="K522" s="29"/>
      <c r="L522" s="51"/>
    </row>
    <row r="523" spans="2:12" x14ac:dyDescent="0.35">
      <c r="B523" s="116"/>
      <c r="C523" s="191"/>
      <c r="D523" s="191"/>
      <c r="E523" s="108"/>
      <c r="F523" s="109" t="s">
        <v>94</v>
      </c>
      <c r="G523" s="109" t="s">
        <v>268</v>
      </c>
      <c r="H523" s="163">
        <v>16</v>
      </c>
      <c r="I523" s="167" t="s">
        <v>155</v>
      </c>
      <c r="J523" s="49"/>
      <c r="K523" s="29"/>
      <c r="L523" s="51"/>
    </row>
    <row r="524" spans="2:12" x14ac:dyDescent="0.35">
      <c r="B524" s="116"/>
      <c r="C524" s="191"/>
      <c r="D524" s="191"/>
      <c r="E524" s="108"/>
      <c r="F524" s="109" t="s">
        <v>94</v>
      </c>
      <c r="G524" s="109" t="s">
        <v>379</v>
      </c>
      <c r="H524" s="163">
        <v>1000</v>
      </c>
      <c r="I524" s="167" t="s">
        <v>153</v>
      </c>
      <c r="J524" s="49"/>
      <c r="K524" s="29"/>
      <c r="L524" s="51"/>
    </row>
    <row r="525" spans="2:12" x14ac:dyDescent="0.35">
      <c r="B525" s="117" t="s">
        <v>80</v>
      </c>
      <c r="C525" s="190"/>
      <c r="D525" s="190"/>
      <c r="E525" s="111" t="s">
        <v>100</v>
      </c>
      <c r="F525" s="112"/>
      <c r="G525" s="112"/>
      <c r="H525" s="100"/>
      <c r="I525" s="115"/>
      <c r="J525" s="49"/>
      <c r="K525" s="29"/>
      <c r="L525" s="51"/>
    </row>
    <row r="526" spans="2:12" x14ac:dyDescent="0.35">
      <c r="B526" s="116"/>
      <c r="C526" s="191"/>
      <c r="D526" s="191" t="s">
        <v>44</v>
      </c>
      <c r="E526" s="108"/>
      <c r="F526" s="109" t="s">
        <v>380</v>
      </c>
      <c r="G526" s="109"/>
      <c r="H526" s="104">
        <v>2</v>
      </c>
      <c r="I526" s="113" t="s">
        <v>105</v>
      </c>
      <c r="J526" s="49">
        <v>1750000</v>
      </c>
      <c r="K526" s="29">
        <f t="shared" ref="K526" si="48">J526*H526</f>
        <v>3500000</v>
      </c>
      <c r="L526" s="51"/>
    </row>
    <row r="527" spans="2:12" x14ac:dyDescent="0.35">
      <c r="B527" s="116"/>
      <c r="C527" s="191"/>
      <c r="D527" s="191"/>
      <c r="E527" s="108"/>
      <c r="F527" s="109" t="s">
        <v>94</v>
      </c>
      <c r="G527" s="109" t="s">
        <v>381</v>
      </c>
      <c r="H527" s="163">
        <v>8000</v>
      </c>
      <c r="I527" s="167" t="s">
        <v>153</v>
      </c>
      <c r="J527" s="49"/>
      <c r="K527" s="29"/>
      <c r="L527" s="51"/>
    </row>
    <row r="528" spans="2:12" x14ac:dyDescent="0.35">
      <c r="B528" s="116"/>
      <c r="C528" s="191"/>
      <c r="D528" s="191" t="s">
        <v>47</v>
      </c>
      <c r="E528" s="108"/>
      <c r="F528" s="109" t="s">
        <v>382</v>
      </c>
      <c r="G528" s="109"/>
      <c r="H528" s="104">
        <v>2</v>
      </c>
      <c r="I528" s="113" t="s">
        <v>105</v>
      </c>
      <c r="J528" s="49">
        <v>20000000</v>
      </c>
      <c r="K528" s="29">
        <f t="shared" ref="K528" si="49">J528*H528</f>
        <v>40000000</v>
      </c>
      <c r="L528" s="51"/>
    </row>
    <row r="529" spans="2:12" x14ac:dyDescent="0.35">
      <c r="B529" s="116"/>
      <c r="C529" s="191"/>
      <c r="D529" s="191"/>
      <c r="E529" s="108"/>
      <c r="F529" s="109" t="s">
        <v>94</v>
      </c>
      <c r="G529" s="109" t="s">
        <v>383</v>
      </c>
      <c r="H529" s="163">
        <v>1</v>
      </c>
      <c r="I529" s="167" t="s">
        <v>93</v>
      </c>
      <c r="J529" s="49"/>
      <c r="K529" s="29"/>
      <c r="L529" s="51"/>
    </row>
    <row r="530" spans="2:12" x14ac:dyDescent="0.35">
      <c r="B530" s="116"/>
      <c r="C530" s="191"/>
      <c r="D530" s="191"/>
      <c r="E530" s="108"/>
      <c r="F530" s="109" t="s">
        <v>94</v>
      </c>
      <c r="G530" s="109" t="s">
        <v>384</v>
      </c>
      <c r="H530" s="163">
        <v>2</v>
      </c>
      <c r="I530" s="167" t="s">
        <v>93</v>
      </c>
      <c r="J530" s="49"/>
      <c r="K530" s="29"/>
      <c r="L530" s="51"/>
    </row>
    <row r="531" spans="2:12" x14ac:dyDescent="0.35">
      <c r="B531" s="47"/>
      <c r="C531" s="183"/>
      <c r="D531" s="24"/>
      <c r="G531" s="22"/>
      <c r="I531" s="22"/>
      <c r="J531" s="49"/>
      <c r="K531" s="29"/>
      <c r="L531" s="51"/>
    </row>
    <row r="532" spans="2:12" x14ac:dyDescent="0.35">
      <c r="B532" s="47"/>
      <c r="C532" s="183"/>
      <c r="D532" s="24"/>
      <c r="G532" s="22"/>
      <c r="I532" s="22"/>
      <c r="J532" s="49"/>
      <c r="K532" s="29"/>
      <c r="L532" s="51"/>
    </row>
    <row r="533" spans="2:12" x14ac:dyDescent="0.35">
      <c r="B533" s="47"/>
      <c r="C533" s="183"/>
      <c r="D533" s="24"/>
      <c r="G533" s="22"/>
      <c r="I533" s="22"/>
      <c r="J533" s="49"/>
      <c r="K533" s="29"/>
      <c r="L533" s="51"/>
    </row>
    <row r="534" spans="2:12" x14ac:dyDescent="0.35">
      <c r="B534" s="8"/>
      <c r="C534" s="9"/>
      <c r="D534" s="10"/>
      <c r="E534" s="4"/>
      <c r="F534" s="4"/>
      <c r="G534" s="4"/>
      <c r="H534" s="1"/>
      <c r="I534" s="1"/>
      <c r="J534" s="11" t="s">
        <v>8</v>
      </c>
      <c r="K534" s="7">
        <f>SUM(K482:K533)</f>
        <v>78600000</v>
      </c>
      <c r="L534" s="7">
        <f>SUM(L482:L533)</f>
        <v>1492580.16</v>
      </c>
    </row>
    <row r="535" spans="2:12" x14ac:dyDescent="0.35">
      <c r="B535" s="8"/>
      <c r="C535" s="9"/>
      <c r="D535" s="9"/>
      <c r="E535" s="4"/>
      <c r="F535" s="4"/>
      <c r="G535" s="4"/>
      <c r="H535" s="1"/>
      <c r="I535" s="1"/>
      <c r="J535" s="11"/>
      <c r="K535" s="35" t="s">
        <v>21</v>
      </c>
      <c r="L535" s="36" t="s">
        <v>22</v>
      </c>
    </row>
    <row r="536" spans="2:12" x14ac:dyDescent="0.35">
      <c r="B536" s="3" t="s">
        <v>9</v>
      </c>
      <c r="C536" s="4"/>
      <c r="D536" s="4"/>
      <c r="E536" s="4"/>
      <c r="F536" s="4"/>
      <c r="G536" s="4"/>
      <c r="H536" s="1"/>
      <c r="I536" s="1"/>
      <c r="J536" s="12"/>
      <c r="K536" s="12"/>
      <c r="L536" s="13"/>
    </row>
    <row r="537" spans="2:12" x14ac:dyDescent="0.35">
      <c r="B537" s="37"/>
      <c r="C537" s="1"/>
      <c r="D537" s="1"/>
      <c r="E537" s="38"/>
      <c r="F537" s="38"/>
      <c r="G537" s="38"/>
      <c r="H537" s="1"/>
      <c r="I537" s="1"/>
      <c r="J537" s="1"/>
      <c r="K537" s="1"/>
      <c r="L537" s="19"/>
    </row>
    <row r="538" spans="2:12" x14ac:dyDescent="0.35">
      <c r="B538" s="28" t="s">
        <v>6</v>
      </c>
      <c r="C538" s="27"/>
      <c r="D538" s="27"/>
      <c r="E538" s="26"/>
      <c r="F538" s="26"/>
      <c r="G538" s="5"/>
      <c r="K538" s="271" t="s">
        <v>42</v>
      </c>
      <c r="L538" s="272"/>
    </row>
    <row r="539" spans="2:12" x14ac:dyDescent="0.35">
      <c r="B539" s="28">
        <v>1</v>
      </c>
      <c r="C539" s="27"/>
      <c r="D539" s="27"/>
      <c r="E539" s="26" t="s">
        <v>7</v>
      </c>
      <c r="F539" s="26"/>
      <c r="G539" s="5"/>
      <c r="K539" s="271" t="s">
        <v>27</v>
      </c>
      <c r="L539" s="272"/>
    </row>
    <row r="540" spans="2:12" x14ac:dyDescent="0.35">
      <c r="B540" s="39"/>
      <c r="C540" s="27"/>
      <c r="D540" s="27"/>
      <c r="E540" s="26"/>
      <c r="F540" s="26"/>
      <c r="G540" s="5"/>
      <c r="J540" s="25"/>
      <c r="K540" s="25"/>
      <c r="L540" s="24"/>
    </row>
    <row r="541" spans="2:12" x14ac:dyDescent="0.35">
      <c r="B541" s="28"/>
      <c r="C541" s="27"/>
      <c r="D541" s="27"/>
      <c r="E541" s="26"/>
      <c r="F541" s="26"/>
      <c r="G541" s="5"/>
      <c r="L541" s="22"/>
    </row>
    <row r="542" spans="2:12" x14ac:dyDescent="0.35">
      <c r="B542" s="45"/>
      <c r="E542" s="5"/>
      <c r="F542" s="5"/>
      <c r="G542" s="5"/>
      <c r="L542" s="22"/>
    </row>
    <row r="543" spans="2:12" x14ac:dyDescent="0.35">
      <c r="B543" s="45"/>
      <c r="E543" s="5"/>
      <c r="F543" s="5"/>
      <c r="G543" s="5"/>
      <c r="L543" s="22"/>
    </row>
    <row r="544" spans="2:12" x14ac:dyDescent="0.35">
      <c r="B544" s="45"/>
      <c r="E544" s="5"/>
      <c r="F544" s="5"/>
      <c r="G544" s="5"/>
      <c r="L544" s="22"/>
    </row>
    <row r="545" spans="2:14" x14ac:dyDescent="0.35">
      <c r="B545" s="45"/>
      <c r="E545" s="5"/>
      <c r="F545" s="5"/>
      <c r="G545" s="5"/>
      <c r="J545" s="40"/>
      <c r="K545" s="273" t="s">
        <v>35</v>
      </c>
      <c r="L545" s="274"/>
    </row>
    <row r="546" spans="2:14" x14ac:dyDescent="0.35">
      <c r="B546" s="45"/>
      <c r="K546" s="277" t="s">
        <v>36</v>
      </c>
      <c r="L546" s="278"/>
    </row>
    <row r="547" spans="2:14" x14ac:dyDescent="0.35">
      <c r="B547" s="275"/>
      <c r="C547" s="276"/>
      <c r="D547" s="276"/>
      <c r="E547" s="41"/>
      <c r="F547" s="41"/>
      <c r="G547" s="41"/>
      <c r="H547" s="2"/>
      <c r="I547" s="2"/>
      <c r="J547" s="2"/>
      <c r="K547" s="2"/>
      <c r="L547" s="21"/>
    </row>
    <row r="548" spans="2:14" x14ac:dyDescent="0.35">
      <c r="B548" s="47"/>
      <c r="C548" s="183"/>
      <c r="D548" s="48"/>
      <c r="G548" s="22"/>
      <c r="H548" s="1"/>
      <c r="I548" s="1"/>
      <c r="J548" s="43"/>
      <c r="K548" s="30"/>
      <c r="L548" s="44"/>
    </row>
    <row r="549" spans="2:14" x14ac:dyDescent="0.35">
      <c r="B549" s="117"/>
      <c r="C549" s="190"/>
      <c r="D549" s="190"/>
      <c r="E549" s="111"/>
      <c r="F549" s="112" t="s">
        <v>385</v>
      </c>
      <c r="G549" s="112"/>
      <c r="H549" s="100"/>
      <c r="I549" s="115"/>
      <c r="J549" s="29"/>
      <c r="K549" s="50"/>
      <c r="L549" s="46"/>
    </row>
    <row r="550" spans="2:14" x14ac:dyDescent="0.35">
      <c r="B550" s="125" t="s">
        <v>43</v>
      </c>
      <c r="C550" s="191"/>
      <c r="D550" s="126"/>
      <c r="E550" s="127" t="s">
        <v>351</v>
      </c>
      <c r="F550" s="109"/>
      <c r="G550" s="113"/>
      <c r="H550" s="128"/>
      <c r="I550" s="109"/>
      <c r="J550" s="49"/>
      <c r="K550" s="50"/>
      <c r="L550" s="46"/>
    </row>
    <row r="551" spans="2:14" x14ac:dyDescent="0.35">
      <c r="B551" s="125"/>
      <c r="C551" s="191"/>
      <c r="D551" s="126"/>
      <c r="E551" s="127"/>
      <c r="F551" s="109" t="s">
        <v>94</v>
      </c>
      <c r="G551" s="113" t="s">
        <v>386</v>
      </c>
      <c r="H551" s="128">
        <v>2</v>
      </c>
      <c r="I551" s="109" t="s">
        <v>155</v>
      </c>
      <c r="J551" s="49">
        <v>290000</v>
      </c>
      <c r="K551" s="50"/>
      <c r="L551" s="46">
        <f>J551*H551</f>
        <v>580000</v>
      </c>
    </row>
    <row r="552" spans="2:14" x14ac:dyDescent="0.35">
      <c r="B552" s="125"/>
      <c r="C552" s="191"/>
      <c r="D552" s="126"/>
      <c r="E552" s="127"/>
      <c r="F552" s="109" t="s">
        <v>94</v>
      </c>
      <c r="G552" s="113" t="s">
        <v>387</v>
      </c>
      <c r="H552" s="128">
        <v>7</v>
      </c>
      <c r="I552" s="109" t="s">
        <v>71</v>
      </c>
      <c r="J552" s="49">
        <v>290000</v>
      </c>
      <c r="K552" s="50"/>
      <c r="L552" s="46">
        <f>J552*H552</f>
        <v>2030000</v>
      </c>
    </row>
    <row r="553" spans="2:14" x14ac:dyDescent="0.35">
      <c r="B553" s="125"/>
      <c r="C553" s="191"/>
      <c r="D553" s="126"/>
      <c r="E553" s="127"/>
      <c r="F553" s="109" t="s">
        <v>94</v>
      </c>
      <c r="G553" s="113" t="s">
        <v>388</v>
      </c>
      <c r="H553" s="128">
        <v>8</v>
      </c>
      <c r="I553" s="109" t="s">
        <v>155</v>
      </c>
      <c r="J553" s="49">
        <v>90000</v>
      </c>
      <c r="K553" s="29"/>
      <c r="L553" s="46">
        <f>J553*H553</f>
        <v>720000</v>
      </c>
    </row>
    <row r="554" spans="2:14" x14ac:dyDescent="0.35">
      <c r="B554" s="125"/>
      <c r="C554" s="191"/>
      <c r="D554" s="126"/>
      <c r="E554" s="127"/>
      <c r="F554" s="109" t="s">
        <v>94</v>
      </c>
      <c r="G554" s="113" t="s">
        <v>389</v>
      </c>
      <c r="H554" s="128">
        <v>7</v>
      </c>
      <c r="I554" s="109" t="s">
        <v>71</v>
      </c>
      <c r="J554" s="49">
        <v>310000</v>
      </c>
      <c r="K554" s="29"/>
      <c r="L554" s="46">
        <f>J554*H554</f>
        <v>2170000</v>
      </c>
    </row>
    <row r="555" spans="2:14" x14ac:dyDescent="0.35">
      <c r="B555" s="125"/>
      <c r="C555" s="191"/>
      <c r="D555" s="126"/>
      <c r="E555" s="127"/>
      <c r="F555" s="109" t="s">
        <v>94</v>
      </c>
      <c r="G555" s="113" t="s">
        <v>390</v>
      </c>
      <c r="H555" s="128">
        <v>8</v>
      </c>
      <c r="I555" s="109" t="s">
        <v>155</v>
      </c>
      <c r="J555" s="49">
        <v>87000</v>
      </c>
      <c r="K555" s="29"/>
      <c r="L555" s="46">
        <f>J555*H555</f>
        <v>696000</v>
      </c>
    </row>
    <row r="556" spans="2:14" x14ac:dyDescent="0.35">
      <c r="B556" s="125" t="s">
        <v>80</v>
      </c>
      <c r="C556" s="191"/>
      <c r="D556" s="126"/>
      <c r="E556" s="127" t="s">
        <v>142</v>
      </c>
      <c r="F556" s="109"/>
      <c r="G556" s="113"/>
      <c r="H556" s="128"/>
      <c r="I556" s="109"/>
      <c r="J556" s="49"/>
      <c r="K556" s="29"/>
      <c r="L556" s="51"/>
    </row>
    <row r="557" spans="2:14" x14ac:dyDescent="0.35">
      <c r="B557" s="125"/>
      <c r="C557" s="191" t="s">
        <v>254</v>
      </c>
      <c r="D557" s="126"/>
      <c r="E557" s="127"/>
      <c r="F557" s="109" t="s">
        <v>250</v>
      </c>
      <c r="G557" s="113"/>
      <c r="H557" s="128"/>
      <c r="I557" s="109"/>
      <c r="J557" s="49"/>
      <c r="K557" s="29"/>
      <c r="L557" s="51"/>
    </row>
    <row r="558" spans="2:14" x14ac:dyDescent="0.35">
      <c r="B558" s="125"/>
      <c r="C558" s="191"/>
      <c r="D558" s="126" t="s">
        <v>44</v>
      </c>
      <c r="E558" s="127"/>
      <c r="F558" s="109" t="s">
        <v>251</v>
      </c>
      <c r="G558" s="113"/>
      <c r="H558" s="128"/>
      <c r="I558" s="109"/>
      <c r="J558" s="49"/>
      <c r="K558" s="29"/>
      <c r="L558" s="51"/>
    </row>
    <row r="559" spans="2:14" x14ac:dyDescent="0.35">
      <c r="B559" s="125"/>
      <c r="C559" s="191"/>
      <c r="D559" s="126"/>
      <c r="E559" s="127"/>
      <c r="F559" s="109" t="s">
        <v>94</v>
      </c>
      <c r="G559" s="113" t="s">
        <v>391</v>
      </c>
      <c r="H559" s="128">
        <v>11.0044</v>
      </c>
      <c r="I559" s="109" t="s">
        <v>160</v>
      </c>
      <c r="J559" s="49">
        <v>30000</v>
      </c>
      <c r="K559" s="29"/>
      <c r="L559" s="46">
        <f>J559*H559</f>
        <v>330132</v>
      </c>
    </row>
    <row r="560" spans="2:14" x14ac:dyDescent="0.35">
      <c r="B560" s="125"/>
      <c r="C560" s="191" t="s">
        <v>286</v>
      </c>
      <c r="D560" s="126"/>
      <c r="E560" s="127"/>
      <c r="F560" s="109" t="s">
        <v>512</v>
      </c>
      <c r="G560" s="113"/>
      <c r="H560" s="128">
        <v>1</v>
      </c>
      <c r="I560" s="109" t="s">
        <v>105</v>
      </c>
      <c r="J560" s="49">
        <v>650000</v>
      </c>
      <c r="K560" s="29">
        <f t="shared" ref="K560" si="50">J560*H560</f>
        <v>650000</v>
      </c>
      <c r="L560" s="51"/>
      <c r="M560">
        <v>300000</v>
      </c>
      <c r="N560">
        <f>SUM(M560:M561)*1.3</f>
        <v>649669.02</v>
      </c>
    </row>
    <row r="561" spans="2:13" x14ac:dyDescent="0.35">
      <c r="B561" s="125"/>
      <c r="C561" s="191"/>
      <c r="D561" s="126" t="s">
        <v>44</v>
      </c>
      <c r="E561" s="127"/>
      <c r="F561" s="109" t="s">
        <v>94</v>
      </c>
      <c r="G561" s="113" t="s">
        <v>392</v>
      </c>
      <c r="H561" s="269">
        <v>6.6581799999999989</v>
      </c>
      <c r="I561" s="270" t="s">
        <v>160</v>
      </c>
      <c r="J561" s="165">
        <v>30000</v>
      </c>
      <c r="K561" s="29"/>
      <c r="L561" s="46"/>
      <c r="M561">
        <v>199745.39999999997</v>
      </c>
    </row>
    <row r="562" spans="2:13" x14ac:dyDescent="0.35">
      <c r="B562" s="125" t="s">
        <v>95</v>
      </c>
      <c r="C562" s="191"/>
      <c r="D562" s="126"/>
      <c r="E562" s="127" t="s">
        <v>393</v>
      </c>
      <c r="F562" s="109"/>
      <c r="G562" s="113"/>
      <c r="H562" s="128"/>
      <c r="I562" s="109"/>
      <c r="J562" s="49"/>
      <c r="K562" s="29"/>
      <c r="L562" s="51"/>
    </row>
    <row r="563" spans="2:13" x14ac:dyDescent="0.35">
      <c r="B563" s="125"/>
      <c r="C563" s="195" t="s">
        <v>298</v>
      </c>
      <c r="D563" s="130"/>
      <c r="E563" s="127"/>
      <c r="F563" s="127" t="s">
        <v>394</v>
      </c>
      <c r="G563" s="131"/>
      <c r="H563" s="132"/>
      <c r="I563" s="127"/>
      <c r="J563" s="49"/>
      <c r="K563" s="29"/>
      <c r="L563" s="51"/>
    </row>
    <row r="564" spans="2:13" x14ac:dyDescent="0.35">
      <c r="B564" s="125"/>
      <c r="C564" s="191"/>
      <c r="D564" s="126"/>
      <c r="E564" s="127"/>
      <c r="F564" s="109" t="s">
        <v>94</v>
      </c>
      <c r="G564" s="113" t="s">
        <v>395</v>
      </c>
      <c r="H564" s="128">
        <v>3</v>
      </c>
      <c r="I564" s="109" t="s">
        <v>155</v>
      </c>
      <c r="J564" s="49">
        <v>1150000</v>
      </c>
      <c r="K564" s="29"/>
      <c r="L564" s="46">
        <f>J564*H564</f>
        <v>3450000</v>
      </c>
    </row>
    <row r="565" spans="2:13" x14ac:dyDescent="0.35">
      <c r="B565" s="125"/>
      <c r="C565" s="191"/>
      <c r="D565" s="126"/>
      <c r="E565" s="127"/>
      <c r="F565" s="109" t="s">
        <v>94</v>
      </c>
      <c r="G565" s="113" t="s">
        <v>396</v>
      </c>
      <c r="H565" s="128">
        <v>2</v>
      </c>
      <c r="I565" s="109" t="s">
        <v>93</v>
      </c>
      <c r="J565" s="49">
        <v>3900000</v>
      </c>
      <c r="K565" s="29"/>
      <c r="L565" s="46">
        <f>J565*H565</f>
        <v>7800000</v>
      </c>
    </row>
    <row r="566" spans="2:13" x14ac:dyDescent="0.35">
      <c r="B566" s="125"/>
      <c r="C566" s="191"/>
      <c r="D566" s="126"/>
      <c r="E566" s="127"/>
      <c r="F566" s="109" t="s">
        <v>94</v>
      </c>
      <c r="G566" s="113" t="s">
        <v>397</v>
      </c>
      <c r="H566" s="128">
        <v>2</v>
      </c>
      <c r="I566" s="109" t="s">
        <v>155</v>
      </c>
      <c r="J566" s="49">
        <v>1750000</v>
      </c>
      <c r="K566" s="29"/>
      <c r="L566" s="46">
        <f>J566*H566</f>
        <v>3500000</v>
      </c>
    </row>
    <row r="567" spans="2:13" x14ac:dyDescent="0.35">
      <c r="B567" s="133"/>
      <c r="C567" s="190"/>
      <c r="D567" s="134"/>
      <c r="E567" s="135"/>
      <c r="F567" s="112"/>
      <c r="G567" s="115"/>
      <c r="H567" s="136"/>
      <c r="I567" s="112"/>
      <c r="J567" s="49"/>
      <c r="K567" s="29"/>
      <c r="L567" s="51"/>
    </row>
    <row r="568" spans="2:13" x14ac:dyDescent="0.35">
      <c r="B568" s="117"/>
      <c r="C568" s="190"/>
      <c r="D568" s="190"/>
      <c r="E568" s="111"/>
      <c r="F568" s="112" t="s">
        <v>398</v>
      </c>
      <c r="G568" s="112"/>
      <c r="H568" s="100"/>
      <c r="I568" s="115"/>
      <c r="J568" s="49"/>
      <c r="K568" s="29"/>
      <c r="L568" s="51"/>
    </row>
    <row r="569" spans="2:13" x14ac:dyDescent="0.35">
      <c r="B569" s="133" t="s">
        <v>43</v>
      </c>
      <c r="C569" s="190"/>
      <c r="D569" s="134"/>
      <c r="E569" s="135" t="s">
        <v>17</v>
      </c>
      <c r="F569" s="112"/>
      <c r="G569" s="115"/>
      <c r="H569" s="136"/>
      <c r="I569" s="115"/>
      <c r="J569" s="152"/>
      <c r="K569" s="29"/>
      <c r="L569" s="51"/>
    </row>
    <row r="570" spans="2:13" x14ac:dyDescent="0.35">
      <c r="B570" s="125"/>
      <c r="C570" s="191"/>
      <c r="D570" s="126" t="s">
        <v>44</v>
      </c>
      <c r="E570" s="127"/>
      <c r="F570" s="109" t="s">
        <v>399</v>
      </c>
      <c r="G570" s="113"/>
      <c r="H570" s="128">
        <v>6</v>
      </c>
      <c r="I570" s="113" t="s">
        <v>257</v>
      </c>
      <c r="J570" s="152">
        <v>225000</v>
      </c>
      <c r="K570" s="29">
        <f t="shared" ref="K570" si="51">J570*H570</f>
        <v>1350000</v>
      </c>
      <c r="L570" s="51"/>
    </row>
    <row r="571" spans="2:13" x14ac:dyDescent="0.35">
      <c r="B571" s="125"/>
      <c r="C571" s="191"/>
      <c r="D571" s="126"/>
      <c r="E571" s="127"/>
      <c r="F571" s="109" t="s">
        <v>94</v>
      </c>
      <c r="G571" s="113" t="s">
        <v>400</v>
      </c>
      <c r="H571" s="128">
        <v>1</v>
      </c>
      <c r="I571" s="113" t="s">
        <v>155</v>
      </c>
      <c r="J571" s="152">
        <v>415000</v>
      </c>
      <c r="K571" s="29"/>
      <c r="L571" s="46">
        <f>J571*H571</f>
        <v>415000</v>
      </c>
    </row>
    <row r="572" spans="2:13" x14ac:dyDescent="0.35">
      <c r="B572" s="125"/>
      <c r="C572" s="191"/>
      <c r="D572" s="126"/>
      <c r="E572" s="127"/>
      <c r="F572" s="109" t="s">
        <v>94</v>
      </c>
      <c r="G572" s="113" t="s">
        <v>258</v>
      </c>
      <c r="H572" s="128">
        <v>600</v>
      </c>
      <c r="I572" s="113" t="s">
        <v>153</v>
      </c>
      <c r="J572" s="161">
        <v>480</v>
      </c>
      <c r="K572" s="29"/>
      <c r="L572" s="46">
        <f>J572*H572</f>
        <v>288000</v>
      </c>
    </row>
    <row r="573" spans="2:13" x14ac:dyDescent="0.35">
      <c r="B573" s="125"/>
      <c r="C573" s="191"/>
      <c r="D573" s="126"/>
      <c r="E573" s="127"/>
      <c r="F573" s="109" t="s">
        <v>94</v>
      </c>
      <c r="G573" s="113" t="s">
        <v>259</v>
      </c>
      <c r="H573" s="128">
        <v>2</v>
      </c>
      <c r="I573" s="113" t="s">
        <v>155</v>
      </c>
      <c r="J573" s="161">
        <v>165000</v>
      </c>
      <c r="K573" s="29"/>
      <c r="L573" s="46">
        <f>J573*H573</f>
        <v>330000</v>
      </c>
    </row>
    <row r="574" spans="2:13" x14ac:dyDescent="0.35">
      <c r="B574" s="125"/>
      <c r="C574" s="191"/>
      <c r="D574" s="126"/>
      <c r="E574" s="127"/>
      <c r="F574" s="109" t="s">
        <v>94</v>
      </c>
      <c r="G574" s="113" t="s">
        <v>260</v>
      </c>
      <c r="H574" s="128">
        <v>4</v>
      </c>
      <c r="I574" s="113" t="s">
        <v>155</v>
      </c>
      <c r="J574" s="161">
        <v>35000</v>
      </c>
      <c r="K574" s="29"/>
      <c r="L574" s="46">
        <f>J574*H574</f>
        <v>140000</v>
      </c>
    </row>
    <row r="575" spans="2:13" x14ac:dyDescent="0.35">
      <c r="B575" s="125"/>
      <c r="C575" s="191"/>
      <c r="D575" s="126"/>
      <c r="E575" s="127"/>
      <c r="F575" s="109" t="s">
        <v>94</v>
      </c>
      <c r="G575" s="113" t="s">
        <v>401</v>
      </c>
      <c r="H575" s="128">
        <v>2</v>
      </c>
      <c r="I575" s="113" t="s">
        <v>155</v>
      </c>
      <c r="J575" s="161">
        <v>35000</v>
      </c>
      <c r="K575" s="29"/>
      <c r="L575" s="46">
        <f>J575*H575</f>
        <v>70000</v>
      </c>
    </row>
    <row r="576" spans="2:13" x14ac:dyDescent="0.35">
      <c r="B576" s="196"/>
      <c r="C576" s="112"/>
      <c r="D576" s="137"/>
      <c r="E576" s="112"/>
      <c r="F576" s="138"/>
      <c r="G576" s="139"/>
      <c r="H576" s="140"/>
      <c r="I576" s="141"/>
      <c r="J576" s="152"/>
      <c r="K576" s="29"/>
      <c r="L576" s="51"/>
    </row>
    <row r="577" spans="2:12" s="107" customFormat="1" x14ac:dyDescent="0.35">
      <c r="B577" s="197" t="s">
        <v>80</v>
      </c>
      <c r="C577" s="127"/>
      <c r="D577" s="168"/>
      <c r="E577" s="127" t="s">
        <v>142</v>
      </c>
      <c r="F577" s="127"/>
      <c r="G577" s="169"/>
      <c r="H577" s="132"/>
      <c r="I577" s="170"/>
      <c r="J577" s="171"/>
      <c r="K577" s="172"/>
      <c r="L577" s="173"/>
    </row>
    <row r="578" spans="2:12" x14ac:dyDescent="0.35">
      <c r="B578" s="198"/>
      <c r="C578" s="109" t="s">
        <v>254</v>
      </c>
      <c r="D578" s="142"/>
      <c r="E578" s="109"/>
      <c r="F578" s="109" t="s">
        <v>162</v>
      </c>
      <c r="G578" s="143"/>
      <c r="H578" s="128"/>
      <c r="I578" s="144"/>
      <c r="J578" s="49"/>
      <c r="K578" s="29"/>
      <c r="L578" s="51"/>
    </row>
    <row r="579" spans="2:12" x14ac:dyDescent="0.35">
      <c r="B579" s="198"/>
      <c r="C579" s="109"/>
      <c r="D579" s="142" t="s">
        <v>44</v>
      </c>
      <c r="E579" s="109"/>
      <c r="F579" s="109" t="s">
        <v>193</v>
      </c>
      <c r="G579" s="143"/>
      <c r="H579" s="128"/>
      <c r="I579" s="144"/>
      <c r="J579" s="49"/>
      <c r="K579" s="29"/>
      <c r="L579" s="51"/>
    </row>
    <row r="580" spans="2:12" x14ac:dyDescent="0.35">
      <c r="B580" s="198"/>
      <c r="C580" s="109"/>
      <c r="D580" s="145"/>
      <c r="E580" s="109"/>
      <c r="F580" s="146"/>
      <c r="G580" s="113" t="s">
        <v>402</v>
      </c>
      <c r="H580" s="129">
        <v>13.187999999999997</v>
      </c>
      <c r="I580" s="147" t="s">
        <v>147</v>
      </c>
      <c r="J580" s="49">
        <v>30000</v>
      </c>
      <c r="K580" s="29"/>
      <c r="L580" s="46">
        <f>J580*H580</f>
        <v>395639.99999999988</v>
      </c>
    </row>
    <row r="581" spans="2:12" x14ac:dyDescent="0.35">
      <c r="B581" s="47"/>
      <c r="C581" s="183"/>
      <c r="D581" s="24"/>
      <c r="G581" s="22"/>
      <c r="I581" s="22"/>
      <c r="J581" s="49"/>
      <c r="K581" s="29"/>
      <c r="L581" s="51"/>
    </row>
    <row r="582" spans="2:12" x14ac:dyDescent="0.35">
      <c r="B582" s="47"/>
      <c r="C582" s="183"/>
      <c r="D582" s="24"/>
      <c r="G582" s="22"/>
      <c r="I582" s="22"/>
      <c r="J582" s="49"/>
      <c r="K582" s="29"/>
      <c r="L582" s="51"/>
    </row>
    <row r="583" spans="2:12" x14ac:dyDescent="0.35">
      <c r="B583" s="47"/>
      <c r="C583" s="183"/>
      <c r="D583" s="24"/>
      <c r="G583" s="22"/>
      <c r="I583" s="22"/>
      <c r="J583" s="49"/>
      <c r="K583" s="29"/>
      <c r="L583" s="51"/>
    </row>
    <row r="584" spans="2:12" x14ac:dyDescent="0.35">
      <c r="B584" s="47"/>
      <c r="C584" s="183"/>
      <c r="D584" s="24"/>
      <c r="G584" s="22"/>
      <c r="I584" s="22"/>
      <c r="J584" s="49"/>
      <c r="K584" s="29"/>
      <c r="L584" s="51"/>
    </row>
    <row r="585" spans="2:12" x14ac:dyDescent="0.35">
      <c r="B585" s="47"/>
      <c r="C585" s="183"/>
      <c r="D585" s="24"/>
      <c r="G585" s="22"/>
      <c r="I585" s="22"/>
      <c r="J585" s="49"/>
      <c r="K585" s="29"/>
      <c r="L585" s="51"/>
    </row>
    <row r="586" spans="2:12" x14ac:dyDescent="0.35">
      <c r="B586" s="47"/>
      <c r="C586" s="183"/>
      <c r="D586" s="24"/>
      <c r="G586" s="22"/>
      <c r="I586" s="22"/>
      <c r="J586" s="49"/>
      <c r="K586" s="29"/>
      <c r="L586" s="51"/>
    </row>
    <row r="587" spans="2:12" x14ac:dyDescent="0.35">
      <c r="B587" s="47"/>
      <c r="C587" s="183"/>
      <c r="D587" s="24"/>
      <c r="G587" s="22"/>
      <c r="I587" s="22"/>
      <c r="J587" s="49"/>
      <c r="K587" s="29"/>
      <c r="L587" s="51"/>
    </row>
    <row r="588" spans="2:12" x14ac:dyDescent="0.35">
      <c r="B588" s="47"/>
      <c r="C588" s="183"/>
      <c r="D588" s="24"/>
      <c r="G588" s="22"/>
      <c r="I588" s="22"/>
      <c r="J588" s="49"/>
      <c r="K588" s="29"/>
      <c r="L588" s="51"/>
    </row>
    <row r="589" spans="2:12" x14ac:dyDescent="0.35">
      <c r="B589" s="47"/>
      <c r="C589" s="183"/>
      <c r="D589" s="24"/>
      <c r="G589" s="22"/>
      <c r="I589" s="22"/>
      <c r="J589" s="49"/>
      <c r="K589" s="29"/>
      <c r="L589" s="51"/>
    </row>
    <row r="590" spans="2:12" x14ac:dyDescent="0.35">
      <c r="B590" s="47"/>
      <c r="C590" s="183"/>
      <c r="D590" s="24"/>
      <c r="G590" s="22"/>
      <c r="I590" s="22"/>
      <c r="J590" s="49"/>
      <c r="K590" s="29"/>
      <c r="L590" s="51"/>
    </row>
    <row r="591" spans="2:12" x14ac:dyDescent="0.35">
      <c r="B591" s="47"/>
      <c r="C591" s="183"/>
      <c r="D591" s="24"/>
      <c r="G591" s="22"/>
      <c r="I591" s="22"/>
      <c r="J591" s="49"/>
      <c r="K591" s="29"/>
      <c r="L591" s="51"/>
    </row>
    <row r="592" spans="2:12" x14ac:dyDescent="0.35">
      <c r="B592" s="47"/>
      <c r="C592" s="183"/>
      <c r="D592" s="24"/>
      <c r="G592" s="22"/>
      <c r="I592" s="22"/>
      <c r="J592" s="49"/>
      <c r="K592" s="29"/>
      <c r="L592" s="51"/>
    </row>
    <row r="593" spans="2:13" x14ac:dyDescent="0.35">
      <c r="B593" s="47"/>
      <c r="C593" s="183"/>
      <c r="D593" s="24"/>
      <c r="G593" s="22"/>
      <c r="I593" s="22"/>
      <c r="J593" s="49"/>
      <c r="K593" s="29"/>
      <c r="L593" s="51"/>
    </row>
    <row r="594" spans="2:13" x14ac:dyDescent="0.35">
      <c r="B594" s="47"/>
      <c r="C594" s="183"/>
      <c r="D594" s="24"/>
      <c r="G594" s="22"/>
      <c r="I594" s="22"/>
      <c r="J594" s="49"/>
      <c r="K594" s="29"/>
      <c r="L594" s="51"/>
    </row>
    <row r="595" spans="2:13" x14ac:dyDescent="0.35">
      <c r="B595" s="47"/>
      <c r="C595" s="183"/>
      <c r="D595" s="24"/>
      <c r="G595" s="22"/>
      <c r="I595" s="22"/>
      <c r="J595" s="49"/>
      <c r="K595" s="29"/>
      <c r="L595" s="51"/>
    </row>
    <row r="596" spans="2:13" x14ac:dyDescent="0.35">
      <c r="B596" s="47"/>
      <c r="C596" s="183"/>
      <c r="D596" s="24"/>
      <c r="G596" s="22"/>
      <c r="I596" s="22"/>
      <c r="J596" s="49"/>
      <c r="K596" s="29"/>
      <c r="L596" s="51"/>
    </row>
    <row r="597" spans="2:13" x14ac:dyDescent="0.35">
      <c r="B597" s="47"/>
      <c r="C597" s="183"/>
      <c r="D597" s="24"/>
      <c r="G597" s="22"/>
      <c r="I597" s="22"/>
      <c r="J597" s="49"/>
      <c r="K597" s="29"/>
      <c r="L597" s="51"/>
    </row>
    <row r="598" spans="2:13" x14ac:dyDescent="0.35">
      <c r="B598" s="199"/>
      <c r="C598" s="200"/>
      <c r="D598" s="201"/>
      <c r="G598" s="22"/>
      <c r="I598" s="22"/>
      <c r="J598" s="49"/>
      <c r="K598" s="29"/>
      <c r="L598" s="51"/>
    </row>
    <row r="599" spans="2:13" x14ac:dyDescent="0.35">
      <c r="B599" s="8"/>
      <c r="C599" s="9"/>
      <c r="D599" s="10"/>
      <c r="E599" s="4"/>
      <c r="F599" s="4"/>
      <c r="G599" s="4"/>
      <c r="H599" s="1"/>
      <c r="I599" s="1"/>
      <c r="J599" s="11" t="s">
        <v>8</v>
      </c>
      <c r="K599" s="7">
        <f>SUM(K548:K598)</f>
        <v>2000000</v>
      </c>
      <c r="L599" s="7">
        <f>SUM(L548:L598)</f>
        <v>22914772</v>
      </c>
    </row>
    <row r="600" spans="2:13" x14ac:dyDescent="0.35">
      <c r="B600" s="8"/>
      <c r="C600" s="9"/>
      <c r="D600" s="9"/>
      <c r="E600" s="4"/>
      <c r="F600" s="4"/>
      <c r="G600" s="4"/>
      <c r="H600" s="1"/>
      <c r="I600" s="1"/>
      <c r="J600" s="11" t="s">
        <v>405</v>
      </c>
      <c r="K600" s="202">
        <f>SUM(K599,K534,K468,K402,K336,K270,K204,K138,K72)</f>
        <v>636693500</v>
      </c>
      <c r="L600" s="202">
        <f>SUM(L599,L534,L468,L402,L336,L270,L204,L138,L72)</f>
        <v>80755812.519999996</v>
      </c>
      <c r="M600" s="14">
        <f>SUM(K600:L600)</f>
        <v>717449312.51999998</v>
      </c>
    </row>
    <row r="601" spans="2:13" x14ac:dyDescent="0.35">
      <c r="B601" s="8"/>
      <c r="C601" s="9"/>
      <c r="D601" s="9"/>
      <c r="E601" s="4"/>
      <c r="F601" s="4"/>
      <c r="G601" s="4"/>
      <c r="H601" s="1"/>
      <c r="I601" s="1"/>
      <c r="J601" s="11"/>
      <c r="K601" s="35" t="s">
        <v>21</v>
      </c>
      <c r="L601" s="36" t="s">
        <v>22</v>
      </c>
    </row>
    <row r="602" spans="2:13" x14ac:dyDescent="0.35">
      <c r="B602" s="3" t="s">
        <v>9</v>
      </c>
      <c r="C602" s="4"/>
      <c r="D602" s="4"/>
      <c r="E602" s="4"/>
      <c r="F602" s="4"/>
      <c r="G602" s="4"/>
      <c r="H602" s="1"/>
      <c r="I602" s="1"/>
      <c r="J602" s="12"/>
      <c r="K602" s="12"/>
      <c r="L602" s="13"/>
    </row>
    <row r="603" spans="2:13" x14ac:dyDescent="0.35">
      <c r="B603" s="37"/>
      <c r="C603" s="1"/>
      <c r="D603" s="1"/>
      <c r="E603" s="38"/>
      <c r="F603" s="38"/>
      <c r="G603" s="38"/>
      <c r="H603" s="1"/>
      <c r="I603" s="1"/>
      <c r="J603" s="1"/>
      <c r="K603" s="1"/>
      <c r="L603" s="19"/>
    </row>
    <row r="604" spans="2:13" x14ac:dyDescent="0.35">
      <c r="B604" s="28" t="s">
        <v>6</v>
      </c>
      <c r="C604" s="27"/>
      <c r="D604" s="27"/>
      <c r="E604" s="26"/>
      <c r="F604" s="26"/>
      <c r="G604" s="5"/>
      <c r="K604" s="271" t="s">
        <v>42</v>
      </c>
      <c r="L604" s="272"/>
    </row>
    <row r="605" spans="2:13" x14ac:dyDescent="0.35">
      <c r="B605" s="28">
        <v>1</v>
      </c>
      <c r="C605" s="27"/>
      <c r="D605" s="27"/>
      <c r="E605" s="26" t="s">
        <v>7</v>
      </c>
      <c r="F605" s="26"/>
      <c r="G605" s="5"/>
      <c r="K605" s="271" t="s">
        <v>27</v>
      </c>
      <c r="L605" s="272"/>
    </row>
    <row r="606" spans="2:13" x14ac:dyDescent="0.35">
      <c r="B606" s="39"/>
      <c r="C606" s="27"/>
      <c r="D606" s="27"/>
      <c r="E606" s="26"/>
      <c r="F606" s="26"/>
      <c r="G606" s="5"/>
      <c r="J606" s="25"/>
      <c r="K606" s="25"/>
      <c r="L606" s="24"/>
    </row>
    <row r="607" spans="2:13" x14ac:dyDescent="0.35">
      <c r="B607" s="28"/>
      <c r="C607" s="27"/>
      <c r="D607" s="27"/>
      <c r="E607" s="26"/>
      <c r="F607" s="26"/>
      <c r="G607" s="5"/>
      <c r="L607" s="22"/>
    </row>
    <row r="608" spans="2:13" x14ac:dyDescent="0.35">
      <c r="B608" s="45"/>
      <c r="E608" s="5"/>
      <c r="F608" s="5"/>
      <c r="G608" s="5"/>
      <c r="L608" s="22"/>
    </row>
    <row r="609" spans="2:12" x14ac:dyDescent="0.35">
      <c r="B609" s="45"/>
      <c r="E609" s="5"/>
      <c r="F609" s="5"/>
      <c r="G609" s="5"/>
      <c r="L609" s="22"/>
    </row>
    <row r="610" spans="2:12" x14ac:dyDescent="0.35">
      <c r="B610" s="45"/>
      <c r="E610" s="5"/>
      <c r="F610" s="5"/>
      <c r="G610" s="5"/>
      <c r="L610" s="22"/>
    </row>
    <row r="611" spans="2:12" x14ac:dyDescent="0.35">
      <c r="B611" s="45"/>
      <c r="E611" s="5"/>
      <c r="F611" s="5"/>
      <c r="G611" s="5"/>
      <c r="J611" s="40"/>
      <c r="K611" s="273" t="s">
        <v>35</v>
      </c>
      <c r="L611" s="274"/>
    </row>
    <row r="612" spans="2:12" x14ac:dyDescent="0.35">
      <c r="B612" s="45"/>
      <c r="K612" s="277" t="s">
        <v>36</v>
      </c>
      <c r="L612" s="278"/>
    </row>
    <row r="613" spans="2:12" x14ac:dyDescent="0.35">
      <c r="B613" s="275"/>
      <c r="C613" s="276"/>
      <c r="D613" s="276"/>
      <c r="E613" s="41"/>
      <c r="F613" s="41"/>
      <c r="G613" s="41"/>
      <c r="H613" s="2"/>
      <c r="I613" s="2"/>
      <c r="J613" s="2"/>
      <c r="K613" s="2"/>
      <c r="L613" s="21"/>
    </row>
  </sheetData>
  <mergeCells count="53">
    <mergeCell ref="B85:D85"/>
    <mergeCell ref="B18:D19"/>
    <mergeCell ref="N21:O21"/>
    <mergeCell ref="K76:L76"/>
    <mergeCell ref="K83:L83"/>
    <mergeCell ref="K84:L84"/>
    <mergeCell ref="K77:L77"/>
    <mergeCell ref="L18:L19"/>
    <mergeCell ref="F15:G15"/>
    <mergeCell ref="E18:G19"/>
    <mergeCell ref="H18:I19"/>
    <mergeCell ref="J18:J19"/>
    <mergeCell ref="K18:K19"/>
    <mergeCell ref="K142:L142"/>
    <mergeCell ref="K143:L143"/>
    <mergeCell ref="K149:L149"/>
    <mergeCell ref="K150:L150"/>
    <mergeCell ref="B151:D151"/>
    <mergeCell ref="K208:L208"/>
    <mergeCell ref="K209:L209"/>
    <mergeCell ref="K215:L215"/>
    <mergeCell ref="K216:L216"/>
    <mergeCell ref="B217:D217"/>
    <mergeCell ref="K274:L274"/>
    <mergeCell ref="K275:L275"/>
    <mergeCell ref="K281:L281"/>
    <mergeCell ref="K282:L282"/>
    <mergeCell ref="B283:D283"/>
    <mergeCell ref="K340:L340"/>
    <mergeCell ref="K341:L341"/>
    <mergeCell ref="K347:L347"/>
    <mergeCell ref="K348:L348"/>
    <mergeCell ref="B349:D349"/>
    <mergeCell ref="K406:L406"/>
    <mergeCell ref="K407:L407"/>
    <mergeCell ref="K413:L413"/>
    <mergeCell ref="K414:L414"/>
    <mergeCell ref="B415:D415"/>
    <mergeCell ref="K472:L472"/>
    <mergeCell ref="K473:L473"/>
    <mergeCell ref="K479:L479"/>
    <mergeCell ref="K480:L480"/>
    <mergeCell ref="B481:D481"/>
    <mergeCell ref="K538:L538"/>
    <mergeCell ref="K539:L539"/>
    <mergeCell ref="K545:L545"/>
    <mergeCell ref="K546:L546"/>
    <mergeCell ref="B547:D547"/>
    <mergeCell ref="K604:L604"/>
    <mergeCell ref="K605:L605"/>
    <mergeCell ref="K611:L611"/>
    <mergeCell ref="K612:L612"/>
    <mergeCell ref="B613:D613"/>
  </mergeCells>
  <conditionalFormatting sqref="B102:B136">
    <cfRule type="expression" dxfId="36" priority="35">
      <formula>ISTEXT($E102)=TRUE</formula>
    </cfRule>
  </conditionalFormatting>
  <conditionalFormatting sqref="B153:B202">
    <cfRule type="expression" dxfId="35" priority="31">
      <formula>ISTEXT($E153)=TRUE</formula>
    </cfRule>
  </conditionalFormatting>
  <conditionalFormatting sqref="B219:B267">
    <cfRule type="expression" dxfId="34" priority="27">
      <formula>ISTEXT($E219)=TRUE</formula>
    </cfRule>
  </conditionalFormatting>
  <conditionalFormatting sqref="B285:B335">
    <cfRule type="expression" dxfId="33" priority="23">
      <formula>ISTEXT($E285)=TRUE</formula>
    </cfRule>
  </conditionalFormatting>
  <conditionalFormatting sqref="B351:B400">
    <cfRule type="expression" dxfId="32" priority="19">
      <formula>ISTEXT($E351)=TRUE</formula>
    </cfRule>
  </conditionalFormatting>
  <conditionalFormatting sqref="B417:B466">
    <cfRule type="expression" dxfId="31" priority="15">
      <formula>ISTEXT($E417)=TRUE</formula>
    </cfRule>
  </conditionalFormatting>
  <conditionalFormatting sqref="B483:B530">
    <cfRule type="expression" dxfId="30" priority="11">
      <formula>ISTEXT($E483)=TRUE</formula>
    </cfRule>
  </conditionalFormatting>
  <conditionalFormatting sqref="B549">
    <cfRule type="expression" dxfId="29" priority="7">
      <formula>ISTEXT($E549)=TRUE</formula>
    </cfRule>
  </conditionalFormatting>
  <conditionalFormatting sqref="B568">
    <cfRule type="expression" dxfId="28" priority="3">
      <formula>ISTEXT($E568)=TRUE</formula>
    </cfRule>
  </conditionalFormatting>
  <conditionalFormatting sqref="B102:I136">
    <cfRule type="expression" dxfId="27" priority="33">
      <formula>AND((ISTEXT($F102)=TRUE),(ISTEXT($B102)=FALSE),(ISTEXT($C102)=FALSE),(ISTEXT($D102)=FALSE),(ISTEXT($G102)=FALSE))</formula>
    </cfRule>
  </conditionalFormatting>
  <conditionalFormatting sqref="B153:I202">
    <cfRule type="expression" dxfId="26" priority="29">
      <formula>AND((ISTEXT($F153)=TRUE),(ISTEXT($B153)=FALSE),(ISTEXT($C153)=FALSE),(ISTEXT($D153)=FALSE),(ISTEXT($G153)=FALSE))</formula>
    </cfRule>
  </conditionalFormatting>
  <conditionalFormatting sqref="B219:I267">
    <cfRule type="expression" dxfId="25" priority="25">
      <formula>AND((ISTEXT($F219)=TRUE),(ISTEXT($B219)=FALSE),(ISTEXT($C219)=FALSE),(ISTEXT($D219)=FALSE),(ISTEXT($G219)=FALSE))</formula>
    </cfRule>
  </conditionalFormatting>
  <conditionalFormatting sqref="B285:I335">
    <cfRule type="expression" dxfId="24" priority="21">
      <formula>AND((ISTEXT($F285)=TRUE),(ISTEXT($B285)=FALSE),(ISTEXT($C285)=FALSE),(ISTEXT($D285)=FALSE),(ISTEXT($G285)=FALSE))</formula>
    </cfRule>
  </conditionalFormatting>
  <conditionalFormatting sqref="B351:I400">
    <cfRule type="expression" dxfId="23" priority="17">
      <formula>AND((ISTEXT($F351)=TRUE),(ISTEXT($B351)=FALSE),(ISTEXT($C351)=FALSE),(ISTEXT($D351)=FALSE),(ISTEXT($G351)=FALSE))</formula>
    </cfRule>
  </conditionalFormatting>
  <conditionalFormatting sqref="B417:I466">
    <cfRule type="expression" dxfId="22" priority="13">
      <formula>AND((ISTEXT($F417)=TRUE),(ISTEXT($B417)=FALSE),(ISTEXT($C417)=FALSE),(ISTEXT($D417)=FALSE),(ISTEXT($G417)=FALSE))</formula>
    </cfRule>
  </conditionalFormatting>
  <conditionalFormatting sqref="B483:I530">
    <cfRule type="expression" dxfId="21" priority="9">
      <formula>AND((ISTEXT($F483)=TRUE),(ISTEXT($B483)=FALSE),(ISTEXT($C483)=FALSE),(ISTEXT($D483)=FALSE),(ISTEXT($G483)=FALSE))</formula>
    </cfRule>
  </conditionalFormatting>
  <conditionalFormatting sqref="B549:I549">
    <cfRule type="expression" dxfId="20" priority="5">
      <formula>AND((ISTEXT($F549)=TRUE),(ISTEXT($B549)=FALSE),(ISTEXT($C549)=FALSE),(ISTEXT($D549)=FALSE),(ISTEXT($G549)=FALSE))</formula>
    </cfRule>
  </conditionalFormatting>
  <conditionalFormatting sqref="B568:I568">
    <cfRule type="expression" dxfId="19" priority="1">
      <formula>AND((ISTEXT($F568)=TRUE),(ISTEXT($B568)=FALSE),(ISTEXT($C568)=FALSE),(ISTEXT($D568)=FALSE),(ISTEXT($G568)=FALSE))</formula>
    </cfRule>
  </conditionalFormatting>
  <conditionalFormatting sqref="E89:E92 E96:E97">
    <cfRule type="expression" dxfId="18" priority="37">
      <formula>AND((ISBLANK($B89)=FALSE),(ISBLANK($E89)=FALSE))</formula>
    </cfRule>
  </conditionalFormatting>
  <conditionalFormatting sqref="E102:E136">
    <cfRule type="expression" dxfId="17" priority="36">
      <formula>ISTEXT($B102)=TRUE</formula>
    </cfRule>
  </conditionalFormatting>
  <conditionalFormatting sqref="E153:E202">
    <cfRule type="expression" dxfId="16" priority="32">
      <formula>ISTEXT($B153)=TRUE</formula>
    </cfRule>
  </conditionalFormatting>
  <conditionalFormatting sqref="E219:E267">
    <cfRule type="expression" dxfId="15" priority="28">
      <formula>ISTEXT($B219)=TRUE</formula>
    </cfRule>
  </conditionalFormatting>
  <conditionalFormatting sqref="E285:E335">
    <cfRule type="expression" dxfId="14" priority="24">
      <formula>ISTEXT($B285)=TRUE</formula>
    </cfRule>
  </conditionalFormatting>
  <conditionalFormatting sqref="E351:E400">
    <cfRule type="expression" dxfId="13" priority="20">
      <formula>ISTEXT($B351)=TRUE</formula>
    </cfRule>
  </conditionalFormatting>
  <conditionalFormatting sqref="E417:E466">
    <cfRule type="expression" dxfId="12" priority="16">
      <formula>ISTEXT($B417)=TRUE</formula>
    </cfRule>
  </conditionalFormatting>
  <conditionalFormatting sqref="E483:E530">
    <cfRule type="expression" dxfId="11" priority="12">
      <formula>ISTEXT($B483)=TRUE</formula>
    </cfRule>
  </conditionalFormatting>
  <conditionalFormatting sqref="E549">
    <cfRule type="expression" dxfId="10" priority="8">
      <formula>ISTEXT($B549)=TRUE</formula>
    </cfRule>
  </conditionalFormatting>
  <conditionalFormatting sqref="E568">
    <cfRule type="expression" dxfId="9" priority="4">
      <formula>ISTEXT($B568)=TRUE</formula>
    </cfRule>
  </conditionalFormatting>
  <conditionalFormatting sqref="F102:F136">
    <cfRule type="expression" dxfId="8" priority="34">
      <formula>AND((ISTEXT($B102)=FALSE),(ISTEXT($C102)=FALSE),(ISTEXT($D102)=FALSE),(ISTEXT($G102)=FALSE))</formula>
    </cfRule>
  </conditionalFormatting>
  <conditionalFormatting sqref="F153:F202">
    <cfRule type="expression" dxfId="7" priority="30">
      <formula>AND((ISTEXT($B153)=FALSE),(ISTEXT($C153)=FALSE),(ISTEXT($D153)=FALSE),(ISTEXT($G153)=FALSE))</formula>
    </cfRule>
  </conditionalFormatting>
  <conditionalFormatting sqref="F219:F267">
    <cfRule type="expression" dxfId="6" priority="26">
      <formula>AND((ISTEXT($B219)=FALSE),(ISTEXT($C219)=FALSE),(ISTEXT($D219)=FALSE),(ISTEXT($G219)=FALSE))</formula>
    </cfRule>
  </conditionalFormatting>
  <conditionalFormatting sqref="F285:F335">
    <cfRule type="expression" dxfId="5" priority="22">
      <formula>AND((ISTEXT($B285)=FALSE),(ISTEXT($C285)=FALSE),(ISTEXT($D285)=FALSE),(ISTEXT($G285)=FALSE))</formula>
    </cfRule>
  </conditionalFormatting>
  <conditionalFormatting sqref="F351:F400">
    <cfRule type="expression" dxfId="4" priority="18">
      <formula>AND((ISTEXT($B351)=FALSE),(ISTEXT($C351)=FALSE),(ISTEXT($D351)=FALSE),(ISTEXT($G351)=FALSE))</formula>
    </cfRule>
  </conditionalFormatting>
  <conditionalFormatting sqref="F417:F466">
    <cfRule type="expression" dxfId="3" priority="14">
      <formula>AND((ISTEXT($B417)=FALSE),(ISTEXT($C417)=FALSE),(ISTEXT($D417)=FALSE),(ISTEXT($G417)=FALSE))</formula>
    </cfRule>
  </conditionalFormatting>
  <conditionalFormatting sqref="F483:F530">
    <cfRule type="expression" dxfId="2" priority="10">
      <formula>AND((ISTEXT($B483)=FALSE),(ISTEXT($C483)=FALSE),(ISTEXT($D483)=FALSE),(ISTEXT($G483)=FALSE))</formula>
    </cfRule>
  </conditionalFormatting>
  <conditionalFormatting sqref="F549">
    <cfRule type="expression" dxfId="1" priority="6">
      <formula>AND((ISTEXT($B549)=FALSE),(ISTEXT($C549)=FALSE),(ISTEXT($D549)=FALSE),(ISTEXT($G549)=FALSE))</formula>
    </cfRule>
  </conditionalFormatting>
  <conditionalFormatting sqref="F568">
    <cfRule type="expression" dxfId="0" priority="2">
      <formula>AND((ISTEXT($B568)=FALSE),(ISTEXT($C568)=FALSE),(ISTEXT($D568)=FALSE),(ISTEXT($G568)=FALSE))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8" manualBreakCount="8">
    <brk id="85" min="1" max="11" man="1"/>
    <brk id="151" min="1" max="11" man="1"/>
    <brk id="217" min="1" max="11" man="1"/>
    <brk id="283" min="1" max="11" man="1"/>
    <brk id="349" min="1" max="11" man="1"/>
    <brk id="415" min="1" max="11" man="1"/>
    <brk id="481" min="1" max="11" man="1"/>
    <brk id="547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Rincian Biaya rev.00</vt:lpstr>
      <vt:lpstr>Rincian Biaya rev.01</vt:lpstr>
      <vt:lpstr>'Rincian Biaya rev.00'!Print_Area</vt:lpstr>
      <vt:lpstr>'Rincian Biaya rev.01'!Print_Area</vt:lpstr>
      <vt:lpstr>'Rincian Biaya rev.00'!Print_Titles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2025-02-03T05:59:46Z</cp:lastPrinted>
  <dcterms:created xsi:type="dcterms:W3CDTF">2015-07-30T04:54:41Z</dcterms:created>
  <dcterms:modified xsi:type="dcterms:W3CDTF">2025-12-23T07:05:25Z</dcterms:modified>
</cp:coreProperties>
</file>