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:\Shared drives\HO-A.1 MANAGEMENT REPRESENTATIF\TUGAS\MARKETING JUAN\"/>
    </mc:Choice>
  </mc:AlternateContent>
  <xr:revisionPtr revIDLastSave="0" documentId="13_ncr:1_{B5ADFCCE-8EEE-4BA6-AD7D-B0198E2CF6A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incian Biaya rev.04" sheetId="46" r:id="rId1"/>
  </sheets>
  <definedNames>
    <definedName name="_xlnm.Print_Area" localSheetId="0">'Rincian Biaya rev.04'!$B$2:$L$680</definedName>
    <definedName name="_xlnm.Print_Titles" localSheetId="0">'Rincian Biaya rev.04'!$2:$19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65" i="46" l="1"/>
  <c r="O665" i="46" s="1"/>
  <c r="L664" i="46"/>
  <c r="K623" i="46"/>
  <c r="H622" i="46"/>
  <c r="K621" i="46"/>
  <c r="H620" i="46"/>
  <c r="K619" i="46"/>
  <c r="K616" i="46"/>
  <c r="K664" i="46" s="1"/>
  <c r="K594" i="46"/>
  <c r="K589" i="46"/>
  <c r="L585" i="46"/>
  <c r="K582" i="46"/>
  <c r="K601" i="46" s="1"/>
  <c r="L577" i="46"/>
  <c r="H577" i="46"/>
  <c r="H576" i="46"/>
  <c r="L576" i="46" s="1"/>
  <c r="L575" i="46"/>
  <c r="H575" i="46"/>
  <c r="H574" i="46"/>
  <c r="L574" i="46" s="1"/>
  <c r="L573" i="46"/>
  <c r="H573" i="46"/>
  <c r="L572" i="46"/>
  <c r="H571" i="46"/>
  <c r="L571" i="46" s="1"/>
  <c r="L570" i="46"/>
  <c r="L569" i="46"/>
  <c r="L568" i="46"/>
  <c r="L567" i="46"/>
  <c r="L566" i="46"/>
  <c r="L565" i="46"/>
  <c r="L564" i="46"/>
  <c r="L563" i="46"/>
  <c r="H563" i="46"/>
  <c r="L562" i="46"/>
  <c r="L561" i="46"/>
  <c r="L560" i="46"/>
  <c r="L559" i="46"/>
  <c r="L558" i="46"/>
  <c r="L557" i="46"/>
  <c r="L556" i="46"/>
  <c r="L555" i="46"/>
  <c r="H554" i="46"/>
  <c r="L554" i="46" s="1"/>
  <c r="L601" i="46" s="1"/>
  <c r="M531" i="46"/>
  <c r="M532" i="46" s="1"/>
  <c r="M530" i="46"/>
  <c r="K530" i="46"/>
  <c r="K525" i="46"/>
  <c r="K524" i="46"/>
  <c r="K523" i="46"/>
  <c r="K522" i="46"/>
  <c r="K521" i="46"/>
  <c r="K520" i="46"/>
  <c r="K519" i="46"/>
  <c r="K518" i="46"/>
  <c r="K517" i="46"/>
  <c r="K516" i="46"/>
  <c r="K515" i="46"/>
  <c r="K514" i="46"/>
  <c r="K513" i="46"/>
  <c r="K512" i="46"/>
  <c r="K511" i="46"/>
  <c r="K510" i="46"/>
  <c r="K535" i="46" s="1"/>
  <c r="H505" i="46"/>
  <c r="L505" i="46" s="1"/>
  <c r="L504" i="46"/>
  <c r="H503" i="46"/>
  <c r="L503" i="46" s="1"/>
  <c r="L502" i="46"/>
  <c r="H502" i="46"/>
  <c r="L500" i="46"/>
  <c r="L499" i="46"/>
  <c r="L498" i="46"/>
  <c r="L497" i="46"/>
  <c r="L496" i="46"/>
  <c r="L495" i="46"/>
  <c r="L494" i="46"/>
  <c r="L493" i="46"/>
  <c r="L492" i="46"/>
  <c r="L491" i="46"/>
  <c r="L490" i="46"/>
  <c r="L489" i="46"/>
  <c r="L488" i="46"/>
  <c r="L487" i="46"/>
  <c r="L486" i="46"/>
  <c r="L485" i="46"/>
  <c r="L535" i="46" s="1"/>
  <c r="K469" i="46"/>
  <c r="H468" i="46"/>
  <c r="L468" i="46" s="1"/>
  <c r="H467" i="46"/>
  <c r="L467" i="46" s="1"/>
  <c r="H466" i="46"/>
  <c r="L466" i="46" s="1"/>
  <c r="H465" i="46"/>
  <c r="L465" i="46" s="1"/>
  <c r="H464" i="46"/>
  <c r="L464" i="46" s="1"/>
  <c r="H463" i="46"/>
  <c r="L463" i="46" s="1"/>
  <c r="H462" i="46"/>
  <c r="L462" i="46" s="1"/>
  <c r="H460" i="46"/>
  <c r="L460" i="46" s="1"/>
  <c r="L459" i="46"/>
  <c r="L458" i="46"/>
  <c r="L457" i="46"/>
  <c r="L456" i="46"/>
  <c r="H456" i="46"/>
  <c r="H455" i="46"/>
  <c r="L455" i="46" s="1"/>
  <c r="L454" i="46"/>
  <c r="L453" i="46"/>
  <c r="L452" i="46"/>
  <c r="L451" i="46"/>
  <c r="L450" i="46"/>
  <c r="L449" i="46"/>
  <c r="L448" i="46"/>
  <c r="L447" i="46"/>
  <c r="L446" i="46"/>
  <c r="L444" i="46"/>
  <c r="H442" i="46"/>
  <c r="L442" i="46" s="1"/>
  <c r="L441" i="46"/>
  <c r="L440" i="46"/>
  <c r="L439" i="46"/>
  <c r="L438" i="46"/>
  <c r="L437" i="46"/>
  <c r="L436" i="46"/>
  <c r="L435" i="46"/>
  <c r="L434" i="46"/>
  <c r="L433" i="46"/>
  <c r="H431" i="46"/>
  <c r="L431" i="46" s="1"/>
  <c r="L430" i="46"/>
  <c r="L429" i="46"/>
  <c r="L428" i="46"/>
  <c r="L427" i="46"/>
  <c r="L426" i="46"/>
  <c r="L425" i="46"/>
  <c r="L424" i="46"/>
  <c r="L423" i="46"/>
  <c r="L422" i="46"/>
  <c r="L421" i="46"/>
  <c r="L420" i="46"/>
  <c r="L419" i="46"/>
  <c r="L418" i="46"/>
  <c r="K403" i="46"/>
  <c r="L401" i="46"/>
  <c r="L400" i="46"/>
  <c r="L399" i="46"/>
  <c r="L398" i="46"/>
  <c r="L397" i="46"/>
  <c r="L396" i="46"/>
  <c r="L395" i="46"/>
  <c r="L394" i="46"/>
  <c r="L393" i="46"/>
  <c r="L392" i="46"/>
  <c r="L391" i="46"/>
  <c r="L390" i="46"/>
  <c r="L389" i="46"/>
  <c r="L388" i="46"/>
  <c r="L387" i="46"/>
  <c r="L386" i="46"/>
  <c r="L385" i="46"/>
  <c r="L384" i="46"/>
  <c r="L383" i="46"/>
  <c r="L382" i="46"/>
  <c r="L381" i="46"/>
  <c r="L380" i="46"/>
  <c r="L379" i="46"/>
  <c r="H377" i="46"/>
  <c r="L377" i="46" s="1"/>
  <c r="L376" i="46"/>
  <c r="L375" i="46"/>
  <c r="L374" i="46"/>
  <c r="L373" i="46"/>
  <c r="L372" i="46"/>
  <c r="L371" i="46"/>
  <c r="L370" i="46"/>
  <c r="L369" i="46"/>
  <c r="L368" i="46"/>
  <c r="L367" i="46"/>
  <c r="L366" i="46"/>
  <c r="L365" i="46"/>
  <c r="L364" i="46"/>
  <c r="L363" i="46"/>
  <c r="L362" i="46"/>
  <c r="L361" i="46"/>
  <c r="L360" i="46"/>
  <c r="L359" i="46"/>
  <c r="L358" i="46"/>
  <c r="L357" i="46"/>
  <c r="L356" i="46"/>
  <c r="L355" i="46"/>
  <c r="L354" i="46"/>
  <c r="L353" i="46"/>
  <c r="L352" i="46"/>
  <c r="L403" i="46" s="1"/>
  <c r="K337" i="46"/>
  <c r="L335" i="46"/>
  <c r="L334" i="46"/>
  <c r="L333" i="46"/>
  <c r="H332" i="46"/>
  <c r="L332" i="46" s="1"/>
  <c r="L331" i="46"/>
  <c r="L330" i="46"/>
  <c r="L329" i="46"/>
  <c r="L328" i="46"/>
  <c r="L327" i="46"/>
  <c r="L326" i="46"/>
  <c r="L325" i="46"/>
  <c r="L324" i="46"/>
  <c r="L323" i="46"/>
  <c r="H322" i="46"/>
  <c r="L322" i="46" s="1"/>
  <c r="L321" i="46"/>
  <c r="L320" i="46"/>
  <c r="L319" i="46"/>
  <c r="L318" i="46"/>
  <c r="L317" i="46"/>
  <c r="L316" i="46"/>
  <c r="L315" i="46"/>
  <c r="L314" i="46"/>
  <c r="L313" i="46"/>
  <c r="L312" i="46"/>
  <c r="L311" i="46"/>
  <c r="H309" i="46"/>
  <c r="L309" i="46" s="1"/>
  <c r="L308" i="46"/>
  <c r="L307" i="46"/>
  <c r="L306" i="46"/>
  <c r="L305" i="46"/>
  <c r="L304" i="46"/>
  <c r="L303" i="46"/>
  <c r="L302" i="46"/>
  <c r="L301" i="46"/>
  <c r="L300" i="46"/>
  <c r="L299" i="46"/>
  <c r="L298" i="46"/>
  <c r="L296" i="46"/>
  <c r="L295" i="46"/>
  <c r="L294" i="46"/>
  <c r="L293" i="46"/>
  <c r="L292" i="46"/>
  <c r="L291" i="46"/>
  <c r="L289" i="46"/>
  <c r="H288" i="46"/>
  <c r="L288" i="46" s="1"/>
  <c r="H287" i="46"/>
  <c r="L287" i="46" s="1"/>
  <c r="H286" i="46"/>
  <c r="L286" i="46" s="1"/>
  <c r="K271" i="46"/>
  <c r="L268" i="46"/>
  <c r="L267" i="46"/>
  <c r="H266" i="46"/>
  <c r="L266" i="46" s="1"/>
  <c r="L265" i="46"/>
  <c r="H265" i="46"/>
  <c r="L264" i="46"/>
  <c r="L263" i="46"/>
  <c r="L262" i="46"/>
  <c r="H261" i="46"/>
  <c r="L261" i="46" s="1"/>
  <c r="H260" i="46"/>
  <c r="L260" i="46" s="1"/>
  <c r="L259" i="46"/>
  <c r="L258" i="46"/>
  <c r="L257" i="46"/>
  <c r="L256" i="46"/>
  <c r="L254" i="46"/>
  <c r="H253" i="46"/>
  <c r="L253" i="46" s="1"/>
  <c r="L252" i="46"/>
  <c r="L251" i="46"/>
  <c r="L250" i="46"/>
  <c r="L249" i="46"/>
  <c r="L248" i="46"/>
  <c r="H248" i="46"/>
  <c r="H247" i="46"/>
  <c r="L247" i="46" s="1"/>
  <c r="L246" i="46"/>
  <c r="L245" i="46"/>
  <c r="L243" i="46"/>
  <c r="L242" i="46"/>
  <c r="L241" i="46"/>
  <c r="H241" i="46"/>
  <c r="H240" i="46"/>
  <c r="L240" i="46" s="1"/>
  <c r="L234" i="46"/>
  <c r="H234" i="46"/>
  <c r="H233" i="46"/>
  <c r="L233" i="46" s="1"/>
  <c r="L232" i="46"/>
  <c r="H232" i="46"/>
  <c r="L230" i="46"/>
  <c r="H229" i="46"/>
  <c r="L229" i="46" s="1"/>
  <c r="L228" i="46"/>
  <c r="L226" i="46"/>
  <c r="H224" i="46"/>
  <c r="L224" i="46" s="1"/>
  <c r="H223" i="46"/>
  <c r="L223" i="46" s="1"/>
  <c r="L222" i="46"/>
  <c r="L221" i="46"/>
  <c r="K205" i="46"/>
  <c r="L203" i="46"/>
  <c r="L202" i="46"/>
  <c r="L201" i="46"/>
  <c r="L200" i="46"/>
  <c r="L199" i="46"/>
  <c r="L198" i="46"/>
  <c r="L197" i="46"/>
  <c r="L196" i="46"/>
  <c r="L195" i="46"/>
  <c r="L194" i="46"/>
  <c r="L193" i="46"/>
  <c r="L192" i="46"/>
  <c r="L191" i="46"/>
  <c r="L190" i="46"/>
  <c r="L189" i="46"/>
  <c r="L188" i="46"/>
  <c r="L187" i="46"/>
  <c r="L186" i="46"/>
  <c r="L185" i="46"/>
  <c r="L184" i="46"/>
  <c r="L183" i="46"/>
  <c r="L182" i="46"/>
  <c r="L181" i="46"/>
  <c r="L180" i="46"/>
  <c r="L179" i="46"/>
  <c r="L178" i="46"/>
  <c r="L177" i="46"/>
  <c r="L176" i="46"/>
  <c r="L175" i="46"/>
  <c r="L174" i="46"/>
  <c r="L172" i="46"/>
  <c r="L171" i="46"/>
  <c r="L170" i="46"/>
  <c r="H170" i="46"/>
  <c r="L169" i="46"/>
  <c r="L168" i="46"/>
  <c r="L167" i="46"/>
  <c r="L166" i="46"/>
  <c r="H165" i="46"/>
  <c r="L165" i="46" s="1"/>
  <c r="L164" i="46"/>
  <c r="H164" i="46"/>
  <c r="H163" i="46"/>
  <c r="L163" i="46" s="1"/>
  <c r="L162" i="46"/>
  <c r="L160" i="46"/>
  <c r="L159" i="46"/>
  <c r="L158" i="46"/>
  <c r="L157" i="46"/>
  <c r="H156" i="46"/>
  <c r="L156" i="46" s="1"/>
  <c r="L155" i="46"/>
  <c r="L154" i="46"/>
  <c r="K143" i="46"/>
  <c r="K209" i="46" s="1"/>
  <c r="K275" i="46" s="1"/>
  <c r="K341" i="46" s="1"/>
  <c r="K407" i="46" s="1"/>
  <c r="K473" i="46" s="1"/>
  <c r="K539" i="46" s="1"/>
  <c r="K605" i="46" s="1"/>
  <c r="K139" i="46"/>
  <c r="L137" i="46"/>
  <c r="L136" i="46"/>
  <c r="L135" i="46"/>
  <c r="L134" i="46"/>
  <c r="L133" i="46"/>
  <c r="L132" i="46"/>
  <c r="H131" i="46"/>
  <c r="L131" i="46" s="1"/>
  <c r="L130" i="46"/>
  <c r="H129" i="46"/>
  <c r="L129" i="46" s="1"/>
  <c r="L128" i="46"/>
  <c r="L127" i="46"/>
  <c r="L126" i="46"/>
  <c r="L125" i="46"/>
  <c r="L124" i="46"/>
  <c r="L123" i="46"/>
  <c r="L122" i="46"/>
  <c r="L121" i="46"/>
  <c r="L120" i="46"/>
  <c r="L119" i="46"/>
  <c r="H119" i="46"/>
  <c r="L117" i="46"/>
  <c r="L116" i="46"/>
  <c r="L115" i="46"/>
  <c r="L114" i="46"/>
  <c r="L113" i="46"/>
  <c r="L112" i="46"/>
  <c r="L111" i="46"/>
  <c r="H111" i="46"/>
  <c r="H110" i="46"/>
  <c r="L110" i="46" s="1"/>
  <c r="L109" i="46"/>
  <c r="L108" i="46"/>
  <c r="H107" i="46"/>
  <c r="L107" i="46" s="1"/>
  <c r="L106" i="46"/>
  <c r="L105" i="46"/>
  <c r="L104" i="46"/>
  <c r="H103" i="46"/>
  <c r="L103" i="46" s="1"/>
  <c r="H102" i="46"/>
  <c r="L102" i="46" s="1"/>
  <c r="H101" i="46"/>
  <c r="L101" i="46" s="1"/>
  <c r="H100" i="46"/>
  <c r="L100" i="46" s="1"/>
  <c r="H99" i="46"/>
  <c r="L99" i="46" s="1"/>
  <c r="L98" i="46"/>
  <c r="L97" i="46"/>
  <c r="L96" i="46"/>
  <c r="L95" i="46"/>
  <c r="L94" i="46"/>
  <c r="L93" i="46"/>
  <c r="L92" i="46"/>
  <c r="L91" i="46"/>
  <c r="L90" i="46"/>
  <c r="L89" i="46"/>
  <c r="L88" i="46"/>
  <c r="L70" i="46"/>
  <c r="L69" i="46"/>
  <c r="L68" i="46"/>
  <c r="L67" i="46"/>
  <c r="L66" i="46"/>
  <c r="L65" i="46"/>
  <c r="L64" i="46"/>
  <c r="L63" i="46"/>
  <c r="L62" i="46"/>
  <c r="L61" i="46"/>
  <c r="H60" i="46"/>
  <c r="L60" i="46" s="1"/>
  <c r="L59" i="46"/>
  <c r="L58" i="46"/>
  <c r="L57" i="46"/>
  <c r="L56" i="46"/>
  <c r="L55" i="46"/>
  <c r="L51" i="46"/>
  <c r="L50" i="46"/>
  <c r="L73" i="46" s="1"/>
  <c r="K49" i="46"/>
  <c r="K48" i="46"/>
  <c r="K44" i="46"/>
  <c r="K42" i="46"/>
  <c r="K41" i="46"/>
  <c r="K40" i="46"/>
  <c r="K39" i="46"/>
  <c r="K37" i="46"/>
  <c r="K36" i="46"/>
  <c r="K35" i="46"/>
  <c r="K34" i="46"/>
  <c r="K33" i="46"/>
  <c r="K32" i="46"/>
  <c r="K31" i="46"/>
  <c r="K29" i="46"/>
  <c r="K28" i="46"/>
  <c r="Q27" i="46"/>
  <c r="P27" i="46"/>
  <c r="O27" i="46"/>
  <c r="O28" i="46" s="1"/>
  <c r="K27" i="46"/>
  <c r="Q26" i="46"/>
  <c r="O26" i="46"/>
  <c r="K26" i="46"/>
  <c r="Q25" i="46"/>
  <c r="O25" i="46"/>
  <c r="K25" i="46"/>
  <c r="P24" i="46"/>
  <c r="O24" i="46"/>
  <c r="K24" i="46"/>
  <c r="K23" i="46"/>
  <c r="Q22" i="46"/>
  <c r="R23" i="46" s="1"/>
  <c r="P22" i="46"/>
  <c r="K22" i="46"/>
  <c r="K73" i="46" s="1"/>
  <c r="S23" i="46" l="1"/>
  <c r="T23" i="46"/>
  <c r="L271" i="46"/>
  <c r="M73" i="46"/>
  <c r="L205" i="46"/>
  <c r="K665" i="46"/>
  <c r="K667" i="46" s="1"/>
  <c r="L139" i="46"/>
  <c r="L337" i="46"/>
  <c r="L469" i="46"/>
  <c r="L665" i="46" s="1"/>
  <c r="L667" i="46" s="1"/>
  <c r="M667" i="46" l="1"/>
</calcChain>
</file>

<file path=xl/sharedStrings.xml><?xml version="1.0" encoding="utf-8"?>
<sst xmlns="http://schemas.openxmlformats.org/spreadsheetml/2006/main" count="1426" uniqueCount="515">
  <si>
    <t>No</t>
  </si>
  <si>
    <t>Item</t>
  </si>
  <si>
    <t>Volume</t>
  </si>
  <si>
    <t>Unit Price</t>
  </si>
  <si>
    <t>Client</t>
  </si>
  <si>
    <t>Contact</t>
  </si>
  <si>
    <t>Note :</t>
  </si>
  <si>
    <t>Cara pembayaran :</t>
  </si>
  <si>
    <t xml:space="preserve">Total   </t>
  </si>
  <si>
    <t>Say   :</t>
  </si>
  <si>
    <t>PELAYANAN UMUM</t>
  </si>
  <si>
    <t>L</t>
  </si>
  <si>
    <t>D</t>
  </si>
  <si>
    <t>Keliling</t>
  </si>
  <si>
    <t>Bottom</t>
  </si>
  <si>
    <t>Luasan Painting</t>
  </si>
  <si>
    <t>PERAWATAN LAMBUNG</t>
  </si>
  <si>
    <t>SISTIM PENGGERAK</t>
  </si>
  <si>
    <t>PERLENGKAPAN DECK</t>
  </si>
  <si>
    <t>Panjang Sideboard</t>
  </si>
  <si>
    <t>Lebar Sideboard</t>
  </si>
  <si>
    <t>B</t>
  </si>
  <si>
    <t>Service</t>
  </si>
  <si>
    <t>Material</t>
  </si>
  <si>
    <t>DETAIL OF DOCKING AND REPAIR COST</t>
  </si>
  <si>
    <t>Rincian Biaya Docking Dan Perbaikan</t>
  </si>
  <si>
    <t>: All</t>
  </si>
  <si>
    <t>AKOMODASI</t>
  </si>
  <si>
    <t>PT. Meranti Nusa Bahari</t>
  </si>
  <si>
    <t>Project Information</t>
  </si>
  <si>
    <t>Name</t>
  </si>
  <si>
    <t>Length</t>
  </si>
  <si>
    <t>Breadth</t>
  </si>
  <si>
    <t>Depth</t>
  </si>
  <si>
    <t>Klass</t>
  </si>
  <si>
    <t>Type</t>
  </si>
  <si>
    <t>Aditya Agung H.</t>
  </si>
  <si>
    <t>General Manager</t>
  </si>
  <si>
    <t>:  91.44 Meter</t>
  </si>
  <si>
    <t>:  24.38 Meter</t>
  </si>
  <si>
    <t>:    5.49 Meter</t>
  </si>
  <si>
    <t>: BKI</t>
  </si>
  <si>
    <t>: 15/FIN/MKT-MNB/III/2025</t>
  </si>
  <si>
    <t>I</t>
  </si>
  <si>
    <t>a</t>
  </si>
  <si>
    <t>Docking / Undocking</t>
  </si>
  <si>
    <t>Ls</t>
  </si>
  <si>
    <t>b</t>
  </si>
  <si>
    <t>Asistensi naik/ turun dock, termasuk persiapan ganjal</t>
  </si>
  <si>
    <t>c</t>
  </si>
  <si>
    <t>Asistensi dengan mooring Boat</t>
  </si>
  <si>
    <t>d</t>
  </si>
  <si>
    <t>Hari</t>
  </si>
  <si>
    <t>e</t>
  </si>
  <si>
    <t>Fasilitas sandar sesudah docking (sewa sandar)</t>
  </si>
  <si>
    <t>f</t>
  </si>
  <si>
    <t>Disediakan Tempat penyimpanan logistik selama perbaikan</t>
  </si>
  <si>
    <t>g</t>
  </si>
  <si>
    <t>Penggunaan alat angkat (&lt;1 Ton)</t>
  </si>
  <si>
    <t>II</t>
  </si>
  <si>
    <t>Sekrap Bagian Bawah Air</t>
  </si>
  <si>
    <t>m2</t>
  </si>
  <si>
    <t>Sandblasting Bottom Sampai Waterline (S.A 2.0)</t>
  </si>
  <si>
    <t>Sandblasting Top Side (S.A 2.0)</t>
  </si>
  <si>
    <t>Pengecatan Bagian Bawah Air (1x primer,1x sealer,1 xAF)</t>
  </si>
  <si>
    <t>Pengecatan Top Side (1x primer,1x top coat)</t>
  </si>
  <si>
    <t>Pemasangan Zinc Anode</t>
  </si>
  <si>
    <t>bh</t>
  </si>
  <si>
    <t>h</t>
  </si>
  <si>
    <t>Pengecatan Draft Mark, Nama Kapal</t>
  </si>
  <si>
    <t>III</t>
  </si>
  <si>
    <t xml:space="preserve">REPLATING </t>
  </si>
  <si>
    <t>Kg</t>
  </si>
  <si>
    <t>IV</t>
  </si>
  <si>
    <t>TANGKI - TANGKI</t>
  </si>
  <si>
    <t>Tank</t>
  </si>
  <si>
    <t>LAPORAN DAN GAMBAR</t>
  </si>
  <si>
    <t>Dibuatkan laporan pengedockan dan gambar bukaan kulit sesuai posisi replating</t>
  </si>
  <si>
    <t>set</t>
  </si>
  <si>
    <t>JR. Rev. 00 intial survey with OS (8/1/25)</t>
  </si>
  <si>
    <t>LAIN -LAIN</t>
  </si>
  <si>
    <t>pcs</t>
  </si>
  <si>
    <t>I.1</t>
  </si>
  <si>
    <t>Lambung</t>
  </si>
  <si>
    <t>Replating Bottom</t>
  </si>
  <si>
    <t>-</t>
  </si>
  <si>
    <t>Replating  Side shell</t>
  </si>
  <si>
    <t>Replating Deck</t>
  </si>
  <si>
    <t>Replating Fender</t>
  </si>
  <si>
    <t>Replating Transome buritan</t>
  </si>
  <si>
    <t>Replating Corner</t>
  </si>
  <si>
    <t>JR. Rev. 01 Aktualisasi (13/1/25)</t>
  </si>
  <si>
    <t>REPLATING</t>
  </si>
  <si>
    <t>Internal tank</t>
  </si>
  <si>
    <t>Tanki 1 Sb</t>
  </si>
  <si>
    <t>Tanki 2 Sb</t>
  </si>
  <si>
    <t>Tanki 1 Ps</t>
  </si>
  <si>
    <t>Tanki 5 Ps</t>
  </si>
  <si>
    <t>Tanki 6 Ps</t>
  </si>
  <si>
    <t>Tanki 9 Ps</t>
  </si>
  <si>
    <t>JR. Rev. 01 Additional work by OS (13/1/25)</t>
  </si>
  <si>
    <t>Cleaning tanki dari air dan lumpur</t>
  </si>
  <si>
    <t>tanki 5 Ps</t>
  </si>
  <si>
    <t>tanki</t>
  </si>
  <si>
    <t>Tanki 10 PS</t>
  </si>
  <si>
    <t>Tanki 10 SB</t>
  </si>
  <si>
    <t>JR. Rev. 02 Additional work by OS (17/1/25)</t>
  </si>
  <si>
    <t>kg</t>
  </si>
  <si>
    <t>Rewelding hull</t>
  </si>
  <si>
    <t>mm</t>
  </si>
  <si>
    <t>titik</t>
  </si>
  <si>
    <t>JR. Rev. 03 Additional work by OS (24/1/25)</t>
  </si>
  <si>
    <t>Replating chine</t>
  </si>
  <si>
    <t>Tanki 7 Ps</t>
  </si>
  <si>
    <t>Tanki 3 Ps</t>
  </si>
  <si>
    <t>Tanki 4 Ps</t>
  </si>
  <si>
    <t>JR. Rev. 07 Additional Work By OS (6/2/25)</t>
  </si>
  <si>
    <t>Manhole</t>
  </si>
  <si>
    <t>Rekondisi B/N manhole 1 SB</t>
  </si>
  <si>
    <t>Pcs</t>
  </si>
  <si>
    <t>Lengkapi nut manhole</t>
  </si>
  <si>
    <t>JR. Rev. 08 Additional work (17/2/25)</t>
  </si>
  <si>
    <t>Rekondisi Plimsoll mark and load line Ps</t>
  </si>
  <si>
    <t>Rekondisi Plimsoll mark and load line Sb</t>
  </si>
  <si>
    <t>Sewa dock selama tongkang dalam perbaikan ( 3 januari - 7 maret )</t>
  </si>
  <si>
    <t>PERAWATAN BADAN KAPAL (Supplai Material by Owner)</t>
  </si>
  <si>
    <t>Cleaning internal dan eksternal deck</t>
  </si>
  <si>
    <t xml:space="preserve">Bongkar dan pasang ban dapra </t>
  </si>
  <si>
    <t>supply owner | Chain galvanized size. 3/4" | 6500  3 pcs mm</t>
  </si>
  <si>
    <t>supply owner | Shackle-D galvanized size. M20 : 3/4"</t>
  </si>
  <si>
    <t>Fr. 5/6 s/d 6/7 Lajur B PS | Plate (KI) thickness 12 mm | 2480 X 930 mm</t>
  </si>
  <si>
    <t>Fr. 5/6 s/d 9/10 Lajur D PS | Plate (KI) thickness 12 mm | 6100 X 1830 mm</t>
  </si>
  <si>
    <t>Fr. 5/6 s/d 9/10 Lajur B PS | Plate (KI) thickness 12 mm | 6110 X 1530 mm</t>
  </si>
  <si>
    <t>Fr. 6/7 s/d 9/10 Lajur C PS | Plate (KI) thickness 12 mm | 3630 X 1530 mm</t>
  </si>
  <si>
    <t>Fr. 6/7 s/d 9/10 Lajur B/C PS | Plate (KI) thickness 12 mm | 3630 X 1530 mm</t>
  </si>
  <si>
    <t>Fr. 9 s/d 10 Lajur D PS | Plate (KI) thickness 12 mm | 1840 X 600 mm</t>
  </si>
  <si>
    <t>Fr. 12/13 s/d 13/14 Lajur D SB | Plate (KI) thickness 12 mm | 2520 X 1090 mm</t>
  </si>
  <si>
    <t>Fr. 15/16 s/d 17/18 Lajur C/D PS | Plate (KI) thickness 12 mm | 4000 X 1830 mm</t>
  </si>
  <si>
    <t>Fr. 16/17 s/d 17/18 Lajur D SB | Plate (KI) thickness 12 mm | 2530 X 620 mm</t>
  </si>
  <si>
    <t>Fr. 16/17 s/d 18/19 Lajur D SB | Plate (KI) thickness 12 mm | 3620 X 1830 mm</t>
  </si>
  <si>
    <t>Fr. 17 s/d 18 Lajur D PS | Plate (KI) thickness 12 mm | 1400 X 1000 mm</t>
  </si>
  <si>
    <t>Fr. 17/18 s/d 18/19 Lajur D SB | Plate (KI) thickness 12 mm | 1110 X 1110 mm</t>
  </si>
  <si>
    <t>Fr. 18 s/d 19 Lajur D SB | Plate (KI) thickness 12 mm | 1850 X 2120 mm</t>
  </si>
  <si>
    <t>Fr. 18/19 s/d 19/20 Lajur D SB | Plate (KI) thickness 12 mm | 2510 X 1110 mm</t>
  </si>
  <si>
    <t>Fr. 17/18 s/d 18/19 Lajur D SB | Plate (KI) thickness 12 mm | 1090 X 610 mm</t>
  </si>
  <si>
    <t>Fr. 23/24 s/d 24/25 Lajur D PS | Plate (KI) thickness 12 mm | 1110 X 750 mm</t>
  </si>
  <si>
    <t>Fr. 41/42 s/d 42/43 Lajur D SB | Plate (KI) thickness 12 mm | 1110 X 1280 mm</t>
  </si>
  <si>
    <t>Fr. 42/43 s/d 43/44 Lajur D SB | Plate (KI) thickness 12 mm | 1120 X 1840 mm</t>
  </si>
  <si>
    <t>Fr. 43/44 s/d 44/45 Lajur D SB | Plate (KI) thickness 12 mm | 1020 X 1840 mm</t>
  </si>
  <si>
    <t>Fr. 44 s/d 45 Lajur C SB | Plate (KI) thickness 12 mm | 1230 X 970 mm</t>
  </si>
  <si>
    <t>Fr. 44/45 s/d 46/47 Lajur C/D SB | Plate (KI) thickness 12 mm | 1820 X 3880 mm</t>
  </si>
  <si>
    <t>Fr. 44/45 s/d 47/48 Lajur D SB | Plate (KI) thickness 12 mm | 1820 X 6110 mm</t>
  </si>
  <si>
    <t>Fr. 44/45 s/d 47/48 Lajur C SB | Plate (KI) thickness 12 mm | 1830 X 6110 mm</t>
  </si>
  <si>
    <t>Fr. 46/47 s/d 47/48 Lajur B/C SB | Plate (KI) thickness 12 mm | 2020 X 960 mm</t>
  </si>
  <si>
    <t>Fr. 46/47 s/d 47/48 Lajur B SB | Plate (KI) thickness 12 mm | 2020 X 1820 mm</t>
  </si>
  <si>
    <t>Fr. 46/47 s/d 47/48 Lajur A SB | Plate (KI) thickness 12 mm | 2020 X 1810 mm</t>
  </si>
  <si>
    <t>Fr. 46/47 s/d 47/48 Lajur K | Plate (KI) thickness 12 mm | 1830 X 2020 mm</t>
  </si>
  <si>
    <t>Fr. 44/45 s/d 47/48 Lajur A PS | Plate (KI) thickness 12 mm | 5880 X 1820 mm</t>
  </si>
  <si>
    <t>Fr. 44/45 s/d 47/48 Lajur A/B PS | Plate (KI) thickness 12 mm | 5880 X 1840 mm</t>
  </si>
  <si>
    <t>Fr. 44/45 s/d 47/48 Lajur B/C PS | Plate (KI) thickness 12 mm | 5880 X 1830 mm</t>
  </si>
  <si>
    <t>Fr. 44/45 s/d 47/48 Lajur C PS | Plate (KI) thickness 12 mm | 5880 X 1830 mm</t>
  </si>
  <si>
    <t>Fr. 44/45 - 47/48 Lajur C/D PS | Plate (KI) thickness 12 mm | 5850 X 1830 mm</t>
  </si>
  <si>
    <t>Fr. 44/45 s/d 45/46 Lajur D PS | Plate (KI) thickness 12 mm | 2020 X 830 mm</t>
  </si>
  <si>
    <t>Fr. 40/41 s/d 44/45 Lajur C PS | Plate (KI) thickness 12 mm | 6100 X 1530 mm</t>
  </si>
  <si>
    <t>Fr. 40/41 s/d 44/45 Lajur C/D PS | Plate (KI) thickness 12 mm | 6100 X 1530 mm</t>
  </si>
  <si>
    <t>Fr. 40/41 s/d 44/45 Lajur D PS | Plate (KI) thickness 12 mm | 6110 X 1830 mm</t>
  </si>
  <si>
    <t>Fr. 39 s/d 40 Lajur C PS | Plate (KI) thickness 12 mm | 2440 X 660 mm</t>
  </si>
  <si>
    <t>Fr. 39/40 s/d 40/41 Lajur C PS | Plate (KI) thickness 12 mm | 2450 X 1500 mm</t>
  </si>
  <si>
    <t>Fr. 37/38 s/d 40/41 Lajur D PS | Plate (KI) thickness 12 mm | 5280 X 620 mm</t>
  </si>
  <si>
    <t>Fr. 37/38 s/d 41/42 Lajur D PS | Plate (KI) thickness 12 mm | 1840 X 6140 mm</t>
  </si>
  <si>
    <t>Fr. 38/39 s/d 39/40 Lajur C PS | Plate (KI) thickness 12 mm | 1990 X 610 mm</t>
  </si>
  <si>
    <t>Fr. 38/39 s/d 39/40 Lajur C PS | Plate (KI) thickness 12 mm | 1840 X 1990 mm</t>
  </si>
  <si>
    <t>Fr. 36/37 s/d 37/38 Lajur D PS | Plate (KI) thickness 12 mm | 3260 X 1030 mm</t>
  </si>
  <si>
    <t>Fr. 5/6 s/d 6/7 Lajur D SB | Plate (KI) thickness 12 mm | 3150 X 1110 mm</t>
  </si>
  <si>
    <t>Fr. 0 s/d 1 Lajur D PS | Plate (KI) thickness 12 mm | 1560 X 660 mm</t>
  </si>
  <si>
    <t>Fr. 0 s/d 1 Lajur D PS | Plate (KI) thickness 12 mm | 910 X 670 mm</t>
  </si>
  <si>
    <t>Fr. Corner s/d 2/3 Lajur F PS | Plate (KI) thickness 12 mm | 6120 X 1530 mm</t>
  </si>
  <si>
    <t>Fr. 21/22 s/d 23/24 Lajur G PS | Plate (KI) thickness 12 mm | 3350 X 1530 mm</t>
  </si>
  <si>
    <t>Fr. 21/22 s/d 29/30 Lajur G PS | Plate (KI) thickness 12 mm | 15380 X 390 mm</t>
  </si>
  <si>
    <t>Fr. 21/22 s/d 29/30 Lajur F/G PS | Plate (KI) thickness 12 mm | 3070 X 1840 mm</t>
  </si>
  <si>
    <t>Fr. 23/24 s/d 26/27 Lajur G PS | Plate (KI) thickness 12 mm | 6120 X 1530 mm</t>
  </si>
  <si>
    <t>Fr. 26/27 s/d 27/28 Lajur G PS | Plate (KI) thickness 12 mm | 2860 X 1530 mm</t>
  </si>
  <si>
    <t>Fr. 27/28 s/d 31/32 Lajur G PS | Plate (KI) thickness 12 mm | 6120 X 1530 mm</t>
  </si>
  <si>
    <t>Fr. 29/30 s/d 30/31 Lajur G PS | Plate (KI) thickness 12 mm | 3060 X 1500 mm</t>
  </si>
  <si>
    <t>Fr. 39/40 s/d 41/42 Lajur G PS | Plate (KI) thickness 12 mm | 4400 X 950 mm</t>
  </si>
  <si>
    <t>Fr. 38 s/d 39 Lajur F PS ( buka akses material lama) | Plate (KI) thickness 12 mm | 900 X 700 mm</t>
  </si>
  <si>
    <t>Fr. 45/46 s/d 48/49 Lajur F PS | Plate (KI) thickness 12 mm | 5710 X 1830 mm</t>
  </si>
  <si>
    <t>Fr. 45 s/d 46 Lajur F PS | Plate (KI) thickness 12 mm | 410 X 510 mm</t>
  </si>
  <si>
    <t>Fr. 49 s/d 50 Lajur G PS (haluan) | Plate (KI) thickness 12 mm | 3200 X 1220 mm</t>
  </si>
  <si>
    <t>Fr. 0/1 s/d 3/4 Lajur G SB | Plate (KI) thickness 12 mm | 2100 X 750 mm</t>
  </si>
  <si>
    <t>Fr. 6/7 s/d 8/9 Lajur G SB | Plate (KI) thickness 12 mm | 3220 X 2000 mm</t>
  </si>
  <si>
    <t>Fr.14/15 s/d 15/16 Lajur G SB | Plate (KI) thickness 12 mm | 1550 X 750 mm</t>
  </si>
  <si>
    <t>Fr. 18/19 s/d 20 Lajur G SB | Plate (KI) thickness 12 mm | 2010 X 1480 mm</t>
  </si>
  <si>
    <t>Fr. 21 s/d 22Lajur G SB | Plate (KI) thickness 12 mm | 1500 X 700 mm</t>
  </si>
  <si>
    <t>Fr. 22/23 s/d 23/24 Lajur G SB | Plate (KI) thickness 12 mm | 1970 X 750 mm</t>
  </si>
  <si>
    <t>Fr. 26 s/d 27 Lajur G SB | Plate (KI) thickness 12 mm | 1100 X 750 mm</t>
  </si>
  <si>
    <t>Fr. 31/34 s/d 35/36 Lajur G SB | Plate (KI) thickness 12 mm | 1980 X 920 mm</t>
  </si>
  <si>
    <t>Fr. 39/40 s/d 40/41 Lajur G SB | Plate (KI) thickness 12 mm | 3400 X 750 mm</t>
  </si>
  <si>
    <t>Fr. 43/44 s/d 45/46 Lajur F/G SB | Plate (KI) thickness 12 mm | 4400 X 1840 mm</t>
  </si>
  <si>
    <t>Fr. 43/44 s/d 45/46 Lajur F SB | Plate (KI) thickness 12 mm | 4400 X 1800 mm</t>
  </si>
  <si>
    <t>Fr. 45/46 s/d 46/47 Lajur F SB | Plate (KI) thickness 12 mm | 1720 X 1610 mm</t>
  </si>
  <si>
    <t>Fr. 46 s/d 47 Lajur F SB | Plate (KI) thickness 12 mm | 1470 X 1330 mm</t>
  </si>
  <si>
    <t>Fr. 0 s/d 1 Lajur D SB | Plate (KI) thickness 12 mm | 1460 X 500 mm</t>
  </si>
  <si>
    <t>Fr. 0 s/d 1 Lajur B SB | Plate (KI) thickness 12 mm | 480 X1230 mm</t>
  </si>
  <si>
    <t>Fr. 14/15 s/d 15/16 Lajur D SB | Plate (KI) thickness 12 mm | 400 X1200 mm</t>
  </si>
  <si>
    <t>Fr. 26 s/d 27 Lajur D SB | Plate (KI) thickness 12 mm | 650 X 320 mm</t>
  </si>
  <si>
    <t>Fr. 27/28 s/d 29/30 Lajur D SB | Plate (KI) thickness 12 mm | 1700 X 400 mm</t>
  </si>
  <si>
    <t>Fr. 39/40 s/d 40/41 Lajur D SB | Plate (KI) thickness 12 mm | 2000 X 400 mm</t>
  </si>
  <si>
    <t>Fr. 0 s/d 1 Lajur D PS | Plate (KI) thickness 12 mm | 1500 X 750 mm</t>
  </si>
  <si>
    <t>Fr. 0 s/d 1 Lajur D PS | Plate (KI) thickness 12 mm | 2240 X 800 mm</t>
  </si>
  <si>
    <t>Fr. 0 s/d 1 Lajur C PS | Plate (KI) thickness 12 mm | 900 X 400 mm</t>
  </si>
  <si>
    <t>Fr. 27/28 s/d 29/30 Lajur D PS | Plate (KI) thickness 12 mm | 1170 X 410 mm</t>
  </si>
  <si>
    <t>Fr. 39/40 s/d 40/41 Lajur D PS | Plate (KI) thickness 12 mm | 3220 X 900 mm</t>
  </si>
  <si>
    <t>corner | Angle bar unequal size. 500 x 100 x 10 mm | 2220 mm</t>
  </si>
  <si>
    <t>Fr. 0/1 s/d 4/5 SB | Angle bar unequal size. 500 x 100 x 10 mm | 6020 mm</t>
  </si>
  <si>
    <t>Fr. 4/5 s/d 6/7 SB | Angle bar unequal size. 500 x 100 x 10 mm | 5170 mm</t>
  </si>
  <si>
    <t>Fr. 6/7 s/d 8 SB | Angle bar unequal size. 500 x 100 x 10 mm | 2170 mm</t>
  </si>
  <si>
    <t>Fr. 8/9 s/d 11/12 SB | Angle bar unequal size. 500 x 100 x 10 mm | 5820 mm</t>
  </si>
  <si>
    <t>Fr. 11/12 s/d 14/15 SB | Angle bar unequal size. 500 x 100 x 10 mm | 5000 mm</t>
  </si>
  <si>
    <t>Fr. 14/15 s/d 15/16 SB | Angle bar unequal size. 500 x 100 x 10 mm | 2430 mm</t>
  </si>
  <si>
    <t>Fr. 15/16 s/d 18/19 SB | Angle bar unequal size. 500 x 100 x 10 mm | 6020 mm</t>
  </si>
  <si>
    <t>Fr. 18/19 s/d 22/23 SB | Angle bar unequal size. 500 x 100 x 10 mm | 6020 mm</t>
  </si>
  <si>
    <t>Fr. 22/23 s/d 24/25 SB | Angle bar unequal size. 500 x 100 x 10 mm | 4110 mm</t>
  </si>
  <si>
    <t>Fr. 24/25 s/d 26/27 SB | Angle bar unequal size. 500 x 100 x 10 mm | 3010 mm</t>
  </si>
  <si>
    <t>Fr. 25/26 s/d 27/28 SB | Angle bar unequal size. 500 x 100 x 10 mm | 3010 mm</t>
  </si>
  <si>
    <t>Fr. 27/28 s/d 30/31 SB | Angle bar unequal size. 500 x 100 x 10 mm | 6020 mm</t>
  </si>
  <si>
    <t>Fr. 31/32 s/d 33/34 SB | Angle bar unequal size. 500 x 100 x 10 mm | 3780 mm</t>
  </si>
  <si>
    <t>Fr. 33/34 s/d 34/35 SB | Angle bar unequal size. 500 x 100 x 10 mm | 2220 mm</t>
  </si>
  <si>
    <t>Fr. 34/35 s/d 37/38 SB | Angle bar unequal size. 500 x 100 x 10 mm | 6000 mm</t>
  </si>
  <si>
    <t>Fr. 37/38 s/d 39 SB | Angle bar unequal size. 500 x 100 x 10 mm | 2410 mm</t>
  </si>
  <si>
    <t>Fr. 39/40 s/d 40/41 SB | Angle bar unequal size. 500 x 100 x 10 mm | 3580 mm</t>
  </si>
  <si>
    <t>Fr. 40/41 s/d 43/44 SB | Angle bar unequal size. 500 x 100 x 10 mm | 4700 mm</t>
  </si>
  <si>
    <t>Fr. 43 s/d 44 SB | Angle bar unequal size. 500 x 100 x 10 mm | 1320 mm</t>
  </si>
  <si>
    <t>transome AP | Angle bar unequal size. 500 x 100 x 10 mm | 22920 mm</t>
  </si>
  <si>
    <t>Fr. Corner/0 s/d 3/4 PS | Angle bar unequal size. 500 x 100 x 10 mm | 6050 mm</t>
  </si>
  <si>
    <t>Fr. 3/4 s/d 6/7 PS | Angle bar unequal size. 500 x 100 x 10 mm | 6020 mm</t>
  </si>
  <si>
    <t>Fr. 10/11 s/d 13/14 PS | Angle bar unequal size. 500 x 100 x 10 mm | 6020 mm</t>
  </si>
  <si>
    <t>Fr.13/14 s/d 16/17 PS | Angle bar unequal size. 500 x 100 x 10 mm | 6020 mm</t>
  </si>
  <si>
    <t>Fr. 28/29 s/d 28/29 PS | Angle bar unequal size. 500 x 100 x 10 mm | 3330 mm</t>
  </si>
  <si>
    <t>Fr. 33/34 s/d 34/35 PS | Angle bar unequal size. 500 x 100 x 10 mm | 2680 mm</t>
  </si>
  <si>
    <t>Fr. 38/39 s/d 41/42 PS | Angle bar unequal size. 500 x 100 x 10 mm | 4920 mm</t>
  </si>
  <si>
    <t>Fr. 42/43 s/d 43/44 PS | Angle bar unequal size. 500 x 100 x 10 mm | 1860 mm</t>
  </si>
  <si>
    <t>Fr. 49 s/d 50 PS (haluan) | Angle bar unequal size. 500 x 100 x 10 mm | 3320 mm</t>
  </si>
  <si>
    <t>transome  PS | Plate (KI) thickness 12 mm | 510 X 440 mm</t>
  </si>
  <si>
    <t>transome  PS | Plate (KI) thickness 12 mm | 1950 X 1200 mm</t>
  </si>
  <si>
    <t>transome  SB | Plate (KI) thickness 12 mm | 800 X 610 mm</t>
  </si>
  <si>
    <t>transome  SB | Plate (KI) thickness 12 mm | 1450 X 1220 mm</t>
  </si>
  <si>
    <t>Lajur G SB | Plate (KI) thickness 12 mm | 3010 X 1260 mm</t>
  </si>
  <si>
    <t>Replating skeg Ps</t>
  </si>
  <si>
    <t>doubling | Plate (KI) thickness 12 mm | 510 X 450 mm</t>
  </si>
  <si>
    <t xml:space="preserve"> | Plate (KI) thickness 12 mm | 220 X 310 mm</t>
  </si>
  <si>
    <t xml:space="preserve"> | Plate (KI) thickness 12 mm | 350 X 310 mm @ 2 sht</t>
  </si>
  <si>
    <t>Pelurusan side shell PS</t>
  </si>
  <si>
    <t>Fr. 26/27 s/d 29/30 Lajur F/G PS | Plate (KI) thickness 12 mm | 5970 X 2950 mm</t>
  </si>
  <si>
    <t>Web frame | Angle bar unequal size. 500 x 100 x 10 mm | 2100 mm @3 pcs</t>
  </si>
  <si>
    <t>Long side shell no 7 | Angle bar size. 150 x 150 x 10 mm | 6700 mm @ 4 pcs</t>
  </si>
  <si>
    <t>web chine No. 1 | Angle bar unequal size. 500 x 100 x 10 mm | 600 mm</t>
  </si>
  <si>
    <t>web chine No. 2 | Angle bar unequal size. 500 x 100 x 10 mm | 700 mm</t>
  </si>
  <si>
    <t>ordinary frame No. 1 | Angle bar size. 120 x 120 x 10 mm | 1200 mm</t>
  </si>
  <si>
    <t>ordinary frame No. 2 | Angle bar size. 120 x 120 x 10 mm | 1400 mm</t>
  </si>
  <si>
    <t>web frame No. 1 | Angle bar unequal size. 500 x 100 x 10 mm | 2150 mm</t>
  </si>
  <si>
    <t>web frame No. 2 | Angle bar unequal size. 500 x 100 x 10 mm | 1850 mm</t>
  </si>
  <si>
    <t>web chine, Fr. No. 1 s/d 3 | Angle bar unequal size. 500 x 100 x 10 mm | 700 mm @ 2 pcs</t>
  </si>
  <si>
    <t>web chine, Fr. No. 1 s/d 3 | Angle bar unequal size. 500 x 100 x 10 mm | 610 mm @ 1 pcs</t>
  </si>
  <si>
    <t>ordinary frame, Fr. No. 1 | Angle bar size. 120 x 120 x 10 mm | 3110 mm</t>
  </si>
  <si>
    <t>ordinary frame, Fr. No. 2 | Angle bar size. 120 x 120 x 10 mm | 3200 mm</t>
  </si>
  <si>
    <t>ordinary frame, Fr. No. 3 | Angle bar size. 120 x 120 x 10 mm | 3350 mm</t>
  </si>
  <si>
    <t>ordinary frame, Fr. No. 4 | Angle bar size. 120 x 120 x 10 mm | 3350 mm</t>
  </si>
  <si>
    <t>colar | Plate (A) thickness 12 mm | 200 X 90 mm @4pcs</t>
  </si>
  <si>
    <t>bracket TBHD to Side sheel | Plate (A) thickness 12 mm | 600 X 350 mm @ 2 sht</t>
  </si>
  <si>
    <t>Web frame No. 1 | Angle bar unequal size. 500 x 100 x 10 mm | 1370 mm</t>
  </si>
  <si>
    <t>Web frame No. 2 | Angle bar unequal size. 500 x 100 x 10 mm | 2500 mm</t>
  </si>
  <si>
    <t>Web frame No. 3 | Angle bar unequal size. 500 x 100 x 10 mm | 2100 mm</t>
  </si>
  <si>
    <t>Web frame No. 4 | Angle bar unequal size. 500 x 100 x 10 mm | 2700 mm</t>
  </si>
  <si>
    <t>bracket Web frame to LSS | Plate (KI) thickness 10 mm | 400 X 220 mm @ 2 pcs</t>
  </si>
  <si>
    <t>Bracket chine | Angle bar unequal size. 500 x 100 x 10 mm | 1100 mm @ 3 pcs</t>
  </si>
  <si>
    <t>Bottom trans No. 1 | Angle bar unequal size. 500 x 100 x 10 mm | 1630 mm</t>
  </si>
  <si>
    <t>Bottom trans No. 2 | Angle bar unequal size. 500 x 100 x 10 mm | 850 mm</t>
  </si>
  <si>
    <t>Bottom trans No. 3 | Angle bar unequal size. 500 x 100 x 10 mm | 840 mm</t>
  </si>
  <si>
    <t>Bracket TBHD to long bottom Tangki 3/4 | Angle bar unequal size. 500 x 100 x 10 mm | 630 mm</t>
  </si>
  <si>
    <t>bracket chine web TBHD to chine long Tangki 3/4 | Angle bar unequal size. 500 x 100 x 10 mm | 630 mm</t>
  </si>
  <si>
    <t>long chine | Angle bar size. 150 x 150 x 12 mm | 4010 mm</t>
  </si>
  <si>
    <t>Long bottom | Angle bar size. 150 x 150 x 12 mm | 4020 mm</t>
  </si>
  <si>
    <t>Long side shell no 7 | Angle bar size. 120 x 120 x 10 mm | 1800 mm</t>
  </si>
  <si>
    <t>colar | Plate (A) thickness 10 mm | 190 X 90 mm @ 8 pcs</t>
  </si>
  <si>
    <t>face pilar kiri No.1 | Plate (A) thickness 12 mm | 400 X 90 mm</t>
  </si>
  <si>
    <t>doubling plat LSS | Plate (KI) thickness 10 mm | 200 X 110 mm @ 2 sht</t>
  </si>
  <si>
    <t>TBHD Tangki 1/2 | Plate (KI) thickness 8 mm | 620 X 340 mm</t>
  </si>
  <si>
    <t>LBHD tangki Ps/Ct | Plate (KI) thickness 10 mm | 600 X 300 mm</t>
  </si>
  <si>
    <t>ordinary frame, Fr. No. 1 | Angle bar size. 120 x 120 x 10 mm | 1510 mm</t>
  </si>
  <si>
    <t>ordinary frame, Fr. No. 3 | Angle bar size. 120 x 120 x 10 mm | 910 mm</t>
  </si>
  <si>
    <t>web frame | Angle bar unequal size. 500 x 100 x 10 mm | 1460 mm</t>
  </si>
  <si>
    <t>web frame | Plate (KI) thickness 10 mm | 350 X 560 mm @ 1 sht</t>
  </si>
  <si>
    <t>Bracket chine No. 1 | Angle bar unequal size. 500 x 100 x 10 mm | 1050 mm</t>
  </si>
  <si>
    <t>Bracket chine No. 2 | Angle bar unequal size. 500 x 100 x 10 mm | 1050 mm</t>
  </si>
  <si>
    <t>Bracket chine No. 3 | Angle bar unequal size. 500 x 100 x 10 mm | 1050 mm</t>
  </si>
  <si>
    <t>Bracket chine No. 4 | Angle bar unequal size. 500 x 100 x 10 mm | 1050 mm</t>
  </si>
  <si>
    <t>Bottom trans No. 2 | Angle bar unequal size. 500 x 100 x 10 mm | 1640 mm</t>
  </si>
  <si>
    <t>Bottom trans No. 3 | Angle bar unequal size. 500 x 100 x 10 mm | 1630 mm</t>
  </si>
  <si>
    <t>Bottom trans No. 4 | Angle bar unequal size. 500 x 100 x 10 mm | 1630 mm</t>
  </si>
  <si>
    <t>plate face pilar kiri No.1 s/d 4 | Plate (KI) thickness 10 mm | 450 X 90 mm @ 4 sht</t>
  </si>
  <si>
    <t>long chine | Angle bar size. 150 x 150 x 12 mm | 9060 mm @ 1 pcs</t>
  </si>
  <si>
    <t>Bracket long chine | Angle bar unequal size. 500 x 100 x 10 mm | 650 mm @ 2 pcs</t>
  </si>
  <si>
    <t>Colar | Plate (KI) thickness 10 mm | 200 X 100 mm @ 4 sht</t>
  </si>
  <si>
    <t>long. Sideshell No. 1 | Angle bar size. 120 x 120 x 10 mm | 9010 mm</t>
  </si>
  <si>
    <t>long. Sideshell No. 2 | Angle bar size. 120 x 120 x 10 mm | 9050 mm</t>
  </si>
  <si>
    <t>long. Sideshell No. 3 | Angle bar size. 120 x 120 x 10 mm | 9050 mm</t>
  </si>
  <si>
    <t>long. Sideshell No. 4 | Angle bar size. 120 x 120 x 10 mm | 2590 mm</t>
  </si>
  <si>
    <t>long. Sideshell No. 5 | Angle bar size. 120 x 120 x 10 mm | 2450 mm</t>
  </si>
  <si>
    <t>long. Sideshell No. 6 | Angle bar size. 120 x 120 x 10 mm | 2580 mm</t>
  </si>
  <si>
    <t>long. Sideshell No. 7 | Angle bar size. 120 x 120 x 10 mm | 2440 mm</t>
  </si>
  <si>
    <t>bracket LSS to TBHD | Angle bar unequal size. 500 x 100 x 10 mm | 720 mm @ 7 pcs</t>
  </si>
  <si>
    <t>web frame No. 1 | Angle bar unequal size. 500 x 100 x 10 mm | 2500 mm</t>
  </si>
  <si>
    <t>web frame No. 2 | Angle bar unequal size. 500 x 100 x 10 mm | 2460 mm</t>
  </si>
  <si>
    <t>web frame No. 3 | Angle bar unequal size. 500 x 100 x 10 mm | 2460 mm</t>
  </si>
  <si>
    <t>web frame No. 4 | Angle bar unequal size. 500 x 100 x 10 mm | 4650 mm</t>
  </si>
  <si>
    <t>Deck girder No.4 | Plate (A) thickness 10 mm | 520 X 200 mm</t>
  </si>
  <si>
    <t>bracket web frame to LSS No. 1 | Plate (A) thickness 12 mm | 430 X 250 mm</t>
  </si>
  <si>
    <t>bracket web frame to LSS No. 2 | Plate (A) thickness 12 mm | 450 X 280 mm</t>
  </si>
  <si>
    <t>bracket web frame to LSS No. 2 | Plate (A) thickness 12 mm | 430 X 250 mm</t>
  </si>
  <si>
    <t>bracket web frame to LSS No. 3 | Plate (A) thickness 12 mm | 450 X 280 mm</t>
  </si>
  <si>
    <t>bracket web frame to LSS No. 3 | Plate (A) thickness 12 mm | 430 X 250 mm</t>
  </si>
  <si>
    <t>bracket web frame to LSS No. 4 | Plate (A) thickness 12 mm | 480 X 280 mm</t>
  </si>
  <si>
    <t>bracket web frame to LSS No. 4 | Plate (A) thickness 12 mm | 450 X 250 mm</t>
  </si>
  <si>
    <t>bracket LSS to TBHD Tangki 5/6 | Angle bar unequal size. 500 x 100 x 10 mm | 660 mm @ 3 pcs</t>
  </si>
  <si>
    <t>web chine, Fr. No. 1 | Angle bar unequal size. 500 x 100 x 10 mm | 1100 mm</t>
  </si>
  <si>
    <t>web chine, Fr. No. 2 | Angle bar unequal size. 500 x 100 x 10 mm | 1180 mm</t>
  </si>
  <si>
    <t>web chine, Fr. No. 3 | Angle bar unequal size. 500 x 100 x 10 mm | 1180 mm</t>
  </si>
  <si>
    <t>web chine, Fr. No. 4 | Angle bar unequal size. 500 x 100 x 10 mm | 1150 mm</t>
  </si>
  <si>
    <t>diagonal pillar No. 1 kanan | Angle bar size. 150 x 150 x 12 mm | 1530 mm</t>
  </si>
  <si>
    <t>diagonal pillar No. 2 kanan | Angle bar size. 150 x 150 x 12 mm | 1510 mm</t>
  </si>
  <si>
    <t>diagonal pillar No. 3 kanan | Angle bar size. 150 x 150 x 12 mm | 1510 mm</t>
  </si>
  <si>
    <t>diagonal pillar No. 4 kanan | Angle bar size. 150 x 150 x 12 mm | 1510 mm</t>
  </si>
  <si>
    <t>diagonal pillar No. 1 kiri | Angle bar size. 150 x 150 x 12 mm | 1500 mm</t>
  </si>
  <si>
    <t>diagonal pillar No. 2 kiri | Angle bar size. 150 x 150 x 12 mm | 1510 mm</t>
  </si>
  <si>
    <t>diagonal pillar No. 3 kiri | Angle bar size. 150 x 150 x 12 mm | 1500 mm</t>
  </si>
  <si>
    <t>diagonal pillar No. 4 kiri | Angle bar size. 150 x 150 x 12 mm | 1500 mm</t>
  </si>
  <si>
    <t>web LBHD No. 1 | Angle bar unequal size. 500 x 100 x 10 mm | 1610 mm</t>
  </si>
  <si>
    <t>web LBHD No. 2 | Angle bar unequal size. 500 x 100 x 10 mm | 1610 mm</t>
  </si>
  <si>
    <t>web LBHD No. 3 | Angle bar unequal size. 500 x 100 x 10 mm | 1480 mm</t>
  </si>
  <si>
    <t>web LBHD No. 4 | Angle bar unequal size. 500 x 100 x 10 mm | 1600 mm</t>
  </si>
  <si>
    <t>web bottom trans No. 1 | Angle bar unequal size. 500 x 100 x 10 mm | 4840 mm</t>
  </si>
  <si>
    <t>web bottom trans No. 2 | Angle bar unequal size. 500 x 100 x 10 mm | 4840 mm</t>
  </si>
  <si>
    <t>web bottom trans No. 3 | Angle bar unequal size. 500 x 100 x 10 mm | 4570 mm</t>
  </si>
  <si>
    <t>web bottom trans No. 4 | Angle bar unequal size. 500 x 100 x 10 mm | 4420 mm</t>
  </si>
  <si>
    <t>long. bulkhead | Plate (A) thickness 8 mm | 8610 X 1510 mm</t>
  </si>
  <si>
    <t>stiffener LBHD No. 1 | Angle bar size. 120 x 120 x 10 mm | 9020 mm</t>
  </si>
  <si>
    <t>stiffener LBHD No. 2 | Angle bar size. 120 x 120 x 10 mm | 8910 mm</t>
  </si>
  <si>
    <t>bracket stiffener LBHD to TBHD | Angle bar unequal size. 500 x 100 x 10 mm | 660 mm</t>
  </si>
  <si>
    <t>bracket stiffener LBHD to TBHD | Angle bar unequal size. 500 x 100 x 10 mm | 760 mm</t>
  </si>
  <si>
    <t>bracket stiffener LBHD to TBHD | Angle bar unequal size. 500 x 100 x 10 mm | 750 mm</t>
  </si>
  <si>
    <t>bracket stiffener LBHD to TBHD | Angle bar unequal size. 500 x 100 x 10 mm | 730 mm</t>
  </si>
  <si>
    <t>TBHD Tangki 5/6 | Plate (A) thickness 8 mm | 960 X 900 mm</t>
  </si>
  <si>
    <t>TBHD Tangki 5/6 | Plate (A) thickness 8 mm | 720 X 400 mm</t>
  </si>
  <si>
    <t>colar web frame No.4 | Plate (A) thickness 10 mm | 180 X 90 mm @15 pcs</t>
  </si>
  <si>
    <t>long. Sideshell No. 1 | Angle bar size. 120 x 120 x 10 mm | 9050 mm</t>
  </si>
  <si>
    <t>long. Sideshell No. 2 | Angle bar size. 120 x 120 x 10 mm | 9030 mm</t>
  </si>
  <si>
    <t>long. Sideshell No. 3 | Angle bar size. 120 x 120 x 10 mm | 9030 mm</t>
  </si>
  <si>
    <t>bracket LSS to TBHD tank 6/7 No.1 | Angle bar unequal size. 500 x 100 x 10 mm | 620 mm</t>
  </si>
  <si>
    <t>bracket LSS to TBHD tank 6/7 No.2 | Angle bar unequal size. 500 x 100 x 10 mm | 640 mm</t>
  </si>
  <si>
    <t>bracket LSS to TBHD tank 6/7 No.3 | Angle bar unequal size. 500 x 100 x 10 mm | 660 mm</t>
  </si>
  <si>
    <t>bracket LSS to TBHD tank 5/6 No.1 | Angle bar unequal size. 500 x 100 x 10 mm | 660 mm</t>
  </si>
  <si>
    <t>bracket LSS to TBHD tank 5/6 No.2 | Angle bar unequal size. 500 x 100 x 10 mm | 690 mm</t>
  </si>
  <si>
    <t>bracket LSS to TBHD tank 5/6 No.3 | Angle bar unequal size. 500 x 100 x 10 mm | 690 mm</t>
  </si>
  <si>
    <t>bracket web frame to LSS No. 1 s/d 3 | Plate (A) thickness 10 mm | 280 X 450 mm @ 3 sht</t>
  </si>
  <si>
    <t>web frame No. 1 | Angle bar unequal size. 500 x 100 x 10 mm | 2130 mm</t>
  </si>
  <si>
    <t>web frame No. 2 | Angle bar unequal size. 500 x 100 x 10 mm | 2150 mm</t>
  </si>
  <si>
    <t>web frame No. 3 | Angle bar unequal size. 500 x 100 x 10 mm | 2500 mm</t>
  </si>
  <si>
    <t>web LBHD No. 1 | Angle bar unequal size. 500 x 100 x 10 mm | 690 mm</t>
  </si>
  <si>
    <t>web LBHD No. 2 | Angle bar unequal size. 500 x 100 x 10 mm | 1090 mm</t>
  </si>
  <si>
    <t>web LBHD No. 3 | Angle bar unequal size. 500 x 100 x 10 mm | 1180 mm</t>
  </si>
  <si>
    <t>web LBHD No. 4 | Angle bar unequal size. 500 x 100 x 10 mm | 850 mm</t>
  </si>
  <si>
    <t>TBHD | Plate (A) thickness 8 mm | 2900 X 1400 mm</t>
  </si>
  <si>
    <t>long bottom No.1 | Angle bar unequal size. 500 x 100 x 10 mm | 580 mm</t>
  </si>
  <si>
    <t>long bottom No.2 | Angle bar unequal size. 500 x 100 x 10 mm | 500 mm</t>
  </si>
  <si>
    <t>bracket TBHD to Long Bottom tangki 6/7 | Angle bar unequal size. 500 x 100 x 10 mm | 500 mm</t>
  </si>
  <si>
    <t>bracket TBHD to Long Bottom tangki 6/8 | Angle bar unequal size. 500 x 100 x 10 mm | 650 mm</t>
  </si>
  <si>
    <t>bracket TBHD to Long Bottom tangki 6/9 | Angle bar unequal size. 500 x 100 x 10 mm | 650 mm</t>
  </si>
  <si>
    <t>bracket TBHD to Long Bottom tangki 6/10 | Angle bar unequal size. 500 x 100 x 10 mm | 650 mm</t>
  </si>
  <si>
    <t>bracket TBHD to Long Bottom tangki 6/11 | Angle bar unequal size. 500 x 100 x 10 mm | 530 mm</t>
  </si>
  <si>
    <t>LBHD tangki Ps/Ct | Plate (A) thickness 8 mm | 8800 X 900 mm</t>
  </si>
  <si>
    <t>LBHD tangki Ps/Ct | Plate (A) thickness 8 mm | 700 X 410 mm</t>
  </si>
  <si>
    <t>LBHD tangki Ps/Ct | Plate (A) thickness 8 mm | 800 X 410 mm</t>
  </si>
  <si>
    <t>web bottom trans No. 1 | Angle bar unequal size. 500 x 100 x 10 mm | 610 mm</t>
  </si>
  <si>
    <t>web bottom trans No. 2 | Angle bar unequal size. 500 x 100 x 10 mm | 920 mm</t>
  </si>
  <si>
    <t>web bottom trans No. 3 | Angle bar unequal size. 500 x 100 x 10 mm | 1020 mm</t>
  </si>
  <si>
    <t>web bottom trans No. 4 | Angle bar unequal size. 500 x 100 x 10 mm | 640 X 2600 mm</t>
  </si>
  <si>
    <t>stiffener LBHD No. 1 | Angle bar size. 120 x 120 x 10 mm | 9010 mm</t>
  </si>
  <si>
    <t>bracket stiffener LBHD to TBHD tangki 6/7 | Angle bar unequal size. 500 x 100 x 10 mm | 680 mm</t>
  </si>
  <si>
    <t>diagonal pillar No. 2 | Angle bar size. 150 x 150 x 12 mm | 1010 mm</t>
  </si>
  <si>
    <t>diagonal pillar No. 3 | Angle bar size. 150 x 150 x 12 mm | 1010 mm</t>
  </si>
  <si>
    <t>colar web frame No.1 s/d 4 | Plate (A) thickness 10 mm | 180 X 90 mm @ 6 sht</t>
  </si>
  <si>
    <t>long. Bottom No. 1 | Angle bar size. 150 x 150 x 12 mm | 5340 mm</t>
  </si>
  <si>
    <t>long. Bottom No. 2 | Angle bar size. 150 x 150 x 12 mm | 5320 mm</t>
  </si>
  <si>
    <t>web bottom trans No. 1 | Angle bar unequal size. 500 x 100 x 10 mm | 1610 mm</t>
  </si>
  <si>
    <t>web bottom trans No. 2 | Angle bar unequal size. 500 x 100 x 10 mm | 1610 mm</t>
  </si>
  <si>
    <t>web chine No. 1 | Angle bar unequal size. 500 x 100 x 10 mm | 1100 mm</t>
  </si>
  <si>
    <t>web chine No. 2 | Angle bar unequal size. 500 x 100 x 10 mm | 1150 mm</t>
  </si>
  <si>
    <t>long bottom | Angle bar unequal size. 500 x 100 x 10 mm | 5330 mm</t>
  </si>
  <si>
    <t>bracket to tbhd | Angle bar unequal size. 500 x 100 x 10 mm | 580 mm</t>
  </si>
  <si>
    <t>bracket to tbhd | Angle bar unequal size. 500 x 100 x 10 mm | 550 mm</t>
  </si>
  <si>
    <t>Colar | Plate (KI) thickness 10 mm | 200 X 80 mm @ 4 sht</t>
  </si>
  <si>
    <t>i</t>
  </si>
  <si>
    <t>Tangki 8 PS</t>
  </si>
  <si>
    <t>Pelurusan stfnr long side  | Angle bar size 150 x 70 x 10 mm | 1200 mm</t>
  </si>
  <si>
    <t>j</t>
  </si>
  <si>
    <t>long. Bottom No. 1 | Angle bar size. 150 x 150 x 12 mm | 5150 mm</t>
  </si>
  <si>
    <t>long. Bottom No. 2 | Angle bar size. 150 x 150 x 12 mm | 5140 mm</t>
  </si>
  <si>
    <t>long. Bottom No. 6 | Angle bar size. 150 x 150 x 12 mm | 5380 mm</t>
  </si>
  <si>
    <t>long. Bottom No. 7 | Angle bar size. 150 x 150 x 12 mm | 5400 mm</t>
  </si>
  <si>
    <t>long. Bottom No. 8 | Angle bar size. 150 x 150 x 12 mm | 5390 mm</t>
  </si>
  <si>
    <t>bracket long Bottom to TBHD No.6 | Angle bar unequal size. 500 x 100 x 10 mm | 600 mm</t>
  </si>
  <si>
    <t>bracket long Bottom to TBHD No.7 | Angle bar unequal size. 500 x 100 x 10 mm | 600 mm</t>
  </si>
  <si>
    <t>bracket long Bottom to TBHD No.8 | Angle bar unequal size. 500 x 100 x 10 mm | 620 mm</t>
  </si>
  <si>
    <t>bracket long Bottom to TBHD | Angle bar unequal size. 500 x 100 x 10 mm | 520 mm</t>
  </si>
  <si>
    <t>long girder No. 2 | Angle bar unequal size. 500 x 100 x 10 mm |3400 mm @ 1 pcs</t>
  </si>
  <si>
    <t>web bottom trans No. 2 | Angle bar unequal size. 500 x 100 x 10 mm | 1360 mm</t>
  </si>
  <si>
    <t>web chine No. 2 | Angle bar unequal size. 500 x 100 x 10 mm | 1120 mm</t>
  </si>
  <si>
    <t>plate face pilar kanan No.1 | Plate (KI) thickness 10 mm | 380 X 80 mm @ 1 sht</t>
  </si>
  <si>
    <t>Colar | Plate (KI) thickness 10 mm | 220 X 100 mm @ 5 sht</t>
  </si>
  <si>
    <t>k</t>
  </si>
  <si>
    <t>Tangki 9 SB</t>
  </si>
  <si>
    <t>Doubling siku long side | Plat (A) Thicness 12 mm | 160  x 280 mm</t>
  </si>
  <si>
    <t>Doubling siku long side | Plat (A) Thicness 12 mm | 160  x 230 mm</t>
  </si>
  <si>
    <t>Doubling siku long side | Plat (A) Thicness 12 mm | 160  x 220 mm</t>
  </si>
  <si>
    <t>Doubling siku long side | Plat (A) Thicness 12 mm | 160  x 240 mm</t>
  </si>
  <si>
    <t>Doubling siku long side | Plat (A) Thicness 12 mm | 160  x 260 mm</t>
  </si>
  <si>
    <t>Doubling siku long side | Plat (A) Thicness 12 mm | 160  x 250 mm</t>
  </si>
  <si>
    <t>l</t>
  </si>
  <si>
    <t>vertical web transome | Angle bar unequal size. 500 x 100 x 10 mm | 1410 mm @ 4 pcs</t>
  </si>
  <si>
    <t>ordinary frame No.1 | Angle bar size. 120 x 120 x 10 mm | 440 mm</t>
  </si>
  <si>
    <t>ordinary frame No.2 | Angle bar size. 120 x 120 x 10 mm | 910 mm</t>
  </si>
  <si>
    <t>ordinary frame No.3 | Angle bar size. 120 x 120 x 10 mm | 450 mm</t>
  </si>
  <si>
    <t>bracket | Angle bar unequal size. 500 x 100 x 10 mm | 650 mm @ 1 pcs</t>
  </si>
  <si>
    <t>long. Bottom | Angle bar size. 150 x 150 x 12 mm | 550 mm</t>
  </si>
  <si>
    <t>long. Bottom | Angle bar size. 150 x 150 x 12 mm | 540 mm</t>
  </si>
  <si>
    <t>long. Deck | Angle bar size. 120 x 120 x 10 mm | 960 mm</t>
  </si>
  <si>
    <t>long. Deck | Angle bar size. 120 x 120 x 10 mm | 950 mm</t>
  </si>
  <si>
    <t>long. Deck | Angle bar size. 120 x 120 x 10 mm | 850 mm</t>
  </si>
  <si>
    <t>long. Sideshell No.1  atas | Angle bar size. 120 x 120 x 10 mm | 4570 mm</t>
  </si>
  <si>
    <t>long. Sideshell No.2  atas | Angle bar size. 120 x 120 x 10 mm | 2700 mm</t>
  </si>
  <si>
    <t>plate web fr. 1 | Plate (KI) thickness 12 mm | 190 X 80 mm @ 2 sht</t>
  </si>
  <si>
    <t>colar web No.1 | Plate (KI) thickness 10 mm | 200 X 80 mm</t>
  </si>
  <si>
    <t>colar web No.2 | Plate (KI) thickness 10 mm | 200 X 80 mm</t>
  </si>
  <si>
    <t>m</t>
  </si>
  <si>
    <t>vertical stiffener transome | Angle bar size. 120 x 120 x 10 mm | 430 mm</t>
  </si>
  <si>
    <t>long. Sideshell | Angle bar size. 120 x 120 x 10 mm | 1250 mm</t>
  </si>
  <si>
    <t>bracket corner | Plate (KI) thickness 12 mm | 580 X 380 mm</t>
  </si>
  <si>
    <t>vertical web transome | Angle bar unequal size. 500 x 100 x 10 mm | 1400 mm</t>
  </si>
  <si>
    <t>tanki 6 Ps</t>
  </si>
  <si>
    <t>tanki 9 Ps</t>
  </si>
  <si>
    <t>tanki 10 Ps</t>
  </si>
  <si>
    <t>tanki 1 Sb</t>
  </si>
  <si>
    <t>tanki 2 Sb</t>
  </si>
  <si>
    <t>tanki 3 Sb</t>
  </si>
  <si>
    <t>tanki 4 Sb</t>
  </si>
  <si>
    <t>tanki 5 Sb</t>
  </si>
  <si>
    <t>tanki 6 Sb</t>
  </si>
  <si>
    <t>tanki 7 Sb</t>
  </si>
  <si>
    <t>tanki 8 Sb</t>
  </si>
  <si>
    <t>tanki 9 Sb</t>
  </si>
  <si>
    <t>tanki 10 Sb</t>
  </si>
  <si>
    <t>tanki 9 Ct</t>
  </si>
  <si>
    <t>tanki 10 Ct</t>
  </si>
  <si>
    <t>Rewelding pitting bottom</t>
  </si>
  <si>
    <t>Fr. 0 s/d 1 Lajur E PS | Plate (KI) thickness 12 mm | 1140 X 800 mm</t>
  </si>
  <si>
    <t>Fr. 4/5 s/d 5/6 Lajur E SB | Plate (KI) thickness 12 mm | 1570 X 800 mm</t>
  </si>
  <si>
    <t>Fr. 6/7 s/d 9/10Lajur E SB | Plate (KI) thickness 12 mm | 6100 X 800 mm</t>
  </si>
  <si>
    <t>Fr. 9/10 s/d 12/13 Lajur E SB | Plate (KI) thickness 12 mm | 5900 X 800 mm</t>
  </si>
  <si>
    <t>Fr. 12/13 s/d 13/14 Lajur E SB | Plate (KI) thickness 12 mm | 800 X 610 mm</t>
  </si>
  <si>
    <t>Fr. 41/42 s/d 42/43 Lajur E SB | Plate (KI) thickness 12 mm | 1900 X 360 mm</t>
  </si>
  <si>
    <t>Fr. 42/43 s/d 43/44 Lajur E SB | Plate (KI) thickness 12 mm | 1050 X 350 mm</t>
  </si>
  <si>
    <t>Fr. 43/44 s/d 44/45 Lajur E SB | Plate (KI) thickness 12 mm | 1350 X 350 mm</t>
  </si>
  <si>
    <t>Fr. 44/45 s/d 45/46 Lajur E SB | Plate (KI) thickness 12 mm | 2100 X 350 mm</t>
  </si>
  <si>
    <t>Fr. 45/46 s/d 46/47 Lajur E SB | Plate (KI) thickness 12 mm | 2670 X 350 mm</t>
  </si>
  <si>
    <t>Fr. 24/24 s/d Fr. 24/25 Lajur E PS | Plate (KI) thickness 12 mm | 900 X 300 mm</t>
  </si>
  <si>
    <t>Fr. 30/31 s/d Fr. 34/35 Lajur E PS | Plate (KI) thickness 12 mm | 6080 X 500 mm</t>
  </si>
  <si>
    <t>Fr. 34/35 s/d Fr. 35/36 Lajur E PS | Plate (KI) thickness 12 mm | 2600 X 500 mm</t>
  </si>
  <si>
    <t>Fr. 35/36 s/d Fr. 38/39 Lajur E PS | Plate (KI) thickness 12 mm | 4550 X 500 mm</t>
  </si>
  <si>
    <t>Fr. 38/39 s/d Fr. 41/42 Lajur E PS | Plate (KI) thickness 12 mm | 6080 X 500 mm</t>
  </si>
  <si>
    <t>Fr. 41/42 s/d Fr. 42/43 Lajur E PS | Plate (KI) thickness 12 mm | 1110 X 500 mm</t>
  </si>
  <si>
    <t>Fr. 42/43 s/d Fr. 43/44 Lajur E PS | Plate (KI) thickness 12 mm | 3100 X 510 mm</t>
  </si>
  <si>
    <t>Fr. 43/44 s/d Fr. 45/46 Lajur E PS | Plate (KI) thickness 12 mm | 2740 X 510 mm</t>
  </si>
  <si>
    <t>Fr. 45/46 s/d Fr. 46/47 Lajur E PS | Plate (KI) thickness 12 mm | 2780 X 510 mm</t>
  </si>
  <si>
    <t>lower chine Fr. 24 s/d 25 Lajur E PS | Roundbar size. 2" | 640 mm</t>
  </si>
  <si>
    <t>lower chine Fr. 23/24 s/d Fr. 46/47 Lajur E PS | Roundbar size. 2" | 28720 mm</t>
  </si>
  <si>
    <t>lower chine Fr. 41/42 s/d Fr. 46/47 Lajur E SB | Roundbar size. 2" | 9090 mm</t>
  </si>
  <si>
    <t>lower chine Fr. 0 s/d Fr. 1 Lajur E PS | Roundbar size. 2" | 800 mm</t>
  </si>
  <si>
    <t>upper chine Corneer PS | Roundbar size. 2" | 4330 mm</t>
  </si>
  <si>
    <t xml:space="preserve"> | B/N SS size. 3/4" X 2"</t>
  </si>
  <si>
    <t>supplai ke kapal | Nut SS size. 3/4"</t>
  </si>
  <si>
    <t>plate plimsoll | Plate (A) thickness 8 mm | 480 X 300 mm @ 1 sht</t>
  </si>
  <si>
    <t>plat garpu | Plate (A) thickness 8 mm | 490 X 360 mm @ 1 sht</t>
  </si>
  <si>
    <t>huruf K &amp; I | Plate (A) thickness 8 mm | 80 X 120 mm @ 2 sht</t>
  </si>
  <si>
    <t>huruf TF, F, T, S, W, WNA | Plate (A) thickness 8 mm | 40 X 50 mm @ 9 sht</t>
  </si>
  <si>
    <t>huruf K &amp; I | Plate (A) thickness 8 mm | 120 X 80 mm @ 2 sht</t>
  </si>
  <si>
    <t>Draft mark Mid Ps</t>
  </si>
  <si>
    <t>plate angka | Plate (A) thickness 8 mm | 100 X 80 mm @ 10 sht</t>
  </si>
  <si>
    <t>plate huruf | Plate (A) thickness 8 mm | 100 X 80 mm @ 2 sht</t>
  </si>
  <si>
    <t>Draft mark FP PS</t>
  </si>
  <si>
    <t>plate angka | Plate (A) thickness 8 mm | 150 X 80 mm</t>
  </si>
  <si>
    <t>Draft mark SB</t>
  </si>
  <si>
    <t>plate angka | Plate (A) thickness 8 mm | 100 X 80 mm</t>
  </si>
  <si>
    <t>Pad eye</t>
  </si>
  <si>
    <t>kupingan | Plate (A) thickness 12 mm | 150 X 100 mm @ 4 sht</t>
  </si>
  <si>
    <t>baseplate | Plate (A) thickness 12 mm | 170 X 50 mm @ 4 sht</t>
  </si>
  <si>
    <t xml:space="preserve">Buka Manhole </t>
  </si>
  <si>
    <t xml:space="preserve">Bongkar Semen </t>
  </si>
  <si>
    <t xml:space="preserve">Dilakukan Freegas Sebelum Pemeriksaan Kedalam Tangki  </t>
  </si>
  <si>
    <t xml:space="preserve">Air Test tangki  </t>
  </si>
  <si>
    <t xml:space="preserve">Grand Total   </t>
  </si>
  <si>
    <t>Mobilisasi dan Demobilisasi</t>
  </si>
  <si>
    <t xml:space="preserve">Discount   </t>
  </si>
  <si>
    <t xml:space="preserve">Grand Total after Discount   </t>
  </si>
  <si>
    <t>Balikpapan, 26 Juni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</si>
</sst>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&quot;IDR&quot;* #,##0_-;\-&quot;IDR&quot;* #,##0_-;_-&quot;IDR&quot;* &quot;-&quot;_-;_-@_-"/>
    <numFmt numFmtId="166" formatCode="_([$IDR]\ * #,##0_);_([$IDR]\ * \(#,##0\);_([$IDR]\ * &quot;-&quot;??_);_(@_)"/>
  </numFmts>
  <fonts count="2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222222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11"/>
      <color theme="0"/>
      <name val="Arial"/>
      <family val="2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000000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29">
    <xf numFmtId="0" fontId="0" fillId="0" borderId="0"/>
    <xf numFmtId="165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</cellStyleXfs>
  <cellXfs count="327">
    <xf numFmtId="0" fontId="0" fillId="0" borderId="0" xfId="0"/>
    <xf numFmtId="0" fontId="3" fillId="2" borderId="3" xfId="0" applyFont="1" applyFill="1" applyBorder="1"/>
    <xf numFmtId="0" fontId="3" fillId="2" borderId="8" xfId="0" applyFont="1" applyFill="1" applyBorder="1"/>
    <xf numFmtId="0" fontId="3" fillId="2" borderId="13" xfId="0" applyFont="1" applyFill="1" applyBorder="1"/>
    <xf numFmtId="0" fontId="3" fillId="2" borderId="14" xfId="0" applyFont="1" applyFill="1" applyBorder="1"/>
    <xf numFmtId="0" fontId="4" fillId="2" borderId="0" xfId="0" applyFont="1" applyFill="1"/>
    <xf numFmtId="0" fontId="7" fillId="0" borderId="0" xfId="0" applyFont="1"/>
    <xf numFmtId="165" fontId="3" fillId="2" borderId="1" xfId="1" applyFont="1" applyFill="1" applyBorder="1"/>
    <xf numFmtId="0" fontId="9" fillId="2" borderId="13" xfId="0" quotePrefix="1" applyFont="1" applyFill="1" applyBorder="1" applyAlignment="1">
      <alignment horizontal="left" vertical="center"/>
    </xf>
    <xf numFmtId="0" fontId="9" fillId="2" borderId="14" xfId="0" quotePrefix="1" applyFont="1" applyFill="1" applyBorder="1" applyAlignment="1">
      <alignment horizontal="center" vertical="center"/>
    </xf>
    <xf numFmtId="0" fontId="9" fillId="2" borderId="15" xfId="0" quotePrefix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right"/>
    </xf>
    <xf numFmtId="0" fontId="3" fillId="2" borderId="15" xfId="0" applyFont="1" applyFill="1" applyBorder="1"/>
    <xf numFmtId="0" fontId="4" fillId="2" borderId="1" xfId="0" applyFont="1" applyFill="1" applyBorder="1" applyAlignment="1">
      <alignment horizontal="center"/>
    </xf>
    <xf numFmtId="165" fontId="0" fillId="0" borderId="0" xfId="0" applyNumberFormat="1"/>
    <xf numFmtId="0" fontId="0" fillId="2" borderId="5" xfId="0" applyFill="1" applyBorder="1"/>
    <xf numFmtId="0" fontId="0" fillId="2" borderId="6" xfId="0" applyFill="1" applyBorder="1"/>
    <xf numFmtId="0" fontId="12" fillId="2" borderId="0" xfId="0" applyFont="1" applyFill="1"/>
    <xf numFmtId="0" fontId="3" fillId="2" borderId="0" xfId="0" applyFont="1" applyFill="1"/>
    <xf numFmtId="0" fontId="3" fillId="2" borderId="4" xfId="0" applyFont="1" applyFill="1" applyBorder="1"/>
    <xf numFmtId="0" fontId="13" fillId="2" borderId="0" xfId="0" applyFont="1" applyFill="1"/>
    <xf numFmtId="0" fontId="3" fillId="2" borderId="9" xfId="0" applyFont="1" applyFill="1" applyBorder="1"/>
    <xf numFmtId="0" fontId="3" fillId="2" borderId="6" xfId="0" applyFont="1" applyFill="1" applyBorder="1"/>
    <xf numFmtId="0" fontId="0" fillId="0" borderId="1" xfId="0" applyBorder="1"/>
    <xf numFmtId="0" fontId="3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9" fillId="4" borderId="0" xfId="0" applyFont="1" applyFill="1"/>
    <xf numFmtId="0" fontId="9" fillId="4" borderId="0" xfId="0" applyFont="1" applyFill="1" applyAlignment="1">
      <alignment horizontal="center"/>
    </xf>
    <xf numFmtId="0" fontId="9" fillId="4" borderId="5" xfId="0" applyFont="1" applyFill="1" applyBorder="1" applyAlignment="1">
      <alignment horizontal="left"/>
    </xf>
    <xf numFmtId="166" fontId="9" fillId="4" borderId="11" xfId="0" applyNumberFormat="1" applyFont="1" applyFill="1" applyBorder="1" applyAlignment="1">
      <alignment vertical="center"/>
    </xf>
    <xf numFmtId="0" fontId="8" fillId="2" borderId="6" xfId="0" applyFont="1" applyFill="1" applyBorder="1"/>
    <xf numFmtId="0" fontId="1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0" fillId="2" borderId="0" xfId="0" applyFill="1"/>
    <xf numFmtId="0" fontId="4" fillId="2" borderId="15" xfId="0" applyFont="1" applyFill="1" applyBorder="1" applyAlignment="1">
      <alignment horizontal="center"/>
    </xf>
    <xf numFmtId="165" fontId="4" fillId="2" borderId="1" xfId="1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4" fillId="2" borderId="3" xfId="0" applyFont="1" applyFill="1" applyBorder="1"/>
    <xf numFmtId="20" fontId="9" fillId="4" borderId="5" xfId="0" applyNumberFormat="1" applyFont="1" applyFill="1" applyBorder="1" applyAlignment="1">
      <alignment horizontal="left"/>
    </xf>
    <xf numFmtId="0" fontId="10" fillId="2" borderId="0" xfId="0" applyFont="1" applyFill="1"/>
    <xf numFmtId="0" fontId="4" fillId="2" borderId="8" xfId="0" applyFont="1" applyFill="1" applyBorder="1"/>
    <xf numFmtId="0" fontId="3" fillId="2" borderId="0" xfId="0" applyFont="1" applyFill="1" applyAlignment="1">
      <alignment vertical="top"/>
    </xf>
    <xf numFmtId="0" fontId="8" fillId="2" borderId="10" xfId="0" applyFont="1" applyFill="1" applyBorder="1"/>
    <xf numFmtId="0" fontId="8" fillId="2" borderId="11" xfId="0" applyFont="1" applyFill="1" applyBorder="1"/>
    <xf numFmtId="0" fontId="3" fillId="2" borderId="5" xfId="0" applyFont="1" applyFill="1" applyBorder="1" applyAlignment="1">
      <alignment horizontal="left"/>
    </xf>
    <xf numFmtId="165" fontId="3" fillId="2" borderId="11" xfId="1" applyFont="1" applyFill="1" applyBorder="1"/>
    <xf numFmtId="0" fontId="9" fillId="2" borderId="5" xfId="0" quotePrefix="1" applyFont="1" applyFill="1" applyBorder="1" applyAlignment="1">
      <alignment horizontal="left" vertical="center"/>
    </xf>
    <xf numFmtId="0" fontId="9" fillId="2" borderId="0" xfId="0" quotePrefix="1" applyFont="1" applyFill="1" applyAlignment="1">
      <alignment horizontal="center" vertical="center"/>
    </xf>
    <xf numFmtId="0" fontId="9" fillId="2" borderId="6" xfId="0" quotePrefix="1" applyFont="1" applyFill="1" applyBorder="1" applyAlignment="1">
      <alignment horizontal="center" vertical="center"/>
    </xf>
    <xf numFmtId="166" fontId="9" fillId="3" borderId="11" xfId="0" applyNumberFormat="1" applyFont="1" applyFill="1" applyBorder="1" applyAlignment="1">
      <alignment vertical="center"/>
    </xf>
    <xf numFmtId="166" fontId="9" fillId="4" borderId="0" xfId="0" applyNumberFormat="1" applyFont="1" applyFill="1" applyAlignment="1">
      <alignment vertical="center"/>
    </xf>
    <xf numFmtId="165" fontId="3" fillId="2" borderId="6" xfId="1" applyFont="1" applyFill="1" applyBorder="1"/>
    <xf numFmtId="0" fontId="11" fillId="2" borderId="0" xfId="0" applyFont="1" applyFill="1"/>
    <xf numFmtId="0" fontId="9" fillId="3" borderId="0" xfId="0" applyFont="1" applyFill="1"/>
    <xf numFmtId="0" fontId="14" fillId="2" borderId="5" xfId="0" quotePrefix="1" applyFont="1" applyFill="1" applyBorder="1" applyAlignment="1">
      <alignment horizontal="left" vertical="center"/>
    </xf>
    <xf numFmtId="0" fontId="14" fillId="2" borderId="0" xfId="0" quotePrefix="1" applyFont="1" applyFill="1" applyAlignment="1">
      <alignment horizontal="center" vertical="center"/>
    </xf>
    <xf numFmtId="0" fontId="11" fillId="2" borderId="6" xfId="0" applyFont="1" applyFill="1" applyBorder="1"/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left"/>
    </xf>
    <xf numFmtId="0" fontId="9" fillId="3" borderId="0" xfId="0" applyFont="1" applyFill="1" applyAlignment="1">
      <alignment horizontal="center"/>
    </xf>
    <xf numFmtId="0" fontId="3" fillId="2" borderId="5" xfId="0" applyFont="1" applyFill="1" applyBorder="1" applyAlignment="1">
      <alignment horizontal="left" vertical="center"/>
    </xf>
    <xf numFmtId="0" fontId="9" fillId="3" borderId="6" xfId="0" applyFont="1" applyFill="1" applyBorder="1" applyAlignment="1">
      <alignment vertical="center"/>
    </xf>
    <xf numFmtId="0" fontId="9" fillId="4" borderId="6" xfId="0" applyFont="1" applyFill="1" applyBorder="1" applyAlignment="1">
      <alignment vertical="center"/>
    </xf>
    <xf numFmtId="0" fontId="14" fillId="3" borderId="5" xfId="0" applyFont="1" applyFill="1" applyBorder="1" applyAlignment="1">
      <alignment horizontal="left"/>
    </xf>
    <xf numFmtId="0" fontId="11" fillId="2" borderId="5" xfId="0" applyFont="1" applyFill="1" applyBorder="1" applyAlignment="1">
      <alignment horizontal="left"/>
    </xf>
    <xf numFmtId="0" fontId="11" fillId="2" borderId="0" xfId="0" applyFont="1" applyFill="1" applyAlignment="1">
      <alignment horizontal="center"/>
    </xf>
    <xf numFmtId="0" fontId="3" fillId="2" borderId="5" xfId="0" applyFont="1" applyFill="1" applyBorder="1"/>
    <xf numFmtId="0" fontId="8" fillId="4" borderId="6" xfId="0" applyFont="1" applyFill="1" applyBorder="1" applyAlignment="1">
      <alignment horizontal="center"/>
    </xf>
    <xf numFmtId="0" fontId="8" fillId="4" borderId="0" xfId="0" applyFont="1" applyFill="1"/>
    <xf numFmtId="0" fontId="8" fillId="4" borderId="0" xfId="0" quotePrefix="1" applyFont="1" applyFill="1"/>
    <xf numFmtId="0" fontId="8" fillId="4" borderId="6" xfId="0" applyFont="1" applyFill="1" applyBorder="1"/>
    <xf numFmtId="2" fontId="9" fillId="3" borderId="5" xfId="0" applyNumberFormat="1" applyFont="1" applyFill="1" applyBorder="1"/>
    <xf numFmtId="0" fontId="9" fillId="3" borderId="6" xfId="0" applyFont="1" applyFill="1" applyBorder="1"/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0" xfId="0" applyFont="1" applyFill="1" applyAlignment="1">
      <alignment horizontal="left"/>
    </xf>
    <xf numFmtId="1" fontId="9" fillId="3" borderId="5" xfId="0" applyNumberFormat="1" applyFont="1" applyFill="1" applyBorder="1"/>
    <xf numFmtId="0" fontId="8" fillId="3" borderId="6" xfId="0" applyFont="1" applyFill="1" applyBorder="1" applyAlignment="1">
      <alignment vertical="center"/>
    </xf>
    <xf numFmtId="0" fontId="15" fillId="4" borderId="6" xfId="0" applyFont="1" applyFill="1" applyBorder="1" applyAlignment="1">
      <alignment horizontal="center"/>
    </xf>
    <xf numFmtId="0" fontId="15" fillId="4" borderId="0" xfId="0" applyFont="1" applyFill="1"/>
    <xf numFmtId="0" fontId="8" fillId="4" borderId="0" xfId="0" applyFont="1" applyFill="1" applyAlignment="1">
      <alignment horizontal="center"/>
    </xf>
    <xf numFmtId="0" fontId="8" fillId="4" borderId="5" xfId="0" applyFont="1" applyFill="1" applyBorder="1"/>
    <xf numFmtId="0" fontId="15" fillId="6" borderId="5" xfId="112" applyFont="1" applyFill="1" applyBorder="1" applyAlignment="1">
      <alignment horizontal="left" vertical="center"/>
    </xf>
    <xf numFmtId="0" fontId="15" fillId="6" borderId="0" xfId="112" applyFont="1" applyFill="1" applyAlignment="1">
      <alignment horizontal="center" vertical="center"/>
    </xf>
    <xf numFmtId="0" fontId="15" fillId="6" borderId="0" xfId="127" applyFont="1" applyFill="1" applyAlignment="1">
      <alignment horizontal="center"/>
    </xf>
    <xf numFmtId="0" fontId="15" fillId="6" borderId="5" xfId="112" applyFont="1" applyFill="1" applyBorder="1" applyAlignment="1">
      <alignment horizontal="left"/>
    </xf>
    <xf numFmtId="0" fontId="15" fillId="6" borderId="0" xfId="112" applyFont="1" applyFill="1" applyAlignment="1">
      <alignment horizontal="left"/>
    </xf>
    <xf numFmtId="0" fontId="15" fillId="6" borderId="5" xfId="127" applyFont="1" applyFill="1" applyBorder="1"/>
    <xf numFmtId="0" fontId="15" fillId="6" borderId="6" xfId="127" applyFont="1" applyFill="1" applyBorder="1"/>
    <xf numFmtId="0" fontId="8" fillId="2" borderId="5" xfId="112" applyFont="1" applyFill="1" applyBorder="1" applyAlignment="1">
      <alignment horizontal="left" vertical="center"/>
    </xf>
    <xf numFmtId="0" fontId="8" fillId="2" borderId="0" xfId="112" applyFont="1" applyFill="1" applyAlignment="1">
      <alignment horizontal="center" vertical="center"/>
    </xf>
    <xf numFmtId="0" fontId="8" fillId="2" borderId="0" xfId="127" applyFont="1" applyFill="1" applyAlignment="1">
      <alignment horizontal="center"/>
    </xf>
    <xf numFmtId="0" fontId="8" fillId="2" borderId="5" xfId="112" applyFont="1" applyFill="1" applyBorder="1" applyAlignment="1">
      <alignment horizontal="left"/>
    </xf>
    <xf numFmtId="0" fontId="8" fillId="2" borderId="0" xfId="112" applyFont="1" applyFill="1" applyAlignment="1">
      <alignment horizontal="left"/>
    </xf>
    <xf numFmtId="0" fontId="8" fillId="2" borderId="5" xfId="127" applyFont="1" applyFill="1" applyBorder="1"/>
    <xf numFmtId="0" fontId="8" fillId="2" borderId="6" xfId="127" applyFont="1" applyFill="1" applyBorder="1"/>
    <xf numFmtId="0" fontId="8" fillId="6" borderId="5" xfId="112" applyFont="1" applyFill="1" applyBorder="1" applyAlignment="1">
      <alignment horizontal="left" vertical="center"/>
    </xf>
    <xf numFmtId="0" fontId="8" fillId="6" borderId="0" xfId="112" applyFont="1" applyFill="1" applyAlignment="1">
      <alignment horizontal="center" vertical="center"/>
    </xf>
    <xf numFmtId="0" fontId="8" fillId="6" borderId="0" xfId="127" applyFont="1" applyFill="1" applyAlignment="1">
      <alignment horizontal="center"/>
    </xf>
    <xf numFmtId="0" fontId="8" fillId="6" borderId="5" xfId="112" applyFont="1" applyFill="1" applyBorder="1" applyAlignment="1">
      <alignment horizontal="left"/>
    </xf>
    <xf numFmtId="0" fontId="8" fillId="6" borderId="0" xfId="112" applyFont="1" applyFill="1" applyAlignment="1">
      <alignment horizontal="left"/>
    </xf>
    <xf numFmtId="0" fontId="8" fillId="6" borderId="5" xfId="127" applyFont="1" applyFill="1" applyBorder="1"/>
    <xf numFmtId="0" fontId="8" fillId="6" borderId="6" xfId="127" applyFont="1" applyFill="1" applyBorder="1"/>
    <xf numFmtId="1" fontId="8" fillId="6" borderId="5" xfId="127" applyNumberFormat="1" applyFont="1" applyFill="1" applyBorder="1"/>
    <xf numFmtId="0" fontId="8" fillId="6" borderId="6" xfId="112" applyFont="1" applyFill="1" applyBorder="1" applyAlignment="1">
      <alignment horizontal="left"/>
    </xf>
    <xf numFmtId="0" fontId="15" fillId="6" borderId="5" xfId="112" quotePrefix="1" applyFont="1" applyFill="1" applyBorder="1" applyAlignment="1">
      <alignment horizontal="left" vertical="center"/>
    </xf>
    <xf numFmtId="0" fontId="8" fillId="6" borderId="0" xfId="112" quotePrefix="1" applyFont="1" applyFill="1" applyAlignment="1">
      <alignment horizontal="center" vertical="center"/>
    </xf>
    <xf numFmtId="0" fontId="8" fillId="6" borderId="6" xfId="112" quotePrefix="1" applyFont="1" applyFill="1" applyBorder="1" applyAlignment="1">
      <alignment horizontal="right" vertical="center"/>
    </xf>
    <xf numFmtId="0" fontId="15" fillId="6" borderId="0" xfId="112" applyFont="1" applyFill="1"/>
    <xf numFmtId="0" fontId="8" fillId="6" borderId="0" xfId="112" applyFont="1" applyFill="1"/>
    <xf numFmtId="0" fontId="8" fillId="6" borderId="6" xfId="112" applyFont="1" applyFill="1" applyBorder="1"/>
    <xf numFmtId="2" fontId="8" fillId="6" borderId="0" xfId="112" applyNumberFormat="1" applyFont="1" applyFill="1"/>
    <xf numFmtId="1" fontId="8" fillId="6" borderId="0" xfId="112" applyNumberFormat="1" applyFont="1" applyFill="1"/>
    <xf numFmtId="2" fontId="9" fillId="4" borderId="5" xfId="0" applyNumberFormat="1" applyFont="1" applyFill="1" applyBorder="1"/>
    <xf numFmtId="0" fontId="15" fillId="2" borderId="5" xfId="112" applyFont="1" applyFill="1" applyBorder="1" applyAlignment="1">
      <alignment horizontal="left"/>
    </xf>
    <xf numFmtId="0" fontId="15" fillId="2" borderId="0" xfId="112" applyFont="1" applyFill="1" applyAlignment="1">
      <alignment horizontal="left"/>
    </xf>
    <xf numFmtId="0" fontId="15" fillId="2" borderId="5" xfId="127" applyFont="1" applyFill="1" applyBorder="1"/>
    <xf numFmtId="1" fontId="8" fillId="2" borderId="5" xfId="127" applyNumberFormat="1" applyFont="1" applyFill="1" applyBorder="1"/>
    <xf numFmtId="0" fontId="15" fillId="2" borderId="0" xfId="127" applyFont="1" applyFill="1"/>
    <xf numFmtId="0" fontId="15" fillId="2" borderId="6" xfId="112" applyFont="1" applyFill="1" applyBorder="1" applyAlignment="1">
      <alignment horizontal="left"/>
    </xf>
    <xf numFmtId="0" fontId="14" fillId="6" borderId="5" xfId="127" quotePrefix="1" applyFont="1" applyFill="1" applyBorder="1" applyAlignment="1">
      <alignment horizontal="left" vertical="center"/>
    </xf>
    <xf numFmtId="0" fontId="14" fillId="6" borderId="0" xfId="127" quotePrefix="1" applyFont="1" applyFill="1" applyAlignment="1">
      <alignment horizontal="center" vertical="center"/>
    </xf>
    <xf numFmtId="0" fontId="14" fillId="6" borderId="6" xfId="127" quotePrefix="1" applyFont="1" applyFill="1" applyBorder="1" applyAlignment="1">
      <alignment horizontal="center" vertical="center"/>
    </xf>
    <xf numFmtId="0" fontId="14" fillId="6" borderId="0" xfId="127" applyFont="1" applyFill="1"/>
    <xf numFmtId="0" fontId="14" fillId="6" borderId="6" xfId="127" applyFont="1" applyFill="1" applyBorder="1"/>
    <xf numFmtId="0" fontId="9" fillId="6" borderId="0" xfId="127" applyFont="1" applyFill="1" applyAlignment="1">
      <alignment horizontal="right"/>
    </xf>
    <xf numFmtId="0" fontId="9" fillId="6" borderId="6" xfId="127" applyFont="1" applyFill="1" applyBorder="1" applyAlignment="1">
      <alignment horizontal="left"/>
    </xf>
    <xf numFmtId="0" fontId="8" fillId="6" borderId="5" xfId="127" applyFont="1" applyFill="1" applyBorder="1" applyAlignment="1">
      <alignment horizontal="left" vertical="center"/>
    </xf>
    <xf numFmtId="0" fontId="8" fillId="6" borderId="0" xfId="127" applyFont="1" applyFill="1" applyAlignment="1">
      <alignment horizontal="center" vertical="center"/>
    </xf>
    <xf numFmtId="0" fontId="8" fillId="6" borderId="5" xfId="127" applyFont="1" applyFill="1" applyBorder="1" applyAlignment="1">
      <alignment horizontal="center"/>
    </xf>
    <xf numFmtId="0" fontId="8" fillId="6" borderId="0" xfId="127" applyFont="1" applyFill="1"/>
    <xf numFmtId="0" fontId="8" fillId="6" borderId="0" xfId="127" applyFont="1" applyFill="1" applyAlignment="1">
      <alignment horizontal="right"/>
    </xf>
    <xf numFmtId="0" fontId="8" fillId="6" borderId="6" xfId="127" applyFont="1" applyFill="1" applyBorder="1" applyAlignment="1">
      <alignment horizontal="left"/>
    </xf>
    <xf numFmtId="0" fontId="8" fillId="6" borderId="6" xfId="127" applyFont="1" applyFill="1" applyBorder="1" applyAlignment="1">
      <alignment horizontal="left" vertical="center"/>
    </xf>
    <xf numFmtId="0" fontId="8" fillId="3" borderId="5" xfId="127" applyFont="1" applyFill="1" applyBorder="1" applyAlignment="1">
      <alignment horizontal="left"/>
    </xf>
    <xf numFmtId="0" fontId="8" fillId="3" borderId="0" xfId="127" applyFont="1" applyFill="1" applyAlignment="1">
      <alignment horizontal="center"/>
    </xf>
    <xf numFmtId="0" fontId="15" fillId="6" borderId="5" xfId="127" applyFont="1" applyFill="1" applyBorder="1" applyAlignment="1">
      <alignment horizontal="left" vertical="center"/>
    </xf>
    <xf numFmtId="0" fontId="15" fillId="6" borderId="0" xfId="127" applyFont="1" applyFill="1" applyAlignment="1">
      <alignment horizontal="center" vertical="center"/>
    </xf>
    <xf numFmtId="0" fontId="15" fillId="6" borderId="0" xfId="127" applyFont="1" applyFill="1"/>
    <xf numFmtId="1" fontId="8" fillId="6" borderId="5" xfId="127" applyNumberFormat="1" applyFont="1" applyFill="1" applyBorder="1" applyAlignment="1">
      <alignment horizontal="right"/>
    </xf>
    <xf numFmtId="0" fontId="8" fillId="3" borderId="6" xfId="127" applyFont="1" applyFill="1" applyBorder="1" applyAlignment="1">
      <alignment horizontal="left" vertical="center"/>
    </xf>
    <xf numFmtId="0" fontId="15" fillId="3" borderId="5" xfId="127" applyFont="1" applyFill="1" applyBorder="1" applyAlignment="1">
      <alignment horizontal="left"/>
    </xf>
    <xf numFmtId="0" fontId="15" fillId="6" borderId="5" xfId="127" applyFont="1" applyFill="1" applyBorder="1" applyAlignment="1">
      <alignment horizontal="left"/>
    </xf>
    <xf numFmtId="0" fontId="15" fillId="6" borderId="5" xfId="127" applyFont="1" applyFill="1" applyBorder="1" applyAlignment="1">
      <alignment horizontal="center"/>
    </xf>
    <xf numFmtId="0" fontId="15" fillId="6" borderId="6" xfId="127" applyFont="1" applyFill="1" applyBorder="1" applyAlignment="1">
      <alignment horizontal="center"/>
    </xf>
    <xf numFmtId="0" fontId="15" fillId="6" borderId="0" xfId="127" applyFont="1" applyFill="1" applyAlignment="1">
      <alignment horizontal="left"/>
    </xf>
    <xf numFmtId="0" fontId="8" fillId="6" borderId="6" xfId="127" applyFont="1" applyFill="1" applyBorder="1" applyAlignment="1">
      <alignment horizontal="center"/>
    </xf>
    <xf numFmtId="0" fontId="8" fillId="3" borderId="6" xfId="127" applyFont="1" applyFill="1" applyBorder="1" applyAlignment="1">
      <alignment horizontal="center"/>
    </xf>
    <xf numFmtId="0" fontId="8" fillId="3" borderId="0" xfId="127" applyFont="1" applyFill="1"/>
    <xf numFmtId="0" fontId="8" fillId="3" borderId="0" xfId="127" quotePrefix="1" applyFont="1" applyFill="1"/>
    <xf numFmtId="0" fontId="8" fillId="3" borderId="6" xfId="127" applyFont="1" applyFill="1" applyBorder="1"/>
    <xf numFmtId="1" fontId="8" fillId="3" borderId="5" xfId="127" applyNumberFormat="1" applyFont="1" applyFill="1" applyBorder="1" applyAlignment="1">
      <alignment horizontal="right"/>
    </xf>
    <xf numFmtId="0" fontId="15" fillId="6" borderId="5" xfId="127" quotePrefix="1" applyFont="1" applyFill="1" applyBorder="1" applyAlignment="1">
      <alignment horizontal="left" vertical="center"/>
    </xf>
    <xf numFmtId="0" fontId="15" fillId="6" borderId="0" xfId="127" quotePrefix="1" applyFont="1" applyFill="1" applyAlignment="1">
      <alignment horizontal="center" vertical="center"/>
    </xf>
    <xf numFmtId="0" fontId="15" fillId="3" borderId="6" xfId="127" applyFont="1" applyFill="1" applyBorder="1" applyAlignment="1">
      <alignment horizontal="center"/>
    </xf>
    <xf numFmtId="0" fontId="15" fillId="3" borderId="0" xfId="127" applyFont="1" applyFill="1"/>
    <xf numFmtId="2" fontId="8" fillId="3" borderId="5" xfId="127" applyNumberFormat="1" applyFont="1" applyFill="1" applyBorder="1" applyAlignment="1">
      <alignment horizontal="right"/>
    </xf>
    <xf numFmtId="0" fontId="8" fillId="3" borderId="6" xfId="127" applyFont="1" applyFill="1" applyBorder="1" applyAlignment="1">
      <alignment horizontal="left"/>
    </xf>
    <xf numFmtId="0" fontId="8" fillId="6" borderId="5" xfId="127" quotePrefix="1" applyFont="1" applyFill="1" applyBorder="1" applyAlignment="1">
      <alignment horizontal="left" vertical="center"/>
    </xf>
    <xf numFmtId="0" fontId="8" fillId="6" borderId="0" xfId="127" quotePrefix="1" applyFont="1" applyFill="1" applyAlignment="1">
      <alignment horizontal="center" vertical="center"/>
    </xf>
    <xf numFmtId="0" fontId="8" fillId="3" borderId="0" xfId="127" applyFont="1" applyFill="1" applyAlignment="1">
      <alignment horizontal="right"/>
    </xf>
    <xf numFmtId="0" fontId="9" fillId="6" borderId="5" xfId="127" applyFont="1" applyFill="1" applyBorder="1" applyAlignment="1">
      <alignment horizontal="center" vertical="center"/>
    </xf>
    <xf numFmtId="0" fontId="9" fillId="6" borderId="0" xfId="127" applyFont="1" applyFill="1" applyAlignment="1">
      <alignment horizontal="center" vertical="center"/>
    </xf>
    <xf numFmtId="0" fontId="9" fillId="6" borderId="5" xfId="127" applyFont="1" applyFill="1" applyBorder="1" applyAlignment="1">
      <alignment vertical="center"/>
    </xf>
    <xf numFmtId="0" fontId="9" fillId="6" borderId="0" xfId="127" applyFont="1" applyFill="1" applyAlignment="1">
      <alignment vertical="center"/>
    </xf>
    <xf numFmtId="0" fontId="9" fillId="6" borderId="6" xfId="127" applyFont="1" applyFill="1" applyBorder="1" applyAlignment="1">
      <alignment vertical="center"/>
    </xf>
    <xf numFmtId="2" fontId="9" fillId="3" borderId="5" xfId="117" applyNumberFormat="1" applyFont="1" applyFill="1" applyBorder="1" applyAlignment="1">
      <alignment horizontal="right"/>
    </xf>
    <xf numFmtId="0" fontId="9" fillId="6" borderId="6" xfId="127" applyFont="1" applyFill="1" applyBorder="1" applyAlignment="1">
      <alignment horizontal="left" vertical="center"/>
    </xf>
    <xf numFmtId="0" fontId="9" fillId="5" borderId="5" xfId="127" quotePrefix="1" applyFont="1" applyFill="1" applyBorder="1" applyAlignment="1">
      <alignment horizontal="left" vertical="center"/>
    </xf>
    <xf numFmtId="0" fontId="9" fillId="5" borderId="0" xfId="127" quotePrefix="1" applyFont="1" applyFill="1" applyAlignment="1">
      <alignment horizontal="center" vertical="center"/>
    </xf>
    <xf numFmtId="0" fontId="9" fillId="7" borderId="0" xfId="127" applyFont="1" applyFill="1" applyAlignment="1">
      <alignment horizontal="center"/>
    </xf>
    <xf numFmtId="0" fontId="14" fillId="5" borderId="5" xfId="112" applyFont="1" applyFill="1" applyBorder="1" applyAlignment="1">
      <alignment horizontal="left"/>
    </xf>
    <xf numFmtId="0" fontId="14" fillId="5" borderId="0" xfId="112" applyFont="1" applyFill="1" applyAlignment="1">
      <alignment horizontal="left"/>
    </xf>
    <xf numFmtId="0" fontId="9" fillId="7" borderId="0" xfId="127" applyFont="1" applyFill="1" applyAlignment="1">
      <alignment horizontal="right"/>
    </xf>
    <xf numFmtId="0" fontId="9" fillId="7" borderId="6" xfId="127" applyFont="1" applyFill="1" applyBorder="1" applyAlignment="1">
      <alignment horizontal="left"/>
    </xf>
    <xf numFmtId="0" fontId="15" fillId="6" borderId="5" xfId="127" applyFont="1" applyFill="1" applyBorder="1" applyAlignment="1">
      <alignment horizontal="right"/>
    </xf>
    <xf numFmtId="0" fontId="15" fillId="6" borderId="6" xfId="127" applyFont="1" applyFill="1" applyBorder="1" applyAlignment="1">
      <alignment horizontal="left"/>
    </xf>
    <xf numFmtId="0" fontId="8" fillId="6" borderId="5" xfId="127" applyFont="1" applyFill="1" applyBorder="1" applyAlignment="1">
      <alignment horizontal="right"/>
    </xf>
    <xf numFmtId="0" fontId="9" fillId="6" borderId="5" xfId="112" applyFont="1" applyFill="1" applyBorder="1" applyAlignment="1">
      <alignment horizontal="left" vertical="center"/>
    </xf>
    <xf numFmtId="0" fontId="9" fillId="6" borderId="0" xfId="112" applyFont="1" applyFill="1" applyAlignment="1">
      <alignment horizontal="center" vertical="center"/>
    </xf>
    <xf numFmtId="0" fontId="9" fillId="6" borderId="0" xfId="127" applyFont="1" applyFill="1" applyAlignment="1">
      <alignment horizontal="center"/>
    </xf>
    <xf numFmtId="0" fontId="9" fillId="6" borderId="5" xfId="112" applyFont="1" applyFill="1" applyBorder="1" applyAlignment="1">
      <alignment horizontal="left"/>
    </xf>
    <xf numFmtId="0" fontId="9" fillId="6" borderId="0" xfId="112" applyFont="1" applyFill="1" applyAlignment="1">
      <alignment horizontal="left"/>
    </xf>
    <xf numFmtId="1" fontId="9" fillId="6" borderId="5" xfId="127" applyNumberFormat="1" applyFont="1" applyFill="1" applyBorder="1" applyAlignment="1">
      <alignment horizontal="right"/>
    </xf>
    <xf numFmtId="2" fontId="8" fillId="6" borderId="5" xfId="127" applyNumberFormat="1" applyFont="1" applyFill="1" applyBorder="1" applyAlignment="1">
      <alignment horizontal="right"/>
    </xf>
    <xf numFmtId="2" fontId="8" fillId="6" borderId="5" xfId="127" applyNumberFormat="1" applyFont="1" applyFill="1" applyBorder="1"/>
    <xf numFmtId="2" fontId="8" fillId="6" borderId="0" xfId="127" applyNumberFormat="1" applyFont="1" applyFill="1" applyAlignment="1">
      <alignment horizontal="right"/>
    </xf>
    <xf numFmtId="0" fontId="17" fillId="6" borderId="5" xfId="112" applyFont="1" applyFill="1" applyBorder="1" applyAlignment="1">
      <alignment horizontal="left"/>
    </xf>
    <xf numFmtId="0" fontId="17" fillId="6" borderId="6" xfId="112" applyFont="1" applyFill="1" applyBorder="1"/>
    <xf numFmtId="0" fontId="8" fillId="6" borderId="0" xfId="112" applyFont="1" applyFill="1" applyAlignment="1">
      <alignment horizontal="center"/>
    </xf>
    <xf numFmtId="0" fontId="8" fillId="6" borderId="6" xfId="114" applyFont="1" applyFill="1" applyBorder="1"/>
    <xf numFmtId="2" fontId="8" fillId="6" borderId="0" xfId="112" applyNumberFormat="1" applyFont="1" applyFill="1" applyAlignment="1">
      <alignment horizontal="right"/>
    </xf>
    <xf numFmtId="0" fontId="8" fillId="6" borderId="6" xfId="114" applyFont="1" applyFill="1" applyBorder="1" applyAlignment="1">
      <alignment horizontal="left" vertical="center"/>
    </xf>
    <xf numFmtId="0" fontId="8" fillId="6" borderId="6" xfId="112" applyFont="1" applyFill="1" applyBorder="1" applyAlignment="1">
      <alignment horizontal="left" vertical="center"/>
    </xf>
    <xf numFmtId="0" fontId="14" fillId="6" borderId="5" xfId="112" quotePrefix="1" applyFont="1" applyFill="1" applyBorder="1" applyAlignment="1">
      <alignment horizontal="left" vertical="center"/>
    </xf>
    <xf numFmtId="0" fontId="9" fillId="6" borderId="0" xfId="112" quotePrefix="1" applyFont="1" applyFill="1" applyAlignment="1">
      <alignment horizontal="center" vertical="center"/>
    </xf>
    <xf numFmtId="0" fontId="9" fillId="6" borderId="6" xfId="112" quotePrefix="1" applyFont="1" applyFill="1" applyBorder="1" applyAlignment="1">
      <alignment horizontal="right" vertical="center"/>
    </xf>
    <xf numFmtId="0" fontId="14" fillId="6" borderId="0" xfId="112" applyFont="1" applyFill="1"/>
    <xf numFmtId="0" fontId="9" fillId="6" borderId="0" xfId="112" applyFont="1" applyFill="1"/>
    <xf numFmtId="0" fontId="9" fillId="6" borderId="6" xfId="112" applyFont="1" applyFill="1" applyBorder="1"/>
    <xf numFmtId="2" fontId="9" fillId="6" borderId="0" xfId="112" applyNumberFormat="1" applyFont="1" applyFill="1" applyAlignment="1">
      <alignment horizontal="right"/>
    </xf>
    <xf numFmtId="0" fontId="9" fillId="6" borderId="6" xfId="112" applyFont="1" applyFill="1" applyBorder="1" applyAlignment="1">
      <alignment horizontal="left"/>
    </xf>
    <xf numFmtId="2" fontId="9" fillId="6" borderId="5" xfId="112" applyNumberFormat="1" applyFont="1" applyFill="1" applyBorder="1" applyAlignment="1">
      <alignment horizontal="right"/>
    </xf>
    <xf numFmtId="0" fontId="14" fillId="5" borderId="5" xfId="112" quotePrefix="1" applyFont="1" applyFill="1" applyBorder="1" applyAlignment="1">
      <alignment horizontal="left" vertical="center"/>
    </xf>
    <xf numFmtId="0" fontId="14" fillId="5" borderId="0" xfId="112" quotePrefix="1" applyFont="1" applyFill="1" applyAlignment="1">
      <alignment horizontal="center" vertical="center"/>
    </xf>
    <xf numFmtId="0" fontId="14" fillId="5" borderId="6" xfId="112" quotePrefix="1" applyFont="1" applyFill="1" applyBorder="1" applyAlignment="1">
      <alignment horizontal="right" vertical="center"/>
    </xf>
    <xf numFmtId="0" fontId="14" fillId="5" borderId="0" xfId="112" applyFont="1" applyFill="1"/>
    <xf numFmtId="0" fontId="14" fillId="5" borderId="6" xfId="112" applyFont="1" applyFill="1" applyBorder="1"/>
    <xf numFmtId="2" fontId="14" fillId="5" borderId="0" xfId="112" applyNumberFormat="1" applyFont="1" applyFill="1" applyAlignment="1">
      <alignment horizontal="right"/>
    </xf>
    <xf numFmtId="0" fontId="14" fillId="5" borderId="6" xfId="112" applyFont="1" applyFill="1" applyBorder="1" applyAlignment="1">
      <alignment horizontal="left"/>
    </xf>
    <xf numFmtId="1" fontId="8" fillId="6" borderId="0" xfId="112" applyNumberFormat="1" applyFont="1" applyFill="1" applyAlignment="1">
      <alignment horizontal="right"/>
    </xf>
    <xf numFmtId="0" fontId="15" fillId="2" borderId="5" xfId="112" quotePrefix="1" applyFont="1" applyFill="1" applyBorder="1" applyAlignment="1">
      <alignment horizontal="left" vertical="center"/>
    </xf>
    <xf numFmtId="0" fontId="8" fillId="2" borderId="0" xfId="112" quotePrefix="1" applyFont="1" applyFill="1" applyAlignment="1">
      <alignment horizontal="center" vertical="center"/>
    </xf>
    <xf numFmtId="0" fontId="8" fillId="2" borderId="6" xfId="112" quotePrefix="1" applyFont="1" applyFill="1" applyBorder="1" applyAlignment="1">
      <alignment horizontal="right" vertical="center"/>
    </xf>
    <xf numFmtId="0" fontId="15" fillId="2" borderId="0" xfId="112" applyFont="1" applyFill="1"/>
    <xf numFmtId="0" fontId="8" fillId="2" borderId="0" xfId="112" applyFont="1" applyFill="1"/>
    <xf numFmtId="0" fontId="8" fillId="2" borderId="6" xfId="112" applyFont="1" applyFill="1" applyBorder="1"/>
    <xf numFmtId="2" fontId="8" fillId="2" borderId="0" xfId="112" applyNumberFormat="1" applyFont="1" applyFill="1" applyAlignment="1">
      <alignment horizontal="right"/>
    </xf>
    <xf numFmtId="0" fontId="8" fillId="2" borderId="6" xfId="112" applyFont="1" applyFill="1" applyBorder="1" applyAlignment="1">
      <alignment horizontal="left"/>
    </xf>
    <xf numFmtId="1" fontId="9" fillId="6" borderId="0" xfId="112" applyNumberFormat="1" applyFont="1" applyFill="1" applyAlignment="1">
      <alignment horizontal="right"/>
    </xf>
    <xf numFmtId="0" fontId="18" fillId="6" borderId="5" xfId="112" applyFont="1" applyFill="1" applyBorder="1" applyAlignment="1">
      <alignment horizontal="left"/>
    </xf>
    <xf numFmtId="0" fontId="8" fillId="6" borderId="5" xfId="114" applyFont="1" applyFill="1" applyBorder="1"/>
    <xf numFmtId="0" fontId="8" fillId="6" borderId="0" xfId="114" applyFont="1" applyFill="1" applyAlignment="1">
      <alignment horizontal="center" vertical="center"/>
    </xf>
    <xf numFmtId="0" fontId="8" fillId="6" borderId="6" xfId="114" applyFont="1" applyFill="1" applyBorder="1" applyAlignment="1">
      <alignment horizontal="right"/>
    </xf>
    <xf numFmtId="0" fontId="8" fillId="6" borderId="0" xfId="114" applyFont="1" applyFill="1" applyAlignment="1">
      <alignment vertical="center"/>
    </xf>
    <xf numFmtId="0" fontId="8" fillId="6" borderId="0" xfId="114" applyFont="1" applyFill="1"/>
    <xf numFmtId="1" fontId="8" fillId="6" borderId="0" xfId="114" applyNumberFormat="1" applyFont="1" applyFill="1" applyAlignment="1">
      <alignment horizontal="right"/>
    </xf>
    <xf numFmtId="0" fontId="9" fillId="6" borderId="5" xfId="114" applyFont="1" applyFill="1" applyBorder="1"/>
    <xf numFmtId="0" fontId="9" fillId="6" borderId="0" xfId="114" applyFont="1" applyFill="1" applyAlignment="1">
      <alignment horizontal="center" vertical="center"/>
    </xf>
    <xf numFmtId="0" fontId="9" fillId="6" borderId="6" xfId="114" applyFont="1" applyFill="1" applyBorder="1" applyAlignment="1">
      <alignment horizontal="right"/>
    </xf>
    <xf numFmtId="0" fontId="9" fillId="6" borderId="0" xfId="114" applyFont="1" applyFill="1" applyAlignment="1">
      <alignment vertical="center"/>
    </xf>
    <xf numFmtId="0" fontId="9" fillId="6" borderId="0" xfId="114" applyFont="1" applyFill="1"/>
    <xf numFmtId="0" fontId="9" fillId="6" borderId="6" xfId="114" applyFont="1" applyFill="1" applyBorder="1"/>
    <xf numFmtId="1" fontId="9" fillId="6" borderId="0" xfId="114" applyNumberFormat="1" applyFont="1" applyFill="1" applyAlignment="1">
      <alignment horizontal="right"/>
    </xf>
    <xf numFmtId="0" fontId="9" fillId="6" borderId="6" xfId="114" applyFont="1" applyFill="1" applyBorder="1" applyAlignment="1">
      <alignment horizontal="left" vertical="center"/>
    </xf>
    <xf numFmtId="0" fontId="15" fillId="5" borderId="5" xfId="114" applyFont="1" applyFill="1" applyBorder="1"/>
    <xf numFmtId="0" fontId="15" fillId="5" borderId="0" xfId="114" applyFont="1" applyFill="1" applyAlignment="1">
      <alignment horizontal="center" vertical="center"/>
    </xf>
    <xf numFmtId="0" fontId="15" fillId="5" borderId="6" xfId="114" applyFont="1" applyFill="1" applyBorder="1" applyAlignment="1">
      <alignment horizontal="right"/>
    </xf>
    <xf numFmtId="0" fontId="15" fillId="5" borderId="0" xfId="114" applyFont="1" applyFill="1" applyAlignment="1">
      <alignment vertical="center"/>
    </xf>
    <xf numFmtId="0" fontId="15" fillId="5" borderId="0" xfId="114" applyFont="1" applyFill="1"/>
    <xf numFmtId="0" fontId="15" fillId="5" borderId="6" xfId="114" applyFont="1" applyFill="1" applyBorder="1"/>
    <xf numFmtId="1" fontId="15" fillId="5" borderId="0" xfId="114" applyNumberFormat="1" applyFont="1" applyFill="1" applyAlignment="1">
      <alignment horizontal="right"/>
    </xf>
    <xf numFmtId="0" fontId="15" fillId="5" borderId="6" xfId="114" applyFont="1" applyFill="1" applyBorder="1" applyAlignment="1">
      <alignment horizontal="left" vertical="center"/>
    </xf>
    <xf numFmtId="0" fontId="15" fillId="6" borderId="5" xfId="114" applyFont="1" applyFill="1" applyBorder="1"/>
    <xf numFmtId="0" fontId="15" fillId="6" borderId="0" xfId="114" applyFont="1" applyFill="1" applyAlignment="1">
      <alignment horizontal="center" vertical="center"/>
    </xf>
    <xf numFmtId="0" fontId="15" fillId="6" borderId="6" xfId="114" applyFont="1" applyFill="1" applyBorder="1" applyAlignment="1">
      <alignment horizontal="right"/>
    </xf>
    <xf numFmtId="0" fontId="15" fillId="6" borderId="0" xfId="114" applyFont="1" applyFill="1" applyAlignment="1">
      <alignment vertical="center"/>
    </xf>
    <xf numFmtId="0" fontId="15" fillId="6" borderId="0" xfId="114" applyFont="1" applyFill="1"/>
    <xf numFmtId="0" fontId="15" fillId="6" borderId="6" xfId="114" applyFont="1" applyFill="1" applyBorder="1"/>
    <xf numFmtId="1" fontId="15" fillId="6" borderId="0" xfId="114" applyNumberFormat="1" applyFont="1" applyFill="1" applyAlignment="1">
      <alignment horizontal="right"/>
    </xf>
    <xf numFmtId="0" fontId="15" fillId="6" borderId="6" xfId="114" applyFont="1" applyFill="1" applyBorder="1" applyAlignment="1">
      <alignment horizontal="left" vertical="center"/>
    </xf>
    <xf numFmtId="0" fontId="14" fillId="5" borderId="0" xfId="114" applyFont="1" applyFill="1"/>
    <xf numFmtId="0" fontId="14" fillId="5" borderId="6" xfId="114" applyFont="1" applyFill="1" applyBorder="1" applyAlignment="1">
      <alignment horizontal="right"/>
    </xf>
    <xf numFmtId="0" fontId="14" fillId="5" borderId="0" xfId="114" applyFont="1" applyFill="1" applyAlignment="1">
      <alignment vertical="center"/>
    </xf>
    <xf numFmtId="0" fontId="14" fillId="5" borderId="6" xfId="114" applyFont="1" applyFill="1" applyBorder="1"/>
    <xf numFmtId="1" fontId="14" fillId="5" borderId="0" xfId="114" applyNumberFormat="1" applyFont="1" applyFill="1" applyAlignment="1">
      <alignment horizontal="right"/>
    </xf>
    <xf numFmtId="0" fontId="14" fillId="5" borderId="6" xfId="114" applyFont="1" applyFill="1" applyBorder="1" applyAlignment="1">
      <alignment horizontal="left" vertical="center"/>
    </xf>
    <xf numFmtId="0" fontId="14" fillId="6" borderId="0" xfId="114" applyFont="1" applyFill="1"/>
    <xf numFmtId="0" fontId="14" fillId="6" borderId="6" xfId="114" applyFont="1" applyFill="1" applyBorder="1" applyAlignment="1">
      <alignment horizontal="right"/>
    </xf>
    <xf numFmtId="0" fontId="14" fillId="6" borderId="0" xfId="114" applyFont="1" applyFill="1" applyAlignment="1">
      <alignment vertical="center"/>
    </xf>
    <xf numFmtId="0" fontId="14" fillId="6" borderId="6" xfId="114" applyFont="1" applyFill="1" applyBorder="1"/>
    <xf numFmtId="1" fontId="14" fillId="6" borderId="0" xfId="114" applyNumberFormat="1" applyFont="1" applyFill="1" applyAlignment="1">
      <alignment horizontal="right"/>
    </xf>
    <xf numFmtId="0" fontId="14" fillId="6" borderId="6" xfId="114" applyFont="1" applyFill="1" applyBorder="1" applyAlignment="1">
      <alignment horizontal="left" vertical="center"/>
    </xf>
    <xf numFmtId="2" fontId="3" fillId="2" borderId="5" xfId="114" applyNumberFormat="1" applyFont="1" applyFill="1" applyBorder="1" applyAlignment="1">
      <alignment horizontal="right" vertical="center"/>
    </xf>
    <xf numFmtId="2" fontId="8" fillId="2" borderId="5" xfId="114" applyNumberFormat="1" applyFont="1" applyFill="1" applyBorder="1" applyAlignment="1">
      <alignment horizontal="right" vertical="center"/>
    </xf>
    <xf numFmtId="0" fontId="14" fillId="6" borderId="6" xfId="112" quotePrefix="1" applyFont="1" applyFill="1" applyBorder="1" applyAlignment="1">
      <alignment horizontal="right" vertical="center"/>
    </xf>
    <xf numFmtId="0" fontId="14" fillId="6" borderId="6" xfId="112" applyFont="1" applyFill="1" applyBorder="1"/>
    <xf numFmtId="1" fontId="14" fillId="6" borderId="0" xfId="112" applyNumberFormat="1" applyFont="1" applyFill="1"/>
    <xf numFmtId="0" fontId="14" fillId="6" borderId="5" xfId="112" applyFont="1" applyFill="1" applyBorder="1" applyAlignment="1">
      <alignment horizontal="left" vertical="center"/>
    </xf>
    <xf numFmtId="0" fontId="14" fillId="6" borderId="0" xfId="112" applyFont="1" applyFill="1" applyAlignment="1">
      <alignment horizontal="center" vertical="center"/>
    </xf>
    <xf numFmtId="0" fontId="14" fillId="6" borderId="0" xfId="127" applyFont="1" applyFill="1" applyAlignment="1">
      <alignment horizontal="center"/>
    </xf>
    <xf numFmtId="0" fontId="14" fillId="6" borderId="5" xfId="112" applyFont="1" applyFill="1" applyBorder="1" applyAlignment="1">
      <alignment horizontal="left"/>
    </xf>
    <xf numFmtId="0" fontId="14" fillId="6" borderId="0" xfId="112" applyFont="1" applyFill="1" applyAlignment="1">
      <alignment horizontal="left"/>
    </xf>
    <xf numFmtId="0" fontId="14" fillId="6" borderId="5" xfId="127" applyFont="1" applyFill="1" applyBorder="1" applyAlignment="1">
      <alignment horizontal="right"/>
    </xf>
    <xf numFmtId="0" fontId="14" fillId="6" borderId="6" xfId="127" applyFont="1" applyFill="1" applyBorder="1" applyAlignment="1">
      <alignment horizontal="left"/>
    </xf>
    <xf numFmtId="166" fontId="14" fillId="3" borderId="11" xfId="0" applyNumberFormat="1" applyFont="1" applyFill="1" applyBorder="1" applyAlignment="1">
      <alignment vertical="center"/>
    </xf>
    <xf numFmtId="166" fontId="14" fillId="4" borderId="11" xfId="0" applyNumberFormat="1" applyFont="1" applyFill="1" applyBorder="1" applyAlignment="1">
      <alignment vertical="center"/>
    </xf>
    <xf numFmtId="165" fontId="11" fillId="2" borderId="6" xfId="1" applyFont="1" applyFill="1" applyBorder="1"/>
    <xf numFmtId="0" fontId="19" fillId="0" borderId="1" xfId="0" applyFont="1" applyBorder="1"/>
    <xf numFmtId="0" fontId="19" fillId="0" borderId="0" xfId="0" applyFont="1"/>
    <xf numFmtId="1" fontId="16" fillId="6" borderId="0" xfId="112" applyNumberFormat="1" applyFont="1" applyFill="1"/>
    <xf numFmtId="0" fontId="16" fillId="6" borderId="6" xfId="112" applyFont="1" applyFill="1" applyBorder="1"/>
    <xf numFmtId="2" fontId="16" fillId="6" borderId="0" xfId="114" applyNumberFormat="1" applyFont="1" applyFill="1" applyAlignment="1">
      <alignment horizontal="right"/>
    </xf>
    <xf numFmtId="0" fontId="16" fillId="6" borderId="6" xfId="114" applyFont="1" applyFill="1" applyBorder="1" applyAlignment="1">
      <alignment horizontal="left" vertical="center"/>
    </xf>
    <xf numFmtId="166" fontId="16" fillId="3" borderId="11" xfId="0" applyNumberFormat="1" applyFont="1" applyFill="1" applyBorder="1" applyAlignment="1">
      <alignment vertical="center"/>
    </xf>
    <xf numFmtId="165" fontId="3" fillId="2" borderId="15" xfId="1" applyFont="1" applyFill="1" applyBorder="1"/>
    <xf numFmtId="0" fontId="20" fillId="0" borderId="16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1" fillId="0" borderId="17" xfId="0" applyFont="1" applyBorder="1" applyAlignment="1">
      <alignment vertical="center" wrapText="1"/>
    </xf>
    <xf numFmtId="0" fontId="9" fillId="2" borderId="2" xfId="0" quotePrefix="1" applyFont="1" applyFill="1" applyBorder="1" applyAlignment="1">
      <alignment horizontal="left" vertical="center"/>
    </xf>
    <xf numFmtId="0" fontId="9" fillId="2" borderId="3" xfId="0" quotePrefix="1" applyFont="1" applyFill="1" applyBorder="1" applyAlignment="1">
      <alignment horizontal="center" vertical="center"/>
    </xf>
    <xf numFmtId="0" fontId="9" fillId="2" borderId="4" xfId="0" quotePrefix="1" applyFont="1" applyFill="1" applyBorder="1" applyAlignment="1">
      <alignment horizontal="center" vertical="center"/>
    </xf>
    <xf numFmtId="0" fontId="14" fillId="5" borderId="5" xfId="114" applyFont="1" applyFill="1" applyBorder="1"/>
    <xf numFmtId="0" fontId="14" fillId="5" borderId="0" xfId="114" applyFont="1" applyFill="1" applyAlignment="1">
      <alignment horizontal="center" vertical="center"/>
    </xf>
    <xf numFmtId="0" fontId="14" fillId="6" borderId="5" xfId="114" applyFont="1" applyFill="1" applyBorder="1"/>
    <xf numFmtId="0" fontId="14" fillId="6" borderId="0" xfId="114" applyFont="1" applyFill="1" applyAlignment="1">
      <alignment horizontal="center" vertical="center"/>
    </xf>
    <xf numFmtId="0" fontId="14" fillId="6" borderId="0" xfId="112" quotePrefix="1" applyFont="1" applyFill="1" applyAlignment="1">
      <alignment horizontal="center" vertical="center"/>
    </xf>
    <xf numFmtId="0" fontId="15" fillId="2" borderId="0" xfId="127" applyFont="1" applyFill="1" applyAlignment="1">
      <alignment horizontal="center"/>
    </xf>
    <xf numFmtId="0" fontId="9" fillId="2" borderId="7" xfId="0" quotePrefix="1" applyFont="1" applyFill="1" applyBorder="1" applyAlignment="1">
      <alignment horizontal="left" vertical="center"/>
    </xf>
    <xf numFmtId="0" fontId="9" fillId="2" borderId="8" xfId="0" quotePrefix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1" fontId="14" fillId="5" borderId="0" xfId="112" applyNumberFormat="1" applyFont="1" applyFill="1" applyAlignment="1">
      <alignment horizontal="right"/>
    </xf>
    <xf numFmtId="0" fontId="18" fillId="6" borderId="0" xfId="112" applyFont="1" applyFill="1"/>
    <xf numFmtId="2" fontId="9" fillId="6" borderId="0" xfId="114" applyNumberFormat="1" applyFont="1" applyFill="1" applyAlignment="1">
      <alignment horizontal="right"/>
    </xf>
    <xf numFmtId="2" fontId="8" fillId="6" borderId="0" xfId="114" applyNumberFormat="1" applyFont="1" applyFill="1" applyAlignment="1">
      <alignment horizontal="right"/>
    </xf>
    <xf numFmtId="9" fontId="0" fillId="0" borderId="0" xfId="128" applyFont="1"/>
    <xf numFmtId="164" fontId="0" fillId="0" borderId="0" xfId="0" applyNumberFormat="1"/>
    <xf numFmtId="49" fontId="3" fillId="2" borderId="0" xfId="0" quotePrefix="1" applyNumberFormat="1" applyFont="1" applyFill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</cellXfs>
  <cellStyles count="129">
    <cellStyle name="Currency [0]" xfId="1" builtinId="7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Normal" xfId="0" builtinId="0"/>
    <cellStyle name="Normal 2" xfId="112" xr:uid="{00000000-0005-0000-0000-000070000000}"/>
    <cellStyle name="Normal 2 2" xfId="116" xr:uid="{00000000-0005-0000-0000-000071000000}"/>
    <cellStyle name="Normal 2 2 2" xfId="123" xr:uid="{00000000-0005-0000-0000-000072000000}"/>
    <cellStyle name="Normal 2 2 3" xfId="121" xr:uid="{00000000-0005-0000-0000-000073000000}"/>
    <cellStyle name="Normal 2 2 7" xfId="119" xr:uid="{00000000-0005-0000-0000-000074000000}"/>
    <cellStyle name="Normal 3" xfId="115" xr:uid="{00000000-0005-0000-0000-000075000000}"/>
    <cellStyle name="Normal 3 2" xfId="125" xr:uid="{00000000-0005-0000-0000-000076000000}"/>
    <cellStyle name="Normal 4 2 2 2" xfId="117" xr:uid="{00000000-0005-0000-0000-000077000000}"/>
    <cellStyle name="Normal 5 2 2" xfId="118" xr:uid="{00000000-0005-0000-0000-000078000000}"/>
    <cellStyle name="Normal 5 3" xfId="124" xr:uid="{00000000-0005-0000-0000-000079000000}"/>
    <cellStyle name="Normal 6" xfId="113" xr:uid="{00000000-0005-0000-0000-00007A000000}"/>
    <cellStyle name="Normal 6 2" xfId="126" xr:uid="{00000000-0005-0000-0000-00007B000000}"/>
    <cellStyle name="Normal 6 3" xfId="120" xr:uid="{00000000-0005-0000-0000-00007C000000}"/>
    <cellStyle name="Normal 7" xfId="127" xr:uid="{06734BFC-6BB2-4B8A-8CB0-B08C490C96AF}"/>
    <cellStyle name="Normal 7 2" xfId="114" xr:uid="{00000000-0005-0000-0000-00007D000000}"/>
    <cellStyle name="Normal 8" xfId="122" xr:uid="{00000000-0005-0000-0000-00007E000000}"/>
    <cellStyle name="Percent" xfId="128" builtinId="5"/>
  </cellStyles>
  <dxfs count="30">
    <dxf>
      <font>
        <b val="0"/>
        <i/>
        <strike val="0"/>
      </font>
    </dxf>
    <dxf>
      <font>
        <b val="0"/>
        <i/>
        <strike val="0"/>
      </font>
    </dxf>
    <dxf>
      <font>
        <b val="0"/>
        <i/>
        <strike val="0"/>
      </font>
    </dxf>
    <dxf>
      <font>
        <b val="0"/>
        <i/>
        <strike val="0"/>
      </font>
    </dxf>
    <dxf>
      <font>
        <b val="0"/>
        <i/>
        <strike val="0"/>
      </font>
    </dxf>
    <dxf>
      <font>
        <b val="0"/>
        <i/>
        <strike val="0"/>
      </font>
    </dxf>
    <dxf>
      <font>
        <b/>
        <i/>
        <strike val="0"/>
        <u/>
        <color rgb="FF000000"/>
      </font>
    </dxf>
    <dxf>
      <font>
        <b/>
        <i val="0"/>
        <strike val="0"/>
        <color rgb="FF000000"/>
      </font>
    </dxf>
    <dxf>
      <font>
        <b/>
        <i/>
        <strike val="0"/>
        <u/>
        <color rgb="FF000000"/>
      </font>
    </dxf>
    <dxf>
      <font>
        <b/>
        <i/>
        <strike val="0"/>
        <u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/>
        <strike val="0"/>
        <u/>
        <color rgb="FF000000"/>
      </font>
    </dxf>
    <dxf>
      <font>
        <b/>
        <i val="0"/>
        <strike val="0"/>
        <color rgb="FF000000"/>
      </font>
    </dxf>
    <dxf>
      <font>
        <b/>
        <i/>
        <strike val="0"/>
        <u/>
        <color rgb="FF000000"/>
      </font>
    </dxf>
    <dxf>
      <font>
        <b/>
        <i val="0"/>
        <strike val="0"/>
        <color rgb="FF000000"/>
      </font>
    </dxf>
    <dxf>
      <font>
        <b/>
        <i/>
        <strike val="0"/>
        <u/>
        <color rgb="FF000000"/>
      </font>
    </dxf>
    <dxf>
      <font>
        <b/>
        <i val="0"/>
        <strike val="0"/>
        <color rgb="FF000000"/>
      </font>
    </dxf>
    <dxf>
      <font>
        <b/>
        <i/>
        <strike val="0"/>
        <color rgb="FF000000"/>
      </font>
    </dxf>
    <dxf>
      <font>
        <b/>
        <i/>
        <strike val="0"/>
        <color rgb="FF000000"/>
      </font>
    </dxf>
    <dxf>
      <font>
        <b/>
        <i/>
        <strike val="0"/>
        <color rgb="FF000000"/>
      </font>
    </dxf>
    <dxf>
      <font>
        <b/>
        <i/>
        <strike val="0"/>
        <color rgb="FF000000"/>
      </font>
    </dxf>
    <dxf>
      <font>
        <b/>
        <i/>
        <strike val="0"/>
        <color rgb="FF000000"/>
      </font>
    </dxf>
    <dxf>
      <font>
        <b/>
        <i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17779</xdr:colOff>
      <xdr:row>2</xdr:row>
      <xdr:rowOff>153264</xdr:rowOff>
    </xdr:from>
    <xdr:to>
      <xdr:col>11</xdr:col>
      <xdr:colOff>868383</xdr:colOff>
      <xdr:row>7</xdr:row>
      <xdr:rowOff>82224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686644-D793-43F7-A7C1-670C305A0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10879" y="546964"/>
          <a:ext cx="3504904" cy="906860"/>
        </a:xfrm>
        <a:prstGeom prst="rect">
          <a:avLst/>
        </a:prstGeom>
      </xdr:spPr>
    </xdr:pic>
    <xdr:clientData/>
  </xdr:twoCellAnchor>
  <xdr:twoCellAnchor editAs="oneCell">
    <xdr:from>
      <xdr:col>2</xdr:col>
      <xdr:colOff>35858</xdr:colOff>
      <xdr:row>1</xdr:row>
      <xdr:rowOff>53787</xdr:rowOff>
    </xdr:from>
    <xdr:to>
      <xdr:col>6</xdr:col>
      <xdr:colOff>2516938</xdr:colOff>
      <xdr:row>6</xdr:row>
      <xdr:rowOff>158208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EE89F7-35D1-425E-8F21-B8F304263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3758" y="250637"/>
          <a:ext cx="3211330" cy="10886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7E95-5FDF-46BE-9D49-82A6CB3118A7}">
  <sheetPr>
    <tabColor theme="3" tint="0.39997558519241921"/>
  </sheetPr>
  <dimension ref="B7:AZ680"/>
  <sheetViews>
    <sheetView showGridLines="0" tabSelected="1" view="pageBreakPreview" topLeftCell="F661" zoomScale="85" zoomScaleSheetLayoutView="85" workbookViewId="0">
      <selection activeCell="N673" sqref="N673"/>
    </sheetView>
  </sheetViews>
  <sheetFormatPr defaultColWidth="11" defaultRowHeight="15.5" x14ac:dyDescent="0.35"/>
  <cols>
    <col min="2" max="4" width="1.83203125" style="18" customWidth="1"/>
    <col min="5" max="5" width="3.08203125" style="18" customWidth="1"/>
    <col min="6" max="6" width="2.83203125" style="18" customWidth="1"/>
    <col min="7" max="7" width="70.58203125" style="18" customWidth="1"/>
    <col min="8" max="8" width="9.5" style="18" customWidth="1"/>
    <col min="9" max="9" width="6.33203125" style="18" customWidth="1"/>
    <col min="10" max="10" width="16" style="18" customWidth="1"/>
    <col min="11" max="11" width="18.83203125" style="18" customWidth="1"/>
    <col min="12" max="12" width="20.5" style="18" customWidth="1"/>
    <col min="13" max="13" width="18.33203125" customWidth="1"/>
    <col min="14" max="14" width="18.33203125" bestFit="1" customWidth="1"/>
    <col min="15" max="15" width="17.4140625" bestFit="1" customWidth="1"/>
  </cols>
  <sheetData>
    <row r="7" spans="2:13" ht="15" customHeight="1" x14ac:dyDescent="0.35"/>
    <row r="8" spans="2:13" ht="18" x14ac:dyDescent="0.4">
      <c r="B8" s="31" t="s">
        <v>24</v>
      </c>
      <c r="C8" s="17"/>
      <c r="D8" s="17"/>
    </row>
    <row r="9" spans="2:13" x14ac:dyDescent="0.35">
      <c r="B9" s="32" t="s">
        <v>25</v>
      </c>
      <c r="C9" s="5"/>
      <c r="D9" s="5"/>
      <c r="E9" s="5"/>
      <c r="F9" s="5"/>
      <c r="G9" s="5"/>
    </row>
    <row r="10" spans="2:13" x14ac:dyDescent="0.35">
      <c r="H10" s="20"/>
      <c r="I10" s="20"/>
      <c r="J10" s="20" t="s">
        <v>29</v>
      </c>
      <c r="L10" s="20"/>
      <c r="M10" s="18"/>
    </row>
    <row r="11" spans="2:13" x14ac:dyDescent="0.35">
      <c r="B11" s="18" t="s">
        <v>0</v>
      </c>
      <c r="F11" s="18" t="s">
        <v>42</v>
      </c>
      <c r="J11" s="18" t="s">
        <v>30</v>
      </c>
      <c r="M11" s="18"/>
    </row>
    <row r="12" spans="2:13" x14ac:dyDescent="0.35">
      <c r="B12" s="18" t="s">
        <v>35</v>
      </c>
      <c r="F12" s="18" t="s">
        <v>26</v>
      </c>
      <c r="J12" s="18" t="s">
        <v>31</v>
      </c>
      <c r="K12" s="18" t="s">
        <v>38</v>
      </c>
      <c r="M12" s="18"/>
    </row>
    <row r="13" spans="2:13" x14ac:dyDescent="0.35">
      <c r="B13" s="18" t="s">
        <v>4</v>
      </c>
      <c r="F13" s="54"/>
      <c r="J13" s="18" t="s">
        <v>32</v>
      </c>
      <c r="K13" s="18" t="s">
        <v>39</v>
      </c>
      <c r="M13" s="18"/>
    </row>
    <row r="14" spans="2:13" x14ac:dyDescent="0.35">
      <c r="B14" s="18" t="s">
        <v>5</v>
      </c>
      <c r="F14" s="54"/>
      <c r="J14" s="18" t="s">
        <v>33</v>
      </c>
      <c r="K14" s="18" t="s">
        <v>40</v>
      </c>
      <c r="M14" s="18"/>
    </row>
    <row r="15" spans="2:13" x14ac:dyDescent="0.35">
      <c r="F15" s="309"/>
      <c r="G15" s="309"/>
      <c r="J15" s="18" t="s">
        <v>34</v>
      </c>
      <c r="K15" s="18" t="s">
        <v>41</v>
      </c>
      <c r="M15" s="18"/>
    </row>
    <row r="16" spans="2:13" x14ac:dyDescent="0.35">
      <c r="F16" s="6"/>
    </row>
    <row r="18" spans="2:20" s="33" customFormat="1" ht="15" customHeight="1" x14ac:dyDescent="0.35">
      <c r="B18" s="310" t="s">
        <v>0</v>
      </c>
      <c r="C18" s="311"/>
      <c r="D18" s="312"/>
      <c r="E18" s="310" t="s">
        <v>1</v>
      </c>
      <c r="F18" s="311"/>
      <c r="G18" s="312"/>
      <c r="H18" s="310" t="s">
        <v>2</v>
      </c>
      <c r="I18" s="312"/>
      <c r="J18" s="316" t="s">
        <v>3</v>
      </c>
      <c r="K18" s="316" t="s">
        <v>22</v>
      </c>
      <c r="L18" s="316" t="s">
        <v>23</v>
      </c>
    </row>
    <row r="19" spans="2:20" s="33" customFormat="1" ht="15" customHeight="1" x14ac:dyDescent="0.35">
      <c r="B19" s="313"/>
      <c r="C19" s="314"/>
      <c r="D19" s="315"/>
      <c r="E19" s="313"/>
      <c r="F19" s="314"/>
      <c r="G19" s="315"/>
      <c r="H19" s="313"/>
      <c r="I19" s="315"/>
      <c r="J19" s="317"/>
      <c r="K19" s="317"/>
      <c r="L19" s="317"/>
    </row>
    <row r="20" spans="2:20" x14ac:dyDescent="0.35">
      <c r="B20" s="47"/>
      <c r="C20" s="48"/>
      <c r="D20" s="49"/>
      <c r="G20" s="22"/>
      <c r="H20" s="1"/>
      <c r="I20" s="1"/>
      <c r="J20" s="43"/>
      <c r="K20" s="30"/>
      <c r="L20" s="44"/>
    </row>
    <row r="21" spans="2:20" x14ac:dyDescent="0.35">
      <c r="B21" s="122" t="s">
        <v>43</v>
      </c>
      <c r="C21" s="123"/>
      <c r="D21" s="124"/>
      <c r="E21" s="125" t="s">
        <v>10</v>
      </c>
      <c r="F21" s="125"/>
      <c r="G21" s="126"/>
      <c r="H21" s="127"/>
      <c r="I21" s="128"/>
      <c r="J21" s="29"/>
      <c r="K21" s="51"/>
      <c r="L21" s="46"/>
      <c r="M21" s="18"/>
      <c r="N21" s="320" t="s">
        <v>15</v>
      </c>
      <c r="O21" s="320"/>
    </row>
    <row r="22" spans="2:20" x14ac:dyDescent="0.35">
      <c r="B22" s="129"/>
      <c r="C22" s="130"/>
      <c r="D22" s="100" t="s">
        <v>44</v>
      </c>
      <c r="E22" s="131"/>
      <c r="F22" s="132" t="s">
        <v>45</v>
      </c>
      <c r="G22" s="104"/>
      <c r="H22" s="133">
        <v>1</v>
      </c>
      <c r="I22" s="134" t="s">
        <v>46</v>
      </c>
      <c r="J22" s="50">
        <v>27500000.000000004</v>
      </c>
      <c r="K22" s="29">
        <f t="shared" ref="K22:K29" si="0">J22*H22</f>
        <v>27500000.000000004</v>
      </c>
      <c r="L22" s="52"/>
      <c r="N22" s="23" t="s">
        <v>11</v>
      </c>
      <c r="O22" s="23">
        <v>26.98</v>
      </c>
      <c r="P22">
        <f>O22*O23</f>
        <v>242.82</v>
      </c>
      <c r="Q22">
        <f>O22*O23</f>
        <v>242.82</v>
      </c>
    </row>
    <row r="23" spans="2:20" x14ac:dyDescent="0.35">
      <c r="B23" s="129"/>
      <c r="C23" s="130"/>
      <c r="D23" s="100" t="s">
        <v>47</v>
      </c>
      <c r="E23" s="131"/>
      <c r="F23" s="132" t="s">
        <v>48</v>
      </c>
      <c r="G23" s="104"/>
      <c r="H23" s="133">
        <v>1</v>
      </c>
      <c r="I23" s="134" t="s">
        <v>46</v>
      </c>
      <c r="J23" s="50">
        <v>8250000.0000000009</v>
      </c>
      <c r="K23" s="29">
        <f t="shared" si="0"/>
        <v>8250000.0000000009</v>
      </c>
      <c r="L23" s="52"/>
      <c r="N23" s="23" t="s">
        <v>21</v>
      </c>
      <c r="O23" s="23">
        <v>9</v>
      </c>
      <c r="R23" t="e">
        <f>Q22-#REF!</f>
        <v>#REF!</v>
      </c>
      <c r="S23" t="e">
        <f>R23*20%</f>
        <v>#REF!</v>
      </c>
      <c r="T23" t="e">
        <f>R23+S23</f>
        <v>#REF!</v>
      </c>
    </row>
    <row r="24" spans="2:20" x14ac:dyDescent="0.35">
      <c r="B24" s="129"/>
      <c r="C24" s="130"/>
      <c r="D24" s="100" t="s">
        <v>49</v>
      </c>
      <c r="E24" s="131"/>
      <c r="F24" s="132" t="s">
        <v>50</v>
      </c>
      <c r="G24" s="104"/>
      <c r="H24" s="133">
        <v>1</v>
      </c>
      <c r="I24" s="134" t="s">
        <v>46</v>
      </c>
      <c r="J24" s="50">
        <v>6750000</v>
      </c>
      <c r="K24" s="29">
        <f t="shared" si="0"/>
        <v>6750000</v>
      </c>
      <c r="L24" s="52"/>
      <c r="N24" s="23" t="s">
        <v>12</v>
      </c>
      <c r="O24" s="23" t="e">
        <f>#REF!-#REF!</f>
        <v>#REF!</v>
      </c>
      <c r="P24">
        <f>140*50%</f>
        <v>70</v>
      </c>
    </row>
    <row r="25" spans="2:20" x14ac:dyDescent="0.35">
      <c r="B25" s="129"/>
      <c r="C25" s="130"/>
      <c r="D25" s="100" t="s">
        <v>51</v>
      </c>
      <c r="E25" s="131"/>
      <c r="F25" s="132" t="s">
        <v>124</v>
      </c>
      <c r="G25" s="104"/>
      <c r="H25" s="133">
        <v>63</v>
      </c>
      <c r="I25" s="135" t="s">
        <v>52</v>
      </c>
      <c r="J25" s="50">
        <v>2000000</v>
      </c>
      <c r="K25" s="29">
        <f t="shared" si="0"/>
        <v>126000000</v>
      </c>
      <c r="L25" s="52"/>
      <c r="M25" s="18"/>
      <c r="N25" s="23" t="s">
        <v>13</v>
      </c>
      <c r="O25" s="23">
        <f>(O22+O23)*2</f>
        <v>71.960000000000008</v>
      </c>
      <c r="Q25">
        <f>O22-(1.83*4)</f>
        <v>19.66</v>
      </c>
      <c r="R25" t="s">
        <v>19</v>
      </c>
    </row>
    <row r="26" spans="2:20" x14ac:dyDescent="0.35">
      <c r="B26" s="129"/>
      <c r="C26" s="130"/>
      <c r="D26" s="100" t="s">
        <v>53</v>
      </c>
      <c r="E26" s="131"/>
      <c r="F26" s="132" t="s">
        <v>54</v>
      </c>
      <c r="G26" s="104"/>
      <c r="H26" s="133">
        <v>1</v>
      </c>
      <c r="I26" s="134" t="s">
        <v>52</v>
      </c>
      <c r="J26" s="50">
        <v>500000</v>
      </c>
      <c r="K26" s="29">
        <f t="shared" si="0"/>
        <v>500000</v>
      </c>
      <c r="L26" s="52"/>
      <c r="M26" s="18"/>
      <c r="N26" s="23" t="s">
        <v>14</v>
      </c>
      <c r="O26" s="23">
        <f>(O22-5)*O23</f>
        <v>197.82</v>
      </c>
      <c r="Q26">
        <f>O23-2</f>
        <v>7</v>
      </c>
      <c r="R26" t="s">
        <v>20</v>
      </c>
    </row>
    <row r="27" spans="2:20" x14ac:dyDescent="0.35">
      <c r="B27" s="136"/>
      <c r="C27" s="137"/>
      <c r="D27" s="100" t="s">
        <v>55</v>
      </c>
      <c r="E27" s="131"/>
      <c r="F27" s="132" t="s">
        <v>56</v>
      </c>
      <c r="G27" s="104"/>
      <c r="H27" s="133">
        <v>1</v>
      </c>
      <c r="I27" s="134" t="s">
        <v>46</v>
      </c>
      <c r="J27" s="50">
        <v>2250000</v>
      </c>
      <c r="K27" s="29">
        <f t="shared" si="0"/>
        <v>2250000</v>
      </c>
      <c r="L27" s="52"/>
      <c r="M27" s="18"/>
      <c r="N27" s="23"/>
      <c r="O27" s="23" t="e">
        <f>#REF!*40%</f>
        <v>#REF!</v>
      </c>
      <c r="P27" t="e">
        <f>#REF!+#REF!</f>
        <v>#REF!</v>
      </c>
      <c r="Q27" t="e">
        <f>#REF!*25%</f>
        <v>#REF!</v>
      </c>
    </row>
    <row r="28" spans="2:20" x14ac:dyDescent="0.35">
      <c r="B28" s="136"/>
      <c r="C28" s="137"/>
      <c r="D28" s="100" t="s">
        <v>57</v>
      </c>
      <c r="E28" s="131"/>
      <c r="F28" s="132" t="s">
        <v>58</v>
      </c>
      <c r="G28" s="104"/>
      <c r="H28" s="133">
        <v>1</v>
      </c>
      <c r="I28" s="134" t="s">
        <v>46</v>
      </c>
      <c r="J28" s="50">
        <v>13750000.000000002</v>
      </c>
      <c r="K28" s="29">
        <f t="shared" si="0"/>
        <v>13750000.000000002</v>
      </c>
      <c r="L28" s="52"/>
      <c r="M28" s="18"/>
      <c r="N28" s="23"/>
      <c r="O28" s="23" t="e">
        <f>#REF!+O27</f>
        <v>#REF!</v>
      </c>
    </row>
    <row r="29" spans="2:20" x14ac:dyDescent="0.35">
      <c r="B29" s="136"/>
      <c r="C29" s="137"/>
      <c r="D29" s="100" t="s">
        <v>68</v>
      </c>
      <c r="E29" s="131"/>
      <c r="F29" s="132" t="s">
        <v>511</v>
      </c>
      <c r="G29" s="104"/>
      <c r="H29" s="133">
        <v>1</v>
      </c>
      <c r="I29" s="134" t="s">
        <v>46</v>
      </c>
      <c r="J29" s="50">
        <v>7500000</v>
      </c>
      <c r="K29" s="29">
        <f t="shared" si="0"/>
        <v>7500000</v>
      </c>
      <c r="L29" s="52"/>
      <c r="M29" s="18"/>
      <c r="N29" s="23"/>
      <c r="O29" s="23"/>
    </row>
    <row r="30" spans="2:20" x14ac:dyDescent="0.35">
      <c r="B30" s="138" t="s">
        <v>59</v>
      </c>
      <c r="C30" s="139"/>
      <c r="D30" s="139"/>
      <c r="E30" s="89" t="s">
        <v>125</v>
      </c>
      <c r="F30" s="140"/>
      <c r="G30" s="90"/>
      <c r="H30" s="133"/>
      <c r="I30" s="134"/>
      <c r="J30" s="50"/>
      <c r="K30" s="29"/>
      <c r="L30" s="52"/>
      <c r="M30" s="18"/>
      <c r="N30" s="23"/>
      <c r="O30" s="23"/>
    </row>
    <row r="31" spans="2:20" x14ac:dyDescent="0.35">
      <c r="B31" s="129"/>
      <c r="C31" s="130"/>
      <c r="D31" s="100" t="s">
        <v>44</v>
      </c>
      <c r="E31" s="131"/>
      <c r="F31" s="132" t="s">
        <v>60</v>
      </c>
      <c r="G31" s="104"/>
      <c r="H31" s="141">
        <v>2752</v>
      </c>
      <c r="I31" s="142" t="s">
        <v>61</v>
      </c>
      <c r="J31" s="50">
        <v>7700.0000000000009</v>
      </c>
      <c r="K31" s="29">
        <f t="shared" ref="K31:K37" si="1">J31*H31</f>
        <v>21190400.000000004</v>
      </c>
      <c r="L31" s="52"/>
      <c r="M31" s="18"/>
      <c r="N31" s="23"/>
      <c r="O31" s="23"/>
    </row>
    <row r="32" spans="2:20" x14ac:dyDescent="0.35">
      <c r="B32" s="129"/>
      <c r="C32" s="130"/>
      <c r="D32" s="100" t="s">
        <v>47</v>
      </c>
      <c r="E32" s="131"/>
      <c r="F32" s="132" t="s">
        <v>62</v>
      </c>
      <c r="G32" s="104"/>
      <c r="H32" s="133">
        <v>2752</v>
      </c>
      <c r="I32" s="142" t="s">
        <v>61</v>
      </c>
      <c r="J32" s="50">
        <v>77000</v>
      </c>
      <c r="K32" s="29">
        <f t="shared" si="1"/>
        <v>211904000</v>
      </c>
      <c r="L32" s="52"/>
      <c r="M32" s="18"/>
      <c r="N32" s="23"/>
      <c r="O32" s="23"/>
    </row>
    <row r="33" spans="2:15" x14ac:dyDescent="0.35">
      <c r="B33" s="129"/>
      <c r="C33" s="130"/>
      <c r="D33" s="100" t="s">
        <v>49</v>
      </c>
      <c r="E33" s="131"/>
      <c r="F33" s="132" t="s">
        <v>63</v>
      </c>
      <c r="G33" s="104"/>
      <c r="H33" s="133">
        <v>1413</v>
      </c>
      <c r="I33" s="142" t="s">
        <v>61</v>
      </c>
      <c r="J33" s="50">
        <v>77000</v>
      </c>
      <c r="K33" s="29">
        <f t="shared" si="1"/>
        <v>108801000</v>
      </c>
      <c r="L33" s="52"/>
      <c r="M33" s="18"/>
      <c r="N33" s="23">
        <v>1</v>
      </c>
      <c r="O33" s="23" t="s">
        <v>10</v>
      </c>
    </row>
    <row r="34" spans="2:15" x14ac:dyDescent="0.35">
      <c r="B34" s="143"/>
      <c r="C34" s="137"/>
      <c r="D34" s="100" t="s">
        <v>51</v>
      </c>
      <c r="E34" s="131"/>
      <c r="F34" s="132" t="s">
        <v>64</v>
      </c>
      <c r="G34" s="104"/>
      <c r="H34" s="133">
        <v>2752</v>
      </c>
      <c r="I34" s="142" t="s">
        <v>61</v>
      </c>
      <c r="J34" s="50">
        <v>23100.000000000004</v>
      </c>
      <c r="K34" s="29">
        <f t="shared" si="1"/>
        <v>63571200.000000007</v>
      </c>
      <c r="L34" s="52"/>
      <c r="M34" s="18"/>
      <c r="N34" s="23"/>
      <c r="O34" s="23"/>
    </row>
    <row r="35" spans="2:15" x14ac:dyDescent="0.35">
      <c r="B35" s="136"/>
      <c r="C35" s="137"/>
      <c r="D35" s="100" t="s">
        <v>53</v>
      </c>
      <c r="E35" s="131"/>
      <c r="F35" s="132" t="s">
        <v>65</v>
      </c>
      <c r="G35" s="104"/>
      <c r="H35" s="133">
        <v>1413</v>
      </c>
      <c r="I35" s="142" t="s">
        <v>61</v>
      </c>
      <c r="J35" s="50">
        <v>15400.000000000002</v>
      </c>
      <c r="K35" s="29">
        <f t="shared" si="1"/>
        <v>21760200.000000004</v>
      </c>
      <c r="L35" s="52"/>
      <c r="M35" s="18"/>
      <c r="N35" s="23"/>
      <c r="O35" s="23"/>
    </row>
    <row r="36" spans="2:15" x14ac:dyDescent="0.35">
      <c r="B36" s="144"/>
      <c r="C36" s="100"/>
      <c r="D36" s="100" t="s">
        <v>55</v>
      </c>
      <c r="E36" s="131"/>
      <c r="F36" s="132" t="s">
        <v>66</v>
      </c>
      <c r="G36" s="104"/>
      <c r="H36" s="133">
        <v>55</v>
      </c>
      <c r="I36" s="142" t="s">
        <v>67</v>
      </c>
      <c r="J36" s="50">
        <v>150000</v>
      </c>
      <c r="K36" s="29">
        <f t="shared" si="1"/>
        <v>8250000</v>
      </c>
      <c r="L36" s="52"/>
      <c r="M36" s="18"/>
      <c r="N36" s="23">
        <v>2</v>
      </c>
      <c r="O36" s="23" t="s">
        <v>16</v>
      </c>
    </row>
    <row r="37" spans="2:15" x14ac:dyDescent="0.35">
      <c r="B37" s="144"/>
      <c r="C37" s="86"/>
      <c r="D37" s="100" t="s">
        <v>57</v>
      </c>
      <c r="E37" s="131"/>
      <c r="F37" s="132" t="s">
        <v>69</v>
      </c>
      <c r="G37" s="104"/>
      <c r="H37" s="133">
        <v>1</v>
      </c>
      <c r="I37" s="142" t="s">
        <v>46</v>
      </c>
      <c r="J37" s="50">
        <v>1500000</v>
      </c>
      <c r="K37" s="29">
        <f t="shared" si="1"/>
        <v>1500000</v>
      </c>
      <c r="L37" s="52"/>
      <c r="M37" s="18"/>
      <c r="N37" s="23">
        <v>4</v>
      </c>
      <c r="O37" s="23" t="s">
        <v>17</v>
      </c>
    </row>
    <row r="38" spans="2:15" x14ac:dyDescent="0.35">
      <c r="B38" s="145" t="s">
        <v>70</v>
      </c>
      <c r="C38" s="86"/>
      <c r="D38" s="146"/>
      <c r="E38" s="147" t="s">
        <v>74</v>
      </c>
      <c r="F38" s="140"/>
      <c r="G38" s="90"/>
      <c r="H38" s="133"/>
      <c r="I38" s="142"/>
      <c r="J38" s="50"/>
      <c r="K38" s="29"/>
      <c r="L38" s="52"/>
      <c r="M38" s="18"/>
      <c r="N38" s="23"/>
      <c r="O38" s="23"/>
    </row>
    <row r="39" spans="2:15" x14ac:dyDescent="0.35">
      <c r="B39" s="131"/>
      <c r="C39" s="100"/>
      <c r="D39" s="148" t="s">
        <v>44</v>
      </c>
      <c r="E39" s="132"/>
      <c r="F39" s="132" t="s">
        <v>506</v>
      </c>
      <c r="G39" s="104"/>
      <c r="H39" s="133">
        <v>30</v>
      </c>
      <c r="I39" s="134" t="s">
        <v>81</v>
      </c>
      <c r="J39" s="50">
        <v>250000</v>
      </c>
      <c r="K39" s="29">
        <f>J39*H39</f>
        <v>7500000</v>
      </c>
      <c r="L39" s="52"/>
      <c r="M39" s="18"/>
      <c r="N39" s="23"/>
      <c r="O39" s="23"/>
    </row>
    <row r="40" spans="2:15" x14ac:dyDescent="0.35">
      <c r="B40" s="131"/>
      <c r="C40" s="100"/>
      <c r="D40" s="148" t="s">
        <v>47</v>
      </c>
      <c r="E40" s="100"/>
      <c r="F40" s="132" t="s">
        <v>507</v>
      </c>
      <c r="G40" s="104"/>
      <c r="H40" s="133">
        <v>30</v>
      </c>
      <c r="I40" s="142" t="s">
        <v>81</v>
      </c>
      <c r="J40" s="50">
        <v>250000</v>
      </c>
      <c r="K40" s="29">
        <f>J40*H40</f>
        <v>7500000</v>
      </c>
      <c r="L40" s="52"/>
      <c r="M40" s="18"/>
      <c r="N40" s="23">
        <v>14</v>
      </c>
      <c r="O40" s="23" t="s">
        <v>18</v>
      </c>
    </row>
    <row r="41" spans="2:15" x14ac:dyDescent="0.35">
      <c r="B41" s="131"/>
      <c r="C41" s="100"/>
      <c r="D41" s="148" t="s">
        <v>49</v>
      </c>
      <c r="E41" s="100"/>
      <c r="F41" s="132" t="s">
        <v>508</v>
      </c>
      <c r="G41" s="104"/>
      <c r="H41" s="133">
        <v>30</v>
      </c>
      <c r="I41" s="142" t="s">
        <v>75</v>
      </c>
      <c r="J41" s="50">
        <v>300000</v>
      </c>
      <c r="K41" s="29">
        <f>J41*H41</f>
        <v>9000000</v>
      </c>
      <c r="L41" s="52"/>
      <c r="M41" s="18"/>
      <c r="N41" s="23">
        <v>15</v>
      </c>
      <c r="O41" s="23" t="s">
        <v>27</v>
      </c>
    </row>
    <row r="42" spans="2:15" x14ac:dyDescent="0.35">
      <c r="B42" s="131"/>
      <c r="C42" s="100"/>
      <c r="D42" s="149" t="s">
        <v>51</v>
      </c>
      <c r="E42" s="150"/>
      <c r="F42" s="151" t="s">
        <v>509</v>
      </c>
      <c r="G42" s="152"/>
      <c r="H42" s="153">
        <v>20</v>
      </c>
      <c r="I42" s="142" t="s">
        <v>75</v>
      </c>
      <c r="J42" s="50">
        <v>2000000</v>
      </c>
      <c r="K42" s="29">
        <f>J42*H42</f>
        <v>40000000</v>
      </c>
      <c r="L42" s="52"/>
      <c r="M42" s="18"/>
      <c r="N42" s="23"/>
      <c r="O42" s="23"/>
    </row>
    <row r="43" spans="2:15" x14ac:dyDescent="0.35">
      <c r="B43" s="154" t="s">
        <v>73</v>
      </c>
      <c r="C43" s="155"/>
      <c r="D43" s="156"/>
      <c r="E43" s="157" t="s">
        <v>76</v>
      </c>
      <c r="F43" s="151"/>
      <c r="G43" s="152"/>
      <c r="H43" s="158"/>
      <c r="I43" s="159"/>
      <c r="J43" s="50"/>
      <c r="K43" s="29"/>
      <c r="L43" s="52"/>
      <c r="M43" s="18"/>
      <c r="N43" s="23"/>
      <c r="O43" s="23"/>
    </row>
    <row r="44" spans="2:15" x14ac:dyDescent="0.35">
      <c r="B44" s="160"/>
      <c r="C44" s="161"/>
      <c r="D44" s="149" t="s">
        <v>44</v>
      </c>
      <c r="E44" s="150"/>
      <c r="F44" s="151" t="s">
        <v>77</v>
      </c>
      <c r="G44" s="152"/>
      <c r="H44" s="162">
        <v>1</v>
      </c>
      <c r="I44" s="159" t="s">
        <v>78</v>
      </c>
      <c r="J44" s="50">
        <v>2250000</v>
      </c>
      <c r="K44" s="29">
        <f>J44*H44</f>
        <v>2250000</v>
      </c>
      <c r="L44" s="52"/>
      <c r="M44" s="18"/>
      <c r="N44" s="23"/>
      <c r="O44" s="23"/>
    </row>
    <row r="45" spans="2:15" x14ac:dyDescent="0.35">
      <c r="B45" s="163"/>
      <c r="C45" s="164"/>
      <c r="D45" s="164"/>
      <c r="E45" s="165"/>
      <c r="F45" s="166"/>
      <c r="G45" s="167"/>
      <c r="H45" s="168"/>
      <c r="I45" s="169"/>
      <c r="J45" s="50"/>
      <c r="K45" s="29"/>
      <c r="L45" s="52"/>
      <c r="M45" s="18"/>
      <c r="N45" s="23"/>
      <c r="O45" s="23"/>
    </row>
    <row r="46" spans="2:15" x14ac:dyDescent="0.35">
      <c r="B46" s="170"/>
      <c r="C46" s="171"/>
      <c r="D46" s="172"/>
      <c r="E46" s="173"/>
      <c r="F46" s="174" t="s">
        <v>79</v>
      </c>
      <c r="G46" s="174"/>
      <c r="H46" s="175"/>
      <c r="I46" s="176"/>
      <c r="J46" s="50"/>
      <c r="K46" s="29"/>
      <c r="L46" s="52"/>
      <c r="M46" s="18"/>
      <c r="N46" s="23"/>
      <c r="O46" s="23"/>
    </row>
    <row r="47" spans="2:15" x14ac:dyDescent="0.35">
      <c r="B47" s="84" t="s">
        <v>43</v>
      </c>
      <c r="C47" s="85"/>
      <c r="D47" s="86"/>
      <c r="E47" s="87" t="s">
        <v>80</v>
      </c>
      <c r="F47" s="88"/>
      <c r="G47" s="88"/>
      <c r="H47" s="177"/>
      <c r="I47" s="178"/>
      <c r="J47" s="50"/>
      <c r="K47" s="29"/>
      <c r="L47" s="52"/>
      <c r="M47" s="18"/>
      <c r="N47" s="23"/>
      <c r="O47" s="23"/>
    </row>
    <row r="48" spans="2:15" x14ac:dyDescent="0.35">
      <c r="B48" s="98"/>
      <c r="C48" s="99"/>
      <c r="D48" s="100" t="s">
        <v>44</v>
      </c>
      <c r="E48" s="101"/>
      <c r="F48" s="102" t="s">
        <v>126</v>
      </c>
      <c r="G48" s="102"/>
      <c r="H48" s="179">
        <v>1</v>
      </c>
      <c r="I48" s="134" t="s">
        <v>46</v>
      </c>
      <c r="J48" s="50">
        <v>25000000</v>
      </c>
      <c r="K48" s="29">
        <f>J48*H48</f>
        <v>25000000</v>
      </c>
      <c r="L48" s="52"/>
      <c r="M48" s="18"/>
      <c r="N48" s="23"/>
      <c r="O48" s="23"/>
    </row>
    <row r="49" spans="2:15" x14ac:dyDescent="0.35">
      <c r="B49" s="98"/>
      <c r="C49" s="99"/>
      <c r="D49" s="100" t="s">
        <v>47</v>
      </c>
      <c r="E49" s="101"/>
      <c r="F49" s="102" t="s">
        <v>127</v>
      </c>
      <c r="G49" s="102"/>
      <c r="H49" s="179">
        <v>3</v>
      </c>
      <c r="I49" s="134" t="s">
        <v>81</v>
      </c>
      <c r="J49" s="50">
        <v>500000</v>
      </c>
      <c r="K49" s="29">
        <f>J49*H49</f>
        <v>1500000</v>
      </c>
      <c r="L49" s="52"/>
      <c r="M49" s="18"/>
      <c r="N49" s="23"/>
      <c r="O49" s="23"/>
    </row>
    <row r="50" spans="2:15" x14ac:dyDescent="0.35">
      <c r="B50" s="98"/>
      <c r="C50" s="99"/>
      <c r="D50" s="100"/>
      <c r="E50" s="101"/>
      <c r="F50" s="102" t="s">
        <v>85</v>
      </c>
      <c r="G50" s="102" t="s">
        <v>128</v>
      </c>
      <c r="H50" s="179">
        <v>19500</v>
      </c>
      <c r="I50" s="134" t="s">
        <v>109</v>
      </c>
      <c r="J50" s="50">
        <v>0</v>
      </c>
      <c r="K50" s="29"/>
      <c r="L50" s="52">
        <f>J50*H50</f>
        <v>0</v>
      </c>
      <c r="M50" s="18"/>
      <c r="N50" s="23"/>
      <c r="O50" s="23"/>
    </row>
    <row r="51" spans="2:15" x14ac:dyDescent="0.35">
      <c r="B51" s="98"/>
      <c r="C51" s="99"/>
      <c r="D51" s="100"/>
      <c r="E51" s="101"/>
      <c r="F51" s="102" t="s">
        <v>85</v>
      </c>
      <c r="G51" s="102" t="s">
        <v>129</v>
      </c>
      <c r="H51" s="179">
        <v>6</v>
      </c>
      <c r="I51" s="134" t="s">
        <v>81</v>
      </c>
      <c r="J51" s="50">
        <v>0</v>
      </c>
      <c r="K51" s="29"/>
      <c r="L51" s="52">
        <f>J51*H51</f>
        <v>0</v>
      </c>
      <c r="M51" s="18"/>
      <c r="N51" s="23"/>
      <c r="O51" s="23"/>
    </row>
    <row r="52" spans="2:15" s="281" customFormat="1" x14ac:dyDescent="0.35">
      <c r="B52" s="270" t="s">
        <v>59</v>
      </c>
      <c r="C52" s="271"/>
      <c r="D52" s="272"/>
      <c r="E52" s="273" t="s">
        <v>71</v>
      </c>
      <c r="F52" s="274"/>
      <c r="G52" s="274"/>
      <c r="H52" s="275"/>
      <c r="I52" s="276"/>
      <c r="J52" s="277"/>
      <c r="K52" s="278"/>
      <c r="L52" s="279"/>
      <c r="M52" s="53"/>
      <c r="N52" s="280"/>
      <c r="O52" s="280"/>
    </row>
    <row r="53" spans="2:15" x14ac:dyDescent="0.35">
      <c r="B53" s="180"/>
      <c r="C53" s="181" t="s">
        <v>82</v>
      </c>
      <c r="D53" s="182"/>
      <c r="E53" s="183"/>
      <c r="F53" s="184" t="s">
        <v>83</v>
      </c>
      <c r="G53" s="184"/>
      <c r="H53" s="185"/>
      <c r="I53" s="128"/>
      <c r="J53" s="50"/>
      <c r="K53" s="29"/>
      <c r="L53" s="52"/>
      <c r="M53" s="18"/>
      <c r="N53" s="23"/>
      <c r="O53" s="23"/>
    </row>
    <row r="54" spans="2:15" x14ac:dyDescent="0.35">
      <c r="B54" s="180"/>
      <c r="C54" s="181"/>
      <c r="D54" s="182" t="s">
        <v>44</v>
      </c>
      <c r="E54" s="183"/>
      <c r="F54" s="184" t="s">
        <v>84</v>
      </c>
      <c r="G54" s="184"/>
      <c r="H54" s="185"/>
      <c r="I54" s="128"/>
      <c r="J54" s="50"/>
      <c r="K54" s="29"/>
      <c r="L54" s="52"/>
      <c r="M54" s="18"/>
      <c r="N54" s="23"/>
      <c r="O54" s="23"/>
    </row>
    <row r="55" spans="2:15" x14ac:dyDescent="0.35">
      <c r="B55" s="98"/>
      <c r="C55" s="99"/>
      <c r="D55" s="100"/>
      <c r="E55" s="101"/>
      <c r="F55" s="102" t="s">
        <v>85</v>
      </c>
      <c r="G55" s="102" t="s">
        <v>130</v>
      </c>
      <c r="H55" s="186">
        <v>217.26287999999997</v>
      </c>
      <c r="I55" s="134" t="s">
        <v>72</v>
      </c>
      <c r="J55" s="50">
        <v>35000</v>
      </c>
      <c r="K55" s="29"/>
      <c r="L55" s="52">
        <f>J55*H55</f>
        <v>7604200.7999999989</v>
      </c>
      <c r="M55" s="18"/>
      <c r="N55" s="23"/>
      <c r="O55" s="23"/>
    </row>
    <row r="56" spans="2:15" x14ac:dyDescent="0.35">
      <c r="B56" s="98"/>
      <c r="C56" s="99"/>
      <c r="D56" s="100"/>
      <c r="E56" s="101"/>
      <c r="F56" s="102" t="s">
        <v>85</v>
      </c>
      <c r="G56" s="102" t="s">
        <v>131</v>
      </c>
      <c r="H56" s="186">
        <v>1051.5545999999999</v>
      </c>
      <c r="I56" s="134" t="s">
        <v>72</v>
      </c>
      <c r="J56" s="50">
        <v>35000</v>
      </c>
      <c r="K56" s="29"/>
      <c r="L56" s="52">
        <f t="shared" ref="L56:L70" si="2">J56*H56</f>
        <v>36804411</v>
      </c>
      <c r="M56" s="18"/>
      <c r="N56" s="23"/>
      <c r="O56" s="23"/>
    </row>
    <row r="57" spans="2:15" x14ac:dyDescent="0.35">
      <c r="B57" s="98"/>
      <c r="C57" s="99"/>
      <c r="D57" s="100"/>
      <c r="E57" s="101"/>
      <c r="F57" s="102" t="s">
        <v>85</v>
      </c>
      <c r="G57" s="102" t="s">
        <v>132</v>
      </c>
      <c r="H57" s="186">
        <v>880.60985999999991</v>
      </c>
      <c r="I57" s="134" t="s">
        <v>72</v>
      </c>
      <c r="J57" s="50">
        <v>35000</v>
      </c>
      <c r="K57" s="29"/>
      <c r="L57" s="52">
        <f t="shared" si="2"/>
        <v>30821345.099999998</v>
      </c>
      <c r="M57" s="18"/>
      <c r="N57" s="23"/>
      <c r="O57" s="23"/>
    </row>
    <row r="58" spans="2:15" x14ac:dyDescent="0.35">
      <c r="B58" s="98"/>
      <c r="C58" s="99"/>
      <c r="D58" s="100"/>
      <c r="E58" s="101"/>
      <c r="F58" s="102" t="s">
        <v>85</v>
      </c>
      <c r="G58" s="102" t="s">
        <v>133</v>
      </c>
      <c r="H58" s="186">
        <v>523.17737999999997</v>
      </c>
      <c r="I58" s="134" t="s">
        <v>72</v>
      </c>
      <c r="J58" s="50">
        <v>35000</v>
      </c>
      <c r="K58" s="29"/>
      <c r="L58" s="52">
        <f t="shared" si="2"/>
        <v>18311208.300000001</v>
      </c>
      <c r="M58" s="18"/>
      <c r="N58" s="23"/>
      <c r="O58" s="23"/>
    </row>
    <row r="59" spans="2:15" x14ac:dyDescent="0.35">
      <c r="B59" s="98"/>
      <c r="C59" s="99"/>
      <c r="D59" s="100"/>
      <c r="E59" s="101"/>
      <c r="F59" s="102" t="s">
        <v>85</v>
      </c>
      <c r="G59" s="102" t="s">
        <v>134</v>
      </c>
      <c r="H59" s="186">
        <v>523.17737999999997</v>
      </c>
      <c r="I59" s="134" t="s">
        <v>72</v>
      </c>
      <c r="J59" s="50">
        <v>35000</v>
      </c>
      <c r="K59" s="29"/>
      <c r="L59" s="52">
        <f t="shared" si="2"/>
        <v>18311208.300000001</v>
      </c>
      <c r="M59" s="18"/>
      <c r="N59" s="23"/>
      <c r="O59" s="23"/>
    </row>
    <row r="60" spans="2:15" x14ac:dyDescent="0.35">
      <c r="B60" s="98"/>
      <c r="C60" s="99"/>
      <c r="D60" s="100"/>
      <c r="E60" s="101"/>
      <c r="F60" s="102" t="s">
        <v>85</v>
      </c>
      <c r="G60" s="102" t="s">
        <v>135</v>
      </c>
      <c r="H60" s="186">
        <f>1.84*0.6*12*7.85*1.2</f>
        <v>124.79616</v>
      </c>
      <c r="I60" s="134" t="s">
        <v>72</v>
      </c>
      <c r="J60" s="50">
        <v>35000</v>
      </c>
      <c r="K60" s="29"/>
      <c r="L60" s="52">
        <f t="shared" si="2"/>
        <v>4367865.5999999996</v>
      </c>
      <c r="M60" s="18"/>
      <c r="N60" s="23"/>
      <c r="O60" s="23"/>
    </row>
    <row r="61" spans="2:15" x14ac:dyDescent="0.35">
      <c r="B61" s="98"/>
      <c r="C61" s="99"/>
      <c r="D61" s="100"/>
      <c r="E61" s="101"/>
      <c r="F61" s="102" t="s">
        <v>85</v>
      </c>
      <c r="G61" s="102" t="s">
        <v>136</v>
      </c>
      <c r="H61" s="186">
        <v>258.74855999999994</v>
      </c>
      <c r="I61" s="134" t="s">
        <v>72</v>
      </c>
      <c r="J61" s="50">
        <v>35000</v>
      </c>
      <c r="K61" s="29"/>
      <c r="L61" s="52">
        <f t="shared" si="2"/>
        <v>9056199.5999999978</v>
      </c>
      <c r="M61" s="18"/>
      <c r="N61" s="23"/>
      <c r="O61" s="23"/>
    </row>
    <row r="62" spans="2:15" x14ac:dyDescent="0.35">
      <c r="B62" s="98"/>
      <c r="C62" s="99"/>
      <c r="D62" s="100"/>
      <c r="E62" s="101"/>
      <c r="F62" s="102" t="s">
        <v>85</v>
      </c>
      <c r="G62" s="102" t="s">
        <v>137</v>
      </c>
      <c r="H62" s="186">
        <v>689.54399999999998</v>
      </c>
      <c r="I62" s="134" t="s">
        <v>72</v>
      </c>
      <c r="J62" s="50">
        <v>35000</v>
      </c>
      <c r="K62" s="29"/>
      <c r="L62" s="52">
        <f t="shared" si="2"/>
        <v>24134040</v>
      </c>
      <c r="M62" s="18"/>
      <c r="N62" s="23"/>
      <c r="O62" s="23"/>
    </row>
    <row r="63" spans="2:15" x14ac:dyDescent="0.35">
      <c r="B63" s="98"/>
      <c r="C63" s="99"/>
      <c r="D63" s="100"/>
      <c r="E63" s="101"/>
      <c r="F63" s="102" t="s">
        <v>85</v>
      </c>
      <c r="G63" s="102" t="s">
        <v>138</v>
      </c>
      <c r="H63" s="186">
        <v>147.76211999999998</v>
      </c>
      <c r="I63" s="134" t="s">
        <v>72</v>
      </c>
      <c r="J63" s="50">
        <v>35000</v>
      </c>
      <c r="K63" s="29"/>
      <c r="L63" s="52">
        <f t="shared" si="2"/>
        <v>5171674.1999999993</v>
      </c>
      <c r="M63" s="18"/>
      <c r="N63" s="23"/>
      <c r="O63" s="23"/>
    </row>
    <row r="64" spans="2:15" x14ac:dyDescent="0.35">
      <c r="B64" s="98"/>
      <c r="C64" s="99"/>
      <c r="D64" s="100"/>
      <c r="E64" s="101"/>
      <c r="F64" s="102" t="s">
        <v>85</v>
      </c>
      <c r="G64" s="102" t="s">
        <v>139</v>
      </c>
      <c r="H64" s="186">
        <v>624.03731999999991</v>
      </c>
      <c r="I64" s="134" t="s">
        <v>72</v>
      </c>
      <c r="J64" s="50">
        <v>35000</v>
      </c>
      <c r="K64" s="29"/>
      <c r="L64" s="52">
        <f t="shared" si="2"/>
        <v>21841306.199999996</v>
      </c>
      <c r="M64" s="18"/>
      <c r="N64" s="23"/>
      <c r="O64" s="23"/>
    </row>
    <row r="65" spans="2:23" x14ac:dyDescent="0.35">
      <c r="B65" s="98"/>
      <c r="C65" s="99"/>
      <c r="D65" s="100"/>
      <c r="E65" s="101"/>
      <c r="F65" s="102" t="s">
        <v>85</v>
      </c>
      <c r="G65" s="102" t="s">
        <v>140</v>
      </c>
      <c r="H65" s="186">
        <v>131.87999999999997</v>
      </c>
      <c r="I65" s="134" t="s">
        <v>72</v>
      </c>
      <c r="J65" s="50">
        <v>35000</v>
      </c>
      <c r="K65" s="29"/>
      <c r="L65" s="52">
        <f t="shared" si="2"/>
        <v>4615799.9999999991</v>
      </c>
      <c r="M65" s="18"/>
      <c r="N65" s="23"/>
      <c r="O65" s="23"/>
    </row>
    <row r="66" spans="2:23" x14ac:dyDescent="0.35">
      <c r="B66" s="98"/>
      <c r="C66" s="99"/>
      <c r="D66" s="100"/>
      <c r="E66" s="101"/>
      <c r="F66" s="102" t="s">
        <v>85</v>
      </c>
      <c r="G66" s="102" t="s">
        <v>141</v>
      </c>
      <c r="H66" s="186">
        <v>116.06381999999999</v>
      </c>
      <c r="I66" s="134" t="s">
        <v>72</v>
      </c>
      <c r="J66" s="50">
        <v>35000</v>
      </c>
      <c r="K66" s="29"/>
      <c r="L66" s="52">
        <f t="shared" si="2"/>
        <v>4062233.6999999997</v>
      </c>
      <c r="M66" s="18"/>
      <c r="N66" s="23"/>
      <c r="O66" s="23"/>
    </row>
    <row r="67" spans="2:23" x14ac:dyDescent="0.35">
      <c r="B67" s="98"/>
      <c r="C67" s="99"/>
      <c r="D67" s="100"/>
      <c r="E67" s="101"/>
      <c r="F67" s="102" t="s">
        <v>85</v>
      </c>
      <c r="G67" s="102" t="s">
        <v>142</v>
      </c>
      <c r="H67" s="186">
        <v>369.45239999999995</v>
      </c>
      <c r="I67" s="134" t="s">
        <v>72</v>
      </c>
      <c r="J67" s="50">
        <v>35000</v>
      </c>
      <c r="K67" s="29"/>
      <c r="L67" s="52">
        <f t="shared" si="2"/>
        <v>12930833.999999998</v>
      </c>
      <c r="M67" s="18"/>
      <c r="N67" s="23"/>
      <c r="O67" s="23"/>
    </row>
    <row r="68" spans="2:23" x14ac:dyDescent="0.35">
      <c r="B68" s="98"/>
      <c r="C68" s="99"/>
      <c r="D68" s="100"/>
      <c r="E68" s="101"/>
      <c r="F68" s="102" t="s">
        <v>85</v>
      </c>
      <c r="G68" s="102" t="s">
        <v>143</v>
      </c>
      <c r="H68" s="186">
        <v>262.45061999999996</v>
      </c>
      <c r="I68" s="134" t="s">
        <v>72</v>
      </c>
      <c r="J68" s="50">
        <v>35000</v>
      </c>
      <c r="K68" s="29"/>
      <c r="L68" s="52">
        <f t="shared" si="2"/>
        <v>9185771.6999999993</v>
      </c>
      <c r="M68" s="18"/>
      <c r="N68" s="23"/>
      <c r="O68" s="23"/>
    </row>
    <row r="69" spans="2:23" x14ac:dyDescent="0.35">
      <c r="B69" s="98"/>
      <c r="C69" s="99"/>
      <c r="D69" s="100"/>
      <c r="E69" s="101"/>
      <c r="F69" s="102" t="s">
        <v>85</v>
      </c>
      <c r="G69" s="102" t="s">
        <v>144</v>
      </c>
      <c r="H69" s="186">
        <v>62.633579999999988</v>
      </c>
      <c r="I69" s="134" t="s">
        <v>72</v>
      </c>
      <c r="J69" s="50">
        <v>35000</v>
      </c>
      <c r="K69" s="29"/>
      <c r="L69" s="52">
        <f t="shared" si="2"/>
        <v>2192175.2999999993</v>
      </c>
      <c r="M69" s="18"/>
      <c r="N69" s="23"/>
      <c r="O69" s="23"/>
    </row>
    <row r="70" spans="2:23" x14ac:dyDescent="0.35">
      <c r="B70" s="98"/>
      <c r="C70" s="99"/>
      <c r="D70" s="100"/>
      <c r="E70" s="101"/>
      <c r="F70" s="102" t="s">
        <v>85</v>
      </c>
      <c r="G70" s="102" t="s">
        <v>145</v>
      </c>
      <c r="H70" s="186">
        <v>78.421499999999995</v>
      </c>
      <c r="I70" s="134" t="s">
        <v>72</v>
      </c>
      <c r="J70" s="50">
        <v>35000</v>
      </c>
      <c r="K70" s="29"/>
      <c r="L70" s="52">
        <f t="shared" si="2"/>
        <v>2744752.5</v>
      </c>
      <c r="M70" s="18"/>
      <c r="N70" s="23"/>
      <c r="O70" s="23"/>
    </row>
    <row r="71" spans="2:23" x14ac:dyDescent="0.35">
      <c r="B71" s="98"/>
      <c r="C71" s="99"/>
      <c r="D71" s="100"/>
      <c r="E71" s="101"/>
      <c r="F71" s="102"/>
      <c r="G71" s="106"/>
      <c r="H71" s="188"/>
      <c r="I71" s="134"/>
      <c r="J71" s="50"/>
      <c r="K71" s="29"/>
      <c r="L71" s="52"/>
      <c r="M71" s="18"/>
      <c r="N71" s="23"/>
      <c r="O71" s="23"/>
    </row>
    <row r="72" spans="2:23" x14ac:dyDescent="0.35">
      <c r="B72" s="47"/>
      <c r="C72" s="48"/>
      <c r="D72" s="24"/>
      <c r="G72" s="22"/>
      <c r="I72" s="22"/>
      <c r="J72" s="50"/>
      <c r="K72" s="29"/>
      <c r="L72" s="52"/>
      <c r="M72" s="18"/>
      <c r="N72" s="23"/>
      <c r="O72" s="23"/>
    </row>
    <row r="73" spans="2:23" x14ac:dyDescent="0.35">
      <c r="B73" s="8"/>
      <c r="C73" s="9"/>
      <c r="D73" s="10"/>
      <c r="E73" s="4"/>
      <c r="F73" s="4"/>
      <c r="G73" s="4"/>
      <c r="H73" s="1"/>
      <c r="I73" s="1"/>
      <c r="J73" s="11" t="s">
        <v>8</v>
      </c>
      <c r="K73" s="7">
        <f>SUM(K20:K72)</f>
        <v>722226800</v>
      </c>
      <c r="L73" s="7">
        <f>SUM(L20:L72)</f>
        <v>212155026.29999995</v>
      </c>
      <c r="M73" s="14">
        <f>K73+L73</f>
        <v>934381826.29999995</v>
      </c>
      <c r="N73" s="15"/>
      <c r="O73" s="34"/>
      <c r="P73" s="34"/>
      <c r="Q73" s="34"/>
      <c r="R73" s="34"/>
      <c r="S73">
        <v>102.15</v>
      </c>
      <c r="T73" s="34" t="s">
        <v>19</v>
      </c>
      <c r="U73" s="34"/>
      <c r="V73" s="34"/>
      <c r="W73" s="16"/>
    </row>
    <row r="74" spans="2:23" x14ac:dyDescent="0.35">
      <c r="B74" s="8"/>
      <c r="C74" s="9"/>
      <c r="D74" s="9"/>
      <c r="E74" s="4"/>
      <c r="F74" s="4"/>
      <c r="G74" s="4"/>
      <c r="H74" s="1"/>
      <c r="I74" s="1"/>
      <c r="J74" s="11"/>
      <c r="K74" s="35" t="s">
        <v>22</v>
      </c>
      <c r="L74" s="36" t="s">
        <v>23</v>
      </c>
      <c r="M74" s="14"/>
      <c r="N74" s="15"/>
      <c r="O74" s="34"/>
      <c r="P74" s="34"/>
      <c r="Q74" s="34"/>
      <c r="R74" s="34"/>
      <c r="T74" s="34"/>
      <c r="U74" s="34"/>
      <c r="V74" s="34"/>
      <c r="W74" s="16"/>
    </row>
    <row r="75" spans="2:23" x14ac:dyDescent="0.35">
      <c r="B75" s="3" t="s">
        <v>9</v>
      </c>
      <c r="C75" s="4"/>
      <c r="D75" s="4"/>
      <c r="E75" s="4"/>
      <c r="F75" s="4"/>
      <c r="G75" s="4"/>
      <c r="H75" s="1"/>
      <c r="I75" s="1"/>
      <c r="J75" s="12"/>
      <c r="K75" s="12"/>
      <c r="L75" s="13"/>
      <c r="N75" s="15"/>
      <c r="O75" s="34"/>
      <c r="P75" s="34"/>
      <c r="Q75" s="34"/>
      <c r="R75" s="34"/>
      <c r="S75">
        <v>26.04</v>
      </c>
      <c r="T75" s="34" t="s">
        <v>20</v>
      </c>
      <c r="U75" s="34"/>
      <c r="V75" s="34"/>
      <c r="W75" s="16"/>
    </row>
    <row r="76" spans="2:23" x14ac:dyDescent="0.35">
      <c r="B76" s="37"/>
      <c r="C76" s="1"/>
      <c r="D76" s="1"/>
      <c r="E76" s="38"/>
      <c r="F76" s="38"/>
      <c r="G76" s="38"/>
      <c r="H76" s="1"/>
      <c r="I76" s="1"/>
      <c r="J76" s="1"/>
      <c r="K76" s="1"/>
      <c r="L76" s="19"/>
    </row>
    <row r="77" spans="2:23" x14ac:dyDescent="0.35">
      <c r="B77" s="28" t="s">
        <v>6</v>
      </c>
      <c r="C77" s="27"/>
      <c r="D77" s="27"/>
      <c r="E77" s="26"/>
      <c r="F77" s="26"/>
      <c r="G77" s="5"/>
      <c r="K77" s="321" t="s">
        <v>514</v>
      </c>
      <c r="L77" s="322"/>
    </row>
    <row r="78" spans="2:23" x14ac:dyDescent="0.35">
      <c r="B78" s="28">
        <v>1</v>
      </c>
      <c r="C78" s="27"/>
      <c r="D78" s="27"/>
      <c r="E78" s="26" t="s">
        <v>7</v>
      </c>
      <c r="F78" s="26"/>
      <c r="G78" s="5"/>
      <c r="K78" s="321" t="s">
        <v>28</v>
      </c>
      <c r="L78" s="322"/>
    </row>
    <row r="79" spans="2:23" x14ac:dyDescent="0.35">
      <c r="B79" s="39"/>
      <c r="C79" s="27"/>
      <c r="D79" s="27"/>
      <c r="E79" s="26"/>
      <c r="F79" s="26"/>
      <c r="G79" s="5"/>
      <c r="J79" s="25"/>
      <c r="K79" s="25"/>
      <c r="L79" s="24"/>
    </row>
    <row r="80" spans="2:23" x14ac:dyDescent="0.35">
      <c r="B80" s="28"/>
      <c r="C80" s="27"/>
      <c r="D80" s="27"/>
      <c r="E80" s="26"/>
      <c r="F80" s="26"/>
      <c r="G80" s="5"/>
      <c r="L80" s="22"/>
    </row>
    <row r="81" spans="2:13" x14ac:dyDescent="0.35">
      <c r="B81" s="45"/>
      <c r="E81" s="5"/>
      <c r="F81" s="5"/>
      <c r="G81" s="5"/>
      <c r="L81" s="22"/>
    </row>
    <row r="82" spans="2:13" x14ac:dyDescent="0.35">
      <c r="B82" s="45"/>
      <c r="E82" s="5"/>
      <c r="F82" s="5"/>
      <c r="G82" s="5"/>
      <c r="L82" s="22"/>
    </row>
    <row r="83" spans="2:13" x14ac:dyDescent="0.35">
      <c r="B83" s="45"/>
      <c r="E83" s="5"/>
      <c r="F83" s="5"/>
      <c r="G83" s="5"/>
      <c r="L83" s="22"/>
    </row>
    <row r="84" spans="2:13" x14ac:dyDescent="0.35">
      <c r="B84" s="45"/>
      <c r="E84" s="5"/>
      <c r="F84" s="5"/>
      <c r="G84" s="5"/>
      <c r="J84" s="40"/>
      <c r="K84" s="323" t="s">
        <v>36</v>
      </c>
      <c r="L84" s="324"/>
      <c r="M84" s="40"/>
    </row>
    <row r="85" spans="2:13" x14ac:dyDescent="0.35">
      <c r="B85" s="45"/>
      <c r="K85" s="325" t="s">
        <v>37</v>
      </c>
      <c r="L85" s="326"/>
      <c r="M85" s="42"/>
    </row>
    <row r="86" spans="2:13" x14ac:dyDescent="0.35">
      <c r="B86" s="318"/>
      <c r="C86" s="319"/>
      <c r="D86" s="319"/>
      <c r="E86" s="41"/>
      <c r="F86" s="41"/>
      <c r="G86" s="41"/>
      <c r="H86" s="2"/>
      <c r="I86" s="2"/>
      <c r="J86" s="2"/>
      <c r="K86" s="2"/>
      <c r="L86" s="21"/>
    </row>
    <row r="87" spans="2:13" x14ac:dyDescent="0.35">
      <c r="B87" s="47"/>
      <c r="C87" s="48"/>
      <c r="D87" s="49"/>
      <c r="G87" s="22"/>
      <c r="H87" s="1"/>
      <c r="I87" s="1"/>
      <c r="J87" s="43"/>
      <c r="K87" s="30"/>
      <c r="L87" s="44"/>
    </row>
    <row r="88" spans="2:13" x14ac:dyDescent="0.35">
      <c r="B88" s="98"/>
      <c r="C88" s="99"/>
      <c r="D88" s="100"/>
      <c r="E88" s="101"/>
      <c r="F88" s="102" t="s">
        <v>85</v>
      </c>
      <c r="G88" s="102" t="s">
        <v>146</v>
      </c>
      <c r="H88" s="186">
        <v>133.83936</v>
      </c>
      <c r="I88" s="134" t="s">
        <v>72</v>
      </c>
      <c r="J88" s="50">
        <v>35000</v>
      </c>
      <c r="K88" s="29"/>
      <c r="L88" s="52">
        <f t="shared" ref="L88:L137" si="3">J88*H88</f>
        <v>4684377.5999999996</v>
      </c>
    </row>
    <row r="89" spans="2:13" x14ac:dyDescent="0.35">
      <c r="B89" s="98"/>
      <c r="C89" s="99"/>
      <c r="D89" s="100"/>
      <c r="E89" s="101"/>
      <c r="F89" s="102" t="s">
        <v>85</v>
      </c>
      <c r="G89" s="102" t="s">
        <v>147</v>
      </c>
      <c r="H89" s="186">
        <v>194.12735999999998</v>
      </c>
      <c r="I89" s="134" t="s">
        <v>72</v>
      </c>
      <c r="J89" s="50">
        <v>35000</v>
      </c>
      <c r="K89" s="29"/>
      <c r="L89" s="52">
        <f t="shared" si="3"/>
        <v>6794457.5999999996</v>
      </c>
    </row>
    <row r="90" spans="2:13" x14ac:dyDescent="0.35">
      <c r="B90" s="98"/>
      <c r="C90" s="99"/>
      <c r="D90" s="100"/>
      <c r="E90" s="101"/>
      <c r="F90" s="102" t="s">
        <v>85</v>
      </c>
      <c r="G90" s="102" t="s">
        <v>148</v>
      </c>
      <c r="H90" s="186">
        <v>176.79455999999999</v>
      </c>
      <c r="I90" s="134" t="s">
        <v>72</v>
      </c>
      <c r="J90" s="50">
        <v>35000</v>
      </c>
      <c r="K90" s="29"/>
      <c r="L90" s="52">
        <f t="shared" si="3"/>
        <v>6187809.5999999996</v>
      </c>
    </row>
    <row r="91" spans="2:13" x14ac:dyDescent="0.35">
      <c r="B91" s="98"/>
      <c r="C91" s="99"/>
      <c r="D91" s="100"/>
      <c r="E91" s="101"/>
      <c r="F91" s="102" t="s">
        <v>85</v>
      </c>
      <c r="G91" s="102" t="s">
        <v>149</v>
      </c>
      <c r="H91" s="186">
        <v>112.39001999999998</v>
      </c>
      <c r="I91" s="134" t="s">
        <v>72</v>
      </c>
      <c r="J91" s="50">
        <v>35000</v>
      </c>
      <c r="K91" s="29"/>
      <c r="L91" s="52">
        <f t="shared" si="3"/>
        <v>3933650.6999999993</v>
      </c>
    </row>
    <row r="92" spans="2:13" x14ac:dyDescent="0.35">
      <c r="B92" s="98"/>
      <c r="C92" s="99"/>
      <c r="D92" s="100"/>
      <c r="E92" s="101"/>
      <c r="F92" s="102" t="s">
        <v>85</v>
      </c>
      <c r="G92" s="102" t="s">
        <v>150</v>
      </c>
      <c r="H92" s="186">
        <v>665.20272</v>
      </c>
      <c r="I92" s="134" t="s">
        <v>72</v>
      </c>
      <c r="J92" s="50">
        <v>35000</v>
      </c>
      <c r="K92" s="29"/>
      <c r="L92" s="52">
        <f t="shared" si="3"/>
        <v>23282095.199999999</v>
      </c>
    </row>
    <row r="93" spans="2:13" x14ac:dyDescent="0.35">
      <c r="B93" s="98"/>
      <c r="C93" s="99"/>
      <c r="D93" s="100"/>
      <c r="E93" s="101"/>
      <c r="F93" s="102" t="s">
        <v>85</v>
      </c>
      <c r="G93" s="102" t="s">
        <v>151</v>
      </c>
      <c r="H93" s="186">
        <v>1047.5228399999999</v>
      </c>
      <c r="I93" s="134" t="s">
        <v>72</v>
      </c>
      <c r="J93" s="50">
        <v>35000</v>
      </c>
      <c r="K93" s="29"/>
      <c r="L93" s="52">
        <f t="shared" si="3"/>
        <v>36663299.399999999</v>
      </c>
    </row>
    <row r="94" spans="2:13" x14ac:dyDescent="0.35">
      <c r="B94" s="98"/>
      <c r="C94" s="99"/>
      <c r="D94" s="100"/>
      <c r="E94" s="101"/>
      <c r="F94" s="102" t="s">
        <v>85</v>
      </c>
      <c r="G94" s="102" t="s">
        <v>152</v>
      </c>
      <c r="H94" s="186">
        <v>1053.27846</v>
      </c>
      <c r="I94" s="134" t="s">
        <v>72</v>
      </c>
      <c r="J94" s="50">
        <v>35000</v>
      </c>
      <c r="K94" s="29"/>
      <c r="L94" s="52">
        <f t="shared" si="3"/>
        <v>36864746.100000001</v>
      </c>
    </row>
    <row r="95" spans="2:13" x14ac:dyDescent="0.35">
      <c r="B95" s="98"/>
      <c r="C95" s="99"/>
      <c r="D95" s="100"/>
      <c r="E95" s="101"/>
      <c r="F95" s="102" t="s">
        <v>85</v>
      </c>
      <c r="G95" s="102" t="s">
        <v>153</v>
      </c>
      <c r="H95" s="186">
        <v>182.67263999999997</v>
      </c>
      <c r="I95" s="134" t="s">
        <v>72</v>
      </c>
      <c r="J95" s="50">
        <v>35000</v>
      </c>
      <c r="K95" s="29"/>
      <c r="L95" s="52">
        <f t="shared" si="3"/>
        <v>6393542.3999999994</v>
      </c>
    </row>
    <row r="96" spans="2:13" x14ac:dyDescent="0.35">
      <c r="B96" s="98"/>
      <c r="C96" s="99"/>
      <c r="D96" s="100"/>
      <c r="E96" s="101"/>
      <c r="F96" s="102" t="s">
        <v>85</v>
      </c>
      <c r="G96" s="102" t="s">
        <v>154</v>
      </c>
      <c r="H96" s="186">
        <v>346.31687999999997</v>
      </c>
      <c r="I96" s="134" t="s">
        <v>72</v>
      </c>
      <c r="J96" s="50">
        <v>35000</v>
      </c>
      <c r="K96" s="29"/>
      <c r="L96" s="52">
        <f t="shared" si="3"/>
        <v>12121090.799999999</v>
      </c>
    </row>
    <row r="97" spans="2:12" x14ac:dyDescent="0.35">
      <c r="B97" s="98"/>
      <c r="C97" s="99"/>
      <c r="D97" s="100"/>
      <c r="E97" s="101"/>
      <c r="F97" s="102" t="s">
        <v>85</v>
      </c>
      <c r="G97" s="102" t="s">
        <v>155</v>
      </c>
      <c r="H97" s="186">
        <v>344.41403999999994</v>
      </c>
      <c r="I97" s="134" t="s">
        <v>72</v>
      </c>
      <c r="J97" s="50">
        <v>35000</v>
      </c>
      <c r="K97" s="29"/>
      <c r="L97" s="52">
        <f t="shared" si="3"/>
        <v>12054491.399999999</v>
      </c>
    </row>
    <row r="98" spans="2:12" x14ac:dyDescent="0.35">
      <c r="B98" s="98"/>
      <c r="C98" s="99"/>
      <c r="D98" s="100"/>
      <c r="E98" s="101"/>
      <c r="F98" s="102" t="s">
        <v>85</v>
      </c>
      <c r="G98" s="102" t="s">
        <v>156</v>
      </c>
      <c r="H98" s="186">
        <v>348.21972</v>
      </c>
      <c r="I98" s="134" t="s">
        <v>72</v>
      </c>
      <c r="J98" s="50">
        <v>35000</v>
      </c>
      <c r="K98" s="29"/>
      <c r="L98" s="52">
        <f t="shared" si="3"/>
        <v>12187690.199999999</v>
      </c>
    </row>
    <row r="99" spans="2:12" x14ac:dyDescent="0.35">
      <c r="B99" s="98"/>
      <c r="C99" s="99"/>
      <c r="D99" s="100"/>
      <c r="E99" s="101"/>
      <c r="F99" s="102" t="s">
        <v>85</v>
      </c>
      <c r="G99" s="102" t="s">
        <v>157</v>
      </c>
      <c r="H99" s="186">
        <f>5.88*1.82*12*7.85*1.2</f>
        <v>1209.7088640000002</v>
      </c>
      <c r="I99" s="134" t="s">
        <v>72</v>
      </c>
      <c r="J99" s="50">
        <v>35000</v>
      </c>
      <c r="K99" s="29"/>
      <c r="L99" s="52">
        <f t="shared" si="3"/>
        <v>42339810.24000001</v>
      </c>
    </row>
    <row r="100" spans="2:12" x14ac:dyDescent="0.35">
      <c r="B100" s="98"/>
      <c r="C100" s="99"/>
      <c r="D100" s="100"/>
      <c r="E100" s="101"/>
      <c r="F100" s="102" t="s">
        <v>85</v>
      </c>
      <c r="G100" s="102" t="s">
        <v>158</v>
      </c>
      <c r="H100" s="186">
        <f>5.88*1.84*12*7.85*1.2</f>
        <v>1223.0023679999999</v>
      </c>
      <c r="I100" s="134" t="s">
        <v>72</v>
      </c>
      <c r="J100" s="50">
        <v>35000</v>
      </c>
      <c r="K100" s="29"/>
      <c r="L100" s="52">
        <f t="shared" si="3"/>
        <v>42805082.879999995</v>
      </c>
    </row>
    <row r="101" spans="2:12" x14ac:dyDescent="0.35">
      <c r="B101" s="98"/>
      <c r="C101" s="99"/>
      <c r="D101" s="100"/>
      <c r="E101" s="101"/>
      <c r="F101" s="102" t="s">
        <v>85</v>
      </c>
      <c r="G101" s="102" t="s">
        <v>159</v>
      </c>
      <c r="H101" s="186">
        <f>5.88*1.83*12*7.85*1.2</f>
        <v>1216.3556159999998</v>
      </c>
      <c r="I101" s="134" t="s">
        <v>72</v>
      </c>
      <c r="J101" s="50">
        <v>35000</v>
      </c>
      <c r="K101" s="29"/>
      <c r="L101" s="52">
        <f t="shared" si="3"/>
        <v>42572446.559999995</v>
      </c>
    </row>
    <row r="102" spans="2:12" x14ac:dyDescent="0.35">
      <c r="B102" s="98"/>
      <c r="C102" s="99"/>
      <c r="D102" s="100"/>
      <c r="E102" s="101"/>
      <c r="F102" s="102" t="s">
        <v>85</v>
      </c>
      <c r="G102" s="102" t="s">
        <v>160</v>
      </c>
      <c r="H102" s="186">
        <f>5.88*1.83*12*7.85*1.2</f>
        <v>1216.3556159999998</v>
      </c>
      <c r="I102" s="134" t="s">
        <v>72</v>
      </c>
      <c r="J102" s="50">
        <v>35000</v>
      </c>
      <c r="K102" s="29"/>
      <c r="L102" s="52">
        <f t="shared" si="3"/>
        <v>42572446.559999995</v>
      </c>
    </row>
    <row r="103" spans="2:12" x14ac:dyDescent="0.35">
      <c r="B103" s="98"/>
      <c r="C103" s="99"/>
      <c r="D103" s="100"/>
      <c r="E103" s="101"/>
      <c r="F103" s="102" t="s">
        <v>85</v>
      </c>
      <c r="G103" s="102" t="s">
        <v>161</v>
      </c>
      <c r="H103" s="187">
        <f>5.85*1.83*12*7.85*1.2</f>
        <v>1210.1497199999997</v>
      </c>
      <c r="I103" s="104" t="s">
        <v>72</v>
      </c>
      <c r="J103" s="50">
        <v>35000</v>
      </c>
      <c r="K103" s="29"/>
      <c r="L103" s="52">
        <f t="shared" si="3"/>
        <v>42355240.199999988</v>
      </c>
    </row>
    <row r="104" spans="2:12" x14ac:dyDescent="0.35">
      <c r="B104" s="98"/>
      <c r="C104" s="99"/>
      <c r="D104" s="100"/>
      <c r="E104" s="101"/>
      <c r="F104" s="102" t="s">
        <v>85</v>
      </c>
      <c r="G104" s="102" t="s">
        <v>162</v>
      </c>
      <c r="H104" s="186">
        <v>157.93571999999998</v>
      </c>
      <c r="I104" s="134" t="s">
        <v>72</v>
      </c>
      <c r="J104" s="50">
        <v>35000</v>
      </c>
      <c r="K104" s="29"/>
      <c r="L104" s="52">
        <f t="shared" si="3"/>
        <v>5527750.1999999993</v>
      </c>
    </row>
    <row r="105" spans="2:12" x14ac:dyDescent="0.35">
      <c r="B105" s="98"/>
      <c r="C105" s="99"/>
      <c r="D105" s="100"/>
      <c r="E105" s="101"/>
      <c r="F105" s="102" t="s">
        <v>85</v>
      </c>
      <c r="G105" s="102" t="s">
        <v>163</v>
      </c>
      <c r="H105" s="187">
        <v>879.16859999999986</v>
      </c>
      <c r="I105" s="104" t="s">
        <v>72</v>
      </c>
      <c r="J105" s="50">
        <v>35000</v>
      </c>
      <c r="K105" s="29"/>
      <c r="L105" s="52">
        <f t="shared" si="3"/>
        <v>30770900.999999996</v>
      </c>
    </row>
    <row r="106" spans="2:12" x14ac:dyDescent="0.35">
      <c r="B106" s="98"/>
      <c r="C106" s="99"/>
      <c r="D106" s="100"/>
      <c r="E106" s="101"/>
      <c r="F106" s="102" t="s">
        <v>85</v>
      </c>
      <c r="G106" s="102" t="s">
        <v>164</v>
      </c>
      <c r="H106" s="187">
        <v>879.16859999999986</v>
      </c>
      <c r="I106" s="104" t="s">
        <v>72</v>
      </c>
      <c r="J106" s="50">
        <v>35000</v>
      </c>
      <c r="K106" s="29"/>
      <c r="L106" s="52">
        <f t="shared" si="3"/>
        <v>30770900.999999996</v>
      </c>
    </row>
    <row r="107" spans="2:12" x14ac:dyDescent="0.35">
      <c r="B107" s="98"/>
      <c r="C107" s="99"/>
      <c r="D107" s="100"/>
      <c r="E107" s="101"/>
      <c r="F107" s="102" t="s">
        <v>85</v>
      </c>
      <c r="G107" s="102" t="s">
        <v>165</v>
      </c>
      <c r="H107" s="187">
        <f>6.11*1.83*12*7.85*1.2</f>
        <v>1263.934152</v>
      </c>
      <c r="I107" s="104" t="s">
        <v>72</v>
      </c>
      <c r="J107" s="50">
        <v>35000</v>
      </c>
      <c r="K107" s="29"/>
      <c r="L107" s="52">
        <f t="shared" si="3"/>
        <v>44237695.32</v>
      </c>
    </row>
    <row r="108" spans="2:12" x14ac:dyDescent="0.35">
      <c r="B108" s="98"/>
      <c r="C108" s="99"/>
      <c r="D108" s="100"/>
      <c r="E108" s="101"/>
      <c r="F108" s="102" t="s">
        <v>85</v>
      </c>
      <c r="G108" s="102" t="s">
        <v>166</v>
      </c>
      <c r="H108" s="187">
        <v>151.69967999999997</v>
      </c>
      <c r="I108" s="104" t="s">
        <v>72</v>
      </c>
      <c r="J108" s="50">
        <v>35000</v>
      </c>
      <c r="K108" s="29"/>
      <c r="L108" s="52">
        <f t="shared" si="3"/>
        <v>5309488.7999999989</v>
      </c>
    </row>
    <row r="109" spans="2:12" x14ac:dyDescent="0.35">
      <c r="B109" s="98"/>
      <c r="C109" s="99"/>
      <c r="D109" s="100"/>
      <c r="E109" s="101"/>
      <c r="F109" s="102" t="s">
        <v>85</v>
      </c>
      <c r="G109" s="102" t="s">
        <v>167</v>
      </c>
      <c r="H109" s="187">
        <v>346.18499999999995</v>
      </c>
      <c r="I109" s="104" t="s">
        <v>72</v>
      </c>
      <c r="J109" s="50">
        <v>35000</v>
      </c>
      <c r="K109" s="29"/>
      <c r="L109" s="52">
        <f t="shared" si="3"/>
        <v>12116474.999999998</v>
      </c>
    </row>
    <row r="110" spans="2:12" x14ac:dyDescent="0.35">
      <c r="B110" s="98"/>
      <c r="C110" s="99"/>
      <c r="D110" s="100"/>
      <c r="E110" s="101"/>
      <c r="F110" s="102" t="s">
        <v>85</v>
      </c>
      <c r="G110" s="102" t="s">
        <v>168</v>
      </c>
      <c r="H110" s="187">
        <f>5.28*0.62*12*7.85*1.2</f>
        <v>370.04774399999997</v>
      </c>
      <c r="I110" s="104" t="s">
        <v>72</v>
      </c>
      <c r="J110" s="50">
        <v>35000</v>
      </c>
      <c r="K110" s="29"/>
      <c r="L110" s="52">
        <f t="shared" si="3"/>
        <v>12951671.039999999</v>
      </c>
    </row>
    <row r="111" spans="2:12" x14ac:dyDescent="0.35">
      <c r="B111" s="98"/>
      <c r="C111" s="99"/>
      <c r="D111" s="100"/>
      <c r="E111" s="101"/>
      <c r="F111" s="102" t="s">
        <v>85</v>
      </c>
      <c r="G111" s="102" t="s">
        <v>169</v>
      </c>
      <c r="H111" s="187">
        <f>1.84*6.14*12*7.85</f>
        <v>1064.2339199999997</v>
      </c>
      <c r="I111" s="104" t="s">
        <v>72</v>
      </c>
      <c r="J111" s="50">
        <v>35000</v>
      </c>
      <c r="K111" s="29"/>
      <c r="L111" s="52">
        <f t="shared" si="3"/>
        <v>37248187.199999988</v>
      </c>
    </row>
    <row r="112" spans="2:12" x14ac:dyDescent="0.35">
      <c r="B112" s="98"/>
      <c r="C112" s="99"/>
      <c r="D112" s="100"/>
      <c r="E112" s="101"/>
      <c r="F112" s="102" t="s">
        <v>85</v>
      </c>
      <c r="G112" s="102" t="s">
        <v>170</v>
      </c>
      <c r="H112" s="187">
        <v>114.34937999999997</v>
      </c>
      <c r="I112" s="104" t="s">
        <v>72</v>
      </c>
      <c r="J112" s="50">
        <v>35000</v>
      </c>
      <c r="K112" s="29"/>
      <c r="L112" s="52">
        <f t="shared" si="3"/>
        <v>4002228.2999999989</v>
      </c>
    </row>
    <row r="113" spans="2:12" x14ac:dyDescent="0.35">
      <c r="B113" s="98"/>
      <c r="C113" s="99"/>
      <c r="D113" s="100"/>
      <c r="E113" s="101"/>
      <c r="F113" s="102" t="s">
        <v>85</v>
      </c>
      <c r="G113" s="102" t="s">
        <v>171</v>
      </c>
      <c r="H113" s="187">
        <v>344.92271999999997</v>
      </c>
      <c r="I113" s="104" t="s">
        <v>72</v>
      </c>
      <c r="J113" s="50">
        <v>35000</v>
      </c>
      <c r="K113" s="29"/>
      <c r="L113" s="52">
        <f t="shared" si="3"/>
        <v>12072295.199999999</v>
      </c>
    </row>
    <row r="114" spans="2:12" x14ac:dyDescent="0.35">
      <c r="B114" s="98"/>
      <c r="C114" s="99"/>
      <c r="D114" s="100"/>
      <c r="E114" s="101"/>
      <c r="F114" s="102" t="s">
        <v>85</v>
      </c>
      <c r="G114" s="102" t="s">
        <v>172</v>
      </c>
      <c r="H114" s="187">
        <v>316.30475999999999</v>
      </c>
      <c r="I114" s="104" t="s">
        <v>72</v>
      </c>
      <c r="J114" s="50">
        <v>35000</v>
      </c>
      <c r="K114" s="29"/>
      <c r="L114" s="52">
        <f t="shared" si="3"/>
        <v>11070666.6</v>
      </c>
    </row>
    <row r="115" spans="2:12" x14ac:dyDescent="0.35">
      <c r="B115" s="98"/>
      <c r="C115" s="99"/>
      <c r="D115" s="100"/>
      <c r="E115" s="101"/>
      <c r="F115" s="102" t="s">
        <v>85</v>
      </c>
      <c r="G115" s="102" t="s">
        <v>173</v>
      </c>
      <c r="H115" s="187">
        <v>329.37029999999993</v>
      </c>
      <c r="I115" s="104" t="s">
        <v>72</v>
      </c>
      <c r="J115" s="50">
        <v>35000</v>
      </c>
      <c r="K115" s="29"/>
      <c r="L115" s="52">
        <f t="shared" si="3"/>
        <v>11527960.499999998</v>
      </c>
    </row>
    <row r="116" spans="2:12" x14ac:dyDescent="0.35">
      <c r="B116" s="98"/>
      <c r="C116" s="99"/>
      <c r="D116" s="100"/>
      <c r="E116" s="101"/>
      <c r="F116" s="102" t="s">
        <v>85</v>
      </c>
      <c r="G116" s="102" t="s">
        <v>174</v>
      </c>
      <c r="H116" s="187">
        <v>96.988319999999987</v>
      </c>
      <c r="I116" s="104" t="s">
        <v>72</v>
      </c>
      <c r="J116" s="50">
        <v>35000</v>
      </c>
      <c r="K116" s="29"/>
      <c r="L116" s="52">
        <f t="shared" si="3"/>
        <v>3394591.1999999997</v>
      </c>
    </row>
    <row r="117" spans="2:12" x14ac:dyDescent="0.35">
      <c r="B117" s="98"/>
      <c r="C117" s="99"/>
      <c r="D117" s="100"/>
      <c r="E117" s="101"/>
      <c r="F117" s="102" t="s">
        <v>85</v>
      </c>
      <c r="G117" s="102" t="s">
        <v>175</v>
      </c>
      <c r="H117" s="187">
        <v>57.433739999999993</v>
      </c>
      <c r="I117" s="104" t="s">
        <v>72</v>
      </c>
      <c r="J117" s="50">
        <v>35000</v>
      </c>
      <c r="K117" s="29"/>
      <c r="L117" s="52">
        <f t="shared" si="3"/>
        <v>2010180.8999999997</v>
      </c>
    </row>
    <row r="118" spans="2:12" x14ac:dyDescent="0.35">
      <c r="B118" s="98"/>
      <c r="C118" s="99"/>
      <c r="D118" s="100" t="s">
        <v>47</v>
      </c>
      <c r="E118" s="101"/>
      <c r="F118" s="102" t="s">
        <v>86</v>
      </c>
      <c r="G118" s="102"/>
      <c r="H118" s="105"/>
      <c r="I118" s="104"/>
      <c r="J118" s="50"/>
      <c r="K118" s="29"/>
      <c r="L118" s="52"/>
    </row>
    <row r="119" spans="2:12" x14ac:dyDescent="0.35">
      <c r="B119" s="98"/>
      <c r="C119" s="99"/>
      <c r="D119" s="100"/>
      <c r="E119" s="101"/>
      <c r="F119" s="102" t="s">
        <v>85</v>
      </c>
      <c r="G119" s="102" t="s">
        <v>176</v>
      </c>
      <c r="H119" s="187">
        <f>6.12*12*1.53*7.85*1.2</f>
        <v>1058.4613439999998</v>
      </c>
      <c r="I119" s="104" t="s">
        <v>72</v>
      </c>
      <c r="J119" s="50">
        <v>35000</v>
      </c>
      <c r="K119" s="29"/>
      <c r="L119" s="52">
        <f t="shared" si="3"/>
        <v>37046147.039999992</v>
      </c>
    </row>
    <row r="120" spans="2:12" x14ac:dyDescent="0.35">
      <c r="B120" s="98"/>
      <c r="C120" s="99"/>
      <c r="D120" s="100"/>
      <c r="E120" s="101"/>
      <c r="F120" s="102" t="s">
        <v>85</v>
      </c>
      <c r="G120" s="102" t="s">
        <v>177</v>
      </c>
      <c r="H120" s="187">
        <v>482.82209999999992</v>
      </c>
      <c r="I120" s="104" t="s">
        <v>72</v>
      </c>
      <c r="J120" s="50">
        <v>35000</v>
      </c>
      <c r="K120" s="29"/>
      <c r="L120" s="52">
        <f t="shared" si="3"/>
        <v>16898773.499999996</v>
      </c>
    </row>
    <row r="121" spans="2:12" x14ac:dyDescent="0.35">
      <c r="B121" s="98"/>
      <c r="C121" s="99"/>
      <c r="D121" s="100"/>
      <c r="E121" s="101"/>
      <c r="F121" s="102" t="s">
        <v>85</v>
      </c>
      <c r="G121" s="102" t="s">
        <v>178</v>
      </c>
      <c r="H121" s="187">
        <v>678.03652799999986</v>
      </c>
      <c r="I121" s="104" t="s">
        <v>72</v>
      </c>
      <c r="J121" s="50">
        <v>35000</v>
      </c>
      <c r="K121" s="29"/>
      <c r="L121" s="52">
        <f t="shared" si="3"/>
        <v>23731278.479999997</v>
      </c>
    </row>
    <row r="122" spans="2:12" x14ac:dyDescent="0.35">
      <c r="B122" s="98"/>
      <c r="C122" s="99"/>
      <c r="D122" s="100"/>
      <c r="E122" s="101"/>
      <c r="F122" s="102" t="s">
        <v>85</v>
      </c>
      <c r="G122" s="102" t="s">
        <v>179</v>
      </c>
      <c r="H122" s="187">
        <v>532.11695999999995</v>
      </c>
      <c r="I122" s="104" t="s">
        <v>72</v>
      </c>
      <c r="J122" s="50">
        <v>35000</v>
      </c>
      <c r="K122" s="29"/>
      <c r="L122" s="52">
        <f t="shared" si="3"/>
        <v>18624093.599999998</v>
      </c>
    </row>
    <row r="123" spans="2:12" x14ac:dyDescent="0.35">
      <c r="B123" s="98"/>
      <c r="C123" s="99"/>
      <c r="D123" s="100"/>
      <c r="E123" s="101"/>
      <c r="F123" s="102" t="s">
        <v>85</v>
      </c>
      <c r="G123" s="102" t="s">
        <v>180</v>
      </c>
      <c r="H123" s="187">
        <v>882.05111999999986</v>
      </c>
      <c r="I123" s="104" t="s">
        <v>72</v>
      </c>
      <c r="J123" s="50">
        <v>35000</v>
      </c>
      <c r="K123" s="29"/>
      <c r="L123" s="52">
        <f t="shared" si="3"/>
        <v>30871789.199999996</v>
      </c>
    </row>
    <row r="124" spans="2:12" x14ac:dyDescent="0.35">
      <c r="B124" s="98"/>
      <c r="C124" s="99"/>
      <c r="D124" s="100"/>
      <c r="E124" s="101"/>
      <c r="F124" s="102" t="s">
        <v>85</v>
      </c>
      <c r="G124" s="102" t="s">
        <v>181</v>
      </c>
      <c r="H124" s="187">
        <v>412.20035999999999</v>
      </c>
      <c r="I124" s="104" t="s">
        <v>72</v>
      </c>
      <c r="J124" s="50">
        <v>35000</v>
      </c>
      <c r="K124" s="29"/>
      <c r="L124" s="52">
        <f t="shared" si="3"/>
        <v>14427012.6</v>
      </c>
    </row>
    <row r="125" spans="2:12" x14ac:dyDescent="0.35">
      <c r="B125" s="98"/>
      <c r="C125" s="99"/>
      <c r="D125" s="100"/>
      <c r="E125" s="101"/>
      <c r="F125" s="102" t="s">
        <v>85</v>
      </c>
      <c r="G125" s="102" t="s">
        <v>182</v>
      </c>
      <c r="H125" s="187">
        <v>882.05111999999986</v>
      </c>
      <c r="I125" s="104" t="s">
        <v>72</v>
      </c>
      <c r="J125" s="50">
        <v>35000</v>
      </c>
      <c r="K125" s="29"/>
      <c r="L125" s="52">
        <f t="shared" si="3"/>
        <v>30871789.199999996</v>
      </c>
    </row>
    <row r="126" spans="2:12" x14ac:dyDescent="0.35">
      <c r="B126" s="98"/>
      <c r="C126" s="99"/>
      <c r="D126" s="100"/>
      <c r="E126" s="101"/>
      <c r="F126" s="102" t="s">
        <v>85</v>
      </c>
      <c r="G126" s="102" t="s">
        <v>183</v>
      </c>
      <c r="H126" s="187">
        <v>432.37799999999993</v>
      </c>
      <c r="I126" s="104" t="s">
        <v>72</v>
      </c>
      <c r="J126" s="50">
        <v>35000</v>
      </c>
      <c r="K126" s="29"/>
      <c r="L126" s="52">
        <f t="shared" si="3"/>
        <v>15133229.999999998</v>
      </c>
    </row>
    <row r="127" spans="2:12" x14ac:dyDescent="0.35">
      <c r="B127" s="98"/>
      <c r="C127" s="99"/>
      <c r="D127" s="100"/>
      <c r="E127" s="101"/>
      <c r="F127" s="102" t="s">
        <v>85</v>
      </c>
      <c r="G127" s="102" t="s">
        <v>184</v>
      </c>
      <c r="H127" s="187">
        <v>393.75599999999997</v>
      </c>
      <c r="I127" s="104" t="s">
        <v>72</v>
      </c>
      <c r="J127" s="50">
        <v>35000</v>
      </c>
      <c r="K127" s="29"/>
      <c r="L127" s="52">
        <f t="shared" si="3"/>
        <v>13781459.999999998</v>
      </c>
    </row>
    <row r="128" spans="2:12" x14ac:dyDescent="0.35">
      <c r="B128" s="98"/>
      <c r="C128" s="99"/>
      <c r="D128" s="100"/>
      <c r="E128" s="101"/>
      <c r="F128" s="102" t="s">
        <v>85</v>
      </c>
      <c r="G128" s="102" t="s">
        <v>185</v>
      </c>
      <c r="H128" s="187">
        <v>59.345999999999989</v>
      </c>
      <c r="I128" s="104" t="s">
        <v>72</v>
      </c>
      <c r="J128" s="50">
        <v>35000</v>
      </c>
      <c r="K128" s="29"/>
      <c r="L128" s="52">
        <f t="shared" si="3"/>
        <v>2077109.9999999995</v>
      </c>
    </row>
    <row r="129" spans="2:12" x14ac:dyDescent="0.35">
      <c r="B129" s="98"/>
      <c r="C129" s="99"/>
      <c r="D129" s="100"/>
      <c r="E129" s="101"/>
      <c r="F129" s="102" t="s">
        <v>85</v>
      </c>
      <c r="G129" s="102" t="s">
        <v>186</v>
      </c>
      <c r="H129" s="187">
        <f>5.71*1.83*12*7.85</f>
        <v>984.32406000000003</v>
      </c>
      <c r="I129" s="104" t="s">
        <v>72</v>
      </c>
      <c r="J129" s="50">
        <v>35000</v>
      </c>
      <c r="K129" s="29"/>
      <c r="L129" s="52">
        <f t="shared" si="3"/>
        <v>34451342.100000001</v>
      </c>
    </row>
    <row r="130" spans="2:12" x14ac:dyDescent="0.35">
      <c r="B130" s="98"/>
      <c r="C130" s="99"/>
      <c r="D130" s="100"/>
      <c r="E130" s="101"/>
      <c r="F130" s="102" t="s">
        <v>85</v>
      </c>
      <c r="G130" s="102" t="s">
        <v>187</v>
      </c>
      <c r="H130" s="186">
        <v>23.636663999999996</v>
      </c>
      <c r="I130" s="134" t="s">
        <v>72</v>
      </c>
      <c r="J130" s="50">
        <v>35000</v>
      </c>
      <c r="K130" s="29"/>
      <c r="L130" s="52">
        <f t="shared" si="3"/>
        <v>827283.23999999987</v>
      </c>
    </row>
    <row r="131" spans="2:12" x14ac:dyDescent="0.35">
      <c r="B131" s="98"/>
      <c r="C131" s="99"/>
      <c r="D131" s="100"/>
      <c r="E131" s="101"/>
      <c r="F131" s="102" t="s">
        <v>85</v>
      </c>
      <c r="G131" s="102" t="s">
        <v>188</v>
      </c>
      <c r="H131" s="186">
        <f>3.2*1.22*12*7.85*1.2</f>
        <v>441.30815999999999</v>
      </c>
      <c r="I131" s="134" t="s">
        <v>72</v>
      </c>
      <c r="J131" s="50">
        <v>35000</v>
      </c>
      <c r="K131" s="29"/>
      <c r="L131" s="52">
        <f t="shared" si="3"/>
        <v>15445785.6</v>
      </c>
    </row>
    <row r="132" spans="2:12" x14ac:dyDescent="0.35">
      <c r="B132" s="98"/>
      <c r="C132" s="99"/>
      <c r="D132" s="100"/>
      <c r="E132" s="101"/>
      <c r="F132" s="102" t="s">
        <v>85</v>
      </c>
      <c r="G132" s="102" t="s">
        <v>189</v>
      </c>
      <c r="H132" s="186">
        <v>148.36499999999998</v>
      </c>
      <c r="I132" s="134" t="s">
        <v>72</v>
      </c>
      <c r="J132" s="50">
        <v>35000</v>
      </c>
      <c r="K132" s="29"/>
      <c r="L132" s="52">
        <f t="shared" si="3"/>
        <v>5192774.9999999991</v>
      </c>
    </row>
    <row r="133" spans="2:12" x14ac:dyDescent="0.35">
      <c r="B133" s="98"/>
      <c r="C133" s="99"/>
      <c r="D133" s="100"/>
      <c r="E133" s="101"/>
      <c r="F133" s="102" t="s">
        <v>85</v>
      </c>
      <c r="G133" s="102" t="s">
        <v>190</v>
      </c>
      <c r="H133" s="186">
        <v>606.64799999999991</v>
      </c>
      <c r="I133" s="134" t="s">
        <v>72</v>
      </c>
      <c r="J133" s="50">
        <v>35000</v>
      </c>
      <c r="K133" s="29"/>
      <c r="L133" s="52">
        <f t="shared" si="3"/>
        <v>21232679.999999996</v>
      </c>
    </row>
    <row r="134" spans="2:12" x14ac:dyDescent="0.35">
      <c r="B134" s="98"/>
      <c r="C134" s="99"/>
      <c r="D134" s="100"/>
      <c r="E134" s="101"/>
      <c r="F134" s="102" t="s">
        <v>85</v>
      </c>
      <c r="G134" s="102" t="s">
        <v>191</v>
      </c>
      <c r="H134" s="186">
        <v>109.50749999999998</v>
      </c>
      <c r="I134" s="134" t="s">
        <v>72</v>
      </c>
      <c r="J134" s="50">
        <v>35000</v>
      </c>
      <c r="K134" s="29"/>
      <c r="L134" s="52">
        <f t="shared" si="3"/>
        <v>3832762.4999999991</v>
      </c>
    </row>
    <row r="135" spans="2:12" x14ac:dyDescent="0.35">
      <c r="B135" s="98"/>
      <c r="C135" s="99"/>
      <c r="D135" s="100"/>
      <c r="E135" s="101"/>
      <c r="F135" s="102" t="s">
        <v>85</v>
      </c>
      <c r="G135" s="102" t="s">
        <v>192</v>
      </c>
      <c r="H135" s="186">
        <v>280.22615999999999</v>
      </c>
      <c r="I135" s="134" t="s">
        <v>72</v>
      </c>
      <c r="J135" s="50">
        <v>35000</v>
      </c>
      <c r="K135" s="29"/>
      <c r="L135" s="52">
        <f t="shared" si="3"/>
        <v>9807915.5999999996</v>
      </c>
    </row>
    <row r="136" spans="2:12" x14ac:dyDescent="0.35">
      <c r="B136" s="98"/>
      <c r="C136" s="99"/>
      <c r="D136" s="100"/>
      <c r="E136" s="101"/>
      <c r="F136" s="102" t="s">
        <v>85</v>
      </c>
      <c r="G136" s="102" t="s">
        <v>193</v>
      </c>
      <c r="H136" s="186">
        <v>98.909999999999982</v>
      </c>
      <c r="I136" s="134" t="s">
        <v>72</v>
      </c>
      <c r="J136" s="50">
        <v>35000</v>
      </c>
      <c r="K136" s="29"/>
      <c r="L136" s="52">
        <f t="shared" si="3"/>
        <v>3461849.9999999995</v>
      </c>
    </row>
    <row r="137" spans="2:12" x14ac:dyDescent="0.35">
      <c r="B137" s="98"/>
      <c r="C137" s="99"/>
      <c r="D137" s="100"/>
      <c r="E137" s="101"/>
      <c r="F137" s="102" t="s">
        <v>85</v>
      </c>
      <c r="G137" s="102" t="s">
        <v>194</v>
      </c>
      <c r="H137" s="186">
        <v>139.18049999999997</v>
      </c>
      <c r="I137" s="134" t="s">
        <v>72</v>
      </c>
      <c r="J137" s="50">
        <v>35000</v>
      </c>
      <c r="K137" s="29"/>
      <c r="L137" s="52">
        <f t="shared" si="3"/>
        <v>4871317.4999999991</v>
      </c>
    </row>
    <row r="138" spans="2:12" x14ac:dyDescent="0.35">
      <c r="B138" s="47"/>
      <c r="C138" s="48"/>
      <c r="D138" s="24"/>
      <c r="G138" s="22"/>
      <c r="I138" s="22"/>
      <c r="J138" s="50"/>
      <c r="K138" s="29"/>
      <c r="L138" s="52"/>
    </row>
    <row r="139" spans="2:12" x14ac:dyDescent="0.35">
      <c r="B139" s="8"/>
      <c r="C139" s="9"/>
      <c r="D139" s="10"/>
      <c r="E139" s="4"/>
      <c r="F139" s="4"/>
      <c r="G139" s="4"/>
      <c r="H139" s="1"/>
      <c r="I139" s="1"/>
      <c r="J139" s="11" t="s">
        <v>8</v>
      </c>
      <c r="K139" s="7">
        <f>SUM(K87:K138)</f>
        <v>0</v>
      </c>
      <c r="L139" s="7">
        <f>SUM(L87:L138)</f>
        <v>899409664.86000025</v>
      </c>
    </row>
    <row r="140" spans="2:12" x14ac:dyDescent="0.35">
      <c r="B140" s="8"/>
      <c r="C140" s="9"/>
      <c r="D140" s="9"/>
      <c r="E140" s="4"/>
      <c r="F140" s="4"/>
      <c r="G140" s="4"/>
      <c r="H140" s="1"/>
      <c r="I140" s="1"/>
      <c r="J140" s="11"/>
      <c r="K140" s="35" t="s">
        <v>22</v>
      </c>
      <c r="L140" s="36" t="s">
        <v>23</v>
      </c>
    </row>
    <row r="141" spans="2:12" x14ac:dyDescent="0.35">
      <c r="B141" s="3" t="s">
        <v>9</v>
      </c>
      <c r="C141" s="4"/>
      <c r="D141" s="4"/>
      <c r="E141" s="4"/>
      <c r="F141" s="4"/>
      <c r="G141" s="4"/>
      <c r="H141" s="1"/>
      <c r="I141" s="1"/>
      <c r="J141" s="12"/>
      <c r="K141" s="12"/>
      <c r="L141" s="13"/>
    </row>
    <row r="142" spans="2:12" x14ac:dyDescent="0.35">
      <c r="B142" s="37"/>
      <c r="C142" s="1"/>
      <c r="D142" s="1"/>
      <c r="E142" s="38"/>
      <c r="F142" s="38"/>
      <c r="G142" s="38"/>
      <c r="H142" s="1"/>
      <c r="I142" s="1"/>
      <c r="J142" s="1"/>
      <c r="K142" s="1"/>
      <c r="L142" s="19"/>
    </row>
    <row r="143" spans="2:12" x14ac:dyDescent="0.35">
      <c r="B143" s="28" t="s">
        <v>6</v>
      </c>
      <c r="C143" s="27"/>
      <c r="D143" s="27"/>
      <c r="E143" s="26"/>
      <c r="F143" s="26"/>
      <c r="G143" s="5"/>
      <c r="K143" s="321" t="str">
        <f>K77</f>
        <v>Balikpapan, 26 Juni 2025</v>
      </c>
      <c r="L143" s="322"/>
    </row>
    <row r="144" spans="2:12" x14ac:dyDescent="0.35">
      <c r="B144" s="28">
        <v>1</v>
      </c>
      <c r="C144" s="27"/>
      <c r="D144" s="27"/>
      <c r="E144" s="26" t="s">
        <v>7</v>
      </c>
      <c r="F144" s="26"/>
      <c r="G144" s="5"/>
      <c r="K144" s="321" t="s">
        <v>28</v>
      </c>
      <c r="L144" s="322"/>
    </row>
    <row r="145" spans="2:12" x14ac:dyDescent="0.35">
      <c r="B145" s="39"/>
      <c r="C145" s="27"/>
      <c r="D145" s="27"/>
      <c r="E145" s="26"/>
      <c r="F145" s="26"/>
      <c r="G145" s="5"/>
      <c r="J145" s="25"/>
      <c r="K145" s="25"/>
      <c r="L145" s="24"/>
    </row>
    <row r="146" spans="2:12" x14ac:dyDescent="0.35">
      <c r="B146" s="28"/>
      <c r="C146" s="27"/>
      <c r="D146" s="27"/>
      <c r="E146" s="26"/>
      <c r="F146" s="26"/>
      <c r="G146" s="5"/>
      <c r="L146" s="22"/>
    </row>
    <row r="147" spans="2:12" x14ac:dyDescent="0.35">
      <c r="B147" s="45"/>
      <c r="E147" s="5"/>
      <c r="F147" s="5"/>
      <c r="G147" s="5"/>
      <c r="L147" s="22"/>
    </row>
    <row r="148" spans="2:12" x14ac:dyDescent="0.35">
      <c r="B148" s="45"/>
      <c r="E148" s="5"/>
      <c r="F148" s="5"/>
      <c r="G148" s="5"/>
      <c r="L148" s="22"/>
    </row>
    <row r="149" spans="2:12" x14ac:dyDescent="0.35">
      <c r="B149" s="45"/>
      <c r="E149" s="5"/>
      <c r="F149" s="5"/>
      <c r="G149" s="5"/>
      <c r="L149" s="22"/>
    </row>
    <row r="150" spans="2:12" x14ac:dyDescent="0.35">
      <c r="B150" s="45"/>
      <c r="E150" s="5"/>
      <c r="F150" s="5"/>
      <c r="G150" s="5"/>
      <c r="J150" s="40"/>
      <c r="K150" s="323" t="s">
        <v>36</v>
      </c>
      <c r="L150" s="324"/>
    </row>
    <row r="151" spans="2:12" x14ac:dyDescent="0.35">
      <c r="B151" s="45"/>
      <c r="K151" s="325" t="s">
        <v>37</v>
      </c>
      <c r="L151" s="326"/>
    </row>
    <row r="152" spans="2:12" x14ac:dyDescent="0.35">
      <c r="B152" s="318"/>
      <c r="C152" s="319"/>
      <c r="D152" s="319"/>
      <c r="E152" s="41"/>
      <c r="F152" s="41"/>
      <c r="G152" s="41"/>
      <c r="H152" s="2"/>
      <c r="I152" s="2"/>
      <c r="J152" s="2"/>
      <c r="K152" s="2"/>
      <c r="L152" s="21"/>
    </row>
    <row r="153" spans="2:12" x14ac:dyDescent="0.35">
      <c r="B153" s="47"/>
      <c r="C153" s="48"/>
      <c r="D153" s="49"/>
      <c r="G153" s="22"/>
      <c r="H153" s="1"/>
      <c r="I153" s="1"/>
      <c r="J153" s="43"/>
      <c r="K153" s="43"/>
      <c r="L153" s="30"/>
    </row>
    <row r="154" spans="2:12" x14ac:dyDescent="0.35">
      <c r="B154" s="98"/>
      <c r="C154" s="99"/>
      <c r="D154" s="100"/>
      <c r="E154" s="101"/>
      <c r="F154" s="102" t="s">
        <v>85</v>
      </c>
      <c r="G154" s="102" t="s">
        <v>195</v>
      </c>
      <c r="H154" s="186">
        <v>77.714999999999989</v>
      </c>
      <c r="I154" s="134" t="s">
        <v>72</v>
      </c>
      <c r="J154" s="50">
        <v>35000</v>
      </c>
      <c r="K154" s="29"/>
      <c r="L154" s="52">
        <f t="shared" ref="L154:L203" si="4">J154*H154</f>
        <v>2720024.9999999995</v>
      </c>
    </row>
    <row r="155" spans="2:12" x14ac:dyDescent="0.35">
      <c r="B155" s="98"/>
      <c r="C155" s="99"/>
      <c r="D155" s="100"/>
      <c r="E155" s="101"/>
      <c r="F155" s="102" t="s">
        <v>85</v>
      </c>
      <c r="G155" s="102" t="s">
        <v>196</v>
      </c>
      <c r="H155" s="186">
        <v>171.59471999999997</v>
      </c>
      <c r="I155" s="134" t="s">
        <v>72</v>
      </c>
      <c r="J155" s="50">
        <v>35000</v>
      </c>
      <c r="K155" s="29"/>
      <c r="L155" s="52">
        <f t="shared" si="4"/>
        <v>6005815.1999999993</v>
      </c>
    </row>
    <row r="156" spans="2:12" x14ac:dyDescent="0.35">
      <c r="B156" s="98"/>
      <c r="C156" s="99"/>
      <c r="D156" s="100"/>
      <c r="E156" s="101"/>
      <c r="F156" s="102" t="s">
        <v>85</v>
      </c>
      <c r="G156" s="102" t="s">
        <v>197</v>
      </c>
      <c r="H156" s="186">
        <f>3.4*0.75*12*7.85</f>
        <v>240.20999999999998</v>
      </c>
      <c r="I156" s="134" t="s">
        <v>72</v>
      </c>
      <c r="J156" s="50">
        <v>35000</v>
      </c>
      <c r="K156" s="29"/>
      <c r="L156" s="52">
        <f t="shared" si="4"/>
        <v>8407350</v>
      </c>
    </row>
    <row r="157" spans="2:12" x14ac:dyDescent="0.35">
      <c r="B157" s="98"/>
      <c r="C157" s="99"/>
      <c r="D157" s="100"/>
      <c r="E157" s="101"/>
      <c r="F157" s="102" t="s">
        <v>85</v>
      </c>
      <c r="G157" s="102" t="s">
        <v>198</v>
      </c>
      <c r="H157" s="186">
        <v>762.64319999999998</v>
      </c>
      <c r="I157" s="134" t="s">
        <v>72</v>
      </c>
      <c r="J157" s="50">
        <v>35000</v>
      </c>
      <c r="K157" s="29"/>
      <c r="L157" s="52">
        <f t="shared" si="4"/>
        <v>26692512</v>
      </c>
    </row>
    <row r="158" spans="2:12" x14ac:dyDescent="0.35">
      <c r="B158" s="98"/>
      <c r="C158" s="99"/>
      <c r="D158" s="100"/>
      <c r="E158" s="101"/>
      <c r="F158" s="102" t="s">
        <v>85</v>
      </c>
      <c r="G158" s="102" t="s">
        <v>199</v>
      </c>
      <c r="H158" s="186">
        <v>746.06399999999996</v>
      </c>
      <c r="I158" s="134" t="s">
        <v>72</v>
      </c>
      <c r="J158" s="50">
        <v>35000</v>
      </c>
      <c r="K158" s="29"/>
      <c r="L158" s="52">
        <f t="shared" si="4"/>
        <v>26112240</v>
      </c>
    </row>
    <row r="159" spans="2:12" x14ac:dyDescent="0.35">
      <c r="B159" s="98"/>
      <c r="C159" s="99"/>
      <c r="D159" s="100"/>
      <c r="E159" s="101"/>
      <c r="F159" s="102" t="s">
        <v>85</v>
      </c>
      <c r="G159" s="102" t="s">
        <v>200</v>
      </c>
      <c r="H159" s="186">
        <v>260.85863999999998</v>
      </c>
      <c r="I159" s="134" t="s">
        <v>72</v>
      </c>
      <c r="J159" s="50">
        <v>35000</v>
      </c>
      <c r="K159" s="29"/>
      <c r="L159" s="52">
        <f t="shared" si="4"/>
        <v>9130052.3999999985</v>
      </c>
    </row>
    <row r="160" spans="2:12" x14ac:dyDescent="0.35">
      <c r="B160" s="98"/>
      <c r="C160" s="99"/>
      <c r="D160" s="100"/>
      <c r="E160" s="101"/>
      <c r="F160" s="102" t="s">
        <v>85</v>
      </c>
      <c r="G160" s="102" t="s">
        <v>201</v>
      </c>
      <c r="H160" s="186">
        <v>184.17041999999998</v>
      </c>
      <c r="I160" s="134" t="s">
        <v>72</v>
      </c>
      <c r="J160" s="50">
        <v>35000</v>
      </c>
      <c r="K160" s="29"/>
      <c r="L160" s="52">
        <f t="shared" si="4"/>
        <v>6445964.6999999993</v>
      </c>
    </row>
    <row r="161" spans="2:12" x14ac:dyDescent="0.35">
      <c r="B161" s="98"/>
      <c r="C161" s="99"/>
      <c r="D161" s="100" t="s">
        <v>49</v>
      </c>
      <c r="E161" s="101"/>
      <c r="F161" s="102" t="s">
        <v>87</v>
      </c>
      <c r="G161" s="102"/>
      <c r="H161" s="141"/>
      <c r="I161" s="134"/>
      <c r="J161" s="50"/>
      <c r="K161" s="29"/>
      <c r="L161" s="52"/>
    </row>
    <row r="162" spans="2:12" x14ac:dyDescent="0.35">
      <c r="B162" s="98"/>
      <c r="C162" s="99"/>
      <c r="D162" s="100"/>
      <c r="E162" s="101"/>
      <c r="F162" s="102" t="s">
        <v>85</v>
      </c>
      <c r="G162" s="102" t="s">
        <v>202</v>
      </c>
      <c r="H162" s="186">
        <v>82.519199999999984</v>
      </c>
      <c r="I162" s="134" t="s">
        <v>72</v>
      </c>
      <c r="J162" s="50">
        <v>35000</v>
      </c>
      <c r="K162" s="29"/>
      <c r="L162" s="52">
        <f t="shared" si="4"/>
        <v>2888171.9999999995</v>
      </c>
    </row>
    <row r="163" spans="2:12" x14ac:dyDescent="0.35">
      <c r="B163" s="98"/>
      <c r="C163" s="99"/>
      <c r="D163" s="100"/>
      <c r="E163" s="101"/>
      <c r="F163" s="102" t="s">
        <v>85</v>
      </c>
      <c r="G163" s="102" t="s">
        <v>203</v>
      </c>
      <c r="H163" s="186">
        <f>0.48*1.23*12*7.85*1.2</f>
        <v>66.738815999999986</v>
      </c>
      <c r="I163" s="134" t="s">
        <v>72</v>
      </c>
      <c r="J163" s="50">
        <v>35000</v>
      </c>
      <c r="K163" s="29"/>
      <c r="L163" s="52">
        <f t="shared" si="4"/>
        <v>2335858.5599999996</v>
      </c>
    </row>
    <row r="164" spans="2:12" x14ac:dyDescent="0.35">
      <c r="B164" s="98"/>
      <c r="C164" s="99"/>
      <c r="D164" s="100"/>
      <c r="E164" s="101"/>
      <c r="F164" s="102" t="s">
        <v>85</v>
      </c>
      <c r="G164" s="102" t="s">
        <v>204</v>
      </c>
      <c r="H164" s="186">
        <f>0.4*1.2*12*7.85*1.2</f>
        <v>54.259199999999993</v>
      </c>
      <c r="I164" s="134" t="s">
        <v>72</v>
      </c>
      <c r="J164" s="50">
        <v>35000</v>
      </c>
      <c r="K164" s="29"/>
      <c r="L164" s="52">
        <f t="shared" si="4"/>
        <v>1899071.9999999998</v>
      </c>
    </row>
    <row r="165" spans="2:12" x14ac:dyDescent="0.35">
      <c r="B165" s="98"/>
      <c r="C165" s="99"/>
      <c r="D165" s="100"/>
      <c r="E165" s="101"/>
      <c r="F165" s="102" t="s">
        <v>85</v>
      </c>
      <c r="G165" s="102" t="s">
        <v>205</v>
      </c>
      <c r="H165" s="186">
        <f>0.65*0.32*12*7.85*1.2</f>
        <v>23.512320000000003</v>
      </c>
      <c r="I165" s="134" t="s">
        <v>72</v>
      </c>
      <c r="J165" s="50">
        <v>35000</v>
      </c>
      <c r="K165" s="29"/>
      <c r="L165" s="52">
        <f t="shared" si="4"/>
        <v>822931.20000000007</v>
      </c>
    </row>
    <row r="166" spans="2:12" x14ac:dyDescent="0.35">
      <c r="B166" s="98"/>
      <c r="C166" s="99"/>
      <c r="D166" s="100"/>
      <c r="E166" s="101"/>
      <c r="F166" s="102" t="s">
        <v>85</v>
      </c>
      <c r="G166" s="102" t="s">
        <v>206</v>
      </c>
      <c r="H166" s="186">
        <v>76.867199999999997</v>
      </c>
      <c r="I166" s="134" t="s">
        <v>72</v>
      </c>
      <c r="J166" s="50">
        <v>35000</v>
      </c>
      <c r="K166" s="29"/>
      <c r="L166" s="52">
        <f t="shared" si="4"/>
        <v>2690352</v>
      </c>
    </row>
    <row r="167" spans="2:12" x14ac:dyDescent="0.35">
      <c r="B167" s="98"/>
      <c r="C167" s="99"/>
      <c r="D167" s="100"/>
      <c r="E167" s="101"/>
      <c r="F167" s="102" t="s">
        <v>85</v>
      </c>
      <c r="G167" s="102" t="s">
        <v>207</v>
      </c>
      <c r="H167" s="186">
        <v>90.432000000000002</v>
      </c>
      <c r="I167" s="134" t="s">
        <v>72</v>
      </c>
      <c r="J167" s="50">
        <v>35000</v>
      </c>
      <c r="K167" s="29"/>
      <c r="L167" s="52">
        <f t="shared" si="4"/>
        <v>3165120</v>
      </c>
    </row>
    <row r="168" spans="2:12" x14ac:dyDescent="0.35">
      <c r="B168" s="98"/>
      <c r="C168" s="99"/>
      <c r="D168" s="100"/>
      <c r="E168" s="101"/>
      <c r="F168" s="102" t="s">
        <v>85</v>
      </c>
      <c r="G168" s="102" t="s">
        <v>208</v>
      </c>
      <c r="H168" s="186">
        <v>105.97499999999998</v>
      </c>
      <c r="I168" s="134" t="s">
        <v>72</v>
      </c>
      <c r="J168" s="50">
        <v>35000</v>
      </c>
      <c r="K168" s="29"/>
      <c r="L168" s="52">
        <f t="shared" si="4"/>
        <v>3709124.9999999995</v>
      </c>
    </row>
    <row r="169" spans="2:12" x14ac:dyDescent="0.35">
      <c r="B169" s="98"/>
      <c r="C169" s="99"/>
      <c r="D169" s="100"/>
      <c r="E169" s="101"/>
      <c r="F169" s="102" t="s">
        <v>85</v>
      </c>
      <c r="G169" s="102" t="s">
        <v>209</v>
      </c>
      <c r="H169" s="186">
        <v>168.80639999999997</v>
      </c>
      <c r="I169" s="134" t="s">
        <v>72</v>
      </c>
      <c r="J169" s="50">
        <v>35000</v>
      </c>
      <c r="K169" s="29"/>
      <c r="L169" s="52">
        <f t="shared" si="4"/>
        <v>5908223.9999999991</v>
      </c>
    </row>
    <row r="170" spans="2:12" x14ac:dyDescent="0.35">
      <c r="B170" s="98"/>
      <c r="C170" s="99"/>
      <c r="D170" s="100"/>
      <c r="E170" s="101"/>
      <c r="F170" s="102"/>
      <c r="G170" s="102" t="s">
        <v>210</v>
      </c>
      <c r="H170" s="186">
        <f>0.9*0.4*12*7.85*1.2</f>
        <v>40.694399999999995</v>
      </c>
      <c r="I170" s="134" t="s">
        <v>72</v>
      </c>
      <c r="J170" s="50">
        <v>35000</v>
      </c>
      <c r="K170" s="29"/>
      <c r="L170" s="52">
        <f t="shared" si="4"/>
        <v>1424303.9999999998</v>
      </c>
    </row>
    <row r="171" spans="2:12" x14ac:dyDescent="0.35">
      <c r="B171" s="98"/>
      <c r="C171" s="99"/>
      <c r="D171" s="100"/>
      <c r="E171" s="101"/>
      <c r="F171" s="102" t="s">
        <v>85</v>
      </c>
      <c r="G171" s="102" t="s">
        <v>211</v>
      </c>
      <c r="H171" s="186">
        <v>54.225287999999985</v>
      </c>
      <c r="I171" s="134" t="s">
        <v>72</v>
      </c>
      <c r="J171" s="50">
        <v>35000</v>
      </c>
      <c r="K171" s="29"/>
      <c r="L171" s="52">
        <f t="shared" si="4"/>
        <v>1897885.0799999994</v>
      </c>
    </row>
    <row r="172" spans="2:12" x14ac:dyDescent="0.35">
      <c r="B172" s="98"/>
      <c r="C172" s="99"/>
      <c r="D172" s="100"/>
      <c r="E172" s="101"/>
      <c r="F172" s="102" t="s">
        <v>85</v>
      </c>
      <c r="G172" s="102" t="s">
        <v>212</v>
      </c>
      <c r="H172" s="186">
        <v>272.99159999999995</v>
      </c>
      <c r="I172" s="134" t="s">
        <v>72</v>
      </c>
      <c r="J172" s="50">
        <v>35000</v>
      </c>
      <c r="K172" s="29"/>
      <c r="L172" s="52">
        <f t="shared" si="4"/>
        <v>9554705.9999999981</v>
      </c>
    </row>
    <row r="173" spans="2:12" x14ac:dyDescent="0.35">
      <c r="B173" s="98"/>
      <c r="C173" s="99"/>
      <c r="D173" s="100" t="s">
        <v>51</v>
      </c>
      <c r="E173" s="101"/>
      <c r="F173" s="102" t="s">
        <v>88</v>
      </c>
      <c r="G173" s="102"/>
      <c r="H173" s="141"/>
      <c r="I173" s="134"/>
      <c r="J173" s="50"/>
      <c r="K173" s="29"/>
      <c r="L173" s="52"/>
    </row>
    <row r="174" spans="2:12" x14ac:dyDescent="0.35">
      <c r="B174" s="98"/>
      <c r="C174" s="99"/>
      <c r="D174" s="100"/>
      <c r="E174" s="101"/>
      <c r="F174" s="102" t="s">
        <v>85</v>
      </c>
      <c r="G174" s="102" t="s">
        <v>213</v>
      </c>
      <c r="H174" s="186">
        <v>125.47439999999999</v>
      </c>
      <c r="I174" s="134" t="s">
        <v>72</v>
      </c>
      <c r="J174" s="50">
        <v>35000</v>
      </c>
      <c r="K174" s="29"/>
      <c r="L174" s="52">
        <f t="shared" si="4"/>
        <v>4391604</v>
      </c>
    </row>
    <row r="175" spans="2:12" x14ac:dyDescent="0.35">
      <c r="B175" s="98"/>
      <c r="C175" s="99"/>
      <c r="D175" s="100"/>
      <c r="E175" s="101"/>
      <c r="F175" s="102" t="s">
        <v>85</v>
      </c>
      <c r="G175" s="102" t="s">
        <v>214</v>
      </c>
      <c r="H175" s="186">
        <v>340.25039999999996</v>
      </c>
      <c r="I175" s="134" t="s">
        <v>72</v>
      </c>
      <c r="J175" s="50">
        <v>35000</v>
      </c>
      <c r="K175" s="29"/>
      <c r="L175" s="52">
        <f t="shared" si="4"/>
        <v>11908763.999999998</v>
      </c>
    </row>
    <row r="176" spans="2:12" x14ac:dyDescent="0.35">
      <c r="B176" s="98"/>
      <c r="C176" s="99"/>
      <c r="D176" s="100"/>
      <c r="E176" s="101"/>
      <c r="F176" s="102" t="s">
        <v>85</v>
      </c>
      <c r="G176" s="102" t="s">
        <v>215</v>
      </c>
      <c r="H176" s="186">
        <v>292.20839999999998</v>
      </c>
      <c r="I176" s="134" t="s">
        <v>72</v>
      </c>
      <c r="J176" s="50">
        <v>35000</v>
      </c>
      <c r="K176" s="29"/>
      <c r="L176" s="52">
        <f t="shared" si="4"/>
        <v>10227294</v>
      </c>
    </row>
    <row r="177" spans="2:12" x14ac:dyDescent="0.35">
      <c r="B177" s="98"/>
      <c r="C177" s="99"/>
      <c r="D177" s="100"/>
      <c r="E177" s="101"/>
      <c r="F177" s="102" t="s">
        <v>85</v>
      </c>
      <c r="G177" s="102" t="s">
        <v>216</v>
      </c>
      <c r="H177" s="186">
        <v>122.64839999999998</v>
      </c>
      <c r="I177" s="134" t="s">
        <v>72</v>
      </c>
      <c r="J177" s="50">
        <v>35000</v>
      </c>
      <c r="K177" s="29"/>
      <c r="L177" s="52">
        <f t="shared" si="4"/>
        <v>4292693.9999999991</v>
      </c>
    </row>
    <row r="178" spans="2:12" x14ac:dyDescent="0.35">
      <c r="B178" s="98"/>
      <c r="C178" s="99"/>
      <c r="D178" s="100"/>
      <c r="E178" s="101"/>
      <c r="F178" s="102" t="s">
        <v>85</v>
      </c>
      <c r="G178" s="102" t="s">
        <v>217</v>
      </c>
      <c r="H178" s="186">
        <v>328.94639999999998</v>
      </c>
      <c r="I178" s="134" t="s">
        <v>72</v>
      </c>
      <c r="J178" s="50">
        <v>35000</v>
      </c>
      <c r="K178" s="29"/>
      <c r="L178" s="52">
        <f t="shared" si="4"/>
        <v>11513124</v>
      </c>
    </row>
    <row r="179" spans="2:12" x14ac:dyDescent="0.35">
      <c r="B179" s="98"/>
      <c r="C179" s="99"/>
      <c r="D179" s="100"/>
      <c r="E179" s="101"/>
      <c r="F179" s="102" t="s">
        <v>85</v>
      </c>
      <c r="G179" s="102" t="s">
        <v>218</v>
      </c>
      <c r="H179" s="186">
        <v>282.59999999999997</v>
      </c>
      <c r="I179" s="134" t="s">
        <v>72</v>
      </c>
      <c r="J179" s="50">
        <v>35000</v>
      </c>
      <c r="K179" s="29"/>
      <c r="L179" s="52">
        <f t="shared" si="4"/>
        <v>9890999.9999999981</v>
      </c>
    </row>
    <row r="180" spans="2:12" x14ac:dyDescent="0.35">
      <c r="B180" s="98"/>
      <c r="C180" s="99"/>
      <c r="D180" s="100"/>
      <c r="E180" s="101"/>
      <c r="F180" s="102" t="s">
        <v>85</v>
      </c>
      <c r="G180" s="102" t="s">
        <v>219</v>
      </c>
      <c r="H180" s="186">
        <v>137.34359999999998</v>
      </c>
      <c r="I180" s="134" t="s">
        <v>72</v>
      </c>
      <c r="J180" s="50">
        <v>35000</v>
      </c>
      <c r="K180" s="29"/>
      <c r="L180" s="52">
        <f t="shared" si="4"/>
        <v>4807025.9999999991</v>
      </c>
    </row>
    <row r="181" spans="2:12" x14ac:dyDescent="0.35">
      <c r="B181" s="98"/>
      <c r="C181" s="99"/>
      <c r="D181" s="148"/>
      <c r="E181" s="102"/>
      <c r="F181" s="102" t="s">
        <v>85</v>
      </c>
      <c r="G181" s="106" t="s">
        <v>220</v>
      </c>
      <c r="H181" s="188">
        <v>340.25039999999996</v>
      </c>
      <c r="I181" s="134" t="s">
        <v>72</v>
      </c>
      <c r="J181" s="50">
        <v>35000</v>
      </c>
      <c r="K181" s="29"/>
      <c r="L181" s="52">
        <f t="shared" si="4"/>
        <v>11908763.999999998</v>
      </c>
    </row>
    <row r="182" spans="2:12" x14ac:dyDescent="0.35">
      <c r="B182" s="189"/>
      <c r="C182" s="111"/>
      <c r="D182" s="190"/>
      <c r="E182" s="111"/>
      <c r="F182" s="191" t="s">
        <v>85</v>
      </c>
      <c r="G182" s="192" t="s">
        <v>221</v>
      </c>
      <c r="H182" s="193">
        <v>340.25039999999996</v>
      </c>
      <c r="I182" s="194" t="s">
        <v>72</v>
      </c>
      <c r="J182" s="50">
        <v>35000</v>
      </c>
      <c r="K182" s="29"/>
      <c r="L182" s="52">
        <f t="shared" si="4"/>
        <v>11908763.999999998</v>
      </c>
    </row>
    <row r="183" spans="2:12" x14ac:dyDescent="0.35">
      <c r="B183" s="189"/>
      <c r="C183" s="111"/>
      <c r="D183" s="112"/>
      <c r="E183" s="111"/>
      <c r="F183" s="111" t="s">
        <v>85</v>
      </c>
      <c r="G183" s="106" t="s">
        <v>222</v>
      </c>
      <c r="H183" s="193">
        <v>232.29719999999998</v>
      </c>
      <c r="I183" s="195" t="s">
        <v>72</v>
      </c>
      <c r="J183" s="50">
        <v>35000</v>
      </c>
      <c r="K183" s="29"/>
      <c r="L183" s="52">
        <f t="shared" si="4"/>
        <v>8130401.9999999991</v>
      </c>
    </row>
    <row r="184" spans="2:12" x14ac:dyDescent="0.35">
      <c r="B184" s="189"/>
      <c r="C184" s="111"/>
      <c r="D184" s="112"/>
      <c r="E184" s="111"/>
      <c r="F184" s="111" t="s">
        <v>85</v>
      </c>
      <c r="G184" s="106" t="s">
        <v>223</v>
      </c>
      <c r="H184" s="193">
        <v>170.12519999999998</v>
      </c>
      <c r="I184" s="195" t="s">
        <v>72</v>
      </c>
      <c r="J184" s="50">
        <v>35000</v>
      </c>
      <c r="K184" s="29"/>
      <c r="L184" s="52">
        <f t="shared" si="4"/>
        <v>5954381.9999999991</v>
      </c>
    </row>
    <row r="185" spans="2:12" x14ac:dyDescent="0.35">
      <c r="B185" s="189"/>
      <c r="C185" s="111"/>
      <c r="D185" s="112"/>
      <c r="E185" s="111"/>
      <c r="F185" s="111" t="s">
        <v>85</v>
      </c>
      <c r="G185" s="106" t="s">
        <v>224</v>
      </c>
      <c r="H185" s="193">
        <v>170.12519999999998</v>
      </c>
      <c r="I185" s="195" t="s">
        <v>72</v>
      </c>
      <c r="J185" s="50">
        <v>35000</v>
      </c>
      <c r="K185" s="29"/>
      <c r="L185" s="52">
        <f t="shared" si="4"/>
        <v>5954381.9999999991</v>
      </c>
    </row>
    <row r="186" spans="2:12" x14ac:dyDescent="0.35">
      <c r="B186" s="189"/>
      <c r="C186" s="111"/>
      <c r="D186" s="190"/>
      <c r="E186" s="111"/>
      <c r="F186" s="191" t="s">
        <v>85</v>
      </c>
      <c r="G186" s="112" t="s">
        <v>225</v>
      </c>
      <c r="H186" s="193">
        <v>340.25039999999996</v>
      </c>
      <c r="I186" s="194" t="s">
        <v>72</v>
      </c>
      <c r="J186" s="50">
        <v>35000</v>
      </c>
      <c r="K186" s="29"/>
      <c r="L186" s="52">
        <f t="shared" si="4"/>
        <v>11908763.999999998</v>
      </c>
    </row>
    <row r="187" spans="2:12" x14ac:dyDescent="0.35">
      <c r="B187" s="189"/>
      <c r="C187" s="111"/>
      <c r="D187" s="190"/>
      <c r="E187" s="111"/>
      <c r="F187" s="191" t="s">
        <v>85</v>
      </c>
      <c r="G187" s="112" t="s">
        <v>226</v>
      </c>
      <c r="H187" s="193">
        <v>213.64559999999997</v>
      </c>
      <c r="I187" s="194" t="s">
        <v>72</v>
      </c>
      <c r="J187" s="50">
        <v>35000</v>
      </c>
      <c r="K187" s="29"/>
      <c r="L187" s="52">
        <f t="shared" si="4"/>
        <v>7477595.9999999991</v>
      </c>
    </row>
    <row r="188" spans="2:12" x14ac:dyDescent="0.35">
      <c r="B188" s="189"/>
      <c r="C188" s="111"/>
      <c r="D188" s="112"/>
      <c r="E188" s="111"/>
      <c r="F188" s="111" t="s">
        <v>85</v>
      </c>
      <c r="G188" s="106" t="s">
        <v>227</v>
      </c>
      <c r="H188" s="193">
        <v>125.47439999999999</v>
      </c>
      <c r="I188" s="195" t="s">
        <v>72</v>
      </c>
      <c r="J188" s="50">
        <v>35000</v>
      </c>
      <c r="K188" s="29"/>
      <c r="L188" s="52">
        <f t="shared" si="4"/>
        <v>4391604</v>
      </c>
    </row>
    <row r="189" spans="2:12" x14ac:dyDescent="0.35">
      <c r="B189" s="107"/>
      <c r="C189" s="108"/>
      <c r="D189" s="109"/>
      <c r="E189" s="110"/>
      <c r="F189" s="111" t="s">
        <v>85</v>
      </c>
      <c r="G189" s="112" t="s">
        <v>228</v>
      </c>
      <c r="H189" s="193">
        <v>339.11999999999995</v>
      </c>
      <c r="I189" s="106" t="s">
        <v>72</v>
      </c>
      <c r="J189" s="50">
        <v>35000</v>
      </c>
      <c r="K189" s="29"/>
      <c r="L189" s="52">
        <f t="shared" si="4"/>
        <v>11869199.999999998</v>
      </c>
    </row>
    <row r="190" spans="2:12" x14ac:dyDescent="0.35">
      <c r="B190" s="107"/>
      <c r="C190" s="108"/>
      <c r="D190" s="109"/>
      <c r="E190" s="110"/>
      <c r="F190" s="111" t="s">
        <v>85</v>
      </c>
      <c r="G190" s="112" t="s">
        <v>229</v>
      </c>
      <c r="H190" s="193">
        <v>136.21319999999997</v>
      </c>
      <c r="I190" s="106" t="s">
        <v>72</v>
      </c>
      <c r="J190" s="50">
        <v>35000</v>
      </c>
      <c r="K190" s="29"/>
      <c r="L190" s="52">
        <f t="shared" si="4"/>
        <v>4767461.9999999991</v>
      </c>
    </row>
    <row r="191" spans="2:12" x14ac:dyDescent="0.35">
      <c r="B191" s="107"/>
      <c r="C191" s="108"/>
      <c r="D191" s="109"/>
      <c r="E191" s="110"/>
      <c r="F191" s="111" t="s">
        <v>85</v>
      </c>
      <c r="G191" s="112" t="s">
        <v>230</v>
      </c>
      <c r="H191" s="193">
        <v>202.34159999999997</v>
      </c>
      <c r="I191" s="106" t="s">
        <v>72</v>
      </c>
      <c r="J191" s="50">
        <v>35000</v>
      </c>
      <c r="K191" s="29"/>
      <c r="L191" s="52">
        <f t="shared" si="4"/>
        <v>7081955.9999999991</v>
      </c>
    </row>
    <row r="192" spans="2:12" x14ac:dyDescent="0.35">
      <c r="B192" s="107"/>
      <c r="C192" s="108"/>
      <c r="D192" s="109"/>
      <c r="E192" s="110"/>
      <c r="F192" s="111" t="s">
        <v>85</v>
      </c>
      <c r="G192" s="112" t="s">
        <v>231</v>
      </c>
      <c r="H192" s="193">
        <v>265.64399999999995</v>
      </c>
      <c r="I192" s="106" t="s">
        <v>72</v>
      </c>
      <c r="J192" s="50">
        <v>35000</v>
      </c>
      <c r="K192" s="29"/>
      <c r="L192" s="52">
        <f t="shared" si="4"/>
        <v>9297539.9999999981</v>
      </c>
    </row>
    <row r="193" spans="2:12" x14ac:dyDescent="0.35">
      <c r="B193" s="107"/>
      <c r="C193" s="108"/>
      <c r="D193" s="109"/>
      <c r="E193" s="110"/>
      <c r="F193" s="111" t="s">
        <v>85</v>
      </c>
      <c r="G193" s="112" t="s">
        <v>232</v>
      </c>
      <c r="H193" s="193">
        <v>74.606399999999994</v>
      </c>
      <c r="I193" s="106" t="s">
        <v>72</v>
      </c>
      <c r="J193" s="50">
        <v>35000</v>
      </c>
      <c r="K193" s="29"/>
      <c r="L193" s="52">
        <f t="shared" si="4"/>
        <v>2611224</v>
      </c>
    </row>
    <row r="194" spans="2:12" x14ac:dyDescent="0.35">
      <c r="B194" s="107"/>
      <c r="C194" s="108"/>
      <c r="D194" s="109"/>
      <c r="E194" s="110"/>
      <c r="F194" s="111" t="s">
        <v>85</v>
      </c>
      <c r="G194" s="112" t="s">
        <v>233</v>
      </c>
      <c r="H194" s="193">
        <v>1295.4383999999998</v>
      </c>
      <c r="I194" s="106" t="s">
        <v>72</v>
      </c>
      <c r="J194" s="50">
        <v>35000</v>
      </c>
      <c r="K194" s="29"/>
      <c r="L194" s="52">
        <f t="shared" si="4"/>
        <v>45340343.999999993</v>
      </c>
    </row>
    <row r="195" spans="2:12" x14ac:dyDescent="0.35">
      <c r="B195" s="107"/>
      <c r="C195" s="108"/>
      <c r="D195" s="109"/>
      <c r="E195" s="110"/>
      <c r="F195" s="111" t="s">
        <v>85</v>
      </c>
      <c r="G195" s="112" t="s">
        <v>234</v>
      </c>
      <c r="H195" s="193">
        <v>341.94599999999997</v>
      </c>
      <c r="I195" s="106" t="s">
        <v>72</v>
      </c>
      <c r="J195" s="50">
        <v>35000</v>
      </c>
      <c r="K195" s="29"/>
      <c r="L195" s="52">
        <f t="shared" si="4"/>
        <v>11968109.999999998</v>
      </c>
    </row>
    <row r="196" spans="2:12" x14ac:dyDescent="0.35">
      <c r="B196" s="107"/>
      <c r="C196" s="108"/>
      <c r="D196" s="109"/>
      <c r="E196" s="110"/>
      <c r="F196" s="111" t="s">
        <v>85</v>
      </c>
      <c r="G196" s="112" t="s">
        <v>235</v>
      </c>
      <c r="H196" s="193">
        <v>340.25039999999996</v>
      </c>
      <c r="I196" s="106" t="s">
        <v>72</v>
      </c>
      <c r="J196" s="50">
        <v>35000</v>
      </c>
      <c r="K196" s="29"/>
      <c r="L196" s="52">
        <f t="shared" si="4"/>
        <v>11908763.999999998</v>
      </c>
    </row>
    <row r="197" spans="2:12" x14ac:dyDescent="0.35">
      <c r="B197" s="107"/>
      <c r="C197" s="108"/>
      <c r="D197" s="109"/>
      <c r="E197" s="110"/>
      <c r="F197" s="111" t="s">
        <v>85</v>
      </c>
      <c r="G197" s="112" t="s">
        <v>236</v>
      </c>
      <c r="H197" s="193">
        <v>340.25039999999996</v>
      </c>
      <c r="I197" s="106" t="s">
        <v>72</v>
      </c>
      <c r="J197" s="50">
        <v>35000</v>
      </c>
      <c r="K197" s="29"/>
      <c r="L197" s="52">
        <f t="shared" si="4"/>
        <v>11908763.999999998</v>
      </c>
    </row>
    <row r="198" spans="2:12" x14ac:dyDescent="0.35">
      <c r="B198" s="107"/>
      <c r="C198" s="108"/>
      <c r="D198" s="109"/>
      <c r="E198" s="110"/>
      <c r="F198" s="111" t="s">
        <v>85</v>
      </c>
      <c r="G198" s="112" t="s">
        <v>237</v>
      </c>
      <c r="H198" s="193">
        <v>340.25039999999996</v>
      </c>
      <c r="I198" s="106" t="s">
        <v>72</v>
      </c>
      <c r="J198" s="50">
        <v>35000</v>
      </c>
      <c r="K198" s="29"/>
      <c r="L198" s="52">
        <f t="shared" si="4"/>
        <v>11908763.999999998</v>
      </c>
    </row>
    <row r="199" spans="2:12" x14ac:dyDescent="0.35">
      <c r="B199" s="107"/>
      <c r="C199" s="108"/>
      <c r="D199" s="109"/>
      <c r="E199" s="110"/>
      <c r="F199" s="111" t="s">
        <v>85</v>
      </c>
      <c r="G199" s="112" t="s">
        <v>238</v>
      </c>
      <c r="H199" s="193">
        <v>188.21159999999998</v>
      </c>
      <c r="I199" s="106" t="s">
        <v>72</v>
      </c>
      <c r="J199" s="50">
        <v>35000</v>
      </c>
      <c r="K199" s="29"/>
      <c r="L199" s="52">
        <f t="shared" si="4"/>
        <v>6587405.9999999991</v>
      </c>
    </row>
    <row r="200" spans="2:12" x14ac:dyDescent="0.35">
      <c r="B200" s="107"/>
      <c r="C200" s="108"/>
      <c r="D200" s="109"/>
      <c r="E200" s="110"/>
      <c r="F200" s="111" t="s">
        <v>85</v>
      </c>
      <c r="G200" s="112" t="s">
        <v>239</v>
      </c>
      <c r="H200" s="193">
        <v>151.47359999999998</v>
      </c>
      <c r="I200" s="106" t="s">
        <v>72</v>
      </c>
      <c r="J200" s="50">
        <v>35000</v>
      </c>
      <c r="K200" s="29"/>
      <c r="L200" s="52">
        <f t="shared" si="4"/>
        <v>5301575.9999999991</v>
      </c>
    </row>
    <row r="201" spans="2:12" x14ac:dyDescent="0.35">
      <c r="B201" s="107"/>
      <c r="C201" s="108"/>
      <c r="D201" s="109"/>
      <c r="E201" s="110"/>
      <c r="F201" s="111" t="s">
        <v>85</v>
      </c>
      <c r="G201" s="112" t="s">
        <v>240</v>
      </c>
      <c r="H201" s="193">
        <v>278.07839999999999</v>
      </c>
      <c r="I201" s="106" t="s">
        <v>72</v>
      </c>
      <c r="J201" s="50">
        <v>35000</v>
      </c>
      <c r="K201" s="29"/>
      <c r="L201" s="52">
        <f t="shared" si="4"/>
        <v>9732744</v>
      </c>
    </row>
    <row r="202" spans="2:12" x14ac:dyDescent="0.35">
      <c r="B202" s="107"/>
      <c r="C202" s="108"/>
      <c r="D202" s="109"/>
      <c r="E202" s="110"/>
      <c r="F202" s="111" t="s">
        <v>85</v>
      </c>
      <c r="G202" s="112" t="s">
        <v>241</v>
      </c>
      <c r="H202" s="193">
        <v>105.12719999999999</v>
      </c>
      <c r="I202" s="106" t="s">
        <v>72</v>
      </c>
      <c r="J202" s="50">
        <v>35000</v>
      </c>
      <c r="K202" s="29"/>
      <c r="L202" s="52">
        <f t="shared" si="4"/>
        <v>3679451.9999999995</v>
      </c>
    </row>
    <row r="203" spans="2:12" x14ac:dyDescent="0.35">
      <c r="B203" s="107"/>
      <c r="C203" s="108"/>
      <c r="D203" s="109"/>
      <c r="E203" s="110"/>
      <c r="F203" s="111" t="s">
        <v>85</v>
      </c>
      <c r="G203" s="112" t="s">
        <v>242</v>
      </c>
      <c r="H203" s="193">
        <v>187.64639999999997</v>
      </c>
      <c r="I203" s="106" t="s">
        <v>72</v>
      </c>
      <c r="J203" s="50">
        <v>35000</v>
      </c>
      <c r="K203" s="29"/>
      <c r="L203" s="52">
        <f t="shared" si="4"/>
        <v>6567623.9999999991</v>
      </c>
    </row>
    <row r="204" spans="2:12" x14ac:dyDescent="0.35">
      <c r="B204" s="47"/>
      <c r="C204" s="48"/>
      <c r="D204" s="24"/>
      <c r="G204" s="22"/>
      <c r="I204" s="22"/>
      <c r="J204" s="50"/>
      <c r="K204" s="29"/>
      <c r="L204" s="52"/>
    </row>
    <row r="205" spans="2:12" x14ac:dyDescent="0.35">
      <c r="B205" s="8"/>
      <c r="C205" s="9"/>
      <c r="D205" s="10"/>
      <c r="E205" s="4"/>
      <c r="F205" s="4"/>
      <c r="G205" s="4"/>
      <c r="H205" s="1"/>
      <c r="I205" s="1"/>
      <c r="J205" s="11" t="s">
        <v>8</v>
      </c>
      <c r="K205" s="7">
        <f>SUM(K153:K204)</f>
        <v>0</v>
      </c>
      <c r="L205" s="7">
        <f>SUM(L153:L204)</f>
        <v>407006803.13999999</v>
      </c>
    </row>
    <row r="206" spans="2:12" x14ac:dyDescent="0.35">
      <c r="B206" s="8"/>
      <c r="C206" s="9"/>
      <c r="D206" s="9"/>
      <c r="E206" s="4"/>
      <c r="F206" s="4"/>
      <c r="G206" s="4"/>
      <c r="H206" s="1"/>
      <c r="I206" s="1"/>
      <c r="J206" s="11"/>
      <c r="K206" s="35" t="s">
        <v>22</v>
      </c>
      <c r="L206" s="36" t="s">
        <v>23</v>
      </c>
    </row>
    <row r="207" spans="2:12" x14ac:dyDescent="0.35">
      <c r="B207" s="3" t="s">
        <v>9</v>
      </c>
      <c r="C207" s="4"/>
      <c r="D207" s="4"/>
      <c r="E207" s="4"/>
      <c r="F207" s="4"/>
      <c r="G207" s="4"/>
      <c r="H207" s="1"/>
      <c r="I207" s="1"/>
      <c r="J207" s="12"/>
      <c r="K207" s="12"/>
      <c r="L207" s="13"/>
    </row>
    <row r="208" spans="2:12" x14ac:dyDescent="0.35">
      <c r="B208" s="37"/>
      <c r="C208" s="1"/>
      <c r="D208" s="1"/>
      <c r="E208" s="38"/>
      <c r="F208" s="38"/>
      <c r="G208" s="38"/>
      <c r="H208" s="1"/>
      <c r="I208" s="1"/>
      <c r="J208" s="1"/>
      <c r="K208" s="1"/>
      <c r="L208" s="19"/>
    </row>
    <row r="209" spans="2:12" x14ac:dyDescent="0.35">
      <c r="B209" s="28" t="s">
        <v>6</v>
      </c>
      <c r="C209" s="27"/>
      <c r="D209" s="27"/>
      <c r="E209" s="26"/>
      <c r="F209" s="26"/>
      <c r="G209" s="5"/>
      <c r="K209" s="321" t="str">
        <f>K143</f>
        <v>Balikpapan, 26 Juni 2025</v>
      </c>
      <c r="L209" s="322"/>
    </row>
    <row r="210" spans="2:12" x14ac:dyDescent="0.35">
      <c r="B210" s="28">
        <v>1</v>
      </c>
      <c r="C210" s="27"/>
      <c r="D210" s="27"/>
      <c r="E210" s="26" t="s">
        <v>7</v>
      </c>
      <c r="F210" s="26"/>
      <c r="G210" s="5"/>
      <c r="K210" s="321" t="s">
        <v>28</v>
      </c>
      <c r="L210" s="322"/>
    </row>
    <row r="211" spans="2:12" x14ac:dyDescent="0.35">
      <c r="B211" s="39"/>
      <c r="C211" s="27"/>
      <c r="D211" s="27"/>
      <c r="E211" s="26"/>
      <c r="F211" s="26"/>
      <c r="G211" s="5"/>
      <c r="J211" s="25"/>
      <c r="K211" s="25"/>
      <c r="L211" s="24"/>
    </row>
    <row r="212" spans="2:12" x14ac:dyDescent="0.35">
      <c r="B212" s="28"/>
      <c r="C212" s="27"/>
      <c r="D212" s="27"/>
      <c r="E212" s="26"/>
      <c r="F212" s="26"/>
      <c r="G212" s="5"/>
      <c r="L212" s="22"/>
    </row>
    <row r="213" spans="2:12" x14ac:dyDescent="0.35">
      <c r="B213" s="45"/>
      <c r="E213" s="5"/>
      <c r="F213" s="5"/>
      <c r="G213" s="5"/>
      <c r="L213" s="22"/>
    </row>
    <row r="214" spans="2:12" x14ac:dyDescent="0.35">
      <c r="B214" s="45"/>
      <c r="E214" s="5"/>
      <c r="F214" s="5"/>
      <c r="G214" s="5"/>
      <c r="L214" s="22"/>
    </row>
    <row r="215" spans="2:12" x14ac:dyDescent="0.35">
      <c r="B215" s="45"/>
      <c r="E215" s="5"/>
      <c r="F215" s="5"/>
      <c r="G215" s="5"/>
      <c r="L215" s="22"/>
    </row>
    <row r="216" spans="2:12" x14ac:dyDescent="0.35">
      <c r="B216" s="45"/>
      <c r="E216" s="5"/>
      <c r="F216" s="5"/>
      <c r="G216" s="5"/>
      <c r="J216" s="40"/>
      <c r="K216" s="323" t="s">
        <v>36</v>
      </c>
      <c r="L216" s="324"/>
    </row>
    <row r="217" spans="2:12" x14ac:dyDescent="0.35">
      <c r="B217" s="45"/>
      <c r="K217" s="325" t="s">
        <v>37</v>
      </c>
      <c r="L217" s="326"/>
    </row>
    <row r="218" spans="2:12" x14ac:dyDescent="0.35">
      <c r="B218" s="318"/>
      <c r="C218" s="319"/>
      <c r="D218" s="319"/>
      <c r="E218" s="41"/>
      <c r="F218" s="41"/>
      <c r="G218" s="41"/>
      <c r="H218" s="2"/>
      <c r="I218" s="2"/>
      <c r="J218" s="2"/>
      <c r="K218" s="2"/>
      <c r="L218" s="21"/>
    </row>
    <row r="219" spans="2:12" x14ac:dyDescent="0.35">
      <c r="B219" s="47"/>
      <c r="C219" s="48"/>
      <c r="D219" s="49"/>
      <c r="G219" s="22"/>
      <c r="H219" s="1"/>
      <c r="I219" s="1"/>
      <c r="J219" s="43"/>
      <c r="K219" s="30"/>
      <c r="L219" s="44"/>
    </row>
    <row r="220" spans="2:12" x14ac:dyDescent="0.35">
      <c r="B220" s="107"/>
      <c r="C220" s="108"/>
      <c r="D220" s="109" t="s">
        <v>53</v>
      </c>
      <c r="E220" s="110"/>
      <c r="F220" s="111" t="s">
        <v>89</v>
      </c>
      <c r="G220" s="112"/>
      <c r="H220" s="193"/>
      <c r="I220" s="106"/>
      <c r="J220" s="29"/>
      <c r="K220" s="51"/>
      <c r="L220" s="46"/>
    </row>
    <row r="221" spans="2:12" x14ac:dyDescent="0.35">
      <c r="B221" s="107"/>
      <c r="C221" s="108"/>
      <c r="D221" s="109"/>
      <c r="E221" s="110"/>
      <c r="F221" s="111" t="s">
        <v>85</v>
      </c>
      <c r="G221" s="112" t="s">
        <v>243</v>
      </c>
      <c r="H221" s="193">
        <v>25.366175999999996</v>
      </c>
      <c r="I221" s="106" t="s">
        <v>72</v>
      </c>
      <c r="J221" s="50">
        <v>35000</v>
      </c>
      <c r="K221" s="51"/>
      <c r="L221" s="46">
        <f t="shared" ref="L221:L268" si="5">J221*H221</f>
        <v>887816.1599999998</v>
      </c>
    </row>
    <row r="222" spans="2:12" x14ac:dyDescent="0.35">
      <c r="B222" s="107"/>
      <c r="C222" s="108"/>
      <c r="D222" s="109"/>
      <c r="E222" s="110"/>
      <c r="F222" s="111" t="s">
        <v>85</v>
      </c>
      <c r="G222" s="112" t="s">
        <v>244</v>
      </c>
      <c r="H222" s="193">
        <v>220.42799999999997</v>
      </c>
      <c r="I222" s="106" t="s">
        <v>72</v>
      </c>
      <c r="J222" s="50">
        <v>35000</v>
      </c>
      <c r="K222" s="51"/>
      <c r="L222" s="46">
        <f t="shared" si="5"/>
        <v>7714979.9999999991</v>
      </c>
    </row>
    <row r="223" spans="2:12" x14ac:dyDescent="0.35">
      <c r="B223" s="107"/>
      <c r="C223" s="108"/>
      <c r="D223" s="109"/>
      <c r="E223" s="110"/>
      <c r="F223" s="111" t="s">
        <v>85</v>
      </c>
      <c r="G223" s="112" t="s">
        <v>245</v>
      </c>
      <c r="H223" s="193">
        <f>0.8*0.61*12*7.85*1.2</f>
        <v>55.163519999999998</v>
      </c>
      <c r="I223" s="106" t="s">
        <v>72</v>
      </c>
      <c r="J223" s="50">
        <v>35000</v>
      </c>
      <c r="K223" s="29"/>
      <c r="L223" s="46">
        <f t="shared" si="5"/>
        <v>1930723.2</v>
      </c>
    </row>
    <row r="224" spans="2:12" x14ac:dyDescent="0.35">
      <c r="B224" s="107"/>
      <c r="C224" s="108"/>
      <c r="D224" s="109"/>
      <c r="E224" s="110"/>
      <c r="F224" s="111" t="s">
        <v>85</v>
      </c>
      <c r="G224" s="112" t="s">
        <v>246</v>
      </c>
      <c r="H224" s="193">
        <f>1.45*1.22*12*7.85</f>
        <v>166.63979999999998</v>
      </c>
      <c r="I224" s="106" t="s">
        <v>72</v>
      </c>
      <c r="J224" s="50">
        <v>35000</v>
      </c>
      <c r="K224" s="29"/>
      <c r="L224" s="46">
        <f t="shared" si="5"/>
        <v>5832392.9999999991</v>
      </c>
    </row>
    <row r="225" spans="2:12" x14ac:dyDescent="0.35">
      <c r="B225" s="107"/>
      <c r="C225" s="108"/>
      <c r="D225" s="109" t="s">
        <v>55</v>
      </c>
      <c r="E225" s="110"/>
      <c r="F225" s="111" t="s">
        <v>90</v>
      </c>
      <c r="G225" s="112"/>
      <c r="H225" s="193"/>
      <c r="I225" s="106"/>
      <c r="J225" s="50"/>
      <c r="K225" s="29"/>
      <c r="L225" s="46"/>
    </row>
    <row r="226" spans="2:12" x14ac:dyDescent="0.35">
      <c r="B226" s="107"/>
      <c r="C226" s="108"/>
      <c r="D226" s="109"/>
      <c r="E226" s="110"/>
      <c r="F226" s="111" t="s">
        <v>85</v>
      </c>
      <c r="G226" s="112" t="s">
        <v>247</v>
      </c>
      <c r="H226" s="193">
        <v>428.71550399999995</v>
      </c>
      <c r="I226" s="106" t="s">
        <v>72</v>
      </c>
      <c r="J226" s="50">
        <v>35000</v>
      </c>
      <c r="K226" s="29"/>
      <c r="L226" s="46">
        <f t="shared" si="5"/>
        <v>15005042.639999999</v>
      </c>
    </row>
    <row r="227" spans="2:12" x14ac:dyDescent="0.35">
      <c r="B227" s="107"/>
      <c r="C227" s="108"/>
      <c r="D227" s="109" t="s">
        <v>57</v>
      </c>
      <c r="E227" s="110"/>
      <c r="F227" s="111" t="s">
        <v>248</v>
      </c>
      <c r="G227" s="112"/>
      <c r="H227" s="193"/>
      <c r="I227" s="106"/>
      <c r="J227" s="50"/>
      <c r="K227" s="29"/>
      <c r="L227" s="46"/>
    </row>
    <row r="228" spans="2:12" x14ac:dyDescent="0.35">
      <c r="B228" s="107"/>
      <c r="C228" s="108"/>
      <c r="D228" s="109"/>
      <c r="E228" s="110"/>
      <c r="F228" s="111" t="s">
        <v>85</v>
      </c>
      <c r="G228" s="112" t="s">
        <v>249</v>
      </c>
      <c r="H228" s="193">
        <v>25.942679999999996</v>
      </c>
      <c r="I228" s="106" t="s">
        <v>72</v>
      </c>
      <c r="J228" s="50">
        <v>35000</v>
      </c>
      <c r="K228" s="29"/>
      <c r="L228" s="46">
        <f t="shared" si="5"/>
        <v>907993.79999999981</v>
      </c>
    </row>
    <row r="229" spans="2:12" x14ac:dyDescent="0.35">
      <c r="B229" s="107"/>
      <c r="C229" s="108"/>
      <c r="D229" s="109"/>
      <c r="E229" s="110"/>
      <c r="F229" s="111" t="s">
        <v>85</v>
      </c>
      <c r="G229" s="112" t="s">
        <v>250</v>
      </c>
      <c r="H229" s="193">
        <f>0.22*0.31*12*7.85*1.2</f>
        <v>7.7093279999999993</v>
      </c>
      <c r="I229" s="106" t="s">
        <v>72</v>
      </c>
      <c r="J229" s="50">
        <v>35000</v>
      </c>
      <c r="K229" s="29"/>
      <c r="L229" s="46">
        <f t="shared" si="5"/>
        <v>269826.48</v>
      </c>
    </row>
    <row r="230" spans="2:12" x14ac:dyDescent="0.35">
      <c r="B230" s="107"/>
      <c r="C230" s="108"/>
      <c r="D230" s="109"/>
      <c r="E230" s="110"/>
      <c r="F230" s="111" t="s">
        <v>85</v>
      </c>
      <c r="G230" s="112" t="s">
        <v>251</v>
      </c>
      <c r="H230" s="193">
        <v>24.529679999999992</v>
      </c>
      <c r="I230" s="106" t="s">
        <v>72</v>
      </c>
      <c r="J230" s="50">
        <v>35000</v>
      </c>
      <c r="K230" s="29"/>
      <c r="L230" s="46">
        <f t="shared" si="5"/>
        <v>858538.7999999997</v>
      </c>
    </row>
    <row r="231" spans="2:12" x14ac:dyDescent="0.35">
      <c r="B231" s="196"/>
      <c r="C231" s="197"/>
      <c r="D231" s="198" t="s">
        <v>68</v>
      </c>
      <c r="E231" s="199"/>
      <c r="F231" s="200" t="s">
        <v>252</v>
      </c>
      <c r="G231" s="201"/>
      <c r="H231" s="202"/>
      <c r="I231" s="203"/>
      <c r="J231" s="50"/>
      <c r="K231" s="29"/>
      <c r="L231" s="46"/>
    </row>
    <row r="232" spans="2:12" x14ac:dyDescent="0.35">
      <c r="B232" s="196"/>
      <c r="C232" s="197"/>
      <c r="D232" s="198"/>
      <c r="E232" s="199"/>
      <c r="F232" s="200" t="s">
        <v>85</v>
      </c>
      <c r="G232" s="102" t="s">
        <v>253</v>
      </c>
      <c r="H232" s="204">
        <f>5.97*2.95*12*7.85</f>
        <v>1659.0032999999999</v>
      </c>
      <c r="I232" s="203" t="s">
        <v>72</v>
      </c>
      <c r="J232" s="50">
        <v>17500</v>
      </c>
      <c r="K232" s="29"/>
      <c r="L232" s="46">
        <f t="shared" si="5"/>
        <v>29032557.749999996</v>
      </c>
    </row>
    <row r="233" spans="2:12" x14ac:dyDescent="0.35">
      <c r="B233" s="196"/>
      <c r="C233" s="197"/>
      <c r="D233" s="198"/>
      <c r="E233" s="199"/>
      <c r="F233" s="200" t="s">
        <v>85</v>
      </c>
      <c r="G233" s="112" t="s">
        <v>254</v>
      </c>
      <c r="H233" s="202">
        <f>0.6*10*2.1*3*7.85</f>
        <v>296.73</v>
      </c>
      <c r="I233" s="203" t="s">
        <v>72</v>
      </c>
      <c r="J233" s="50">
        <v>17500</v>
      </c>
      <c r="K233" s="29"/>
      <c r="L233" s="46">
        <f t="shared" si="5"/>
        <v>5192775</v>
      </c>
    </row>
    <row r="234" spans="2:12" x14ac:dyDescent="0.35">
      <c r="B234" s="196"/>
      <c r="C234" s="197"/>
      <c r="D234" s="198"/>
      <c r="E234" s="199"/>
      <c r="F234" s="200" t="s">
        <v>85</v>
      </c>
      <c r="G234" s="112" t="s">
        <v>255</v>
      </c>
      <c r="H234" s="202">
        <f>0.3*10*6.7*7.85*3</f>
        <v>473.35500000000002</v>
      </c>
      <c r="I234" s="203" t="s">
        <v>72</v>
      </c>
      <c r="J234" s="50">
        <v>17500</v>
      </c>
      <c r="K234" s="29"/>
      <c r="L234" s="46">
        <f t="shared" si="5"/>
        <v>8283712.5</v>
      </c>
    </row>
    <row r="235" spans="2:12" x14ac:dyDescent="0.35">
      <c r="B235" s="196"/>
      <c r="C235" s="197"/>
      <c r="D235" s="198"/>
      <c r="E235" s="199"/>
      <c r="F235" s="200"/>
      <c r="G235" s="201"/>
      <c r="H235" s="202"/>
      <c r="I235" s="203"/>
      <c r="J235" s="50"/>
      <c r="K235" s="29"/>
      <c r="L235" s="46"/>
    </row>
    <row r="236" spans="2:12" x14ac:dyDescent="0.35">
      <c r="B236" s="205"/>
      <c r="C236" s="206"/>
      <c r="D236" s="207"/>
      <c r="E236" s="208"/>
      <c r="F236" s="208" t="s">
        <v>91</v>
      </c>
      <c r="G236" s="209"/>
      <c r="H236" s="210"/>
      <c r="I236" s="211"/>
      <c r="J236" s="50"/>
      <c r="K236" s="29"/>
      <c r="L236" s="46"/>
    </row>
    <row r="237" spans="2:12" x14ac:dyDescent="0.35">
      <c r="B237" s="107" t="s">
        <v>43</v>
      </c>
      <c r="C237" s="108"/>
      <c r="D237" s="109"/>
      <c r="E237" s="110" t="s">
        <v>92</v>
      </c>
      <c r="F237" s="111"/>
      <c r="G237" s="112"/>
      <c r="H237" s="212"/>
      <c r="I237" s="106"/>
      <c r="J237" s="50"/>
      <c r="K237" s="29"/>
      <c r="L237" s="46"/>
    </row>
    <row r="238" spans="2:12" x14ac:dyDescent="0.35">
      <c r="B238" s="107"/>
      <c r="C238" s="108" t="s">
        <v>82</v>
      </c>
      <c r="D238" s="109"/>
      <c r="E238" s="110"/>
      <c r="F238" s="111" t="s">
        <v>93</v>
      </c>
      <c r="G238" s="112"/>
      <c r="H238" s="193"/>
      <c r="I238" s="106"/>
      <c r="J238" s="50"/>
      <c r="K238" s="29"/>
      <c r="L238" s="46"/>
    </row>
    <row r="239" spans="2:12" x14ac:dyDescent="0.35">
      <c r="B239" s="107"/>
      <c r="C239" s="108"/>
      <c r="D239" s="109" t="s">
        <v>44</v>
      </c>
      <c r="E239" s="110"/>
      <c r="F239" s="111" t="s">
        <v>94</v>
      </c>
      <c r="G239" s="112"/>
      <c r="H239" s="193"/>
      <c r="I239" s="106"/>
      <c r="J239" s="50"/>
      <c r="K239" s="29"/>
      <c r="L239" s="46"/>
    </row>
    <row r="240" spans="2:12" x14ac:dyDescent="0.35">
      <c r="B240" s="107"/>
      <c r="C240" s="108"/>
      <c r="D240" s="109"/>
      <c r="E240" s="110"/>
      <c r="F240" s="111" t="s">
        <v>85</v>
      </c>
      <c r="G240" s="112" t="s">
        <v>256</v>
      </c>
      <c r="H240" s="193">
        <f>0.6*10*0.6*7.85*1.2</f>
        <v>33.911999999999992</v>
      </c>
      <c r="I240" s="106" t="s">
        <v>72</v>
      </c>
      <c r="J240" s="50">
        <v>35000</v>
      </c>
      <c r="K240" s="29"/>
      <c r="L240" s="46">
        <f t="shared" si="5"/>
        <v>1186919.9999999998</v>
      </c>
    </row>
    <row r="241" spans="2:12" x14ac:dyDescent="0.35">
      <c r="B241" s="107"/>
      <c r="C241" s="108"/>
      <c r="D241" s="109"/>
      <c r="E241" s="110"/>
      <c r="F241" s="111" t="s">
        <v>85</v>
      </c>
      <c r="G241" s="112" t="s">
        <v>257</v>
      </c>
      <c r="H241" s="193">
        <f>0.6*10*0.7*7.85*1.2</f>
        <v>39.563999999999986</v>
      </c>
      <c r="I241" s="106" t="s">
        <v>72</v>
      </c>
      <c r="J241" s="50">
        <v>35000</v>
      </c>
      <c r="K241" s="29"/>
      <c r="L241" s="46">
        <f t="shared" si="5"/>
        <v>1384739.9999999995</v>
      </c>
    </row>
    <row r="242" spans="2:12" x14ac:dyDescent="0.35">
      <c r="B242" s="107"/>
      <c r="C242" s="108"/>
      <c r="D242" s="109"/>
      <c r="E242" s="110"/>
      <c r="F242" s="111" t="s">
        <v>85</v>
      </c>
      <c r="G242" s="112" t="s">
        <v>258</v>
      </c>
      <c r="H242" s="193">
        <v>27.1296</v>
      </c>
      <c r="I242" s="106" t="s">
        <v>72</v>
      </c>
      <c r="J242" s="50">
        <v>35000</v>
      </c>
      <c r="K242" s="29"/>
      <c r="L242" s="46">
        <f t="shared" si="5"/>
        <v>949536</v>
      </c>
    </row>
    <row r="243" spans="2:12" x14ac:dyDescent="0.35">
      <c r="B243" s="107"/>
      <c r="C243" s="108"/>
      <c r="D243" s="109"/>
      <c r="E243" s="110"/>
      <c r="F243" s="111" t="s">
        <v>85</v>
      </c>
      <c r="G243" s="112" t="s">
        <v>259</v>
      </c>
      <c r="H243" s="193">
        <v>31.651199999999999</v>
      </c>
      <c r="I243" s="106" t="s">
        <v>72</v>
      </c>
      <c r="J243" s="50">
        <v>35000</v>
      </c>
      <c r="K243" s="29"/>
      <c r="L243" s="46">
        <f t="shared" si="5"/>
        <v>1107792</v>
      </c>
    </row>
    <row r="244" spans="2:12" x14ac:dyDescent="0.35">
      <c r="B244" s="107"/>
      <c r="C244" s="108"/>
      <c r="D244" s="109" t="s">
        <v>47</v>
      </c>
      <c r="E244" s="110"/>
      <c r="F244" s="111" t="s">
        <v>95</v>
      </c>
      <c r="G244" s="112"/>
      <c r="H244" s="193"/>
      <c r="I244" s="106"/>
      <c r="J244" s="50"/>
      <c r="K244" s="29"/>
      <c r="L244" s="46"/>
    </row>
    <row r="245" spans="2:12" x14ac:dyDescent="0.35">
      <c r="B245" s="107"/>
      <c r="C245" s="108"/>
      <c r="D245" s="109"/>
      <c r="E245" s="110"/>
      <c r="F245" s="111" t="s">
        <v>85</v>
      </c>
      <c r="G245" s="112" t="s">
        <v>260</v>
      </c>
      <c r="H245" s="193">
        <v>121.51799999999999</v>
      </c>
      <c r="I245" s="106" t="s">
        <v>72</v>
      </c>
      <c r="J245" s="50">
        <v>35000</v>
      </c>
      <c r="K245" s="29"/>
      <c r="L245" s="46">
        <f t="shared" si="5"/>
        <v>4253129.9999999991</v>
      </c>
    </row>
    <row r="246" spans="2:12" x14ac:dyDescent="0.35">
      <c r="B246" s="107"/>
      <c r="C246" s="108"/>
      <c r="D246" s="109"/>
      <c r="E246" s="110"/>
      <c r="F246" s="111" t="s">
        <v>85</v>
      </c>
      <c r="G246" s="112" t="s">
        <v>261</v>
      </c>
      <c r="H246" s="193">
        <v>104.56199999999998</v>
      </c>
      <c r="I246" s="106" t="s">
        <v>72</v>
      </c>
      <c r="J246" s="50">
        <v>35000</v>
      </c>
      <c r="K246" s="29"/>
      <c r="L246" s="46">
        <f t="shared" si="5"/>
        <v>3659669.9999999995</v>
      </c>
    </row>
    <row r="247" spans="2:12" x14ac:dyDescent="0.35">
      <c r="B247" s="213"/>
      <c r="C247" s="214"/>
      <c r="D247" s="215"/>
      <c r="E247" s="216"/>
      <c r="F247" s="217" t="s">
        <v>85</v>
      </c>
      <c r="G247" s="218" t="s">
        <v>262</v>
      </c>
      <c r="H247" s="219">
        <f>0.6*10*0.7*7.85*1.2*2</f>
        <v>79.127999999999972</v>
      </c>
      <c r="I247" s="220" t="s">
        <v>72</v>
      </c>
      <c r="J247" s="50">
        <v>35000</v>
      </c>
      <c r="K247" s="29"/>
      <c r="L247" s="46">
        <f t="shared" si="5"/>
        <v>2769479.9999999991</v>
      </c>
    </row>
    <row r="248" spans="2:12" x14ac:dyDescent="0.35">
      <c r="B248" s="213"/>
      <c r="C248" s="214"/>
      <c r="D248" s="215"/>
      <c r="E248" s="216"/>
      <c r="F248" s="217" t="s">
        <v>85</v>
      </c>
      <c r="G248" s="218" t="s">
        <v>263</v>
      </c>
      <c r="H248" s="219">
        <f>0.6*10*0.61*7.85*1.2*1</f>
        <v>34.477199999999996</v>
      </c>
      <c r="I248" s="220" t="s">
        <v>72</v>
      </c>
      <c r="J248" s="50">
        <v>35000</v>
      </c>
      <c r="K248" s="29"/>
      <c r="L248" s="46">
        <f t="shared" si="5"/>
        <v>1206701.9999999998</v>
      </c>
    </row>
    <row r="249" spans="2:12" x14ac:dyDescent="0.35">
      <c r="B249" s="107"/>
      <c r="C249" s="108"/>
      <c r="D249" s="109"/>
      <c r="E249" s="110"/>
      <c r="F249" s="111" t="s">
        <v>85</v>
      </c>
      <c r="G249" s="112" t="s">
        <v>264</v>
      </c>
      <c r="H249" s="193">
        <v>70.310879999999997</v>
      </c>
      <c r="I249" s="106" t="s">
        <v>72</v>
      </c>
      <c r="J249" s="50">
        <v>35000</v>
      </c>
      <c r="K249" s="29"/>
      <c r="L249" s="46">
        <f t="shared" si="5"/>
        <v>2460880.7999999998</v>
      </c>
    </row>
    <row r="250" spans="2:12" x14ac:dyDescent="0.35">
      <c r="B250" s="107"/>
      <c r="C250" s="108"/>
      <c r="D250" s="109"/>
      <c r="E250" s="110"/>
      <c r="F250" s="111" t="s">
        <v>85</v>
      </c>
      <c r="G250" s="112" t="s">
        <v>265</v>
      </c>
      <c r="H250" s="193">
        <v>72.345600000000005</v>
      </c>
      <c r="I250" s="106" t="s">
        <v>72</v>
      </c>
      <c r="J250" s="50">
        <v>35000</v>
      </c>
      <c r="K250" s="29"/>
      <c r="L250" s="46">
        <f t="shared" si="5"/>
        <v>2532096</v>
      </c>
    </row>
    <row r="251" spans="2:12" x14ac:dyDescent="0.35">
      <c r="B251" s="107"/>
      <c r="C251" s="108"/>
      <c r="D251" s="109"/>
      <c r="E251" s="110"/>
      <c r="F251" s="111" t="s">
        <v>85</v>
      </c>
      <c r="G251" s="112" t="s">
        <v>266</v>
      </c>
      <c r="H251" s="193">
        <v>75.736800000000002</v>
      </c>
      <c r="I251" s="106" t="s">
        <v>72</v>
      </c>
      <c r="J251" s="50">
        <v>35000</v>
      </c>
      <c r="K251" s="29"/>
      <c r="L251" s="46">
        <f t="shared" si="5"/>
        <v>2650788</v>
      </c>
    </row>
    <row r="252" spans="2:12" x14ac:dyDescent="0.35">
      <c r="B252" s="107"/>
      <c r="C252" s="108"/>
      <c r="D252" s="109"/>
      <c r="E252" s="110"/>
      <c r="F252" s="111" t="s">
        <v>85</v>
      </c>
      <c r="G252" s="112" t="s">
        <v>267</v>
      </c>
      <c r="H252" s="193">
        <v>75.736800000000002</v>
      </c>
      <c r="I252" s="106" t="s">
        <v>72</v>
      </c>
      <c r="J252" s="50">
        <v>35000</v>
      </c>
      <c r="K252" s="29"/>
      <c r="L252" s="46">
        <f t="shared" si="5"/>
        <v>2650788</v>
      </c>
    </row>
    <row r="253" spans="2:12" x14ac:dyDescent="0.35">
      <c r="B253" s="107"/>
      <c r="C253" s="108"/>
      <c r="D253" s="109"/>
      <c r="E253" s="110"/>
      <c r="F253" s="111" t="s">
        <v>85</v>
      </c>
      <c r="G253" s="112" t="s">
        <v>268</v>
      </c>
      <c r="H253" s="193">
        <f>0.2*0.09*12*7.85*1.2*4</f>
        <v>8.1388799999999986</v>
      </c>
      <c r="I253" s="106" t="s">
        <v>72</v>
      </c>
      <c r="J253" s="50">
        <v>35000</v>
      </c>
      <c r="K253" s="29"/>
      <c r="L253" s="46">
        <f t="shared" si="5"/>
        <v>284860.79999999993</v>
      </c>
    </row>
    <row r="254" spans="2:12" x14ac:dyDescent="0.35">
      <c r="B254" s="107"/>
      <c r="C254" s="108"/>
      <c r="D254" s="109"/>
      <c r="E254" s="110"/>
      <c r="F254" s="111" t="s">
        <v>85</v>
      </c>
      <c r="G254" s="112" t="s">
        <v>269</v>
      </c>
      <c r="H254" s="193">
        <v>47.47679999999999</v>
      </c>
      <c r="I254" s="106" t="s">
        <v>72</v>
      </c>
      <c r="J254" s="50">
        <v>35000</v>
      </c>
      <c r="K254" s="29"/>
      <c r="L254" s="46">
        <f t="shared" si="5"/>
        <v>1661687.9999999998</v>
      </c>
    </row>
    <row r="255" spans="2:12" x14ac:dyDescent="0.35">
      <c r="B255" s="107"/>
      <c r="C255" s="108"/>
      <c r="D255" s="109" t="s">
        <v>49</v>
      </c>
      <c r="E255" s="110"/>
      <c r="F255" s="111" t="s">
        <v>114</v>
      </c>
      <c r="G255" s="112"/>
      <c r="H255" s="193"/>
      <c r="I255" s="106"/>
      <c r="J255" s="50"/>
      <c r="K255" s="29"/>
      <c r="L255" s="46"/>
    </row>
    <row r="256" spans="2:12" x14ac:dyDescent="0.35">
      <c r="B256" s="107"/>
      <c r="C256" s="108"/>
      <c r="D256" s="109"/>
      <c r="E256" s="110"/>
      <c r="F256" s="111" t="s">
        <v>85</v>
      </c>
      <c r="G256" s="112" t="s">
        <v>270</v>
      </c>
      <c r="H256" s="193">
        <v>77.432399999999987</v>
      </c>
      <c r="I256" s="106" t="s">
        <v>72</v>
      </c>
      <c r="J256" s="50">
        <v>35000</v>
      </c>
      <c r="K256" s="29"/>
      <c r="L256" s="46">
        <f t="shared" si="5"/>
        <v>2710133.9999999995</v>
      </c>
    </row>
    <row r="257" spans="2:12" x14ac:dyDescent="0.35">
      <c r="B257" s="107"/>
      <c r="C257" s="108"/>
      <c r="D257" s="109"/>
      <c r="E257" s="110"/>
      <c r="F257" s="111" t="s">
        <v>85</v>
      </c>
      <c r="G257" s="112" t="s">
        <v>271</v>
      </c>
      <c r="H257" s="193">
        <v>141.29999999999998</v>
      </c>
      <c r="I257" s="106" t="s">
        <v>72</v>
      </c>
      <c r="J257" s="50">
        <v>35000</v>
      </c>
      <c r="K257" s="29"/>
      <c r="L257" s="46">
        <f t="shared" si="5"/>
        <v>4945499.9999999991</v>
      </c>
    </row>
    <row r="258" spans="2:12" x14ac:dyDescent="0.35">
      <c r="B258" s="107"/>
      <c r="C258" s="108"/>
      <c r="D258" s="109"/>
      <c r="E258" s="110"/>
      <c r="F258" s="111" t="s">
        <v>85</v>
      </c>
      <c r="G258" s="112" t="s">
        <v>272</v>
      </c>
      <c r="H258" s="193">
        <v>118.69199999999999</v>
      </c>
      <c r="I258" s="106" t="s">
        <v>72</v>
      </c>
      <c r="J258" s="50">
        <v>35000</v>
      </c>
      <c r="K258" s="29"/>
      <c r="L258" s="46">
        <f t="shared" si="5"/>
        <v>4154219.9999999995</v>
      </c>
    </row>
    <row r="259" spans="2:12" x14ac:dyDescent="0.35">
      <c r="B259" s="107"/>
      <c r="C259" s="108"/>
      <c r="D259" s="109"/>
      <c r="E259" s="110"/>
      <c r="F259" s="111" t="s">
        <v>85</v>
      </c>
      <c r="G259" s="112" t="s">
        <v>273</v>
      </c>
      <c r="H259" s="193">
        <v>152.60399999999998</v>
      </c>
      <c r="I259" s="106" t="s">
        <v>72</v>
      </c>
      <c r="J259" s="50">
        <v>35000</v>
      </c>
      <c r="K259" s="29"/>
      <c r="L259" s="46">
        <f t="shared" si="5"/>
        <v>5341139.9999999991</v>
      </c>
    </row>
    <row r="260" spans="2:12" x14ac:dyDescent="0.35">
      <c r="B260" s="107"/>
      <c r="C260" s="108"/>
      <c r="D260" s="109"/>
      <c r="E260" s="110"/>
      <c r="F260" s="111" t="s">
        <v>85</v>
      </c>
      <c r="G260" s="112" t="s">
        <v>274</v>
      </c>
      <c r="H260" s="193">
        <f>0.4*0.11*10*7.85*1.2*2</f>
        <v>8.2896000000000001</v>
      </c>
      <c r="I260" s="106" t="s">
        <v>72</v>
      </c>
      <c r="J260" s="50">
        <v>35000</v>
      </c>
      <c r="K260" s="29"/>
      <c r="L260" s="46">
        <f t="shared" si="5"/>
        <v>290136</v>
      </c>
    </row>
    <row r="261" spans="2:12" x14ac:dyDescent="0.35">
      <c r="B261" s="107"/>
      <c r="C261" s="108"/>
      <c r="D261" s="109"/>
      <c r="E261" s="110"/>
      <c r="F261" s="111" t="s">
        <v>85</v>
      </c>
      <c r="G261" s="112" t="s">
        <v>275</v>
      </c>
      <c r="H261" s="193">
        <f>0.6*10*1.1*7.85*3*1.2</f>
        <v>186.51599999999999</v>
      </c>
      <c r="I261" s="106" t="s">
        <v>72</v>
      </c>
      <c r="J261" s="50">
        <v>35000</v>
      </c>
      <c r="K261" s="29"/>
      <c r="L261" s="46">
        <f t="shared" si="5"/>
        <v>6528060</v>
      </c>
    </row>
    <row r="262" spans="2:12" x14ac:dyDescent="0.35">
      <c r="B262" s="107"/>
      <c r="C262" s="108"/>
      <c r="D262" s="109"/>
      <c r="E262" s="110"/>
      <c r="F262" s="111" t="s">
        <v>85</v>
      </c>
      <c r="G262" s="112" t="s">
        <v>276</v>
      </c>
      <c r="H262" s="193">
        <v>92.127599999999987</v>
      </c>
      <c r="I262" s="106" t="s">
        <v>72</v>
      </c>
      <c r="J262" s="50">
        <v>35000</v>
      </c>
      <c r="K262" s="29"/>
      <c r="L262" s="46">
        <f t="shared" si="5"/>
        <v>3224465.9999999995</v>
      </c>
    </row>
    <row r="263" spans="2:12" x14ac:dyDescent="0.35">
      <c r="B263" s="107"/>
      <c r="C263" s="108"/>
      <c r="D263" s="109"/>
      <c r="E263" s="110"/>
      <c r="F263" s="111" t="s">
        <v>85</v>
      </c>
      <c r="G263" s="112" t="s">
        <v>277</v>
      </c>
      <c r="H263" s="193">
        <v>48.041999999999994</v>
      </c>
      <c r="I263" s="106" t="s">
        <v>72</v>
      </c>
      <c r="J263" s="50">
        <v>35000</v>
      </c>
      <c r="K263" s="29"/>
      <c r="L263" s="46">
        <f t="shared" si="5"/>
        <v>1681469.9999999998</v>
      </c>
    </row>
    <row r="264" spans="2:12" x14ac:dyDescent="0.35">
      <c r="B264" s="107"/>
      <c r="C264" s="108"/>
      <c r="D264" s="109"/>
      <c r="E264" s="110"/>
      <c r="F264" s="111" t="s">
        <v>85</v>
      </c>
      <c r="G264" s="112" t="s">
        <v>278</v>
      </c>
      <c r="H264" s="193">
        <v>47.476799999999997</v>
      </c>
      <c r="I264" s="106" t="s">
        <v>72</v>
      </c>
      <c r="J264" s="50">
        <v>35000</v>
      </c>
      <c r="K264" s="29"/>
      <c r="L264" s="46">
        <f t="shared" si="5"/>
        <v>1661688</v>
      </c>
    </row>
    <row r="265" spans="2:12" x14ac:dyDescent="0.35">
      <c r="B265" s="107"/>
      <c r="C265" s="108"/>
      <c r="D265" s="109"/>
      <c r="E265" s="110"/>
      <c r="F265" s="111" t="s">
        <v>85</v>
      </c>
      <c r="G265" s="112" t="s">
        <v>279</v>
      </c>
      <c r="H265" s="193">
        <f>0.6*10*0.63*7.85*1.2</f>
        <v>35.607599999999998</v>
      </c>
      <c r="I265" s="106" t="s">
        <v>72</v>
      </c>
      <c r="J265" s="50">
        <v>35000</v>
      </c>
      <c r="K265" s="29"/>
      <c r="L265" s="46">
        <f t="shared" si="5"/>
        <v>1246266</v>
      </c>
    </row>
    <row r="266" spans="2:12" x14ac:dyDescent="0.35">
      <c r="B266" s="107"/>
      <c r="C266" s="108"/>
      <c r="D266" s="109"/>
      <c r="E266" s="110"/>
      <c r="F266" s="111" t="s">
        <v>85</v>
      </c>
      <c r="G266" s="112" t="s">
        <v>280</v>
      </c>
      <c r="H266" s="193">
        <f>0.6*10*0.63*7.85*1.2</f>
        <v>35.607599999999998</v>
      </c>
      <c r="I266" s="106" t="s">
        <v>72</v>
      </c>
      <c r="J266" s="50">
        <v>35000</v>
      </c>
      <c r="K266" s="29"/>
      <c r="L266" s="46">
        <f t="shared" si="5"/>
        <v>1246266</v>
      </c>
    </row>
    <row r="267" spans="2:12" x14ac:dyDescent="0.35">
      <c r="B267" s="107"/>
      <c r="C267" s="108"/>
      <c r="D267" s="109"/>
      <c r="E267" s="110"/>
      <c r="F267" s="111" t="s">
        <v>85</v>
      </c>
      <c r="G267" s="112" t="s">
        <v>281</v>
      </c>
      <c r="H267" s="193">
        <v>135.98712</v>
      </c>
      <c r="I267" s="106" t="s">
        <v>72</v>
      </c>
      <c r="J267" s="50">
        <v>35000</v>
      </c>
      <c r="K267" s="29"/>
      <c r="L267" s="46">
        <f t="shared" si="5"/>
        <v>4759549.2</v>
      </c>
    </row>
    <row r="268" spans="2:12" x14ac:dyDescent="0.35">
      <c r="B268" s="107"/>
      <c r="C268" s="108"/>
      <c r="D268" s="109"/>
      <c r="E268" s="110"/>
      <c r="F268" s="111" t="s">
        <v>85</v>
      </c>
      <c r="G268" s="112" t="s">
        <v>282</v>
      </c>
      <c r="H268" s="193">
        <v>136.32623999999998</v>
      </c>
      <c r="I268" s="106" t="s">
        <v>72</v>
      </c>
      <c r="J268" s="50">
        <v>35000</v>
      </c>
      <c r="K268" s="29"/>
      <c r="L268" s="46">
        <f t="shared" si="5"/>
        <v>4771418.3999999994</v>
      </c>
    </row>
    <row r="269" spans="2:12" x14ac:dyDescent="0.35">
      <c r="B269" s="47"/>
      <c r="C269" s="48"/>
      <c r="D269" s="24"/>
      <c r="G269" s="22"/>
      <c r="I269" s="22"/>
      <c r="J269" s="50"/>
      <c r="K269" s="29"/>
      <c r="L269" s="52"/>
    </row>
    <row r="270" spans="2:12" x14ac:dyDescent="0.35">
      <c r="B270" s="47"/>
      <c r="C270" s="48"/>
      <c r="D270" s="24"/>
      <c r="G270" s="22"/>
      <c r="I270" s="22"/>
      <c r="J270" s="50"/>
      <c r="K270" s="29"/>
      <c r="L270" s="52"/>
    </row>
    <row r="271" spans="2:12" x14ac:dyDescent="0.35">
      <c r="B271" s="8"/>
      <c r="C271" s="9"/>
      <c r="D271" s="10"/>
      <c r="E271" s="4"/>
      <c r="F271" s="4"/>
      <c r="G271" s="4"/>
      <c r="H271" s="1"/>
      <c r="I271" s="1"/>
      <c r="J271" s="11" t="s">
        <v>8</v>
      </c>
      <c r="K271" s="7">
        <f>SUM(K219:K270)</f>
        <v>0</v>
      </c>
      <c r="L271" s="7">
        <f>SUM(L219:L270)</f>
        <v>147235744.52999997</v>
      </c>
    </row>
    <row r="272" spans="2:12" x14ac:dyDescent="0.35">
      <c r="B272" s="8"/>
      <c r="C272" s="9"/>
      <c r="D272" s="9"/>
      <c r="E272" s="4"/>
      <c r="F272" s="4"/>
      <c r="G272" s="4"/>
      <c r="H272" s="1"/>
      <c r="I272" s="1"/>
      <c r="J272" s="11"/>
      <c r="K272" s="35" t="s">
        <v>22</v>
      </c>
      <c r="L272" s="36" t="s">
        <v>23</v>
      </c>
    </row>
    <row r="273" spans="2:12" x14ac:dyDescent="0.35">
      <c r="B273" s="3" t="s">
        <v>9</v>
      </c>
      <c r="C273" s="4"/>
      <c r="D273" s="4"/>
      <c r="E273" s="4"/>
      <c r="F273" s="4"/>
      <c r="G273" s="4"/>
      <c r="H273" s="1"/>
      <c r="I273" s="1"/>
      <c r="J273" s="12"/>
      <c r="K273" s="12"/>
      <c r="L273" s="13"/>
    </row>
    <row r="274" spans="2:12" x14ac:dyDescent="0.35">
      <c r="B274" s="37"/>
      <c r="C274" s="1"/>
      <c r="D274" s="1"/>
      <c r="E274" s="38"/>
      <c r="F274" s="38"/>
      <c r="G274" s="38"/>
      <c r="H274" s="1"/>
      <c r="I274" s="1"/>
      <c r="J274" s="1"/>
      <c r="K274" s="1"/>
      <c r="L274" s="19"/>
    </row>
    <row r="275" spans="2:12" x14ac:dyDescent="0.35">
      <c r="B275" s="28" t="s">
        <v>6</v>
      </c>
      <c r="C275" s="27"/>
      <c r="D275" s="27"/>
      <c r="E275" s="26"/>
      <c r="F275" s="26"/>
      <c r="G275" s="5"/>
      <c r="K275" s="321" t="str">
        <f>K209</f>
        <v>Balikpapan, 26 Juni 2025</v>
      </c>
      <c r="L275" s="322"/>
    </row>
    <row r="276" spans="2:12" x14ac:dyDescent="0.35">
      <c r="B276" s="28">
        <v>1</v>
      </c>
      <c r="C276" s="27"/>
      <c r="D276" s="27"/>
      <c r="E276" s="26" t="s">
        <v>7</v>
      </c>
      <c r="F276" s="26"/>
      <c r="G276" s="5"/>
      <c r="K276" s="321" t="s">
        <v>28</v>
      </c>
      <c r="L276" s="322"/>
    </row>
    <row r="277" spans="2:12" x14ac:dyDescent="0.35">
      <c r="B277" s="39"/>
      <c r="C277" s="27"/>
      <c r="D277" s="27"/>
      <c r="E277" s="26"/>
      <c r="F277" s="26"/>
      <c r="G277" s="5"/>
      <c r="J277" s="25"/>
      <c r="K277" s="25"/>
      <c r="L277" s="24"/>
    </row>
    <row r="278" spans="2:12" x14ac:dyDescent="0.35">
      <c r="B278" s="28"/>
      <c r="C278" s="27"/>
      <c r="D278" s="27"/>
      <c r="E278" s="26"/>
      <c r="F278" s="26"/>
      <c r="G278" s="5"/>
      <c r="L278" s="22"/>
    </row>
    <row r="279" spans="2:12" x14ac:dyDescent="0.35">
      <c r="B279" s="45"/>
      <c r="E279" s="5"/>
      <c r="F279" s="5"/>
      <c r="G279" s="5"/>
      <c r="L279" s="22"/>
    </row>
    <row r="280" spans="2:12" x14ac:dyDescent="0.35">
      <c r="B280" s="45"/>
      <c r="E280" s="5"/>
      <c r="F280" s="5"/>
      <c r="G280" s="5"/>
      <c r="L280" s="22"/>
    </row>
    <row r="281" spans="2:12" x14ac:dyDescent="0.35">
      <c r="B281" s="45"/>
      <c r="E281" s="5"/>
      <c r="F281" s="5"/>
      <c r="G281" s="5"/>
      <c r="L281" s="22"/>
    </row>
    <row r="282" spans="2:12" x14ac:dyDescent="0.35">
      <c r="B282" s="45"/>
      <c r="E282" s="5"/>
      <c r="F282" s="5"/>
      <c r="G282" s="5"/>
      <c r="J282" s="40"/>
      <c r="K282" s="323" t="s">
        <v>36</v>
      </c>
      <c r="L282" s="324"/>
    </row>
    <row r="283" spans="2:12" x14ac:dyDescent="0.35">
      <c r="B283" s="45"/>
      <c r="K283" s="325" t="s">
        <v>37</v>
      </c>
      <c r="L283" s="326"/>
    </row>
    <row r="284" spans="2:12" x14ac:dyDescent="0.35">
      <c r="B284" s="318"/>
      <c r="C284" s="319"/>
      <c r="D284" s="319"/>
      <c r="E284" s="41"/>
      <c r="F284" s="41"/>
      <c r="G284" s="41"/>
      <c r="H284" s="2"/>
      <c r="I284" s="2"/>
      <c r="J284" s="2"/>
      <c r="K284" s="2"/>
      <c r="L284" s="21"/>
    </row>
    <row r="285" spans="2:12" x14ac:dyDescent="0.35">
      <c r="B285" s="47"/>
      <c r="C285" s="48"/>
      <c r="D285" s="49"/>
      <c r="G285" s="22"/>
      <c r="H285" s="1"/>
      <c r="I285" s="1"/>
      <c r="J285" s="43"/>
      <c r="K285" s="30"/>
      <c r="L285" s="44"/>
    </row>
    <row r="286" spans="2:12" x14ac:dyDescent="0.35">
      <c r="B286" s="107"/>
      <c r="C286" s="108"/>
      <c r="D286" s="109"/>
      <c r="E286" s="110"/>
      <c r="F286" s="111" t="s">
        <v>85</v>
      </c>
      <c r="G286" s="112" t="s">
        <v>283</v>
      </c>
      <c r="H286" s="193">
        <f>0.24*10*1.8*7.85*1.2</f>
        <v>40.694399999999995</v>
      </c>
      <c r="I286" s="106" t="s">
        <v>72</v>
      </c>
      <c r="J286" s="50">
        <v>35000</v>
      </c>
      <c r="K286" s="51"/>
      <c r="L286" s="46">
        <f t="shared" ref="L286:L335" si="6">J286*H286</f>
        <v>1424303.9999999998</v>
      </c>
    </row>
    <row r="287" spans="2:12" x14ac:dyDescent="0.35">
      <c r="B287" s="107"/>
      <c r="C287" s="108"/>
      <c r="D287" s="109"/>
      <c r="E287" s="110"/>
      <c r="F287" s="111" t="s">
        <v>85</v>
      </c>
      <c r="G287" s="112" t="s">
        <v>284</v>
      </c>
      <c r="H287" s="193">
        <f>0.19*0.09*10*7.85*1.2*8</f>
        <v>12.886559999999999</v>
      </c>
      <c r="I287" s="106" t="s">
        <v>72</v>
      </c>
      <c r="J287" s="50">
        <v>35000</v>
      </c>
      <c r="K287" s="51"/>
      <c r="L287" s="46">
        <f t="shared" si="6"/>
        <v>451029.6</v>
      </c>
    </row>
    <row r="288" spans="2:12" x14ac:dyDescent="0.35">
      <c r="B288" s="107"/>
      <c r="C288" s="108"/>
      <c r="D288" s="109"/>
      <c r="E288" s="110"/>
      <c r="F288" s="111" t="s">
        <v>85</v>
      </c>
      <c r="G288" s="112" t="s">
        <v>285</v>
      </c>
      <c r="H288" s="193">
        <f>0.4*0.09*12*7.85*1.2</f>
        <v>4.0694399999999993</v>
      </c>
      <c r="I288" s="106" t="s">
        <v>72</v>
      </c>
      <c r="J288" s="50">
        <v>35000</v>
      </c>
      <c r="K288" s="51"/>
      <c r="L288" s="46">
        <f t="shared" si="6"/>
        <v>142430.39999999997</v>
      </c>
    </row>
    <row r="289" spans="2:12" x14ac:dyDescent="0.35">
      <c r="B289" s="107"/>
      <c r="C289" s="108"/>
      <c r="D289" s="109"/>
      <c r="E289" s="110"/>
      <c r="F289" s="111" t="s">
        <v>85</v>
      </c>
      <c r="G289" s="112" t="s">
        <v>286</v>
      </c>
      <c r="H289" s="193">
        <v>4.1447999999999992</v>
      </c>
      <c r="I289" s="106" t="s">
        <v>72</v>
      </c>
      <c r="J289" s="50">
        <v>35000</v>
      </c>
      <c r="K289" s="29"/>
      <c r="L289" s="46">
        <f t="shared" si="6"/>
        <v>145067.99999999997</v>
      </c>
    </row>
    <row r="290" spans="2:12" x14ac:dyDescent="0.35">
      <c r="B290" s="107"/>
      <c r="C290" s="108"/>
      <c r="D290" s="109" t="s">
        <v>51</v>
      </c>
      <c r="E290" s="110"/>
      <c r="F290" s="111" t="s">
        <v>96</v>
      </c>
      <c r="G290" s="112"/>
      <c r="H290" s="193"/>
      <c r="I290" s="106"/>
      <c r="J290" s="50"/>
      <c r="K290" s="29"/>
      <c r="L290" s="46"/>
    </row>
    <row r="291" spans="2:12" x14ac:dyDescent="0.35">
      <c r="B291" s="107"/>
      <c r="C291" s="108"/>
      <c r="D291" s="109"/>
      <c r="E291" s="110"/>
      <c r="F291" s="111" t="s">
        <v>85</v>
      </c>
      <c r="G291" s="112" t="s">
        <v>287</v>
      </c>
      <c r="H291" s="193">
        <v>15.885887999999998</v>
      </c>
      <c r="I291" s="106" t="s">
        <v>72</v>
      </c>
      <c r="J291" s="50">
        <v>35000</v>
      </c>
      <c r="K291" s="29"/>
      <c r="L291" s="46">
        <f t="shared" si="6"/>
        <v>556006.07999999996</v>
      </c>
    </row>
    <row r="292" spans="2:12" x14ac:dyDescent="0.35">
      <c r="B292" s="107"/>
      <c r="C292" s="108"/>
      <c r="D292" s="109"/>
      <c r="E292" s="110"/>
      <c r="F292" s="111" t="s">
        <v>85</v>
      </c>
      <c r="G292" s="112" t="s">
        <v>288</v>
      </c>
      <c r="H292" s="193">
        <v>16.956</v>
      </c>
      <c r="I292" s="106" t="s">
        <v>72</v>
      </c>
      <c r="J292" s="50">
        <v>35000</v>
      </c>
      <c r="K292" s="29"/>
      <c r="L292" s="46">
        <f t="shared" si="6"/>
        <v>593460</v>
      </c>
    </row>
    <row r="293" spans="2:12" x14ac:dyDescent="0.35">
      <c r="B293" s="107"/>
      <c r="C293" s="108"/>
      <c r="D293" s="109"/>
      <c r="E293" s="110"/>
      <c r="F293" s="111" t="s">
        <v>85</v>
      </c>
      <c r="G293" s="112" t="s">
        <v>289</v>
      </c>
      <c r="H293" s="193">
        <v>34.138080000000002</v>
      </c>
      <c r="I293" s="106" t="s">
        <v>72</v>
      </c>
      <c r="J293" s="50">
        <v>35000</v>
      </c>
      <c r="K293" s="29"/>
      <c r="L293" s="46">
        <f t="shared" si="6"/>
        <v>1194832.8</v>
      </c>
    </row>
    <row r="294" spans="2:12" x14ac:dyDescent="0.35">
      <c r="B294" s="107"/>
      <c r="C294" s="108"/>
      <c r="D294" s="109"/>
      <c r="E294" s="110"/>
      <c r="F294" s="111" t="s">
        <v>85</v>
      </c>
      <c r="G294" s="112" t="s">
        <v>290</v>
      </c>
      <c r="H294" s="193">
        <v>20.57328</v>
      </c>
      <c r="I294" s="106" t="s">
        <v>72</v>
      </c>
      <c r="J294" s="50">
        <v>35000</v>
      </c>
      <c r="K294" s="29"/>
      <c r="L294" s="46">
        <f t="shared" si="6"/>
        <v>720064.8</v>
      </c>
    </row>
    <row r="295" spans="2:12" x14ac:dyDescent="0.35">
      <c r="B295" s="107"/>
      <c r="C295" s="108"/>
      <c r="D295" s="109"/>
      <c r="E295" s="110"/>
      <c r="F295" s="111" t="s">
        <v>85</v>
      </c>
      <c r="G295" s="112" t="s">
        <v>291</v>
      </c>
      <c r="H295" s="193">
        <v>82.519199999999998</v>
      </c>
      <c r="I295" s="106" t="s">
        <v>72</v>
      </c>
      <c r="J295" s="50">
        <v>35000</v>
      </c>
      <c r="K295" s="29"/>
      <c r="L295" s="46">
        <f t="shared" si="6"/>
        <v>2888172</v>
      </c>
    </row>
    <row r="296" spans="2:12" x14ac:dyDescent="0.35">
      <c r="B296" s="107"/>
      <c r="C296" s="108"/>
      <c r="D296" s="109"/>
      <c r="E296" s="110"/>
      <c r="F296" s="111" t="s">
        <v>85</v>
      </c>
      <c r="G296" s="112" t="s">
        <v>292</v>
      </c>
      <c r="H296" s="193">
        <v>18.463199999999997</v>
      </c>
      <c r="I296" s="106" t="s">
        <v>72</v>
      </c>
      <c r="J296" s="50">
        <v>35000</v>
      </c>
      <c r="K296" s="29"/>
      <c r="L296" s="46">
        <f t="shared" si="6"/>
        <v>646211.99999999988</v>
      </c>
    </row>
    <row r="297" spans="2:12" x14ac:dyDescent="0.35">
      <c r="B297" s="107"/>
      <c r="C297" s="108"/>
      <c r="D297" s="109" t="s">
        <v>53</v>
      </c>
      <c r="E297" s="110"/>
      <c r="F297" s="111" t="s">
        <v>115</v>
      </c>
      <c r="G297" s="112"/>
      <c r="H297" s="212"/>
      <c r="I297" s="106"/>
      <c r="J297" s="50"/>
      <c r="K297" s="29"/>
      <c r="L297" s="46"/>
    </row>
    <row r="298" spans="2:12" x14ac:dyDescent="0.35">
      <c r="B298" s="107"/>
      <c r="C298" s="108"/>
      <c r="D298" s="109"/>
      <c r="E298" s="110"/>
      <c r="F298" s="111" t="s">
        <v>85</v>
      </c>
      <c r="G298" s="112" t="s">
        <v>293</v>
      </c>
      <c r="H298" s="193">
        <v>59.345999999999997</v>
      </c>
      <c r="I298" s="106" t="s">
        <v>72</v>
      </c>
      <c r="J298" s="50">
        <v>35000</v>
      </c>
      <c r="K298" s="29"/>
      <c r="L298" s="46">
        <f t="shared" si="6"/>
        <v>2077109.9999999998</v>
      </c>
    </row>
    <row r="299" spans="2:12" x14ac:dyDescent="0.35">
      <c r="B299" s="107"/>
      <c r="C299" s="108"/>
      <c r="D299" s="109"/>
      <c r="E299" s="110"/>
      <c r="F299" s="111" t="s">
        <v>85</v>
      </c>
      <c r="G299" s="112" t="s">
        <v>294</v>
      </c>
      <c r="H299" s="193">
        <v>59.345999999999997</v>
      </c>
      <c r="I299" s="106" t="s">
        <v>72</v>
      </c>
      <c r="J299" s="50">
        <v>35000</v>
      </c>
      <c r="K299" s="29"/>
      <c r="L299" s="46">
        <f t="shared" si="6"/>
        <v>2077109.9999999998</v>
      </c>
    </row>
    <row r="300" spans="2:12" x14ac:dyDescent="0.35">
      <c r="B300" s="107"/>
      <c r="C300" s="108"/>
      <c r="D300" s="109"/>
      <c r="E300" s="110"/>
      <c r="F300" s="111" t="s">
        <v>85</v>
      </c>
      <c r="G300" s="112" t="s">
        <v>295</v>
      </c>
      <c r="H300" s="193">
        <v>59.345999999999997</v>
      </c>
      <c r="I300" s="106" t="s">
        <v>72</v>
      </c>
      <c r="J300" s="50">
        <v>35000</v>
      </c>
      <c r="K300" s="29"/>
      <c r="L300" s="46">
        <f t="shared" si="6"/>
        <v>2077109.9999999998</v>
      </c>
    </row>
    <row r="301" spans="2:12" x14ac:dyDescent="0.35">
      <c r="B301" s="107"/>
      <c r="C301" s="108"/>
      <c r="D301" s="109"/>
      <c r="E301" s="110"/>
      <c r="F301" s="111" t="s">
        <v>85</v>
      </c>
      <c r="G301" s="112" t="s">
        <v>296</v>
      </c>
      <c r="H301" s="193">
        <v>59.345999999999997</v>
      </c>
      <c r="I301" s="106" t="s">
        <v>72</v>
      </c>
      <c r="J301" s="50">
        <v>35000</v>
      </c>
      <c r="K301" s="29"/>
      <c r="L301" s="46">
        <f t="shared" si="6"/>
        <v>2077109.9999999998</v>
      </c>
    </row>
    <row r="302" spans="2:12" x14ac:dyDescent="0.35">
      <c r="B302" s="107"/>
      <c r="C302" s="108"/>
      <c r="D302" s="109"/>
      <c r="E302" s="110"/>
      <c r="F302" s="111" t="s">
        <v>85</v>
      </c>
      <c r="G302" s="112" t="s">
        <v>276</v>
      </c>
      <c r="H302" s="193">
        <v>92.127599999999987</v>
      </c>
      <c r="I302" s="106" t="s">
        <v>72</v>
      </c>
      <c r="J302" s="50">
        <v>35000</v>
      </c>
      <c r="K302" s="29"/>
      <c r="L302" s="46">
        <f t="shared" si="6"/>
        <v>3224465.9999999995</v>
      </c>
    </row>
    <row r="303" spans="2:12" x14ac:dyDescent="0.35">
      <c r="B303" s="107"/>
      <c r="C303" s="108"/>
      <c r="D303" s="109"/>
      <c r="E303" s="110"/>
      <c r="F303" s="111" t="s">
        <v>85</v>
      </c>
      <c r="G303" s="112" t="s">
        <v>297</v>
      </c>
      <c r="H303" s="193">
        <v>92.692799999999991</v>
      </c>
      <c r="I303" s="106" t="s">
        <v>72</v>
      </c>
      <c r="J303" s="50">
        <v>35000</v>
      </c>
      <c r="K303" s="29"/>
      <c r="L303" s="46">
        <f t="shared" si="6"/>
        <v>3244247.9999999995</v>
      </c>
    </row>
    <row r="304" spans="2:12" x14ac:dyDescent="0.35">
      <c r="B304" s="107"/>
      <c r="C304" s="108"/>
      <c r="D304" s="109"/>
      <c r="E304" s="110"/>
      <c r="F304" s="111" t="s">
        <v>85</v>
      </c>
      <c r="G304" s="112" t="s">
        <v>298</v>
      </c>
      <c r="H304" s="193">
        <v>92.127599999999987</v>
      </c>
      <c r="I304" s="106" t="s">
        <v>72</v>
      </c>
      <c r="J304" s="50">
        <v>35000</v>
      </c>
      <c r="K304" s="29"/>
      <c r="L304" s="46">
        <f t="shared" si="6"/>
        <v>3224465.9999999995</v>
      </c>
    </row>
    <row r="305" spans="2:12" x14ac:dyDescent="0.35">
      <c r="B305" s="107"/>
      <c r="C305" s="108"/>
      <c r="D305" s="109"/>
      <c r="E305" s="110"/>
      <c r="F305" s="111" t="s">
        <v>85</v>
      </c>
      <c r="G305" s="112" t="s">
        <v>299</v>
      </c>
      <c r="H305" s="193">
        <v>92.127599999999987</v>
      </c>
      <c r="I305" s="106" t="s">
        <v>72</v>
      </c>
      <c r="J305" s="50">
        <v>35000</v>
      </c>
      <c r="K305" s="29"/>
      <c r="L305" s="46">
        <f t="shared" si="6"/>
        <v>3224465.9999999995</v>
      </c>
    </row>
    <row r="306" spans="2:12" x14ac:dyDescent="0.35">
      <c r="B306" s="107"/>
      <c r="C306" s="108"/>
      <c r="D306" s="109"/>
      <c r="E306" s="110"/>
      <c r="F306" s="111" t="s">
        <v>85</v>
      </c>
      <c r="G306" s="112" t="s">
        <v>300</v>
      </c>
      <c r="H306" s="193">
        <v>15.260399999999997</v>
      </c>
      <c r="I306" s="106" t="s">
        <v>72</v>
      </c>
      <c r="J306" s="50">
        <v>35000</v>
      </c>
      <c r="K306" s="29"/>
      <c r="L306" s="46">
        <f t="shared" si="6"/>
        <v>534113.99999999988</v>
      </c>
    </row>
    <row r="307" spans="2:12" x14ac:dyDescent="0.35">
      <c r="B307" s="107"/>
      <c r="C307" s="108"/>
      <c r="D307" s="109"/>
      <c r="E307" s="110"/>
      <c r="F307" s="111" t="s">
        <v>85</v>
      </c>
      <c r="G307" s="112" t="s">
        <v>301</v>
      </c>
      <c r="H307" s="193">
        <v>307.24271999999996</v>
      </c>
      <c r="I307" s="106" t="s">
        <v>72</v>
      </c>
      <c r="J307" s="50">
        <v>35000</v>
      </c>
      <c r="K307" s="29"/>
      <c r="L307" s="46">
        <f t="shared" si="6"/>
        <v>10753495.199999999</v>
      </c>
    </row>
    <row r="308" spans="2:12" x14ac:dyDescent="0.35">
      <c r="B308" s="107"/>
      <c r="C308" s="108"/>
      <c r="D308" s="109"/>
      <c r="E308" s="110"/>
      <c r="F308" s="111" t="s">
        <v>85</v>
      </c>
      <c r="G308" s="112" t="s">
        <v>302</v>
      </c>
      <c r="H308" s="193">
        <v>73.475999999999999</v>
      </c>
      <c r="I308" s="106" t="s">
        <v>72</v>
      </c>
      <c r="J308" s="50">
        <v>35000</v>
      </c>
      <c r="K308" s="29"/>
      <c r="L308" s="46">
        <f t="shared" si="6"/>
        <v>2571660</v>
      </c>
    </row>
    <row r="309" spans="2:12" x14ac:dyDescent="0.35">
      <c r="B309" s="107"/>
      <c r="C309" s="108"/>
      <c r="D309" s="109"/>
      <c r="E309" s="110"/>
      <c r="F309" s="111" t="s">
        <v>85</v>
      </c>
      <c r="G309" s="112" t="s">
        <v>303</v>
      </c>
      <c r="H309" s="193">
        <f>0.2*0.1*12*7.85*4*1.2</f>
        <v>9.0432000000000006</v>
      </c>
      <c r="I309" s="106" t="s">
        <v>72</v>
      </c>
      <c r="J309" s="50">
        <v>35000</v>
      </c>
      <c r="K309" s="29"/>
      <c r="L309" s="46">
        <f t="shared" si="6"/>
        <v>316512</v>
      </c>
    </row>
    <row r="310" spans="2:12" x14ac:dyDescent="0.35">
      <c r="B310" s="107"/>
      <c r="C310" s="108"/>
      <c r="D310" s="109" t="s">
        <v>55</v>
      </c>
      <c r="E310" s="110"/>
      <c r="F310" s="111" t="s">
        <v>97</v>
      </c>
      <c r="G310" s="112"/>
      <c r="H310" s="212"/>
      <c r="I310" s="106"/>
      <c r="J310" s="50"/>
      <c r="K310" s="29"/>
      <c r="L310" s="46"/>
    </row>
    <row r="311" spans="2:12" x14ac:dyDescent="0.35">
      <c r="B311" s="107"/>
      <c r="C311" s="108"/>
      <c r="D311" s="109"/>
      <c r="E311" s="110"/>
      <c r="F311" s="111" t="s">
        <v>85</v>
      </c>
      <c r="G311" s="112" t="s">
        <v>304</v>
      </c>
      <c r="H311" s="193">
        <v>203.69808</v>
      </c>
      <c r="I311" s="106" t="s">
        <v>72</v>
      </c>
      <c r="J311" s="50">
        <v>35000</v>
      </c>
      <c r="K311" s="29"/>
      <c r="L311" s="46">
        <f t="shared" si="6"/>
        <v>7129432.7999999998</v>
      </c>
    </row>
    <row r="312" spans="2:12" x14ac:dyDescent="0.35">
      <c r="B312" s="107"/>
      <c r="C312" s="108"/>
      <c r="D312" s="109"/>
      <c r="E312" s="110"/>
      <c r="F312" s="111" t="s">
        <v>85</v>
      </c>
      <c r="G312" s="112" t="s">
        <v>305</v>
      </c>
      <c r="H312" s="193">
        <v>204.60239999999999</v>
      </c>
      <c r="I312" s="106" t="s">
        <v>72</v>
      </c>
      <c r="J312" s="50">
        <v>35000</v>
      </c>
      <c r="K312" s="29"/>
      <c r="L312" s="46">
        <f t="shared" si="6"/>
        <v>7161084</v>
      </c>
    </row>
    <row r="313" spans="2:12" x14ac:dyDescent="0.35">
      <c r="B313" s="107"/>
      <c r="C313" s="108"/>
      <c r="D313" s="109"/>
      <c r="E313" s="110"/>
      <c r="F313" s="111" t="s">
        <v>85</v>
      </c>
      <c r="G313" s="112" t="s">
        <v>306</v>
      </c>
      <c r="H313" s="193">
        <v>204.60239999999999</v>
      </c>
      <c r="I313" s="106" t="s">
        <v>72</v>
      </c>
      <c r="J313" s="50">
        <v>35000</v>
      </c>
      <c r="K313" s="29"/>
      <c r="L313" s="46">
        <f t="shared" si="6"/>
        <v>7161084</v>
      </c>
    </row>
    <row r="314" spans="2:12" x14ac:dyDescent="0.35">
      <c r="B314" s="107"/>
      <c r="C314" s="108"/>
      <c r="D314" s="109"/>
      <c r="E314" s="110"/>
      <c r="F314" s="111" t="s">
        <v>85</v>
      </c>
      <c r="G314" s="112" t="s">
        <v>307</v>
      </c>
      <c r="H314" s="193">
        <v>58.554719999999996</v>
      </c>
      <c r="I314" s="106" t="s">
        <v>72</v>
      </c>
      <c r="J314" s="50">
        <v>35000</v>
      </c>
      <c r="K314" s="29"/>
      <c r="L314" s="46">
        <f t="shared" si="6"/>
        <v>2049415.2</v>
      </c>
    </row>
    <row r="315" spans="2:12" x14ac:dyDescent="0.35">
      <c r="B315" s="107"/>
      <c r="C315" s="108"/>
      <c r="D315" s="109"/>
      <c r="E315" s="110"/>
      <c r="F315" s="111" t="s">
        <v>85</v>
      </c>
      <c r="G315" s="112" t="s">
        <v>308</v>
      </c>
      <c r="H315" s="193">
        <v>55.389600000000002</v>
      </c>
      <c r="I315" s="106" t="s">
        <v>72</v>
      </c>
      <c r="J315" s="50">
        <v>35000</v>
      </c>
      <c r="K315" s="29"/>
      <c r="L315" s="46">
        <f t="shared" si="6"/>
        <v>1938636</v>
      </c>
    </row>
    <row r="316" spans="2:12" x14ac:dyDescent="0.35">
      <c r="B316" s="107"/>
      <c r="C316" s="108"/>
      <c r="D316" s="109"/>
      <c r="E316" s="110"/>
      <c r="F316" s="111" t="s">
        <v>85</v>
      </c>
      <c r="G316" s="112" t="s">
        <v>309</v>
      </c>
      <c r="H316" s="193">
        <v>58.32864</v>
      </c>
      <c r="I316" s="106" t="s">
        <v>72</v>
      </c>
      <c r="J316" s="50">
        <v>35000</v>
      </c>
      <c r="K316" s="29"/>
      <c r="L316" s="46">
        <f t="shared" si="6"/>
        <v>2041502.4</v>
      </c>
    </row>
    <row r="317" spans="2:12" x14ac:dyDescent="0.35">
      <c r="B317" s="107"/>
      <c r="C317" s="108"/>
      <c r="D317" s="109"/>
      <c r="E317" s="110"/>
      <c r="F317" s="111" t="s">
        <v>85</v>
      </c>
      <c r="G317" s="112" t="s">
        <v>310</v>
      </c>
      <c r="H317" s="193">
        <v>55.163519999999998</v>
      </c>
      <c r="I317" s="106" t="s">
        <v>72</v>
      </c>
      <c r="J317" s="50">
        <v>35000</v>
      </c>
      <c r="K317" s="29"/>
      <c r="L317" s="46">
        <f t="shared" si="6"/>
        <v>1930723.2</v>
      </c>
    </row>
    <row r="318" spans="2:12" x14ac:dyDescent="0.35">
      <c r="B318" s="107"/>
      <c r="C318" s="108"/>
      <c r="D318" s="109"/>
      <c r="E318" s="110"/>
      <c r="F318" s="111" t="s">
        <v>85</v>
      </c>
      <c r="G318" s="112" t="s">
        <v>311</v>
      </c>
      <c r="H318" s="193">
        <v>284.86079999999998</v>
      </c>
      <c r="I318" s="106" t="s">
        <v>72</v>
      </c>
      <c r="J318" s="50">
        <v>35000</v>
      </c>
      <c r="K318" s="29"/>
      <c r="L318" s="46">
        <f t="shared" si="6"/>
        <v>9970128</v>
      </c>
    </row>
    <row r="319" spans="2:12" x14ac:dyDescent="0.35">
      <c r="B319" s="107"/>
      <c r="C319" s="108"/>
      <c r="D319" s="109"/>
      <c r="E319" s="110"/>
      <c r="F319" s="111" t="s">
        <v>85</v>
      </c>
      <c r="G319" s="112" t="s">
        <v>312</v>
      </c>
      <c r="H319" s="193">
        <v>141.29999999999998</v>
      </c>
      <c r="I319" s="106" t="s">
        <v>72</v>
      </c>
      <c r="J319" s="50">
        <v>35000</v>
      </c>
      <c r="K319" s="29"/>
      <c r="L319" s="46">
        <f t="shared" si="6"/>
        <v>4945499.9999999991</v>
      </c>
    </row>
    <row r="320" spans="2:12" x14ac:dyDescent="0.35">
      <c r="B320" s="107"/>
      <c r="C320" s="108"/>
      <c r="D320" s="109"/>
      <c r="E320" s="110"/>
      <c r="F320" s="111" t="s">
        <v>85</v>
      </c>
      <c r="G320" s="112" t="s">
        <v>313</v>
      </c>
      <c r="H320" s="193">
        <v>139.03919999999999</v>
      </c>
      <c r="I320" s="106" t="s">
        <v>72</v>
      </c>
      <c r="J320" s="50">
        <v>35000</v>
      </c>
      <c r="K320" s="29"/>
      <c r="L320" s="46">
        <f t="shared" si="6"/>
        <v>4866372</v>
      </c>
    </row>
    <row r="321" spans="2:12" x14ac:dyDescent="0.35">
      <c r="B321" s="107"/>
      <c r="C321" s="108"/>
      <c r="D321" s="109"/>
      <c r="E321" s="110"/>
      <c r="F321" s="111" t="s">
        <v>85</v>
      </c>
      <c r="G321" s="112" t="s">
        <v>314</v>
      </c>
      <c r="H321" s="193">
        <v>139.03919999999999</v>
      </c>
      <c r="I321" s="106" t="s">
        <v>72</v>
      </c>
      <c r="J321" s="50">
        <v>35000</v>
      </c>
      <c r="K321" s="29"/>
      <c r="L321" s="46">
        <f t="shared" si="6"/>
        <v>4866372</v>
      </c>
    </row>
    <row r="322" spans="2:12" x14ac:dyDescent="0.35">
      <c r="B322" s="107"/>
      <c r="C322" s="108"/>
      <c r="D322" s="109"/>
      <c r="E322" s="110"/>
      <c r="F322" s="111" t="s">
        <v>85</v>
      </c>
      <c r="G322" s="112" t="s">
        <v>315</v>
      </c>
      <c r="H322" s="193">
        <f>0.6*10*4.65*7.85*1.2</f>
        <v>262.81799999999998</v>
      </c>
      <c r="I322" s="106" t="s">
        <v>72</v>
      </c>
      <c r="J322" s="50">
        <v>35000</v>
      </c>
      <c r="K322" s="29"/>
      <c r="L322" s="46">
        <f t="shared" si="6"/>
        <v>9198630</v>
      </c>
    </row>
    <row r="323" spans="2:12" x14ac:dyDescent="0.35">
      <c r="B323" s="107"/>
      <c r="C323" s="108"/>
      <c r="D323" s="109"/>
      <c r="E323" s="110"/>
      <c r="F323" s="111" t="s">
        <v>85</v>
      </c>
      <c r="G323" s="112" t="s">
        <v>316</v>
      </c>
      <c r="H323" s="193">
        <v>9.7967999999999993</v>
      </c>
      <c r="I323" s="106" t="s">
        <v>72</v>
      </c>
      <c r="J323" s="50">
        <v>35000</v>
      </c>
      <c r="K323" s="29"/>
      <c r="L323" s="46">
        <f t="shared" si="6"/>
        <v>342888</v>
      </c>
    </row>
    <row r="324" spans="2:12" x14ac:dyDescent="0.35">
      <c r="B324" s="107"/>
      <c r="C324" s="108"/>
      <c r="D324" s="109"/>
      <c r="E324" s="110"/>
      <c r="F324" s="111" t="s">
        <v>85</v>
      </c>
      <c r="G324" s="112" t="s">
        <v>317</v>
      </c>
      <c r="H324" s="193">
        <v>12.151799999999998</v>
      </c>
      <c r="I324" s="106" t="s">
        <v>72</v>
      </c>
      <c r="J324" s="50">
        <v>35000</v>
      </c>
      <c r="K324" s="29"/>
      <c r="L324" s="46">
        <f t="shared" si="6"/>
        <v>425312.99999999994</v>
      </c>
    </row>
    <row r="325" spans="2:12" x14ac:dyDescent="0.35">
      <c r="B325" s="107"/>
      <c r="C325" s="108"/>
      <c r="D325" s="109"/>
      <c r="E325" s="110"/>
      <c r="F325" s="111" t="s">
        <v>85</v>
      </c>
      <c r="G325" s="112" t="s">
        <v>318</v>
      </c>
      <c r="H325" s="193">
        <v>14.243039999999997</v>
      </c>
      <c r="I325" s="106" t="s">
        <v>72</v>
      </c>
      <c r="J325" s="50">
        <v>35000</v>
      </c>
      <c r="K325" s="29"/>
      <c r="L325" s="46">
        <f t="shared" si="6"/>
        <v>498506.39999999991</v>
      </c>
    </row>
    <row r="326" spans="2:12" x14ac:dyDescent="0.35">
      <c r="B326" s="107"/>
      <c r="C326" s="108"/>
      <c r="D326" s="109"/>
      <c r="E326" s="110"/>
      <c r="F326" s="111" t="s">
        <v>85</v>
      </c>
      <c r="G326" s="112" t="s">
        <v>319</v>
      </c>
      <c r="H326" s="193">
        <v>12.151799999999998</v>
      </c>
      <c r="I326" s="106" t="s">
        <v>72</v>
      </c>
      <c r="J326" s="50">
        <v>35000</v>
      </c>
      <c r="K326" s="29"/>
      <c r="L326" s="46">
        <f t="shared" si="6"/>
        <v>425312.99999999994</v>
      </c>
    </row>
    <row r="327" spans="2:12" x14ac:dyDescent="0.35">
      <c r="B327" s="107"/>
      <c r="C327" s="108"/>
      <c r="D327" s="109"/>
      <c r="E327" s="110"/>
      <c r="F327" s="111" t="s">
        <v>85</v>
      </c>
      <c r="G327" s="112" t="s">
        <v>320</v>
      </c>
      <c r="H327" s="193">
        <v>14.243039999999997</v>
      </c>
      <c r="I327" s="106" t="s">
        <v>72</v>
      </c>
      <c r="J327" s="50">
        <v>35000</v>
      </c>
      <c r="K327" s="29"/>
      <c r="L327" s="46">
        <f t="shared" si="6"/>
        <v>498506.39999999991</v>
      </c>
    </row>
    <row r="328" spans="2:12" x14ac:dyDescent="0.35">
      <c r="B328" s="107"/>
      <c r="C328" s="108"/>
      <c r="D328" s="109"/>
      <c r="E328" s="110"/>
      <c r="F328" s="111" t="s">
        <v>85</v>
      </c>
      <c r="G328" s="112" t="s">
        <v>321</v>
      </c>
      <c r="H328" s="193">
        <v>12.151799999999998</v>
      </c>
      <c r="I328" s="106" t="s">
        <v>72</v>
      </c>
      <c r="J328" s="50">
        <v>35000</v>
      </c>
      <c r="K328" s="29"/>
      <c r="L328" s="46">
        <f t="shared" si="6"/>
        <v>425312.99999999994</v>
      </c>
    </row>
    <row r="329" spans="2:12" x14ac:dyDescent="0.35">
      <c r="B329" s="107"/>
      <c r="C329" s="108"/>
      <c r="D329" s="109"/>
      <c r="E329" s="110"/>
      <c r="F329" s="111" t="s">
        <v>85</v>
      </c>
      <c r="G329" s="112" t="s">
        <v>322</v>
      </c>
      <c r="H329" s="193">
        <v>15.192575999999997</v>
      </c>
      <c r="I329" s="106" t="s">
        <v>72</v>
      </c>
      <c r="J329" s="50">
        <v>35000</v>
      </c>
      <c r="K329" s="29"/>
      <c r="L329" s="46">
        <f t="shared" si="6"/>
        <v>531740.15999999992</v>
      </c>
    </row>
    <row r="330" spans="2:12" x14ac:dyDescent="0.35">
      <c r="B330" s="107"/>
      <c r="C330" s="108"/>
      <c r="D330" s="109"/>
      <c r="E330" s="110"/>
      <c r="F330" s="111" t="s">
        <v>85</v>
      </c>
      <c r="G330" s="112" t="s">
        <v>323</v>
      </c>
      <c r="H330" s="193">
        <v>12.716999999999997</v>
      </c>
      <c r="I330" s="106" t="s">
        <v>72</v>
      </c>
      <c r="J330" s="50">
        <v>35000</v>
      </c>
      <c r="K330" s="29"/>
      <c r="L330" s="46">
        <f t="shared" si="6"/>
        <v>445094.99999999988</v>
      </c>
    </row>
    <row r="331" spans="2:12" x14ac:dyDescent="0.35">
      <c r="B331" s="107"/>
      <c r="C331" s="108"/>
      <c r="D331" s="109"/>
      <c r="E331" s="110"/>
      <c r="F331" s="111" t="s">
        <v>85</v>
      </c>
      <c r="G331" s="112" t="s">
        <v>324</v>
      </c>
      <c r="H331" s="193">
        <v>111.90959999999998</v>
      </c>
      <c r="I331" s="106" t="s">
        <v>72</v>
      </c>
      <c r="J331" s="50">
        <v>35000</v>
      </c>
      <c r="K331" s="29"/>
      <c r="L331" s="46">
        <f t="shared" si="6"/>
        <v>3916835.9999999995</v>
      </c>
    </row>
    <row r="332" spans="2:12" x14ac:dyDescent="0.35">
      <c r="B332" s="107"/>
      <c r="C332" s="108"/>
      <c r="D332" s="109"/>
      <c r="E332" s="110"/>
      <c r="F332" s="111" t="s">
        <v>85</v>
      </c>
      <c r="G332" s="112" t="s">
        <v>325</v>
      </c>
      <c r="H332" s="193">
        <f>0.6*10*1.1*7.85*1.2</f>
        <v>62.171999999999997</v>
      </c>
      <c r="I332" s="106" t="s">
        <v>72</v>
      </c>
      <c r="J332" s="50">
        <v>35000</v>
      </c>
      <c r="K332" s="29"/>
      <c r="L332" s="46">
        <f t="shared" si="6"/>
        <v>2176020</v>
      </c>
    </row>
    <row r="333" spans="2:12" x14ac:dyDescent="0.35">
      <c r="B333" s="107"/>
      <c r="C333" s="108"/>
      <c r="D333" s="109"/>
      <c r="E333" s="110"/>
      <c r="F333" s="111" t="s">
        <v>85</v>
      </c>
      <c r="G333" s="112" t="s">
        <v>326</v>
      </c>
      <c r="H333" s="193">
        <v>66.693599999999989</v>
      </c>
      <c r="I333" s="106" t="s">
        <v>72</v>
      </c>
      <c r="J333" s="50">
        <v>35000</v>
      </c>
      <c r="K333" s="29"/>
      <c r="L333" s="46">
        <f t="shared" si="6"/>
        <v>2334275.9999999995</v>
      </c>
    </row>
    <row r="334" spans="2:12" x14ac:dyDescent="0.35">
      <c r="B334" s="107"/>
      <c r="C334" s="108"/>
      <c r="D334" s="109"/>
      <c r="E334" s="110"/>
      <c r="F334" s="111" t="s">
        <v>85</v>
      </c>
      <c r="G334" s="112" t="s">
        <v>327</v>
      </c>
      <c r="H334" s="193">
        <v>66.693599999999989</v>
      </c>
      <c r="I334" s="106" t="s">
        <v>72</v>
      </c>
      <c r="J334" s="50">
        <v>35000</v>
      </c>
      <c r="K334" s="29"/>
      <c r="L334" s="46">
        <f t="shared" si="6"/>
        <v>2334275.9999999995</v>
      </c>
    </row>
    <row r="335" spans="2:12" x14ac:dyDescent="0.35">
      <c r="B335" s="107"/>
      <c r="C335" s="108"/>
      <c r="D335" s="109"/>
      <c r="E335" s="110"/>
      <c r="F335" s="111" t="s">
        <v>85</v>
      </c>
      <c r="G335" s="112" t="s">
        <v>328</v>
      </c>
      <c r="H335" s="193">
        <v>64.99799999999999</v>
      </c>
      <c r="I335" s="106" t="s">
        <v>72</v>
      </c>
      <c r="J335" s="50">
        <v>35000</v>
      </c>
      <c r="K335" s="29"/>
      <c r="L335" s="46">
        <f t="shared" si="6"/>
        <v>2274929.9999999995</v>
      </c>
    </row>
    <row r="336" spans="2:12" x14ac:dyDescent="0.35">
      <c r="B336" s="47"/>
      <c r="C336" s="48"/>
      <c r="D336" s="24"/>
      <c r="G336" s="22"/>
      <c r="I336" s="22"/>
      <c r="J336" s="50"/>
      <c r="K336" s="29"/>
      <c r="L336" s="52"/>
    </row>
    <row r="337" spans="2:12" x14ac:dyDescent="0.35">
      <c r="B337" s="8"/>
      <c r="C337" s="9"/>
      <c r="D337" s="10"/>
      <c r="E337" s="4"/>
      <c r="F337" s="4"/>
      <c r="G337" s="4"/>
      <c r="H337" s="1"/>
      <c r="I337" s="1"/>
      <c r="J337" s="11" t="s">
        <v>8</v>
      </c>
      <c r="K337" s="7">
        <f>SUM(K285:K336)</f>
        <v>0</v>
      </c>
      <c r="L337" s="7">
        <f>SUM(L285:L336)</f>
        <v>124051339.44000001</v>
      </c>
    </row>
    <row r="338" spans="2:12" x14ac:dyDescent="0.35">
      <c r="B338" s="8"/>
      <c r="C338" s="9"/>
      <c r="D338" s="9"/>
      <c r="E338" s="4"/>
      <c r="F338" s="4"/>
      <c r="G338" s="4"/>
      <c r="H338" s="1"/>
      <c r="I338" s="1"/>
      <c r="J338" s="11"/>
      <c r="K338" s="35" t="s">
        <v>22</v>
      </c>
      <c r="L338" s="36" t="s">
        <v>23</v>
      </c>
    </row>
    <row r="339" spans="2:12" x14ac:dyDescent="0.35">
      <c r="B339" s="3" t="s">
        <v>9</v>
      </c>
      <c r="C339" s="4"/>
      <c r="D339" s="4"/>
      <c r="E339" s="4"/>
      <c r="F339" s="4"/>
      <c r="G339" s="4"/>
      <c r="H339" s="1"/>
      <c r="I339" s="1"/>
      <c r="J339" s="12"/>
      <c r="K339" s="12"/>
      <c r="L339" s="13"/>
    </row>
    <row r="340" spans="2:12" x14ac:dyDescent="0.35">
      <c r="B340" s="37"/>
      <c r="C340" s="1"/>
      <c r="D340" s="1"/>
      <c r="E340" s="38"/>
      <c r="F340" s="38"/>
      <c r="G340" s="38"/>
      <c r="H340" s="1"/>
      <c r="I340" s="1"/>
      <c r="J340" s="1"/>
      <c r="K340" s="1"/>
      <c r="L340" s="19"/>
    </row>
    <row r="341" spans="2:12" x14ac:dyDescent="0.35">
      <c r="B341" s="28" t="s">
        <v>6</v>
      </c>
      <c r="C341" s="27"/>
      <c r="D341" s="27"/>
      <c r="E341" s="26"/>
      <c r="F341" s="26"/>
      <c r="G341" s="5"/>
      <c r="K341" s="321" t="str">
        <f>K275</f>
        <v>Balikpapan, 26 Juni 2025</v>
      </c>
      <c r="L341" s="322"/>
    </row>
    <row r="342" spans="2:12" x14ac:dyDescent="0.35">
      <c r="B342" s="28">
        <v>1</v>
      </c>
      <c r="C342" s="27"/>
      <c r="D342" s="27"/>
      <c r="E342" s="26" t="s">
        <v>7</v>
      </c>
      <c r="F342" s="26"/>
      <c r="G342" s="5"/>
      <c r="K342" s="321" t="s">
        <v>28</v>
      </c>
      <c r="L342" s="322"/>
    </row>
    <row r="343" spans="2:12" x14ac:dyDescent="0.35">
      <c r="B343" s="39"/>
      <c r="C343" s="27"/>
      <c r="D343" s="27"/>
      <c r="E343" s="26"/>
      <c r="F343" s="26"/>
      <c r="G343" s="5"/>
      <c r="J343" s="25"/>
      <c r="K343" s="25"/>
      <c r="L343" s="24"/>
    </row>
    <row r="344" spans="2:12" x14ac:dyDescent="0.35">
      <c r="B344" s="28"/>
      <c r="C344" s="27"/>
      <c r="D344" s="27"/>
      <c r="E344" s="26"/>
      <c r="F344" s="26"/>
      <c r="G344" s="5"/>
      <c r="L344" s="22"/>
    </row>
    <row r="345" spans="2:12" x14ac:dyDescent="0.35">
      <c r="B345" s="45"/>
      <c r="E345" s="5"/>
      <c r="F345" s="5"/>
      <c r="G345" s="5"/>
      <c r="L345" s="22"/>
    </row>
    <row r="346" spans="2:12" x14ac:dyDescent="0.35">
      <c r="B346" s="45"/>
      <c r="E346" s="5"/>
      <c r="F346" s="5"/>
      <c r="G346" s="5"/>
      <c r="L346" s="22"/>
    </row>
    <row r="347" spans="2:12" x14ac:dyDescent="0.35">
      <c r="B347" s="45"/>
      <c r="E347" s="5"/>
      <c r="F347" s="5"/>
      <c r="G347" s="5"/>
      <c r="L347" s="22"/>
    </row>
    <row r="348" spans="2:12" x14ac:dyDescent="0.35">
      <c r="B348" s="45"/>
      <c r="E348" s="5"/>
      <c r="F348" s="5"/>
      <c r="G348" s="5"/>
      <c r="J348" s="40"/>
      <c r="K348" s="323" t="s">
        <v>36</v>
      </c>
      <c r="L348" s="324"/>
    </row>
    <row r="349" spans="2:12" x14ac:dyDescent="0.35">
      <c r="B349" s="45"/>
      <c r="K349" s="325" t="s">
        <v>37</v>
      </c>
      <c r="L349" s="326"/>
    </row>
    <row r="350" spans="2:12" x14ac:dyDescent="0.35">
      <c r="B350" s="318"/>
      <c r="C350" s="319"/>
      <c r="D350" s="319"/>
      <c r="E350" s="41"/>
      <c r="F350" s="41"/>
      <c r="G350" s="41"/>
      <c r="H350" s="2"/>
      <c r="I350" s="2"/>
      <c r="J350" s="2"/>
      <c r="K350" s="2"/>
      <c r="L350" s="21"/>
    </row>
    <row r="351" spans="2:12" x14ac:dyDescent="0.35">
      <c r="B351" s="47"/>
      <c r="C351" s="48"/>
      <c r="D351" s="49"/>
      <c r="G351" s="22"/>
      <c r="H351" s="1"/>
      <c r="I351" s="1"/>
      <c r="J351" s="43"/>
      <c r="K351" s="30"/>
      <c r="L351" s="44"/>
    </row>
    <row r="352" spans="2:12" x14ac:dyDescent="0.35">
      <c r="B352" s="107"/>
      <c r="C352" s="108"/>
      <c r="D352" s="109"/>
      <c r="E352" s="110"/>
      <c r="F352" s="111" t="s">
        <v>85</v>
      </c>
      <c r="G352" s="112" t="s">
        <v>329</v>
      </c>
      <c r="H352" s="193">
        <v>51.885359999999999</v>
      </c>
      <c r="I352" s="106" t="s">
        <v>72</v>
      </c>
      <c r="J352" s="50">
        <v>35000</v>
      </c>
      <c r="K352" s="51"/>
      <c r="L352" s="46">
        <f t="shared" ref="L352:L401" si="7">J352*H352</f>
        <v>1815987.5999999999</v>
      </c>
    </row>
    <row r="353" spans="2:12" x14ac:dyDescent="0.35">
      <c r="B353" s="107"/>
      <c r="C353" s="108"/>
      <c r="D353" s="109"/>
      <c r="E353" s="110"/>
      <c r="F353" s="111" t="s">
        <v>85</v>
      </c>
      <c r="G353" s="112" t="s">
        <v>330</v>
      </c>
      <c r="H353" s="193">
        <v>51.207119999999996</v>
      </c>
      <c r="I353" s="106" t="s">
        <v>72</v>
      </c>
      <c r="J353" s="50">
        <v>35000</v>
      </c>
      <c r="K353" s="51"/>
      <c r="L353" s="46">
        <f t="shared" si="7"/>
        <v>1792249.2</v>
      </c>
    </row>
    <row r="354" spans="2:12" x14ac:dyDescent="0.35">
      <c r="B354" s="107"/>
      <c r="C354" s="108"/>
      <c r="D354" s="109"/>
      <c r="E354" s="110"/>
      <c r="F354" s="111" t="s">
        <v>85</v>
      </c>
      <c r="G354" s="112" t="s">
        <v>331</v>
      </c>
      <c r="H354" s="193">
        <v>51.207119999999996</v>
      </c>
      <c r="I354" s="106" t="s">
        <v>72</v>
      </c>
      <c r="J354" s="50">
        <v>35000</v>
      </c>
      <c r="K354" s="51"/>
      <c r="L354" s="46">
        <f t="shared" si="7"/>
        <v>1792249.2</v>
      </c>
    </row>
    <row r="355" spans="2:12" x14ac:dyDescent="0.35">
      <c r="B355" s="107"/>
      <c r="C355" s="108"/>
      <c r="D355" s="109"/>
      <c r="E355" s="110"/>
      <c r="F355" s="111" t="s">
        <v>85</v>
      </c>
      <c r="G355" s="112" t="s">
        <v>332</v>
      </c>
      <c r="H355" s="193">
        <v>51.207119999999996</v>
      </c>
      <c r="I355" s="106" t="s">
        <v>72</v>
      </c>
      <c r="J355" s="50">
        <v>35000</v>
      </c>
      <c r="K355" s="29"/>
      <c r="L355" s="46">
        <f t="shared" si="7"/>
        <v>1792249.2</v>
      </c>
    </row>
    <row r="356" spans="2:12" x14ac:dyDescent="0.35">
      <c r="B356" s="107"/>
      <c r="C356" s="108"/>
      <c r="D356" s="109"/>
      <c r="E356" s="110"/>
      <c r="F356" s="111" t="s">
        <v>85</v>
      </c>
      <c r="G356" s="112" t="s">
        <v>333</v>
      </c>
      <c r="H356" s="193">
        <v>50.867999999999995</v>
      </c>
      <c r="I356" s="106" t="s">
        <v>72</v>
      </c>
      <c r="J356" s="50">
        <v>35000</v>
      </c>
      <c r="K356" s="29"/>
      <c r="L356" s="46">
        <f t="shared" si="7"/>
        <v>1780379.9999999998</v>
      </c>
    </row>
    <row r="357" spans="2:12" x14ac:dyDescent="0.35">
      <c r="B357" s="107"/>
      <c r="C357" s="108"/>
      <c r="D357" s="109"/>
      <c r="E357" s="110"/>
      <c r="F357" s="111" t="s">
        <v>85</v>
      </c>
      <c r="G357" s="112" t="s">
        <v>334</v>
      </c>
      <c r="H357" s="193">
        <v>51.207119999999996</v>
      </c>
      <c r="I357" s="106" t="s">
        <v>72</v>
      </c>
      <c r="J357" s="50">
        <v>35000</v>
      </c>
      <c r="K357" s="29"/>
      <c r="L357" s="46">
        <f t="shared" si="7"/>
        <v>1792249.2</v>
      </c>
    </row>
    <row r="358" spans="2:12" x14ac:dyDescent="0.35">
      <c r="B358" s="107"/>
      <c r="C358" s="108"/>
      <c r="D358" s="109"/>
      <c r="E358" s="110"/>
      <c r="F358" s="111" t="s">
        <v>85</v>
      </c>
      <c r="G358" s="112" t="s">
        <v>335</v>
      </c>
      <c r="H358" s="193">
        <v>50.867999999999995</v>
      </c>
      <c r="I358" s="106" t="s">
        <v>72</v>
      </c>
      <c r="J358" s="50">
        <v>35000</v>
      </c>
      <c r="K358" s="29"/>
      <c r="L358" s="46">
        <f t="shared" si="7"/>
        <v>1780379.9999999998</v>
      </c>
    </row>
    <row r="359" spans="2:12" x14ac:dyDescent="0.35">
      <c r="B359" s="107"/>
      <c r="C359" s="108"/>
      <c r="D359" s="109"/>
      <c r="E359" s="110"/>
      <c r="F359" s="111" t="s">
        <v>85</v>
      </c>
      <c r="G359" s="112" t="s">
        <v>336</v>
      </c>
      <c r="H359" s="193">
        <v>50.867999999999995</v>
      </c>
      <c r="I359" s="106" t="s">
        <v>72</v>
      </c>
      <c r="J359" s="50">
        <v>35000</v>
      </c>
      <c r="K359" s="29"/>
      <c r="L359" s="46">
        <f t="shared" si="7"/>
        <v>1780379.9999999998</v>
      </c>
    </row>
    <row r="360" spans="2:12" x14ac:dyDescent="0.35">
      <c r="B360" s="107"/>
      <c r="C360" s="108"/>
      <c r="D360" s="109"/>
      <c r="E360" s="110"/>
      <c r="F360" s="111" t="s">
        <v>85</v>
      </c>
      <c r="G360" s="112" t="s">
        <v>337</v>
      </c>
      <c r="H360" s="193">
        <v>90.997199999999992</v>
      </c>
      <c r="I360" s="106" t="s">
        <v>72</v>
      </c>
      <c r="J360" s="50">
        <v>35000</v>
      </c>
      <c r="K360" s="29"/>
      <c r="L360" s="46">
        <f t="shared" si="7"/>
        <v>3184901.9999999995</v>
      </c>
    </row>
    <row r="361" spans="2:12" x14ac:dyDescent="0.35">
      <c r="B361" s="107"/>
      <c r="C361" s="108"/>
      <c r="D361" s="109"/>
      <c r="E361" s="110"/>
      <c r="F361" s="111" t="s">
        <v>85</v>
      </c>
      <c r="G361" s="112" t="s">
        <v>338</v>
      </c>
      <c r="H361" s="193">
        <v>90.997199999999992</v>
      </c>
      <c r="I361" s="106" t="s">
        <v>72</v>
      </c>
      <c r="J361" s="50">
        <v>35000</v>
      </c>
      <c r="K361" s="29"/>
      <c r="L361" s="46">
        <f t="shared" si="7"/>
        <v>3184901.9999999995</v>
      </c>
    </row>
    <row r="362" spans="2:12" x14ac:dyDescent="0.35">
      <c r="B362" s="107"/>
      <c r="C362" s="108"/>
      <c r="D362" s="109"/>
      <c r="E362" s="110"/>
      <c r="F362" s="111" t="s">
        <v>85</v>
      </c>
      <c r="G362" s="112" t="s">
        <v>339</v>
      </c>
      <c r="H362" s="193">
        <v>83.649599999999992</v>
      </c>
      <c r="I362" s="106" t="s">
        <v>72</v>
      </c>
      <c r="J362" s="50">
        <v>35000</v>
      </c>
      <c r="K362" s="29"/>
      <c r="L362" s="46">
        <f t="shared" si="7"/>
        <v>2927735.9999999995</v>
      </c>
    </row>
    <row r="363" spans="2:12" x14ac:dyDescent="0.35">
      <c r="B363" s="107"/>
      <c r="C363" s="108"/>
      <c r="D363" s="109"/>
      <c r="E363" s="110"/>
      <c r="F363" s="111" t="s">
        <v>85</v>
      </c>
      <c r="G363" s="112" t="s">
        <v>340</v>
      </c>
      <c r="H363" s="193">
        <v>90.431999999999988</v>
      </c>
      <c r="I363" s="106" t="s">
        <v>72</v>
      </c>
      <c r="J363" s="50">
        <v>35000</v>
      </c>
      <c r="K363" s="29"/>
      <c r="L363" s="46">
        <f t="shared" si="7"/>
        <v>3165119.9999999995</v>
      </c>
    </row>
    <row r="364" spans="2:12" x14ac:dyDescent="0.35">
      <c r="B364" s="107"/>
      <c r="C364" s="108"/>
      <c r="D364" s="109"/>
      <c r="E364" s="110"/>
      <c r="F364" s="111" t="s">
        <v>85</v>
      </c>
      <c r="G364" s="112" t="s">
        <v>341</v>
      </c>
      <c r="H364" s="193">
        <v>273.55679999999995</v>
      </c>
      <c r="I364" s="106" t="s">
        <v>72</v>
      </c>
      <c r="J364" s="50">
        <v>35000</v>
      </c>
      <c r="K364" s="29"/>
      <c r="L364" s="46">
        <f t="shared" si="7"/>
        <v>9574487.9999999981</v>
      </c>
    </row>
    <row r="365" spans="2:12" x14ac:dyDescent="0.35">
      <c r="B365" s="107"/>
      <c r="C365" s="108"/>
      <c r="D365" s="109"/>
      <c r="E365" s="110"/>
      <c r="F365" s="111" t="s">
        <v>85</v>
      </c>
      <c r="G365" s="112" t="s">
        <v>342</v>
      </c>
      <c r="H365" s="193">
        <v>273.55679999999995</v>
      </c>
      <c r="I365" s="106" t="s">
        <v>72</v>
      </c>
      <c r="J365" s="50">
        <v>35000</v>
      </c>
      <c r="K365" s="29"/>
      <c r="L365" s="46">
        <f t="shared" si="7"/>
        <v>9574487.9999999981</v>
      </c>
    </row>
    <row r="366" spans="2:12" x14ac:dyDescent="0.35">
      <c r="B366" s="107"/>
      <c r="C366" s="108"/>
      <c r="D366" s="109"/>
      <c r="E366" s="110"/>
      <c r="F366" s="111" t="s">
        <v>85</v>
      </c>
      <c r="G366" s="112" t="s">
        <v>343</v>
      </c>
      <c r="H366" s="193">
        <v>258.29639999999995</v>
      </c>
      <c r="I366" s="106" t="s">
        <v>72</v>
      </c>
      <c r="J366" s="50">
        <v>35000</v>
      </c>
      <c r="K366" s="29"/>
      <c r="L366" s="46">
        <f t="shared" si="7"/>
        <v>9040373.9999999981</v>
      </c>
    </row>
    <row r="367" spans="2:12" x14ac:dyDescent="0.35">
      <c r="B367" s="107"/>
      <c r="C367" s="108"/>
      <c r="D367" s="109"/>
      <c r="E367" s="110"/>
      <c r="F367" s="111" t="s">
        <v>85</v>
      </c>
      <c r="G367" s="112" t="s">
        <v>344</v>
      </c>
      <c r="H367" s="193">
        <v>249.81839999999997</v>
      </c>
      <c r="I367" s="106" t="s">
        <v>72</v>
      </c>
      <c r="J367" s="50">
        <v>35000</v>
      </c>
      <c r="K367" s="29"/>
      <c r="L367" s="46">
        <f t="shared" si="7"/>
        <v>8743643.9999999981</v>
      </c>
    </row>
    <row r="368" spans="2:12" x14ac:dyDescent="0.35">
      <c r="B368" s="107"/>
      <c r="C368" s="108"/>
      <c r="D368" s="109"/>
      <c r="E368" s="110"/>
      <c r="F368" s="111" t="s">
        <v>85</v>
      </c>
      <c r="G368" s="112" t="s">
        <v>345</v>
      </c>
      <c r="H368" s="193">
        <v>816.46907999999996</v>
      </c>
      <c r="I368" s="106" t="s">
        <v>72</v>
      </c>
      <c r="J368" s="50">
        <v>35000</v>
      </c>
      <c r="K368" s="29"/>
      <c r="L368" s="46">
        <f t="shared" si="7"/>
        <v>28576417.799999997</v>
      </c>
    </row>
    <row r="369" spans="2:12" x14ac:dyDescent="0.35">
      <c r="B369" s="107"/>
      <c r="C369" s="108"/>
      <c r="D369" s="109"/>
      <c r="E369" s="110"/>
      <c r="F369" s="111" t="s">
        <v>85</v>
      </c>
      <c r="G369" s="112" t="s">
        <v>346</v>
      </c>
      <c r="H369" s="193">
        <v>203.92416</v>
      </c>
      <c r="I369" s="106" t="s">
        <v>72</v>
      </c>
      <c r="J369" s="50">
        <v>35000</v>
      </c>
      <c r="K369" s="29"/>
      <c r="L369" s="46">
        <f t="shared" si="7"/>
        <v>7137345.5999999996</v>
      </c>
    </row>
    <row r="370" spans="2:12" x14ac:dyDescent="0.35">
      <c r="B370" s="107"/>
      <c r="C370" s="108"/>
      <c r="D370" s="109"/>
      <c r="E370" s="110"/>
      <c r="F370" s="111" t="s">
        <v>85</v>
      </c>
      <c r="G370" s="112" t="s">
        <v>347</v>
      </c>
      <c r="H370" s="193">
        <v>201.43727999999999</v>
      </c>
      <c r="I370" s="106" t="s">
        <v>72</v>
      </c>
      <c r="J370" s="50">
        <v>35000</v>
      </c>
      <c r="K370" s="29"/>
      <c r="L370" s="46">
        <f t="shared" si="7"/>
        <v>7050304.7999999998</v>
      </c>
    </row>
    <row r="371" spans="2:12" x14ac:dyDescent="0.35">
      <c r="B371" s="107"/>
      <c r="C371" s="108"/>
      <c r="D371" s="109"/>
      <c r="E371" s="110"/>
      <c r="F371" s="111" t="s">
        <v>85</v>
      </c>
      <c r="G371" s="112" t="s">
        <v>348</v>
      </c>
      <c r="H371" s="193">
        <v>37.303199999999997</v>
      </c>
      <c r="I371" s="106" t="s">
        <v>72</v>
      </c>
      <c r="J371" s="50">
        <v>35000</v>
      </c>
      <c r="K371" s="29"/>
      <c r="L371" s="46">
        <f t="shared" si="7"/>
        <v>1305612</v>
      </c>
    </row>
    <row r="372" spans="2:12" x14ac:dyDescent="0.35">
      <c r="B372" s="107"/>
      <c r="C372" s="108"/>
      <c r="D372" s="109"/>
      <c r="E372" s="110"/>
      <c r="F372" s="111" t="s">
        <v>85</v>
      </c>
      <c r="G372" s="112" t="s">
        <v>349</v>
      </c>
      <c r="H372" s="193">
        <v>42.955199999999998</v>
      </c>
      <c r="I372" s="106" t="s">
        <v>72</v>
      </c>
      <c r="J372" s="50">
        <v>35000</v>
      </c>
      <c r="K372" s="29"/>
      <c r="L372" s="46">
        <f t="shared" si="7"/>
        <v>1503432</v>
      </c>
    </row>
    <row r="373" spans="2:12" x14ac:dyDescent="0.35">
      <c r="B373" s="107"/>
      <c r="C373" s="108"/>
      <c r="D373" s="109"/>
      <c r="E373" s="110"/>
      <c r="F373" s="111" t="s">
        <v>85</v>
      </c>
      <c r="G373" s="112" t="s">
        <v>350</v>
      </c>
      <c r="H373" s="193">
        <v>42.389999999999993</v>
      </c>
      <c r="I373" s="106" t="s">
        <v>72</v>
      </c>
      <c r="J373" s="50">
        <v>35000</v>
      </c>
      <c r="K373" s="29"/>
      <c r="L373" s="46">
        <f t="shared" si="7"/>
        <v>1483649.9999999998</v>
      </c>
    </row>
    <row r="374" spans="2:12" x14ac:dyDescent="0.35">
      <c r="B374" s="107"/>
      <c r="C374" s="108"/>
      <c r="D374" s="109"/>
      <c r="E374" s="110"/>
      <c r="F374" s="111" t="s">
        <v>85</v>
      </c>
      <c r="G374" s="112" t="s">
        <v>351</v>
      </c>
      <c r="H374" s="193">
        <v>41.259599999999999</v>
      </c>
      <c r="I374" s="106" t="s">
        <v>72</v>
      </c>
      <c r="J374" s="50">
        <v>35000</v>
      </c>
      <c r="K374" s="29"/>
      <c r="L374" s="46">
        <f t="shared" si="7"/>
        <v>1444086</v>
      </c>
    </row>
    <row r="375" spans="2:12" x14ac:dyDescent="0.35">
      <c r="B375" s="107"/>
      <c r="C375" s="108"/>
      <c r="D375" s="109"/>
      <c r="E375" s="110"/>
      <c r="F375" s="111" t="s">
        <v>85</v>
      </c>
      <c r="G375" s="112" t="s">
        <v>352</v>
      </c>
      <c r="H375" s="193">
        <v>65.111039999999988</v>
      </c>
      <c r="I375" s="106" t="s">
        <v>72</v>
      </c>
      <c r="J375" s="50">
        <v>35000</v>
      </c>
      <c r="K375" s="29"/>
      <c r="L375" s="46">
        <f t="shared" si="7"/>
        <v>2278886.3999999994</v>
      </c>
    </row>
    <row r="376" spans="2:12" x14ac:dyDescent="0.35">
      <c r="B376" s="107"/>
      <c r="C376" s="108"/>
      <c r="D376" s="109"/>
      <c r="E376" s="110"/>
      <c r="F376" s="111" t="s">
        <v>85</v>
      </c>
      <c r="G376" s="112" t="s">
        <v>353</v>
      </c>
      <c r="H376" s="193">
        <v>21.703680000000002</v>
      </c>
      <c r="I376" s="106" t="s">
        <v>72</v>
      </c>
      <c r="J376" s="50">
        <v>35000</v>
      </c>
      <c r="K376" s="29"/>
      <c r="L376" s="46">
        <f t="shared" si="7"/>
        <v>759628.80000000005</v>
      </c>
    </row>
    <row r="377" spans="2:12" x14ac:dyDescent="0.35">
      <c r="B377" s="107"/>
      <c r="C377" s="108"/>
      <c r="D377" s="109"/>
      <c r="E377" s="110"/>
      <c r="F377" s="111" t="s">
        <v>85</v>
      </c>
      <c r="G377" s="112" t="s">
        <v>354</v>
      </c>
      <c r="H377" s="193">
        <f>0.18*0.09*10*7.85*15*1.2</f>
        <v>22.890599999999996</v>
      </c>
      <c r="I377" s="106" t="s">
        <v>72</v>
      </c>
      <c r="J377" s="50">
        <v>35000</v>
      </c>
      <c r="K377" s="29"/>
      <c r="L377" s="46">
        <f t="shared" si="7"/>
        <v>801170.99999999988</v>
      </c>
    </row>
    <row r="378" spans="2:12" x14ac:dyDescent="0.35">
      <c r="B378" s="107"/>
      <c r="C378" s="108"/>
      <c r="D378" s="109" t="s">
        <v>57</v>
      </c>
      <c r="E378" s="110"/>
      <c r="F378" s="111" t="s">
        <v>98</v>
      </c>
      <c r="G378" s="112"/>
      <c r="H378" s="212"/>
      <c r="I378" s="106"/>
      <c r="J378" s="50"/>
      <c r="K378" s="29"/>
      <c r="L378" s="46"/>
    </row>
    <row r="379" spans="2:12" x14ac:dyDescent="0.35">
      <c r="B379" s="107"/>
      <c r="C379" s="108"/>
      <c r="D379" s="109"/>
      <c r="E379" s="110"/>
      <c r="F379" s="111" t="s">
        <v>85</v>
      </c>
      <c r="G379" s="112" t="s">
        <v>355</v>
      </c>
      <c r="H379" s="193">
        <v>204.60239999999999</v>
      </c>
      <c r="I379" s="106" t="s">
        <v>72</v>
      </c>
      <c r="J379" s="50">
        <v>35000</v>
      </c>
      <c r="K379" s="29"/>
      <c r="L379" s="46">
        <f t="shared" si="7"/>
        <v>7161084</v>
      </c>
    </row>
    <row r="380" spans="2:12" x14ac:dyDescent="0.35">
      <c r="B380" s="107"/>
      <c r="C380" s="108"/>
      <c r="D380" s="109"/>
      <c r="E380" s="110"/>
      <c r="F380" s="111" t="s">
        <v>85</v>
      </c>
      <c r="G380" s="112" t="s">
        <v>356</v>
      </c>
      <c r="H380" s="193">
        <v>204.15024</v>
      </c>
      <c r="I380" s="106" t="s">
        <v>72</v>
      </c>
      <c r="J380" s="50">
        <v>35000</v>
      </c>
      <c r="K380" s="29"/>
      <c r="L380" s="46">
        <f t="shared" si="7"/>
        <v>7145258.3999999994</v>
      </c>
    </row>
    <row r="381" spans="2:12" x14ac:dyDescent="0.35">
      <c r="B381" s="107"/>
      <c r="C381" s="108"/>
      <c r="D381" s="109"/>
      <c r="E381" s="110"/>
      <c r="F381" s="111" t="s">
        <v>85</v>
      </c>
      <c r="G381" s="112" t="s">
        <v>357</v>
      </c>
      <c r="H381" s="193">
        <v>204.15024</v>
      </c>
      <c r="I381" s="106" t="s">
        <v>72</v>
      </c>
      <c r="J381" s="50">
        <v>35000</v>
      </c>
      <c r="K381" s="29"/>
      <c r="L381" s="46">
        <f t="shared" si="7"/>
        <v>7145258.3999999994</v>
      </c>
    </row>
    <row r="382" spans="2:12" x14ac:dyDescent="0.35">
      <c r="B382" s="107"/>
      <c r="C382" s="108"/>
      <c r="D382" s="109"/>
      <c r="E382" s="110"/>
      <c r="F382" s="111" t="s">
        <v>85</v>
      </c>
      <c r="G382" s="112" t="s">
        <v>358</v>
      </c>
      <c r="H382" s="193">
        <v>35.042399999999994</v>
      </c>
      <c r="I382" s="106" t="s">
        <v>72</v>
      </c>
      <c r="J382" s="50">
        <v>35000</v>
      </c>
      <c r="K382" s="29"/>
      <c r="L382" s="46">
        <f t="shared" si="7"/>
        <v>1226483.9999999998</v>
      </c>
    </row>
    <row r="383" spans="2:12" x14ac:dyDescent="0.35">
      <c r="B383" s="107"/>
      <c r="C383" s="108"/>
      <c r="D383" s="109"/>
      <c r="E383" s="110"/>
      <c r="F383" s="111" t="s">
        <v>85</v>
      </c>
      <c r="G383" s="112" t="s">
        <v>359</v>
      </c>
      <c r="H383" s="193">
        <v>36.172799999999995</v>
      </c>
      <c r="I383" s="106" t="s">
        <v>72</v>
      </c>
      <c r="J383" s="50">
        <v>35000</v>
      </c>
      <c r="K383" s="29"/>
      <c r="L383" s="46">
        <f t="shared" si="7"/>
        <v>1266047.9999999998</v>
      </c>
    </row>
    <row r="384" spans="2:12" x14ac:dyDescent="0.35">
      <c r="B384" s="107"/>
      <c r="C384" s="108"/>
      <c r="D384" s="109"/>
      <c r="E384" s="110"/>
      <c r="F384" s="111" t="s">
        <v>85</v>
      </c>
      <c r="G384" s="112" t="s">
        <v>360</v>
      </c>
      <c r="H384" s="193">
        <v>37.303199999999997</v>
      </c>
      <c r="I384" s="106" t="s">
        <v>72</v>
      </c>
      <c r="J384" s="50">
        <v>35000</v>
      </c>
      <c r="K384" s="29"/>
      <c r="L384" s="46">
        <f t="shared" si="7"/>
        <v>1305612</v>
      </c>
    </row>
    <row r="385" spans="2:12" x14ac:dyDescent="0.35">
      <c r="B385" s="107"/>
      <c r="C385" s="108"/>
      <c r="D385" s="109"/>
      <c r="E385" s="110"/>
      <c r="F385" s="111" t="s">
        <v>85</v>
      </c>
      <c r="G385" s="112" t="s">
        <v>361</v>
      </c>
      <c r="H385" s="193">
        <v>37.303199999999997</v>
      </c>
      <c r="I385" s="106" t="s">
        <v>72</v>
      </c>
      <c r="J385" s="50">
        <v>35000</v>
      </c>
      <c r="K385" s="29"/>
      <c r="L385" s="46">
        <f t="shared" si="7"/>
        <v>1305612</v>
      </c>
    </row>
    <row r="386" spans="2:12" x14ac:dyDescent="0.35">
      <c r="B386" s="107"/>
      <c r="C386" s="108"/>
      <c r="D386" s="109"/>
      <c r="E386" s="110"/>
      <c r="F386" s="111" t="s">
        <v>85</v>
      </c>
      <c r="G386" s="112" t="s">
        <v>362</v>
      </c>
      <c r="H386" s="193">
        <v>38.998799999999996</v>
      </c>
      <c r="I386" s="106" t="s">
        <v>72</v>
      </c>
      <c r="J386" s="50">
        <v>35000</v>
      </c>
      <c r="K386" s="29"/>
      <c r="L386" s="46">
        <f t="shared" si="7"/>
        <v>1364957.9999999998</v>
      </c>
    </row>
    <row r="387" spans="2:12" x14ac:dyDescent="0.35">
      <c r="B387" s="107"/>
      <c r="C387" s="108"/>
      <c r="D387" s="109"/>
      <c r="E387" s="110"/>
      <c r="F387" s="111" t="s">
        <v>85</v>
      </c>
      <c r="G387" s="112" t="s">
        <v>363</v>
      </c>
      <c r="H387" s="193">
        <v>38.998799999999996</v>
      </c>
      <c r="I387" s="106" t="s">
        <v>72</v>
      </c>
      <c r="J387" s="50">
        <v>35000</v>
      </c>
      <c r="K387" s="29"/>
      <c r="L387" s="46">
        <f t="shared" si="7"/>
        <v>1364957.9999999998</v>
      </c>
    </row>
    <row r="388" spans="2:12" x14ac:dyDescent="0.35">
      <c r="B388" s="107"/>
      <c r="C388" s="108"/>
      <c r="D388" s="109"/>
      <c r="E388" s="110"/>
      <c r="F388" s="111" t="s">
        <v>85</v>
      </c>
      <c r="G388" s="112" t="s">
        <v>364</v>
      </c>
      <c r="H388" s="193">
        <v>35.607599999999998</v>
      </c>
      <c r="I388" s="106" t="s">
        <v>72</v>
      </c>
      <c r="J388" s="50">
        <v>35000</v>
      </c>
      <c r="K388" s="29"/>
      <c r="L388" s="46">
        <f t="shared" si="7"/>
        <v>1246266</v>
      </c>
    </row>
    <row r="389" spans="2:12" x14ac:dyDescent="0.35">
      <c r="B389" s="107"/>
      <c r="C389" s="108"/>
      <c r="D389" s="109"/>
      <c r="E389" s="110"/>
      <c r="F389" s="111" t="s">
        <v>85</v>
      </c>
      <c r="G389" s="112" t="s">
        <v>365</v>
      </c>
      <c r="H389" s="193">
        <v>120.38759999999999</v>
      </c>
      <c r="I389" s="106" t="s">
        <v>72</v>
      </c>
      <c r="J389" s="50">
        <v>35000</v>
      </c>
      <c r="K389" s="29"/>
      <c r="L389" s="46">
        <f t="shared" si="7"/>
        <v>4213566</v>
      </c>
    </row>
    <row r="390" spans="2:12" x14ac:dyDescent="0.35">
      <c r="B390" s="107"/>
      <c r="C390" s="108"/>
      <c r="D390" s="109"/>
      <c r="E390" s="110"/>
      <c r="F390" s="111" t="s">
        <v>85</v>
      </c>
      <c r="G390" s="112" t="s">
        <v>366</v>
      </c>
      <c r="H390" s="193">
        <v>121.51799999999999</v>
      </c>
      <c r="I390" s="106" t="s">
        <v>72</v>
      </c>
      <c r="J390" s="50">
        <v>35000</v>
      </c>
      <c r="K390" s="29"/>
      <c r="L390" s="46">
        <f t="shared" si="7"/>
        <v>4253129.9999999991</v>
      </c>
    </row>
    <row r="391" spans="2:12" x14ac:dyDescent="0.35">
      <c r="B391" s="107"/>
      <c r="C391" s="108"/>
      <c r="D391" s="109"/>
      <c r="E391" s="110"/>
      <c r="F391" s="111" t="s">
        <v>85</v>
      </c>
      <c r="G391" s="112" t="s">
        <v>367</v>
      </c>
      <c r="H391" s="193">
        <v>141.29999999999998</v>
      </c>
      <c r="I391" s="106" t="s">
        <v>72</v>
      </c>
      <c r="J391" s="50">
        <v>35000</v>
      </c>
      <c r="K391" s="29"/>
      <c r="L391" s="46">
        <f t="shared" si="7"/>
        <v>4945499.9999999991</v>
      </c>
    </row>
    <row r="392" spans="2:12" x14ac:dyDescent="0.35">
      <c r="B392" s="107"/>
      <c r="C392" s="108"/>
      <c r="D392" s="109"/>
      <c r="E392" s="110"/>
      <c r="F392" s="111" t="s">
        <v>85</v>
      </c>
      <c r="G392" s="112" t="s">
        <v>368</v>
      </c>
      <c r="H392" s="193">
        <v>38.998799999999996</v>
      </c>
      <c r="I392" s="106" t="s">
        <v>72</v>
      </c>
      <c r="J392" s="50">
        <v>35000</v>
      </c>
      <c r="K392" s="29"/>
      <c r="L392" s="46">
        <f t="shared" si="7"/>
        <v>1364957.9999999998</v>
      </c>
    </row>
    <row r="393" spans="2:12" x14ac:dyDescent="0.35">
      <c r="B393" s="107"/>
      <c r="C393" s="108"/>
      <c r="D393" s="109"/>
      <c r="E393" s="110"/>
      <c r="F393" s="111" t="s">
        <v>85</v>
      </c>
      <c r="G393" s="112" t="s">
        <v>369</v>
      </c>
      <c r="H393" s="193">
        <v>61.606799999999993</v>
      </c>
      <c r="I393" s="106" t="s">
        <v>72</v>
      </c>
      <c r="J393" s="50">
        <v>35000</v>
      </c>
      <c r="K393" s="29"/>
      <c r="L393" s="46">
        <f t="shared" si="7"/>
        <v>2156237.9999999995</v>
      </c>
    </row>
    <row r="394" spans="2:12" x14ac:dyDescent="0.35">
      <c r="B394" s="107"/>
      <c r="C394" s="108"/>
      <c r="D394" s="109"/>
      <c r="E394" s="110"/>
      <c r="F394" s="111" t="s">
        <v>85</v>
      </c>
      <c r="G394" s="112" t="s">
        <v>370</v>
      </c>
      <c r="H394" s="193">
        <v>66.693599999999989</v>
      </c>
      <c r="I394" s="106" t="s">
        <v>72</v>
      </c>
      <c r="J394" s="50">
        <v>35000</v>
      </c>
      <c r="K394" s="29"/>
      <c r="L394" s="46">
        <f t="shared" si="7"/>
        <v>2334275.9999999995</v>
      </c>
    </row>
    <row r="395" spans="2:12" x14ac:dyDescent="0.35">
      <c r="B395" s="107"/>
      <c r="C395" s="108"/>
      <c r="D395" s="109"/>
      <c r="E395" s="110"/>
      <c r="F395" s="111" t="s">
        <v>85</v>
      </c>
      <c r="G395" s="112" t="s">
        <v>371</v>
      </c>
      <c r="H395" s="193">
        <v>48.041999999999994</v>
      </c>
      <c r="I395" s="106" t="s">
        <v>72</v>
      </c>
      <c r="J395" s="50">
        <v>35000</v>
      </c>
      <c r="K395" s="29"/>
      <c r="L395" s="46">
        <f t="shared" si="7"/>
        <v>1681469.9999999998</v>
      </c>
    </row>
    <row r="396" spans="2:12" x14ac:dyDescent="0.35">
      <c r="B396" s="107"/>
      <c r="C396" s="108"/>
      <c r="D396" s="109"/>
      <c r="E396" s="110"/>
      <c r="F396" s="111" t="s">
        <v>85</v>
      </c>
      <c r="G396" s="112" t="s">
        <v>372</v>
      </c>
      <c r="H396" s="193">
        <v>305.96159999999992</v>
      </c>
      <c r="I396" s="106" t="s">
        <v>72</v>
      </c>
      <c r="J396" s="50">
        <v>35000</v>
      </c>
      <c r="K396" s="29"/>
      <c r="L396" s="46">
        <f t="shared" si="7"/>
        <v>10708655.999999996</v>
      </c>
    </row>
    <row r="397" spans="2:12" x14ac:dyDescent="0.35">
      <c r="B397" s="107"/>
      <c r="C397" s="108"/>
      <c r="D397" s="109"/>
      <c r="E397" s="110"/>
      <c r="F397" s="111" t="s">
        <v>85</v>
      </c>
      <c r="G397" s="112" t="s">
        <v>373</v>
      </c>
      <c r="H397" s="193">
        <v>32.781599999999997</v>
      </c>
      <c r="I397" s="106" t="s">
        <v>72</v>
      </c>
      <c r="J397" s="50">
        <v>35000</v>
      </c>
      <c r="K397" s="29"/>
      <c r="L397" s="46">
        <f t="shared" si="7"/>
        <v>1147356</v>
      </c>
    </row>
    <row r="398" spans="2:12" x14ac:dyDescent="0.35">
      <c r="B398" s="107"/>
      <c r="C398" s="108"/>
      <c r="D398" s="109"/>
      <c r="E398" s="110"/>
      <c r="F398" s="111" t="s">
        <v>85</v>
      </c>
      <c r="G398" s="112" t="s">
        <v>374</v>
      </c>
      <c r="H398" s="193">
        <v>28.259999999999998</v>
      </c>
      <c r="I398" s="106" t="s">
        <v>72</v>
      </c>
      <c r="J398" s="50">
        <v>35000</v>
      </c>
      <c r="K398" s="29"/>
      <c r="L398" s="46">
        <f t="shared" si="7"/>
        <v>989099.99999999988</v>
      </c>
    </row>
    <row r="399" spans="2:12" x14ac:dyDescent="0.35">
      <c r="B399" s="107"/>
      <c r="C399" s="108"/>
      <c r="D399" s="109"/>
      <c r="E399" s="110"/>
      <c r="F399" s="111" t="s">
        <v>85</v>
      </c>
      <c r="G399" s="112" t="s">
        <v>375</v>
      </c>
      <c r="H399" s="193">
        <v>28.259999999999998</v>
      </c>
      <c r="I399" s="106" t="s">
        <v>72</v>
      </c>
      <c r="J399" s="50">
        <v>35000</v>
      </c>
      <c r="K399" s="29"/>
      <c r="L399" s="46">
        <f t="shared" si="7"/>
        <v>989099.99999999988</v>
      </c>
    </row>
    <row r="400" spans="2:12" x14ac:dyDescent="0.35">
      <c r="B400" s="107"/>
      <c r="C400" s="108"/>
      <c r="D400" s="109"/>
      <c r="E400" s="110"/>
      <c r="F400" s="111" t="s">
        <v>85</v>
      </c>
      <c r="G400" s="112" t="s">
        <v>376</v>
      </c>
      <c r="H400" s="193">
        <v>36.738</v>
      </c>
      <c r="I400" s="106" t="s">
        <v>72</v>
      </c>
      <c r="J400" s="50">
        <v>35000</v>
      </c>
      <c r="K400" s="29"/>
      <c r="L400" s="46">
        <f t="shared" si="7"/>
        <v>1285830</v>
      </c>
    </row>
    <row r="401" spans="2:12" x14ac:dyDescent="0.35">
      <c r="B401" s="107"/>
      <c r="C401" s="108"/>
      <c r="D401" s="109"/>
      <c r="E401" s="110"/>
      <c r="F401" s="111" t="s">
        <v>85</v>
      </c>
      <c r="G401" s="112" t="s">
        <v>377</v>
      </c>
      <c r="H401" s="193">
        <v>36.738</v>
      </c>
      <c r="I401" s="106" t="s">
        <v>72</v>
      </c>
      <c r="J401" s="50">
        <v>35000</v>
      </c>
      <c r="K401" s="29"/>
      <c r="L401" s="46">
        <f t="shared" si="7"/>
        <v>1285830</v>
      </c>
    </row>
    <row r="402" spans="2:12" x14ac:dyDescent="0.35">
      <c r="B402" s="47"/>
      <c r="C402" s="48"/>
      <c r="D402" s="24"/>
      <c r="G402" s="22"/>
      <c r="I402" s="22"/>
      <c r="J402" s="50"/>
      <c r="K402" s="29"/>
      <c r="L402" s="52"/>
    </row>
    <row r="403" spans="2:12" x14ac:dyDescent="0.35">
      <c r="B403" s="8"/>
      <c r="C403" s="9"/>
      <c r="D403" s="10"/>
      <c r="E403" s="4"/>
      <c r="F403" s="4"/>
      <c r="G403" s="4"/>
      <c r="H403" s="1"/>
      <c r="I403" s="1"/>
      <c r="J403" s="11" t="s">
        <v>8</v>
      </c>
      <c r="K403" s="7">
        <f>SUM(K351:K402)</f>
        <v>0</v>
      </c>
      <c r="L403" s="7">
        <f>SUM(L351:L402)</f>
        <v>183948861.59999999</v>
      </c>
    </row>
    <row r="404" spans="2:12" x14ac:dyDescent="0.35">
      <c r="B404" s="8"/>
      <c r="C404" s="9"/>
      <c r="D404" s="9"/>
      <c r="E404" s="4"/>
      <c r="F404" s="4"/>
      <c r="G404" s="4"/>
      <c r="H404" s="1"/>
      <c r="I404" s="1"/>
      <c r="J404" s="11"/>
      <c r="K404" s="35" t="s">
        <v>22</v>
      </c>
      <c r="L404" s="36" t="s">
        <v>23</v>
      </c>
    </row>
    <row r="405" spans="2:12" x14ac:dyDescent="0.35">
      <c r="B405" s="3" t="s">
        <v>9</v>
      </c>
      <c r="C405" s="4"/>
      <c r="D405" s="4"/>
      <c r="E405" s="4"/>
      <c r="F405" s="4"/>
      <c r="G405" s="4"/>
      <c r="H405" s="1"/>
      <c r="I405" s="1"/>
      <c r="J405" s="12"/>
      <c r="K405" s="12"/>
      <c r="L405" s="13"/>
    </row>
    <row r="406" spans="2:12" x14ac:dyDescent="0.35">
      <c r="B406" s="37"/>
      <c r="C406" s="1"/>
      <c r="D406" s="1"/>
      <c r="E406" s="38"/>
      <c r="F406" s="38"/>
      <c r="G406" s="38"/>
      <c r="H406" s="1"/>
      <c r="I406" s="1"/>
      <c r="J406" s="1"/>
      <c r="K406" s="1"/>
      <c r="L406" s="19"/>
    </row>
    <row r="407" spans="2:12" x14ac:dyDescent="0.35">
      <c r="B407" s="28" t="s">
        <v>6</v>
      </c>
      <c r="C407" s="27"/>
      <c r="D407" s="27"/>
      <c r="E407" s="26"/>
      <c r="F407" s="26"/>
      <c r="G407" s="5"/>
      <c r="K407" s="321" t="str">
        <f>K341</f>
        <v>Balikpapan, 26 Juni 2025</v>
      </c>
      <c r="L407" s="322"/>
    </row>
    <row r="408" spans="2:12" x14ac:dyDescent="0.35">
      <c r="B408" s="28">
        <v>1</v>
      </c>
      <c r="C408" s="27"/>
      <c r="D408" s="27"/>
      <c r="E408" s="26" t="s">
        <v>7</v>
      </c>
      <c r="F408" s="26"/>
      <c r="G408" s="5"/>
      <c r="K408" s="321" t="s">
        <v>28</v>
      </c>
      <c r="L408" s="322"/>
    </row>
    <row r="409" spans="2:12" x14ac:dyDescent="0.35">
      <c r="B409" s="39"/>
      <c r="C409" s="27"/>
      <c r="D409" s="27"/>
      <c r="E409" s="26"/>
      <c r="F409" s="26"/>
      <c r="G409" s="5"/>
      <c r="J409" s="25"/>
      <c r="K409" s="25"/>
      <c r="L409" s="24"/>
    </row>
    <row r="410" spans="2:12" x14ac:dyDescent="0.35">
      <c r="B410" s="28"/>
      <c r="C410" s="27"/>
      <c r="D410" s="27"/>
      <c r="E410" s="26"/>
      <c r="F410" s="26"/>
      <c r="G410" s="5"/>
      <c r="L410" s="22"/>
    </row>
    <row r="411" spans="2:12" x14ac:dyDescent="0.35">
      <c r="B411" s="45"/>
      <c r="E411" s="5"/>
      <c r="F411" s="5"/>
      <c r="G411" s="5"/>
      <c r="L411" s="22"/>
    </row>
    <row r="412" spans="2:12" x14ac:dyDescent="0.35">
      <c r="B412" s="45"/>
      <c r="E412" s="5"/>
      <c r="F412" s="5"/>
      <c r="G412" s="5"/>
      <c r="L412" s="22"/>
    </row>
    <row r="413" spans="2:12" x14ac:dyDescent="0.35">
      <c r="B413" s="45"/>
      <c r="E413" s="5"/>
      <c r="F413" s="5"/>
      <c r="G413" s="5"/>
      <c r="L413" s="22"/>
    </row>
    <row r="414" spans="2:12" x14ac:dyDescent="0.35">
      <c r="B414" s="45"/>
      <c r="E414" s="5"/>
      <c r="F414" s="5"/>
      <c r="G414" s="5"/>
      <c r="J414" s="40"/>
      <c r="K414" s="323" t="s">
        <v>36</v>
      </c>
      <c r="L414" s="324"/>
    </row>
    <row r="415" spans="2:12" x14ac:dyDescent="0.35">
      <c r="B415" s="45"/>
      <c r="K415" s="325" t="s">
        <v>37</v>
      </c>
      <c r="L415" s="326"/>
    </row>
    <row r="416" spans="2:12" x14ac:dyDescent="0.35">
      <c r="B416" s="318"/>
      <c r="C416" s="319"/>
      <c r="D416" s="319"/>
      <c r="E416" s="41"/>
      <c r="F416" s="41"/>
      <c r="G416" s="41"/>
      <c r="H416" s="2"/>
      <c r="I416" s="2"/>
      <c r="J416" s="2"/>
      <c r="K416" s="2"/>
      <c r="L416" s="21"/>
    </row>
    <row r="417" spans="2:12" x14ac:dyDescent="0.35">
      <c r="B417" s="47"/>
      <c r="C417" s="48"/>
      <c r="D417" s="49"/>
      <c r="G417" s="22"/>
      <c r="H417" s="1"/>
      <c r="I417" s="1"/>
      <c r="J417" s="43"/>
      <c r="K417" s="30"/>
      <c r="L417" s="44"/>
    </row>
    <row r="418" spans="2:12" x14ac:dyDescent="0.35">
      <c r="B418" s="107"/>
      <c r="C418" s="108"/>
      <c r="D418" s="109"/>
      <c r="E418" s="110"/>
      <c r="F418" s="111" t="s">
        <v>85</v>
      </c>
      <c r="G418" s="112" t="s">
        <v>378</v>
      </c>
      <c r="H418" s="193">
        <v>36.738</v>
      </c>
      <c r="I418" s="106" t="s">
        <v>72</v>
      </c>
      <c r="J418" s="50">
        <v>35000</v>
      </c>
      <c r="K418" s="51"/>
      <c r="L418" s="46">
        <f t="shared" ref="L418:L468" si="8">J418*H418</f>
        <v>1285830</v>
      </c>
    </row>
    <row r="419" spans="2:12" x14ac:dyDescent="0.35">
      <c r="B419" s="107"/>
      <c r="C419" s="108"/>
      <c r="D419" s="109"/>
      <c r="E419" s="110"/>
      <c r="F419" s="111" t="s">
        <v>85</v>
      </c>
      <c r="G419" s="112" t="s">
        <v>379</v>
      </c>
      <c r="H419" s="193">
        <v>29.955599999999997</v>
      </c>
      <c r="I419" s="106" t="s">
        <v>72</v>
      </c>
      <c r="J419" s="50">
        <v>35000</v>
      </c>
      <c r="K419" s="51"/>
      <c r="L419" s="46">
        <f t="shared" si="8"/>
        <v>1048445.9999999999</v>
      </c>
    </row>
    <row r="420" spans="2:12" x14ac:dyDescent="0.35">
      <c r="B420" s="107"/>
      <c r="C420" s="108"/>
      <c r="D420" s="109"/>
      <c r="E420" s="110"/>
      <c r="F420" s="111" t="s">
        <v>85</v>
      </c>
      <c r="G420" s="112" t="s">
        <v>380</v>
      </c>
      <c r="H420" s="193">
        <v>596.85119999999984</v>
      </c>
      <c r="I420" s="106" t="s">
        <v>72</v>
      </c>
      <c r="J420" s="50">
        <v>35000</v>
      </c>
      <c r="K420" s="51"/>
      <c r="L420" s="46">
        <f t="shared" si="8"/>
        <v>20889791.999999993</v>
      </c>
    </row>
    <row r="421" spans="2:12" x14ac:dyDescent="0.35">
      <c r="B421" s="107"/>
      <c r="C421" s="108"/>
      <c r="D421" s="109"/>
      <c r="E421" s="110"/>
      <c r="F421" s="111" t="s">
        <v>85</v>
      </c>
      <c r="G421" s="112" t="s">
        <v>381</v>
      </c>
      <c r="H421" s="193">
        <v>21.628319999999999</v>
      </c>
      <c r="I421" s="106" t="s">
        <v>72</v>
      </c>
      <c r="J421" s="50">
        <v>35000</v>
      </c>
      <c r="K421" s="29"/>
      <c r="L421" s="46">
        <f t="shared" si="8"/>
        <v>756991.2</v>
      </c>
    </row>
    <row r="422" spans="2:12" x14ac:dyDescent="0.35">
      <c r="B422" s="107"/>
      <c r="C422" s="108"/>
      <c r="D422" s="109"/>
      <c r="E422" s="110"/>
      <c r="F422" s="111" t="s">
        <v>85</v>
      </c>
      <c r="G422" s="112" t="s">
        <v>382</v>
      </c>
      <c r="H422" s="193">
        <v>24.718079999999997</v>
      </c>
      <c r="I422" s="106" t="s">
        <v>72</v>
      </c>
      <c r="J422" s="50">
        <v>35000</v>
      </c>
      <c r="K422" s="29"/>
      <c r="L422" s="46">
        <f t="shared" si="8"/>
        <v>865132.79999999993</v>
      </c>
    </row>
    <row r="423" spans="2:12" x14ac:dyDescent="0.35">
      <c r="B423" s="107"/>
      <c r="C423" s="108"/>
      <c r="D423" s="109"/>
      <c r="E423" s="110"/>
      <c r="F423" s="111" t="s">
        <v>85</v>
      </c>
      <c r="G423" s="112" t="s">
        <v>383</v>
      </c>
      <c r="H423" s="193">
        <v>34.477199999999996</v>
      </c>
      <c r="I423" s="106" t="s">
        <v>72</v>
      </c>
      <c r="J423" s="50">
        <v>35000</v>
      </c>
      <c r="K423" s="29"/>
      <c r="L423" s="46">
        <f t="shared" si="8"/>
        <v>1206701.9999999998</v>
      </c>
    </row>
    <row r="424" spans="2:12" x14ac:dyDescent="0.35">
      <c r="B424" s="107"/>
      <c r="C424" s="108"/>
      <c r="D424" s="109"/>
      <c r="E424" s="110"/>
      <c r="F424" s="111" t="s">
        <v>85</v>
      </c>
      <c r="G424" s="112" t="s">
        <v>384</v>
      </c>
      <c r="H424" s="193">
        <v>51.998399999999997</v>
      </c>
      <c r="I424" s="106" t="s">
        <v>72</v>
      </c>
      <c r="J424" s="50">
        <v>35000</v>
      </c>
      <c r="K424" s="29"/>
      <c r="L424" s="46">
        <f t="shared" si="8"/>
        <v>1819943.9999999998</v>
      </c>
    </row>
    <row r="425" spans="2:12" x14ac:dyDescent="0.35">
      <c r="B425" s="107"/>
      <c r="C425" s="108"/>
      <c r="D425" s="109"/>
      <c r="E425" s="110"/>
      <c r="F425" s="111" t="s">
        <v>85</v>
      </c>
      <c r="G425" s="112" t="s">
        <v>385</v>
      </c>
      <c r="H425" s="193">
        <v>57.650399999999991</v>
      </c>
      <c r="I425" s="106" t="s">
        <v>72</v>
      </c>
      <c r="J425" s="50">
        <v>35000</v>
      </c>
      <c r="K425" s="29"/>
      <c r="L425" s="46">
        <f t="shared" si="8"/>
        <v>2017763.9999999998</v>
      </c>
    </row>
    <row r="426" spans="2:12" x14ac:dyDescent="0.35">
      <c r="B426" s="107"/>
      <c r="C426" s="108"/>
      <c r="D426" s="109"/>
      <c r="E426" s="110"/>
      <c r="F426" s="111" t="s">
        <v>85</v>
      </c>
      <c r="G426" s="112" t="s">
        <v>386</v>
      </c>
      <c r="H426" s="193">
        <v>36.172799999999995</v>
      </c>
      <c r="I426" s="106" t="s">
        <v>72</v>
      </c>
      <c r="J426" s="50">
        <v>35000</v>
      </c>
      <c r="K426" s="29"/>
      <c r="L426" s="46">
        <f t="shared" si="8"/>
        <v>1266047.9999999998</v>
      </c>
    </row>
    <row r="427" spans="2:12" x14ac:dyDescent="0.35">
      <c r="B427" s="107"/>
      <c r="C427" s="108"/>
      <c r="D427" s="109"/>
      <c r="E427" s="110"/>
      <c r="F427" s="111" t="s">
        <v>85</v>
      </c>
      <c r="G427" s="112" t="s">
        <v>387</v>
      </c>
      <c r="H427" s="193">
        <v>203.69808</v>
      </c>
      <c r="I427" s="106" t="s">
        <v>72</v>
      </c>
      <c r="J427" s="50">
        <v>35000</v>
      </c>
      <c r="K427" s="29"/>
      <c r="L427" s="46">
        <f t="shared" si="8"/>
        <v>7129432.7999999998</v>
      </c>
    </row>
    <row r="428" spans="2:12" x14ac:dyDescent="0.35">
      <c r="B428" s="107"/>
      <c r="C428" s="108"/>
      <c r="D428" s="109"/>
      <c r="E428" s="110"/>
      <c r="F428" s="111" t="s">
        <v>85</v>
      </c>
      <c r="G428" s="112" t="s">
        <v>388</v>
      </c>
      <c r="H428" s="193">
        <v>38.433599999999998</v>
      </c>
      <c r="I428" s="106" t="s">
        <v>72</v>
      </c>
      <c r="J428" s="50">
        <v>35000</v>
      </c>
      <c r="K428" s="29"/>
      <c r="L428" s="46">
        <f t="shared" si="8"/>
        <v>1345176</v>
      </c>
    </row>
    <row r="429" spans="2:12" x14ac:dyDescent="0.35">
      <c r="B429" s="107"/>
      <c r="C429" s="108"/>
      <c r="D429" s="109"/>
      <c r="E429" s="110"/>
      <c r="F429" s="111" t="s">
        <v>85</v>
      </c>
      <c r="G429" s="112" t="s">
        <v>389</v>
      </c>
      <c r="H429" s="193">
        <v>34.25112</v>
      </c>
      <c r="I429" s="106" t="s">
        <v>72</v>
      </c>
      <c r="J429" s="50">
        <v>35000</v>
      </c>
      <c r="K429" s="29"/>
      <c r="L429" s="46">
        <f t="shared" si="8"/>
        <v>1198789.2</v>
      </c>
    </row>
    <row r="430" spans="2:12" x14ac:dyDescent="0.35">
      <c r="B430" s="107"/>
      <c r="C430" s="108"/>
      <c r="D430" s="109"/>
      <c r="E430" s="110"/>
      <c r="F430" s="111" t="s">
        <v>85</v>
      </c>
      <c r="G430" s="112" t="s">
        <v>390</v>
      </c>
      <c r="H430" s="193">
        <v>34.25112</v>
      </c>
      <c r="I430" s="106" t="s">
        <v>72</v>
      </c>
      <c r="J430" s="50">
        <v>35000</v>
      </c>
      <c r="K430" s="29"/>
      <c r="L430" s="46">
        <f t="shared" si="8"/>
        <v>1198789.2</v>
      </c>
    </row>
    <row r="431" spans="2:12" x14ac:dyDescent="0.35">
      <c r="B431" s="107"/>
      <c r="C431" s="108"/>
      <c r="D431" s="109"/>
      <c r="E431" s="110"/>
      <c r="F431" s="111" t="s">
        <v>85</v>
      </c>
      <c r="G431" s="112" t="s">
        <v>391</v>
      </c>
      <c r="H431" s="193">
        <f>0.18*0.09*10*7.85*1.2*6</f>
        <v>9.1562399999999986</v>
      </c>
      <c r="I431" s="106" t="s">
        <v>72</v>
      </c>
      <c r="J431" s="50">
        <v>35000</v>
      </c>
      <c r="K431" s="29"/>
      <c r="L431" s="46">
        <f t="shared" si="8"/>
        <v>320468.39999999997</v>
      </c>
    </row>
    <row r="432" spans="2:12" x14ac:dyDescent="0.35">
      <c r="B432" s="107"/>
      <c r="C432" s="108"/>
      <c r="D432" s="109" t="s">
        <v>68</v>
      </c>
      <c r="E432" s="110"/>
      <c r="F432" s="111" t="s">
        <v>113</v>
      </c>
      <c r="G432" s="112"/>
      <c r="H432" s="212"/>
      <c r="I432" s="106"/>
      <c r="J432" s="50"/>
      <c r="K432" s="29"/>
      <c r="L432" s="46"/>
    </row>
    <row r="433" spans="2:12" x14ac:dyDescent="0.35">
      <c r="B433" s="107"/>
      <c r="C433" s="108"/>
      <c r="D433" s="109"/>
      <c r="E433" s="110"/>
      <c r="F433" s="111" t="s">
        <v>85</v>
      </c>
      <c r="G433" s="112" t="s">
        <v>392</v>
      </c>
      <c r="H433" s="193">
        <v>181.09008</v>
      </c>
      <c r="I433" s="106" t="s">
        <v>72</v>
      </c>
      <c r="J433" s="50">
        <v>35000</v>
      </c>
      <c r="K433" s="29"/>
      <c r="L433" s="46">
        <f t="shared" si="8"/>
        <v>6338152.7999999998</v>
      </c>
    </row>
    <row r="434" spans="2:12" x14ac:dyDescent="0.35">
      <c r="B434" s="107"/>
      <c r="C434" s="108"/>
      <c r="D434" s="109"/>
      <c r="E434" s="110"/>
      <c r="F434" s="111" t="s">
        <v>85</v>
      </c>
      <c r="G434" s="112" t="s">
        <v>393</v>
      </c>
      <c r="H434" s="193">
        <v>180.41183999999998</v>
      </c>
      <c r="I434" s="106" t="s">
        <v>72</v>
      </c>
      <c r="J434" s="50">
        <v>35000</v>
      </c>
      <c r="K434" s="29"/>
      <c r="L434" s="46">
        <f t="shared" si="8"/>
        <v>6314414.3999999994</v>
      </c>
    </row>
    <row r="435" spans="2:12" x14ac:dyDescent="0.35">
      <c r="B435" s="107"/>
      <c r="C435" s="108"/>
      <c r="D435" s="109"/>
      <c r="E435" s="110"/>
      <c r="F435" s="111" t="s">
        <v>85</v>
      </c>
      <c r="G435" s="112" t="s">
        <v>394</v>
      </c>
      <c r="H435" s="193">
        <v>90.997199999999992</v>
      </c>
      <c r="I435" s="106" t="s">
        <v>72</v>
      </c>
      <c r="J435" s="50">
        <v>35000</v>
      </c>
      <c r="K435" s="29"/>
      <c r="L435" s="46">
        <f t="shared" si="8"/>
        <v>3184901.9999999995</v>
      </c>
    </row>
    <row r="436" spans="2:12" x14ac:dyDescent="0.35">
      <c r="B436" s="107"/>
      <c r="C436" s="108"/>
      <c r="D436" s="109"/>
      <c r="E436" s="110"/>
      <c r="F436" s="111" t="s">
        <v>85</v>
      </c>
      <c r="G436" s="112" t="s">
        <v>395</v>
      </c>
      <c r="H436" s="193">
        <v>90.997199999999992</v>
      </c>
      <c r="I436" s="106" t="s">
        <v>72</v>
      </c>
      <c r="J436" s="50">
        <v>35000</v>
      </c>
      <c r="K436" s="29"/>
      <c r="L436" s="46">
        <f t="shared" si="8"/>
        <v>3184901.9999999995</v>
      </c>
    </row>
    <row r="437" spans="2:12" x14ac:dyDescent="0.35">
      <c r="B437" s="107"/>
      <c r="C437" s="108"/>
      <c r="D437" s="109"/>
      <c r="E437" s="110"/>
      <c r="F437" s="111" t="s">
        <v>85</v>
      </c>
      <c r="G437" s="112" t="s">
        <v>396</v>
      </c>
      <c r="H437" s="193">
        <v>62.17199999999999</v>
      </c>
      <c r="I437" s="106" t="s">
        <v>72</v>
      </c>
      <c r="J437" s="50">
        <v>35000</v>
      </c>
      <c r="K437" s="29"/>
      <c r="L437" s="46">
        <f t="shared" si="8"/>
        <v>2176019.9999999995</v>
      </c>
    </row>
    <row r="438" spans="2:12" x14ac:dyDescent="0.35">
      <c r="B438" s="107"/>
      <c r="C438" s="108"/>
      <c r="D438" s="109"/>
      <c r="E438" s="110"/>
      <c r="F438" s="111" t="s">
        <v>85</v>
      </c>
      <c r="G438" s="112" t="s">
        <v>397</v>
      </c>
      <c r="H438" s="193">
        <v>64.99799999999999</v>
      </c>
      <c r="I438" s="106" t="s">
        <v>72</v>
      </c>
      <c r="J438" s="50">
        <v>35000</v>
      </c>
      <c r="K438" s="29"/>
      <c r="L438" s="46">
        <f t="shared" si="8"/>
        <v>2274929.9999999995</v>
      </c>
    </row>
    <row r="439" spans="2:12" x14ac:dyDescent="0.35">
      <c r="B439" s="107"/>
      <c r="C439" s="108"/>
      <c r="D439" s="109"/>
      <c r="E439" s="110"/>
      <c r="F439" s="111" t="s">
        <v>85</v>
      </c>
      <c r="G439" s="112" t="s">
        <v>398</v>
      </c>
      <c r="H439" s="193">
        <v>301.25159999999994</v>
      </c>
      <c r="I439" s="106" t="s">
        <v>72</v>
      </c>
      <c r="J439" s="50">
        <v>35000</v>
      </c>
      <c r="K439" s="29"/>
      <c r="L439" s="46">
        <f t="shared" si="8"/>
        <v>10543805.999999998</v>
      </c>
    </row>
    <row r="440" spans="2:12" x14ac:dyDescent="0.35">
      <c r="B440" s="107"/>
      <c r="C440" s="108"/>
      <c r="D440" s="109"/>
      <c r="E440" s="110"/>
      <c r="F440" s="111" t="s">
        <v>85</v>
      </c>
      <c r="G440" s="112" t="s">
        <v>399</v>
      </c>
      <c r="H440" s="193">
        <v>32.781599999999997</v>
      </c>
      <c r="I440" s="106" t="s">
        <v>72</v>
      </c>
      <c r="J440" s="50">
        <v>35000</v>
      </c>
      <c r="K440" s="29"/>
      <c r="L440" s="46">
        <f t="shared" si="8"/>
        <v>1147356</v>
      </c>
    </row>
    <row r="441" spans="2:12" x14ac:dyDescent="0.35">
      <c r="B441" s="107"/>
      <c r="C441" s="108"/>
      <c r="D441" s="109"/>
      <c r="E441" s="110"/>
      <c r="F441" s="111" t="s">
        <v>85</v>
      </c>
      <c r="G441" s="112" t="s">
        <v>400</v>
      </c>
      <c r="H441" s="193">
        <v>31.085999999999995</v>
      </c>
      <c r="I441" s="106" t="s">
        <v>72</v>
      </c>
      <c r="J441" s="50">
        <v>35000</v>
      </c>
      <c r="K441" s="29"/>
      <c r="L441" s="46">
        <f t="shared" si="8"/>
        <v>1088009.9999999998</v>
      </c>
    </row>
    <row r="442" spans="2:12" x14ac:dyDescent="0.35">
      <c r="B442" s="107"/>
      <c r="C442" s="108"/>
      <c r="D442" s="109"/>
      <c r="E442" s="110"/>
      <c r="F442" s="111" t="s">
        <v>85</v>
      </c>
      <c r="G442" s="112" t="s">
        <v>401</v>
      </c>
      <c r="H442" s="193">
        <f>0.2*0.08*4*10*7.85*1.2</f>
        <v>6.0287999999999995</v>
      </c>
      <c r="I442" s="106" t="s">
        <v>72</v>
      </c>
      <c r="J442" s="50">
        <v>35000</v>
      </c>
      <c r="K442" s="29"/>
      <c r="L442" s="46">
        <f t="shared" si="8"/>
        <v>211007.99999999997</v>
      </c>
    </row>
    <row r="443" spans="2:12" x14ac:dyDescent="0.35">
      <c r="B443" s="107"/>
      <c r="C443" s="108"/>
      <c r="D443" s="109" t="s">
        <v>402</v>
      </c>
      <c r="E443" s="110"/>
      <c r="F443" s="111" t="s">
        <v>403</v>
      </c>
      <c r="G443" s="112"/>
      <c r="H443" s="212"/>
      <c r="I443" s="106"/>
      <c r="J443" s="50"/>
      <c r="K443" s="29"/>
      <c r="L443" s="46"/>
    </row>
    <row r="444" spans="2:12" x14ac:dyDescent="0.35">
      <c r="B444" s="107"/>
      <c r="C444" s="108"/>
      <c r="D444" s="109"/>
      <c r="E444" s="110"/>
      <c r="F444" s="111" t="s">
        <v>85</v>
      </c>
      <c r="G444" s="112" t="s">
        <v>404</v>
      </c>
      <c r="H444" s="193">
        <v>24.87</v>
      </c>
      <c r="I444" s="106" t="s">
        <v>107</v>
      </c>
      <c r="J444" s="50">
        <v>17500</v>
      </c>
      <c r="K444" s="29"/>
      <c r="L444" s="46">
        <f t="shared" si="8"/>
        <v>435225</v>
      </c>
    </row>
    <row r="445" spans="2:12" x14ac:dyDescent="0.35">
      <c r="B445" s="107"/>
      <c r="C445" s="108"/>
      <c r="D445" s="109" t="s">
        <v>405</v>
      </c>
      <c r="E445" s="110"/>
      <c r="F445" s="111" t="s">
        <v>99</v>
      </c>
      <c r="G445" s="112"/>
      <c r="H445" s="212"/>
      <c r="I445" s="106"/>
      <c r="J445" s="50"/>
      <c r="K445" s="29"/>
      <c r="L445" s="46"/>
    </row>
    <row r="446" spans="2:12" x14ac:dyDescent="0.35">
      <c r="B446" s="107"/>
      <c r="C446" s="108"/>
      <c r="D446" s="109"/>
      <c r="E446" s="110"/>
      <c r="F446" s="111" t="s">
        <v>85</v>
      </c>
      <c r="G446" s="112" t="s">
        <v>406</v>
      </c>
      <c r="H446" s="193">
        <v>174.64679999999998</v>
      </c>
      <c r="I446" s="106" t="s">
        <v>72</v>
      </c>
      <c r="J446" s="50">
        <v>35000</v>
      </c>
      <c r="K446" s="29"/>
      <c r="L446" s="46">
        <f t="shared" si="8"/>
        <v>6112637.9999999991</v>
      </c>
    </row>
    <row r="447" spans="2:12" x14ac:dyDescent="0.35">
      <c r="B447" s="107"/>
      <c r="C447" s="108"/>
      <c r="D447" s="109"/>
      <c r="E447" s="110"/>
      <c r="F447" s="111" t="s">
        <v>85</v>
      </c>
      <c r="G447" s="112" t="s">
        <v>407</v>
      </c>
      <c r="H447" s="193">
        <v>174.30767999999998</v>
      </c>
      <c r="I447" s="106" t="s">
        <v>72</v>
      </c>
      <c r="J447" s="50">
        <v>35000</v>
      </c>
      <c r="K447" s="29"/>
      <c r="L447" s="46">
        <f t="shared" si="8"/>
        <v>6100768.7999999989</v>
      </c>
    </row>
    <row r="448" spans="2:12" x14ac:dyDescent="0.35">
      <c r="B448" s="107"/>
      <c r="C448" s="108"/>
      <c r="D448" s="109"/>
      <c r="E448" s="110"/>
      <c r="F448" s="111" t="s">
        <v>85</v>
      </c>
      <c r="G448" s="112" t="s">
        <v>408</v>
      </c>
      <c r="H448" s="193">
        <v>182.44655999999998</v>
      </c>
      <c r="I448" s="106" t="s">
        <v>72</v>
      </c>
      <c r="J448" s="50">
        <v>35000</v>
      </c>
      <c r="K448" s="29"/>
      <c r="L448" s="46">
        <f t="shared" si="8"/>
        <v>6385629.5999999996</v>
      </c>
    </row>
    <row r="449" spans="2:12" x14ac:dyDescent="0.35">
      <c r="B449" s="107"/>
      <c r="C449" s="108"/>
      <c r="D449" s="109"/>
      <c r="E449" s="110"/>
      <c r="F449" s="111" t="s">
        <v>85</v>
      </c>
      <c r="G449" s="112" t="s">
        <v>409</v>
      </c>
      <c r="H449" s="193">
        <v>183.12479999999999</v>
      </c>
      <c r="I449" s="106" t="s">
        <v>72</v>
      </c>
      <c r="J449" s="50">
        <v>35000</v>
      </c>
      <c r="K449" s="29"/>
      <c r="L449" s="46">
        <f t="shared" si="8"/>
        <v>6409368</v>
      </c>
    </row>
    <row r="450" spans="2:12" x14ac:dyDescent="0.35">
      <c r="B450" s="107"/>
      <c r="C450" s="108"/>
      <c r="D450" s="109"/>
      <c r="E450" s="110"/>
      <c r="F450" s="111" t="s">
        <v>85</v>
      </c>
      <c r="G450" s="112" t="s">
        <v>410</v>
      </c>
      <c r="H450" s="193">
        <v>182.78567999999999</v>
      </c>
      <c r="I450" s="106" t="s">
        <v>72</v>
      </c>
      <c r="J450" s="50">
        <v>35000</v>
      </c>
      <c r="K450" s="29"/>
      <c r="L450" s="46">
        <f t="shared" si="8"/>
        <v>6397498.7999999998</v>
      </c>
    </row>
    <row r="451" spans="2:12" x14ac:dyDescent="0.35">
      <c r="B451" s="107"/>
      <c r="C451" s="108"/>
      <c r="D451" s="109"/>
      <c r="E451" s="110"/>
      <c r="F451" s="111" t="s">
        <v>85</v>
      </c>
      <c r="G451" s="112" t="s">
        <v>411</v>
      </c>
      <c r="H451" s="193">
        <v>33.911999999999999</v>
      </c>
      <c r="I451" s="106" t="s">
        <v>72</v>
      </c>
      <c r="J451" s="50">
        <v>35000</v>
      </c>
      <c r="K451" s="29"/>
      <c r="L451" s="46">
        <f t="shared" si="8"/>
        <v>1186920</v>
      </c>
    </row>
    <row r="452" spans="2:12" x14ac:dyDescent="0.35">
      <c r="B452" s="107"/>
      <c r="C452" s="108"/>
      <c r="D452" s="109"/>
      <c r="E452" s="110"/>
      <c r="F452" s="111" t="s">
        <v>85</v>
      </c>
      <c r="G452" s="112" t="s">
        <v>412</v>
      </c>
      <c r="H452" s="193">
        <v>33.911999999999999</v>
      </c>
      <c r="I452" s="106" t="s">
        <v>72</v>
      </c>
      <c r="J452" s="50">
        <v>35000</v>
      </c>
      <c r="K452" s="29"/>
      <c r="L452" s="46">
        <f t="shared" si="8"/>
        <v>1186920</v>
      </c>
    </row>
    <row r="453" spans="2:12" x14ac:dyDescent="0.35">
      <c r="B453" s="107"/>
      <c r="C453" s="108"/>
      <c r="D453" s="109"/>
      <c r="E453" s="110"/>
      <c r="F453" s="111" t="s">
        <v>85</v>
      </c>
      <c r="G453" s="112" t="s">
        <v>413</v>
      </c>
      <c r="H453" s="193">
        <v>35.042399999999994</v>
      </c>
      <c r="I453" s="106" t="s">
        <v>72</v>
      </c>
      <c r="J453" s="50">
        <v>35000</v>
      </c>
      <c r="K453" s="29"/>
      <c r="L453" s="46">
        <f t="shared" si="8"/>
        <v>1226483.9999999998</v>
      </c>
    </row>
    <row r="454" spans="2:12" x14ac:dyDescent="0.35">
      <c r="B454" s="107"/>
      <c r="C454" s="108"/>
      <c r="D454" s="109"/>
      <c r="E454" s="110"/>
      <c r="F454" s="111" t="s">
        <v>85</v>
      </c>
      <c r="G454" s="112" t="s">
        <v>414</v>
      </c>
      <c r="H454" s="193">
        <v>29.390399999999996</v>
      </c>
      <c r="I454" s="106" t="s">
        <v>72</v>
      </c>
      <c r="J454" s="50">
        <v>35000</v>
      </c>
      <c r="K454" s="29"/>
      <c r="L454" s="46">
        <f t="shared" si="8"/>
        <v>1028663.9999999999</v>
      </c>
    </row>
    <row r="455" spans="2:12" x14ac:dyDescent="0.35">
      <c r="B455" s="107"/>
      <c r="C455" s="108"/>
      <c r="D455" s="109"/>
      <c r="E455" s="110"/>
      <c r="F455" s="111" t="s">
        <v>85</v>
      </c>
      <c r="G455" s="112" t="s">
        <v>415</v>
      </c>
      <c r="H455" s="193">
        <f>0.6*10*3.4*7.85*1.2</f>
        <v>192.16799999999998</v>
      </c>
      <c r="I455" s="106" t="s">
        <v>72</v>
      </c>
      <c r="J455" s="50">
        <v>35000</v>
      </c>
      <c r="K455" s="29"/>
      <c r="L455" s="46">
        <f t="shared" si="8"/>
        <v>6725879.9999999991</v>
      </c>
    </row>
    <row r="456" spans="2:12" x14ac:dyDescent="0.35">
      <c r="B456" s="107"/>
      <c r="C456" s="108"/>
      <c r="D456" s="109"/>
      <c r="E456" s="110"/>
      <c r="F456" s="111" t="s">
        <v>85</v>
      </c>
      <c r="G456" s="112" t="s">
        <v>341</v>
      </c>
      <c r="H456" s="193">
        <f>0.6*10*4.84*7.85*1.2</f>
        <v>273.55679999999995</v>
      </c>
      <c r="I456" s="106" t="s">
        <v>72</v>
      </c>
      <c r="J456" s="50">
        <v>35000</v>
      </c>
      <c r="K456" s="29"/>
      <c r="L456" s="46">
        <f t="shared" si="8"/>
        <v>9574487.9999999981</v>
      </c>
    </row>
    <row r="457" spans="2:12" x14ac:dyDescent="0.35">
      <c r="B457" s="107"/>
      <c r="C457" s="108"/>
      <c r="D457" s="109"/>
      <c r="E457" s="110"/>
      <c r="F457" s="111" t="s">
        <v>85</v>
      </c>
      <c r="G457" s="112" t="s">
        <v>416</v>
      </c>
      <c r="H457" s="193">
        <v>76.867199999999997</v>
      </c>
      <c r="I457" s="106" t="s">
        <v>72</v>
      </c>
      <c r="J457" s="50">
        <v>35000</v>
      </c>
      <c r="K457" s="29"/>
      <c r="L457" s="46">
        <f t="shared" si="8"/>
        <v>2690352</v>
      </c>
    </row>
    <row r="458" spans="2:12" x14ac:dyDescent="0.35">
      <c r="B458" s="107"/>
      <c r="C458" s="108"/>
      <c r="D458" s="109"/>
      <c r="E458" s="110"/>
      <c r="F458" s="111" t="s">
        <v>85</v>
      </c>
      <c r="G458" s="112" t="s">
        <v>417</v>
      </c>
      <c r="H458" s="193">
        <v>63.302399999999992</v>
      </c>
      <c r="I458" s="106" t="s">
        <v>72</v>
      </c>
      <c r="J458" s="50">
        <v>35000</v>
      </c>
      <c r="K458" s="29"/>
      <c r="L458" s="46">
        <f t="shared" si="8"/>
        <v>2215583.9999999995</v>
      </c>
    </row>
    <row r="459" spans="2:12" x14ac:dyDescent="0.35">
      <c r="B459" s="107"/>
      <c r="C459" s="108"/>
      <c r="D459" s="109"/>
      <c r="E459" s="110"/>
      <c r="F459" s="111" t="s">
        <v>85</v>
      </c>
      <c r="G459" s="112" t="s">
        <v>418</v>
      </c>
      <c r="H459" s="193">
        <v>2.86368</v>
      </c>
      <c r="I459" s="106" t="s">
        <v>72</v>
      </c>
      <c r="J459" s="50">
        <v>35000</v>
      </c>
      <c r="K459" s="29"/>
      <c r="L459" s="46">
        <f t="shared" si="8"/>
        <v>100228.8</v>
      </c>
    </row>
    <row r="460" spans="2:12" x14ac:dyDescent="0.35">
      <c r="B460" s="107"/>
      <c r="C460" s="108"/>
      <c r="D460" s="109"/>
      <c r="E460" s="110"/>
      <c r="F460" s="111" t="s">
        <v>85</v>
      </c>
      <c r="G460" s="112" t="s">
        <v>419</v>
      </c>
      <c r="H460" s="193">
        <f>0.22*0.1*5*10*7.85*1.2</f>
        <v>10.362</v>
      </c>
      <c r="I460" s="106" t="s">
        <v>72</v>
      </c>
      <c r="J460" s="50">
        <v>35000</v>
      </c>
      <c r="K460" s="29"/>
      <c r="L460" s="46">
        <f t="shared" si="8"/>
        <v>362670</v>
      </c>
    </row>
    <row r="461" spans="2:12" x14ac:dyDescent="0.35">
      <c r="B461" s="107"/>
      <c r="C461" s="108"/>
      <c r="D461" s="109" t="s">
        <v>420</v>
      </c>
      <c r="E461" s="110"/>
      <c r="F461" s="111" t="s">
        <v>421</v>
      </c>
      <c r="G461" s="112"/>
      <c r="H461" s="212"/>
      <c r="I461" s="106"/>
      <c r="J461" s="50"/>
      <c r="K461" s="29"/>
      <c r="L461" s="46"/>
    </row>
    <row r="462" spans="2:12" x14ac:dyDescent="0.35">
      <c r="B462" s="107"/>
      <c r="C462" s="108"/>
      <c r="D462" s="109"/>
      <c r="E462" s="110"/>
      <c r="F462" s="111" t="s">
        <v>85</v>
      </c>
      <c r="G462" s="112" t="s">
        <v>422</v>
      </c>
      <c r="H462" s="193">
        <f>0.16*0.28*12*7.85*1.2</f>
        <v>5.0641920000000011</v>
      </c>
      <c r="I462" s="106" t="s">
        <v>72</v>
      </c>
      <c r="J462" s="50">
        <v>35000</v>
      </c>
      <c r="K462" s="29"/>
      <c r="L462" s="46">
        <f t="shared" si="8"/>
        <v>177246.72000000003</v>
      </c>
    </row>
    <row r="463" spans="2:12" x14ac:dyDescent="0.35">
      <c r="B463" s="107"/>
      <c r="C463" s="108"/>
      <c r="D463" s="109"/>
      <c r="E463" s="110"/>
      <c r="F463" s="111" t="s">
        <v>85</v>
      </c>
      <c r="G463" s="112" t="s">
        <v>423</v>
      </c>
      <c r="H463" s="193">
        <f>0.16*0.23*12*7.85*1.2</f>
        <v>4.159872</v>
      </c>
      <c r="I463" s="106" t="s">
        <v>72</v>
      </c>
      <c r="J463" s="50">
        <v>35000</v>
      </c>
      <c r="K463" s="29"/>
      <c r="L463" s="46">
        <f t="shared" si="8"/>
        <v>145595.51999999999</v>
      </c>
    </row>
    <row r="464" spans="2:12" x14ac:dyDescent="0.35">
      <c r="B464" s="107"/>
      <c r="C464" s="108"/>
      <c r="D464" s="109"/>
      <c r="E464" s="110"/>
      <c r="F464" s="111" t="s">
        <v>85</v>
      </c>
      <c r="G464" s="112" t="s">
        <v>424</v>
      </c>
      <c r="H464" s="193">
        <f>0.16*0.22*12*7.85*1.2</f>
        <v>3.9790079999999994</v>
      </c>
      <c r="I464" s="106" t="s">
        <v>72</v>
      </c>
      <c r="J464" s="50">
        <v>35000</v>
      </c>
      <c r="K464" s="29"/>
      <c r="L464" s="46">
        <f t="shared" si="8"/>
        <v>139265.27999999997</v>
      </c>
    </row>
    <row r="465" spans="2:12" x14ac:dyDescent="0.35">
      <c r="B465" s="107"/>
      <c r="C465" s="108"/>
      <c r="D465" s="109"/>
      <c r="E465" s="110"/>
      <c r="F465" s="111" t="s">
        <v>85</v>
      </c>
      <c r="G465" s="112" t="s">
        <v>425</v>
      </c>
      <c r="H465" s="193">
        <f>0.16*0.24*12*7.85*1.2</f>
        <v>4.3407359999999997</v>
      </c>
      <c r="I465" s="106" t="s">
        <v>72</v>
      </c>
      <c r="J465" s="50">
        <v>35000</v>
      </c>
      <c r="K465" s="29"/>
      <c r="L465" s="46">
        <f t="shared" si="8"/>
        <v>151925.75999999998</v>
      </c>
    </row>
    <row r="466" spans="2:12" x14ac:dyDescent="0.35">
      <c r="B466" s="107"/>
      <c r="C466" s="108"/>
      <c r="D466" s="109"/>
      <c r="E466" s="110"/>
      <c r="F466" s="111" t="s">
        <v>85</v>
      </c>
      <c r="G466" s="112" t="s">
        <v>425</v>
      </c>
      <c r="H466" s="193">
        <f>0.16*0.24*12*7.85*1.2</f>
        <v>4.3407359999999997</v>
      </c>
      <c r="I466" s="106" t="s">
        <v>72</v>
      </c>
      <c r="J466" s="50">
        <v>35000</v>
      </c>
      <c r="K466" s="29"/>
      <c r="L466" s="46">
        <f t="shared" si="8"/>
        <v>151925.75999999998</v>
      </c>
    </row>
    <row r="467" spans="2:12" x14ac:dyDescent="0.35">
      <c r="B467" s="107"/>
      <c r="C467" s="108"/>
      <c r="D467" s="109"/>
      <c r="E467" s="110"/>
      <c r="F467" s="111" t="s">
        <v>85</v>
      </c>
      <c r="G467" s="112" t="s">
        <v>426</v>
      </c>
      <c r="H467" s="193">
        <f>0.16*0.26*12*7.85*1.2</f>
        <v>4.702464</v>
      </c>
      <c r="I467" s="106" t="s">
        <v>72</v>
      </c>
      <c r="J467" s="50">
        <v>35000</v>
      </c>
      <c r="K467" s="29"/>
      <c r="L467" s="46">
        <f t="shared" si="8"/>
        <v>164586.23999999999</v>
      </c>
    </row>
    <row r="468" spans="2:12" x14ac:dyDescent="0.35">
      <c r="B468" s="107"/>
      <c r="C468" s="108"/>
      <c r="D468" s="109"/>
      <c r="E468" s="110"/>
      <c r="F468" s="111" t="s">
        <v>85</v>
      </c>
      <c r="G468" s="112" t="s">
        <v>427</v>
      </c>
      <c r="H468" s="193">
        <f>0.16*0.25*12*7.85*1.2</f>
        <v>4.5215999999999994</v>
      </c>
      <c r="I468" s="106" t="s">
        <v>72</v>
      </c>
      <c r="J468" s="50">
        <v>35000</v>
      </c>
      <c r="K468" s="29"/>
      <c r="L468" s="46">
        <f t="shared" si="8"/>
        <v>158255.99999999997</v>
      </c>
    </row>
    <row r="469" spans="2:12" x14ac:dyDescent="0.35">
      <c r="B469" s="8"/>
      <c r="C469" s="9"/>
      <c r="D469" s="10"/>
      <c r="E469" s="4"/>
      <c r="F469" s="4"/>
      <c r="G469" s="4"/>
      <c r="H469" s="1"/>
      <c r="I469" s="1"/>
      <c r="J469" s="11" t="s">
        <v>8</v>
      </c>
      <c r="K469" s="7">
        <f>SUM(K417:K468)</f>
        <v>0</v>
      </c>
      <c r="L469" s="7">
        <f>SUM(L417:L468)</f>
        <v>138040927.07999998</v>
      </c>
    </row>
    <row r="470" spans="2:12" x14ac:dyDescent="0.35">
      <c r="B470" s="8"/>
      <c r="C470" s="9"/>
      <c r="D470" s="9"/>
      <c r="E470" s="4"/>
      <c r="F470" s="4"/>
      <c r="G470" s="4"/>
      <c r="H470" s="1"/>
      <c r="I470" s="1"/>
      <c r="J470" s="11"/>
      <c r="K470" s="35" t="s">
        <v>22</v>
      </c>
      <c r="L470" s="36" t="s">
        <v>23</v>
      </c>
    </row>
    <row r="471" spans="2:12" x14ac:dyDescent="0.35">
      <c r="B471" s="3" t="s">
        <v>9</v>
      </c>
      <c r="C471" s="4"/>
      <c r="D471" s="4"/>
      <c r="E471" s="4"/>
      <c r="F471" s="4"/>
      <c r="G471" s="4"/>
      <c r="H471" s="1"/>
      <c r="I471" s="1"/>
      <c r="J471" s="12"/>
      <c r="K471" s="12"/>
      <c r="L471" s="13"/>
    </row>
    <row r="472" spans="2:12" x14ac:dyDescent="0.35">
      <c r="B472" s="37"/>
      <c r="C472" s="1"/>
      <c r="D472" s="1"/>
      <c r="E472" s="38"/>
      <c r="F472" s="38"/>
      <c r="G472" s="38"/>
      <c r="H472" s="1"/>
      <c r="I472" s="1"/>
      <c r="J472" s="1"/>
      <c r="K472" s="1"/>
      <c r="L472" s="19"/>
    </row>
    <row r="473" spans="2:12" x14ac:dyDescent="0.35">
      <c r="B473" s="28" t="s">
        <v>6</v>
      </c>
      <c r="C473" s="27"/>
      <c r="D473" s="27"/>
      <c r="E473" s="26"/>
      <c r="F473" s="26"/>
      <c r="G473" s="5"/>
      <c r="K473" s="321" t="str">
        <f>K407</f>
        <v>Balikpapan, 26 Juni 2025</v>
      </c>
      <c r="L473" s="322"/>
    </row>
    <row r="474" spans="2:12" x14ac:dyDescent="0.35">
      <c r="B474" s="28">
        <v>1</v>
      </c>
      <c r="C474" s="27"/>
      <c r="D474" s="27"/>
      <c r="E474" s="26" t="s">
        <v>7</v>
      </c>
      <c r="F474" s="26"/>
      <c r="G474" s="5"/>
      <c r="K474" s="321" t="s">
        <v>28</v>
      </c>
      <c r="L474" s="322"/>
    </row>
    <row r="475" spans="2:12" x14ac:dyDescent="0.35">
      <c r="B475" s="39"/>
      <c r="C475" s="27"/>
      <c r="D475" s="27"/>
      <c r="E475" s="26"/>
      <c r="F475" s="26"/>
      <c r="G475" s="5"/>
      <c r="J475" s="25"/>
      <c r="K475" s="25"/>
      <c r="L475" s="24"/>
    </row>
    <row r="476" spans="2:12" x14ac:dyDescent="0.35">
      <c r="B476" s="28"/>
      <c r="C476" s="27"/>
      <c r="D476" s="27"/>
      <c r="E476" s="26"/>
      <c r="F476" s="26"/>
      <c r="G476" s="5"/>
      <c r="L476" s="22"/>
    </row>
    <row r="477" spans="2:12" x14ac:dyDescent="0.35">
      <c r="B477" s="45"/>
      <c r="E477" s="5"/>
      <c r="F477" s="5"/>
      <c r="G477" s="5"/>
      <c r="L477" s="22"/>
    </row>
    <row r="478" spans="2:12" x14ac:dyDescent="0.35">
      <c r="B478" s="45"/>
      <c r="E478" s="5"/>
      <c r="F478" s="5"/>
      <c r="G478" s="5"/>
      <c r="L478" s="22"/>
    </row>
    <row r="479" spans="2:12" x14ac:dyDescent="0.35">
      <c r="B479" s="45"/>
      <c r="E479" s="5"/>
      <c r="F479" s="5"/>
      <c r="G479" s="5"/>
      <c r="L479" s="22"/>
    </row>
    <row r="480" spans="2:12" x14ac:dyDescent="0.35">
      <c r="B480" s="45"/>
      <c r="E480" s="5"/>
      <c r="F480" s="5"/>
      <c r="G480" s="5"/>
      <c r="J480" s="40"/>
      <c r="K480" s="323" t="s">
        <v>36</v>
      </c>
      <c r="L480" s="324"/>
    </row>
    <row r="481" spans="2:12" x14ac:dyDescent="0.35">
      <c r="B481" s="45"/>
      <c r="K481" s="325" t="s">
        <v>37</v>
      </c>
      <c r="L481" s="326"/>
    </row>
    <row r="482" spans="2:12" x14ac:dyDescent="0.35">
      <c r="B482" s="318"/>
      <c r="C482" s="319"/>
      <c r="D482" s="319"/>
      <c r="E482" s="41"/>
      <c r="F482" s="41"/>
      <c r="G482" s="41"/>
      <c r="H482" s="2"/>
      <c r="I482" s="2"/>
      <c r="J482" s="2"/>
      <c r="K482" s="2"/>
      <c r="L482" s="21"/>
    </row>
    <row r="483" spans="2:12" x14ac:dyDescent="0.35">
      <c r="B483" s="291"/>
      <c r="C483" s="292"/>
      <c r="D483" s="293"/>
      <c r="G483" s="22"/>
      <c r="H483" s="1"/>
      <c r="I483" s="1"/>
      <c r="J483" s="43"/>
      <c r="K483" s="30"/>
      <c r="L483" s="44"/>
    </row>
    <row r="484" spans="2:12" x14ac:dyDescent="0.35">
      <c r="B484" s="107"/>
      <c r="C484" s="108"/>
      <c r="D484" s="109" t="s">
        <v>428</v>
      </c>
      <c r="E484" s="110"/>
      <c r="F484" s="111" t="s">
        <v>104</v>
      </c>
      <c r="G484" s="112"/>
      <c r="H484" s="212"/>
      <c r="I484" s="106"/>
      <c r="J484" s="29"/>
      <c r="K484" s="51"/>
      <c r="L484" s="46"/>
    </row>
    <row r="485" spans="2:12" x14ac:dyDescent="0.35">
      <c r="B485" s="107"/>
      <c r="C485" s="108"/>
      <c r="D485" s="109"/>
      <c r="E485" s="110"/>
      <c r="F485" s="111" t="s">
        <v>85</v>
      </c>
      <c r="G485" s="112" t="s">
        <v>429</v>
      </c>
      <c r="H485" s="193">
        <v>318.77279999999996</v>
      </c>
      <c r="I485" s="106" t="s">
        <v>72</v>
      </c>
      <c r="J485" s="50">
        <v>35000</v>
      </c>
      <c r="K485" s="51"/>
      <c r="L485" s="46">
        <f t="shared" ref="L485:L505" si="9">J485*H485</f>
        <v>11157047.999999998</v>
      </c>
    </row>
    <row r="486" spans="2:12" x14ac:dyDescent="0.35">
      <c r="B486" s="107"/>
      <c r="C486" s="108"/>
      <c r="D486" s="109"/>
      <c r="E486" s="110"/>
      <c r="F486" s="111" t="s">
        <v>85</v>
      </c>
      <c r="G486" s="112" t="s">
        <v>430</v>
      </c>
      <c r="H486" s="193">
        <v>9.947519999999999</v>
      </c>
      <c r="I486" s="106" t="s">
        <v>72</v>
      </c>
      <c r="J486" s="50">
        <v>35000</v>
      </c>
      <c r="K486" s="51"/>
      <c r="L486" s="46">
        <f t="shared" si="9"/>
        <v>348163.19999999995</v>
      </c>
    </row>
    <row r="487" spans="2:12" x14ac:dyDescent="0.35">
      <c r="B487" s="107"/>
      <c r="C487" s="108"/>
      <c r="D487" s="109"/>
      <c r="E487" s="110"/>
      <c r="F487" s="111" t="s">
        <v>85</v>
      </c>
      <c r="G487" s="112" t="s">
        <v>431</v>
      </c>
      <c r="H487" s="193">
        <v>20.57328</v>
      </c>
      <c r="I487" s="106" t="s">
        <v>72</v>
      </c>
      <c r="J487" s="50">
        <v>35000</v>
      </c>
      <c r="K487" s="29"/>
      <c r="L487" s="46">
        <f t="shared" si="9"/>
        <v>720064.8</v>
      </c>
    </row>
    <row r="488" spans="2:12" x14ac:dyDescent="0.35">
      <c r="B488" s="107"/>
      <c r="C488" s="108"/>
      <c r="D488" s="109"/>
      <c r="E488" s="110"/>
      <c r="F488" s="111" t="s">
        <v>85</v>
      </c>
      <c r="G488" s="112" t="s">
        <v>432</v>
      </c>
      <c r="H488" s="193">
        <v>10.1736</v>
      </c>
      <c r="I488" s="106" t="s">
        <v>72</v>
      </c>
      <c r="J488" s="50">
        <v>35000</v>
      </c>
      <c r="K488" s="29"/>
      <c r="L488" s="46">
        <f t="shared" si="9"/>
        <v>356076</v>
      </c>
    </row>
    <row r="489" spans="2:12" x14ac:dyDescent="0.35">
      <c r="B489" s="107"/>
      <c r="C489" s="108"/>
      <c r="D489" s="109"/>
      <c r="E489" s="110"/>
      <c r="F489" s="111" t="s">
        <v>85</v>
      </c>
      <c r="G489" s="112" t="s">
        <v>433</v>
      </c>
      <c r="H489" s="193">
        <v>36.738</v>
      </c>
      <c r="I489" s="106" t="s">
        <v>72</v>
      </c>
      <c r="J489" s="50">
        <v>35000</v>
      </c>
      <c r="K489" s="29"/>
      <c r="L489" s="46">
        <f t="shared" si="9"/>
        <v>1285830</v>
      </c>
    </row>
    <row r="490" spans="2:12" x14ac:dyDescent="0.35">
      <c r="B490" s="107"/>
      <c r="C490" s="108"/>
      <c r="D490" s="109"/>
      <c r="E490" s="110"/>
      <c r="F490" s="111" t="s">
        <v>85</v>
      </c>
      <c r="G490" s="112" t="s">
        <v>434</v>
      </c>
      <c r="H490" s="193">
        <v>18.651599999999998</v>
      </c>
      <c r="I490" s="106" t="s">
        <v>72</v>
      </c>
      <c r="J490" s="50">
        <v>35000</v>
      </c>
      <c r="K490" s="29"/>
      <c r="L490" s="46">
        <f t="shared" si="9"/>
        <v>652806</v>
      </c>
    </row>
    <row r="491" spans="2:12" x14ac:dyDescent="0.35">
      <c r="B491" s="107"/>
      <c r="C491" s="108"/>
      <c r="D491" s="109"/>
      <c r="E491" s="110"/>
      <c r="F491" s="111" t="s">
        <v>85</v>
      </c>
      <c r="G491" s="112" t="s">
        <v>435</v>
      </c>
      <c r="H491" s="193">
        <v>18.312479999999997</v>
      </c>
      <c r="I491" s="106" t="s">
        <v>72</v>
      </c>
      <c r="J491" s="50">
        <v>35000</v>
      </c>
      <c r="K491" s="29"/>
      <c r="L491" s="46">
        <f t="shared" si="9"/>
        <v>640936.79999999993</v>
      </c>
    </row>
    <row r="492" spans="2:12" x14ac:dyDescent="0.35">
      <c r="B492" s="107"/>
      <c r="C492" s="108"/>
      <c r="D492" s="109"/>
      <c r="E492" s="110"/>
      <c r="F492" s="111" t="s">
        <v>85</v>
      </c>
      <c r="G492" s="112" t="s">
        <v>436</v>
      </c>
      <c r="H492" s="193">
        <v>21.703679999999999</v>
      </c>
      <c r="I492" s="106" t="s">
        <v>72</v>
      </c>
      <c r="J492" s="50">
        <v>35000</v>
      </c>
      <c r="K492" s="29"/>
      <c r="L492" s="46">
        <f t="shared" si="9"/>
        <v>759628.79999999993</v>
      </c>
    </row>
    <row r="493" spans="2:12" x14ac:dyDescent="0.35">
      <c r="B493" s="107"/>
      <c r="C493" s="108"/>
      <c r="D493" s="109"/>
      <c r="E493" s="110"/>
      <c r="F493" s="111" t="s">
        <v>85</v>
      </c>
      <c r="G493" s="112" t="s">
        <v>437</v>
      </c>
      <c r="H493" s="193">
        <v>21.477599999999999</v>
      </c>
      <c r="I493" s="106" t="s">
        <v>72</v>
      </c>
      <c r="J493" s="50">
        <v>35000</v>
      </c>
      <c r="K493" s="29"/>
      <c r="L493" s="46">
        <f t="shared" si="9"/>
        <v>751716</v>
      </c>
    </row>
    <row r="494" spans="2:12" x14ac:dyDescent="0.35">
      <c r="B494" s="107"/>
      <c r="C494" s="108"/>
      <c r="D494" s="109"/>
      <c r="E494" s="110"/>
      <c r="F494" s="111" t="s">
        <v>85</v>
      </c>
      <c r="G494" s="112" t="s">
        <v>438</v>
      </c>
      <c r="H494" s="193">
        <v>19.216799999999999</v>
      </c>
      <c r="I494" s="106" t="s">
        <v>72</v>
      </c>
      <c r="J494" s="50">
        <v>35000</v>
      </c>
      <c r="K494" s="29"/>
      <c r="L494" s="46">
        <f t="shared" si="9"/>
        <v>672588</v>
      </c>
    </row>
    <row r="495" spans="2:12" x14ac:dyDescent="0.35">
      <c r="B495" s="107"/>
      <c r="C495" s="108"/>
      <c r="D495" s="109"/>
      <c r="E495" s="110"/>
      <c r="F495" s="111" t="s">
        <v>85</v>
      </c>
      <c r="G495" s="112" t="s">
        <v>439</v>
      </c>
      <c r="H495" s="193">
        <v>103.31856000000001</v>
      </c>
      <c r="I495" s="106" t="s">
        <v>72</v>
      </c>
      <c r="J495" s="50">
        <v>35000</v>
      </c>
      <c r="K495" s="29"/>
      <c r="L495" s="46">
        <f t="shared" si="9"/>
        <v>3616149.6</v>
      </c>
    </row>
    <row r="496" spans="2:12" x14ac:dyDescent="0.35">
      <c r="B496" s="107"/>
      <c r="C496" s="108"/>
      <c r="D496" s="109"/>
      <c r="E496" s="110"/>
      <c r="F496" s="111" t="s">
        <v>85</v>
      </c>
      <c r="G496" s="112" t="s">
        <v>440</v>
      </c>
      <c r="H496" s="193">
        <v>61.041600000000003</v>
      </c>
      <c r="I496" s="106" t="s">
        <v>72</v>
      </c>
      <c r="J496" s="50">
        <v>35000</v>
      </c>
      <c r="K496" s="29"/>
      <c r="L496" s="46">
        <f t="shared" si="9"/>
        <v>2136456</v>
      </c>
    </row>
    <row r="497" spans="2:12" x14ac:dyDescent="0.35">
      <c r="B497" s="107"/>
      <c r="C497" s="108"/>
      <c r="D497" s="109"/>
      <c r="E497" s="110"/>
      <c r="F497" s="111" t="s">
        <v>85</v>
      </c>
      <c r="G497" s="112" t="s">
        <v>441</v>
      </c>
      <c r="H497" s="193">
        <v>3.4364159999999995</v>
      </c>
      <c r="I497" s="106" t="s">
        <v>72</v>
      </c>
      <c r="J497" s="50">
        <v>35000</v>
      </c>
      <c r="K497" s="29"/>
      <c r="L497" s="46">
        <f t="shared" si="9"/>
        <v>120274.55999999998</v>
      </c>
    </row>
    <row r="498" spans="2:12" x14ac:dyDescent="0.35">
      <c r="B498" s="107"/>
      <c r="C498" s="108"/>
      <c r="D498" s="109"/>
      <c r="E498" s="110"/>
      <c r="F498" s="111" t="s">
        <v>85</v>
      </c>
      <c r="G498" s="112" t="s">
        <v>442</v>
      </c>
      <c r="H498" s="193">
        <v>1.5071999999999997</v>
      </c>
      <c r="I498" s="106" t="s">
        <v>72</v>
      </c>
      <c r="J498" s="50">
        <v>35000</v>
      </c>
      <c r="K498" s="29"/>
      <c r="L498" s="46">
        <f t="shared" si="9"/>
        <v>52751.999999999985</v>
      </c>
    </row>
    <row r="499" spans="2:12" x14ac:dyDescent="0.35">
      <c r="B499" s="107"/>
      <c r="C499" s="108"/>
      <c r="D499" s="109"/>
      <c r="E499" s="110"/>
      <c r="F499" s="111" t="s">
        <v>85</v>
      </c>
      <c r="G499" s="112" t="s">
        <v>443</v>
      </c>
      <c r="H499" s="193">
        <v>1.5071999999999997</v>
      </c>
      <c r="I499" s="106" t="s">
        <v>72</v>
      </c>
      <c r="J499" s="50">
        <v>35000</v>
      </c>
      <c r="K499" s="29"/>
      <c r="L499" s="46">
        <f t="shared" si="9"/>
        <v>52751.999999999985</v>
      </c>
    </row>
    <row r="500" spans="2:12" x14ac:dyDescent="0.35">
      <c r="B500" s="107"/>
      <c r="C500" s="108"/>
      <c r="D500" s="109"/>
      <c r="E500" s="110"/>
      <c r="F500" s="111" t="s">
        <v>85</v>
      </c>
      <c r="G500" s="112" t="s">
        <v>441</v>
      </c>
      <c r="H500" s="193">
        <v>3.4364159999999995</v>
      </c>
      <c r="I500" s="106" t="s">
        <v>72</v>
      </c>
      <c r="J500" s="50">
        <v>35000</v>
      </c>
      <c r="K500" s="29"/>
      <c r="L500" s="46">
        <f t="shared" si="9"/>
        <v>120274.55999999998</v>
      </c>
    </row>
    <row r="501" spans="2:12" x14ac:dyDescent="0.35">
      <c r="B501" s="107"/>
      <c r="C501" s="108"/>
      <c r="D501" s="109" t="s">
        <v>444</v>
      </c>
      <c r="E501" s="110"/>
      <c r="F501" s="111" t="s">
        <v>105</v>
      </c>
      <c r="G501" s="112"/>
      <c r="H501" s="212"/>
      <c r="I501" s="106"/>
      <c r="J501" s="50"/>
      <c r="K501" s="29"/>
      <c r="L501" s="46"/>
    </row>
    <row r="502" spans="2:12" x14ac:dyDescent="0.35">
      <c r="B502" s="107"/>
      <c r="C502" s="108"/>
      <c r="D502" s="109"/>
      <c r="E502" s="110"/>
      <c r="F502" s="111" t="s">
        <v>85</v>
      </c>
      <c r="G502" s="112" t="s">
        <v>445</v>
      </c>
      <c r="H502" s="193">
        <f>0.24*10*0.43*7.85*1.2</f>
        <v>9.7214399999999994</v>
      </c>
      <c r="I502" s="106" t="s">
        <v>72</v>
      </c>
      <c r="J502" s="50">
        <v>35000</v>
      </c>
      <c r="K502" s="29"/>
      <c r="L502" s="46">
        <f t="shared" si="9"/>
        <v>340250.39999999997</v>
      </c>
    </row>
    <row r="503" spans="2:12" x14ac:dyDescent="0.35">
      <c r="B503" s="107"/>
      <c r="C503" s="108"/>
      <c r="D503" s="109"/>
      <c r="E503" s="110"/>
      <c r="F503" s="111" t="s">
        <v>85</v>
      </c>
      <c r="G503" s="112" t="s">
        <v>446</v>
      </c>
      <c r="H503" s="193">
        <f>0.24*10*1.25*7.85*1.2</f>
        <v>28.259999999999994</v>
      </c>
      <c r="I503" s="106" t="s">
        <v>72</v>
      </c>
      <c r="J503" s="50">
        <v>35000</v>
      </c>
      <c r="K503" s="29"/>
      <c r="L503" s="46">
        <f t="shared" si="9"/>
        <v>989099.99999999977</v>
      </c>
    </row>
    <row r="504" spans="2:12" x14ac:dyDescent="0.35">
      <c r="B504" s="107"/>
      <c r="C504" s="108"/>
      <c r="D504" s="109"/>
      <c r="E504" s="110"/>
      <c r="F504" s="111" t="s">
        <v>85</v>
      </c>
      <c r="G504" s="112" t="s">
        <v>447</v>
      </c>
      <c r="H504" s="193">
        <v>24.914015999999993</v>
      </c>
      <c r="I504" s="106" t="s">
        <v>72</v>
      </c>
      <c r="J504" s="50">
        <v>35000</v>
      </c>
      <c r="K504" s="29"/>
      <c r="L504" s="46">
        <f t="shared" si="9"/>
        <v>871990.55999999971</v>
      </c>
    </row>
    <row r="505" spans="2:12" x14ac:dyDescent="0.35">
      <c r="B505" s="107"/>
      <c r="C505" s="108"/>
      <c r="D505" s="109"/>
      <c r="E505" s="110"/>
      <c r="F505" s="111" t="s">
        <v>85</v>
      </c>
      <c r="G505" s="112" t="s">
        <v>448</v>
      </c>
      <c r="H505" s="193">
        <f>0.6*10*1.4*7.85*1.2</f>
        <v>79.127999999999972</v>
      </c>
      <c r="I505" s="106" t="s">
        <v>72</v>
      </c>
      <c r="J505" s="50">
        <v>35000</v>
      </c>
      <c r="K505" s="29"/>
      <c r="L505" s="46">
        <f t="shared" si="9"/>
        <v>2769479.9999999991</v>
      </c>
    </row>
    <row r="506" spans="2:12" x14ac:dyDescent="0.35">
      <c r="B506" s="196"/>
      <c r="C506" s="197"/>
      <c r="D506" s="198"/>
      <c r="E506" s="199"/>
      <c r="F506" s="200"/>
      <c r="G506" s="201"/>
      <c r="H506" s="221"/>
      <c r="I506" s="203"/>
      <c r="J506" s="50"/>
      <c r="K506" s="29"/>
      <c r="L506" s="52"/>
    </row>
    <row r="507" spans="2:12" s="281" customFormat="1" x14ac:dyDescent="0.35">
      <c r="B507" s="205"/>
      <c r="C507" s="206"/>
      <c r="D507" s="207"/>
      <c r="E507" s="208"/>
      <c r="F507" s="208" t="s">
        <v>100</v>
      </c>
      <c r="G507" s="209"/>
      <c r="H507" s="303"/>
      <c r="I507" s="211"/>
      <c r="J507" s="277"/>
      <c r="K507" s="278"/>
      <c r="L507" s="279"/>
    </row>
    <row r="508" spans="2:12" x14ac:dyDescent="0.35">
      <c r="B508" s="107" t="s">
        <v>59</v>
      </c>
      <c r="C508" s="108"/>
      <c r="D508" s="109"/>
      <c r="E508" s="110" t="s">
        <v>80</v>
      </c>
      <c r="F508" s="111"/>
      <c r="G508" s="112"/>
      <c r="H508" s="212"/>
      <c r="I508" s="106"/>
      <c r="J508" s="50"/>
      <c r="K508" s="29"/>
      <c r="L508" s="52"/>
    </row>
    <row r="509" spans="2:12" x14ac:dyDescent="0.35">
      <c r="B509" s="107"/>
      <c r="C509" s="108"/>
      <c r="D509" s="109" t="s">
        <v>44</v>
      </c>
      <c r="E509" s="110"/>
      <c r="F509" s="111" t="s">
        <v>101</v>
      </c>
      <c r="G509" s="112"/>
      <c r="H509" s="212"/>
      <c r="I509" s="106"/>
      <c r="J509" s="50"/>
      <c r="K509" s="29"/>
      <c r="L509" s="52"/>
    </row>
    <row r="510" spans="2:12" x14ac:dyDescent="0.35">
      <c r="B510" s="107"/>
      <c r="C510" s="108"/>
      <c r="D510" s="109"/>
      <c r="E510" s="110"/>
      <c r="F510" s="111" t="s">
        <v>85</v>
      </c>
      <c r="G510" s="112" t="s">
        <v>102</v>
      </c>
      <c r="H510" s="212">
        <v>1</v>
      </c>
      <c r="I510" s="106" t="s">
        <v>103</v>
      </c>
      <c r="J510" s="50">
        <v>7250000</v>
      </c>
      <c r="K510" s="29">
        <f>J510*H510</f>
        <v>7250000</v>
      </c>
      <c r="L510" s="52"/>
    </row>
    <row r="511" spans="2:12" x14ac:dyDescent="0.35">
      <c r="B511" s="107"/>
      <c r="C511" s="108"/>
      <c r="D511" s="109"/>
      <c r="E511" s="110"/>
      <c r="F511" s="111" t="s">
        <v>85</v>
      </c>
      <c r="G511" s="112" t="s">
        <v>449</v>
      </c>
      <c r="H511" s="212">
        <v>1</v>
      </c>
      <c r="I511" s="106" t="s">
        <v>103</v>
      </c>
      <c r="J511" s="50">
        <v>7250000</v>
      </c>
      <c r="K511" s="29">
        <f t="shared" ref="K511:K525" si="10">J511*H511</f>
        <v>7250000</v>
      </c>
      <c r="L511" s="52"/>
    </row>
    <row r="512" spans="2:12" x14ac:dyDescent="0.35">
      <c r="B512" s="189"/>
      <c r="C512" s="111"/>
      <c r="D512" s="112"/>
      <c r="E512" s="111"/>
      <c r="F512" s="111" t="s">
        <v>85</v>
      </c>
      <c r="G512" s="106" t="s">
        <v>450</v>
      </c>
      <c r="H512" s="212">
        <v>1</v>
      </c>
      <c r="I512" s="195" t="s">
        <v>103</v>
      </c>
      <c r="J512" s="50">
        <v>7250000</v>
      </c>
      <c r="K512" s="29">
        <f t="shared" si="10"/>
        <v>7250000</v>
      </c>
      <c r="L512" s="52"/>
    </row>
    <row r="513" spans="2:12" x14ac:dyDescent="0.35">
      <c r="B513" s="189"/>
      <c r="C513" s="111"/>
      <c r="D513" s="112"/>
      <c r="E513" s="111"/>
      <c r="F513" s="111" t="s">
        <v>85</v>
      </c>
      <c r="G513" s="106" t="s">
        <v>451</v>
      </c>
      <c r="H513" s="212">
        <v>1</v>
      </c>
      <c r="I513" s="195" t="s">
        <v>103</v>
      </c>
      <c r="J513" s="50">
        <v>7250000</v>
      </c>
      <c r="K513" s="29">
        <f t="shared" si="10"/>
        <v>7250000</v>
      </c>
      <c r="L513" s="52"/>
    </row>
    <row r="514" spans="2:12" x14ac:dyDescent="0.35">
      <c r="B514" s="189"/>
      <c r="C514" s="111"/>
      <c r="D514" s="112"/>
      <c r="E514" s="111"/>
      <c r="F514" s="111" t="s">
        <v>85</v>
      </c>
      <c r="G514" s="106" t="s">
        <v>452</v>
      </c>
      <c r="H514" s="212">
        <v>1</v>
      </c>
      <c r="I514" s="195" t="s">
        <v>103</v>
      </c>
      <c r="J514" s="50">
        <v>7250000</v>
      </c>
      <c r="K514" s="29">
        <f t="shared" si="10"/>
        <v>7250000</v>
      </c>
      <c r="L514" s="52"/>
    </row>
    <row r="515" spans="2:12" x14ac:dyDescent="0.35">
      <c r="B515" s="189"/>
      <c r="C515" s="111"/>
      <c r="D515" s="112"/>
      <c r="E515" s="111"/>
      <c r="F515" s="111" t="s">
        <v>85</v>
      </c>
      <c r="G515" s="106" t="s">
        <v>453</v>
      </c>
      <c r="H515" s="212">
        <v>1</v>
      </c>
      <c r="I515" s="195" t="s">
        <v>103</v>
      </c>
      <c r="J515" s="50">
        <v>7250000</v>
      </c>
      <c r="K515" s="29">
        <f t="shared" si="10"/>
        <v>7250000</v>
      </c>
      <c r="L515" s="52"/>
    </row>
    <row r="516" spans="2:12" x14ac:dyDescent="0.35">
      <c r="B516" s="222"/>
      <c r="C516" s="304"/>
      <c r="D516" s="112"/>
      <c r="E516" s="111"/>
      <c r="F516" s="111" t="s">
        <v>85</v>
      </c>
      <c r="G516" s="106" t="s">
        <v>454</v>
      </c>
      <c r="H516" s="212">
        <v>1</v>
      </c>
      <c r="I516" s="195" t="s">
        <v>103</v>
      </c>
      <c r="J516" s="50">
        <v>7250000</v>
      </c>
      <c r="K516" s="29">
        <f t="shared" si="10"/>
        <v>7250000</v>
      </c>
      <c r="L516" s="52"/>
    </row>
    <row r="517" spans="2:12" x14ac:dyDescent="0.35">
      <c r="B517" s="223"/>
      <c r="C517" s="224"/>
      <c r="D517" s="225"/>
      <c r="E517" s="226"/>
      <c r="F517" s="227" t="s">
        <v>85</v>
      </c>
      <c r="G517" s="192" t="s">
        <v>455</v>
      </c>
      <c r="H517" s="228">
        <v>1</v>
      </c>
      <c r="I517" s="194" t="s">
        <v>103</v>
      </c>
      <c r="J517" s="50">
        <v>7250000</v>
      </c>
      <c r="K517" s="29">
        <f t="shared" si="10"/>
        <v>7250000</v>
      </c>
      <c r="L517" s="52"/>
    </row>
    <row r="518" spans="2:12" x14ac:dyDescent="0.35">
      <c r="B518" s="223"/>
      <c r="C518" s="224"/>
      <c r="D518" s="225"/>
      <c r="E518" s="226"/>
      <c r="F518" s="227" t="s">
        <v>85</v>
      </c>
      <c r="G518" s="192" t="s">
        <v>456</v>
      </c>
      <c r="H518" s="228">
        <v>1</v>
      </c>
      <c r="I518" s="194" t="s">
        <v>103</v>
      </c>
      <c r="J518" s="50">
        <v>7250000</v>
      </c>
      <c r="K518" s="29">
        <f t="shared" si="10"/>
        <v>7250000</v>
      </c>
      <c r="L518" s="52"/>
    </row>
    <row r="519" spans="2:12" x14ac:dyDescent="0.35">
      <c r="B519" s="223"/>
      <c r="C519" s="224"/>
      <c r="D519" s="225"/>
      <c r="E519" s="226"/>
      <c r="F519" s="227" t="s">
        <v>85</v>
      </c>
      <c r="G519" s="192" t="s">
        <v>457</v>
      </c>
      <c r="H519" s="228">
        <v>1</v>
      </c>
      <c r="I519" s="194" t="s">
        <v>103</v>
      </c>
      <c r="J519" s="50">
        <v>7250000</v>
      </c>
      <c r="K519" s="29">
        <f t="shared" si="10"/>
        <v>7250000</v>
      </c>
      <c r="L519" s="52"/>
    </row>
    <row r="520" spans="2:12" x14ac:dyDescent="0.35">
      <c r="B520" s="223"/>
      <c r="C520" s="224"/>
      <c r="D520" s="225"/>
      <c r="E520" s="226"/>
      <c r="F520" s="227" t="s">
        <v>85</v>
      </c>
      <c r="G520" s="192" t="s">
        <v>458</v>
      </c>
      <c r="H520" s="228">
        <v>1</v>
      </c>
      <c r="I520" s="194" t="s">
        <v>103</v>
      </c>
      <c r="J520" s="50">
        <v>7250000</v>
      </c>
      <c r="K520" s="29">
        <f t="shared" si="10"/>
        <v>7250000</v>
      </c>
      <c r="L520" s="52"/>
    </row>
    <row r="521" spans="2:12" x14ac:dyDescent="0.35">
      <c r="B521" s="223"/>
      <c r="C521" s="224"/>
      <c r="D521" s="225"/>
      <c r="E521" s="226"/>
      <c r="F521" s="227" t="s">
        <v>85</v>
      </c>
      <c r="G521" s="192" t="s">
        <v>459</v>
      </c>
      <c r="H521" s="228">
        <v>1</v>
      </c>
      <c r="I521" s="194" t="s">
        <v>103</v>
      </c>
      <c r="J521" s="50">
        <v>7250000</v>
      </c>
      <c r="K521" s="29">
        <f t="shared" si="10"/>
        <v>7250000</v>
      </c>
      <c r="L521" s="52"/>
    </row>
    <row r="522" spans="2:12" x14ac:dyDescent="0.35">
      <c r="B522" s="223"/>
      <c r="C522" s="224"/>
      <c r="D522" s="225"/>
      <c r="E522" s="226"/>
      <c r="F522" s="227" t="s">
        <v>85</v>
      </c>
      <c r="G522" s="192" t="s">
        <v>460</v>
      </c>
      <c r="H522" s="228">
        <v>1</v>
      </c>
      <c r="I522" s="194" t="s">
        <v>103</v>
      </c>
      <c r="J522" s="50">
        <v>7250000</v>
      </c>
      <c r="K522" s="29">
        <f t="shared" si="10"/>
        <v>7250000</v>
      </c>
      <c r="L522" s="52"/>
    </row>
    <row r="523" spans="2:12" x14ac:dyDescent="0.35">
      <c r="B523" s="223"/>
      <c r="C523" s="224"/>
      <c r="D523" s="225"/>
      <c r="E523" s="226"/>
      <c r="F523" s="227" t="s">
        <v>85</v>
      </c>
      <c r="G523" s="192" t="s">
        <v>461</v>
      </c>
      <c r="H523" s="228">
        <v>1</v>
      </c>
      <c r="I523" s="194" t="s">
        <v>103</v>
      </c>
      <c r="J523" s="50">
        <v>7250000</v>
      </c>
      <c r="K523" s="29">
        <f t="shared" si="10"/>
        <v>7250000</v>
      </c>
      <c r="L523" s="52"/>
    </row>
    <row r="524" spans="2:12" x14ac:dyDescent="0.35">
      <c r="B524" s="223"/>
      <c r="C524" s="224"/>
      <c r="D524" s="225"/>
      <c r="E524" s="226"/>
      <c r="F524" s="227" t="s">
        <v>85</v>
      </c>
      <c r="G524" s="192" t="s">
        <v>462</v>
      </c>
      <c r="H524" s="228">
        <v>1</v>
      </c>
      <c r="I524" s="194" t="s">
        <v>103</v>
      </c>
      <c r="J524" s="50">
        <v>7250000</v>
      </c>
      <c r="K524" s="29">
        <f t="shared" si="10"/>
        <v>7250000</v>
      </c>
      <c r="L524" s="52"/>
    </row>
    <row r="525" spans="2:12" x14ac:dyDescent="0.35">
      <c r="B525" s="223"/>
      <c r="C525" s="224"/>
      <c r="D525" s="225"/>
      <c r="E525" s="226"/>
      <c r="F525" s="227" t="s">
        <v>85</v>
      </c>
      <c r="G525" s="192" t="s">
        <v>463</v>
      </c>
      <c r="H525" s="228">
        <v>1</v>
      </c>
      <c r="I525" s="194" t="s">
        <v>103</v>
      </c>
      <c r="J525" s="50">
        <v>7250000</v>
      </c>
      <c r="K525" s="29">
        <f t="shared" si="10"/>
        <v>7250000</v>
      </c>
      <c r="L525" s="52"/>
    </row>
    <row r="526" spans="2:12" x14ac:dyDescent="0.35">
      <c r="B526" s="229"/>
      <c r="C526" s="230"/>
      <c r="D526" s="231"/>
      <c r="E526" s="232"/>
      <c r="F526" s="233"/>
      <c r="G526" s="234"/>
      <c r="H526" s="235"/>
      <c r="I526" s="236"/>
      <c r="J526" s="50"/>
      <c r="K526" s="29"/>
      <c r="L526" s="52"/>
    </row>
    <row r="527" spans="2:12" x14ac:dyDescent="0.35">
      <c r="B527" s="237"/>
      <c r="C527" s="238"/>
      <c r="D527" s="239"/>
      <c r="E527" s="240"/>
      <c r="F527" s="241" t="s">
        <v>106</v>
      </c>
      <c r="G527" s="242"/>
      <c r="H527" s="243"/>
      <c r="I527" s="244"/>
      <c r="J527" s="50"/>
      <c r="K527" s="29"/>
      <c r="L527" s="52"/>
    </row>
    <row r="528" spans="2:12" x14ac:dyDescent="0.35">
      <c r="B528" s="245" t="s">
        <v>43</v>
      </c>
      <c r="C528" s="246"/>
      <c r="D528" s="247"/>
      <c r="E528" s="248" t="s">
        <v>92</v>
      </c>
      <c r="F528" s="249"/>
      <c r="G528" s="250"/>
      <c r="H528" s="251"/>
      <c r="I528" s="252"/>
      <c r="J528" s="50"/>
      <c r="K528" s="29"/>
      <c r="L528" s="52"/>
    </row>
    <row r="529" spans="2:52" ht="16" thickBot="1" x14ac:dyDescent="0.4">
      <c r="B529" s="223"/>
      <c r="C529" s="224" t="s">
        <v>82</v>
      </c>
      <c r="D529" s="225"/>
      <c r="E529" s="226"/>
      <c r="F529" s="227" t="s">
        <v>108</v>
      </c>
      <c r="G529" s="192"/>
      <c r="H529" s="228"/>
      <c r="I529" s="194"/>
      <c r="J529" s="50"/>
      <c r="K529" s="29"/>
      <c r="L529" s="52"/>
    </row>
    <row r="530" spans="2:52" ht="16" thickBot="1" x14ac:dyDescent="0.4">
      <c r="B530" s="223"/>
      <c r="C530" s="224"/>
      <c r="D530" s="225" t="s">
        <v>44</v>
      </c>
      <c r="E530" s="226"/>
      <c r="F530" s="227" t="s">
        <v>464</v>
      </c>
      <c r="G530" s="192"/>
      <c r="H530" s="18">
        <v>9962</v>
      </c>
      <c r="I530" s="22" t="s">
        <v>110</v>
      </c>
      <c r="J530" s="50">
        <v>46000</v>
      </c>
      <c r="K530" s="29">
        <f>J530*H530</f>
        <v>458252000</v>
      </c>
      <c r="L530" s="52"/>
      <c r="M530">
        <f>SUM(N530:AZ530)</f>
        <v>1410</v>
      </c>
      <c r="N530" s="288">
        <v>120</v>
      </c>
      <c r="O530" s="289">
        <v>120</v>
      </c>
      <c r="P530" s="289">
        <v>20</v>
      </c>
      <c r="Q530" s="289">
        <v>240</v>
      </c>
      <c r="R530" s="289">
        <v>80</v>
      </c>
      <c r="S530" s="289">
        <v>40</v>
      </c>
      <c r="T530" s="289">
        <v>60</v>
      </c>
      <c r="U530" s="289">
        <v>40</v>
      </c>
      <c r="V530" s="290"/>
      <c r="W530" s="290"/>
      <c r="X530" s="289">
        <v>40</v>
      </c>
      <c r="Y530" s="289">
        <v>20</v>
      </c>
      <c r="Z530" s="289">
        <v>20</v>
      </c>
      <c r="AA530" s="289">
        <v>60</v>
      </c>
      <c r="AB530" s="289">
        <v>20</v>
      </c>
      <c r="AC530" s="289">
        <v>60</v>
      </c>
      <c r="AD530" s="289">
        <v>60</v>
      </c>
      <c r="AE530" s="289">
        <v>20</v>
      </c>
      <c r="AF530" s="289">
        <v>20</v>
      </c>
      <c r="AG530" s="289">
        <v>20</v>
      </c>
      <c r="AH530" s="289">
        <v>40</v>
      </c>
      <c r="AI530" s="289">
        <v>40</v>
      </c>
      <c r="AJ530" s="289">
        <v>60</v>
      </c>
      <c r="AK530" s="290"/>
      <c r="AL530" s="289">
        <v>40</v>
      </c>
      <c r="AM530" s="290"/>
      <c r="AN530" s="290"/>
      <c r="AO530" s="289">
        <v>5</v>
      </c>
      <c r="AP530" s="289">
        <v>15</v>
      </c>
      <c r="AQ530" s="289">
        <v>10</v>
      </c>
      <c r="AR530" s="289">
        <v>15</v>
      </c>
      <c r="AS530" s="289">
        <v>20</v>
      </c>
      <c r="AT530" s="290"/>
      <c r="AU530" s="289">
        <v>20</v>
      </c>
      <c r="AV530" s="289">
        <v>35</v>
      </c>
      <c r="AW530" s="289">
        <v>20</v>
      </c>
      <c r="AX530" s="289">
        <v>20</v>
      </c>
      <c r="AY530" s="289">
        <v>10</v>
      </c>
      <c r="AZ530" s="290"/>
    </row>
    <row r="531" spans="2:52" x14ac:dyDescent="0.35">
      <c r="B531" s="47"/>
      <c r="C531" s="48"/>
      <c r="D531" s="24"/>
      <c r="G531" s="22"/>
      <c r="I531" s="22"/>
      <c r="J531" s="50"/>
      <c r="K531" s="29"/>
      <c r="L531" s="52"/>
      <c r="M531">
        <f>M530*30500</f>
        <v>43005000</v>
      </c>
    </row>
    <row r="532" spans="2:52" x14ac:dyDescent="0.35">
      <c r="B532" s="47"/>
      <c r="C532" s="48"/>
      <c r="D532" s="24"/>
      <c r="G532" s="22"/>
      <c r="I532" s="22"/>
      <c r="J532" s="50"/>
      <c r="K532" s="29"/>
      <c r="L532" s="52"/>
      <c r="M532">
        <f>M531*1.5</f>
        <v>64507500</v>
      </c>
    </row>
    <row r="533" spans="2:52" x14ac:dyDescent="0.35">
      <c r="B533" s="47"/>
      <c r="C533" s="48"/>
      <c r="D533" s="24"/>
      <c r="G533" s="22"/>
      <c r="I533" s="22"/>
      <c r="J533" s="50"/>
      <c r="K533" s="29"/>
      <c r="L533" s="52"/>
    </row>
    <row r="534" spans="2:52" x14ac:dyDescent="0.35">
      <c r="B534" s="300"/>
      <c r="C534" s="301"/>
      <c r="D534" s="302"/>
      <c r="G534" s="22"/>
      <c r="I534" s="22"/>
      <c r="J534" s="50"/>
      <c r="K534" s="29"/>
      <c r="L534" s="52"/>
    </row>
    <row r="535" spans="2:52" x14ac:dyDescent="0.35">
      <c r="B535" s="8"/>
      <c r="C535" s="9"/>
      <c r="D535" s="10"/>
      <c r="E535" s="4"/>
      <c r="F535" s="4"/>
      <c r="G535" s="4"/>
      <c r="H535" s="1"/>
      <c r="I535" s="1"/>
      <c r="J535" s="11" t="s">
        <v>8</v>
      </c>
      <c r="K535" s="7">
        <f>SUM(K483:K534)</f>
        <v>574252000</v>
      </c>
      <c r="L535" s="7">
        <f>SUM(L483:L534)</f>
        <v>28414337.279999997</v>
      </c>
    </row>
    <row r="536" spans="2:52" x14ac:dyDescent="0.35">
      <c r="B536" s="8"/>
      <c r="C536" s="9"/>
      <c r="D536" s="9"/>
      <c r="E536" s="4"/>
      <c r="F536" s="4"/>
      <c r="G536" s="4"/>
      <c r="H536" s="1"/>
      <c r="I536" s="1"/>
      <c r="J536" s="11"/>
      <c r="K536" s="35" t="s">
        <v>22</v>
      </c>
      <c r="L536" s="36" t="s">
        <v>23</v>
      </c>
    </row>
    <row r="537" spans="2:52" x14ac:dyDescent="0.35">
      <c r="B537" s="3" t="s">
        <v>9</v>
      </c>
      <c r="C537" s="4"/>
      <c r="D537" s="4"/>
      <c r="E537" s="4"/>
      <c r="F537" s="4"/>
      <c r="G537" s="4"/>
      <c r="H537" s="1"/>
      <c r="I537" s="1"/>
      <c r="J537" s="12"/>
      <c r="K537" s="12"/>
      <c r="L537" s="13"/>
    </row>
    <row r="538" spans="2:52" x14ac:dyDescent="0.35">
      <c r="B538" s="37"/>
      <c r="C538" s="1"/>
      <c r="D538" s="1"/>
      <c r="E538" s="38"/>
      <c r="F538" s="38"/>
      <c r="G538" s="38"/>
      <c r="H538" s="1"/>
      <c r="I538" s="1"/>
      <c r="J538" s="1"/>
      <c r="K538" s="1"/>
      <c r="L538" s="19"/>
    </row>
    <row r="539" spans="2:52" x14ac:dyDescent="0.35">
      <c r="B539" s="28" t="s">
        <v>6</v>
      </c>
      <c r="C539" s="27"/>
      <c r="D539" s="27"/>
      <c r="E539" s="26"/>
      <c r="F539" s="26"/>
      <c r="G539" s="5"/>
      <c r="K539" s="321" t="str">
        <f>K473</f>
        <v>Balikpapan, 26 Juni 2025</v>
      </c>
      <c r="L539" s="322"/>
    </row>
    <row r="540" spans="2:52" x14ac:dyDescent="0.35">
      <c r="B540" s="28">
        <v>1</v>
      </c>
      <c r="C540" s="27"/>
      <c r="D540" s="27"/>
      <c r="E540" s="26" t="s">
        <v>7</v>
      </c>
      <c r="F540" s="26"/>
      <c r="G540" s="5"/>
      <c r="K540" s="321" t="s">
        <v>28</v>
      </c>
      <c r="L540" s="322"/>
    </row>
    <row r="541" spans="2:52" x14ac:dyDescent="0.35">
      <c r="B541" s="39"/>
      <c r="C541" s="27"/>
      <c r="D541" s="27"/>
      <c r="E541" s="26"/>
      <c r="F541" s="26"/>
      <c r="G541" s="5"/>
      <c r="J541" s="25"/>
      <c r="K541" s="25"/>
      <c r="L541" s="24"/>
    </row>
    <row r="542" spans="2:52" x14ac:dyDescent="0.35">
      <c r="B542" s="28"/>
      <c r="C542" s="27"/>
      <c r="D542" s="27"/>
      <c r="E542" s="26"/>
      <c r="F542" s="26"/>
      <c r="G542" s="5"/>
      <c r="L542" s="22"/>
    </row>
    <row r="543" spans="2:52" x14ac:dyDescent="0.35">
      <c r="B543" s="45"/>
      <c r="E543" s="5"/>
      <c r="F543" s="5"/>
      <c r="G543" s="5"/>
      <c r="L543" s="22"/>
    </row>
    <row r="544" spans="2:52" x14ac:dyDescent="0.35">
      <c r="B544" s="45"/>
      <c r="E544" s="5"/>
      <c r="F544" s="5"/>
      <c r="G544" s="5"/>
      <c r="L544" s="22"/>
    </row>
    <row r="545" spans="2:12" x14ac:dyDescent="0.35">
      <c r="B545" s="45"/>
      <c r="E545" s="5"/>
      <c r="F545" s="5"/>
      <c r="G545" s="5"/>
      <c r="L545" s="22"/>
    </row>
    <row r="546" spans="2:12" x14ac:dyDescent="0.35">
      <c r="B546" s="45"/>
      <c r="E546" s="5"/>
      <c r="F546" s="5"/>
      <c r="G546" s="5"/>
      <c r="J546" s="40"/>
      <c r="K546" s="323" t="s">
        <v>36</v>
      </c>
      <c r="L546" s="324"/>
    </row>
    <row r="547" spans="2:12" x14ac:dyDescent="0.35">
      <c r="B547" s="45"/>
      <c r="K547" s="325" t="s">
        <v>37</v>
      </c>
      <c r="L547" s="326"/>
    </row>
    <row r="548" spans="2:12" x14ac:dyDescent="0.35">
      <c r="B548" s="318"/>
      <c r="C548" s="319"/>
      <c r="D548" s="319"/>
      <c r="E548" s="41"/>
      <c r="F548" s="41"/>
      <c r="G548" s="41"/>
      <c r="H548" s="2"/>
      <c r="I548" s="2"/>
      <c r="J548" s="2"/>
      <c r="K548" s="2"/>
      <c r="L548" s="21"/>
    </row>
    <row r="549" spans="2:12" x14ac:dyDescent="0.35">
      <c r="B549" s="291"/>
      <c r="C549" s="292"/>
      <c r="D549" s="293"/>
      <c r="G549" s="22"/>
      <c r="H549" s="1"/>
      <c r="I549" s="1"/>
      <c r="J549" s="43"/>
      <c r="K549" s="30"/>
      <c r="L549" s="44"/>
    </row>
    <row r="550" spans="2:12" x14ac:dyDescent="0.35">
      <c r="B550" s="294"/>
      <c r="C550" s="295"/>
      <c r="D550" s="254"/>
      <c r="E550" s="255"/>
      <c r="F550" s="253" t="s">
        <v>111</v>
      </c>
      <c r="G550" s="256"/>
      <c r="H550" s="257"/>
      <c r="I550" s="258"/>
      <c r="J550" s="29"/>
      <c r="K550" s="51"/>
      <c r="L550" s="46"/>
    </row>
    <row r="551" spans="2:12" x14ac:dyDescent="0.35">
      <c r="B551" s="296" t="s">
        <v>43</v>
      </c>
      <c r="C551" s="297"/>
      <c r="D551" s="260"/>
      <c r="E551" s="261" t="s">
        <v>71</v>
      </c>
      <c r="F551" s="259"/>
      <c r="G551" s="262"/>
      <c r="H551" s="263"/>
      <c r="I551" s="264"/>
      <c r="J551" s="50"/>
      <c r="K551" s="51"/>
      <c r="L551" s="46"/>
    </row>
    <row r="552" spans="2:12" x14ac:dyDescent="0.35">
      <c r="B552" s="229"/>
      <c r="C552" s="230" t="s">
        <v>82</v>
      </c>
      <c r="D552" s="231"/>
      <c r="E552" s="232"/>
      <c r="F552" s="233" t="s">
        <v>83</v>
      </c>
      <c r="G552" s="234"/>
      <c r="H552" s="235"/>
      <c r="I552" s="236"/>
      <c r="J552" s="50"/>
      <c r="K552" s="51"/>
      <c r="L552" s="46"/>
    </row>
    <row r="553" spans="2:12" x14ac:dyDescent="0.35">
      <c r="B553" s="229"/>
      <c r="C553" s="230"/>
      <c r="D553" s="231" t="s">
        <v>44</v>
      </c>
      <c r="E553" s="232"/>
      <c r="F553" s="233" t="s">
        <v>112</v>
      </c>
      <c r="G553" s="234"/>
      <c r="H553" s="235"/>
      <c r="I553" s="236"/>
      <c r="J553" s="50"/>
      <c r="K553" s="29"/>
      <c r="L553" s="52"/>
    </row>
    <row r="554" spans="2:12" x14ac:dyDescent="0.35">
      <c r="B554" s="229"/>
      <c r="C554" s="230"/>
      <c r="D554" s="231"/>
      <c r="E554" s="232"/>
      <c r="F554" s="227" t="s">
        <v>85</v>
      </c>
      <c r="G554" s="192" t="s">
        <v>465</v>
      </c>
      <c r="H554" s="305">
        <f>0.8*1.14*12*7.85</f>
        <v>85.910399999999996</v>
      </c>
      <c r="I554" s="194" t="s">
        <v>72</v>
      </c>
      <c r="J554" s="50">
        <v>35000</v>
      </c>
      <c r="K554" s="29"/>
      <c r="L554" s="52">
        <f>J554*H554</f>
        <v>3006864</v>
      </c>
    </row>
    <row r="555" spans="2:12" x14ac:dyDescent="0.35">
      <c r="B555" s="223"/>
      <c r="C555" s="224"/>
      <c r="D555" s="225"/>
      <c r="E555" s="226"/>
      <c r="F555" s="227" t="s">
        <v>85</v>
      </c>
      <c r="G555" s="192" t="s">
        <v>466</v>
      </c>
      <c r="H555" s="306">
        <v>118.31519999999998</v>
      </c>
      <c r="I555" s="194" t="s">
        <v>72</v>
      </c>
      <c r="J555" s="50">
        <v>35000</v>
      </c>
      <c r="K555" s="29"/>
      <c r="L555" s="52">
        <f t="shared" ref="L555:L577" si="11">J555*H555</f>
        <v>4141031.9999999991</v>
      </c>
    </row>
    <row r="556" spans="2:12" x14ac:dyDescent="0.35">
      <c r="B556" s="223"/>
      <c r="C556" s="224"/>
      <c r="D556" s="225"/>
      <c r="E556" s="226"/>
      <c r="F556" s="227" t="s">
        <v>85</v>
      </c>
      <c r="G556" s="192" t="s">
        <v>467</v>
      </c>
      <c r="H556" s="306">
        <v>459.69599999999991</v>
      </c>
      <c r="I556" s="194" t="s">
        <v>72</v>
      </c>
      <c r="J556" s="50">
        <v>35000</v>
      </c>
      <c r="K556" s="29"/>
      <c r="L556" s="52">
        <f t="shared" si="11"/>
        <v>16089359.999999996</v>
      </c>
    </row>
    <row r="557" spans="2:12" x14ac:dyDescent="0.35">
      <c r="B557" s="223"/>
      <c r="C557" s="224"/>
      <c r="D557" s="225"/>
      <c r="E557" s="226"/>
      <c r="F557" s="227" t="s">
        <v>85</v>
      </c>
      <c r="G557" s="192" t="s">
        <v>468</v>
      </c>
      <c r="H557" s="306">
        <v>444.62399999999997</v>
      </c>
      <c r="I557" s="194" t="s">
        <v>72</v>
      </c>
      <c r="J557" s="50">
        <v>35000</v>
      </c>
      <c r="K557" s="29"/>
      <c r="L557" s="52">
        <f t="shared" si="11"/>
        <v>15561839.999999998</v>
      </c>
    </row>
    <row r="558" spans="2:12" x14ac:dyDescent="0.35">
      <c r="B558" s="223"/>
      <c r="C558" s="224"/>
      <c r="D558" s="225"/>
      <c r="E558" s="226"/>
      <c r="F558" s="227" t="s">
        <v>85</v>
      </c>
      <c r="G558" s="192" t="s">
        <v>469</v>
      </c>
      <c r="H558" s="306">
        <v>45.969599999999993</v>
      </c>
      <c r="I558" s="194" t="s">
        <v>72</v>
      </c>
      <c r="J558" s="50">
        <v>35000</v>
      </c>
      <c r="K558" s="29"/>
      <c r="L558" s="52">
        <f t="shared" si="11"/>
        <v>1608935.9999999998</v>
      </c>
    </row>
    <row r="559" spans="2:12" x14ac:dyDescent="0.35">
      <c r="B559" s="223"/>
      <c r="C559" s="224"/>
      <c r="D559" s="225"/>
      <c r="E559" s="226"/>
      <c r="F559" s="227" t="s">
        <v>85</v>
      </c>
      <c r="G559" s="192" t="s">
        <v>470</v>
      </c>
      <c r="H559" s="306">
        <v>77.319359999999975</v>
      </c>
      <c r="I559" s="194" t="s">
        <v>72</v>
      </c>
      <c r="J559" s="50">
        <v>35000</v>
      </c>
      <c r="K559" s="29"/>
      <c r="L559" s="52">
        <f t="shared" si="11"/>
        <v>2706177.5999999992</v>
      </c>
    </row>
    <row r="560" spans="2:12" x14ac:dyDescent="0.35">
      <c r="B560" s="223"/>
      <c r="C560" s="224"/>
      <c r="D560" s="225"/>
      <c r="E560" s="226"/>
      <c r="F560" s="227" t="s">
        <v>85</v>
      </c>
      <c r="G560" s="192" t="s">
        <v>471</v>
      </c>
      <c r="H560" s="306">
        <v>41.542199999999994</v>
      </c>
      <c r="I560" s="194" t="s">
        <v>72</v>
      </c>
      <c r="J560" s="50">
        <v>35000</v>
      </c>
      <c r="K560" s="29"/>
      <c r="L560" s="52">
        <f t="shared" si="11"/>
        <v>1453976.9999999998</v>
      </c>
    </row>
    <row r="561" spans="2:12" x14ac:dyDescent="0.35">
      <c r="B561" s="223"/>
      <c r="C561" s="224"/>
      <c r="D561" s="225"/>
      <c r="E561" s="226"/>
      <c r="F561" s="227" t="s">
        <v>85</v>
      </c>
      <c r="G561" s="192" t="s">
        <v>472</v>
      </c>
      <c r="H561" s="306">
        <v>53.411399999999993</v>
      </c>
      <c r="I561" s="194" t="s">
        <v>72</v>
      </c>
      <c r="J561" s="50">
        <v>35000</v>
      </c>
      <c r="K561" s="29"/>
      <c r="L561" s="52">
        <f t="shared" si="11"/>
        <v>1869398.9999999998</v>
      </c>
    </row>
    <row r="562" spans="2:12" x14ac:dyDescent="0.35">
      <c r="B562" s="223"/>
      <c r="C562" s="224"/>
      <c r="D562" s="225"/>
      <c r="E562" s="226"/>
      <c r="F562" s="227" t="s">
        <v>85</v>
      </c>
      <c r="G562" s="192" t="s">
        <v>473</v>
      </c>
      <c r="H562" s="306">
        <v>83.084399999999988</v>
      </c>
      <c r="I562" s="194" t="s">
        <v>72</v>
      </c>
      <c r="J562" s="50">
        <v>35000</v>
      </c>
      <c r="K562" s="29"/>
      <c r="L562" s="52">
        <f t="shared" si="11"/>
        <v>2907953.9999999995</v>
      </c>
    </row>
    <row r="563" spans="2:12" x14ac:dyDescent="0.35">
      <c r="B563" s="223"/>
      <c r="C563" s="224"/>
      <c r="D563" s="225"/>
      <c r="E563" s="226"/>
      <c r="F563" s="227" t="s">
        <v>85</v>
      </c>
      <c r="G563" s="192" t="s">
        <v>474</v>
      </c>
      <c r="H563" s="306">
        <f>2.67*0.35*12*7.85*1.2</f>
        <v>105.63587999999997</v>
      </c>
      <c r="I563" s="194" t="s">
        <v>72</v>
      </c>
      <c r="J563" s="50">
        <v>35000</v>
      </c>
      <c r="K563" s="29"/>
      <c r="L563" s="52">
        <f t="shared" si="11"/>
        <v>3697255.7999999989</v>
      </c>
    </row>
    <row r="564" spans="2:12" x14ac:dyDescent="0.35">
      <c r="B564" s="223"/>
      <c r="C564" s="224"/>
      <c r="D564" s="225"/>
      <c r="E564" s="226"/>
      <c r="F564" s="227" t="s">
        <v>85</v>
      </c>
      <c r="G564" s="192" t="s">
        <v>475</v>
      </c>
      <c r="H564" s="306">
        <v>30.520799999999991</v>
      </c>
      <c r="I564" s="194" t="s">
        <v>72</v>
      </c>
      <c r="J564" s="50">
        <v>35000</v>
      </c>
      <c r="K564" s="29"/>
      <c r="L564" s="52">
        <f t="shared" si="11"/>
        <v>1068227.9999999998</v>
      </c>
    </row>
    <row r="565" spans="2:12" x14ac:dyDescent="0.35">
      <c r="B565" s="223"/>
      <c r="C565" s="224"/>
      <c r="D565" s="225"/>
      <c r="E565" s="226"/>
      <c r="F565" s="227" t="s">
        <v>85</v>
      </c>
      <c r="G565" s="192" t="s">
        <v>476</v>
      </c>
      <c r="H565" s="306">
        <v>343.64159999999993</v>
      </c>
      <c r="I565" s="194" t="s">
        <v>72</v>
      </c>
      <c r="J565" s="50">
        <v>35000</v>
      </c>
      <c r="K565" s="29"/>
      <c r="L565" s="52">
        <f t="shared" si="11"/>
        <v>12027455.999999998</v>
      </c>
    </row>
    <row r="566" spans="2:12" x14ac:dyDescent="0.35">
      <c r="B566" s="223"/>
      <c r="C566" s="224"/>
      <c r="D566" s="225"/>
      <c r="E566" s="226"/>
      <c r="F566" s="227" t="s">
        <v>85</v>
      </c>
      <c r="G566" s="192" t="s">
        <v>477</v>
      </c>
      <c r="H566" s="306">
        <v>146.95199999999997</v>
      </c>
      <c r="I566" s="194" t="s">
        <v>72</v>
      </c>
      <c r="J566" s="50">
        <v>35000</v>
      </c>
      <c r="K566" s="29"/>
      <c r="L566" s="52">
        <f t="shared" si="11"/>
        <v>5143319.9999999991</v>
      </c>
    </row>
    <row r="567" spans="2:12" x14ac:dyDescent="0.35">
      <c r="B567" s="223"/>
      <c r="C567" s="224"/>
      <c r="D567" s="225"/>
      <c r="E567" s="226"/>
      <c r="F567" s="227" t="s">
        <v>85</v>
      </c>
      <c r="G567" s="192" t="s">
        <v>478</v>
      </c>
      <c r="H567" s="306">
        <v>257.16599999999994</v>
      </c>
      <c r="I567" s="194" t="s">
        <v>72</v>
      </c>
      <c r="J567" s="50">
        <v>35000</v>
      </c>
      <c r="K567" s="29"/>
      <c r="L567" s="52">
        <f t="shared" si="11"/>
        <v>9000809.9999999981</v>
      </c>
    </row>
    <row r="568" spans="2:12" x14ac:dyDescent="0.35">
      <c r="B568" s="223"/>
      <c r="C568" s="224"/>
      <c r="D568" s="225"/>
      <c r="E568" s="226"/>
      <c r="F568" s="227" t="s">
        <v>85</v>
      </c>
      <c r="G568" s="192" t="s">
        <v>479</v>
      </c>
      <c r="H568" s="306">
        <v>343.64159999999993</v>
      </c>
      <c r="I568" s="194" t="s">
        <v>72</v>
      </c>
      <c r="J568" s="50">
        <v>35000</v>
      </c>
      <c r="K568" s="29"/>
      <c r="L568" s="52">
        <f t="shared" si="11"/>
        <v>12027455.999999998</v>
      </c>
    </row>
    <row r="569" spans="2:12" x14ac:dyDescent="0.35">
      <c r="B569" s="223"/>
      <c r="C569" s="224"/>
      <c r="D569" s="225"/>
      <c r="E569" s="226"/>
      <c r="F569" s="227" t="s">
        <v>85</v>
      </c>
      <c r="G569" s="192" t="s">
        <v>480</v>
      </c>
      <c r="H569" s="306">
        <v>62.737199999999987</v>
      </c>
      <c r="I569" s="194" t="s">
        <v>72</v>
      </c>
      <c r="J569" s="50">
        <v>35000</v>
      </c>
      <c r="K569" s="29"/>
      <c r="L569" s="52">
        <f t="shared" si="11"/>
        <v>2195801.9999999995</v>
      </c>
    </row>
    <row r="570" spans="2:12" x14ac:dyDescent="0.35">
      <c r="B570" s="223"/>
      <c r="C570" s="224"/>
      <c r="D570" s="225"/>
      <c r="E570" s="226"/>
      <c r="F570" s="227" t="s">
        <v>85</v>
      </c>
      <c r="G570" s="192" t="s">
        <v>481</v>
      </c>
      <c r="H570" s="306">
        <v>178.71623999999997</v>
      </c>
      <c r="I570" s="194" t="s">
        <v>72</v>
      </c>
      <c r="J570" s="50">
        <v>35000</v>
      </c>
      <c r="K570" s="29"/>
      <c r="L570" s="52">
        <f t="shared" si="11"/>
        <v>6255068.3999999985</v>
      </c>
    </row>
    <row r="571" spans="2:12" x14ac:dyDescent="0.35">
      <c r="B571" s="223"/>
      <c r="C571" s="224"/>
      <c r="D571" s="225"/>
      <c r="E571" s="226"/>
      <c r="F571" s="227" t="s">
        <v>85</v>
      </c>
      <c r="G571" s="192" t="s">
        <v>482</v>
      </c>
      <c r="H571" s="306">
        <f>2.74*0.51*12*7.85*1.2</f>
        <v>157.962096</v>
      </c>
      <c r="I571" s="194" t="s">
        <v>72</v>
      </c>
      <c r="J571" s="50">
        <v>35000</v>
      </c>
      <c r="K571" s="29"/>
      <c r="L571" s="52">
        <f t="shared" si="11"/>
        <v>5528673.3600000003</v>
      </c>
    </row>
    <row r="572" spans="2:12" x14ac:dyDescent="0.35">
      <c r="B572" s="223"/>
      <c r="C572" s="224"/>
      <c r="D572" s="225"/>
      <c r="E572" s="226"/>
      <c r="F572" s="227" t="s">
        <v>85</v>
      </c>
      <c r="G572" s="192" t="s">
        <v>483</v>
      </c>
      <c r="H572" s="306">
        <v>160.26811199999995</v>
      </c>
      <c r="I572" s="194" t="s">
        <v>72</v>
      </c>
      <c r="J572" s="50">
        <v>35000</v>
      </c>
      <c r="K572" s="29"/>
      <c r="L572" s="52">
        <f t="shared" si="11"/>
        <v>5609383.9199999981</v>
      </c>
    </row>
    <row r="573" spans="2:12" x14ac:dyDescent="0.35">
      <c r="B573" s="223"/>
      <c r="C573" s="224"/>
      <c r="D573" s="225"/>
      <c r="E573" s="226"/>
      <c r="F573" s="227" t="s">
        <v>85</v>
      </c>
      <c r="G573" s="192" t="s">
        <v>484</v>
      </c>
      <c r="H573" s="265">
        <f>0.006165*50.8*50.8*0.64*1.2</f>
        <v>12.218607820799999</v>
      </c>
      <c r="I573" s="194" t="s">
        <v>72</v>
      </c>
      <c r="J573" s="50">
        <v>35000</v>
      </c>
      <c r="K573" s="29"/>
      <c r="L573" s="52">
        <f t="shared" si="11"/>
        <v>427651.27372799994</v>
      </c>
    </row>
    <row r="574" spans="2:12" x14ac:dyDescent="0.35">
      <c r="B574" s="223"/>
      <c r="C574" s="224"/>
      <c r="D574" s="225"/>
      <c r="E574" s="226"/>
      <c r="F574" s="227" t="s">
        <v>85</v>
      </c>
      <c r="G574" s="192" t="s">
        <v>485</v>
      </c>
      <c r="H574" s="265">
        <f>0.006165*50.8*50.8*28.72*1.2</f>
        <v>548.31002595839993</v>
      </c>
      <c r="I574" s="194" t="s">
        <v>72</v>
      </c>
      <c r="J574" s="50">
        <v>35000</v>
      </c>
      <c r="K574" s="29"/>
      <c r="L574" s="52">
        <f t="shared" si="11"/>
        <v>19190850.908543997</v>
      </c>
    </row>
    <row r="575" spans="2:12" x14ac:dyDescent="0.35">
      <c r="B575" s="223"/>
      <c r="C575" s="224"/>
      <c r="D575" s="225"/>
      <c r="E575" s="226"/>
      <c r="F575" s="227" t="s">
        <v>85</v>
      </c>
      <c r="G575" s="192" t="s">
        <v>486</v>
      </c>
      <c r="H575" s="266">
        <f>0.006165*50.8*50.8*9.09*1.2</f>
        <v>173.5424142048</v>
      </c>
      <c r="I575" s="194" t="s">
        <v>72</v>
      </c>
      <c r="J575" s="50">
        <v>35000</v>
      </c>
      <c r="K575" s="29"/>
      <c r="L575" s="52">
        <f t="shared" si="11"/>
        <v>6073984.4971679999</v>
      </c>
    </row>
    <row r="576" spans="2:12" x14ac:dyDescent="0.35">
      <c r="B576" s="223"/>
      <c r="C576" s="224"/>
      <c r="D576" s="225"/>
      <c r="E576" s="226"/>
      <c r="F576" s="227" t="s">
        <v>85</v>
      </c>
      <c r="G576" s="192" t="s">
        <v>487</v>
      </c>
      <c r="H576" s="266">
        <f>0.006165*50.8*50.8*0.8*1.2</f>
        <v>15.273259776</v>
      </c>
      <c r="I576" s="194" t="s">
        <v>72</v>
      </c>
      <c r="J576" s="50">
        <v>35000</v>
      </c>
      <c r="K576" s="29"/>
      <c r="L576" s="52">
        <f t="shared" si="11"/>
        <v>534564.09216</v>
      </c>
    </row>
    <row r="577" spans="2:12" x14ac:dyDescent="0.35">
      <c r="B577" s="107"/>
      <c r="C577" s="108"/>
      <c r="D577" s="109"/>
      <c r="E577" s="110"/>
      <c r="F577" s="111" t="s">
        <v>85</v>
      </c>
      <c r="G577" s="112" t="s">
        <v>488</v>
      </c>
      <c r="H577" s="266">
        <f>0.006165*50.8*50.8*4.33*1.2</f>
        <v>82.666518537599998</v>
      </c>
      <c r="I577" s="106" t="s">
        <v>72</v>
      </c>
      <c r="J577" s="50">
        <v>35000</v>
      </c>
      <c r="K577" s="29"/>
      <c r="L577" s="52">
        <f t="shared" si="11"/>
        <v>2893328.1488159997</v>
      </c>
    </row>
    <row r="578" spans="2:12" x14ac:dyDescent="0.35">
      <c r="B578" s="229"/>
      <c r="C578" s="230"/>
      <c r="D578" s="231"/>
      <c r="E578" s="232"/>
      <c r="F578" s="233"/>
      <c r="G578" s="234"/>
      <c r="H578" s="235"/>
      <c r="I578" s="236"/>
      <c r="J578" s="50"/>
      <c r="K578" s="29"/>
      <c r="L578" s="52"/>
    </row>
    <row r="579" spans="2:12" x14ac:dyDescent="0.35">
      <c r="B579" s="237"/>
      <c r="C579" s="238"/>
      <c r="D579" s="239"/>
      <c r="E579" s="240"/>
      <c r="F579" s="241" t="s">
        <v>116</v>
      </c>
      <c r="G579" s="242"/>
      <c r="H579" s="243"/>
      <c r="I579" s="244"/>
      <c r="J579" s="50"/>
      <c r="K579" s="29"/>
      <c r="L579" s="52"/>
    </row>
    <row r="580" spans="2:12" x14ac:dyDescent="0.35">
      <c r="B580" s="107" t="s">
        <v>43</v>
      </c>
      <c r="C580" s="108"/>
      <c r="D580" s="109"/>
      <c r="E580" s="110" t="s">
        <v>92</v>
      </c>
      <c r="F580" s="111"/>
      <c r="G580" s="112"/>
      <c r="H580" s="113"/>
      <c r="I580" s="112"/>
      <c r="J580" s="50"/>
      <c r="K580" s="29"/>
      <c r="L580" s="52"/>
    </row>
    <row r="581" spans="2:12" x14ac:dyDescent="0.35">
      <c r="B581" s="107"/>
      <c r="C581" s="108" t="s">
        <v>82</v>
      </c>
      <c r="D581" s="109"/>
      <c r="E581" s="110"/>
      <c r="F581" s="111" t="s">
        <v>117</v>
      </c>
      <c r="G581" s="112"/>
      <c r="H581" s="113"/>
      <c r="I581" s="112"/>
      <c r="J581" s="50"/>
      <c r="K581" s="29"/>
      <c r="L581" s="52"/>
    </row>
    <row r="582" spans="2:12" x14ac:dyDescent="0.35">
      <c r="B582" s="107"/>
      <c r="C582" s="108"/>
      <c r="D582" s="109"/>
      <c r="E582" s="110"/>
      <c r="F582" s="111" t="s">
        <v>118</v>
      </c>
      <c r="G582" s="112"/>
      <c r="H582" s="114">
        <v>1</v>
      </c>
      <c r="I582" s="112" t="s">
        <v>78</v>
      </c>
      <c r="J582" s="50">
        <v>250000</v>
      </c>
      <c r="K582" s="29">
        <f>J582*H582</f>
        <v>250000</v>
      </c>
      <c r="L582" s="52"/>
    </row>
    <row r="583" spans="2:12" x14ac:dyDescent="0.35">
      <c r="B583" s="107"/>
      <c r="C583" s="108"/>
      <c r="D583" s="109"/>
      <c r="E583" s="110"/>
      <c r="F583" s="111" t="s">
        <v>85</v>
      </c>
      <c r="G583" s="112" t="s">
        <v>489</v>
      </c>
      <c r="H583" s="282">
        <v>1</v>
      </c>
      <c r="I583" s="283" t="s">
        <v>119</v>
      </c>
      <c r="J583" s="50"/>
      <c r="K583" s="29"/>
      <c r="L583" s="52"/>
    </row>
    <row r="584" spans="2:12" x14ac:dyDescent="0.35">
      <c r="B584" s="107"/>
      <c r="C584" s="108"/>
      <c r="D584" s="109"/>
      <c r="E584" s="110"/>
      <c r="F584" s="111" t="s">
        <v>120</v>
      </c>
      <c r="G584" s="112"/>
      <c r="H584" s="113"/>
      <c r="I584" s="112"/>
      <c r="J584" s="50"/>
      <c r="K584" s="29"/>
      <c r="L584" s="52"/>
    </row>
    <row r="585" spans="2:12" x14ac:dyDescent="0.35">
      <c r="B585" s="107"/>
      <c r="C585" s="108"/>
      <c r="D585" s="109"/>
      <c r="E585" s="110"/>
      <c r="F585" s="111" t="s">
        <v>85</v>
      </c>
      <c r="G585" s="112" t="s">
        <v>490</v>
      </c>
      <c r="H585" s="114">
        <v>320</v>
      </c>
      <c r="I585" s="112" t="s">
        <v>119</v>
      </c>
      <c r="J585" s="50">
        <v>35000</v>
      </c>
      <c r="K585" s="29"/>
      <c r="L585" s="52">
        <f>J585*H585</f>
        <v>11200000</v>
      </c>
    </row>
    <row r="586" spans="2:12" x14ac:dyDescent="0.35">
      <c r="B586" s="196"/>
      <c r="C586" s="298"/>
      <c r="D586" s="267"/>
      <c r="E586" s="199"/>
      <c r="F586" s="199"/>
      <c r="G586" s="268"/>
      <c r="H586" s="269"/>
      <c r="I586" s="268"/>
      <c r="J586" s="50"/>
      <c r="K586" s="29"/>
      <c r="L586" s="52"/>
    </row>
    <row r="587" spans="2:12" x14ac:dyDescent="0.35">
      <c r="B587" s="237"/>
      <c r="C587" s="238"/>
      <c r="D587" s="239"/>
      <c r="E587" s="240"/>
      <c r="F587" s="241" t="s">
        <v>121</v>
      </c>
      <c r="G587" s="242"/>
      <c r="H587" s="243"/>
      <c r="I587" s="244"/>
      <c r="J587" s="50"/>
      <c r="K587" s="29"/>
      <c r="L587" s="52"/>
    </row>
    <row r="588" spans="2:12" s="281" customFormat="1" x14ac:dyDescent="0.35">
      <c r="B588" s="245" t="s">
        <v>43</v>
      </c>
      <c r="C588" s="246"/>
      <c r="D588" s="247"/>
      <c r="E588" s="248" t="s">
        <v>92</v>
      </c>
      <c r="F588" s="249"/>
      <c r="G588" s="250"/>
      <c r="H588" s="251"/>
      <c r="I588" s="252"/>
      <c r="J588" s="277"/>
      <c r="K588" s="278"/>
      <c r="L588" s="279"/>
    </row>
    <row r="589" spans="2:12" x14ac:dyDescent="0.35">
      <c r="B589" s="223"/>
      <c r="C589" s="224"/>
      <c r="D589" s="225" t="s">
        <v>44</v>
      </c>
      <c r="E589" s="226"/>
      <c r="F589" s="227" t="s">
        <v>122</v>
      </c>
      <c r="G589" s="192"/>
      <c r="H589" s="228">
        <v>1</v>
      </c>
      <c r="I589" s="194" t="s">
        <v>78</v>
      </c>
      <c r="J589" s="50">
        <v>3500000</v>
      </c>
      <c r="K589" s="29">
        <f>J589*H589</f>
        <v>3500000</v>
      </c>
      <c r="L589" s="52"/>
    </row>
    <row r="590" spans="2:12" x14ac:dyDescent="0.35">
      <c r="B590" s="223"/>
      <c r="C590" s="224"/>
      <c r="D590" s="225"/>
      <c r="E590" s="226"/>
      <c r="F590" s="227" t="s">
        <v>85</v>
      </c>
      <c r="G590" s="192" t="s">
        <v>491</v>
      </c>
      <c r="H590" s="284">
        <v>10.851839999999997</v>
      </c>
      <c r="I590" s="285" t="s">
        <v>72</v>
      </c>
      <c r="J590" s="50"/>
      <c r="K590" s="29"/>
      <c r="L590" s="52"/>
    </row>
    <row r="591" spans="2:12" x14ac:dyDescent="0.35">
      <c r="B591" s="223"/>
      <c r="C591" s="224"/>
      <c r="D591" s="225"/>
      <c r="E591" s="226"/>
      <c r="F591" s="227" t="s">
        <v>85</v>
      </c>
      <c r="G591" s="192" t="s">
        <v>492</v>
      </c>
      <c r="H591" s="284">
        <v>13.293503999999999</v>
      </c>
      <c r="I591" s="285" t="s">
        <v>72</v>
      </c>
      <c r="J591" s="50"/>
      <c r="K591" s="29"/>
      <c r="L591" s="52"/>
    </row>
    <row r="592" spans="2:12" x14ac:dyDescent="0.35">
      <c r="B592" s="223"/>
      <c r="C592" s="224"/>
      <c r="D592" s="225"/>
      <c r="E592" s="226"/>
      <c r="F592" s="227" t="s">
        <v>85</v>
      </c>
      <c r="G592" s="192" t="s">
        <v>493</v>
      </c>
      <c r="H592" s="284">
        <v>1.446912</v>
      </c>
      <c r="I592" s="285" t="s">
        <v>72</v>
      </c>
      <c r="J592" s="50"/>
      <c r="K592" s="29"/>
      <c r="L592" s="52"/>
    </row>
    <row r="593" spans="2:12" x14ac:dyDescent="0.35">
      <c r="B593" s="223"/>
      <c r="C593" s="224"/>
      <c r="D593" s="225"/>
      <c r="E593" s="226"/>
      <c r="F593" s="227" t="s">
        <v>85</v>
      </c>
      <c r="G593" s="192" t="s">
        <v>494</v>
      </c>
      <c r="H593" s="284">
        <v>1.3564799999999999</v>
      </c>
      <c r="I593" s="285" t="s">
        <v>72</v>
      </c>
      <c r="J593" s="50"/>
      <c r="K593" s="29"/>
      <c r="L593" s="52"/>
    </row>
    <row r="594" spans="2:12" x14ac:dyDescent="0.35">
      <c r="B594" s="223"/>
      <c r="C594" s="224"/>
      <c r="D594" s="225" t="s">
        <v>47</v>
      </c>
      <c r="E594" s="226"/>
      <c r="F594" s="227" t="s">
        <v>123</v>
      </c>
      <c r="G594" s="192"/>
      <c r="H594" s="228">
        <v>1</v>
      </c>
      <c r="I594" s="194" t="s">
        <v>78</v>
      </c>
      <c r="J594" s="50">
        <v>3500000</v>
      </c>
      <c r="K594" s="29">
        <f>J594*H594</f>
        <v>3500000</v>
      </c>
      <c r="L594" s="52"/>
    </row>
    <row r="595" spans="2:12" x14ac:dyDescent="0.35">
      <c r="B595" s="223"/>
      <c r="C595" s="224"/>
      <c r="D595" s="225"/>
      <c r="E595" s="226"/>
      <c r="F595" s="227" t="s">
        <v>85</v>
      </c>
      <c r="G595" s="192" t="s">
        <v>491</v>
      </c>
      <c r="H595" s="284">
        <v>10.851839999999997</v>
      </c>
      <c r="I595" s="285" t="s">
        <v>72</v>
      </c>
      <c r="J595" s="50"/>
      <c r="K595" s="29"/>
      <c r="L595" s="52"/>
    </row>
    <row r="596" spans="2:12" x14ac:dyDescent="0.35">
      <c r="B596" s="223"/>
      <c r="C596" s="224"/>
      <c r="D596" s="225"/>
      <c r="E596" s="226"/>
      <c r="F596" s="227" t="s">
        <v>85</v>
      </c>
      <c r="G596" s="192" t="s">
        <v>492</v>
      </c>
      <c r="H596" s="284">
        <v>13.293503999999999</v>
      </c>
      <c r="I596" s="285" t="s">
        <v>72</v>
      </c>
      <c r="J596" s="50"/>
      <c r="K596" s="29"/>
      <c r="L596" s="52"/>
    </row>
    <row r="597" spans="2:12" x14ac:dyDescent="0.35">
      <c r="B597" s="223"/>
      <c r="C597" s="224"/>
      <c r="D597" s="225"/>
      <c r="E597" s="226"/>
      <c r="F597" s="227" t="s">
        <v>85</v>
      </c>
      <c r="G597" s="192" t="s">
        <v>495</v>
      </c>
      <c r="H597" s="284">
        <v>1.446912</v>
      </c>
      <c r="I597" s="285" t="s">
        <v>72</v>
      </c>
      <c r="J597" s="50"/>
      <c r="K597" s="29"/>
      <c r="L597" s="52"/>
    </row>
    <row r="598" spans="2:12" x14ac:dyDescent="0.35">
      <c r="B598" s="223"/>
      <c r="C598" s="224"/>
      <c r="D598" s="225"/>
      <c r="E598" s="226"/>
      <c r="F598" s="227" t="s">
        <v>85</v>
      </c>
      <c r="G598" s="192" t="s">
        <v>494</v>
      </c>
      <c r="H598" s="284">
        <v>1.3564799999999999</v>
      </c>
      <c r="I598" s="285" t="s">
        <v>72</v>
      </c>
      <c r="J598" s="50"/>
      <c r="K598" s="29"/>
      <c r="L598" s="52"/>
    </row>
    <row r="599" spans="2:12" x14ac:dyDescent="0.35">
      <c r="B599" s="47"/>
      <c r="C599" s="48"/>
      <c r="D599" s="24"/>
      <c r="G599" s="22"/>
      <c r="I599" s="22"/>
      <c r="J599" s="50"/>
      <c r="K599" s="29"/>
      <c r="L599" s="52"/>
    </row>
    <row r="600" spans="2:12" x14ac:dyDescent="0.35">
      <c r="B600" s="47"/>
      <c r="C600" s="48"/>
      <c r="D600" s="24"/>
      <c r="G600" s="22"/>
      <c r="I600" s="22"/>
      <c r="J600" s="50"/>
      <c r="K600" s="29"/>
      <c r="L600" s="52"/>
    </row>
    <row r="601" spans="2:12" x14ac:dyDescent="0.35">
      <c r="B601" s="8"/>
      <c r="C601" s="9"/>
      <c r="D601" s="10"/>
      <c r="E601" s="4"/>
      <c r="F601" s="4"/>
      <c r="G601" s="4"/>
      <c r="H601" s="1"/>
      <c r="I601" s="1"/>
      <c r="J601" s="11" t="s">
        <v>8</v>
      </c>
      <c r="K601" s="7">
        <f>SUM(K549:K600)</f>
        <v>7250000</v>
      </c>
      <c r="L601" s="7">
        <f>SUM(L549:L600)</f>
        <v>152219372.00041595</v>
      </c>
    </row>
    <row r="602" spans="2:12" x14ac:dyDescent="0.35">
      <c r="B602" s="8"/>
      <c r="C602" s="9"/>
      <c r="D602" s="9"/>
      <c r="E602" s="4"/>
      <c r="F602" s="4"/>
      <c r="G602" s="4"/>
      <c r="H602" s="1"/>
      <c r="I602" s="1"/>
      <c r="J602" s="11"/>
      <c r="K602" s="35" t="s">
        <v>22</v>
      </c>
      <c r="L602" s="36" t="s">
        <v>23</v>
      </c>
    </row>
    <row r="603" spans="2:12" x14ac:dyDescent="0.35">
      <c r="B603" s="3" t="s">
        <v>9</v>
      </c>
      <c r="C603" s="4"/>
      <c r="D603" s="4"/>
      <c r="E603" s="4"/>
      <c r="F603" s="4"/>
      <c r="G603" s="4"/>
      <c r="H603" s="1"/>
      <c r="I603" s="1"/>
      <c r="J603" s="12"/>
      <c r="K603" s="12"/>
      <c r="L603" s="13"/>
    </row>
    <row r="604" spans="2:12" x14ac:dyDescent="0.35">
      <c r="B604" s="37"/>
      <c r="C604" s="1"/>
      <c r="D604" s="1"/>
      <c r="E604" s="38"/>
      <c r="F604" s="38"/>
      <c r="G604" s="38"/>
      <c r="H604" s="1"/>
      <c r="I604" s="1"/>
      <c r="J604" s="1"/>
      <c r="K604" s="1"/>
      <c r="L604" s="19"/>
    </row>
    <row r="605" spans="2:12" x14ac:dyDescent="0.35">
      <c r="B605" s="28" t="s">
        <v>6</v>
      </c>
      <c r="C605" s="27"/>
      <c r="D605" s="27"/>
      <c r="E605" s="26"/>
      <c r="F605" s="26"/>
      <c r="G605" s="5"/>
      <c r="K605" s="321" t="str">
        <f>K539</f>
        <v>Balikpapan, 26 Juni 2025</v>
      </c>
      <c r="L605" s="322"/>
    </row>
    <row r="606" spans="2:12" x14ac:dyDescent="0.35">
      <c r="B606" s="28">
        <v>1</v>
      </c>
      <c r="C606" s="27"/>
      <c r="D606" s="27"/>
      <c r="E606" s="26" t="s">
        <v>7</v>
      </c>
      <c r="F606" s="26"/>
      <c r="G606" s="5"/>
      <c r="K606" s="321" t="s">
        <v>28</v>
      </c>
      <c r="L606" s="322"/>
    </row>
    <row r="607" spans="2:12" x14ac:dyDescent="0.35">
      <c r="B607" s="39"/>
      <c r="C607" s="27"/>
      <c r="D607" s="27"/>
      <c r="E607" s="26"/>
      <c r="F607" s="26"/>
      <c r="G607" s="5"/>
      <c r="J607" s="25"/>
      <c r="K607" s="25"/>
      <c r="L607" s="24"/>
    </row>
    <row r="608" spans="2:12" x14ac:dyDescent="0.35">
      <c r="B608" s="28"/>
      <c r="C608" s="27"/>
      <c r="D608" s="27"/>
      <c r="E608" s="26"/>
      <c r="F608" s="26"/>
      <c r="G608" s="5"/>
      <c r="L608" s="22"/>
    </row>
    <row r="609" spans="2:12" x14ac:dyDescent="0.35">
      <c r="B609" s="45"/>
      <c r="E609" s="5"/>
      <c r="F609" s="5"/>
      <c r="G609" s="5"/>
      <c r="L609" s="22"/>
    </row>
    <row r="610" spans="2:12" x14ac:dyDescent="0.35">
      <c r="B610" s="45"/>
      <c r="E610" s="5"/>
      <c r="F610" s="5"/>
      <c r="G610" s="5"/>
      <c r="L610" s="22"/>
    </row>
    <row r="611" spans="2:12" x14ac:dyDescent="0.35">
      <c r="B611" s="45"/>
      <c r="E611" s="5"/>
      <c r="F611" s="5"/>
      <c r="G611" s="5"/>
      <c r="L611" s="22"/>
    </row>
    <row r="612" spans="2:12" x14ac:dyDescent="0.35">
      <c r="B612" s="45"/>
      <c r="E612" s="5"/>
      <c r="F612" s="5"/>
      <c r="G612" s="5"/>
      <c r="J612" s="40"/>
      <c r="K612" s="323" t="s">
        <v>36</v>
      </c>
      <c r="L612" s="324"/>
    </row>
    <row r="613" spans="2:12" x14ac:dyDescent="0.35">
      <c r="B613" s="45"/>
      <c r="K613" s="325" t="s">
        <v>37</v>
      </c>
      <c r="L613" s="326"/>
    </row>
    <row r="614" spans="2:12" x14ac:dyDescent="0.35">
      <c r="B614" s="318"/>
      <c r="C614" s="319"/>
      <c r="D614" s="319"/>
      <c r="E614" s="41"/>
      <c r="F614" s="41"/>
      <c r="G614" s="41"/>
      <c r="H614" s="2"/>
      <c r="I614" s="2"/>
      <c r="J614" s="2"/>
      <c r="K614" s="2"/>
      <c r="L614" s="21"/>
    </row>
    <row r="615" spans="2:12" x14ac:dyDescent="0.35">
      <c r="B615" s="47"/>
      <c r="C615" s="48"/>
      <c r="D615" s="49"/>
      <c r="G615" s="22"/>
      <c r="H615" s="1"/>
      <c r="I615" s="1"/>
      <c r="J615" s="43"/>
      <c r="K615" s="30"/>
      <c r="L615" s="44"/>
    </row>
    <row r="616" spans="2:12" x14ac:dyDescent="0.35">
      <c r="B616" s="223"/>
      <c r="C616" s="224"/>
      <c r="D616" s="225" t="s">
        <v>49</v>
      </c>
      <c r="E616" s="226"/>
      <c r="F616" s="227" t="s">
        <v>496</v>
      </c>
      <c r="G616" s="192"/>
      <c r="H616" s="228">
        <v>1</v>
      </c>
      <c r="I616" s="194" t="s">
        <v>78</v>
      </c>
      <c r="J616" s="29">
        <v>750000</v>
      </c>
      <c r="K616" s="29">
        <f>J616*H616</f>
        <v>750000</v>
      </c>
      <c r="L616" s="46"/>
    </row>
    <row r="617" spans="2:12" x14ac:dyDescent="0.35">
      <c r="B617" s="223"/>
      <c r="C617" s="224"/>
      <c r="D617" s="225"/>
      <c r="E617" s="226"/>
      <c r="F617" s="227" t="s">
        <v>85</v>
      </c>
      <c r="G617" s="192" t="s">
        <v>497</v>
      </c>
      <c r="H617" s="284">
        <v>6.0287999999999995</v>
      </c>
      <c r="I617" s="285" t="s">
        <v>72</v>
      </c>
      <c r="J617" s="286">
        <v>33000</v>
      </c>
      <c r="K617" s="51"/>
      <c r="L617" s="46"/>
    </row>
    <row r="618" spans="2:12" x14ac:dyDescent="0.35">
      <c r="B618" s="223"/>
      <c r="C618" s="224"/>
      <c r="D618" s="225"/>
      <c r="E618" s="226"/>
      <c r="F618" s="227" t="s">
        <v>85</v>
      </c>
      <c r="G618" s="192" t="s">
        <v>498</v>
      </c>
      <c r="H618" s="284">
        <v>1.2057599999999999</v>
      </c>
      <c r="I618" s="285" t="s">
        <v>72</v>
      </c>
      <c r="J618" s="286">
        <v>33000</v>
      </c>
      <c r="K618" s="51"/>
      <c r="L618" s="46"/>
    </row>
    <row r="619" spans="2:12" x14ac:dyDescent="0.35">
      <c r="B619" s="223"/>
      <c r="C619" s="224"/>
      <c r="D619" s="225" t="s">
        <v>51</v>
      </c>
      <c r="E619" s="226"/>
      <c r="F619" s="227" t="s">
        <v>499</v>
      </c>
      <c r="G619" s="192"/>
      <c r="H619" s="228">
        <v>1</v>
      </c>
      <c r="I619" s="194" t="s">
        <v>78</v>
      </c>
      <c r="J619" s="50">
        <v>125000</v>
      </c>
      <c r="K619" s="29">
        <f>J619*H619</f>
        <v>125000</v>
      </c>
      <c r="L619" s="52"/>
    </row>
    <row r="620" spans="2:12" x14ac:dyDescent="0.35">
      <c r="B620" s="223"/>
      <c r="C620" s="224"/>
      <c r="D620" s="225"/>
      <c r="E620" s="226"/>
      <c r="F620" s="227" t="s">
        <v>85</v>
      </c>
      <c r="G620" s="192" t="s">
        <v>500</v>
      </c>
      <c r="H620" s="284">
        <f>0.15*0.08*8*7.85*1.2</f>
        <v>0.9043199999999999</v>
      </c>
      <c r="I620" s="285" t="s">
        <v>72</v>
      </c>
      <c r="J620" s="50"/>
      <c r="K620" s="29"/>
      <c r="L620" s="52"/>
    </row>
    <row r="621" spans="2:12" x14ac:dyDescent="0.35">
      <c r="B621" s="223"/>
      <c r="C621" s="224"/>
      <c r="D621" s="225" t="s">
        <v>53</v>
      </c>
      <c r="E621" s="226"/>
      <c r="F621" s="227" t="s">
        <v>501</v>
      </c>
      <c r="G621" s="192"/>
      <c r="H621" s="228">
        <v>1</v>
      </c>
      <c r="I621" s="194" t="s">
        <v>78</v>
      </c>
      <c r="J621" s="50">
        <v>100000</v>
      </c>
      <c r="K621" s="29">
        <f>J621*H621</f>
        <v>100000</v>
      </c>
      <c r="L621" s="52"/>
    </row>
    <row r="622" spans="2:12" x14ac:dyDescent="0.35">
      <c r="B622" s="223"/>
      <c r="C622" s="224"/>
      <c r="D622" s="225"/>
      <c r="E622" s="226"/>
      <c r="F622" s="227" t="s">
        <v>85</v>
      </c>
      <c r="G622" s="192" t="s">
        <v>502</v>
      </c>
      <c r="H622" s="284">
        <f>0.1*0.08*8*7.85*1.2</f>
        <v>0.60287999999999997</v>
      </c>
      <c r="I622" s="285" t="s">
        <v>72</v>
      </c>
      <c r="J622" s="50"/>
      <c r="K622" s="29"/>
      <c r="L622" s="52"/>
    </row>
    <row r="623" spans="2:12" x14ac:dyDescent="0.35">
      <c r="B623" s="223"/>
      <c r="C623" s="224"/>
      <c r="D623" s="225" t="s">
        <v>55</v>
      </c>
      <c r="E623" s="226"/>
      <c r="F623" s="227" t="s">
        <v>503</v>
      </c>
      <c r="G623" s="192"/>
      <c r="H623" s="228">
        <v>4</v>
      </c>
      <c r="I623" s="194" t="s">
        <v>81</v>
      </c>
      <c r="J623" s="50">
        <v>350000</v>
      </c>
      <c r="K623" s="29">
        <f>J623*H623</f>
        <v>1400000</v>
      </c>
      <c r="L623" s="52"/>
    </row>
    <row r="624" spans="2:12" x14ac:dyDescent="0.35">
      <c r="B624" s="223"/>
      <c r="C624" s="224"/>
      <c r="D624" s="225"/>
      <c r="E624" s="226"/>
      <c r="F624" s="227" t="s">
        <v>85</v>
      </c>
      <c r="G624" s="192" t="s">
        <v>504</v>
      </c>
      <c r="H624" s="284">
        <v>6.7823999999999991</v>
      </c>
      <c r="I624" s="285" t="s">
        <v>72</v>
      </c>
      <c r="J624" s="50"/>
      <c r="K624" s="29"/>
      <c r="L624" s="52"/>
    </row>
    <row r="625" spans="2:12" x14ac:dyDescent="0.35">
      <c r="B625" s="223"/>
      <c r="C625" s="224"/>
      <c r="D625" s="225"/>
      <c r="E625" s="226"/>
      <c r="F625" s="227" t="s">
        <v>85</v>
      </c>
      <c r="G625" s="192" t="s">
        <v>505</v>
      </c>
      <c r="H625" s="284">
        <v>3.8433599999999992</v>
      </c>
      <c r="I625" s="285" t="s">
        <v>72</v>
      </c>
      <c r="J625" s="50"/>
      <c r="K625" s="29"/>
      <c r="L625" s="52"/>
    </row>
    <row r="626" spans="2:12" x14ac:dyDescent="0.35">
      <c r="B626" s="62"/>
      <c r="C626" s="58"/>
      <c r="D626" s="25"/>
      <c r="E626" s="59"/>
      <c r="G626" s="22"/>
      <c r="I626" s="64"/>
      <c r="J626" s="50"/>
      <c r="K626" s="29"/>
      <c r="L626" s="52"/>
    </row>
    <row r="627" spans="2:12" x14ac:dyDescent="0.35">
      <c r="B627" s="62"/>
      <c r="C627" s="58"/>
      <c r="D627" s="25"/>
      <c r="E627" s="59"/>
      <c r="G627" s="22"/>
      <c r="I627" s="64"/>
      <c r="J627" s="50"/>
      <c r="K627" s="29"/>
      <c r="L627" s="52"/>
    </row>
    <row r="628" spans="2:12" x14ac:dyDescent="0.35">
      <c r="B628" s="62"/>
      <c r="C628" s="58"/>
      <c r="D628" s="25"/>
      <c r="E628" s="59"/>
      <c r="G628" s="22"/>
      <c r="I628" s="64"/>
      <c r="J628" s="50"/>
      <c r="K628" s="29"/>
      <c r="L628" s="52"/>
    </row>
    <row r="629" spans="2:12" x14ac:dyDescent="0.35">
      <c r="B629" s="65"/>
      <c r="C629" s="61"/>
      <c r="D629" s="25"/>
      <c r="E629" s="59"/>
      <c r="G629" s="22"/>
      <c r="I629" s="64"/>
      <c r="J629" s="50"/>
      <c r="K629" s="29"/>
      <c r="L629" s="52"/>
    </row>
    <row r="630" spans="2:12" x14ac:dyDescent="0.35">
      <c r="B630" s="60"/>
      <c r="C630" s="61"/>
      <c r="D630" s="25"/>
      <c r="E630" s="59"/>
      <c r="G630" s="22"/>
      <c r="I630" s="64"/>
      <c r="J630" s="50"/>
      <c r="K630" s="29"/>
      <c r="L630" s="52"/>
    </row>
    <row r="631" spans="2:12" x14ac:dyDescent="0.35">
      <c r="B631" s="66"/>
      <c r="C631" s="25"/>
      <c r="D631" s="25"/>
      <c r="E631" s="59"/>
      <c r="G631" s="22"/>
      <c r="I631" s="64"/>
      <c r="J631" s="50"/>
      <c r="K631" s="29"/>
      <c r="L631" s="52"/>
    </row>
    <row r="632" spans="2:12" x14ac:dyDescent="0.35">
      <c r="B632" s="66"/>
      <c r="C632" s="67"/>
      <c r="D632" s="25"/>
      <c r="E632" s="59"/>
      <c r="G632" s="22"/>
      <c r="I632" s="64"/>
      <c r="J632" s="50"/>
      <c r="K632" s="29"/>
      <c r="L632" s="52"/>
    </row>
    <row r="633" spans="2:12" x14ac:dyDescent="0.35">
      <c r="B633" s="66"/>
      <c r="C633" s="25"/>
      <c r="D633" s="25"/>
      <c r="E633" s="66"/>
      <c r="G633" s="22"/>
      <c r="I633" s="63"/>
      <c r="J633" s="50"/>
      <c r="K633" s="29"/>
      <c r="L633" s="52"/>
    </row>
    <row r="634" spans="2:12" x14ac:dyDescent="0.35">
      <c r="B634" s="66"/>
      <c r="C634" s="25"/>
      <c r="D634" s="25"/>
      <c r="E634" s="68"/>
      <c r="G634" s="22"/>
      <c r="I634" s="63"/>
      <c r="J634" s="50"/>
      <c r="K634" s="29"/>
      <c r="L634" s="52"/>
    </row>
    <row r="635" spans="2:12" x14ac:dyDescent="0.35">
      <c r="B635" s="66"/>
      <c r="C635" s="67"/>
      <c r="D635" s="24"/>
      <c r="E635" s="53"/>
      <c r="G635" s="22"/>
      <c r="I635" s="63"/>
      <c r="J635" s="50"/>
      <c r="K635" s="29"/>
      <c r="L635" s="52"/>
    </row>
    <row r="636" spans="2:12" x14ac:dyDescent="0.35">
      <c r="B636" s="47"/>
      <c r="C636" s="48"/>
      <c r="D636" s="69"/>
      <c r="E636" s="70"/>
      <c r="F636" s="71"/>
      <c r="G636" s="72"/>
      <c r="H636" s="73"/>
      <c r="I636" s="74"/>
      <c r="J636" s="50"/>
      <c r="K636" s="29"/>
      <c r="L636" s="52"/>
    </row>
    <row r="637" spans="2:12" x14ac:dyDescent="0.35">
      <c r="B637" s="47"/>
      <c r="C637" s="48"/>
      <c r="D637" s="69"/>
      <c r="E637" s="70"/>
      <c r="F637" s="71"/>
      <c r="G637" s="72"/>
      <c r="H637" s="54"/>
      <c r="I637" s="74"/>
      <c r="J637" s="50"/>
      <c r="K637" s="29"/>
      <c r="L637" s="52"/>
    </row>
    <row r="638" spans="2:12" x14ac:dyDescent="0.35">
      <c r="B638" s="47"/>
      <c r="C638" s="48"/>
      <c r="D638" s="69"/>
      <c r="E638" s="70"/>
      <c r="F638" s="71"/>
      <c r="G638" s="72"/>
      <c r="H638" s="54"/>
      <c r="I638" s="74"/>
      <c r="J638" s="50"/>
      <c r="K638" s="29"/>
      <c r="L638" s="52"/>
    </row>
    <row r="639" spans="2:12" x14ac:dyDescent="0.35">
      <c r="B639" s="75"/>
      <c r="C639" s="67"/>
      <c r="D639" s="76"/>
      <c r="E639" s="77"/>
      <c r="F639" s="53"/>
      <c r="G639" s="57"/>
      <c r="I639" s="63"/>
      <c r="J639" s="50"/>
      <c r="K639" s="29"/>
      <c r="L639" s="52"/>
    </row>
    <row r="640" spans="2:12" x14ac:dyDescent="0.35">
      <c r="B640" s="59"/>
      <c r="C640" s="25"/>
      <c r="D640" s="69"/>
      <c r="E640" s="70"/>
      <c r="F640" s="71"/>
      <c r="G640" s="72"/>
      <c r="H640" s="78"/>
      <c r="I640" s="79"/>
      <c r="J640" s="50"/>
      <c r="K640" s="29"/>
      <c r="L640" s="52"/>
    </row>
    <row r="641" spans="2:12" x14ac:dyDescent="0.35">
      <c r="B641" s="55"/>
      <c r="C641" s="56"/>
      <c r="D641" s="80"/>
      <c r="E641" s="81"/>
      <c r="F641" s="71"/>
      <c r="G641" s="72"/>
      <c r="H641" s="115"/>
      <c r="I641" s="74"/>
      <c r="J641" s="50"/>
      <c r="K641" s="29"/>
      <c r="L641" s="52"/>
    </row>
    <row r="642" spans="2:12" x14ac:dyDescent="0.35">
      <c r="B642" s="47"/>
      <c r="C642" s="48"/>
      <c r="D642" s="69"/>
      <c r="E642" s="70"/>
      <c r="F642" s="71"/>
      <c r="G642" s="72"/>
      <c r="H642" s="26"/>
      <c r="I642" s="74"/>
      <c r="J642" s="50"/>
      <c r="K642" s="29"/>
      <c r="L642" s="52"/>
    </row>
    <row r="643" spans="2:12" x14ac:dyDescent="0.35">
      <c r="B643" s="47"/>
      <c r="C643" s="48"/>
      <c r="D643" s="82"/>
      <c r="E643" s="83"/>
      <c r="F643" s="71"/>
      <c r="G643" s="72"/>
      <c r="H643" s="26"/>
      <c r="I643" s="74"/>
      <c r="J643" s="50"/>
      <c r="K643" s="29"/>
      <c r="L643" s="52"/>
    </row>
    <row r="644" spans="2:12" x14ac:dyDescent="0.35">
      <c r="B644" s="47"/>
      <c r="C644" s="48"/>
      <c r="D644" s="82"/>
      <c r="E644" s="116"/>
      <c r="F644" s="117"/>
      <c r="G644" s="121"/>
      <c r="H644" s="26"/>
      <c r="I644" s="74"/>
      <c r="J644" s="50"/>
      <c r="K644" s="29"/>
      <c r="L644" s="52"/>
    </row>
    <row r="645" spans="2:12" x14ac:dyDescent="0.35">
      <c r="B645" s="84"/>
      <c r="C645" s="85"/>
      <c r="D645" s="299"/>
      <c r="E645" s="116"/>
      <c r="F645" s="117"/>
      <c r="G645" s="121"/>
      <c r="H645" s="120"/>
      <c r="I645" s="90"/>
      <c r="J645" s="50"/>
      <c r="K645" s="29"/>
      <c r="L645" s="52"/>
    </row>
    <row r="646" spans="2:12" x14ac:dyDescent="0.35">
      <c r="B646" s="91"/>
      <c r="C646" s="92"/>
      <c r="D646" s="93"/>
      <c r="E646" s="94"/>
      <c r="F646" s="95"/>
      <c r="G646" s="95"/>
      <c r="H646" s="96"/>
      <c r="I646" s="97"/>
      <c r="J646" s="50"/>
      <c r="K646" s="29"/>
      <c r="L646" s="52"/>
    </row>
    <row r="647" spans="2:12" x14ac:dyDescent="0.35">
      <c r="B647" s="91"/>
      <c r="C647" s="92"/>
      <c r="D647" s="93"/>
      <c r="E647" s="94"/>
      <c r="F647" s="95"/>
      <c r="G647" s="95"/>
      <c r="H647" s="96"/>
      <c r="I647" s="97"/>
      <c r="J647" s="50"/>
      <c r="K647" s="29"/>
      <c r="L647" s="52"/>
    </row>
    <row r="648" spans="2:12" x14ac:dyDescent="0.35">
      <c r="B648" s="84"/>
      <c r="C648" s="85"/>
      <c r="D648" s="299"/>
      <c r="E648" s="116"/>
      <c r="F648" s="117"/>
      <c r="G648" s="117"/>
      <c r="H648" s="118"/>
      <c r="I648" s="90"/>
      <c r="J648" s="50"/>
      <c r="K648" s="29"/>
      <c r="L648" s="52"/>
    </row>
    <row r="649" spans="2:12" x14ac:dyDescent="0.35">
      <c r="B649" s="98"/>
      <c r="C649" s="99"/>
      <c r="D649" s="93"/>
      <c r="E649" s="94"/>
      <c r="F649" s="95"/>
      <c r="G649" s="95"/>
      <c r="H649" s="96"/>
      <c r="I649" s="104"/>
      <c r="J649" s="50"/>
      <c r="K649" s="29"/>
      <c r="L649" s="52"/>
    </row>
    <row r="650" spans="2:12" x14ac:dyDescent="0.35">
      <c r="B650" s="98"/>
      <c r="C650" s="99"/>
      <c r="D650" s="93"/>
      <c r="E650" s="94"/>
      <c r="F650" s="95"/>
      <c r="G650" s="95"/>
      <c r="H650" s="96"/>
      <c r="I650" s="104"/>
      <c r="J650" s="50"/>
      <c r="K650" s="29"/>
      <c r="L650" s="52"/>
    </row>
    <row r="651" spans="2:12" x14ac:dyDescent="0.35">
      <c r="B651" s="98"/>
      <c r="C651" s="99"/>
      <c r="D651" s="93"/>
      <c r="E651" s="94"/>
      <c r="F651" s="95"/>
      <c r="G651" s="95"/>
      <c r="H651" s="119"/>
      <c r="I651" s="104"/>
      <c r="J651" s="50"/>
      <c r="K651" s="29"/>
      <c r="L651" s="52"/>
    </row>
    <row r="652" spans="2:12" x14ac:dyDescent="0.35">
      <c r="B652" s="98"/>
      <c r="C652" s="99"/>
      <c r="D652" s="100"/>
      <c r="E652" s="101"/>
      <c r="F652" s="102"/>
      <c r="G652" s="102"/>
      <c r="H652" s="105"/>
      <c r="I652" s="104"/>
      <c r="J652" s="50"/>
      <c r="K652" s="29"/>
      <c r="L652" s="52"/>
    </row>
    <row r="653" spans="2:12" x14ac:dyDescent="0.35">
      <c r="B653" s="98"/>
      <c r="C653" s="99"/>
      <c r="D653" s="100"/>
      <c r="E653" s="101"/>
      <c r="F653" s="102"/>
      <c r="G653" s="102"/>
      <c r="H653" s="103"/>
      <c r="I653" s="104"/>
      <c r="J653" s="50"/>
      <c r="K653" s="29"/>
      <c r="L653" s="52"/>
    </row>
    <row r="654" spans="2:12" x14ac:dyDescent="0.35">
      <c r="B654" s="98"/>
      <c r="C654" s="99"/>
      <c r="D654" s="100"/>
      <c r="E654" s="101"/>
      <c r="F654" s="102"/>
      <c r="G654" s="102"/>
      <c r="H654" s="105"/>
      <c r="I654" s="104"/>
      <c r="J654" s="50"/>
      <c r="K654" s="29"/>
      <c r="L654" s="52"/>
    </row>
    <row r="655" spans="2:12" x14ac:dyDescent="0.35">
      <c r="B655" s="98"/>
      <c r="C655" s="99"/>
      <c r="D655" s="100"/>
      <c r="E655" s="101"/>
      <c r="F655" s="102"/>
      <c r="G655" s="102"/>
      <c r="H655" s="105"/>
      <c r="I655" s="104"/>
      <c r="J655" s="50"/>
      <c r="K655" s="29"/>
      <c r="L655" s="52"/>
    </row>
    <row r="656" spans="2:12" x14ac:dyDescent="0.35">
      <c r="B656" s="98"/>
      <c r="C656" s="99"/>
      <c r="D656" s="100"/>
      <c r="E656" s="101"/>
      <c r="F656" s="102"/>
      <c r="G656" s="102"/>
      <c r="H656" s="105"/>
      <c r="I656" s="104"/>
      <c r="J656" s="50"/>
      <c r="K656" s="29"/>
      <c r="L656" s="52"/>
    </row>
    <row r="657" spans="2:15" x14ac:dyDescent="0.35">
      <c r="B657" s="47"/>
      <c r="C657" s="48"/>
      <c r="D657" s="24"/>
      <c r="G657" s="22"/>
      <c r="I657" s="22"/>
      <c r="J657" s="50"/>
      <c r="K657" s="29"/>
      <c r="L657" s="52"/>
    </row>
    <row r="658" spans="2:15" x14ac:dyDescent="0.35">
      <c r="B658" s="47"/>
      <c r="C658" s="48"/>
      <c r="D658" s="24"/>
      <c r="G658" s="22"/>
      <c r="I658" s="22"/>
      <c r="J658" s="50"/>
      <c r="K658" s="29"/>
      <c r="L658" s="52"/>
    </row>
    <row r="659" spans="2:15" x14ac:dyDescent="0.35">
      <c r="B659" s="47"/>
      <c r="C659" s="48"/>
      <c r="D659" s="24"/>
      <c r="G659" s="22"/>
      <c r="I659" s="22"/>
      <c r="J659" s="50"/>
      <c r="K659" s="29"/>
      <c r="L659" s="52"/>
    </row>
    <row r="660" spans="2:15" x14ac:dyDescent="0.35">
      <c r="B660" s="47"/>
      <c r="C660" s="48"/>
      <c r="D660" s="24"/>
      <c r="G660" s="22"/>
      <c r="I660" s="22"/>
      <c r="J660" s="50"/>
      <c r="K660" s="29"/>
      <c r="L660" s="52"/>
    </row>
    <row r="661" spans="2:15" x14ac:dyDescent="0.35">
      <c r="B661" s="47"/>
      <c r="C661" s="48"/>
      <c r="D661" s="24"/>
      <c r="G661" s="22"/>
      <c r="I661" s="22"/>
      <c r="J661" s="50"/>
      <c r="K661" s="29"/>
      <c r="L661" s="52"/>
    </row>
    <row r="662" spans="2:15" x14ac:dyDescent="0.35">
      <c r="B662" s="47"/>
      <c r="C662" s="48"/>
      <c r="D662" s="24"/>
      <c r="G662" s="22"/>
      <c r="I662" s="22"/>
      <c r="J662" s="50"/>
      <c r="K662" s="29"/>
      <c r="L662" s="52"/>
    </row>
    <row r="663" spans="2:15" x14ac:dyDescent="0.35">
      <c r="B663" s="300"/>
      <c r="C663" s="301"/>
      <c r="D663" s="302"/>
      <c r="G663" s="22"/>
      <c r="I663" s="22"/>
      <c r="J663" s="50"/>
      <c r="K663" s="29"/>
      <c r="L663" s="52"/>
    </row>
    <row r="664" spans="2:15" x14ac:dyDescent="0.35">
      <c r="B664" s="8"/>
      <c r="C664" s="9"/>
      <c r="D664" s="10"/>
      <c r="E664" s="4"/>
      <c r="F664" s="4"/>
      <c r="G664" s="4"/>
      <c r="H664" s="1"/>
      <c r="I664" s="1"/>
      <c r="J664" s="11" t="s">
        <v>8</v>
      </c>
      <c r="K664" s="7">
        <f>SUM(K615:K663)</f>
        <v>2375000</v>
      </c>
      <c r="L664" s="7">
        <f>SUM(L615:L663)</f>
        <v>0</v>
      </c>
    </row>
    <row r="665" spans="2:15" x14ac:dyDescent="0.35">
      <c r="B665" s="8"/>
      <c r="C665" s="9"/>
      <c r="D665" s="9"/>
      <c r="E665" s="4"/>
      <c r="F665" s="4"/>
      <c r="G665" s="4"/>
      <c r="H665" s="1"/>
      <c r="I665" s="1"/>
      <c r="J665" s="11" t="s">
        <v>510</v>
      </c>
      <c r="K665" s="287">
        <f>SUM(K664,K601,K535,K469,K403,K337,K271,K205,K139,K73)</f>
        <v>1306103800</v>
      </c>
      <c r="L665" s="287">
        <f>SUM(L664,L601,L535,L469,L403,L337,L271,L205,L139,L73)</f>
        <v>2292482076.2304163</v>
      </c>
      <c r="M665" s="14">
        <v>3598585876.2304163</v>
      </c>
      <c r="N665" s="308">
        <f>M665*20%</f>
        <v>719717175.24608326</v>
      </c>
      <c r="O665" s="14">
        <f>M665-N665</f>
        <v>2878868700.984333</v>
      </c>
    </row>
    <row r="666" spans="2:15" x14ac:dyDescent="0.35">
      <c r="B666" s="8"/>
      <c r="C666" s="9"/>
      <c r="D666" s="9"/>
      <c r="E666" s="4"/>
      <c r="F666" s="4"/>
      <c r="G666" s="4"/>
      <c r="H666" s="1"/>
      <c r="I666" s="1"/>
      <c r="J666" s="11" t="s">
        <v>512</v>
      </c>
      <c r="K666" s="287">
        <v>848585876</v>
      </c>
      <c r="L666" s="287">
        <v>0</v>
      </c>
      <c r="M666" s="307">
        <v>0.2</v>
      </c>
    </row>
    <row r="667" spans="2:15" x14ac:dyDescent="0.35">
      <c r="B667" s="8"/>
      <c r="C667" s="9"/>
      <c r="D667" s="9"/>
      <c r="E667" s="4"/>
      <c r="F667" s="4"/>
      <c r="G667" s="4"/>
      <c r="H667" s="1"/>
      <c r="I667" s="1"/>
      <c r="J667" s="11" t="s">
        <v>513</v>
      </c>
      <c r="K667" s="287">
        <f>K665-K666</f>
        <v>457517924</v>
      </c>
      <c r="L667" s="287">
        <f>L665</f>
        <v>2292482076.2304163</v>
      </c>
      <c r="M667" s="14">
        <f>SUM(K667:L667)</f>
        <v>2750000000.2304163</v>
      </c>
    </row>
    <row r="668" spans="2:15" x14ac:dyDescent="0.35">
      <c r="B668" s="8"/>
      <c r="C668" s="9"/>
      <c r="D668" s="9"/>
      <c r="E668" s="4"/>
      <c r="F668" s="4"/>
      <c r="G668" s="4"/>
      <c r="H668" s="1"/>
      <c r="I668" s="1"/>
      <c r="J668" s="11"/>
      <c r="K668" s="35" t="s">
        <v>22</v>
      </c>
      <c r="L668" s="36" t="s">
        <v>23</v>
      </c>
    </row>
    <row r="669" spans="2:15" x14ac:dyDescent="0.35">
      <c r="B669" s="3" t="s">
        <v>9</v>
      </c>
      <c r="C669" s="4"/>
      <c r="D669" s="4"/>
      <c r="E669" s="4"/>
      <c r="F669" s="4"/>
      <c r="G669" s="4"/>
      <c r="H669" s="1"/>
      <c r="I669" s="1"/>
      <c r="J669" s="12"/>
      <c r="K669" s="12"/>
      <c r="L669" s="13"/>
    </row>
    <row r="670" spans="2:15" x14ac:dyDescent="0.35">
      <c r="B670" s="37"/>
      <c r="C670" s="1"/>
      <c r="D670" s="1"/>
      <c r="E670" s="38"/>
      <c r="F670" s="38"/>
      <c r="G670" s="38"/>
      <c r="H670" s="1"/>
      <c r="I670" s="1"/>
      <c r="J670" s="1"/>
      <c r="K670" s="1"/>
      <c r="L670" s="19"/>
    </row>
    <row r="671" spans="2:15" x14ac:dyDescent="0.35">
      <c r="B671" s="28" t="s">
        <v>6</v>
      </c>
      <c r="C671" s="27"/>
      <c r="D671" s="27"/>
      <c r="E671" s="26"/>
      <c r="F671" s="26"/>
      <c r="G671" s="5"/>
      <c r="K671" s="321" t="s">
        <v>514</v>
      </c>
      <c r="L671" s="322"/>
    </row>
    <row r="672" spans="2:15" x14ac:dyDescent="0.35">
      <c r="B672" s="28">
        <v>1</v>
      </c>
      <c r="C672" s="27"/>
      <c r="D672" s="27"/>
      <c r="E672" s="26" t="s">
        <v>7</v>
      </c>
      <c r="F672" s="26"/>
      <c r="G672" s="5"/>
      <c r="K672" s="321" t="s">
        <v>28</v>
      </c>
      <c r="L672" s="322"/>
    </row>
    <row r="673" spans="2:12" x14ac:dyDescent="0.35">
      <c r="B673" s="39"/>
      <c r="C673" s="27"/>
      <c r="D673" s="27"/>
      <c r="E673" s="26"/>
      <c r="F673" s="26"/>
      <c r="G673" s="5"/>
      <c r="J673" s="25"/>
      <c r="K673" s="25"/>
      <c r="L673" s="24"/>
    </row>
    <row r="674" spans="2:12" x14ac:dyDescent="0.35">
      <c r="B674" s="28"/>
      <c r="C674" s="27"/>
      <c r="D674" s="27"/>
      <c r="E674" s="26"/>
      <c r="F674" s="26"/>
      <c r="G674" s="5"/>
      <c r="L674" s="22"/>
    </row>
    <row r="675" spans="2:12" x14ac:dyDescent="0.35">
      <c r="B675" s="45"/>
      <c r="E675" s="5"/>
      <c r="F675" s="5"/>
      <c r="G675" s="5"/>
      <c r="L675" s="22"/>
    </row>
    <row r="676" spans="2:12" x14ac:dyDescent="0.35">
      <c r="B676" s="45"/>
      <c r="E676" s="5"/>
      <c r="F676" s="5"/>
      <c r="G676" s="5"/>
      <c r="L676" s="22"/>
    </row>
    <row r="677" spans="2:12" x14ac:dyDescent="0.35">
      <c r="B677" s="45"/>
      <c r="E677" s="5"/>
      <c r="F677" s="5"/>
      <c r="G677" s="5"/>
      <c r="L677" s="22"/>
    </row>
    <row r="678" spans="2:12" x14ac:dyDescent="0.35">
      <c r="B678" s="45"/>
      <c r="E678" s="5"/>
      <c r="F678" s="5"/>
      <c r="G678" s="5"/>
      <c r="J678" s="40"/>
      <c r="K678" s="323" t="s">
        <v>36</v>
      </c>
      <c r="L678" s="324"/>
    </row>
    <row r="679" spans="2:12" x14ac:dyDescent="0.35">
      <c r="B679" s="45"/>
      <c r="K679" s="325" t="s">
        <v>37</v>
      </c>
      <c r="L679" s="326"/>
    </row>
    <row r="680" spans="2:12" x14ac:dyDescent="0.35">
      <c r="B680" s="318"/>
      <c r="C680" s="319"/>
      <c r="D680" s="319"/>
      <c r="E680" s="41"/>
      <c r="F680" s="41"/>
      <c r="G680" s="41"/>
      <c r="H680" s="2"/>
      <c r="I680" s="2"/>
      <c r="J680" s="2"/>
      <c r="K680" s="2"/>
      <c r="L680" s="21"/>
    </row>
  </sheetData>
  <mergeCells count="58">
    <mergeCell ref="K85:L85"/>
    <mergeCell ref="F15:G15"/>
    <mergeCell ref="B18:D19"/>
    <mergeCell ref="E18:G19"/>
    <mergeCell ref="H18:I19"/>
    <mergeCell ref="J18:J19"/>
    <mergeCell ref="K18:K19"/>
    <mergeCell ref="L18:L19"/>
    <mergeCell ref="N21:O21"/>
    <mergeCell ref="K77:L77"/>
    <mergeCell ref="K78:L78"/>
    <mergeCell ref="K84:L84"/>
    <mergeCell ref="K275:L275"/>
    <mergeCell ref="B86:D86"/>
    <mergeCell ref="K143:L143"/>
    <mergeCell ref="K144:L144"/>
    <mergeCell ref="K150:L150"/>
    <mergeCell ref="K151:L151"/>
    <mergeCell ref="B152:D152"/>
    <mergeCell ref="K209:L209"/>
    <mergeCell ref="K210:L210"/>
    <mergeCell ref="K216:L216"/>
    <mergeCell ref="K217:L217"/>
    <mergeCell ref="B218:D218"/>
    <mergeCell ref="K414:L414"/>
    <mergeCell ref="K276:L276"/>
    <mergeCell ref="K282:L282"/>
    <mergeCell ref="K283:L283"/>
    <mergeCell ref="B284:D284"/>
    <mergeCell ref="K341:L341"/>
    <mergeCell ref="K342:L342"/>
    <mergeCell ref="K348:L348"/>
    <mergeCell ref="K349:L349"/>
    <mergeCell ref="B350:D350"/>
    <mergeCell ref="K407:L407"/>
    <mergeCell ref="K408:L408"/>
    <mergeCell ref="B548:D548"/>
    <mergeCell ref="K415:L415"/>
    <mergeCell ref="B416:D416"/>
    <mergeCell ref="K473:L473"/>
    <mergeCell ref="K474:L474"/>
    <mergeCell ref="K480:L480"/>
    <mergeCell ref="K481:L481"/>
    <mergeCell ref="B482:D482"/>
    <mergeCell ref="K539:L539"/>
    <mergeCell ref="K540:L540"/>
    <mergeCell ref="K546:L546"/>
    <mergeCell ref="K547:L547"/>
    <mergeCell ref="K672:L672"/>
    <mergeCell ref="K678:L678"/>
    <mergeCell ref="K679:L679"/>
    <mergeCell ref="B680:D680"/>
    <mergeCell ref="K605:L605"/>
    <mergeCell ref="K606:L606"/>
    <mergeCell ref="K612:L612"/>
    <mergeCell ref="K613:L613"/>
    <mergeCell ref="B614:D614"/>
    <mergeCell ref="K671:L671"/>
  </mergeCells>
  <conditionalFormatting sqref="B56:C58">
    <cfRule type="expression" dxfId="29" priority="29">
      <formula>AND((ISBLANK($B56)=FALSE),(ISBLANK(#REF!)=FALSE))</formula>
    </cfRule>
  </conditionalFormatting>
  <conditionalFormatting sqref="B96:C96">
    <cfRule type="expression" dxfId="28" priority="22">
      <formula>AND((ISBLANK($B96)=FALSE),(ISBLANK(#REF!)=FALSE))</formula>
    </cfRule>
  </conditionalFormatting>
  <conditionalFormatting sqref="B103:C103 B105:C106">
    <cfRule type="expression" dxfId="27" priority="16">
      <formula>AND((ISBLANK($B103)=FALSE),(ISBLANK(#REF!)=FALSE))</formula>
    </cfRule>
  </conditionalFormatting>
  <conditionalFormatting sqref="B127:C127">
    <cfRule type="expression" dxfId="26" priority="13">
      <formula>AND((ISBLANK($B127)=FALSE),(ISBLANK(#REF!)=FALSE))</formula>
    </cfRule>
  </conditionalFormatting>
  <conditionalFormatting sqref="B161:C161">
    <cfRule type="expression" dxfId="25" priority="9">
      <formula>AND((ISBLANK($B161)=FALSE),(ISBLANK(#REF!)=FALSE))</formula>
    </cfRule>
  </conditionalFormatting>
  <conditionalFormatting sqref="B585:C586">
    <cfRule type="expression" dxfId="24" priority="4">
      <formula>AND((ISBLANK($B585)=FALSE),(ISBLANK(#REF!)=FALSE))</formula>
    </cfRule>
  </conditionalFormatting>
  <conditionalFormatting sqref="C56:C58 E56:E58">
    <cfRule type="expression" dxfId="23" priority="27">
      <formula>AND(ISBLANK($B56),(ISBLANK($C56)=FALSE),ISBLANK($D56),((ISBLANK($E56))=FALSE))</formula>
    </cfRule>
  </conditionalFormatting>
  <conditionalFormatting sqref="C96 E96">
    <cfRule type="expression" dxfId="22" priority="20">
      <formula>AND(ISBLANK($B96),(ISBLANK($C96)=FALSE),ISBLANK($D96),((ISBLANK($E96))=FALSE))</formula>
    </cfRule>
  </conditionalFormatting>
  <conditionalFormatting sqref="C103 C105:C106 E103 E105:E106">
    <cfRule type="expression" dxfId="21" priority="24">
      <formula>AND(ISBLANK($B103),(ISBLANK($C103)=FALSE),ISBLANK($D103),((ISBLANK($E103))=FALSE))</formula>
    </cfRule>
  </conditionalFormatting>
  <conditionalFormatting sqref="C127 E127">
    <cfRule type="expression" dxfId="20" priority="11">
      <formula>AND(ISBLANK($B127),(ISBLANK($C127)=FALSE),ISBLANK($D127),((ISBLANK($E127))=FALSE))</formula>
    </cfRule>
  </conditionalFormatting>
  <conditionalFormatting sqref="C161 E161">
    <cfRule type="expression" dxfId="19" priority="7">
      <formula>AND(ISBLANK($B161),(ISBLANK($C161)=FALSE),ISBLANK($D161),((ISBLANK($E161))=FALSE))</formula>
    </cfRule>
  </conditionalFormatting>
  <conditionalFormatting sqref="C585:C586 E585:E586">
    <cfRule type="expression" dxfId="18" priority="2">
      <formula>AND(ISBLANK($B585),(ISBLANK($C585)=FALSE),ISBLANK($D585),((ISBLANK($E585))=FALSE))</formula>
    </cfRule>
  </conditionalFormatting>
  <conditionalFormatting sqref="E31 E39:E41 E59">
    <cfRule type="expression" dxfId="17" priority="30">
      <formula>AND((ISBLANK($B31)=FALSE),(ISBLANK($E31)=FALSE))</formula>
    </cfRule>
  </conditionalFormatting>
  <conditionalFormatting sqref="E56:E58">
    <cfRule type="expression" dxfId="16" priority="26">
      <formula>AND(ISBLANK($B56),ISBLANK($C56),ISBLANK($D56),((ISBLANK($E56))=FALSE),ISBLANK($F56))</formula>
    </cfRule>
  </conditionalFormatting>
  <conditionalFormatting sqref="E69">
    <cfRule type="expression" dxfId="15" priority="25">
      <formula>AND((ISBLANK($B69)=FALSE),(ISBLANK($E69)=FALSE))</formula>
    </cfRule>
  </conditionalFormatting>
  <conditionalFormatting sqref="E96">
    <cfRule type="expression" dxfId="14" priority="19">
      <formula>AND(ISBLANK($B96),ISBLANK($C96),ISBLANK($D96),((ISBLANK($E96))=FALSE),ISBLANK($F96))</formula>
    </cfRule>
  </conditionalFormatting>
  <conditionalFormatting sqref="E101:E102 E104 E130">
    <cfRule type="expression" dxfId="13" priority="18">
      <formula>AND((ISBLANK($B101)=FALSE),(ISBLANK($E101)=FALSE))</formula>
    </cfRule>
  </conditionalFormatting>
  <conditionalFormatting sqref="E103 E105:E106">
    <cfRule type="expression" dxfId="12" priority="23">
      <formula>AND(ISBLANK($B103),ISBLANK($C103),ISBLANK($D103),((ISBLANK($E103))=FALSE),ISBLANK($F103))</formula>
    </cfRule>
  </conditionalFormatting>
  <conditionalFormatting sqref="E107">
    <cfRule type="expression" dxfId="11" priority="17">
      <formula>AND((ISBLANK($B107)=FALSE),(ISBLANK($E107)=FALSE))</formula>
    </cfRule>
  </conditionalFormatting>
  <conditionalFormatting sqref="E117">
    <cfRule type="expression" dxfId="10" priority="14">
      <formula>AND((ISBLANK($B117)=FALSE),(ISBLANK($E117)=FALSE))</formula>
    </cfRule>
  </conditionalFormatting>
  <conditionalFormatting sqref="E127">
    <cfRule type="expression" dxfId="9" priority="10">
      <formula>AND(ISBLANK($B127),ISBLANK($C127),ISBLANK($D127),((ISBLANK($E127))=FALSE),ISBLANK($F127))</formula>
    </cfRule>
  </conditionalFormatting>
  <conditionalFormatting sqref="E161">
    <cfRule type="expression" dxfId="8" priority="6">
      <formula>AND(ISBLANK($B161),ISBLANK($C161),ISBLANK($D161),((ISBLANK($E161))=FALSE),ISBLANK($F161))</formula>
    </cfRule>
  </conditionalFormatting>
  <conditionalFormatting sqref="E169:E170 E172:E174">
    <cfRule type="expression" dxfId="7" priority="5">
      <formula>AND((ISBLANK($B169)=FALSE),(ISBLANK($E169)=FALSE))</formula>
    </cfRule>
  </conditionalFormatting>
  <conditionalFormatting sqref="E585:E586">
    <cfRule type="expression" dxfId="6" priority="1">
      <formula>AND(ISBLANK($B585),ISBLANK($C585),ISBLANK($D585),((ISBLANK($E585))=FALSE),ISBLANK($F585))</formula>
    </cfRule>
  </conditionalFormatting>
  <conditionalFormatting sqref="F56:F58">
    <cfRule type="expression" dxfId="5" priority="28">
      <formula>AND(ISBLANK($B56),ISBLANK($C56),ISBLANK($D56),ISBLANK($E56),ISBLANK(#REF!),ISBLANK($E56))</formula>
    </cfRule>
  </conditionalFormatting>
  <conditionalFormatting sqref="F96">
    <cfRule type="expression" dxfId="4" priority="21">
      <formula>AND(ISBLANK($B96),ISBLANK($C96),ISBLANK($D96),ISBLANK($E96),ISBLANK(#REF!),ISBLANK($E96))</formula>
    </cfRule>
  </conditionalFormatting>
  <conditionalFormatting sqref="F103 F105:F106">
    <cfRule type="expression" dxfId="3" priority="15">
      <formula>AND(ISBLANK($B103),ISBLANK($C103),ISBLANK($D103),ISBLANK($E103),ISBLANK(#REF!),ISBLANK($E103))</formula>
    </cfRule>
  </conditionalFormatting>
  <conditionalFormatting sqref="F127">
    <cfRule type="expression" dxfId="2" priority="12">
      <formula>AND(ISBLANK($B127),ISBLANK($C127),ISBLANK($D127),ISBLANK($E127),ISBLANK(#REF!),ISBLANK($E127))</formula>
    </cfRule>
  </conditionalFormatting>
  <conditionalFormatting sqref="F161">
    <cfRule type="expression" dxfId="1" priority="8">
      <formula>AND(ISBLANK($B161),ISBLANK($C161),ISBLANK($D161),ISBLANK($E161),ISBLANK(#REF!),ISBLANK($E161))</formula>
    </cfRule>
  </conditionalFormatting>
  <conditionalFormatting sqref="F585:F586">
    <cfRule type="expression" dxfId="0" priority="3">
      <formula>AND(ISBLANK($B585),ISBLANK($C585),ISBLANK($D585),ISBLANK($E585),ISBLANK(#REF!),ISBLANK($E585))</formula>
    </cfRule>
  </conditionalFormatting>
  <printOptions horizontalCentered="1"/>
  <pageMargins left="0.80870078740157503" right="0.39370078740157499" top="0.39370078740157499" bottom="0.39370078740157499" header="0.31496062992126" footer="0.31496062992126"/>
  <pageSetup scale="55" fitToHeight="0" orientation="portrait" r:id="rId1"/>
  <headerFooter>
    <oddFooter>&amp;LMKT-FM-002/Rev.01/18 Des 15/&amp;K00B050Green&amp;RPage &amp;P of &amp;N</oddFooter>
  </headerFooter>
  <rowBreaks count="9" manualBreakCount="9">
    <brk id="86" min="1" max="11" man="1"/>
    <brk id="152" min="1" max="11" man="1"/>
    <brk id="218" min="1" max="11" man="1"/>
    <brk id="284" min="1" max="11" man="1"/>
    <brk id="350" min="1" max="11" man="1"/>
    <brk id="416" min="1" max="11" man="1"/>
    <brk id="482" min="1" max="11" man="1"/>
    <brk id="548" min="1" max="11" man="1"/>
    <brk id="614" min="1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Rincian Biaya rev.04</vt:lpstr>
      <vt:lpstr>'Rincian Biaya rev.04'!Print_Area</vt:lpstr>
      <vt:lpstr>'Rincian Biaya rev.04'!Print_Titles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wimba prambada</dc:creator>
  <cp:lastModifiedBy>sigit hartono</cp:lastModifiedBy>
  <cp:lastPrinted>2025-04-08T03:20:42Z</cp:lastPrinted>
  <dcterms:created xsi:type="dcterms:W3CDTF">2015-07-30T04:54:41Z</dcterms:created>
  <dcterms:modified xsi:type="dcterms:W3CDTF">2025-12-23T07:54:27Z</dcterms:modified>
</cp:coreProperties>
</file>