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:\Shared drives\HO-A.1 MANAGEMENT REPRESENTATIF\TUGAS\MARKETING JUAN\"/>
    </mc:Choice>
  </mc:AlternateContent>
  <xr:revisionPtr revIDLastSave="0" documentId="13_ncr:1_{390392BA-9096-44E2-B426-00CE70A35766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incian Biaya rev.01" sheetId="43" r:id="rId1"/>
  </sheets>
  <definedNames>
    <definedName name="_xlnm.Print_Area" localSheetId="0">'Rincian Biaya rev.01'!$B$2:$L$1426</definedName>
    <definedName name="_xlnm.Print_Titles" localSheetId="0">'Rincian Biaya rev.01'!$2:$19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12" i="43" l="1"/>
  <c r="L1412" i="43"/>
  <c r="L1346" i="43"/>
  <c r="K1346" i="43"/>
  <c r="H1276" i="43"/>
  <c r="H1272" i="43"/>
  <c r="H1271" i="43"/>
  <c r="H1268" i="43"/>
  <c r="H1264" i="43"/>
  <c r="H1263" i="43"/>
  <c r="H1231" i="43"/>
  <c r="H1228" i="43"/>
  <c r="L1279" i="43" s="1"/>
  <c r="K1212" i="43"/>
  <c r="H1210" i="43"/>
  <c r="H1208" i="43"/>
  <c r="H1206" i="43"/>
  <c r="H1205" i="43"/>
  <c r="H1203" i="43"/>
  <c r="H1202" i="43"/>
  <c r="H1200" i="43"/>
  <c r="H1194" i="43"/>
  <c r="H1193" i="43"/>
  <c r="H1178" i="43"/>
  <c r="H1175" i="43"/>
  <c r="H1174" i="43"/>
  <c r="H1173" i="43"/>
  <c r="H1172" i="43"/>
  <c r="H1171" i="43"/>
  <c r="H1170" i="43"/>
  <c r="L1212" i="43"/>
  <c r="H1162" i="43"/>
  <c r="H1139" i="43"/>
  <c r="H1138" i="43"/>
  <c r="H1130" i="43"/>
  <c r="L1145" i="43" s="1"/>
  <c r="H1129" i="43"/>
  <c r="H1066" i="43"/>
  <c r="H1065" i="43"/>
  <c r="H1064" i="43"/>
  <c r="H1063" i="43"/>
  <c r="H1062" i="43"/>
  <c r="H1061" i="43"/>
  <c r="H1060" i="43"/>
  <c r="H1059" i="43"/>
  <c r="H1058" i="43"/>
  <c r="H1057" i="43"/>
  <c r="H1002" i="43"/>
  <c r="H998" i="43"/>
  <c r="H995" i="43"/>
  <c r="H993" i="43"/>
  <c r="L1011" i="43"/>
  <c r="H926" i="43"/>
  <c r="H925" i="43"/>
  <c r="H924" i="43"/>
  <c r="H923" i="43"/>
  <c r="H910" i="43"/>
  <c r="H902" i="43"/>
  <c r="H901" i="43"/>
  <c r="K944" i="43"/>
  <c r="H873" i="43"/>
  <c r="H872" i="43"/>
  <c r="H863" i="43"/>
  <c r="H862" i="43"/>
  <c r="H861" i="43"/>
  <c r="H853" i="43"/>
  <c r="H852" i="43"/>
  <c r="H845" i="43"/>
  <c r="H843" i="43"/>
  <c r="H842" i="43"/>
  <c r="H841" i="43"/>
  <c r="H836" i="43"/>
  <c r="H834" i="43"/>
  <c r="H833" i="43"/>
  <c r="H827" i="43"/>
  <c r="K877" i="43"/>
  <c r="H805" i="43"/>
  <c r="H800" i="43"/>
  <c r="H799" i="43"/>
  <c r="H798" i="43"/>
  <c r="H793" i="43"/>
  <c r="H790" i="43"/>
  <c r="H786" i="43"/>
  <c r="H784" i="43"/>
  <c r="H783" i="43"/>
  <c r="H780" i="43"/>
  <c r="H779" i="43"/>
  <c r="H778" i="43"/>
  <c r="H777" i="43"/>
  <c r="H776" i="43"/>
  <c r="H774" i="43"/>
  <c r="H773" i="43"/>
  <c r="H772" i="43"/>
  <c r="H771" i="43"/>
  <c r="H770" i="43"/>
  <c r="H769" i="43"/>
  <c r="H768" i="43"/>
  <c r="H767" i="43"/>
  <c r="H766" i="43"/>
  <c r="H765" i="43"/>
  <c r="L743" i="43"/>
  <c r="K743" i="43"/>
  <c r="L676" i="43"/>
  <c r="K676" i="43"/>
  <c r="K609" i="43"/>
  <c r="H602" i="43"/>
  <c r="H601" i="43"/>
  <c r="H600" i="43"/>
  <c r="H599" i="43"/>
  <c r="H595" i="43"/>
  <c r="H594" i="43"/>
  <c r="H591" i="43"/>
  <c r="H589" i="43"/>
  <c r="H587" i="43"/>
  <c r="H585" i="43"/>
  <c r="H583" i="43"/>
  <c r="H581" i="43"/>
  <c r="H576" i="43"/>
  <c r="H570" i="43"/>
  <c r="H567" i="43"/>
  <c r="H562" i="43"/>
  <c r="H560" i="43"/>
  <c r="H559" i="43"/>
  <c r="H558" i="43"/>
  <c r="K542" i="43"/>
  <c r="H539" i="43"/>
  <c r="H538" i="43"/>
  <c r="H537" i="43"/>
  <c r="H535" i="43"/>
  <c r="H534" i="43"/>
  <c r="H533" i="43"/>
  <c r="H532" i="43"/>
  <c r="H531" i="43"/>
  <c r="H530" i="43"/>
  <c r="H529" i="43"/>
  <c r="H528" i="43"/>
  <c r="H527" i="43"/>
  <c r="H526" i="43"/>
  <c r="H525" i="43"/>
  <c r="H524" i="43"/>
  <c r="H523" i="43"/>
  <c r="H522" i="43"/>
  <c r="H521" i="43"/>
  <c r="H520" i="43"/>
  <c r="H519" i="43"/>
  <c r="H518" i="43"/>
  <c r="H517" i="43"/>
  <c r="H516" i="43"/>
  <c r="H515" i="43"/>
  <c r="H514" i="43"/>
  <c r="H513" i="43"/>
  <c r="H511" i="43"/>
  <c r="H510" i="43"/>
  <c r="H509" i="43"/>
  <c r="H508" i="43"/>
  <c r="H507" i="43"/>
  <c r="H506" i="43"/>
  <c r="H505" i="43"/>
  <c r="H504" i="43"/>
  <c r="H503" i="43"/>
  <c r="H502" i="43"/>
  <c r="H501" i="43"/>
  <c r="H500" i="43"/>
  <c r="H499" i="43"/>
  <c r="H498" i="43"/>
  <c r="H497" i="43"/>
  <c r="H496" i="43"/>
  <c r="H495" i="43"/>
  <c r="H494" i="43"/>
  <c r="H493" i="43"/>
  <c r="H492" i="43"/>
  <c r="L542" i="43" s="1"/>
  <c r="K475" i="43"/>
  <c r="L475" i="43"/>
  <c r="L408" i="43"/>
  <c r="K408" i="43"/>
  <c r="H325" i="43"/>
  <c r="H324" i="43"/>
  <c r="H323" i="43"/>
  <c r="H322" i="43"/>
  <c r="H310" i="43"/>
  <c r="K341" i="43"/>
  <c r="H309" i="43"/>
  <c r="H308" i="43"/>
  <c r="H304" i="43"/>
  <c r="H303" i="43"/>
  <c r="H302" i="43"/>
  <c r="H301" i="43"/>
  <c r="H297" i="43"/>
  <c r="H293" i="43"/>
  <c r="H292" i="43"/>
  <c r="H291" i="43"/>
  <c r="L341" i="43" s="1"/>
  <c r="H290" i="43"/>
  <c r="H258" i="43"/>
  <c r="H257" i="43"/>
  <c r="H256" i="43"/>
  <c r="H255" i="43"/>
  <c r="K274" i="43" s="1"/>
  <c r="H237" i="43"/>
  <c r="L274" i="43" s="1"/>
  <c r="H236" i="43"/>
  <c r="H225" i="43"/>
  <c r="H202" i="43"/>
  <c r="H200" i="43"/>
  <c r="H189" i="43"/>
  <c r="H176" i="43"/>
  <c r="H175" i="43"/>
  <c r="H169" i="43"/>
  <c r="H167" i="43"/>
  <c r="H158" i="43"/>
  <c r="L207" i="43" s="1"/>
  <c r="L140" i="43"/>
  <c r="K140" i="43"/>
  <c r="L73" i="43"/>
  <c r="H45" i="43"/>
  <c r="H44" i="43"/>
  <c r="H43" i="43"/>
  <c r="H42" i="43"/>
  <c r="H39" i="43"/>
  <c r="H32" i="43"/>
  <c r="H24" i="43"/>
  <c r="L810" i="43" l="1"/>
  <c r="L944" i="43"/>
  <c r="K1011" i="43"/>
  <c r="K1145" i="43"/>
  <c r="K1279" i="43"/>
  <c r="H27" i="43"/>
  <c r="K207" i="43"/>
  <c r="L877" i="43"/>
  <c r="L1078" i="43"/>
  <c r="T23" i="43"/>
  <c r="L609" i="43"/>
  <c r="L1413" i="43" s="1"/>
  <c r="K810" i="43"/>
  <c r="K1078" i="43"/>
  <c r="K73" i="43" l="1"/>
  <c r="K1413" i="43" s="1"/>
  <c r="M1413" i="43" s="1"/>
  <c r="H34" i="43"/>
</calcChain>
</file>

<file path=xl/sharedStrings.xml><?xml version="1.0" encoding="utf-8"?>
<sst xmlns="http://schemas.openxmlformats.org/spreadsheetml/2006/main" count="2871" uniqueCount="814">
  <si>
    <t>No</t>
  </si>
  <si>
    <t>Item</t>
  </si>
  <si>
    <t>Volume</t>
  </si>
  <si>
    <t>Unit Price</t>
  </si>
  <si>
    <t>Client</t>
  </si>
  <si>
    <t>Contact</t>
  </si>
  <si>
    <t>Note :</t>
  </si>
  <si>
    <t>Cara pembayaran :</t>
  </si>
  <si>
    <t xml:space="preserve">Total   </t>
  </si>
  <si>
    <t>Say   :</t>
  </si>
  <si>
    <t>PELAYANAN UMUM</t>
  </si>
  <si>
    <t>Bottom</t>
  </si>
  <si>
    <t>PERLENGKAPAN DECK</t>
  </si>
  <si>
    <t>Service</t>
  </si>
  <si>
    <t>Material</t>
  </si>
  <si>
    <t>DETAIL OF DOCKING AND REPAIR COST</t>
  </si>
  <si>
    <t>Rincian Biaya Docking Dan Perbaikan</t>
  </si>
  <si>
    <t>: All</t>
  </si>
  <si>
    <t>PT. Meranti Nusa Bahari</t>
  </si>
  <si>
    <t>Project Information</t>
  </si>
  <si>
    <t>Name</t>
  </si>
  <si>
    <t>Length</t>
  </si>
  <si>
    <t>Breadth</t>
  </si>
  <si>
    <t>Depth</t>
  </si>
  <si>
    <t>Klass</t>
  </si>
  <si>
    <t>Type</t>
  </si>
  <si>
    <t>Aditya Agung H.</t>
  </si>
  <si>
    <t>General Manager</t>
  </si>
  <si>
    <t>: 13/FIN/MKT-MNB/II/2025</t>
  </si>
  <si>
    <t>:   27.00 Meter</t>
  </si>
  <si>
    <t>:    8.20 Meter</t>
  </si>
  <si>
    <t>:    4.00 Meter</t>
  </si>
  <si>
    <t>:   BKI</t>
  </si>
  <si>
    <t>I</t>
  </si>
  <si>
    <t>a</t>
  </si>
  <si>
    <t>Docking-Undocking</t>
  </si>
  <si>
    <t>Ls</t>
  </si>
  <si>
    <t>b</t>
  </si>
  <si>
    <t>Asistensi Tali Temali Dari Darat dan Persiapan Ganjal</t>
  </si>
  <si>
    <t>c</t>
  </si>
  <si>
    <t>Asistensi Dengan Mooring Boat</t>
  </si>
  <si>
    <t>d</t>
  </si>
  <si>
    <t>Sewa Dok Selama Perbaikan (4 Oktober 2024 - 16 November 2024, 19 November 2024 - 5 Februari 2025)</t>
  </si>
  <si>
    <t>Hari</t>
  </si>
  <si>
    <t>e</t>
  </si>
  <si>
    <t xml:space="preserve">Sewa Tempat Sandar (after repair) (17 November 2024 - 19 November 2024, 6 Februari 2025-25 Februari 2025 ) </t>
  </si>
  <si>
    <t>f</t>
  </si>
  <si>
    <t>Penyambungan Listrik Darat Ke Kapal</t>
  </si>
  <si>
    <t>g</t>
  </si>
  <si>
    <t>Suplai Listrik  16A 380V selama diatas dock dan sandar</t>
  </si>
  <si>
    <t>h</t>
  </si>
  <si>
    <t xml:space="preserve">Disediakan Fasilitas MCK untuk ABK </t>
  </si>
  <si>
    <t>i</t>
  </si>
  <si>
    <t>Disediakan Tempat Penampungan Sampah</t>
  </si>
  <si>
    <t>j</t>
  </si>
  <si>
    <t>Disediakan Tempat Penyimpanan Material Untuk Kapal</t>
  </si>
  <si>
    <t>k</t>
  </si>
  <si>
    <t>Penggunaan Alat Angkat ( &lt; 1.5 Ton )</t>
  </si>
  <si>
    <t>l</t>
  </si>
  <si>
    <t>Suplai Air Tawar</t>
  </si>
  <si>
    <t>Ton</t>
  </si>
  <si>
    <t>m</t>
  </si>
  <si>
    <r>
      <t xml:space="preserve">Disediakan Tempat Penampungan Limbah B3 </t>
    </r>
    <r>
      <rPr>
        <sz val="11"/>
        <rFont val="Calibri"/>
        <family val="2"/>
      </rPr>
      <t xml:space="preserve">≤ </t>
    </r>
    <r>
      <rPr>
        <sz val="11"/>
        <rFont val="Arial"/>
        <family val="2"/>
      </rPr>
      <t>2</t>
    </r>
    <r>
      <rPr>
        <sz val="11"/>
        <rFont val="Calibri"/>
        <family val="2"/>
      </rPr>
      <t xml:space="preserve"> </t>
    </r>
    <r>
      <rPr>
        <sz val="11"/>
        <rFont val="Arial"/>
        <family val="2"/>
      </rPr>
      <t>Ton (include bea Treatment)</t>
    </r>
  </si>
  <si>
    <t>n</t>
  </si>
  <si>
    <t>Security guard ( 2 Shift)</t>
  </si>
  <si>
    <t>hari</t>
  </si>
  <si>
    <t>o</t>
  </si>
  <si>
    <t>Safety watchman during drydock</t>
  </si>
  <si>
    <t>p</t>
  </si>
  <si>
    <t>Penyediaan APAR selama diatas dock</t>
  </si>
  <si>
    <t>II</t>
  </si>
  <si>
    <t>PERAWATAN LAMBUNG (Material Suplai Owner)</t>
  </si>
  <si>
    <t>Sekrap Bagian Bawah Air</t>
  </si>
  <si>
    <t>m2</t>
  </si>
  <si>
    <t>Sandblasting Bottom Sampai Waterline (S.A 2.0)</t>
  </si>
  <si>
    <t>Sandblasting Top Side (S.A 2.0)</t>
  </si>
  <si>
    <t>Sandblasting Bulwark luar (S.A 2.0)</t>
  </si>
  <si>
    <t>Cuci Air Tawar</t>
  </si>
  <si>
    <t>Pengecetan Bottom sampai waterline (1x Primer, 1x Sealer dan 1x Anti Fouling)</t>
  </si>
  <si>
    <t>Pengecetan Top Side (1x Primer dan 1x Top Coat)</t>
  </si>
  <si>
    <t>Pengecetan Bulwark Luar dan dalam (1x Primer dan 1x Top Coat)</t>
  </si>
  <si>
    <t>Pengecatan Draft Mark, Nama Kapal</t>
  </si>
  <si>
    <t>Pemasangan Zinc Anode</t>
  </si>
  <si>
    <t>pcs</t>
  </si>
  <si>
    <t>III</t>
  </si>
  <si>
    <t>SEACHEST AND VALVE</t>
  </si>
  <si>
    <t>Buka dan Tutup Kembali Saringan Luar Dan Pembersihan Kotak Seachest</t>
  </si>
  <si>
    <t>bh</t>
  </si>
  <si>
    <t>IV</t>
  </si>
  <si>
    <t>SISTEM PENGGERAK KAPAL</t>
  </si>
  <si>
    <t>Pengukuran Clearance Shaft</t>
  </si>
  <si>
    <t>Titik</t>
  </si>
  <si>
    <t>Buka dan pasang kembali penahan rymers packing</t>
  </si>
  <si>
    <t>Buka &amp; Pasang Propeller</t>
  </si>
  <si>
    <t>set</t>
  </si>
  <si>
    <t>Baling - baling dibersihkan dan dipolish kembali</t>
  </si>
  <si>
    <t>Repair Propeller  (Estimasi)(Damage area, &lt; 0,4R)</t>
  </si>
  <si>
    <t>Balancing Propeller</t>
  </si>
  <si>
    <t>Buka dan pasang shaft propeller</t>
  </si>
  <si>
    <t>Shaft dibersihkan dan dipolish kembali</t>
  </si>
  <si>
    <t>Buka dan pasang kembali flangedisc coupling gearbox</t>
  </si>
  <si>
    <t>Dial check shaft propeller dan dibuatkan record</t>
  </si>
  <si>
    <t>Bubut Bushing Shaft Propeller PS/SB FWD</t>
  </si>
  <si>
    <t>Contact fit Shaft &amp; Propeller PS/SB</t>
  </si>
  <si>
    <t>Contact fit Shaft &amp; Flangedisk PS/SB</t>
  </si>
  <si>
    <t>Alignment Gearbox &amp; Coupling PS/SB</t>
  </si>
  <si>
    <t>V</t>
  </si>
  <si>
    <t>SISTEM KEMUDI</t>
  </si>
  <si>
    <t>Pengukuran Clearance</t>
  </si>
  <si>
    <t>Bongkar dan Penyemenan Kembali Flens Kemudi</t>
  </si>
  <si>
    <t>Buka dan pasang kembali daun kemudi</t>
  </si>
  <si>
    <t>Buka dan pasang kembali kuadran rudder stock</t>
  </si>
  <si>
    <t>Buka dan pasang kembali rudder stock</t>
  </si>
  <si>
    <t>Buka dan pasang kembali Jumping Colar</t>
  </si>
  <si>
    <t>VI</t>
  </si>
  <si>
    <t>KAMAR MESIN</t>
  </si>
  <si>
    <t>Cleaning Got Kamar Mesin</t>
  </si>
  <si>
    <t>VII</t>
  </si>
  <si>
    <t>JANGKAR DAN PERLENGKAPANNYA (cat rantai dan jangkar disupplai owner)</t>
  </si>
  <si>
    <t>Jangkar dan rantainya  diturunkan dan Dan dinaikkan Kembali (diatur ulang)</t>
  </si>
  <si>
    <t>segel</t>
  </si>
  <si>
    <t xml:space="preserve">Cleaning Chain Locker </t>
  </si>
  <si>
    <t>tangki</t>
  </si>
  <si>
    <t>Pengukuran rantai jangkar</t>
  </si>
  <si>
    <t>VIII</t>
  </si>
  <si>
    <t>LAPORAN PENGEDOKAN</t>
  </si>
  <si>
    <t>Dibuatkan laporan pengedokan dan gambar bukaan kulit sesuai posisi replating</t>
  </si>
  <si>
    <t>IX</t>
  </si>
  <si>
    <t>TANKI-TANKI</t>
  </si>
  <si>
    <t>Cleaning Tank</t>
  </si>
  <si>
    <t>-</t>
  </si>
  <si>
    <t>Dirty Oil Tank</t>
  </si>
  <si>
    <t>tanki</t>
  </si>
  <si>
    <t>X</t>
  </si>
  <si>
    <t>Pelancaran towing hook</t>
  </si>
  <si>
    <t>Pelancaran Quick realesed towing hook</t>
  </si>
  <si>
    <t>JR. Rev. 00 Initial Survey join with OS (31/08/2024)</t>
  </si>
  <si>
    <t>SEACHEST DAN VALVE</t>
  </si>
  <si>
    <t>I.1</t>
  </si>
  <si>
    <t>Valve</t>
  </si>
  <si>
    <t>Service valve cooler ME SB, Angle valve uk. 2 1/2" 5K, CI</t>
  </si>
  <si>
    <t>mm</t>
  </si>
  <si>
    <t>Packing karet uk. 155x155x5 mm</t>
  </si>
  <si>
    <t>B/N Galvanis uk. 14x45 mm</t>
  </si>
  <si>
    <t>Service valve cooler ME PS, Angle valve uk. 2 1/2" 5K, CI</t>
  </si>
  <si>
    <t>Service valve cooler AE SB &amp; PS, Gate valve uk. 1 1/2" 5K, CI</t>
  </si>
  <si>
    <t>Remes packing uk. 5 mm, @1000 mm</t>
  </si>
  <si>
    <t>Packing benang uk. 120x120x3.2 mm, @2 pcs</t>
  </si>
  <si>
    <t>Packing karet uk. 120x120x5 mm</t>
  </si>
  <si>
    <t>B/N Galvanis uk. 12x45 mm, @8 pcs</t>
  </si>
  <si>
    <t>Service valve F/O SB AP, Gate valve uk. 2 1/2" 5K, CI</t>
  </si>
  <si>
    <t>Service valve F/O PS &amp; SB, Gate valve uk. 2 1/2" 5K, CI (di deck)</t>
  </si>
  <si>
    <t xml:space="preserve">Packing benang uk. 155x155x3.2 mm, @1 pcs </t>
  </si>
  <si>
    <t>Packing TBA uk. 155x155x3.2 mm, @2 pcs</t>
  </si>
  <si>
    <t>B/N Galvanis uk. 14x45 mm, @8 pcs</t>
  </si>
  <si>
    <t>Service Y-strainer AE SB, Y-Strainer uk. 1,5" 5K, CI</t>
  </si>
  <si>
    <t>Service Y-strainer AE PS, Y-Strainer uk. 1,5" 5K, CI</t>
  </si>
  <si>
    <t>II.1</t>
  </si>
  <si>
    <t>AE PS</t>
  </si>
  <si>
    <t>Pipa S/C to pump</t>
  </si>
  <si>
    <t>joint</t>
  </si>
  <si>
    <t>Pipa Galv uk. 1 1/4" sch 80</t>
  </si>
  <si>
    <t>Pipa Galv uk. 1,5" sch 80</t>
  </si>
  <si>
    <t>Elbow Galv uk. 1 1/4" sch 80</t>
  </si>
  <si>
    <t>Flange uk. 1 1/2" 5K</t>
  </si>
  <si>
    <t>Rubber hose uk. 2"</t>
  </si>
  <si>
    <t>Clamp uk. 2 1/2"</t>
  </si>
  <si>
    <t>U-Bolt uk. 1 1/4"</t>
  </si>
  <si>
    <t>Pipa pump to intercooler</t>
  </si>
  <si>
    <t>Rubber hose uk. 1 3/4"</t>
  </si>
  <si>
    <t>Clamp uk. 2 1/4"</t>
  </si>
  <si>
    <t>Long Nipple uk. 1 1/4" sch.80</t>
  </si>
  <si>
    <t>B/N uk. 3/8"x1,5"</t>
  </si>
  <si>
    <t>Flange custom, Plat uk. 100x80x10 mm</t>
  </si>
  <si>
    <t>Packing karet uk. 100x80x5 mm</t>
  </si>
  <si>
    <t>Pipa intercooler to OVB</t>
  </si>
  <si>
    <t>Flange uk. 1,5" 5K</t>
  </si>
  <si>
    <t>B/N uk. 3/8" x 1 1/2"</t>
  </si>
  <si>
    <t>Bongkar dan pasang U-Bolt lama</t>
  </si>
  <si>
    <t>II.2</t>
  </si>
  <si>
    <t>AE SB</t>
  </si>
  <si>
    <t>Pipa Galv uk. 1 1/2" sch 80</t>
  </si>
  <si>
    <t>Elbow Galv uk. 1 1/2" sch 80</t>
  </si>
  <si>
    <t>B/N Galvanis uk. 12x45 mm</t>
  </si>
  <si>
    <t>U-Bolt uk. 1,5"</t>
  </si>
  <si>
    <t>II.3</t>
  </si>
  <si>
    <t>ME PS</t>
  </si>
  <si>
    <t>Pipa Galv uk. 2 1/2" sch 80</t>
  </si>
  <si>
    <t>Elbow Galv uk. 2 1/2" sch 80</t>
  </si>
  <si>
    <t>Flange uk. 2 1/2" 5K</t>
  </si>
  <si>
    <t>Rubber hose uk. 3"</t>
  </si>
  <si>
    <t>Clamp uk. 3 1/2"</t>
  </si>
  <si>
    <t>Pipa pump to oil cooler</t>
  </si>
  <si>
    <t>Rubber hose HP uk. 3"</t>
  </si>
  <si>
    <t>Flange custom, Plat uk. 150x130x10 mm</t>
  </si>
  <si>
    <t>Pipa oil cooler to intercooler</t>
  </si>
  <si>
    <t>Flange custom, Plat uk. 100x90x10 mm</t>
  </si>
  <si>
    <t>II.4</t>
  </si>
  <si>
    <t>ME SB</t>
  </si>
  <si>
    <t>II.5</t>
  </si>
  <si>
    <t>Pipa Got dan GS</t>
  </si>
  <si>
    <t>Pipa got to pump GS</t>
  </si>
  <si>
    <t>Flange uk. 2 1/2" 10K</t>
  </si>
  <si>
    <t>Packing karet uk. 175x175x5 mm</t>
  </si>
  <si>
    <t>B/N Galvanis uk. 5/8"x2,5" (baut lama)</t>
  </si>
  <si>
    <t>Ubolt uk. 2 1/2"</t>
  </si>
  <si>
    <t>Pipa bypass from bilge pump to GS pump</t>
  </si>
  <si>
    <t>Support, Angle bar uk. (60x60x6 mm) x 440 mm</t>
  </si>
  <si>
    <t>kg</t>
  </si>
  <si>
    <t>Pipa S/C to pump toilet PS</t>
  </si>
  <si>
    <t>Flange uk. 1 1/4" 5K</t>
  </si>
  <si>
    <t>Packing karet uk. 115x115x5 mm</t>
  </si>
  <si>
    <t>Pipa manifold GS to ballast tank</t>
  </si>
  <si>
    <t>II.6</t>
  </si>
  <si>
    <t>Pipa hidrant PS</t>
  </si>
  <si>
    <t>Pipa S/C to pump bilge pump</t>
  </si>
  <si>
    <t>II.7</t>
  </si>
  <si>
    <t>Pondasi pompa dan elmot</t>
  </si>
  <si>
    <t>Pondasi pompa dan elmot bilges PS</t>
  </si>
  <si>
    <t>Angle bar uk. (80x80x8 mm) x 250 mm, 2 pcs</t>
  </si>
  <si>
    <t>Angle bar uk. (80x80x8 mm) x 450 mm, 2 pcs</t>
  </si>
  <si>
    <t>Angle bar uk. (80x80x8 mm) x 100 mm, 3 pcs</t>
  </si>
  <si>
    <t>Plat alas, Plat uk. 800x350x10 mm</t>
  </si>
  <si>
    <t>Bracket, Plat uk. 340x250x10 mm</t>
  </si>
  <si>
    <t>Bracket, Plat uk. 500x250x10 mm</t>
  </si>
  <si>
    <t>Stripping bracket, Plat uk. 80x70x8 mm, 6 pcs</t>
  </si>
  <si>
    <t>Pondasi pompa dan elmot GS PS</t>
  </si>
  <si>
    <t>Angle bar uk. (80x80x8 mm) x 800 mm, 2 pcs</t>
  </si>
  <si>
    <t>Angle bar uk. (80x80x8 mm) x 120 mm, 3 pcs</t>
  </si>
  <si>
    <t>Bracket, Plat uk. 350x250x10 mm, 2 pcs</t>
  </si>
  <si>
    <t>Bongkar dan pasang kembali pompa</t>
  </si>
  <si>
    <t>Bongkar dan pasang kembali elmot</t>
  </si>
  <si>
    <t>III.1</t>
  </si>
  <si>
    <t>Perpipaan di atas deck</t>
  </si>
  <si>
    <t>Tangga main deck to bridge deck PS/SB</t>
  </si>
  <si>
    <t>Pondasi, Plat uk. 170x100x10 mm @4 pcs</t>
  </si>
  <si>
    <t>Pondasi, Plat uk. 90x100x10 mm @4 pcs</t>
  </si>
  <si>
    <t>Pondasi kabel dan CCTV (di kamar mesin)</t>
  </si>
  <si>
    <t>III.2</t>
  </si>
  <si>
    <t>AVH</t>
  </si>
  <si>
    <t>Service AVH F/O 1 PS, AVH uk. 2 1/2" 5K FC</t>
  </si>
  <si>
    <t>Service AVH F/O 2 PS, AVH uk. 2 1/2" 5K FC</t>
  </si>
  <si>
    <t>Service AVH F/O 1 SB, AVH uk. 2 1/2" 5K FC</t>
  </si>
  <si>
    <t>Service AVH F/O 2 SB, AVH uk. 2 1/2" 5K FC</t>
  </si>
  <si>
    <t>Service AVH F/W, AVH uk. 2 1/2" 5K FC</t>
  </si>
  <si>
    <t>III.3</t>
  </si>
  <si>
    <t>Weathertight door</t>
  </si>
  <si>
    <t>Weathertight door saloon room PS</t>
  </si>
  <si>
    <t>Lis luar, Plat strip uk. (1 1/2" x 8 mm) x 950 mm</t>
  </si>
  <si>
    <t>Lis dalam, Plat strip uk. (1,5" x 8 mm) x 850 mm</t>
  </si>
  <si>
    <t>Weathertight door saloon room SB</t>
  </si>
  <si>
    <t>Lis luar, Plat strip uk. (1 1/2" x 8 mm) x 1000 mm</t>
  </si>
  <si>
    <t>Lis dalam, Plat strip uk. (1,5" x 8 mm) x 750 mm</t>
  </si>
  <si>
    <t>Weathertight door engine room PS</t>
  </si>
  <si>
    <t>Lis luar, Plat strip uk. (1 1/2" x 8 mm) x 1100 mm</t>
  </si>
  <si>
    <t>Lis dalam, Plat strip uk. (1,5" x 8 mm) x 1170 mm</t>
  </si>
  <si>
    <t>Weathertight door engine room SB</t>
  </si>
  <si>
    <t>Lis luar, Plat strip uk. (1 1/2" x 8 mm) x 900 mm</t>
  </si>
  <si>
    <t>Lis dalam, Plat strip uk. (1,5" x 8 mm) x 600 mm</t>
  </si>
  <si>
    <t>Weathertight door navigation room PS</t>
  </si>
  <si>
    <t>Lis luar, Plat strip uk. (1" x 8 mm) x 650 mm</t>
  </si>
  <si>
    <t>Weathertight door navigation room SB</t>
  </si>
  <si>
    <t>Lis luar, Plat strip uk. (1" x 8 mm) x 250 mm</t>
  </si>
  <si>
    <t>Weathertight door store room SB</t>
  </si>
  <si>
    <t>Lis luar, Plat strip uk. (1 1/2" x 8 mm) x 920 mm</t>
  </si>
  <si>
    <t>III.4</t>
  </si>
  <si>
    <t xml:space="preserve">Stepladder </t>
  </si>
  <si>
    <t>Stepladder to double bolder haluan</t>
  </si>
  <si>
    <t>Plat bordess uk. 1540x500x4 mm</t>
  </si>
  <si>
    <t>Plat bordess uk. 500x260x4 mm, 2 pcs</t>
  </si>
  <si>
    <t>III.5</t>
  </si>
  <si>
    <t>Manhole</t>
  </si>
  <si>
    <t>Manhole FPT</t>
  </si>
  <si>
    <t>Cover, Plat uk. 760x560x8 mm</t>
  </si>
  <si>
    <t>Handle, Roundbar uk. 5/8" x 330 mm, 2 pcs</t>
  </si>
  <si>
    <t>Manhole S/G PS</t>
  </si>
  <si>
    <t>Cover, Plat uk. 770x550x10 mm</t>
  </si>
  <si>
    <t>Manhole S/G SB</t>
  </si>
  <si>
    <t>III.6</t>
  </si>
  <si>
    <t>Small hatch</t>
  </si>
  <si>
    <t>Small hatch S/G PS</t>
  </si>
  <si>
    <t>Body, Plat uk. 2260x200x8 mm</t>
  </si>
  <si>
    <t>Cover, Plat uk. 710x710x8 mm</t>
  </si>
  <si>
    <t>Lis luar, Plat strip uk. (1,5" x 8 mm) x 2650 mm</t>
  </si>
  <si>
    <t>Lis dalam, Plat strip uk. (1" x 8 mm) x 2350 mm</t>
  </si>
  <si>
    <t>Engsel, Plat uk. 200x80x12 mm, 2 pcs</t>
  </si>
  <si>
    <t>Engsel, Plat uk. 190x100x12 mm, 4 pcs</t>
  </si>
  <si>
    <t>Lock, Plat uk. 80x60x8 mm</t>
  </si>
  <si>
    <t>Lock, Plat uk. 100x40x8 mm</t>
  </si>
  <si>
    <t>Pen engsel, Roundbar uk. 3/4" x 80 mm, 2 pcs</t>
  </si>
  <si>
    <t>III.7</t>
  </si>
  <si>
    <t>Safety towing</t>
  </si>
  <si>
    <t>Safety towing PS &amp; SB</t>
  </si>
  <si>
    <t>Bracket, Plat uk. 470x270x10 mm, @2 pcs</t>
  </si>
  <si>
    <t>Lis bracket, Roundbar uk. 3/4" x 280 mm, @4 pcs</t>
  </si>
  <si>
    <t>III.8</t>
  </si>
  <si>
    <t>Bulwark</t>
  </si>
  <si>
    <t>Stantion bulwark SB</t>
  </si>
  <si>
    <t>ST. No. 1, Web side, Plate size 350x340x10 mm</t>
  </si>
  <si>
    <t>ST. No. 1, Face side, Plate size 450x80x10 mm</t>
  </si>
  <si>
    <t>ST. No. 2, Angle bar unequal size (350x100x10 mm) x 450 mm</t>
  </si>
  <si>
    <t>ST. No. 3, Angle bar unequal size (350x100x10 mm) x 550 mm</t>
  </si>
  <si>
    <t>ST. No. 4, Angle bar unequal size (350x100x10 mm) x 100 mm</t>
  </si>
  <si>
    <t>Top bulwark ST. No. 3/4-4/5, Angle bar size (120x120x10 mm) x 900 mm</t>
  </si>
  <si>
    <t>ST. No. 5, Angle bar unequal size (300x100x10 mm) x 420 mm</t>
  </si>
  <si>
    <t>ST. No. 6, Angle bar unequal size (300x100x10 mm) x 360 mm</t>
  </si>
  <si>
    <t>ST. No. 7, Angle bar unequal size (300x100x10 mm) x 960 mm</t>
  </si>
  <si>
    <t>ST. No. 8, Angle bar unequal size (300x100x10 mm) x 400 mm</t>
  </si>
  <si>
    <t>ST. No. 9, Angle bar unequal size (300x100x10 mm) x 390 mm</t>
  </si>
  <si>
    <t>ST. No. 10, Angle bar unequal size (300x100x10 mm) x 290 mm</t>
  </si>
  <si>
    <t>ST. No. 11, Angle bar unequal size (350x100x10 mm) x 390 mm</t>
  </si>
  <si>
    <t>ST. No. 12, Angle bar unequal size (350x100x10 mm) x 300 mm</t>
  </si>
  <si>
    <t>ST. No. 13, Angle bar unequal size (350x100x10 mm) x 300 mm</t>
  </si>
  <si>
    <t>ST. No. 14, Angle bar unequal size (350x100x10 mm) x 450 mm</t>
  </si>
  <si>
    <t>ST. No. 15, Face side, Plate size 900x70x10 mm</t>
  </si>
  <si>
    <t>ST. No. 17, Web side, Plate size 400x300x10 mm</t>
  </si>
  <si>
    <t>ST. No. 17, Face side, Plate size 920x70x10 mm</t>
  </si>
  <si>
    <t>ST. No. 19, Face side, Plate size 930x70x10 mm</t>
  </si>
  <si>
    <t>Bulwark PS</t>
  </si>
  <si>
    <t>ST. No. 1, Web side, Plate size 350x350x10 mm</t>
  </si>
  <si>
    <t>ST. No. 2, Angle bar unequal size (300x100x10 mm) x 300 mm</t>
  </si>
  <si>
    <t>ST. No. 3, Angle bar unequal size (350x100x10 mm) x 300 mm</t>
  </si>
  <si>
    <t>ST. No. 3, Face side, Plate size 690x90x10 mm</t>
  </si>
  <si>
    <t>ST. No. 4, Angle bar unequal size (300x100x10 mm) x 500 mm</t>
  </si>
  <si>
    <t>ST. No. 5, Angle bar unequal size (350x100x10 mm) x 300 mm</t>
  </si>
  <si>
    <t>ST. No. 6, Angle bar unequal size (350x100x10 mm) x 290 mm</t>
  </si>
  <si>
    <t>ST. No. 7, Angle bar unequal size (350x100x10 mm) x 970 mm</t>
  </si>
  <si>
    <t>ST. No. 8, Angle bar unequal size (350x100x10 mm) x 980 mm</t>
  </si>
  <si>
    <t>ST. No. 9, Angle bar unequal size (350x100x10 mm) x 440 mm</t>
  </si>
  <si>
    <t>ST. No. 10, Angle bar unequal size (300x100x10 mm) x 300 mm</t>
  </si>
  <si>
    <t>ST. No. 11, Angle bar unequal size (350x100x10 mm) x 350 mm</t>
  </si>
  <si>
    <t>ST. No. 12, Angle bar unequal size (350x100x10 mm) x 360 mm</t>
  </si>
  <si>
    <t>ST. No. 14, Angle bar unequal size (400x100x10 mm) x 300 mm</t>
  </si>
  <si>
    <t>ST. No. 15, Web side, Plate size 390x350x10 mm</t>
  </si>
  <si>
    <t>ST. No. 15, Face side, Plate size 910x70x10 mm</t>
  </si>
  <si>
    <t>ST. No. 16, Web side, Plate size 400x310x10 mm</t>
  </si>
  <si>
    <t>ST. No. 16, Face side, Plate size 890x70x10 mm</t>
  </si>
  <si>
    <t>ST. No. 17, Angle bar unequal size (300x100x10 mm) x 450 mm</t>
  </si>
  <si>
    <t>ST. No. 18, Angle bar unequal size (300x100x10 mm) x 460 mm</t>
  </si>
  <si>
    <t>ST. No. 19, Web side, Plate size 410x320x10 mm</t>
  </si>
  <si>
    <t>ST. No. 19, Face side, Plate size 940x70x10 mm</t>
  </si>
  <si>
    <t>Bulwark poop deck PS</t>
  </si>
  <si>
    <t>ST. No. 1, Angle bar unequal size (300x100x10 mm) x 300 mm</t>
  </si>
  <si>
    <t>ST. No. 2, Angle bar unequal size (300x100x10 mm) x 320 mm</t>
  </si>
  <si>
    <t>ST. No. 3, Angle bar unequal size (300x100x10 mm) x 350 mm</t>
  </si>
  <si>
    <t>Bulwark poop deck SB</t>
  </si>
  <si>
    <t>Bulwark PS &amp; SB</t>
  </si>
  <si>
    <t>Lis lubang air (vertikal), Roundbar uk. 3/4" x 210 mm, 33 pcs</t>
  </si>
  <si>
    <t>III.9</t>
  </si>
  <si>
    <t>Bolder</t>
  </si>
  <si>
    <t>Single bolder No.2 PS</t>
  </si>
  <si>
    <t>Rewelding</t>
  </si>
  <si>
    <t>Single bolder No.1 SB</t>
  </si>
  <si>
    <t>Bracket to top bulwark, Plat uk. 360x400x10 mm</t>
  </si>
  <si>
    <t>III.10</t>
  </si>
  <si>
    <t>Ladder</t>
  </si>
  <si>
    <t>Vertikal ladder to navigation deck haluan</t>
  </si>
  <si>
    <t>Pipa 1 1/4" sch. 40</t>
  </si>
  <si>
    <t>JR. Rev. 01 Additional Work req by OS (07/10/2024)</t>
  </si>
  <si>
    <t>SISTIM KEMUDI</t>
  </si>
  <si>
    <t>Sepatu kemudi</t>
  </si>
  <si>
    <t>Sepatu kemudi SB</t>
  </si>
  <si>
    <t>Plat uk. 1490x250x50 mm</t>
  </si>
  <si>
    <t>Bonglkar dan pasang kembali pintel kemudi</t>
  </si>
  <si>
    <t>REPLATING</t>
  </si>
  <si>
    <t>Fr. 19/20-32/33, Lajur K</t>
  </si>
  <si>
    <t>Plat (ABS) uk. 7200x900x12 mm</t>
  </si>
  <si>
    <t>Fr. 11/12-29/30, Lajur A PS</t>
  </si>
  <si>
    <t>Plat (ABS) uk. 9950x1530x10 mm</t>
  </si>
  <si>
    <t>Fr. 11/12-19/20, Lajur A/B PS</t>
  </si>
  <si>
    <t>Plat (ABS) uk. 4310x1340x10 mm</t>
  </si>
  <si>
    <t>Fr. 19/20-29/30, Lajur A/B PS</t>
  </si>
  <si>
    <t>Plat (ABS) uk. 5690x1340x10 mm</t>
  </si>
  <si>
    <t>Fr. 29/30-33/34, Lajur A PS</t>
  </si>
  <si>
    <t>Plat (ABS) uk. 2330x800x10 mm</t>
  </si>
  <si>
    <t>Fr. 30/31-32/33, Lajur A SB</t>
  </si>
  <si>
    <t>Plat (ABS) uk. 1200x750x10 mm</t>
  </si>
  <si>
    <t>Chine</t>
  </si>
  <si>
    <t>Fr. 18/19-24/25, Lajur C PS</t>
  </si>
  <si>
    <t>Plat (ABS) uk. 2910x800x10 mm</t>
  </si>
  <si>
    <t>Lower chine, Roundbar uk. 1 1/2" x 2800 mm</t>
  </si>
  <si>
    <t>PERLENGKAPAN LAMBUNG</t>
  </si>
  <si>
    <t>Bilge keel</t>
  </si>
  <si>
    <t>Bilge keel PS</t>
  </si>
  <si>
    <t>Web, Plat (ABS) uk. 5300x300x12 mm</t>
  </si>
  <si>
    <t>Face, Plat uk. 5900x50x20 mm</t>
  </si>
  <si>
    <t>Web, Plat (ABS) uk. 3300x300x12 mm</t>
  </si>
  <si>
    <t>Face, Plat uk. 3900x50x20 mm</t>
  </si>
  <si>
    <t>Pad eye</t>
  </si>
  <si>
    <t>Pad eye PS &amp; SB</t>
  </si>
  <si>
    <t>Pad eye, Plat uk. 130x80x12 mm, @57 pcs</t>
  </si>
  <si>
    <t>Doublingan, Plat uk. 150x80x12 mm, @12 pcs</t>
  </si>
  <si>
    <t>Daprah</t>
  </si>
  <si>
    <t>Naik dan turunkan daprah pusher</t>
  </si>
  <si>
    <t>Naikkan daprah linggi haluan</t>
  </si>
  <si>
    <t>Plimsol mark PS/SB (perkasa 12 dan pspm 12)</t>
  </si>
  <si>
    <t>Letter K, Plat uk. 115x75x10 mm, @2 pcs</t>
  </si>
  <si>
    <t>Letter I, Plat uk. 115x25x10 mm, @2 pcs</t>
  </si>
  <si>
    <t>Bongkar Pasang Bearing Kemudi</t>
  </si>
  <si>
    <t>JR. Rev. 02 Additional Work req by OS (17/10/2024)</t>
  </si>
  <si>
    <t>Service valve OVB ME PS, Globe valve uk. 2 1/2" 5K, CI</t>
  </si>
  <si>
    <t>Service valve OVB G/B PS, Globe valve uk. 1 1/2" 5K, CI</t>
  </si>
  <si>
    <t>B/N Galvanis uk. 10x45 mm</t>
  </si>
  <si>
    <t>Service valve OVB G/B SB, Globe valve uk. 1 1/2" 5K, CI</t>
  </si>
  <si>
    <t>Service valve OVB AE SB, Globe valve uk. 1 1/2" 5K, CI</t>
  </si>
  <si>
    <t>Service valve OWS SB, Globe valve uk. 1" 5K, CI</t>
  </si>
  <si>
    <t>Packing karet uk. 95x95x5 mm</t>
  </si>
  <si>
    <t>Service valve OWS, Globe valve uk. 1" 5K, CI</t>
  </si>
  <si>
    <t>Packing karet uk. 95x95x5 mm, @2 pcs</t>
  </si>
  <si>
    <t>B/N Galvanis uk. 10x45 mm, @8 pcs</t>
  </si>
  <si>
    <t>Service valve pancingan bilga, Globe valve uk. 2 1/2" 5K, CI (Valve baru)</t>
  </si>
  <si>
    <t>Packing benang uk. 155x155x3,2 mm, @2 pcs</t>
  </si>
  <si>
    <t>Service valve cooler G/B PS&amp;SB, Gate valve uk. 1 1/2" 5K, CI</t>
  </si>
  <si>
    <t xml:space="preserve">Packing benang uk. 155x155x3.2 mm, @2 pcs </t>
  </si>
  <si>
    <t>Service valve F/W, Gate valve uk. 1 1/2" 5K, CI</t>
  </si>
  <si>
    <t xml:space="preserve">Packing karet uk. 155x155x5 mm, @2 pcs </t>
  </si>
  <si>
    <t>Service valve Got, Gate valve uk. 2" 5K, CI (valve baru)</t>
  </si>
  <si>
    <t>Service valve udara kotak S/C PS &amp; SB, Gate valve uk. 2" 5K, CI</t>
  </si>
  <si>
    <t xml:space="preserve">Packing benang uk. 130x130x3.2 mm, @1 pcs </t>
  </si>
  <si>
    <t>Packing karet uk. 130x130x5 mm, @2 pcs</t>
  </si>
  <si>
    <t>Service Y-Strainer AE SB uk. 1 1/2" 5K, CI</t>
  </si>
  <si>
    <t>Service Bucket Strainer Got uk. 2" 5K, CI</t>
  </si>
  <si>
    <t>Packing karet uk. 120x120x5 mm, @3 pcs</t>
  </si>
  <si>
    <t>B/N Galvanis uk. 12x50 mm, @12 pcs</t>
  </si>
  <si>
    <t>Service Y-Strainer OWS uk. 1" 5K, CI</t>
  </si>
  <si>
    <t>q</t>
  </si>
  <si>
    <t>Service valve OVB GS PS, Globe valve uk. 2,5" 5K CI</t>
  </si>
  <si>
    <t>r</t>
  </si>
  <si>
    <t>Service valve manifold GS, Gate valve uk. 2,5" 5K CI</t>
  </si>
  <si>
    <t xml:space="preserve">Packing benang uk. 155x155x3.2 mm, @3 pcs </t>
  </si>
  <si>
    <t>s</t>
  </si>
  <si>
    <t>Service valve by pass from gearbox cooler to manifold GS PS, Gatte valve uk. 1,5" 5K CI</t>
  </si>
  <si>
    <t>t</t>
  </si>
  <si>
    <t>Service valve S/C to Gearbox in SB, Gatte valve uk. 1,5" 5K CI</t>
  </si>
  <si>
    <t>u</t>
  </si>
  <si>
    <t>Service valve S/C to Gearbox in PS, Gatte valve uk. 1,5" 5K CI</t>
  </si>
  <si>
    <t>Roller bearing</t>
  </si>
  <si>
    <t>Supply roller bearing sistem kemudi PS (sesuai contoh)</t>
  </si>
  <si>
    <t>Supply roller bearing sistem kemudi SB (sesuai contoh)</t>
  </si>
  <si>
    <t xml:space="preserve">Internal </t>
  </si>
  <si>
    <t>Internal kamar mesin PS</t>
  </si>
  <si>
    <t>Web Frame, Web side, Plat uk. 550x300x10 mm</t>
  </si>
  <si>
    <t>Web Frame, Face side, Plat uk. 1000x150x10 mm</t>
  </si>
  <si>
    <t>Web chine, Angle bar unequal uk. (350x100x10 mm) x 900 mm, 2 pcs</t>
  </si>
  <si>
    <t>Ordinari chine, Angle bar unequal uk. (300x100x10 mm) x 1020 mm, 4 pcs</t>
  </si>
  <si>
    <t>Vertikal side shell, Angle bar uk. (120x120x10 mm) x 500 mm</t>
  </si>
  <si>
    <t>Vertikal side shell, Angle bar uk. (120x120x10 mm) x 700 mm</t>
  </si>
  <si>
    <t>Vertikal side shell, Angle bar uk. (120x120x10 mm) x 840 mm</t>
  </si>
  <si>
    <t>Vertikal side shell, Angle bar uk. (120x120x10 mm) x 880 mm</t>
  </si>
  <si>
    <t>Vertikal side shell, Angle bar uk. (120x120x10 mm) x 1000 mm</t>
  </si>
  <si>
    <t>Bracket, Plat uk. 390x280x10 mm</t>
  </si>
  <si>
    <t>Internal S/G</t>
  </si>
  <si>
    <t>Internal member, Web side, Plat uk. 1830x450x10 mm</t>
  </si>
  <si>
    <t>Internal member, Face side, Plat uk. 1830x80x10 mm</t>
  </si>
  <si>
    <t>Internal member, Web side, Plat uk. 1830x530x10 mm</t>
  </si>
  <si>
    <t>Bracket, Plat uk. 300x150x10 mm, 2 pcs</t>
  </si>
  <si>
    <t>IV.1</t>
  </si>
  <si>
    <t xml:space="preserve">Gearbox </t>
  </si>
  <si>
    <t>Pipa S/C to pump gearbox PS</t>
  </si>
  <si>
    <t>Elbow hose uk. 2"</t>
  </si>
  <si>
    <t>Clamp HD uk. 2 1/4"</t>
  </si>
  <si>
    <t>Ubolt uk. 1 1/2"</t>
  </si>
  <si>
    <t>Pipa pump gearbox to coller gearbox PS</t>
  </si>
  <si>
    <t>Pipa S/C to gearbox SB</t>
  </si>
  <si>
    <t>IV.4</t>
  </si>
  <si>
    <t>F/O</t>
  </si>
  <si>
    <t>Pipa transfer F/O</t>
  </si>
  <si>
    <t>Pipa uk. 2" sch 80</t>
  </si>
  <si>
    <t>Elbow uk. 2" sch 80</t>
  </si>
  <si>
    <t>Flange uk. 2" 5K</t>
  </si>
  <si>
    <t>Packing TBA uk. 130x130x3.2 mm</t>
  </si>
  <si>
    <t>Ubolt uk. 2"</t>
  </si>
  <si>
    <t>Pipa manifold to fuel oil tank</t>
  </si>
  <si>
    <t>Ubolt uk. 1,5"</t>
  </si>
  <si>
    <t>IV.5</t>
  </si>
  <si>
    <t>OWS</t>
  </si>
  <si>
    <t>Pipa suction OWS</t>
  </si>
  <si>
    <t>Pipa Galv uk. 1" sch 80</t>
  </si>
  <si>
    <t>Elbow Galv uk. 1" sch 80</t>
  </si>
  <si>
    <t>T-Joint Galv uk. 1" sch 80</t>
  </si>
  <si>
    <t>Flange uk. 1" 5K</t>
  </si>
  <si>
    <t>Flange uk. 1" 10K</t>
  </si>
  <si>
    <t>Packing TBA uk. 95x95x3,2 mm</t>
  </si>
  <si>
    <t>Ubolt uk. 1"</t>
  </si>
  <si>
    <t>Rubber hose uk. 1 1/4"</t>
  </si>
  <si>
    <t>Clamp uk. 1 1/2"</t>
  </si>
  <si>
    <t>Pipa bilge tank to shore connection</t>
  </si>
  <si>
    <t>Elbow galv uk. 1 1/2" sch 80</t>
  </si>
  <si>
    <t>Flange custom, Plat uk. 150x100x10 mm</t>
  </si>
  <si>
    <t>Packing TBA uk. 120x120x3,2 mm</t>
  </si>
  <si>
    <t>IV.6</t>
  </si>
  <si>
    <t>Pendingin shaft</t>
  </si>
  <si>
    <t>Pipa pendingin shaft SB</t>
  </si>
  <si>
    <t>Pipa Galv uk. 3/4" sch 80</t>
  </si>
  <si>
    <t>Elbow galv uk. 1" sch 80</t>
  </si>
  <si>
    <t>Flange uk. 3/4" 5K</t>
  </si>
  <si>
    <t>Double nipple Galv uk. 3/4" sch 80</t>
  </si>
  <si>
    <t>Long nipple Galv uk. 3/4" sch 80</t>
  </si>
  <si>
    <t>Supply ball valve uk. 3/4" , Bronze</t>
  </si>
  <si>
    <t>Pipa pendingin intermediate shaft SB</t>
  </si>
  <si>
    <t>Elbow galv uk. 3/4" sch 80</t>
  </si>
  <si>
    <t>Packing karet uk. 85x85x5 mm</t>
  </si>
  <si>
    <t>Long nipple uk. 3/4" sch 80</t>
  </si>
  <si>
    <t>Long nipple uk. 1" sch 80</t>
  </si>
  <si>
    <t>Flange 1" 5K</t>
  </si>
  <si>
    <t>Ball valve 1" bronze</t>
  </si>
  <si>
    <t>Pipa pendingin shaft PS</t>
  </si>
  <si>
    <t>Pipa pendingin intermediate shaft PS</t>
  </si>
  <si>
    <t>Packing karet uk.85x85x5 mm</t>
  </si>
  <si>
    <t>IV.7</t>
  </si>
  <si>
    <t>Pondasi ME</t>
  </si>
  <si>
    <t>Pondasi ME PS</t>
  </si>
  <si>
    <t>Canal-U,  uk (150x75x6.5) x 750 mm</t>
  </si>
  <si>
    <t>Pondasi ME SB</t>
  </si>
  <si>
    <t>Canal-U,  uk (150x75x6.5) x 740 mm</t>
  </si>
  <si>
    <t>V.1</t>
  </si>
  <si>
    <t>Pusher</t>
  </si>
  <si>
    <t>Rekondisi pusher</t>
  </si>
  <si>
    <t>Side, Plat 500x500x12 mm</t>
  </si>
  <si>
    <t>Side, Plat 420x310x12 mm</t>
  </si>
  <si>
    <t>Lower, Plat 670x460x12 mm</t>
  </si>
  <si>
    <t>Front, Plat 1320x740x12 mm</t>
  </si>
  <si>
    <t>VI.1</t>
  </si>
  <si>
    <t>Towing hook</t>
  </si>
  <si>
    <t>Rekondisi towing hook</t>
  </si>
  <si>
    <t>Bongkar dan pasang kembali roller</t>
  </si>
  <si>
    <t>Service roller</t>
  </si>
  <si>
    <t>VI.3</t>
  </si>
  <si>
    <t>Steering gear</t>
  </si>
  <si>
    <t>Pondasi rod kemudi PS</t>
  </si>
  <si>
    <t>Pondasi, Plat uk. 450x500x10 mm</t>
  </si>
  <si>
    <t>Bongkar dan pasang kembali bracket rod kemudi</t>
  </si>
  <si>
    <t>Pondasi rod kemudi SB</t>
  </si>
  <si>
    <t>Set</t>
  </si>
  <si>
    <t>Pondasi limit switch kemudi PS</t>
  </si>
  <si>
    <t>Pondasi, Plat uk. 250x130x8 mm, 2 pcs</t>
  </si>
  <si>
    <t>Plat bordes uk. 360x260x4 mm</t>
  </si>
  <si>
    <t>Lantai S/G</t>
  </si>
  <si>
    <t>Plat bordes uk. 840x490x4 mm</t>
  </si>
  <si>
    <t>Plat bordes uk. 820x500x4 mm</t>
  </si>
  <si>
    <t>Plat bordes uk. 890x510x4 mm</t>
  </si>
  <si>
    <t>Plat bordes uk. 930x490x4 mm</t>
  </si>
  <si>
    <t>Plat bordes uk. 920x520x4 mm</t>
  </si>
  <si>
    <t>Plat bordes uk. 1350x520x4 mm</t>
  </si>
  <si>
    <t>Plat bordes uk. 1350x550x4 mm</t>
  </si>
  <si>
    <t>Stepladder S/G</t>
  </si>
  <si>
    <t>ST, Plat strip uk (4" x 10 mm) x 1450 mm, 2 pcs</t>
  </si>
  <si>
    <t>Stair, Roundbar uk. 3/4" x 300 mm, 5 pcs</t>
  </si>
  <si>
    <t>Support ST, Plat strip uk (4" x 10 mm) x 200 mm, 4 pcs</t>
  </si>
  <si>
    <t>JR. Rev. 03 Aktualisasi (23/10/24)</t>
  </si>
  <si>
    <t>Perawatan Saringan Air Dalam</t>
  </si>
  <si>
    <t xml:space="preserve">Packing karet uk. 450x450x5 mm, @1 pcs </t>
  </si>
  <si>
    <t>Perawatan Saringan Air Luar PS</t>
  </si>
  <si>
    <t>Plat uk. 600x400x10 mm</t>
  </si>
  <si>
    <t>Perawatan Seachest Valve 6"</t>
  </si>
  <si>
    <t>Remes packing uk. 10 mm x @1000 mm</t>
  </si>
  <si>
    <t>Packing benang uk. 300x200x3,2 mm, @1 pcs</t>
  </si>
  <si>
    <t>Ganti remes packing PS &amp; SB</t>
  </si>
  <si>
    <t>Remes packing uk. 3/4" x @10000 mm</t>
  </si>
  <si>
    <t>Remes packing uk. 5/8" x @6000 mm</t>
  </si>
  <si>
    <t>JR. Rev. 03 Additional Work req by OS (24/10/2024)</t>
  </si>
  <si>
    <t>Side shell</t>
  </si>
  <si>
    <t>Fr. 45/46-49/50, Lajur E PS</t>
  </si>
  <si>
    <t>Plat (ABS) uk. 3370x1530x10 mm</t>
  </si>
  <si>
    <t>Fr. 34/35-49/50, Lajur E SB</t>
  </si>
  <si>
    <t>I.2</t>
  </si>
  <si>
    <t>Corner</t>
  </si>
  <si>
    <t>Corner SB</t>
  </si>
  <si>
    <t>Plat (ABS) uk. 1850x1220x10 mm</t>
  </si>
  <si>
    <t>Pipa penguapan S/C</t>
  </si>
  <si>
    <t>Pipa penguapan S/C PS</t>
  </si>
  <si>
    <t xml:space="preserve">Pipa Galv uk. 2" sch 80 </t>
  </si>
  <si>
    <t>Elbow Galv uk. 2" sch 80</t>
  </si>
  <si>
    <t>Packing karet uk. 130x130x5 mm</t>
  </si>
  <si>
    <t>B/N Galv uk. 12x45 mm</t>
  </si>
  <si>
    <t>Pipa kamar mandi</t>
  </si>
  <si>
    <t>Flushing pipa toilet</t>
  </si>
  <si>
    <t>Bongkar dan pasang kembali pipa</t>
  </si>
  <si>
    <t>Packing karet uk. 180x180x5 mm</t>
  </si>
  <si>
    <t>B/N uk. 5/8" x 2,5"</t>
  </si>
  <si>
    <t>Pipa pembuangan wastafel</t>
  </si>
  <si>
    <t>Pipa pembuangan wastafel PS</t>
  </si>
  <si>
    <t>Flushing pipa wastafel</t>
  </si>
  <si>
    <t>Pipa pembuangan BAB</t>
  </si>
  <si>
    <t>Flushing pipa</t>
  </si>
  <si>
    <t>Packing karet uk. 200x200x5 mm</t>
  </si>
  <si>
    <t>Lantai kamar mesin</t>
  </si>
  <si>
    <t>Pondasi Lantai kamar mesin</t>
  </si>
  <si>
    <t>Plat bordess uk. 750x480x4 mm</t>
  </si>
  <si>
    <t>Plat bordess uk. 750x550x4 mm</t>
  </si>
  <si>
    <t>Plat bordess uk. 860x490x4 mm</t>
  </si>
  <si>
    <t>Plat bordess uk. 980x660x4 mm</t>
  </si>
  <si>
    <t>Plat bordess uk. 1100x390x4 mm, 2 pcs</t>
  </si>
  <si>
    <t>Plat bordess uk. 1250x940x4 mm</t>
  </si>
  <si>
    <t>Plat bordess uk. 1390x470x4 mm</t>
  </si>
  <si>
    <t>Plat bordess uk. 1400x410x4 mm</t>
  </si>
  <si>
    <t>Plat bordess uk. 1430x530x4 mm</t>
  </si>
  <si>
    <t>Plat bordess uk. 1430x540x4 mm</t>
  </si>
  <si>
    <t>Plat bordess uk. 1490x390x4 mm</t>
  </si>
  <si>
    <t>Pondasi lantai, Angle bar uk. (60x60x6 mm) x 300 mm</t>
  </si>
  <si>
    <t>Pondasi lantai, Angle bar uk. (60x60x6 mm) x 360 mm</t>
  </si>
  <si>
    <t>Pondasi lantai, Angle bar uk. (60x60x6 mm) x 380 mm</t>
  </si>
  <si>
    <t>Pondasi lantai, Angle bar uk. (60x60x6 mm) x 470 mm</t>
  </si>
  <si>
    <t>Pondasi lantai, Angle bar uk. (60x60x6 mm) x 600 mm, 2 pcs</t>
  </si>
  <si>
    <t>Pondasi lantai, Angle bar uk. (60x60x6 mm) x 630 mm</t>
  </si>
  <si>
    <t>Pondasi lantai, Angle bar uk. (60x60x6 mm) x 880 mm</t>
  </si>
  <si>
    <t>Pondasi lantai, Angle bar uk. (60x60x6 mm) x 1050 mm</t>
  </si>
  <si>
    <t>Pondasi lantai, Angle bar uk. (60x60x6 mm) x 1320 mm, 2 pcs</t>
  </si>
  <si>
    <t>Pondasi lantai, Angle bar uk. (60x60x6 mm) x 1360 mm, 3 pcs</t>
  </si>
  <si>
    <t>Bongkar dan pasang kambali siku lama</t>
  </si>
  <si>
    <t xml:space="preserve">Perpipaan di atas deck </t>
  </si>
  <si>
    <t>Pipa AVH F/O No.1 PS</t>
  </si>
  <si>
    <t>Pipa uk. 2 1/2" sch 40</t>
  </si>
  <si>
    <t>Rubber packing uk. 155x155x5 mm</t>
  </si>
  <si>
    <t>B/N Galv uk. 14x45 mm</t>
  </si>
  <si>
    <t>Pipa AVH F/O No.2 PS</t>
  </si>
  <si>
    <t>Pipa AVH F/O No.3 PS</t>
  </si>
  <si>
    <t>Pipa AVH F/O No.1 SB</t>
  </si>
  <si>
    <t>Pipa AVH F/O No.2 SB</t>
  </si>
  <si>
    <t>Pipa AVH F/W no 1 PS</t>
  </si>
  <si>
    <t>Pipa AVH F/W no 2 PS</t>
  </si>
  <si>
    <t>Pipa AVH F/W no 1 SB</t>
  </si>
  <si>
    <t>Pipa filling F/W PS</t>
  </si>
  <si>
    <t>Pipa filling F/W SB</t>
  </si>
  <si>
    <t>Pipa filling F/O PS</t>
  </si>
  <si>
    <t>Pipa uk. 3" sch 40</t>
  </si>
  <si>
    <t>Elbow uk. 3" sch 40</t>
  </si>
  <si>
    <t>Flange uk.  5K</t>
  </si>
  <si>
    <t>Rubber packing uk. 180x180x5 mm</t>
  </si>
  <si>
    <t>B/N uk. 5/8 x 2 1/2"</t>
  </si>
  <si>
    <t>Spillbox, Plat uk. 2050x150x8 mm</t>
  </si>
  <si>
    <t>Spillbox, Plat uk. 360x690x8 mm</t>
  </si>
  <si>
    <t>Spillbox drainhole, B/N Galv uk. 12x45 mm</t>
  </si>
  <si>
    <t>Pipa filling F/O SB</t>
  </si>
  <si>
    <t>Kamar mandi</t>
  </si>
  <si>
    <t>Pipa F/W kamar mandi</t>
  </si>
  <si>
    <t>Elbow Galv uk. 3/4" sch 80</t>
  </si>
  <si>
    <t>Sock drat dalam Galv uk. 1/2" sch 80</t>
  </si>
  <si>
    <t>B/N Galv uk. 10x45 mm</t>
  </si>
  <si>
    <t>Supply kran air PVC uk. 1/2"</t>
  </si>
  <si>
    <t>Rekondisi STF kamar mandi</t>
  </si>
  <si>
    <t>Vertikal STF, Angle bar uk. (80x80x8 mm) x 300 mm</t>
  </si>
  <si>
    <t>Vertikal STF, Angle bar uk. (80x80x8 mm) x 650 mm</t>
  </si>
  <si>
    <t>Vertikal STF, Angle bar uk. (80x80x8 mm) x 950 mm</t>
  </si>
  <si>
    <t>Horizontal STF, Angle bar uk. (80x80x8 mm) x 1000 mm</t>
  </si>
  <si>
    <t>Horizontal STF, Angle bar uk. (80x80x8 mm) x 1030 mm</t>
  </si>
  <si>
    <t>Horizontal STF, Angle bar uk. (80x80x8 mm) x 1500 mm</t>
  </si>
  <si>
    <t>Pipa F/W</t>
  </si>
  <si>
    <t>Pipa F/W main deck to bridge deck</t>
  </si>
  <si>
    <t>Ubolt uk. 3/4"</t>
  </si>
  <si>
    <t>Support, Angle bar uk. (50x50x5 mm) x 160 mm, 2 pcs</t>
  </si>
  <si>
    <t xml:space="preserve">Supply ball valve 1" bronze </t>
  </si>
  <si>
    <t>Doubling, Plate uk 100x100x10 mm</t>
  </si>
  <si>
    <t>Pondasi lampu pendant</t>
  </si>
  <si>
    <t>Pipa uk. 1 1/2" sch 40 x @50 mm</t>
  </si>
  <si>
    <t>Flange, Plat uk. 130x130x8 mm, @1 pcs</t>
  </si>
  <si>
    <t>Poop deck</t>
  </si>
  <si>
    <t>Rekondisi poop deck</t>
  </si>
  <si>
    <t>Lis poop deck, Roundbar uk. 5/8" x 7880 mm</t>
  </si>
  <si>
    <t>Lis poop deck, Roundbar (SS) uk. 1 1/2" x 7370 mm</t>
  </si>
  <si>
    <t>JR. Rev. 05 Additional Work req by OS (20/11/2024)</t>
  </si>
  <si>
    <t>Main deck</t>
  </si>
  <si>
    <t>Fr. 2/3-10/11, Lajur K</t>
  </si>
  <si>
    <t>Plate (ABS) size 4670x1830x10 mm</t>
  </si>
  <si>
    <t>Fr. 2/3-10/11, Lajur A-B SB</t>
  </si>
  <si>
    <t>Lajur A/B, Plate (ABS) size 5280x1530x10 mm</t>
  </si>
  <si>
    <t>Lajur B, Plate (ABS) size 5280x930x10 mm</t>
  </si>
  <si>
    <t>Fr. 2/3-10/11, Lajur A-B PS</t>
  </si>
  <si>
    <t>Fr. 31/32-32/33, Lajur A/B SB</t>
  </si>
  <si>
    <t>Plate (ABS) size 510x550x10 mm</t>
  </si>
  <si>
    <t>Fr. 34/35-35/36, Lajur K/A</t>
  </si>
  <si>
    <t>Plate (ABS) size 760x2310x10 mm</t>
  </si>
  <si>
    <t>Fr. 35/36-39/40, Lajur A SB</t>
  </si>
  <si>
    <t>Plate (ABS) size 2140x760x10 mm</t>
  </si>
  <si>
    <t>Sideshell</t>
  </si>
  <si>
    <t>Fr. 17/18-23/24, Lajur D PS</t>
  </si>
  <si>
    <t>Plat (ABS) uk. 3070x800x10 mm</t>
  </si>
  <si>
    <t>TANGKI-TANGKI</t>
  </si>
  <si>
    <t>Manhole F/O PS</t>
  </si>
  <si>
    <t>Bongkar dan pasang kembali ring manhole</t>
  </si>
  <si>
    <t>Bongkar dan pasang sounding</t>
  </si>
  <si>
    <t>Manhole F/O SB</t>
  </si>
  <si>
    <t>Manhole F/O CT</t>
  </si>
  <si>
    <t>Manhole daily F/O</t>
  </si>
  <si>
    <t>Sounding FPT</t>
  </si>
  <si>
    <t>Smallhatch engine skylight</t>
  </si>
  <si>
    <t>Cover, Plat size 780x430x8 mm, @1 pcs</t>
  </si>
  <si>
    <t xml:space="preserve">Lis penekan, Plate strip size (2" x 8 mm), @2500 mm </t>
  </si>
  <si>
    <t xml:space="preserve">Lis luar, Plate strip size (1,5" x 8 mm), @2420 mm </t>
  </si>
  <si>
    <t xml:space="preserve">Lis dalam, Plate strip size (1" x 8 mm), @2000 mm </t>
  </si>
  <si>
    <t>Handle, Roundbar size 3/4" x @270 mm</t>
  </si>
  <si>
    <t>Engsel, Plat size 180x60x12 mm, @2 pcs</t>
  </si>
  <si>
    <t>Engsel, Plat size 120x60x12 mm, @4 pcs</t>
  </si>
  <si>
    <t>Pad eye stopper, Plat size 60x60x12 mm, @2 pcs</t>
  </si>
  <si>
    <t>Stopper, Plat size 450x60x12 mm, @1 pcs</t>
  </si>
  <si>
    <t>B/N size 5/8" x 2,5", @2 pcs</t>
  </si>
  <si>
    <t>JR. Rev. 07 Additional Work req by RINA &amp; OS (30/01/2025)</t>
  </si>
  <si>
    <t>Internal tank fuel F/O PS</t>
  </si>
  <si>
    <t>Rekondisi TBHD</t>
  </si>
  <si>
    <t>Plate size 700x400x8 mm</t>
  </si>
  <si>
    <t>Plate size 600x400x8 mm</t>
  </si>
  <si>
    <t>Modifikasi line pipa AVH</t>
  </si>
  <si>
    <t>Joint</t>
  </si>
  <si>
    <t>Pipa 2,5" sch. 40</t>
  </si>
  <si>
    <t>Elbow 2,5" sch. 40</t>
  </si>
  <si>
    <t>Doubling, Plate size 160x160x10 mm</t>
  </si>
  <si>
    <t>Internal tank fuel F/O SB</t>
  </si>
  <si>
    <t xml:space="preserve">Reweld </t>
  </si>
  <si>
    <t>I.3</t>
  </si>
  <si>
    <t>Internal tank cofferdam</t>
  </si>
  <si>
    <t>Pembuatan lightning hole 4 pcs</t>
  </si>
  <si>
    <t>JANGKAR DAN PERLENGKAPAN</t>
  </si>
  <si>
    <t>Rekondisi Stopper rantai jangkar PS&amp;SB</t>
  </si>
  <si>
    <t>Pondasi alas, Plate size 270x300x12 mm, @1 pcs</t>
  </si>
  <si>
    <t>Pondasi samping, Plate size 180x160x12 mm, @2 pcs</t>
  </si>
  <si>
    <t>Lis pondasi samping, plate strip (1" x 8 mm) x 520 mm @2 pcs</t>
  </si>
  <si>
    <t>Pad eye, Plate strip (1,5" x 8 mm) x 60 mm @4 pcs</t>
  </si>
  <si>
    <t>Stopper jangkar, Plate size 300x50x25 mm, @1 pcs</t>
  </si>
  <si>
    <t>B/N baja size 3/4" x 2,5", @4 pcs</t>
  </si>
  <si>
    <t>Stopper jangkar, Roundbar size 5/8" x 250 mm, @1 pcs</t>
  </si>
  <si>
    <t>Pondasi elektromotor</t>
  </si>
  <si>
    <t>Pondasi, Plate size 310x110x12 mm, 2 pcs</t>
  </si>
  <si>
    <t>Alas pondasi, Plate size 280x260x12 mm</t>
  </si>
  <si>
    <t>Bongkar dan pasang elektrikal</t>
  </si>
  <si>
    <t>Cover gear</t>
  </si>
  <si>
    <t>Cover samping, Plate size 800x250x4 mm, 2 pcs</t>
  </si>
  <si>
    <t>Cover atas, Plate size 1050x110x4 mm</t>
  </si>
  <si>
    <t>Cover hawse pipe</t>
  </si>
  <si>
    <t>Cover, Plate size 370x320x10 mm, @1 pcs</t>
  </si>
  <si>
    <t>Handle, Plate size 160x60x10 mm, @1 pcs</t>
  </si>
  <si>
    <t>Reposisi lampu tiang master</t>
  </si>
  <si>
    <t>Rekondisi small hatch kamar ABK</t>
  </si>
  <si>
    <t>Bongkar dan pasang smalltach</t>
  </si>
  <si>
    <t>B/N size 5/8" x 2,5",  @2 pcs</t>
  </si>
  <si>
    <t>Cover, Plate size 650x500x8 mm, @1 pcs</t>
  </si>
  <si>
    <t>Lis luar, Plate strip (1,5" x 8 mm) x @2300 mm</t>
  </si>
  <si>
    <t>Lis dalam, Plate strip (1,5" x 8 mm) x @1880 mm</t>
  </si>
  <si>
    <t>Engsel, Plate size 200x80x12 mm, @4 pcs</t>
  </si>
  <si>
    <t>Handle, Roundbar size 3/4" x @250 mm</t>
  </si>
  <si>
    <t>JR. Rev. 08 Additional Work by Engineer (03/02/2025)</t>
  </si>
  <si>
    <t>SISTEM PENGGERAK</t>
  </si>
  <si>
    <t>Rekondisi penekan rames packing shaft PS</t>
  </si>
  <si>
    <t>Rekondisi penekan rames packing shaft SB</t>
  </si>
  <si>
    <t>Rekondisi baut penahan boss cap PS</t>
  </si>
  <si>
    <t>Rekondisi baut penahan boss cap SB</t>
  </si>
  <si>
    <t>JR. Rev. 10 Additional Work by Engineer (11/02/2025)</t>
  </si>
  <si>
    <t>Chockfast molding</t>
  </si>
  <si>
    <t>Chockfast molding ME PS, Plate checkered size 410x90x6 mm, 4 pcs</t>
  </si>
  <si>
    <t>Chockfast molding gearbox PS, Plate checkered size 540x90x6 mm, 2 pcs</t>
  </si>
  <si>
    <t>Chockfast molding gearbox PS, Plate checkered size 100x90x6 mm, 2 pcs</t>
  </si>
  <si>
    <t>Chockfast molding ME SB, Plate checkered size 410x90x6 mm, 4 pcs</t>
  </si>
  <si>
    <t>Chockfast molding gearbox SB, Plate checkered size 540x90x6 mm, 2 pcs</t>
  </si>
  <si>
    <t>Chockfast molding gearbox SB, Plate checkered size 100x90x6 mm, 2 pcs</t>
  </si>
  <si>
    <t>LAIN-LAIN</t>
  </si>
  <si>
    <t>Pole for pendulum no 1</t>
  </si>
  <si>
    <t>Baseplate, Plate (A) size 500x500x10 mm</t>
  </si>
  <si>
    <t>Bracket, Plate (A) size 200x200x10 mm, 4 pcs</t>
  </si>
  <si>
    <t>Pole for pendulum no 2</t>
  </si>
  <si>
    <t>Pole, Pipe seamless size 1" sch 40, @ 4000 mm</t>
  </si>
  <si>
    <t>Spar bar, Pipe seamless size 3/4" sch 40, @ 500 mm</t>
  </si>
  <si>
    <t>Cross bar, Pipe seamless size 3/4" sch 40, @ 500 mm</t>
  </si>
  <si>
    <t>Inclining test</t>
  </si>
  <si>
    <t>Packing karet uk. 155x155x5 mm, @ 1 pcs</t>
  </si>
  <si>
    <t>B/N Bonnet. B/N uk. 12x45 mm, @ 6 pcs</t>
  </si>
  <si>
    <t>Packing TBA uk. 155x155x3.2 mm, @1 pcs</t>
  </si>
  <si>
    <t>Packing benang uk. 100x100x3.2 mm, @1 pcs</t>
  </si>
  <si>
    <t>Packing karet uk. 120x120x5 mm, @2 pcs</t>
  </si>
  <si>
    <t>B/N uk. 12x45 mm, @4 pcs</t>
  </si>
  <si>
    <t>Packing karet uk. 120x120x5 mm, @1 pcs</t>
  </si>
  <si>
    <t>B/N galvanis uk. 12x45 mm, 8 pcs</t>
  </si>
  <si>
    <t>B/N galvanis uk. 12x45 mm, 4 pcs</t>
  </si>
  <si>
    <t>B/N uk. 5/8"x3", 4 pcs</t>
  </si>
  <si>
    <t>Pipa uk. 1/2" sch 80 x 300 mm</t>
  </si>
  <si>
    <t>Flange custom, plat uk. 120x120x6 mm, @ 1 pcs</t>
  </si>
  <si>
    <t>Wire mess uk. 220x100x1 mm, @1 pcs</t>
  </si>
  <si>
    <t>B/N Galv. uk. 14x45 mm, @ 4 pcs</t>
  </si>
  <si>
    <t>B/N Galv. uk. 12x45 mm, @ 4 pcs</t>
  </si>
  <si>
    <t>B/N Galv. uk. 6x20 mm, @ 4 pcs</t>
  </si>
  <si>
    <t>Weathertight rubber uk. 40x20 mm,@4260 mm</t>
  </si>
  <si>
    <t>Mata rantai Galv uk. 5/8" (dibelah 2), 2 pcs</t>
  </si>
  <si>
    <t>Packing karet uk. 770x550x5 mm, 1 pcs</t>
  </si>
  <si>
    <t>Naikan &amp; Turunkan daprah PS &amp; SB, @90 Pcs</t>
  </si>
  <si>
    <t>Packing benang uk. 155x155x3.2 mm, @1 pcs</t>
  </si>
  <si>
    <t>Packing karet uk. 155x155x5 mm, @ 2 pcs</t>
  </si>
  <si>
    <t>B/N Galvanis uk. 12x45 mm,@ 4 pcs</t>
  </si>
  <si>
    <t>B/N Galvanis uk. 14x45 mm, @ 4 pcs</t>
  </si>
  <si>
    <t>Packing benang uk. 155x155x3.2 mm, @2 pcs</t>
  </si>
  <si>
    <t>B/N Galvanis uk. 10x45 mm, @ 4 pcs</t>
  </si>
  <si>
    <t>Packing benang uk. 120x120x3.2 mm, @1 pcs</t>
  </si>
  <si>
    <t>B/N Galvanis uk. 12x45 mm (Baut lama), @ 8 pcs</t>
  </si>
  <si>
    <t>B/N Galvanis uk. 10x45 mm, @ 8 pcs</t>
  </si>
  <si>
    <t xml:space="preserve">Packing benang uk. 130x130x3.2 mm, @2 pcs </t>
  </si>
  <si>
    <t>B/N Galvanis uk. 12x50 mm, @8 pcs</t>
  </si>
  <si>
    <t>Packing benang uk. 95x95x3.2 mm, @2 pcs</t>
  </si>
  <si>
    <t xml:space="preserve">Packing karet uk. 155x155x5 mm, @1 pcs </t>
  </si>
  <si>
    <t>B/N Galvanis uk. 12x45 mm, @7 pcs</t>
  </si>
  <si>
    <t>Packing karet uk. 120x120x5 mm, @ 2 Pcs</t>
  </si>
  <si>
    <t>B/N Galvanis uk. 12x45 mm, @ 8 pcs</t>
  </si>
  <si>
    <t>Packing benang uk. 120x120x3,2 mm, @1 pcs</t>
  </si>
  <si>
    <t>B/N Galvanis uk. 12x45 mm, @4 pcs</t>
  </si>
  <si>
    <t>B/N Galvanis uk. 10x45 mm, @3 pcs</t>
  </si>
  <si>
    <t>Packing benang uk. 120x120x3,2 mm, @2 pcs</t>
  </si>
  <si>
    <t>B/N (SS) uk. 5/8" x 2 1/2", @8 pcs</t>
  </si>
  <si>
    <t>mtr</t>
  </si>
  <si>
    <t>Studbolt SS size. 3/4", 250 mm, @ 4 pcs</t>
  </si>
  <si>
    <t>Nut SS size. 3/4", @ 4 pcs</t>
  </si>
  <si>
    <t>B/N SS size. 19mm x 45mm, @ 2 pcs</t>
  </si>
  <si>
    <t xml:space="preserve">Grand Total   </t>
  </si>
  <si>
    <t>Carpantary</t>
  </si>
  <si>
    <t>Pintu Kamar Mandi</t>
  </si>
  <si>
    <t>Meja Galley room</t>
  </si>
  <si>
    <t>ceiling Shalon Room</t>
  </si>
  <si>
    <t>Pemasangan Sight Glass</t>
  </si>
  <si>
    <t>Balikpapan, 03 Maret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</si>
</sst>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IDR&quot;* #,##0_-;\-&quot;IDR&quot;* #,##0_-;_-&quot;IDR&quot;* &quot;-&quot;_-;_-@_-"/>
    <numFmt numFmtId="165" formatCode="_([$IDR]\ * #,##0_);_([$IDR]\ * \(#,##0\);_([$IDR]\ * &quot;-&quot;??_);_(@_)"/>
    <numFmt numFmtId="166" formatCode="_(&quot;IDR&quot;* #,##0_);_(&quot;IDR&quot;* \(#,##0\);_(&quot;IDR&quot;* &quot;-&quot;_);_(@_)"/>
    <numFmt numFmtId="167" formatCode="_-[$IDR]\ * #,##0.00_-;\-[$IDR]\ * #,##0.00_-;_-[$IDR]\ * &quot;-&quot;??_-;_-@_-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222222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u/>
      <sz val="11"/>
      <color theme="1"/>
      <name val="Arial"/>
      <family val="2"/>
    </font>
    <font>
      <b/>
      <sz val="14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</font>
    <font>
      <b/>
      <sz val="12"/>
      <name val="Arial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2"/>
      <name val="Arial"/>
      <family val="2"/>
    </font>
    <font>
      <b/>
      <u/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28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50">
    <xf numFmtId="0" fontId="0" fillId="0" borderId="0" xfId="0"/>
    <xf numFmtId="0" fontId="2" fillId="2" borderId="3" xfId="0" applyFont="1" applyFill="1" applyBorder="1"/>
    <xf numFmtId="0" fontId="2" fillId="2" borderId="8" xfId="0" applyFont="1" applyFill="1" applyBorder="1"/>
    <xf numFmtId="0" fontId="2" fillId="2" borderId="13" xfId="0" applyFont="1" applyFill="1" applyBorder="1"/>
    <xf numFmtId="0" fontId="2" fillId="2" borderId="14" xfId="0" applyFont="1" applyFill="1" applyBorder="1"/>
    <xf numFmtId="0" fontId="3" fillId="2" borderId="0" xfId="0" applyFont="1" applyFill="1"/>
    <xf numFmtId="0" fontId="6" fillId="0" borderId="0" xfId="0" applyFont="1"/>
    <xf numFmtId="164" fontId="2" fillId="2" borderId="1" xfId="1" applyFont="1" applyFill="1" applyBorder="1"/>
    <xf numFmtId="0" fontId="8" fillId="2" borderId="13" xfId="0" quotePrefix="1" applyFont="1" applyFill="1" applyBorder="1" applyAlignment="1">
      <alignment horizontal="left" vertical="center"/>
    </xf>
    <xf numFmtId="0" fontId="8" fillId="2" borderId="14" xfId="0" quotePrefix="1" applyFont="1" applyFill="1" applyBorder="1" applyAlignment="1">
      <alignment horizontal="center" vertical="center"/>
    </xf>
    <xf numFmtId="0" fontId="8" fillId="2" borderId="15" xfId="0" quotePrefix="1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right"/>
    </xf>
    <xf numFmtId="0" fontId="2" fillId="2" borderId="15" xfId="0" applyFont="1" applyFill="1" applyBorder="1"/>
    <xf numFmtId="0" fontId="3" fillId="2" borderId="1" xfId="0" applyFont="1" applyFill="1" applyBorder="1" applyAlignment="1">
      <alignment horizontal="center"/>
    </xf>
    <xf numFmtId="164" fontId="0" fillId="0" borderId="0" xfId="0" applyNumberFormat="1"/>
    <xf numFmtId="0" fontId="0" fillId="2" borderId="6" xfId="0" applyFill="1" applyBorder="1"/>
    <xf numFmtId="0" fontId="10" fillId="2" borderId="0" xfId="0" applyFont="1" applyFill="1"/>
    <xf numFmtId="0" fontId="2" fillId="2" borderId="0" xfId="0" applyFont="1" applyFill="1"/>
    <xf numFmtId="0" fontId="2" fillId="2" borderId="4" xfId="0" applyFont="1" applyFill="1" applyBorder="1"/>
    <xf numFmtId="0" fontId="11" fillId="2" borderId="0" xfId="0" applyFont="1" applyFill="1"/>
    <xf numFmtId="0" fontId="2" fillId="2" borderId="9" xfId="0" applyFont="1" applyFill="1" applyBorder="1"/>
    <xf numFmtId="0" fontId="2" fillId="2" borderId="6" xfId="0" applyFont="1" applyFill="1" applyBorder="1"/>
    <xf numFmtId="0" fontId="0" fillId="0" borderId="1" xfId="0" applyBorder="1"/>
    <xf numFmtId="0" fontId="2" fillId="2" borderId="6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8" fillId="4" borderId="0" xfId="0" applyFont="1" applyFill="1"/>
    <xf numFmtId="0" fontId="8" fillId="4" borderId="0" xfId="0" applyFont="1" applyFill="1" applyAlignment="1">
      <alignment horizontal="center"/>
    </xf>
    <xf numFmtId="0" fontId="8" fillId="4" borderId="5" xfId="0" applyFont="1" applyFill="1" applyBorder="1" applyAlignment="1">
      <alignment horizontal="left"/>
    </xf>
    <xf numFmtId="165" fontId="8" fillId="4" borderId="11" xfId="0" applyNumberFormat="1" applyFont="1" applyFill="1" applyBorder="1" applyAlignment="1">
      <alignment vertical="center"/>
    </xf>
    <xf numFmtId="0" fontId="7" fillId="2" borderId="6" xfId="0" applyFont="1" applyFill="1" applyBorder="1"/>
    <xf numFmtId="0" fontId="10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0" fillId="0" borderId="0" xfId="0" applyAlignment="1">
      <alignment vertical="center"/>
    </xf>
    <xf numFmtId="0" fontId="0" fillId="2" borderId="0" xfId="0" applyFill="1"/>
    <xf numFmtId="0" fontId="3" fillId="2" borderId="15" xfId="0" applyFont="1" applyFill="1" applyBorder="1" applyAlignment="1">
      <alignment horizontal="center"/>
    </xf>
    <xf numFmtId="164" fontId="3" fillId="2" borderId="1" xfId="1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3" fillId="2" borderId="3" xfId="0" applyFont="1" applyFill="1" applyBorder="1"/>
    <xf numFmtId="20" fontId="8" fillId="4" borderId="5" xfId="0" applyNumberFormat="1" applyFont="1" applyFill="1" applyBorder="1" applyAlignment="1">
      <alignment horizontal="left"/>
    </xf>
    <xf numFmtId="0" fontId="9" fillId="2" borderId="0" xfId="0" applyFont="1" applyFill="1"/>
    <xf numFmtId="0" fontId="3" fillId="2" borderId="8" xfId="0" applyFont="1" applyFill="1" applyBorder="1"/>
    <xf numFmtId="0" fontId="2" fillId="2" borderId="0" xfId="0" applyFont="1" applyFill="1" applyAlignment="1">
      <alignment vertical="top"/>
    </xf>
    <xf numFmtId="0" fontId="7" fillId="2" borderId="10" xfId="0" applyFont="1" applyFill="1" applyBorder="1"/>
    <xf numFmtId="0" fontId="7" fillId="2" borderId="11" xfId="0" applyFont="1" applyFill="1" applyBorder="1"/>
    <xf numFmtId="0" fontId="2" fillId="2" borderId="5" xfId="0" applyFont="1" applyFill="1" applyBorder="1" applyAlignment="1">
      <alignment horizontal="left"/>
    </xf>
    <xf numFmtId="164" fontId="2" fillId="2" borderId="11" xfId="1" applyFont="1" applyFill="1" applyBorder="1"/>
    <xf numFmtId="0" fontId="8" fillId="2" borderId="5" xfId="0" quotePrefix="1" applyFont="1" applyFill="1" applyBorder="1" applyAlignment="1">
      <alignment horizontal="left" vertical="center"/>
    </xf>
    <xf numFmtId="0" fontId="8" fillId="2" borderId="0" xfId="0" quotePrefix="1" applyFont="1" applyFill="1" applyAlignment="1">
      <alignment horizontal="center" vertical="center"/>
    </xf>
    <xf numFmtId="0" fontId="8" fillId="2" borderId="6" xfId="0" quotePrefix="1" applyFont="1" applyFill="1" applyBorder="1" applyAlignment="1">
      <alignment horizontal="center" vertical="center"/>
    </xf>
    <xf numFmtId="165" fontId="8" fillId="3" borderId="11" xfId="0" applyNumberFormat="1" applyFont="1" applyFill="1" applyBorder="1" applyAlignment="1">
      <alignment vertical="center"/>
    </xf>
    <xf numFmtId="165" fontId="8" fillId="4" borderId="0" xfId="0" applyNumberFormat="1" applyFont="1" applyFill="1" applyAlignment="1">
      <alignment vertical="center"/>
    </xf>
    <xf numFmtId="164" fontId="2" fillId="2" borderId="6" xfId="1" applyFont="1" applyFill="1" applyBorder="1"/>
    <xf numFmtId="0" fontId="7" fillId="2" borderId="6" xfId="0" applyFont="1" applyFill="1" applyBorder="1" applyAlignment="1">
      <alignment vertical="center"/>
    </xf>
    <xf numFmtId="0" fontId="8" fillId="3" borderId="0" xfId="0" applyFont="1" applyFill="1"/>
    <xf numFmtId="164" fontId="2" fillId="2" borderId="15" xfId="1" applyFont="1" applyFill="1" applyBorder="1"/>
    <xf numFmtId="0" fontId="12" fillId="2" borderId="5" xfId="0" quotePrefix="1" applyFont="1" applyFill="1" applyBorder="1" applyAlignment="1">
      <alignment horizontal="left" vertical="center"/>
    </xf>
    <xf numFmtId="0" fontId="12" fillId="2" borderId="0" xfId="0" quotePrefix="1" applyFont="1" applyFill="1" applyAlignment="1">
      <alignment horizontal="center" vertical="center"/>
    </xf>
    <xf numFmtId="0" fontId="12" fillId="2" borderId="6" xfId="0" quotePrefix="1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2" fillId="2" borderId="6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5" xfId="0" quotePrefix="1" applyFont="1" applyFill="1" applyBorder="1" applyAlignment="1">
      <alignment horizontal="left" vertical="center"/>
    </xf>
    <xf numFmtId="0" fontId="7" fillId="2" borderId="0" xfId="0" quotePrefix="1" applyFont="1" applyFill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vertical="center"/>
    </xf>
    <xf numFmtId="0" fontId="7" fillId="4" borderId="0" xfId="0" applyFont="1" applyFill="1" applyAlignment="1">
      <alignment vertical="center"/>
    </xf>
    <xf numFmtId="0" fontId="7" fillId="4" borderId="0" xfId="0" applyFont="1" applyFill="1" applyAlignment="1">
      <alignment horizontal="right" vertical="center"/>
    </xf>
    <xf numFmtId="0" fontId="7" fillId="2" borderId="5" xfId="0" applyFont="1" applyFill="1" applyBorder="1" applyAlignment="1">
      <alignment vertical="center"/>
    </xf>
    <xf numFmtId="0" fontId="7" fillId="4" borderId="5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0" xfId="0" applyFont="1" applyFill="1" applyAlignment="1">
      <alignment vertical="center"/>
    </xf>
    <xf numFmtId="0" fontId="12" fillId="4" borderId="5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right" vertical="center"/>
    </xf>
    <xf numFmtId="0" fontId="7" fillId="4" borderId="5" xfId="0" applyFont="1" applyFill="1" applyBorder="1" applyAlignment="1">
      <alignment horizontal="right" vertical="center"/>
    </xf>
    <xf numFmtId="0" fontId="12" fillId="3" borderId="5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7" fillId="3" borderId="5" xfId="0" applyFont="1" applyFill="1" applyBorder="1" applyAlignment="1">
      <alignment vertical="center"/>
    </xf>
    <xf numFmtId="0" fontId="12" fillId="5" borderId="5" xfId="0" applyFont="1" applyFill="1" applyBorder="1" applyAlignment="1">
      <alignment horizontal="left" vertical="center"/>
    </xf>
    <xf numFmtId="0" fontId="7" fillId="5" borderId="0" xfId="0" applyFont="1" applyFill="1" applyAlignment="1">
      <alignment vertical="center"/>
    </xf>
    <xf numFmtId="0" fontId="7" fillId="5" borderId="6" xfId="0" applyFont="1" applyFill="1" applyBorder="1" applyAlignment="1">
      <alignment vertical="center"/>
    </xf>
    <xf numFmtId="2" fontId="7" fillId="2" borderId="0" xfId="0" applyNumberFormat="1" applyFont="1" applyFill="1" applyAlignment="1">
      <alignment vertical="center"/>
    </xf>
    <xf numFmtId="0" fontId="7" fillId="0" borderId="16" xfId="0" applyFont="1" applyBorder="1" applyAlignment="1">
      <alignment vertical="center"/>
    </xf>
    <xf numFmtId="0" fontId="12" fillId="2" borderId="5" xfId="0" applyFont="1" applyFill="1" applyBorder="1" applyAlignment="1">
      <alignment horizontal="left" vertical="center"/>
    </xf>
    <xf numFmtId="0" fontId="14" fillId="6" borderId="5" xfId="0" applyFont="1" applyFill="1" applyBorder="1" applyAlignment="1">
      <alignment horizontal="left" vertical="center"/>
    </xf>
    <xf numFmtId="0" fontId="7" fillId="2" borderId="16" xfId="0" applyFont="1" applyFill="1" applyBorder="1" applyAlignment="1">
      <alignment vertical="center"/>
    </xf>
    <xf numFmtId="0" fontId="12" fillId="6" borderId="0" xfId="0" applyFont="1" applyFill="1" applyAlignment="1">
      <alignment horizontal="left" vertical="center"/>
    </xf>
    <xf numFmtId="0" fontId="7" fillId="2" borderId="16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1" fontId="7" fillId="2" borderId="0" xfId="0" applyNumberFormat="1" applyFont="1" applyFill="1" applyAlignment="1">
      <alignment vertical="center"/>
    </xf>
    <xf numFmtId="0" fontId="12" fillId="2" borderId="5" xfId="0" applyFont="1" applyFill="1" applyBorder="1" applyAlignment="1">
      <alignment horizontal="right" vertical="center"/>
    </xf>
    <xf numFmtId="0" fontId="7" fillId="6" borderId="0" xfId="0" applyFont="1" applyFill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7" fillId="6" borderId="16" xfId="0" applyFont="1" applyFill="1" applyBorder="1" applyAlignment="1">
      <alignment vertical="center"/>
    </xf>
    <xf numFmtId="1" fontId="7" fillId="6" borderId="0" xfId="0" applyNumberFormat="1" applyFont="1" applyFill="1" applyAlignment="1">
      <alignment vertical="center"/>
    </xf>
    <xf numFmtId="1" fontId="7" fillId="2" borderId="5" xfId="0" applyNumberFormat="1" applyFont="1" applyFill="1" applyBorder="1" applyAlignment="1">
      <alignment vertical="center"/>
    </xf>
    <xf numFmtId="0" fontId="12" fillId="2" borderId="5" xfId="112" applyFont="1" applyFill="1" applyBorder="1" applyAlignment="1">
      <alignment horizontal="center" vertical="center"/>
    </xf>
    <xf numFmtId="0" fontId="12" fillId="2" borderId="0" xfId="112" applyFont="1" applyFill="1" applyAlignment="1">
      <alignment horizontal="center" vertical="center"/>
    </xf>
    <xf numFmtId="0" fontId="15" fillId="2" borderId="5" xfId="0" applyFont="1" applyFill="1" applyBorder="1" applyAlignment="1">
      <alignment vertical="center"/>
    </xf>
    <xf numFmtId="0" fontId="7" fillId="2" borderId="5" xfId="114" applyFont="1" applyFill="1" applyBorder="1" applyAlignment="1">
      <alignment horizontal="right" vertical="center"/>
    </xf>
    <xf numFmtId="0" fontId="7" fillId="6" borderId="17" xfId="0" applyFont="1" applyFill="1" applyBorder="1" applyAlignment="1">
      <alignment horizontal="center" vertical="center"/>
    </xf>
    <xf numFmtId="0" fontId="7" fillId="2" borderId="5" xfId="127" applyFont="1" applyFill="1" applyBorder="1" applyAlignment="1">
      <alignment vertical="center"/>
    </xf>
    <xf numFmtId="0" fontId="7" fillId="2" borderId="0" xfId="127" applyFont="1" applyFill="1" applyAlignment="1">
      <alignment vertical="center"/>
    </xf>
    <xf numFmtId="0" fontId="12" fillId="6" borderId="0" xfId="0" applyFont="1" applyFill="1" applyAlignment="1">
      <alignment vertical="center"/>
    </xf>
    <xf numFmtId="0" fontId="7" fillId="6" borderId="0" xfId="0" quotePrefix="1" applyFont="1" applyFill="1" applyAlignment="1">
      <alignment vertical="center"/>
    </xf>
    <xf numFmtId="0" fontId="7" fillId="6" borderId="6" xfId="0" applyFont="1" applyFill="1" applyBorder="1" applyAlignment="1">
      <alignment vertical="center"/>
    </xf>
    <xf numFmtId="1" fontId="7" fillId="7" borderId="0" xfId="0" applyNumberFormat="1" applyFont="1" applyFill="1" applyAlignment="1">
      <alignment vertical="center"/>
    </xf>
    <xf numFmtId="0" fontId="7" fillId="7" borderId="16" xfId="0" applyFont="1" applyFill="1" applyBorder="1" applyAlignment="1">
      <alignment vertical="center"/>
    </xf>
    <xf numFmtId="1" fontId="7" fillId="4" borderId="5" xfId="0" applyNumberFormat="1" applyFont="1" applyFill="1" applyBorder="1"/>
    <xf numFmtId="0" fontId="7" fillId="4" borderId="0" xfId="0" quotePrefix="1" applyFont="1" applyFill="1" applyAlignment="1">
      <alignment vertical="center"/>
    </xf>
    <xf numFmtId="0" fontId="7" fillId="4" borderId="5" xfId="0" applyFont="1" applyFill="1" applyBorder="1"/>
    <xf numFmtId="0" fontId="16" fillId="2" borderId="0" xfId="0" applyFont="1" applyFill="1" applyAlignment="1">
      <alignment vertical="center"/>
    </xf>
    <xf numFmtId="0" fontId="12" fillId="6" borderId="0" xfId="0" applyFont="1" applyFill="1" applyAlignment="1">
      <alignment horizontal="center" vertical="center"/>
    </xf>
    <xf numFmtId="2" fontId="7" fillId="7" borderId="0" xfId="0" applyNumberFormat="1" applyFont="1" applyFill="1" applyAlignment="1">
      <alignment vertical="center"/>
    </xf>
    <xf numFmtId="0" fontId="12" fillId="6" borderId="5" xfId="0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left" vertical="center"/>
    </xf>
    <xf numFmtId="2" fontId="7" fillId="6" borderId="0" xfId="0" applyNumberFormat="1" applyFont="1" applyFill="1" applyAlignment="1">
      <alignment vertical="center"/>
    </xf>
    <xf numFmtId="0" fontId="14" fillId="2" borderId="5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left" vertical="center"/>
    </xf>
    <xf numFmtId="0" fontId="7" fillId="6" borderId="16" xfId="0" quotePrefix="1" applyFont="1" applyFill="1" applyBorder="1" applyAlignment="1">
      <alignment horizontal="center" vertical="center"/>
    </xf>
    <xf numFmtId="0" fontId="7" fillId="2" borderId="6" xfId="127" applyFont="1" applyFill="1" applyBorder="1" applyAlignment="1">
      <alignment vertical="center"/>
    </xf>
    <xf numFmtId="1" fontId="7" fillId="2" borderId="5" xfId="127" applyNumberFormat="1" applyFont="1" applyFill="1" applyBorder="1" applyAlignment="1">
      <alignment vertical="center"/>
    </xf>
    <xf numFmtId="2" fontId="7" fillId="2" borderId="5" xfId="0" applyNumberFormat="1" applyFont="1" applyFill="1" applyBorder="1" applyAlignment="1">
      <alignment vertical="center"/>
    </xf>
    <xf numFmtId="0" fontId="12" fillId="6" borderId="5" xfId="0" applyFont="1" applyFill="1" applyBorder="1" applyAlignment="1">
      <alignment vertical="center"/>
    </xf>
    <xf numFmtId="0" fontId="12" fillId="4" borderId="6" xfId="0" applyFont="1" applyFill="1" applyBorder="1" applyAlignment="1">
      <alignment horizontal="center" vertical="center"/>
    </xf>
    <xf numFmtId="0" fontId="12" fillId="8" borderId="0" xfId="0" applyFont="1" applyFill="1" applyAlignment="1">
      <alignment vertical="center"/>
    </xf>
    <xf numFmtId="0" fontId="12" fillId="8" borderId="0" xfId="0" quotePrefix="1" applyFont="1" applyFill="1" applyAlignment="1">
      <alignment vertical="center"/>
    </xf>
    <xf numFmtId="0" fontId="12" fillId="8" borderId="6" xfId="0" applyFont="1" applyFill="1" applyBorder="1" applyAlignment="1">
      <alignment vertical="center"/>
    </xf>
    <xf numFmtId="0" fontId="17" fillId="2" borderId="5" xfId="114" applyFont="1" applyFill="1" applyBorder="1" applyAlignment="1">
      <alignment vertical="center"/>
    </xf>
    <xf numFmtId="0" fontId="17" fillId="2" borderId="6" xfId="114" applyFont="1" applyFill="1" applyBorder="1" applyAlignment="1">
      <alignment vertical="center"/>
    </xf>
    <xf numFmtId="0" fontId="12" fillId="6" borderId="16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vertical="center"/>
    </xf>
    <xf numFmtId="0" fontId="7" fillId="7" borderId="17" xfId="0" applyFont="1" applyFill="1" applyBorder="1" applyAlignment="1">
      <alignment vertical="center"/>
    </xf>
    <xf numFmtId="0" fontId="7" fillId="7" borderId="0" xfId="0" applyFont="1" applyFill="1" applyAlignment="1">
      <alignment vertical="center"/>
    </xf>
    <xf numFmtId="0" fontId="7" fillId="6" borderId="6" xfId="0" applyFont="1" applyFill="1" applyBorder="1" applyAlignment="1">
      <alignment horizontal="center" vertical="center"/>
    </xf>
    <xf numFmtId="1" fontId="7" fillId="7" borderId="17" xfId="0" applyNumberFormat="1" applyFont="1" applyFill="1" applyBorder="1" applyAlignment="1">
      <alignment vertical="center"/>
    </xf>
    <xf numFmtId="0" fontId="7" fillId="2" borderId="6" xfId="112" applyFont="1" applyFill="1" applyBorder="1" applyAlignment="1">
      <alignment horizontal="right" vertical="center"/>
    </xf>
    <xf numFmtId="0" fontId="12" fillId="2" borderId="0" xfId="112" applyFont="1" applyFill="1" applyAlignment="1">
      <alignment vertical="center"/>
    </xf>
    <xf numFmtId="0" fontId="7" fillId="2" borderId="0" xfId="112" applyFont="1" applyFill="1" applyAlignment="1">
      <alignment horizontal="left" vertical="center"/>
    </xf>
    <xf numFmtId="0" fontId="7" fillId="2" borderId="6" xfId="112" applyFont="1" applyFill="1" applyBorder="1" applyAlignment="1">
      <alignment horizontal="left" vertical="center"/>
    </xf>
    <xf numFmtId="2" fontId="7" fillId="2" borderId="0" xfId="112" applyNumberFormat="1" applyFont="1" applyFill="1" applyAlignment="1">
      <alignment vertical="center"/>
    </xf>
    <xf numFmtId="0" fontId="7" fillId="6" borderId="5" xfId="0" applyFont="1" applyFill="1" applyBorder="1" applyAlignment="1">
      <alignment vertical="center"/>
    </xf>
    <xf numFmtId="0" fontId="17" fillId="2" borderId="0" xfId="0" applyFont="1" applyFill="1" applyAlignment="1">
      <alignment vertical="center"/>
    </xf>
    <xf numFmtId="0" fontId="7" fillId="6" borderId="5" xfId="0" applyFont="1" applyFill="1" applyBorder="1" applyAlignment="1">
      <alignment horizontal="left" vertical="center"/>
    </xf>
    <xf numFmtId="0" fontId="12" fillId="6" borderId="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12" fillId="2" borderId="0" xfId="0" applyFont="1" applyFill="1"/>
    <xf numFmtId="0" fontId="12" fillId="2" borderId="6" xfId="0" applyFont="1" applyFill="1" applyBorder="1"/>
    <xf numFmtId="0" fontId="7" fillId="2" borderId="0" xfId="112" applyFont="1" applyFill="1"/>
    <xf numFmtId="0" fontId="7" fillId="2" borderId="6" xfId="0" applyFont="1" applyFill="1" applyBorder="1" applyAlignment="1">
      <alignment horizontal="left"/>
    </xf>
    <xf numFmtId="0" fontId="12" fillId="6" borderId="5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7" fillId="6" borderId="16" xfId="0" applyFont="1" applyFill="1" applyBorder="1" applyAlignment="1">
      <alignment horizontal="center"/>
    </xf>
    <xf numFmtId="0" fontId="15" fillId="2" borderId="0" xfId="0" applyFont="1" applyFill="1"/>
    <xf numFmtId="0" fontId="7" fillId="2" borderId="0" xfId="0" applyFont="1" applyFill="1"/>
    <xf numFmtId="1" fontId="7" fillId="2" borderId="0" xfId="0" applyNumberFormat="1" applyFont="1" applyFill="1"/>
    <xf numFmtId="0" fontId="7" fillId="6" borderId="0" xfId="0" applyFont="1" applyFill="1"/>
    <xf numFmtId="0" fontId="12" fillId="6" borderId="0" xfId="0" applyFont="1" applyFill="1"/>
    <xf numFmtId="0" fontId="12" fillId="6" borderId="0" xfId="0" applyFont="1" applyFill="1" applyAlignment="1">
      <alignment horizontal="center"/>
    </xf>
    <xf numFmtId="0" fontId="7" fillId="6" borderId="5" xfId="0" applyFont="1" applyFill="1" applyBorder="1" applyAlignment="1">
      <alignment horizontal="center"/>
    </xf>
    <xf numFmtId="2" fontId="7" fillId="6" borderId="0" xfId="0" applyNumberFormat="1" applyFont="1" applyFill="1"/>
    <xf numFmtId="0" fontId="7" fillId="6" borderId="6" xfId="0" applyFont="1" applyFill="1" applyBorder="1"/>
    <xf numFmtId="0" fontId="7" fillId="6" borderId="16" xfId="0" applyFont="1" applyFill="1" applyBorder="1"/>
    <xf numFmtId="0" fontId="12" fillId="6" borderId="5" xfId="0" applyFont="1" applyFill="1" applyBorder="1" applyAlignment="1">
      <alignment horizontal="left"/>
    </xf>
    <xf numFmtId="1" fontId="7" fillId="6" borderId="0" xfId="0" applyNumberFormat="1" applyFont="1" applyFill="1"/>
    <xf numFmtId="0" fontId="12" fillId="4" borderId="5" xfId="0" applyFont="1" applyFill="1" applyBorder="1" applyAlignment="1">
      <alignment horizontal="left"/>
    </xf>
    <xf numFmtId="0" fontId="7" fillId="2" borderId="0" xfId="0" applyFont="1" applyFill="1" applyAlignment="1">
      <alignment horizontal="center"/>
    </xf>
    <xf numFmtId="0" fontId="12" fillId="5" borderId="5" xfId="0" applyFont="1" applyFill="1" applyBorder="1" applyAlignment="1">
      <alignment horizontal="left"/>
    </xf>
    <xf numFmtId="0" fontId="7" fillId="5" borderId="0" xfId="0" applyFont="1" applyFill="1"/>
    <xf numFmtId="0" fontId="7" fillId="5" borderId="6" xfId="0" applyFont="1" applyFill="1" applyBorder="1"/>
    <xf numFmtId="2" fontId="7" fillId="2" borderId="0" xfId="0" applyNumberFormat="1" applyFont="1" applyFill="1"/>
    <xf numFmtId="0" fontId="7" fillId="0" borderId="16" xfId="0" applyFont="1" applyBorder="1"/>
    <xf numFmtId="0" fontId="7" fillId="2" borderId="5" xfId="127" applyFont="1" applyFill="1" applyBorder="1"/>
    <xf numFmtId="0" fontId="7" fillId="2" borderId="0" xfId="127" applyFont="1" applyFill="1"/>
    <xf numFmtId="0" fontId="7" fillId="2" borderId="6" xfId="127" applyFont="1" applyFill="1" applyBorder="1"/>
    <xf numFmtId="0" fontId="18" fillId="6" borderId="0" xfId="0" applyFont="1" applyFill="1"/>
    <xf numFmtId="0" fontId="7" fillId="6" borderId="5" xfId="0" applyFont="1" applyFill="1" applyBorder="1" applyAlignment="1">
      <alignment horizontal="right"/>
    </xf>
    <xf numFmtId="1" fontId="7" fillId="2" borderId="5" xfId="0" applyNumberFormat="1" applyFont="1" applyFill="1" applyBorder="1"/>
    <xf numFmtId="0" fontId="7" fillId="6" borderId="5" xfId="0" applyFont="1" applyFill="1" applyBorder="1"/>
    <xf numFmtId="1" fontId="7" fillId="6" borderId="5" xfId="0" applyNumberFormat="1" applyFont="1" applyFill="1" applyBorder="1"/>
    <xf numFmtId="2" fontId="7" fillId="2" borderId="5" xfId="0" applyNumberFormat="1" applyFont="1" applyFill="1" applyBorder="1"/>
    <xf numFmtId="0" fontId="12" fillId="2" borderId="5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left"/>
    </xf>
    <xf numFmtId="0" fontId="12" fillId="2" borderId="5" xfId="0" applyFont="1" applyFill="1" applyBorder="1" applyAlignment="1">
      <alignment horizontal="left"/>
    </xf>
    <xf numFmtId="0" fontId="7" fillId="2" borderId="5" xfId="0" applyFont="1" applyFill="1" applyBorder="1"/>
    <xf numFmtId="0" fontId="7" fillId="2" borderId="16" xfId="0" applyFont="1" applyFill="1" applyBorder="1"/>
    <xf numFmtId="166" fontId="8" fillId="4" borderId="11" xfId="0" applyNumberFormat="1" applyFont="1" applyFill="1" applyBorder="1"/>
    <xf numFmtId="165" fontId="8" fillId="4" borderId="6" xfId="0" applyNumberFormat="1" applyFont="1" applyFill="1" applyBorder="1" applyAlignment="1">
      <alignment vertical="center"/>
    </xf>
    <xf numFmtId="164" fontId="8" fillId="4" borderId="11" xfId="1" applyFont="1" applyFill="1" applyBorder="1" applyAlignment="1">
      <alignment vertical="center"/>
    </xf>
    <xf numFmtId="165" fontId="7" fillId="4" borderId="6" xfId="0" applyNumberFormat="1" applyFont="1" applyFill="1" applyBorder="1" applyAlignment="1">
      <alignment vertical="center"/>
    </xf>
    <xf numFmtId="165" fontId="7" fillId="4" borderId="0" xfId="0" applyNumberFormat="1" applyFont="1" applyFill="1" applyAlignment="1">
      <alignment vertical="center"/>
    </xf>
    <xf numFmtId="164" fontId="7" fillId="2" borderId="11" xfId="1" applyFont="1" applyFill="1" applyBorder="1"/>
    <xf numFmtId="165" fontId="8" fillId="4" borderId="5" xfId="0" applyNumberFormat="1" applyFont="1" applyFill="1" applyBorder="1" applyAlignment="1">
      <alignment vertical="center"/>
    </xf>
    <xf numFmtId="164" fontId="8" fillId="4" borderId="6" xfId="1" applyFont="1" applyFill="1" applyBorder="1"/>
    <xf numFmtId="166" fontId="8" fillId="4" borderId="0" xfId="0" applyNumberFormat="1" applyFont="1" applyFill="1"/>
    <xf numFmtId="167" fontId="0" fillId="0" borderId="0" xfId="0" applyNumberFormat="1"/>
    <xf numFmtId="9" fontId="0" fillId="0" borderId="0" xfId="0" applyNumberFormat="1"/>
    <xf numFmtId="166" fontId="8" fillId="4" borderId="6" xfId="0" applyNumberFormat="1" applyFont="1" applyFill="1" applyBorder="1"/>
    <xf numFmtId="0" fontId="2" fillId="6" borderId="0" xfId="0" applyFont="1" applyFill="1"/>
    <xf numFmtId="0" fontId="8" fillId="2" borderId="6" xfId="0" applyFont="1" applyFill="1" applyBorder="1" applyAlignment="1">
      <alignment vertical="center"/>
    </xf>
    <xf numFmtId="1" fontId="7" fillId="6" borderId="5" xfId="0" applyNumberFormat="1" applyFont="1" applyFill="1" applyBorder="1" applyAlignment="1">
      <alignment vertical="center"/>
    </xf>
    <xf numFmtId="164" fontId="8" fillId="4" borderId="11" xfId="1" applyFont="1" applyFill="1" applyBorder="1"/>
    <xf numFmtId="165" fontId="0" fillId="0" borderId="0" xfId="0" applyNumberFormat="1"/>
    <xf numFmtId="0" fontId="2" fillId="2" borderId="5" xfId="0" applyFont="1" applyFill="1" applyBorder="1"/>
    <xf numFmtId="1" fontId="8" fillId="2" borderId="0" xfId="0" applyNumberFormat="1" applyFont="1" applyFill="1" applyAlignment="1">
      <alignment vertical="center"/>
    </xf>
    <xf numFmtId="165" fontId="0" fillId="9" borderId="0" xfId="0" applyNumberFormat="1" applyFill="1"/>
    <xf numFmtId="165" fontId="0" fillId="2" borderId="0" xfId="0" applyNumberFormat="1" applyFill="1"/>
    <xf numFmtId="0" fontId="8" fillId="2" borderId="2" xfId="0" quotePrefix="1" applyFont="1" applyFill="1" applyBorder="1" applyAlignment="1">
      <alignment horizontal="left" vertical="center"/>
    </xf>
    <xf numFmtId="0" fontId="12" fillId="2" borderId="7" xfId="0" applyFont="1" applyFill="1" applyBorder="1" applyAlignment="1">
      <alignment horizontal="center" vertical="center"/>
    </xf>
    <xf numFmtId="0" fontId="8" fillId="2" borderId="7" xfId="0" quotePrefix="1" applyFont="1" applyFill="1" applyBorder="1" applyAlignment="1">
      <alignment horizontal="left" vertical="center"/>
    </xf>
    <xf numFmtId="0" fontId="8" fillId="2" borderId="3" xfId="0" quotePrefix="1" applyFont="1" applyFill="1" applyBorder="1" applyAlignment="1">
      <alignment horizontal="center" vertical="center"/>
    </xf>
    <xf numFmtId="0" fontId="8" fillId="2" borderId="8" xfId="0" quotePrefix="1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right" vertical="center"/>
    </xf>
    <xf numFmtId="0" fontId="12" fillId="6" borderId="5" xfId="0" quotePrefix="1" applyFont="1" applyFill="1" applyBorder="1" applyAlignment="1">
      <alignment horizontal="left" vertical="center"/>
    </xf>
    <xf numFmtId="0" fontId="12" fillId="6" borderId="5" xfId="0" applyFont="1" applyFill="1" applyBorder="1" applyAlignment="1">
      <alignment horizontal="right" vertical="center"/>
    </xf>
    <xf numFmtId="0" fontId="7" fillId="4" borderId="0" xfId="0" applyFont="1" applyFill="1"/>
    <xf numFmtId="0" fontId="7" fillId="4" borderId="6" xfId="0" applyFont="1" applyFill="1" applyBorder="1"/>
    <xf numFmtId="0" fontId="2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2" fillId="2" borderId="0" xfId="0" quotePrefix="1" applyNumberFormat="1" applyFont="1" applyFill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</cellXfs>
  <cellStyles count="128">
    <cellStyle name="Currency [0]" xfId="1" builtinId="7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Normal" xfId="0" builtinId="0"/>
    <cellStyle name="Normal 2" xfId="112" xr:uid="{00000000-0005-0000-0000-000070000000}"/>
    <cellStyle name="Normal 2 2" xfId="116" xr:uid="{00000000-0005-0000-0000-000071000000}"/>
    <cellStyle name="Normal 2 2 2" xfId="123" xr:uid="{00000000-0005-0000-0000-000072000000}"/>
    <cellStyle name="Normal 2 2 3" xfId="121" xr:uid="{00000000-0005-0000-0000-000073000000}"/>
    <cellStyle name="Normal 2 2 7" xfId="119" xr:uid="{00000000-0005-0000-0000-000074000000}"/>
    <cellStyle name="Normal 3" xfId="115" xr:uid="{00000000-0005-0000-0000-000075000000}"/>
    <cellStyle name="Normal 3 2" xfId="125" xr:uid="{00000000-0005-0000-0000-000076000000}"/>
    <cellStyle name="Normal 4 2 2 2" xfId="117" xr:uid="{00000000-0005-0000-0000-000077000000}"/>
    <cellStyle name="Normal 5 2 2" xfId="118" xr:uid="{00000000-0005-0000-0000-000078000000}"/>
    <cellStyle name="Normal 5 3" xfId="124" xr:uid="{00000000-0005-0000-0000-000079000000}"/>
    <cellStyle name="Normal 5 3 2" xfId="127" xr:uid="{C71A7771-C0FA-4CC4-A243-D261C75B6666}"/>
    <cellStyle name="Normal 6" xfId="113" xr:uid="{00000000-0005-0000-0000-00007A000000}"/>
    <cellStyle name="Normal 6 2" xfId="126" xr:uid="{00000000-0005-0000-0000-00007B000000}"/>
    <cellStyle name="Normal 6 3" xfId="120" xr:uid="{00000000-0005-0000-0000-00007C000000}"/>
    <cellStyle name="Normal 7 2" xfId="114" xr:uid="{00000000-0005-0000-0000-00007D000000}"/>
    <cellStyle name="Normal 8" xfId="122" xr:uid="{00000000-0005-0000-0000-00007E000000}"/>
  </cellStyles>
  <dxfs count="10">
    <dxf>
      <font>
        <b val="0"/>
        <i/>
        <strike val="0"/>
      </font>
    </dxf>
    <dxf>
      <font>
        <b/>
        <i/>
        <strike val="0"/>
        <color theme="1"/>
      </font>
    </dxf>
    <dxf>
      <font>
        <b/>
        <i/>
        <strike val="0"/>
        <u/>
        <color theme="1"/>
      </font>
    </dxf>
    <dxf>
      <font>
        <b/>
        <i val="0"/>
        <strike val="0"/>
        <color theme="1"/>
      </font>
    </dxf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434BE-B4E8-46A5-BEBA-E2124081EBE2}">
  <sheetPr>
    <tabColor theme="3" tint="0.39997558519241921"/>
  </sheetPr>
  <dimension ref="B7:T1426"/>
  <sheetViews>
    <sheetView showGridLines="0" tabSelected="1" view="pageBreakPreview" topLeftCell="A1401" zoomScale="70" zoomScaleSheetLayoutView="70" workbookViewId="0">
      <selection activeCell="K11" sqref="K11"/>
    </sheetView>
  </sheetViews>
  <sheetFormatPr defaultColWidth="11" defaultRowHeight="15.5" x14ac:dyDescent="0.35"/>
  <cols>
    <col min="2" max="4" width="1.83203125" style="17" customWidth="1"/>
    <col min="5" max="5" width="3.08203125" style="17" customWidth="1"/>
    <col min="6" max="6" width="2.83203125" style="17" customWidth="1"/>
    <col min="7" max="7" width="70.58203125" style="17" customWidth="1"/>
    <col min="8" max="8" width="9.5" style="17" customWidth="1"/>
    <col min="9" max="9" width="6.33203125" style="17" customWidth="1"/>
    <col min="10" max="10" width="16" style="17" customWidth="1"/>
    <col min="11" max="11" width="18.83203125" style="17" customWidth="1"/>
    <col min="12" max="12" width="20.5" style="17" customWidth="1"/>
    <col min="13" max="13" width="18.33203125" customWidth="1"/>
    <col min="14" max="14" width="18.33203125" bestFit="1" customWidth="1"/>
  </cols>
  <sheetData>
    <row r="7" spans="2:13" ht="15" customHeight="1" x14ac:dyDescent="0.35"/>
    <row r="8" spans="2:13" ht="18" x14ac:dyDescent="0.4">
      <c r="B8" s="30" t="s">
        <v>15</v>
      </c>
      <c r="C8" s="16"/>
      <c r="D8" s="16"/>
    </row>
    <row r="9" spans="2:13" x14ac:dyDescent="0.35">
      <c r="B9" s="31" t="s">
        <v>16</v>
      </c>
      <c r="C9" s="5"/>
      <c r="D9" s="5"/>
      <c r="E9" s="5"/>
      <c r="F9" s="5"/>
      <c r="G9" s="5"/>
    </row>
    <row r="10" spans="2:13" x14ac:dyDescent="0.35">
      <c r="H10" s="19"/>
      <c r="I10" s="19"/>
      <c r="J10" s="19" t="s">
        <v>19</v>
      </c>
      <c r="L10" s="19"/>
      <c r="M10" s="17"/>
    </row>
    <row r="11" spans="2:13" x14ac:dyDescent="0.35">
      <c r="B11" s="17" t="s">
        <v>0</v>
      </c>
      <c r="F11" s="17" t="s">
        <v>28</v>
      </c>
      <c r="J11" s="17" t="s">
        <v>20</v>
      </c>
      <c r="M11" s="17"/>
    </row>
    <row r="12" spans="2:13" x14ac:dyDescent="0.35">
      <c r="B12" s="17" t="s">
        <v>25</v>
      </c>
      <c r="F12" s="17" t="s">
        <v>17</v>
      </c>
      <c r="J12" s="17" t="s">
        <v>21</v>
      </c>
      <c r="K12" s="17" t="s">
        <v>29</v>
      </c>
      <c r="M12" s="17"/>
    </row>
    <row r="13" spans="2:13" x14ac:dyDescent="0.35">
      <c r="B13" s="17" t="s">
        <v>4</v>
      </c>
      <c r="F13" s="53"/>
      <c r="J13" s="17" t="s">
        <v>22</v>
      </c>
      <c r="K13" s="17" t="s">
        <v>30</v>
      </c>
      <c r="M13" s="17"/>
    </row>
    <row r="14" spans="2:13" x14ac:dyDescent="0.35">
      <c r="B14" s="17" t="s">
        <v>5</v>
      </c>
      <c r="F14" s="53"/>
      <c r="J14" s="17" t="s">
        <v>23</v>
      </c>
      <c r="K14" s="17" t="s">
        <v>31</v>
      </c>
      <c r="M14" s="17"/>
    </row>
    <row r="15" spans="2:13" x14ac:dyDescent="0.35">
      <c r="F15" s="243"/>
      <c r="G15" s="243"/>
      <c r="J15" s="17" t="s">
        <v>24</v>
      </c>
      <c r="K15" s="17" t="s">
        <v>32</v>
      </c>
      <c r="M15" s="17"/>
    </row>
    <row r="16" spans="2:13" x14ac:dyDescent="0.35">
      <c r="F16" s="6"/>
    </row>
    <row r="18" spans="2:20" s="32" customFormat="1" ht="15" customHeight="1" x14ac:dyDescent="0.35">
      <c r="B18" s="244" t="s">
        <v>0</v>
      </c>
      <c r="C18" s="245"/>
      <c r="D18" s="246"/>
      <c r="E18" s="244" t="s">
        <v>1</v>
      </c>
      <c r="F18" s="245"/>
      <c r="G18" s="246"/>
      <c r="H18" s="244" t="s">
        <v>2</v>
      </c>
      <c r="I18" s="246"/>
      <c r="J18" s="240" t="s">
        <v>3</v>
      </c>
      <c r="K18" s="240" t="s">
        <v>13</v>
      </c>
      <c r="L18" s="240" t="s">
        <v>14</v>
      </c>
    </row>
    <row r="19" spans="2:20" s="32" customFormat="1" ht="15" customHeight="1" x14ac:dyDescent="0.35">
      <c r="B19" s="247"/>
      <c r="C19" s="248"/>
      <c r="D19" s="249"/>
      <c r="E19" s="247"/>
      <c r="F19" s="248"/>
      <c r="G19" s="249"/>
      <c r="H19" s="247"/>
      <c r="I19" s="249"/>
      <c r="J19" s="241"/>
      <c r="K19" s="241"/>
      <c r="L19" s="241"/>
    </row>
    <row r="20" spans="2:20" x14ac:dyDescent="0.35">
      <c r="B20" s="55" t="s">
        <v>33</v>
      </c>
      <c r="C20" s="56"/>
      <c r="D20" s="57"/>
      <c r="E20" s="58" t="s">
        <v>10</v>
      </c>
      <c r="F20" s="58"/>
      <c r="G20" s="59"/>
      <c r="H20" s="60"/>
      <c r="I20" s="52"/>
      <c r="J20" s="42"/>
      <c r="K20" s="29"/>
      <c r="L20" s="43"/>
    </row>
    <row r="21" spans="2:20" x14ac:dyDescent="0.35">
      <c r="B21" s="61"/>
      <c r="C21" s="62"/>
      <c r="D21" s="63" t="s">
        <v>34</v>
      </c>
      <c r="E21" s="60"/>
      <c r="F21" s="60" t="s">
        <v>35</v>
      </c>
      <c r="G21" s="52"/>
      <c r="H21" s="60">
        <v>1</v>
      </c>
      <c r="I21" s="52" t="s">
        <v>36</v>
      </c>
      <c r="J21" s="28"/>
      <c r="K21" s="50"/>
      <c r="L21" s="45"/>
      <c r="M21" s="17"/>
      <c r="N21" s="242"/>
      <c r="O21" s="242"/>
    </row>
    <row r="22" spans="2:20" x14ac:dyDescent="0.35">
      <c r="B22" s="61"/>
      <c r="C22" s="62"/>
      <c r="D22" s="64" t="s">
        <v>37</v>
      </c>
      <c r="E22" s="60"/>
      <c r="F22" s="60" t="s">
        <v>38</v>
      </c>
      <c r="G22" s="52"/>
      <c r="H22" s="60">
        <v>1</v>
      </c>
      <c r="I22" s="52" t="s">
        <v>36</v>
      </c>
      <c r="J22" s="28"/>
      <c r="K22" s="50"/>
      <c r="L22" s="45"/>
      <c r="N22" s="22"/>
      <c r="O22" s="22"/>
    </row>
    <row r="23" spans="2:20" x14ac:dyDescent="0.35">
      <c r="B23" s="61"/>
      <c r="C23" s="62"/>
      <c r="D23" s="64" t="s">
        <v>39</v>
      </c>
      <c r="E23" s="60"/>
      <c r="F23" s="60" t="s">
        <v>40</v>
      </c>
      <c r="G23" s="52"/>
      <c r="H23" s="60">
        <v>1</v>
      </c>
      <c r="I23" s="52" t="s">
        <v>36</v>
      </c>
      <c r="J23" s="28"/>
      <c r="K23" s="50"/>
      <c r="L23" s="45"/>
      <c r="N23" s="22"/>
      <c r="O23" s="22"/>
      <c r="T23">
        <f>R23+S23</f>
        <v>0</v>
      </c>
    </row>
    <row r="24" spans="2:20" x14ac:dyDescent="0.35">
      <c r="B24" s="61"/>
      <c r="C24" s="62"/>
      <c r="D24" s="64" t="s">
        <v>41</v>
      </c>
      <c r="E24" s="60"/>
      <c r="F24" s="60" t="s">
        <v>42</v>
      </c>
      <c r="G24" s="52"/>
      <c r="H24" s="60">
        <f>44+79</f>
        <v>123</v>
      </c>
      <c r="I24" s="52" t="s">
        <v>43</v>
      </c>
      <c r="J24" s="28"/>
      <c r="K24" s="50"/>
      <c r="L24" s="45"/>
      <c r="N24" s="22"/>
      <c r="O24" s="22"/>
    </row>
    <row r="25" spans="2:20" x14ac:dyDescent="0.35">
      <c r="B25" s="61"/>
      <c r="C25" s="62"/>
      <c r="D25" s="64" t="s">
        <v>44</v>
      </c>
      <c r="E25" s="60"/>
      <c r="F25" s="60" t="s">
        <v>45</v>
      </c>
      <c r="G25" s="52"/>
      <c r="H25" s="60">
        <v>23</v>
      </c>
      <c r="I25" s="52" t="s">
        <v>43</v>
      </c>
      <c r="J25" s="28"/>
      <c r="K25" s="50"/>
      <c r="L25" s="45"/>
      <c r="M25" s="17"/>
      <c r="N25" s="22"/>
      <c r="O25" s="22"/>
    </row>
    <row r="26" spans="2:20" x14ac:dyDescent="0.35">
      <c r="B26" s="61"/>
      <c r="C26" s="62"/>
      <c r="D26" s="64" t="s">
        <v>46</v>
      </c>
      <c r="E26" s="60"/>
      <c r="F26" s="60" t="s">
        <v>47</v>
      </c>
      <c r="G26" s="52"/>
      <c r="H26" s="60">
        <v>1</v>
      </c>
      <c r="I26" s="52" t="s">
        <v>36</v>
      </c>
      <c r="J26" s="28"/>
      <c r="K26" s="50"/>
      <c r="L26" s="45"/>
      <c r="M26" s="17"/>
      <c r="N26" s="22"/>
      <c r="O26" s="22"/>
    </row>
    <row r="27" spans="2:20" x14ac:dyDescent="0.35">
      <c r="B27" s="61"/>
      <c r="C27" s="62"/>
      <c r="D27" s="64" t="s">
        <v>48</v>
      </c>
      <c r="E27" s="60"/>
      <c r="F27" s="60" t="s">
        <v>49</v>
      </c>
      <c r="G27" s="52"/>
      <c r="H27" s="60">
        <f>+H24+H25</f>
        <v>146</v>
      </c>
      <c r="I27" s="52" t="s">
        <v>43</v>
      </c>
      <c r="J27" s="28"/>
      <c r="K27" s="50"/>
      <c r="L27" s="45"/>
      <c r="M27" s="17"/>
      <c r="N27" s="22"/>
      <c r="O27" s="22"/>
    </row>
    <row r="28" spans="2:20" x14ac:dyDescent="0.35">
      <c r="B28" s="61"/>
      <c r="C28" s="62"/>
      <c r="D28" s="64" t="s">
        <v>50</v>
      </c>
      <c r="E28" s="60"/>
      <c r="F28" s="60" t="s">
        <v>51</v>
      </c>
      <c r="G28" s="52"/>
      <c r="H28" s="60">
        <v>1</v>
      </c>
      <c r="I28" s="52" t="s">
        <v>36</v>
      </c>
      <c r="J28" s="28"/>
      <c r="K28" s="50"/>
      <c r="L28" s="45"/>
      <c r="M28" s="17"/>
      <c r="N28" s="22"/>
      <c r="O28" s="22"/>
    </row>
    <row r="29" spans="2:20" x14ac:dyDescent="0.35">
      <c r="B29" s="61"/>
      <c r="C29" s="62"/>
      <c r="D29" s="64" t="s">
        <v>52</v>
      </c>
      <c r="E29" s="60"/>
      <c r="F29" s="60" t="s">
        <v>53</v>
      </c>
      <c r="G29" s="52"/>
      <c r="H29" s="60">
        <v>1</v>
      </c>
      <c r="I29" s="65" t="s">
        <v>36</v>
      </c>
      <c r="J29" s="28"/>
      <c r="K29" s="50"/>
      <c r="L29" s="45"/>
      <c r="M29" s="17"/>
      <c r="N29" s="22"/>
      <c r="O29" s="22"/>
    </row>
    <row r="30" spans="2:20" x14ac:dyDescent="0.35">
      <c r="B30" s="61"/>
      <c r="C30" s="62"/>
      <c r="D30" s="64" t="s">
        <v>54</v>
      </c>
      <c r="E30" s="60"/>
      <c r="F30" s="60" t="s">
        <v>55</v>
      </c>
      <c r="G30" s="52"/>
      <c r="H30" s="60">
        <v>1</v>
      </c>
      <c r="I30" s="65" t="s">
        <v>36</v>
      </c>
      <c r="J30" s="28"/>
      <c r="K30" s="50"/>
      <c r="L30" s="45"/>
      <c r="M30" s="17"/>
      <c r="N30" s="22"/>
      <c r="O30" s="22"/>
    </row>
    <row r="31" spans="2:20" x14ac:dyDescent="0.35">
      <c r="B31" s="61"/>
      <c r="C31" s="62"/>
      <c r="D31" s="64" t="s">
        <v>56</v>
      </c>
      <c r="E31" s="60"/>
      <c r="F31" s="60" t="s">
        <v>57</v>
      </c>
      <c r="G31" s="52"/>
      <c r="H31" s="60">
        <v>1</v>
      </c>
      <c r="I31" s="52" t="s">
        <v>36</v>
      </c>
      <c r="J31" s="28"/>
      <c r="K31" s="50"/>
      <c r="L31" s="45"/>
      <c r="M31" s="17"/>
      <c r="N31" s="22"/>
      <c r="O31" s="22"/>
    </row>
    <row r="32" spans="2:20" x14ac:dyDescent="0.35">
      <c r="B32" s="61"/>
      <c r="C32" s="62"/>
      <c r="D32" s="64" t="s">
        <v>58</v>
      </c>
      <c r="E32" s="60"/>
      <c r="F32" s="60" t="s">
        <v>59</v>
      </c>
      <c r="G32" s="52"/>
      <c r="H32" s="60">
        <f>20+10+10+15+10+10+10+10+10+10+10+5+5+5+20</f>
        <v>160</v>
      </c>
      <c r="I32" s="52" t="s">
        <v>60</v>
      </c>
      <c r="J32" s="28"/>
      <c r="K32" s="50"/>
      <c r="L32" s="45"/>
      <c r="M32" s="17"/>
      <c r="N32" s="22"/>
      <c r="O32" s="22"/>
    </row>
    <row r="33" spans="2:15" x14ac:dyDescent="0.35">
      <c r="B33" s="61"/>
      <c r="C33" s="62"/>
      <c r="D33" s="63" t="s">
        <v>61</v>
      </c>
      <c r="E33" s="60"/>
      <c r="F33" s="60" t="s">
        <v>62</v>
      </c>
      <c r="G33" s="52"/>
      <c r="H33" s="60">
        <v>7.524</v>
      </c>
      <c r="I33" s="66" t="s">
        <v>60</v>
      </c>
      <c r="J33" s="28"/>
      <c r="K33" s="50"/>
      <c r="L33" s="45"/>
      <c r="M33" s="17"/>
      <c r="N33" s="22"/>
      <c r="O33" s="22"/>
    </row>
    <row r="34" spans="2:15" x14ac:dyDescent="0.35">
      <c r="B34" s="67"/>
      <c r="C34" s="68"/>
      <c r="D34" s="64" t="s">
        <v>63</v>
      </c>
      <c r="E34" s="60"/>
      <c r="F34" s="60" t="s">
        <v>64</v>
      </c>
      <c r="G34" s="52"/>
      <c r="H34" s="60">
        <f>+H27</f>
        <v>146</v>
      </c>
      <c r="I34" s="66" t="s">
        <v>65</v>
      </c>
      <c r="J34" s="28"/>
      <c r="K34" s="50"/>
      <c r="L34" s="45"/>
      <c r="M34" s="17"/>
      <c r="N34" s="22"/>
      <c r="O34" s="22"/>
    </row>
    <row r="35" spans="2:15" x14ac:dyDescent="0.35">
      <c r="B35" s="69"/>
      <c r="C35" s="70"/>
      <c r="D35" s="64" t="s">
        <v>66</v>
      </c>
      <c r="E35" s="58"/>
      <c r="F35" s="60" t="s">
        <v>67</v>
      </c>
      <c r="G35" s="52"/>
      <c r="H35" s="60">
        <v>123</v>
      </c>
      <c r="I35" s="66" t="s">
        <v>65</v>
      </c>
      <c r="J35" s="28"/>
      <c r="K35" s="50"/>
      <c r="L35" s="45"/>
      <c r="M35" s="17"/>
      <c r="N35" s="22"/>
      <c r="O35" s="22"/>
    </row>
    <row r="36" spans="2:15" x14ac:dyDescent="0.35">
      <c r="B36" s="67"/>
      <c r="C36" s="68"/>
      <c r="D36" s="64" t="s">
        <v>68</v>
      </c>
      <c r="E36" s="60"/>
      <c r="F36" s="60" t="s">
        <v>69</v>
      </c>
      <c r="G36" s="52"/>
      <c r="H36" s="60">
        <v>1</v>
      </c>
      <c r="I36" s="66" t="s">
        <v>36</v>
      </c>
      <c r="J36" s="28"/>
      <c r="K36" s="50"/>
      <c r="L36" s="45"/>
      <c r="M36" s="17"/>
      <c r="N36" s="22"/>
      <c r="O36" s="22"/>
    </row>
    <row r="37" spans="2:15" x14ac:dyDescent="0.35">
      <c r="B37" s="69" t="s">
        <v>70</v>
      </c>
      <c r="C37" s="70"/>
      <c r="D37" s="71"/>
      <c r="E37" s="58" t="s">
        <v>71</v>
      </c>
      <c r="F37" s="60"/>
      <c r="G37" s="52"/>
      <c r="H37" s="60"/>
      <c r="I37" s="72"/>
      <c r="J37" s="49"/>
      <c r="K37" s="207"/>
      <c r="L37" s="45"/>
      <c r="M37" s="17"/>
      <c r="N37" s="22"/>
      <c r="O37" s="22"/>
    </row>
    <row r="38" spans="2:15" x14ac:dyDescent="0.35">
      <c r="B38" s="67"/>
      <c r="C38" s="68"/>
      <c r="D38" s="64" t="s">
        <v>34</v>
      </c>
      <c r="E38" s="60"/>
      <c r="F38" s="60" t="s">
        <v>72</v>
      </c>
      <c r="G38" s="52"/>
      <c r="H38" s="60">
        <v>380</v>
      </c>
      <c r="I38" s="66" t="s">
        <v>73</v>
      </c>
      <c r="J38" s="201"/>
      <c r="K38" s="50"/>
      <c r="L38" s="45"/>
      <c r="M38" s="17"/>
      <c r="N38" s="22"/>
      <c r="O38" s="22"/>
    </row>
    <row r="39" spans="2:15" x14ac:dyDescent="0.35">
      <c r="B39" s="67"/>
      <c r="C39" s="68"/>
      <c r="D39" s="64" t="s">
        <v>37</v>
      </c>
      <c r="E39" s="60"/>
      <c r="F39" s="60" t="s">
        <v>74</v>
      </c>
      <c r="G39" s="52"/>
      <c r="H39" s="60">
        <f>H38</f>
        <v>380</v>
      </c>
      <c r="I39" s="66" t="s">
        <v>73</v>
      </c>
      <c r="J39" s="201"/>
      <c r="K39" s="50"/>
      <c r="L39" s="45"/>
      <c r="M39" s="17"/>
      <c r="N39" s="22"/>
      <c r="O39" s="22"/>
    </row>
    <row r="40" spans="2:15" x14ac:dyDescent="0.35">
      <c r="B40" s="67"/>
      <c r="C40" s="68"/>
      <c r="D40" s="64" t="s">
        <v>39</v>
      </c>
      <c r="E40" s="60"/>
      <c r="F40" s="60" t="s">
        <v>75</v>
      </c>
      <c r="G40" s="52"/>
      <c r="H40" s="60">
        <v>190</v>
      </c>
      <c r="I40" s="66" t="s">
        <v>73</v>
      </c>
      <c r="J40" s="201"/>
      <c r="K40" s="50"/>
      <c r="L40" s="45"/>
      <c r="M40" s="17"/>
      <c r="N40" s="22"/>
      <c r="O40" s="22"/>
    </row>
    <row r="41" spans="2:15" x14ac:dyDescent="0.35">
      <c r="B41" s="67"/>
      <c r="C41" s="68"/>
      <c r="D41" s="64" t="s">
        <v>41</v>
      </c>
      <c r="E41" s="60"/>
      <c r="F41" s="60" t="s">
        <v>76</v>
      </c>
      <c r="G41" s="52"/>
      <c r="H41" s="60">
        <v>65</v>
      </c>
      <c r="I41" s="66" t="s">
        <v>73</v>
      </c>
      <c r="J41" s="201"/>
      <c r="K41" s="50"/>
      <c r="L41" s="45"/>
      <c r="M41" s="17"/>
      <c r="N41" s="22"/>
      <c r="O41" s="22"/>
    </row>
    <row r="42" spans="2:15" x14ac:dyDescent="0.35">
      <c r="B42" s="67"/>
      <c r="C42" s="68"/>
      <c r="D42" s="64" t="s">
        <v>44</v>
      </c>
      <c r="E42" s="60"/>
      <c r="F42" s="60" t="s">
        <v>77</v>
      </c>
      <c r="G42" s="52"/>
      <c r="H42" s="60">
        <f>H39+H40+H41</f>
        <v>635</v>
      </c>
      <c r="I42" s="66" t="s">
        <v>73</v>
      </c>
      <c r="J42" s="201"/>
      <c r="K42" s="50"/>
      <c r="L42" s="45"/>
      <c r="M42" s="17"/>
      <c r="N42" s="22"/>
      <c r="O42" s="22"/>
    </row>
    <row r="43" spans="2:15" x14ac:dyDescent="0.35">
      <c r="B43" s="67"/>
      <c r="C43" s="68"/>
      <c r="D43" s="64" t="s">
        <v>46</v>
      </c>
      <c r="E43" s="60"/>
      <c r="F43" s="60" t="s">
        <v>78</v>
      </c>
      <c r="G43" s="52"/>
      <c r="H43" s="60">
        <f>H38</f>
        <v>380</v>
      </c>
      <c r="I43" s="52" t="s">
        <v>73</v>
      </c>
      <c r="J43" s="201"/>
      <c r="K43" s="50"/>
      <c r="L43" s="45"/>
    </row>
    <row r="44" spans="2:15" x14ac:dyDescent="0.35">
      <c r="B44" s="67"/>
      <c r="C44" s="68"/>
      <c r="D44" s="64" t="s">
        <v>48</v>
      </c>
      <c r="E44" s="60"/>
      <c r="F44" s="60" t="s">
        <v>79</v>
      </c>
      <c r="G44" s="52"/>
      <c r="H44" s="73">
        <f>H40</f>
        <v>190</v>
      </c>
      <c r="I44" s="66" t="s">
        <v>73</v>
      </c>
      <c r="J44" s="201"/>
      <c r="K44" s="50"/>
      <c r="L44" s="45"/>
    </row>
    <row r="45" spans="2:15" x14ac:dyDescent="0.35">
      <c r="B45" s="67"/>
      <c r="C45" s="68"/>
      <c r="D45" s="64" t="s">
        <v>50</v>
      </c>
      <c r="E45" s="60"/>
      <c r="F45" s="60" t="s">
        <v>80</v>
      </c>
      <c r="G45" s="52"/>
      <c r="H45" s="74">
        <f>H41</f>
        <v>65</v>
      </c>
      <c r="I45" s="66" t="s">
        <v>73</v>
      </c>
      <c r="J45" s="28"/>
      <c r="K45" s="50"/>
      <c r="L45" s="45"/>
    </row>
    <row r="46" spans="2:15" x14ac:dyDescent="0.35">
      <c r="B46" s="61"/>
      <c r="C46" s="62"/>
      <c r="D46" s="64" t="s">
        <v>52</v>
      </c>
      <c r="E46" s="60"/>
      <c r="F46" s="60" t="s">
        <v>81</v>
      </c>
      <c r="G46" s="52"/>
      <c r="H46" s="73">
        <v>1</v>
      </c>
      <c r="I46" s="66" t="s">
        <v>36</v>
      </c>
      <c r="J46" s="28"/>
      <c r="K46" s="50"/>
      <c r="L46" s="45"/>
    </row>
    <row r="47" spans="2:15" x14ac:dyDescent="0.35">
      <c r="B47" s="61"/>
      <c r="C47" s="62"/>
      <c r="D47" s="64" t="s">
        <v>54</v>
      </c>
      <c r="E47" s="60"/>
      <c r="F47" s="60" t="s">
        <v>82</v>
      </c>
      <c r="G47" s="52"/>
      <c r="H47" s="74">
        <v>30</v>
      </c>
      <c r="I47" s="66" t="s">
        <v>83</v>
      </c>
      <c r="J47" s="28"/>
      <c r="K47" s="50"/>
      <c r="L47" s="45"/>
    </row>
    <row r="48" spans="2:15" x14ac:dyDescent="0.35">
      <c r="B48" s="69" t="s">
        <v>84</v>
      </c>
      <c r="C48" s="70"/>
      <c r="D48" s="71"/>
      <c r="E48" s="58" t="s">
        <v>85</v>
      </c>
      <c r="F48" s="60"/>
      <c r="G48" s="52"/>
      <c r="H48" s="75"/>
      <c r="I48" s="52"/>
      <c r="J48" s="49"/>
      <c r="K48" s="207"/>
      <c r="L48" s="45"/>
    </row>
    <row r="49" spans="2:12" x14ac:dyDescent="0.35">
      <c r="B49" s="67"/>
      <c r="C49" s="68"/>
      <c r="D49" s="64" t="s">
        <v>34</v>
      </c>
      <c r="E49" s="60"/>
      <c r="F49" s="60" t="s">
        <v>86</v>
      </c>
      <c r="G49" s="52"/>
      <c r="H49" s="76">
        <v>2</v>
      </c>
      <c r="I49" s="66" t="s">
        <v>87</v>
      </c>
      <c r="J49" s="28"/>
      <c r="K49" s="50"/>
      <c r="L49" s="45"/>
    </row>
    <row r="50" spans="2:12" x14ac:dyDescent="0.35">
      <c r="B50" s="69" t="s">
        <v>88</v>
      </c>
      <c r="C50" s="70"/>
      <c r="D50" s="71"/>
      <c r="E50" s="58" t="s">
        <v>89</v>
      </c>
      <c r="F50" s="60"/>
      <c r="G50" s="52"/>
      <c r="H50" s="75"/>
      <c r="I50" s="52"/>
      <c r="J50" s="49"/>
      <c r="K50" s="207"/>
      <c r="L50" s="45"/>
    </row>
    <row r="51" spans="2:12" x14ac:dyDescent="0.35">
      <c r="B51" s="67"/>
      <c r="C51" s="68"/>
      <c r="D51" s="64" t="s">
        <v>34</v>
      </c>
      <c r="E51" s="60"/>
      <c r="F51" s="60" t="s">
        <v>90</v>
      </c>
      <c r="G51" s="52"/>
      <c r="H51" s="76">
        <v>4</v>
      </c>
      <c r="I51" s="66" t="s">
        <v>91</v>
      </c>
      <c r="J51" s="203"/>
      <c r="K51" s="50"/>
      <c r="L51" s="45"/>
    </row>
    <row r="52" spans="2:12" x14ac:dyDescent="0.35">
      <c r="B52" s="67"/>
      <c r="C52" s="68"/>
      <c r="D52" s="64" t="s">
        <v>37</v>
      </c>
      <c r="E52" s="60"/>
      <c r="F52" s="60" t="s">
        <v>92</v>
      </c>
      <c r="G52" s="52"/>
      <c r="H52" s="76">
        <v>2</v>
      </c>
      <c r="I52" s="66" t="s">
        <v>87</v>
      </c>
      <c r="J52" s="28"/>
      <c r="K52" s="50"/>
      <c r="L52" s="45"/>
    </row>
    <row r="53" spans="2:12" x14ac:dyDescent="0.35">
      <c r="B53" s="77"/>
      <c r="C53" s="78"/>
      <c r="D53" s="79" t="s">
        <v>41</v>
      </c>
      <c r="E53" s="73"/>
      <c r="F53" s="73" t="s">
        <v>93</v>
      </c>
      <c r="G53" s="66"/>
      <c r="H53" s="76">
        <v>2</v>
      </c>
      <c r="I53" s="66" t="s">
        <v>94</v>
      </c>
      <c r="J53" s="28"/>
      <c r="K53" s="50"/>
      <c r="L53" s="45"/>
    </row>
    <row r="54" spans="2:12" x14ac:dyDescent="0.35">
      <c r="B54" s="61"/>
      <c r="C54" s="62"/>
      <c r="D54" s="79" t="s">
        <v>44</v>
      </c>
      <c r="E54" s="73"/>
      <c r="F54" s="60" t="s">
        <v>95</v>
      </c>
      <c r="G54" s="52"/>
      <c r="H54" s="76">
        <v>2</v>
      </c>
      <c r="I54" s="66" t="s">
        <v>94</v>
      </c>
      <c r="J54" s="202"/>
      <c r="K54" s="50"/>
      <c r="L54" s="45"/>
    </row>
    <row r="55" spans="2:12" x14ac:dyDescent="0.35">
      <c r="B55" s="61"/>
      <c r="C55" s="62"/>
      <c r="D55" s="79" t="s">
        <v>46</v>
      </c>
      <c r="E55" s="73"/>
      <c r="F55" s="60" t="s">
        <v>96</v>
      </c>
      <c r="G55" s="52"/>
      <c r="H55" s="76">
        <v>2</v>
      </c>
      <c r="I55" s="66" t="s">
        <v>94</v>
      </c>
      <c r="J55" s="202"/>
      <c r="K55" s="50"/>
      <c r="L55" s="45"/>
    </row>
    <row r="56" spans="2:12" x14ac:dyDescent="0.35">
      <c r="B56" s="77"/>
      <c r="C56" s="78"/>
      <c r="D56" s="79" t="s">
        <v>48</v>
      </c>
      <c r="E56" s="73"/>
      <c r="F56" s="73" t="s">
        <v>97</v>
      </c>
      <c r="G56" s="66"/>
      <c r="H56" s="76">
        <v>2</v>
      </c>
      <c r="I56" s="66" t="s">
        <v>94</v>
      </c>
      <c r="J56" s="28"/>
      <c r="K56" s="50"/>
      <c r="L56" s="45"/>
    </row>
    <row r="57" spans="2:12" x14ac:dyDescent="0.35">
      <c r="B57" s="80"/>
      <c r="C57" s="78"/>
      <c r="D57" s="79" t="s">
        <v>50</v>
      </c>
      <c r="E57" s="81"/>
      <c r="F57" s="73" t="s">
        <v>98</v>
      </c>
      <c r="G57" s="66"/>
      <c r="H57" s="76">
        <v>2</v>
      </c>
      <c r="I57" s="66" t="s">
        <v>94</v>
      </c>
      <c r="J57" s="203"/>
      <c r="K57" s="50"/>
      <c r="L57" s="45"/>
    </row>
    <row r="58" spans="2:12" x14ac:dyDescent="0.35">
      <c r="B58" s="77"/>
      <c r="C58" s="78"/>
      <c r="D58" s="79" t="s">
        <v>52</v>
      </c>
      <c r="E58" s="73"/>
      <c r="F58" s="73" t="s">
        <v>99</v>
      </c>
      <c r="G58" s="66"/>
      <c r="H58" s="76">
        <v>2</v>
      </c>
      <c r="I58" s="66" t="s">
        <v>94</v>
      </c>
      <c r="J58" s="28"/>
      <c r="K58" s="50"/>
      <c r="L58" s="45"/>
    </row>
    <row r="59" spans="2:12" x14ac:dyDescent="0.35">
      <c r="B59" s="77"/>
      <c r="C59" s="78"/>
      <c r="D59" s="79" t="s">
        <v>54</v>
      </c>
      <c r="E59" s="73"/>
      <c r="F59" s="73" t="s">
        <v>100</v>
      </c>
      <c r="G59" s="66"/>
      <c r="H59" s="76">
        <v>2</v>
      </c>
      <c r="I59" s="66" t="s">
        <v>94</v>
      </c>
      <c r="J59" s="28"/>
      <c r="K59" s="50"/>
      <c r="L59" s="45"/>
    </row>
    <row r="60" spans="2:12" x14ac:dyDescent="0.35">
      <c r="B60" s="82"/>
      <c r="C60" s="78"/>
      <c r="D60" s="79" t="s">
        <v>56</v>
      </c>
      <c r="E60" s="81"/>
      <c r="F60" s="73" t="s">
        <v>101</v>
      </c>
      <c r="G60" s="66"/>
      <c r="H60" s="76">
        <v>2</v>
      </c>
      <c r="I60" s="66" t="s">
        <v>94</v>
      </c>
      <c r="J60" s="28"/>
      <c r="K60" s="50"/>
      <c r="L60" s="45"/>
    </row>
    <row r="61" spans="2:12" x14ac:dyDescent="0.35">
      <c r="B61" s="61"/>
      <c r="C61" s="62"/>
      <c r="D61" s="79" t="s">
        <v>58</v>
      </c>
      <c r="E61" s="73"/>
      <c r="F61" s="60" t="s">
        <v>102</v>
      </c>
      <c r="G61" s="52"/>
      <c r="H61" s="76">
        <v>2</v>
      </c>
      <c r="I61" s="66" t="s">
        <v>94</v>
      </c>
      <c r="J61" s="202"/>
      <c r="K61" s="50"/>
      <c r="L61" s="45"/>
    </row>
    <row r="62" spans="2:12" s="33" customFormat="1" x14ac:dyDescent="0.35">
      <c r="B62" s="61"/>
      <c r="C62" s="62"/>
      <c r="D62" s="79" t="s">
        <v>61</v>
      </c>
      <c r="E62" s="73"/>
      <c r="F62" s="60" t="s">
        <v>103</v>
      </c>
      <c r="G62" s="52"/>
      <c r="H62" s="76">
        <v>2</v>
      </c>
      <c r="I62" s="66" t="s">
        <v>94</v>
      </c>
      <c r="J62" s="204"/>
      <c r="K62" s="205"/>
      <c r="L62" s="206"/>
    </row>
    <row r="63" spans="2:12" s="33" customFormat="1" x14ac:dyDescent="0.35">
      <c r="B63" s="61"/>
      <c r="C63" s="62"/>
      <c r="D63" s="79" t="s">
        <v>63</v>
      </c>
      <c r="E63" s="73"/>
      <c r="F63" s="60" t="s">
        <v>104</v>
      </c>
      <c r="G63" s="52"/>
      <c r="H63" s="76">
        <v>2</v>
      </c>
      <c r="I63" s="66" t="s">
        <v>94</v>
      </c>
      <c r="J63" s="204"/>
      <c r="K63" s="205"/>
      <c r="L63" s="206"/>
    </row>
    <row r="64" spans="2:12" s="33" customFormat="1" x14ac:dyDescent="0.35">
      <c r="B64" s="61"/>
      <c r="C64" s="62"/>
      <c r="D64" s="79" t="s">
        <v>66</v>
      </c>
      <c r="E64" s="73"/>
      <c r="F64" s="60" t="s">
        <v>105</v>
      </c>
      <c r="G64" s="52"/>
      <c r="H64" s="76">
        <v>2</v>
      </c>
      <c r="I64" s="66" t="s">
        <v>94</v>
      </c>
      <c r="J64" s="204"/>
      <c r="K64" s="205"/>
      <c r="L64" s="206"/>
    </row>
    <row r="65" spans="2:19" x14ac:dyDescent="0.35">
      <c r="B65" s="55" t="s">
        <v>106</v>
      </c>
      <c r="C65" s="56"/>
      <c r="D65" s="57"/>
      <c r="E65" s="58" t="s">
        <v>107</v>
      </c>
      <c r="F65" s="60"/>
      <c r="G65" s="52"/>
      <c r="H65" s="60"/>
      <c r="I65" s="52"/>
      <c r="J65" s="49"/>
      <c r="K65" s="28"/>
      <c r="L65" s="51"/>
    </row>
    <row r="66" spans="2:19" x14ac:dyDescent="0.35">
      <c r="B66" s="61"/>
      <c r="C66" s="62"/>
      <c r="D66" s="83" t="s">
        <v>34</v>
      </c>
      <c r="E66" s="68"/>
      <c r="F66" s="60" t="s">
        <v>108</v>
      </c>
      <c r="G66" s="52"/>
      <c r="H66" s="84">
        <v>4</v>
      </c>
      <c r="I66" s="66" t="s">
        <v>91</v>
      </c>
      <c r="J66" s="45"/>
      <c r="K66" s="50"/>
      <c r="L66" s="45"/>
    </row>
    <row r="67" spans="2:19" x14ac:dyDescent="0.35">
      <c r="B67" s="61"/>
      <c r="C67" s="62"/>
      <c r="D67" s="83" t="s">
        <v>37</v>
      </c>
      <c r="E67" s="68"/>
      <c r="F67" s="60" t="s">
        <v>109</v>
      </c>
      <c r="G67" s="52"/>
      <c r="H67" s="76">
        <v>2</v>
      </c>
      <c r="I67" s="66" t="s">
        <v>94</v>
      </c>
      <c r="J67" s="45"/>
      <c r="K67" s="50"/>
      <c r="L67" s="45"/>
    </row>
    <row r="68" spans="2:19" x14ac:dyDescent="0.35">
      <c r="B68" s="61"/>
      <c r="C68" s="62"/>
      <c r="D68" s="83" t="s">
        <v>39</v>
      </c>
      <c r="E68" s="68"/>
      <c r="F68" s="60" t="s">
        <v>110</v>
      </c>
      <c r="G68" s="52"/>
      <c r="H68" s="76">
        <v>2</v>
      </c>
      <c r="I68" s="66" t="s">
        <v>94</v>
      </c>
      <c r="J68" s="45"/>
      <c r="K68" s="50"/>
      <c r="L68" s="45"/>
    </row>
    <row r="69" spans="2:19" x14ac:dyDescent="0.35">
      <c r="B69" s="61"/>
      <c r="C69" s="62"/>
      <c r="D69" s="83" t="s">
        <v>41</v>
      </c>
      <c r="E69" s="68"/>
      <c r="F69" s="60" t="s">
        <v>111</v>
      </c>
      <c r="G69" s="52"/>
      <c r="H69" s="76">
        <v>2</v>
      </c>
      <c r="I69" s="66" t="s">
        <v>94</v>
      </c>
      <c r="J69" s="45"/>
      <c r="K69" s="50"/>
      <c r="L69" s="45"/>
    </row>
    <row r="70" spans="2:19" x14ac:dyDescent="0.35">
      <c r="B70" s="69"/>
      <c r="C70" s="70"/>
      <c r="D70" s="64" t="s">
        <v>44</v>
      </c>
      <c r="E70" s="58"/>
      <c r="F70" s="60" t="s">
        <v>112</v>
      </c>
      <c r="G70" s="52"/>
      <c r="H70" s="75">
        <v>2</v>
      </c>
      <c r="I70" s="52" t="s">
        <v>94</v>
      </c>
      <c r="J70" s="28"/>
      <c r="K70" s="50"/>
      <c r="L70" s="45"/>
    </row>
    <row r="71" spans="2:19" x14ac:dyDescent="0.35">
      <c r="B71" s="69"/>
      <c r="C71" s="70"/>
      <c r="D71" s="64" t="s">
        <v>46</v>
      </c>
      <c r="E71" s="58"/>
      <c r="F71" s="60" t="s">
        <v>113</v>
      </c>
      <c r="G71" s="52"/>
      <c r="H71" s="75">
        <v>2</v>
      </c>
      <c r="I71" s="52" t="s">
        <v>94</v>
      </c>
      <c r="J71" s="28"/>
      <c r="K71" s="50"/>
      <c r="L71" s="45"/>
    </row>
    <row r="72" spans="2:19" x14ac:dyDescent="0.35">
      <c r="B72" s="46"/>
      <c r="C72" s="47"/>
      <c r="D72" s="23"/>
      <c r="G72" s="21"/>
      <c r="I72" s="21"/>
      <c r="J72" s="49"/>
      <c r="K72" s="28"/>
      <c r="L72" s="51"/>
    </row>
    <row r="73" spans="2:19" x14ac:dyDescent="0.35">
      <c r="B73" s="8"/>
      <c r="C73" s="9"/>
      <c r="D73" s="10"/>
      <c r="E73" s="4"/>
      <c r="F73" s="4"/>
      <c r="G73" s="4"/>
      <c r="H73" s="1"/>
      <c r="I73" s="1"/>
      <c r="J73" s="11" t="s">
        <v>8</v>
      </c>
      <c r="K73" s="7">
        <f>SUM(K20:K72)</f>
        <v>0</v>
      </c>
      <c r="L73" s="7">
        <f>SUM(L20:L72)</f>
        <v>0</v>
      </c>
      <c r="M73" s="33"/>
      <c r="N73" s="33"/>
      <c r="P73" s="33"/>
      <c r="Q73" s="33"/>
      <c r="R73" s="33"/>
      <c r="S73" s="15"/>
    </row>
    <row r="74" spans="2:19" x14ac:dyDescent="0.35">
      <c r="B74" s="8"/>
      <c r="C74" s="9"/>
      <c r="D74" s="9"/>
      <c r="E74" s="4"/>
      <c r="F74" s="4"/>
      <c r="G74" s="4"/>
      <c r="H74" s="1"/>
      <c r="I74" s="1"/>
      <c r="J74" s="11"/>
      <c r="K74" s="34" t="s">
        <v>13</v>
      </c>
      <c r="L74" s="35" t="s">
        <v>14</v>
      </c>
      <c r="M74" s="33"/>
      <c r="N74" s="33"/>
      <c r="P74" s="33"/>
      <c r="Q74" s="33"/>
      <c r="R74" s="33"/>
      <c r="S74" s="15"/>
    </row>
    <row r="75" spans="2:19" x14ac:dyDescent="0.35">
      <c r="B75" s="3" t="s">
        <v>9</v>
      </c>
      <c r="C75" s="4"/>
      <c r="D75" s="4"/>
      <c r="E75" s="4"/>
      <c r="F75" s="4"/>
      <c r="G75" s="4"/>
      <c r="H75" s="1"/>
      <c r="I75" s="1"/>
      <c r="J75" s="12"/>
      <c r="K75" s="12"/>
      <c r="L75" s="13"/>
      <c r="M75" s="33"/>
      <c r="N75" s="33"/>
      <c r="P75" s="33"/>
      <c r="Q75" s="33"/>
      <c r="R75" s="33"/>
      <c r="S75" s="15"/>
    </row>
    <row r="76" spans="2:19" x14ac:dyDescent="0.35">
      <c r="B76" s="36"/>
      <c r="C76" s="1"/>
      <c r="D76" s="1"/>
      <c r="E76" s="37"/>
      <c r="F76" s="37"/>
      <c r="G76" s="37"/>
      <c r="H76" s="1"/>
      <c r="I76" s="1"/>
      <c r="J76" s="1"/>
      <c r="K76" s="1"/>
      <c r="L76" s="18"/>
    </row>
    <row r="77" spans="2:19" x14ac:dyDescent="0.35">
      <c r="B77" s="27" t="s">
        <v>6</v>
      </c>
      <c r="C77" s="26"/>
      <c r="D77" s="26"/>
      <c r="E77" s="25"/>
      <c r="F77" s="25"/>
      <c r="G77" s="5"/>
      <c r="K77" s="232" t="s">
        <v>813</v>
      </c>
      <c r="L77" s="233"/>
    </row>
    <row r="78" spans="2:19" x14ac:dyDescent="0.35">
      <c r="B78" s="27">
        <v>1</v>
      </c>
      <c r="C78" s="26"/>
      <c r="D78" s="26"/>
      <c r="E78" s="25" t="s">
        <v>7</v>
      </c>
      <c r="F78" s="25"/>
      <c r="G78" s="5"/>
      <c r="K78" s="232" t="s">
        <v>18</v>
      </c>
      <c r="L78" s="233"/>
    </row>
    <row r="79" spans="2:19" x14ac:dyDescent="0.35">
      <c r="B79" s="38"/>
      <c r="C79" s="26"/>
      <c r="D79" s="26"/>
      <c r="E79" s="25"/>
      <c r="F79" s="25"/>
      <c r="G79" s="5"/>
      <c r="J79" s="24"/>
      <c r="K79" s="24"/>
      <c r="L79" s="23"/>
    </row>
    <row r="80" spans="2:19" x14ac:dyDescent="0.35">
      <c r="B80" s="27"/>
      <c r="C80" s="26"/>
      <c r="D80" s="26"/>
      <c r="E80" s="25"/>
      <c r="F80" s="25"/>
      <c r="G80" s="5"/>
      <c r="L80" s="21"/>
    </row>
    <row r="81" spans="2:13" x14ac:dyDescent="0.35">
      <c r="B81" s="44"/>
      <c r="E81" s="5"/>
      <c r="F81" s="5"/>
      <c r="G81" s="5"/>
      <c r="L81" s="21"/>
    </row>
    <row r="82" spans="2:13" x14ac:dyDescent="0.35">
      <c r="B82" s="44"/>
      <c r="E82" s="5"/>
      <c r="F82" s="5"/>
      <c r="G82" s="5"/>
      <c r="L82" s="21"/>
    </row>
    <row r="83" spans="2:13" x14ac:dyDescent="0.35">
      <c r="B83" s="44"/>
      <c r="E83" s="5"/>
      <c r="F83" s="5"/>
      <c r="G83" s="5"/>
      <c r="L83" s="21"/>
    </row>
    <row r="84" spans="2:13" x14ac:dyDescent="0.35">
      <c r="B84" s="44"/>
      <c r="E84" s="5"/>
      <c r="F84" s="5"/>
      <c r="G84" s="5"/>
      <c r="J84" s="39"/>
      <c r="K84" s="234" t="s">
        <v>26</v>
      </c>
      <c r="L84" s="235"/>
      <c r="M84" s="39"/>
    </row>
    <row r="85" spans="2:13" x14ac:dyDescent="0.35">
      <c r="B85" s="44"/>
      <c r="K85" s="236" t="s">
        <v>27</v>
      </c>
      <c r="L85" s="237"/>
      <c r="M85" s="41"/>
    </row>
    <row r="86" spans="2:13" x14ac:dyDescent="0.35">
      <c r="B86" s="238"/>
      <c r="C86" s="239"/>
      <c r="D86" s="239"/>
      <c r="E86" s="40"/>
      <c r="F86" s="40"/>
      <c r="G86" s="40"/>
      <c r="H86" s="2"/>
      <c r="I86" s="2"/>
      <c r="J86" s="2"/>
      <c r="K86" s="2"/>
      <c r="L86" s="20"/>
    </row>
    <row r="87" spans="2:13" x14ac:dyDescent="0.35">
      <c r="B87" s="222"/>
      <c r="C87" s="47"/>
      <c r="D87" s="48"/>
      <c r="G87" s="21"/>
      <c r="H87" s="1"/>
      <c r="I87" s="1"/>
      <c r="J87" s="42"/>
      <c r="K87" s="29"/>
      <c r="L87" s="43"/>
    </row>
    <row r="88" spans="2:13" x14ac:dyDescent="0.35">
      <c r="B88" s="85" t="s">
        <v>114</v>
      </c>
      <c r="C88" s="86"/>
      <c r="D88" s="87"/>
      <c r="E88" s="88" t="s">
        <v>115</v>
      </c>
      <c r="F88" s="89"/>
      <c r="G88" s="72"/>
      <c r="H88" s="90"/>
      <c r="I88" s="72"/>
      <c r="J88" s="28"/>
      <c r="K88" s="50"/>
      <c r="L88" s="45"/>
    </row>
    <row r="89" spans="2:13" x14ac:dyDescent="0.35">
      <c r="B89" s="77"/>
      <c r="C89" s="78"/>
      <c r="D89" s="79" t="s">
        <v>34</v>
      </c>
      <c r="E89" s="73"/>
      <c r="F89" s="73" t="s">
        <v>116</v>
      </c>
      <c r="G89" s="66"/>
      <c r="H89" s="76">
        <v>1</v>
      </c>
      <c r="I89" s="66" t="s">
        <v>36</v>
      </c>
      <c r="J89" s="202"/>
      <c r="K89" s="50"/>
      <c r="L89" s="45"/>
    </row>
    <row r="90" spans="2:13" x14ac:dyDescent="0.35">
      <c r="B90" s="80" t="s">
        <v>117</v>
      </c>
      <c r="C90" s="78"/>
      <c r="D90" s="79"/>
      <c r="E90" s="81" t="s">
        <v>118</v>
      </c>
      <c r="F90" s="73"/>
      <c r="G90" s="66"/>
      <c r="H90" s="76"/>
      <c r="I90" s="52"/>
      <c r="J90" s="49"/>
      <c r="K90" s="50"/>
      <c r="L90" s="45"/>
    </row>
    <row r="91" spans="2:13" x14ac:dyDescent="0.35">
      <c r="B91" s="77"/>
      <c r="C91" s="78"/>
      <c r="D91" s="79" t="s">
        <v>34</v>
      </c>
      <c r="E91" s="73"/>
      <c r="F91" s="73" t="s">
        <v>119</v>
      </c>
      <c r="G91" s="66"/>
      <c r="H91" s="76">
        <v>9</v>
      </c>
      <c r="I91" s="66" t="s">
        <v>120</v>
      </c>
      <c r="J91" s="202"/>
      <c r="K91" s="50"/>
      <c r="L91" s="45"/>
    </row>
    <row r="92" spans="2:13" x14ac:dyDescent="0.35">
      <c r="B92" s="67"/>
      <c r="C92" s="68"/>
      <c r="D92" s="79" t="s">
        <v>37</v>
      </c>
      <c r="E92" s="73"/>
      <c r="F92" s="73" t="s">
        <v>121</v>
      </c>
      <c r="G92" s="66"/>
      <c r="H92" s="76">
        <v>2</v>
      </c>
      <c r="I92" s="66" t="s">
        <v>122</v>
      </c>
      <c r="J92" s="208"/>
      <c r="K92" s="50"/>
      <c r="L92" s="45"/>
    </row>
    <row r="93" spans="2:13" x14ac:dyDescent="0.35">
      <c r="B93" s="67"/>
      <c r="C93" s="68"/>
      <c r="D93" s="64" t="s">
        <v>39</v>
      </c>
      <c r="E93" s="60"/>
      <c r="F93" s="73" t="s">
        <v>123</v>
      </c>
      <c r="G93" s="66"/>
      <c r="H93" s="76">
        <v>9</v>
      </c>
      <c r="I93" s="66" t="s">
        <v>120</v>
      </c>
      <c r="J93" s="202"/>
      <c r="K93" s="50"/>
      <c r="L93" s="45"/>
    </row>
    <row r="94" spans="2:13" x14ac:dyDescent="0.35">
      <c r="B94" s="69" t="s">
        <v>124</v>
      </c>
      <c r="C94" s="70"/>
      <c r="D94" s="71"/>
      <c r="E94" s="58" t="s">
        <v>125</v>
      </c>
      <c r="F94" s="60"/>
      <c r="G94" s="52"/>
      <c r="H94" s="75"/>
      <c r="I94" s="52"/>
      <c r="J94" s="49"/>
      <c r="K94" s="28"/>
      <c r="L94" s="51"/>
    </row>
    <row r="95" spans="2:13" x14ac:dyDescent="0.35">
      <c r="B95" s="67"/>
      <c r="C95" s="68"/>
      <c r="D95" s="64" t="s">
        <v>34</v>
      </c>
      <c r="E95" s="60"/>
      <c r="F95" s="60" t="s">
        <v>126</v>
      </c>
      <c r="G95" s="52"/>
      <c r="H95" s="75">
        <v>1</v>
      </c>
      <c r="I95" s="52" t="s">
        <v>36</v>
      </c>
      <c r="J95" s="202"/>
      <c r="K95" s="209"/>
      <c r="L95" s="45"/>
    </row>
    <row r="96" spans="2:13" x14ac:dyDescent="0.35">
      <c r="B96" s="69" t="s">
        <v>127</v>
      </c>
      <c r="C96" s="70"/>
      <c r="D96" s="71"/>
      <c r="E96" s="58" t="s">
        <v>128</v>
      </c>
      <c r="F96" s="81"/>
      <c r="G96" s="66"/>
      <c r="H96" s="76"/>
      <c r="I96" s="66"/>
      <c r="J96" s="49"/>
      <c r="K96" s="28"/>
      <c r="L96" s="51"/>
    </row>
    <row r="97" spans="2:12" x14ac:dyDescent="0.35">
      <c r="B97" s="67"/>
      <c r="C97" s="68"/>
      <c r="D97" s="64" t="s">
        <v>34</v>
      </c>
      <c r="E97" s="60"/>
      <c r="F97" s="73" t="s">
        <v>129</v>
      </c>
      <c r="G97" s="66"/>
      <c r="H97" s="76"/>
      <c r="I97" s="66"/>
      <c r="J97" s="49"/>
      <c r="K97" s="28"/>
      <c r="L97" s="51"/>
    </row>
    <row r="98" spans="2:12" x14ac:dyDescent="0.35">
      <c r="B98" s="67"/>
      <c r="C98" s="68"/>
      <c r="D98" s="64"/>
      <c r="E98" s="60"/>
      <c r="F98" s="73" t="s">
        <v>130</v>
      </c>
      <c r="G98" s="66" t="s">
        <v>131</v>
      </c>
      <c r="H98" s="76">
        <v>1</v>
      </c>
      <c r="I98" s="66" t="s">
        <v>132</v>
      </c>
      <c r="J98" s="202"/>
      <c r="K98" s="50"/>
      <c r="L98" s="45"/>
    </row>
    <row r="99" spans="2:12" x14ac:dyDescent="0.35">
      <c r="B99" s="55" t="s">
        <v>133</v>
      </c>
      <c r="C99" s="62"/>
      <c r="D99" s="79"/>
      <c r="E99" s="73" t="s">
        <v>12</v>
      </c>
      <c r="F99" s="60"/>
      <c r="G99" s="52"/>
      <c r="H99" s="90"/>
      <c r="I99" s="72"/>
      <c r="J99" s="49"/>
      <c r="K99" s="28"/>
      <c r="L99" s="51"/>
    </row>
    <row r="100" spans="2:12" x14ac:dyDescent="0.35">
      <c r="B100" s="80"/>
      <c r="C100" s="78"/>
      <c r="D100" s="79" t="s">
        <v>34</v>
      </c>
      <c r="E100" s="81"/>
      <c r="F100" s="73" t="s">
        <v>134</v>
      </c>
      <c r="G100" s="66"/>
      <c r="H100" s="76">
        <v>1</v>
      </c>
      <c r="I100" s="66" t="s">
        <v>94</v>
      </c>
      <c r="J100" s="202"/>
      <c r="K100" s="50"/>
      <c r="L100" s="45"/>
    </row>
    <row r="101" spans="2:12" x14ac:dyDescent="0.35">
      <c r="B101" s="80"/>
      <c r="C101" s="78"/>
      <c r="D101" s="79" t="s">
        <v>37</v>
      </c>
      <c r="E101" s="81"/>
      <c r="F101" s="73" t="s">
        <v>135</v>
      </c>
      <c r="G101" s="66"/>
      <c r="H101" s="76">
        <v>1</v>
      </c>
      <c r="I101" s="66" t="s">
        <v>94</v>
      </c>
      <c r="J101" s="202"/>
      <c r="K101" s="50"/>
      <c r="L101" s="45"/>
    </row>
    <row r="102" spans="2:12" x14ac:dyDescent="0.35">
      <c r="B102" s="67"/>
      <c r="C102" s="68"/>
      <c r="D102" s="64"/>
      <c r="E102" s="60"/>
      <c r="F102" s="73"/>
      <c r="G102" s="66"/>
      <c r="H102" s="76"/>
      <c r="I102" s="66"/>
      <c r="J102" s="49"/>
      <c r="K102" s="28"/>
      <c r="L102" s="51"/>
    </row>
    <row r="103" spans="2:12" x14ac:dyDescent="0.35">
      <c r="B103" s="82"/>
      <c r="C103" s="62"/>
      <c r="D103" s="68"/>
      <c r="E103" s="91" t="s">
        <v>136</v>
      </c>
      <c r="F103" s="92"/>
      <c r="G103" s="93"/>
      <c r="H103" s="94"/>
      <c r="I103" s="95"/>
      <c r="J103" s="49"/>
      <c r="K103" s="28"/>
      <c r="L103" s="51"/>
    </row>
    <row r="104" spans="2:12" x14ac:dyDescent="0.35">
      <c r="B104" s="96" t="s">
        <v>33</v>
      </c>
      <c r="C104" s="68"/>
      <c r="D104" s="68"/>
      <c r="E104" s="97" t="s">
        <v>137</v>
      </c>
      <c r="F104" s="60"/>
      <c r="G104" s="98"/>
      <c r="H104" s="60"/>
      <c r="I104" s="98"/>
      <c r="J104" s="49"/>
      <c r="K104" s="28"/>
      <c r="L104" s="51"/>
    </row>
    <row r="105" spans="2:12" x14ac:dyDescent="0.35">
      <c r="B105" s="96"/>
      <c r="C105" s="68" t="s">
        <v>138</v>
      </c>
      <c r="D105" s="64"/>
      <c r="E105" s="99"/>
      <c r="F105" s="60" t="s">
        <v>139</v>
      </c>
      <c r="G105" s="98"/>
      <c r="H105" s="60"/>
      <c r="I105" s="98"/>
      <c r="J105" s="49"/>
      <c r="K105" s="28"/>
      <c r="L105" s="51"/>
    </row>
    <row r="106" spans="2:12" x14ac:dyDescent="0.35">
      <c r="B106" s="96"/>
      <c r="C106" s="68"/>
      <c r="D106" s="100" t="s">
        <v>34</v>
      </c>
      <c r="E106" s="101"/>
      <c r="F106" s="60" t="s">
        <v>140</v>
      </c>
      <c r="G106" s="98"/>
      <c r="H106" s="102">
        <v>1</v>
      </c>
      <c r="I106" s="98" t="s">
        <v>94</v>
      </c>
      <c r="J106" s="202"/>
      <c r="K106" s="50"/>
      <c r="L106" s="45"/>
    </row>
    <row r="107" spans="2:12" x14ac:dyDescent="0.35">
      <c r="B107" s="103"/>
      <c r="C107" s="68"/>
      <c r="D107" s="100"/>
      <c r="E107" s="60"/>
      <c r="F107" s="101" t="s">
        <v>130</v>
      </c>
      <c r="G107" s="52" t="s">
        <v>146</v>
      </c>
      <c r="H107" s="102"/>
      <c r="I107" s="98"/>
      <c r="J107" s="49"/>
      <c r="K107" s="28"/>
      <c r="L107" s="51"/>
    </row>
    <row r="108" spans="2:12" x14ac:dyDescent="0.35">
      <c r="B108" s="103"/>
      <c r="C108" s="68"/>
      <c r="D108" s="100"/>
      <c r="E108" s="58"/>
      <c r="F108" s="101" t="s">
        <v>130</v>
      </c>
      <c r="G108" s="52" t="s">
        <v>413</v>
      </c>
      <c r="H108" s="60"/>
      <c r="I108" s="98"/>
      <c r="J108" s="49"/>
      <c r="K108" s="28"/>
      <c r="L108" s="51"/>
    </row>
    <row r="109" spans="2:12" x14ac:dyDescent="0.35">
      <c r="B109" s="96"/>
      <c r="C109" s="68"/>
      <c r="D109" s="100"/>
      <c r="E109" s="58"/>
      <c r="F109" s="101" t="s">
        <v>130</v>
      </c>
      <c r="G109" s="52" t="s">
        <v>762</v>
      </c>
      <c r="H109" s="60"/>
      <c r="I109" s="98"/>
      <c r="J109" s="49"/>
      <c r="K109" s="28"/>
      <c r="L109" s="51"/>
    </row>
    <row r="110" spans="2:12" x14ac:dyDescent="0.35">
      <c r="B110" s="96"/>
      <c r="C110" s="68"/>
      <c r="D110" s="100"/>
      <c r="E110" s="58"/>
      <c r="F110" s="101" t="s">
        <v>130</v>
      </c>
      <c r="G110" s="52" t="s">
        <v>154</v>
      </c>
      <c r="H110" s="102"/>
      <c r="I110" s="98"/>
      <c r="J110" s="49"/>
      <c r="K110" s="28"/>
      <c r="L110" s="51"/>
    </row>
    <row r="111" spans="2:12" x14ac:dyDescent="0.35">
      <c r="B111" s="96"/>
      <c r="C111" s="68"/>
      <c r="D111" s="100" t="s">
        <v>37</v>
      </c>
      <c r="E111" s="101"/>
      <c r="F111" s="60" t="s">
        <v>144</v>
      </c>
      <c r="G111" s="98"/>
      <c r="H111" s="102">
        <v>1</v>
      </c>
      <c r="I111" s="98" t="s">
        <v>94</v>
      </c>
      <c r="J111" s="202"/>
      <c r="K111" s="50"/>
      <c r="L111" s="45"/>
    </row>
    <row r="112" spans="2:12" x14ac:dyDescent="0.35">
      <c r="B112" s="103"/>
      <c r="C112" s="68"/>
      <c r="D112" s="100"/>
      <c r="E112" s="60"/>
      <c r="F112" s="101" t="s">
        <v>130</v>
      </c>
      <c r="G112" s="52" t="s">
        <v>146</v>
      </c>
      <c r="H112" s="102"/>
      <c r="I112" s="98"/>
      <c r="J112" s="49"/>
      <c r="K112" s="28"/>
      <c r="L112" s="51"/>
    </row>
    <row r="113" spans="2:12" x14ac:dyDescent="0.35">
      <c r="B113" s="103"/>
      <c r="C113" s="68"/>
      <c r="D113" s="100"/>
      <c r="E113" s="58"/>
      <c r="F113" s="101" t="s">
        <v>130</v>
      </c>
      <c r="G113" s="52" t="s">
        <v>413</v>
      </c>
      <c r="H113" s="60"/>
      <c r="I113" s="98"/>
      <c r="J113" s="49"/>
      <c r="K113" s="28"/>
      <c r="L113" s="51"/>
    </row>
    <row r="114" spans="2:12" x14ac:dyDescent="0.35">
      <c r="B114" s="96"/>
      <c r="C114" s="68"/>
      <c r="D114" s="100"/>
      <c r="E114" s="58"/>
      <c r="F114" s="101" t="s">
        <v>130</v>
      </c>
      <c r="G114" s="52" t="s">
        <v>762</v>
      </c>
      <c r="H114" s="60"/>
      <c r="I114" s="98"/>
      <c r="J114" s="49"/>
      <c r="K114" s="28"/>
      <c r="L114" s="51"/>
    </row>
    <row r="115" spans="2:12" x14ac:dyDescent="0.35">
      <c r="B115" s="96"/>
      <c r="C115" s="68"/>
      <c r="D115" s="100"/>
      <c r="E115" s="58"/>
      <c r="F115" s="101" t="s">
        <v>130</v>
      </c>
      <c r="G115" s="52" t="s">
        <v>154</v>
      </c>
      <c r="H115" s="102"/>
      <c r="I115" s="98"/>
      <c r="J115" s="49"/>
      <c r="K115" s="28"/>
      <c r="L115" s="51"/>
    </row>
    <row r="116" spans="2:12" x14ac:dyDescent="0.35">
      <c r="B116" s="96"/>
      <c r="C116" s="68"/>
      <c r="D116" s="100"/>
      <c r="E116" s="58"/>
      <c r="F116" s="101" t="s">
        <v>130</v>
      </c>
      <c r="G116" s="52" t="s">
        <v>763</v>
      </c>
      <c r="H116" s="102"/>
      <c r="I116" s="98"/>
      <c r="J116" s="49"/>
      <c r="K116" s="28"/>
      <c r="L116" s="51"/>
    </row>
    <row r="117" spans="2:12" x14ac:dyDescent="0.35">
      <c r="B117" s="103"/>
      <c r="C117" s="68"/>
      <c r="D117" s="100" t="s">
        <v>39</v>
      </c>
      <c r="E117" s="101"/>
      <c r="F117" s="60" t="s">
        <v>145</v>
      </c>
      <c r="G117" s="98"/>
      <c r="H117" s="102">
        <v>2</v>
      </c>
      <c r="I117" s="98" t="s">
        <v>94</v>
      </c>
      <c r="J117" s="202"/>
      <c r="K117" s="50"/>
      <c r="L117" s="45"/>
    </row>
    <row r="118" spans="2:12" x14ac:dyDescent="0.35">
      <c r="B118" s="96"/>
      <c r="C118" s="68"/>
      <c r="D118" s="100"/>
      <c r="E118" s="60"/>
      <c r="F118" s="101" t="s">
        <v>130</v>
      </c>
      <c r="G118" s="52" t="s">
        <v>146</v>
      </c>
      <c r="H118" s="102"/>
      <c r="I118" s="98"/>
      <c r="J118" s="49"/>
      <c r="K118" s="28"/>
      <c r="L118" s="51"/>
    </row>
    <row r="119" spans="2:12" x14ac:dyDescent="0.35">
      <c r="B119" s="96"/>
      <c r="C119" s="68"/>
      <c r="D119" s="100"/>
      <c r="E119" s="58"/>
      <c r="F119" s="101" t="s">
        <v>130</v>
      </c>
      <c r="G119" s="52" t="s">
        <v>147</v>
      </c>
      <c r="H119" s="60"/>
      <c r="I119" s="98"/>
      <c r="J119" s="49"/>
      <c r="K119" s="28"/>
      <c r="L119" s="51"/>
    </row>
    <row r="120" spans="2:12" x14ac:dyDescent="0.35">
      <c r="B120" s="69"/>
      <c r="C120" s="68"/>
      <c r="D120" s="100"/>
      <c r="E120" s="58"/>
      <c r="F120" s="101" t="s">
        <v>130</v>
      </c>
      <c r="G120" s="52" t="s">
        <v>149</v>
      </c>
      <c r="H120" s="102"/>
      <c r="I120" s="98"/>
      <c r="J120" s="49"/>
      <c r="K120" s="28"/>
      <c r="L120" s="51"/>
    </row>
    <row r="121" spans="2:12" x14ac:dyDescent="0.35">
      <c r="B121" s="69"/>
      <c r="C121" s="68"/>
      <c r="D121" s="100" t="s">
        <v>41</v>
      </c>
      <c r="E121" s="101"/>
      <c r="F121" s="60" t="s">
        <v>150</v>
      </c>
      <c r="G121" s="98"/>
      <c r="H121" s="102">
        <v>1</v>
      </c>
      <c r="I121" s="98" t="s">
        <v>94</v>
      </c>
      <c r="J121" s="202"/>
      <c r="K121" s="50"/>
      <c r="L121" s="45"/>
    </row>
    <row r="122" spans="2:12" x14ac:dyDescent="0.35">
      <c r="B122" s="82"/>
      <c r="C122" s="68"/>
      <c r="D122" s="100"/>
      <c r="E122" s="60"/>
      <c r="F122" s="101" t="s">
        <v>130</v>
      </c>
      <c r="G122" s="52" t="s">
        <v>146</v>
      </c>
      <c r="H122" s="102"/>
      <c r="I122" s="98"/>
      <c r="J122" s="49"/>
      <c r="K122" s="28"/>
      <c r="L122" s="51"/>
    </row>
    <row r="123" spans="2:12" x14ac:dyDescent="0.35">
      <c r="B123" s="82"/>
      <c r="C123" s="70"/>
      <c r="D123" s="100"/>
      <c r="E123" s="58"/>
      <c r="F123" s="101" t="s">
        <v>130</v>
      </c>
      <c r="G123" s="52" t="s">
        <v>413</v>
      </c>
      <c r="H123" s="60"/>
      <c r="I123" s="98"/>
      <c r="J123" s="49"/>
      <c r="K123" s="28"/>
      <c r="L123" s="51"/>
    </row>
    <row r="124" spans="2:12" x14ac:dyDescent="0.35">
      <c r="B124" s="82"/>
      <c r="C124" s="70"/>
      <c r="D124" s="100"/>
      <c r="E124" s="58"/>
      <c r="F124" s="101" t="s">
        <v>130</v>
      </c>
      <c r="G124" s="52" t="s">
        <v>764</v>
      </c>
      <c r="H124" s="60"/>
      <c r="I124" s="98"/>
      <c r="J124" s="49"/>
      <c r="K124" s="28"/>
      <c r="L124" s="51"/>
    </row>
    <row r="125" spans="2:12" x14ac:dyDescent="0.35">
      <c r="B125" s="82"/>
      <c r="C125" s="68"/>
      <c r="D125" s="100"/>
      <c r="E125" s="58"/>
      <c r="F125" s="101" t="s">
        <v>130</v>
      </c>
      <c r="G125" s="52" t="s">
        <v>154</v>
      </c>
      <c r="H125" s="102"/>
      <c r="I125" s="98"/>
      <c r="J125" s="49"/>
      <c r="K125" s="28"/>
      <c r="L125" s="51"/>
    </row>
    <row r="126" spans="2:12" x14ac:dyDescent="0.35">
      <c r="B126" s="82"/>
      <c r="C126" s="78"/>
      <c r="D126" s="100" t="s">
        <v>44</v>
      </c>
      <c r="E126" s="101"/>
      <c r="F126" s="60" t="s">
        <v>151</v>
      </c>
      <c r="G126" s="98"/>
      <c r="H126" s="102">
        <v>2</v>
      </c>
      <c r="I126" s="98" t="s">
        <v>94</v>
      </c>
      <c r="J126" s="202"/>
      <c r="K126" s="50"/>
      <c r="L126" s="45"/>
    </row>
    <row r="127" spans="2:12" x14ac:dyDescent="0.35">
      <c r="B127" s="69"/>
      <c r="C127" s="70"/>
      <c r="D127" s="100"/>
      <c r="E127" s="60"/>
      <c r="F127" s="101" t="s">
        <v>130</v>
      </c>
      <c r="G127" s="52" t="s">
        <v>146</v>
      </c>
      <c r="H127" s="102"/>
      <c r="I127" s="98"/>
      <c r="J127" s="49"/>
      <c r="K127" s="28"/>
      <c r="L127" s="51"/>
    </row>
    <row r="128" spans="2:12" x14ac:dyDescent="0.35">
      <c r="B128" s="69"/>
      <c r="C128" s="70"/>
      <c r="D128" s="100"/>
      <c r="E128" s="58"/>
      <c r="F128" s="101" t="s">
        <v>130</v>
      </c>
      <c r="G128" s="52" t="s">
        <v>152</v>
      </c>
      <c r="H128" s="60"/>
      <c r="I128" s="98"/>
      <c r="J128" s="49"/>
      <c r="K128" s="28"/>
      <c r="L128" s="51"/>
    </row>
    <row r="129" spans="2:12" x14ac:dyDescent="0.35">
      <c r="B129" s="69"/>
      <c r="C129" s="70"/>
      <c r="D129" s="100"/>
      <c r="E129" s="58"/>
      <c r="F129" s="101" t="s">
        <v>130</v>
      </c>
      <c r="G129" s="52" t="s">
        <v>153</v>
      </c>
      <c r="H129" s="60"/>
      <c r="I129" s="98"/>
      <c r="J129" s="49"/>
      <c r="K129" s="28"/>
      <c r="L129" s="51"/>
    </row>
    <row r="130" spans="2:12" x14ac:dyDescent="0.35">
      <c r="B130" s="69"/>
      <c r="C130" s="70"/>
      <c r="D130" s="100"/>
      <c r="E130" s="58"/>
      <c r="F130" s="101" t="s">
        <v>130</v>
      </c>
      <c r="G130" s="52" t="s">
        <v>154</v>
      </c>
      <c r="H130" s="102"/>
      <c r="I130" s="98"/>
      <c r="J130" s="49"/>
      <c r="K130" s="28"/>
      <c r="L130" s="51"/>
    </row>
    <row r="131" spans="2:12" x14ac:dyDescent="0.35">
      <c r="B131" s="82"/>
      <c r="C131" s="78"/>
      <c r="D131" s="100" t="s">
        <v>46</v>
      </c>
      <c r="E131" s="101"/>
      <c r="F131" s="60" t="s">
        <v>155</v>
      </c>
      <c r="G131" s="98"/>
      <c r="H131" s="102">
        <v>1</v>
      </c>
      <c r="I131" s="98" t="s">
        <v>94</v>
      </c>
      <c r="J131" s="202"/>
      <c r="K131" s="50"/>
      <c r="L131" s="45"/>
    </row>
    <row r="132" spans="2:12" x14ac:dyDescent="0.35">
      <c r="B132" s="69"/>
      <c r="C132" s="70"/>
      <c r="D132" s="100"/>
      <c r="E132" s="58"/>
      <c r="F132" s="101" t="s">
        <v>130</v>
      </c>
      <c r="G132" s="52" t="s">
        <v>765</v>
      </c>
      <c r="H132" s="60"/>
      <c r="I132" s="98"/>
      <c r="J132" s="49"/>
      <c r="K132" s="28"/>
      <c r="L132" s="51"/>
    </row>
    <row r="133" spans="2:12" x14ac:dyDescent="0.35">
      <c r="B133" s="69"/>
      <c r="C133" s="70"/>
      <c r="D133" s="100"/>
      <c r="E133" s="58"/>
      <c r="F133" s="101" t="s">
        <v>130</v>
      </c>
      <c r="G133" s="52" t="s">
        <v>766</v>
      </c>
      <c r="H133" s="60"/>
      <c r="I133" s="98"/>
      <c r="J133" s="49"/>
      <c r="K133" s="28"/>
      <c r="L133" s="51"/>
    </row>
    <row r="134" spans="2:12" x14ac:dyDescent="0.35">
      <c r="B134" s="69"/>
      <c r="C134" s="70"/>
      <c r="D134" s="100"/>
      <c r="E134" s="58"/>
      <c r="F134" s="101" t="s">
        <v>130</v>
      </c>
      <c r="G134" s="52" t="s">
        <v>767</v>
      </c>
      <c r="H134" s="102"/>
      <c r="I134" s="98"/>
      <c r="J134" s="49"/>
      <c r="K134" s="28"/>
      <c r="L134" s="51"/>
    </row>
    <row r="135" spans="2:12" x14ac:dyDescent="0.35">
      <c r="B135" s="82"/>
      <c r="C135" s="78"/>
      <c r="D135" s="100" t="s">
        <v>48</v>
      </c>
      <c r="E135" s="101"/>
      <c r="F135" s="60" t="s">
        <v>156</v>
      </c>
      <c r="G135" s="98"/>
      <c r="H135" s="102">
        <v>1</v>
      </c>
      <c r="I135" s="98" t="s">
        <v>94</v>
      </c>
      <c r="J135" s="202"/>
      <c r="K135" s="50"/>
      <c r="L135" s="45"/>
    </row>
    <row r="136" spans="2:12" x14ac:dyDescent="0.35">
      <c r="B136" s="69"/>
      <c r="C136" s="70"/>
      <c r="D136" s="100"/>
      <c r="E136" s="58"/>
      <c r="F136" s="101" t="s">
        <v>130</v>
      </c>
      <c r="G136" s="52" t="s">
        <v>765</v>
      </c>
      <c r="H136" s="60"/>
      <c r="I136" s="98"/>
      <c r="J136" s="49"/>
      <c r="K136" s="28"/>
      <c r="L136" s="51"/>
    </row>
    <row r="137" spans="2:12" x14ac:dyDescent="0.35">
      <c r="B137" s="69"/>
      <c r="C137" s="70"/>
      <c r="D137" s="100"/>
      <c r="E137" s="58"/>
      <c r="F137" s="101" t="s">
        <v>130</v>
      </c>
      <c r="G137" s="52" t="s">
        <v>768</v>
      </c>
      <c r="H137" s="60"/>
      <c r="I137" s="98"/>
      <c r="J137" s="49"/>
      <c r="K137" s="28"/>
      <c r="L137" s="51"/>
    </row>
    <row r="138" spans="2:12" x14ac:dyDescent="0.35">
      <c r="B138" s="69"/>
      <c r="C138" s="70"/>
      <c r="D138" s="100"/>
      <c r="E138" s="58"/>
      <c r="F138" s="101" t="s">
        <v>130</v>
      </c>
      <c r="G138" s="52" t="s">
        <v>767</v>
      </c>
      <c r="H138" s="102"/>
      <c r="I138" s="98"/>
      <c r="J138" s="49"/>
      <c r="K138" s="28"/>
      <c r="L138" s="51"/>
    </row>
    <row r="139" spans="2:12" x14ac:dyDescent="0.35">
      <c r="B139" s="223"/>
      <c r="C139" s="70"/>
      <c r="D139" s="100"/>
      <c r="E139" s="58"/>
      <c r="F139" s="101"/>
      <c r="G139" s="52"/>
      <c r="H139" s="102"/>
      <c r="I139" s="98"/>
      <c r="J139" s="49"/>
      <c r="K139" s="28"/>
      <c r="L139" s="51"/>
    </row>
    <row r="140" spans="2:12" x14ac:dyDescent="0.35">
      <c r="B140" s="8"/>
      <c r="C140" s="9"/>
      <c r="D140" s="10"/>
      <c r="E140" s="4"/>
      <c r="F140" s="4"/>
      <c r="G140" s="4"/>
      <c r="H140" s="1"/>
      <c r="I140" s="1"/>
      <c r="J140" s="11" t="s">
        <v>8</v>
      </c>
      <c r="K140" s="7">
        <f>SUM(K87:K139)</f>
        <v>0</v>
      </c>
      <c r="L140" s="7">
        <f>SUM(L87:L139)</f>
        <v>0</v>
      </c>
    </row>
    <row r="141" spans="2:12" x14ac:dyDescent="0.35">
      <c r="B141" s="8"/>
      <c r="C141" s="9"/>
      <c r="D141" s="9"/>
      <c r="E141" s="4"/>
      <c r="F141" s="4"/>
      <c r="G141" s="4"/>
      <c r="H141" s="1"/>
      <c r="I141" s="1"/>
      <c r="J141" s="11"/>
      <c r="K141" s="34" t="s">
        <v>13</v>
      </c>
      <c r="L141" s="35" t="s">
        <v>14</v>
      </c>
    </row>
    <row r="142" spans="2:12" x14ac:dyDescent="0.35">
      <c r="B142" s="3" t="s">
        <v>9</v>
      </c>
      <c r="C142" s="4"/>
      <c r="D142" s="4"/>
      <c r="E142" s="4"/>
      <c r="F142" s="4"/>
      <c r="G142" s="4"/>
      <c r="H142" s="1"/>
      <c r="I142" s="1"/>
      <c r="J142" s="12"/>
      <c r="K142" s="12"/>
      <c r="L142" s="13"/>
    </row>
    <row r="143" spans="2:12" x14ac:dyDescent="0.35">
      <c r="B143" s="36"/>
      <c r="C143" s="1"/>
      <c r="D143" s="1"/>
      <c r="E143" s="37"/>
      <c r="F143" s="37"/>
      <c r="G143" s="37"/>
      <c r="H143" s="1"/>
      <c r="I143" s="1"/>
      <c r="J143" s="1"/>
      <c r="K143" s="1"/>
      <c r="L143" s="18"/>
    </row>
    <row r="144" spans="2:12" x14ac:dyDescent="0.35">
      <c r="B144" s="27" t="s">
        <v>6</v>
      </c>
      <c r="C144" s="26"/>
      <c r="D144" s="26"/>
      <c r="E144" s="25"/>
      <c r="F144" s="25"/>
      <c r="G144" s="5"/>
      <c r="K144" s="232" t="s">
        <v>813</v>
      </c>
      <c r="L144" s="233"/>
    </row>
    <row r="145" spans="2:12" x14ac:dyDescent="0.35">
      <c r="B145" s="27">
        <v>1</v>
      </c>
      <c r="C145" s="26"/>
      <c r="D145" s="26"/>
      <c r="E145" s="25" t="s">
        <v>7</v>
      </c>
      <c r="F145" s="25"/>
      <c r="G145" s="5"/>
      <c r="K145" s="232" t="s">
        <v>18</v>
      </c>
      <c r="L145" s="233"/>
    </row>
    <row r="146" spans="2:12" x14ac:dyDescent="0.35">
      <c r="B146" s="38"/>
      <c r="C146" s="26"/>
      <c r="D146" s="26"/>
      <c r="E146" s="25"/>
      <c r="F146" s="25"/>
      <c r="G146" s="5"/>
      <c r="J146" s="24"/>
      <c r="K146" s="24"/>
      <c r="L146" s="23"/>
    </row>
    <row r="147" spans="2:12" x14ac:dyDescent="0.35">
      <c r="B147" s="27"/>
      <c r="C147" s="26"/>
      <c r="D147" s="26"/>
      <c r="E147" s="25"/>
      <c r="F147" s="25"/>
      <c r="G147" s="5"/>
      <c r="L147" s="21"/>
    </row>
    <row r="148" spans="2:12" x14ac:dyDescent="0.35">
      <c r="B148" s="44"/>
      <c r="E148" s="5"/>
      <c r="F148" s="5"/>
      <c r="G148" s="5"/>
      <c r="L148" s="21"/>
    </row>
    <row r="149" spans="2:12" x14ac:dyDescent="0.35">
      <c r="B149" s="44"/>
      <c r="E149" s="5"/>
      <c r="F149" s="5"/>
      <c r="G149" s="5"/>
      <c r="L149" s="21"/>
    </row>
    <row r="150" spans="2:12" x14ac:dyDescent="0.35">
      <c r="B150" s="44"/>
      <c r="E150" s="5"/>
      <c r="F150" s="5"/>
      <c r="G150" s="5"/>
      <c r="L150" s="21"/>
    </row>
    <row r="151" spans="2:12" x14ac:dyDescent="0.35">
      <c r="B151" s="44"/>
      <c r="E151" s="5"/>
      <c r="F151" s="5"/>
      <c r="G151" s="5"/>
      <c r="J151" s="39"/>
      <c r="K151" s="234" t="s">
        <v>26</v>
      </c>
      <c r="L151" s="235"/>
    </row>
    <row r="152" spans="2:12" x14ac:dyDescent="0.35">
      <c r="B152" s="44"/>
      <c r="K152" s="236" t="s">
        <v>27</v>
      </c>
      <c r="L152" s="237"/>
    </row>
    <row r="153" spans="2:12" x14ac:dyDescent="0.35">
      <c r="B153" s="238"/>
      <c r="C153" s="239"/>
      <c r="D153" s="239"/>
      <c r="E153" s="40"/>
      <c r="F153" s="40"/>
      <c r="G153" s="40"/>
      <c r="H153" s="2"/>
      <c r="I153" s="2"/>
      <c r="J153" s="2"/>
      <c r="K153" s="2"/>
      <c r="L153" s="20"/>
    </row>
    <row r="154" spans="2:12" x14ac:dyDescent="0.35">
      <c r="B154" s="222"/>
      <c r="C154" s="47"/>
      <c r="D154" s="48"/>
      <c r="G154" s="21"/>
      <c r="H154" s="1"/>
      <c r="I154" s="1"/>
      <c r="J154" s="42"/>
      <c r="K154" s="29"/>
      <c r="L154" s="43"/>
    </row>
    <row r="155" spans="2:12" x14ac:dyDescent="0.35">
      <c r="B155" s="159" t="s">
        <v>70</v>
      </c>
      <c r="C155" s="104"/>
      <c r="D155" s="105"/>
      <c r="E155" s="106" t="s">
        <v>115</v>
      </c>
      <c r="F155" s="60"/>
      <c r="G155" s="52"/>
      <c r="H155" s="102"/>
      <c r="I155" s="98"/>
      <c r="J155" s="28"/>
      <c r="K155" s="50"/>
      <c r="L155" s="45"/>
    </row>
    <row r="156" spans="2:12" x14ac:dyDescent="0.35">
      <c r="B156" s="159"/>
      <c r="C156" s="104" t="s">
        <v>157</v>
      </c>
      <c r="D156" s="105"/>
      <c r="E156" s="101"/>
      <c r="F156" s="60" t="s">
        <v>158</v>
      </c>
      <c r="G156" s="52"/>
      <c r="H156" s="102"/>
      <c r="I156" s="98"/>
      <c r="J156" s="49"/>
      <c r="K156" s="50"/>
      <c r="L156" s="45"/>
    </row>
    <row r="157" spans="2:12" x14ac:dyDescent="0.35">
      <c r="B157" s="159"/>
      <c r="C157" s="104"/>
      <c r="D157" s="105" t="s">
        <v>34</v>
      </c>
      <c r="E157" s="101"/>
      <c r="F157" s="60" t="s">
        <v>159</v>
      </c>
      <c r="G157" s="52"/>
      <c r="H157" s="102">
        <v>9</v>
      </c>
      <c r="I157" s="98" t="s">
        <v>160</v>
      </c>
      <c r="J157" s="202"/>
      <c r="K157" s="50"/>
      <c r="L157" s="45"/>
    </row>
    <row r="158" spans="2:12" x14ac:dyDescent="0.35">
      <c r="B158" s="159"/>
      <c r="C158" s="104"/>
      <c r="D158" s="105"/>
      <c r="E158" s="101"/>
      <c r="F158" s="60" t="s">
        <v>130</v>
      </c>
      <c r="G158" s="52" t="s">
        <v>161</v>
      </c>
      <c r="H158" s="102">
        <f>60+250+1210</f>
        <v>1520</v>
      </c>
      <c r="I158" s="98" t="s">
        <v>141</v>
      </c>
      <c r="J158" s="202"/>
      <c r="K158" s="50"/>
      <c r="L158" s="45"/>
    </row>
    <row r="159" spans="2:12" x14ac:dyDescent="0.35">
      <c r="B159" s="159"/>
      <c r="C159" s="104"/>
      <c r="D159" s="105"/>
      <c r="E159" s="101"/>
      <c r="F159" s="60" t="s">
        <v>130</v>
      </c>
      <c r="G159" s="52" t="s">
        <v>162</v>
      </c>
      <c r="H159" s="102">
        <v>50</v>
      </c>
      <c r="I159" s="98" t="s">
        <v>141</v>
      </c>
      <c r="J159" s="202"/>
      <c r="K159" s="50"/>
      <c r="L159" s="45"/>
    </row>
    <row r="160" spans="2:12" x14ac:dyDescent="0.35">
      <c r="B160" s="159"/>
      <c r="C160" s="104"/>
      <c r="D160" s="105"/>
      <c r="E160" s="101"/>
      <c r="F160" s="101" t="s">
        <v>130</v>
      </c>
      <c r="G160" s="52" t="s">
        <v>163</v>
      </c>
      <c r="H160" s="102">
        <v>4</v>
      </c>
      <c r="I160" s="98" t="s">
        <v>83</v>
      </c>
      <c r="J160" s="202"/>
      <c r="K160" s="50"/>
      <c r="L160" s="45"/>
    </row>
    <row r="161" spans="2:12" s="33" customFormat="1" x14ac:dyDescent="0.35">
      <c r="B161" s="69"/>
      <c r="C161" s="70"/>
      <c r="D161" s="100"/>
      <c r="E161" s="101"/>
      <c r="F161" s="60" t="s">
        <v>130</v>
      </c>
      <c r="G161" s="60" t="s">
        <v>171</v>
      </c>
      <c r="H161" s="110">
        <v>1</v>
      </c>
      <c r="I161" s="98" t="s">
        <v>83</v>
      </c>
      <c r="J161" s="28"/>
      <c r="K161" s="28"/>
      <c r="L161" s="45"/>
    </row>
    <row r="162" spans="2:12" x14ac:dyDescent="0.35">
      <c r="B162" s="159"/>
      <c r="C162" s="104"/>
      <c r="D162" s="105"/>
      <c r="E162" s="101"/>
      <c r="F162" s="101" t="s">
        <v>130</v>
      </c>
      <c r="G162" s="52" t="s">
        <v>164</v>
      </c>
      <c r="H162" s="102">
        <v>1</v>
      </c>
      <c r="I162" s="98" t="s">
        <v>83</v>
      </c>
      <c r="J162" s="202"/>
      <c r="K162" s="50"/>
      <c r="L162" s="45"/>
    </row>
    <row r="163" spans="2:12" x14ac:dyDescent="0.35">
      <c r="B163" s="159"/>
      <c r="C163" s="104"/>
      <c r="D163" s="105"/>
      <c r="E163" s="107"/>
      <c r="F163" s="107" t="s">
        <v>130</v>
      </c>
      <c r="G163" s="108" t="s">
        <v>165</v>
      </c>
      <c r="H163" s="109">
        <v>100</v>
      </c>
      <c r="I163" s="108" t="s">
        <v>141</v>
      </c>
      <c r="J163" s="202"/>
      <c r="K163" s="50"/>
      <c r="L163" s="45"/>
    </row>
    <row r="164" spans="2:12" x14ac:dyDescent="0.35">
      <c r="B164" s="159"/>
      <c r="C164" s="104"/>
      <c r="D164" s="105"/>
      <c r="E164" s="101"/>
      <c r="F164" s="60" t="s">
        <v>130</v>
      </c>
      <c r="G164" s="98" t="s">
        <v>166</v>
      </c>
      <c r="H164" s="102">
        <v>2</v>
      </c>
      <c r="I164" s="98" t="s">
        <v>83</v>
      </c>
      <c r="J164" s="202"/>
      <c r="K164" s="50"/>
      <c r="L164" s="45"/>
    </row>
    <row r="165" spans="2:12" x14ac:dyDescent="0.35">
      <c r="B165" s="159"/>
      <c r="C165" s="104"/>
      <c r="D165" s="105"/>
      <c r="E165" s="101"/>
      <c r="F165" s="60" t="s">
        <v>130</v>
      </c>
      <c r="G165" s="98" t="s">
        <v>167</v>
      </c>
      <c r="H165" s="102">
        <v>1</v>
      </c>
      <c r="I165" s="98" t="s">
        <v>83</v>
      </c>
      <c r="J165" s="202"/>
      <c r="K165" s="50"/>
      <c r="L165" s="45"/>
    </row>
    <row r="166" spans="2:12" x14ac:dyDescent="0.35">
      <c r="B166" s="159"/>
      <c r="C166" s="104"/>
      <c r="D166" s="105" t="s">
        <v>37</v>
      </c>
      <c r="E166" s="101"/>
      <c r="F166" s="60" t="s">
        <v>168</v>
      </c>
      <c r="G166" s="52"/>
      <c r="H166" s="102">
        <v>6</v>
      </c>
      <c r="I166" s="98" t="s">
        <v>160</v>
      </c>
      <c r="J166" s="202"/>
      <c r="K166" s="50"/>
      <c r="L166" s="45"/>
    </row>
    <row r="167" spans="2:12" x14ac:dyDescent="0.35">
      <c r="B167" s="159"/>
      <c r="C167" s="104"/>
      <c r="D167" s="105"/>
      <c r="E167" s="101"/>
      <c r="F167" s="60" t="s">
        <v>130</v>
      </c>
      <c r="G167" s="52" t="s">
        <v>161</v>
      </c>
      <c r="H167" s="102">
        <f>30+40+30+380</f>
        <v>480</v>
      </c>
      <c r="I167" s="98" t="s">
        <v>141</v>
      </c>
      <c r="J167" s="202"/>
      <c r="K167" s="50"/>
      <c r="L167" s="45"/>
    </row>
    <row r="168" spans="2:12" x14ac:dyDescent="0.35">
      <c r="B168" s="69"/>
      <c r="C168" s="68"/>
      <c r="D168" s="100"/>
      <c r="E168" s="101"/>
      <c r="F168" s="101" t="s">
        <v>130</v>
      </c>
      <c r="G168" s="52" t="s">
        <v>163</v>
      </c>
      <c r="H168" s="102">
        <v>2</v>
      </c>
      <c r="I168" s="98" t="s">
        <v>83</v>
      </c>
      <c r="J168" s="202"/>
      <c r="K168" s="50"/>
      <c r="L168" s="45"/>
    </row>
    <row r="169" spans="2:12" x14ac:dyDescent="0.35">
      <c r="B169" s="69"/>
      <c r="C169" s="70"/>
      <c r="D169" s="100"/>
      <c r="E169" s="107"/>
      <c r="F169" s="107" t="s">
        <v>130</v>
      </c>
      <c r="G169" s="108" t="s">
        <v>169</v>
      </c>
      <c r="H169" s="109">
        <f>170+60</f>
        <v>230</v>
      </c>
      <c r="I169" s="108" t="s">
        <v>141</v>
      </c>
      <c r="J169" s="202"/>
      <c r="K169" s="50"/>
      <c r="L169" s="45"/>
    </row>
    <row r="170" spans="2:12" x14ac:dyDescent="0.35">
      <c r="B170" s="69"/>
      <c r="C170" s="70"/>
      <c r="D170" s="100"/>
      <c r="E170" s="101"/>
      <c r="F170" s="60" t="s">
        <v>130</v>
      </c>
      <c r="G170" s="98" t="s">
        <v>170</v>
      </c>
      <c r="H170" s="102">
        <v>4</v>
      </c>
      <c r="I170" s="98" t="s">
        <v>83</v>
      </c>
      <c r="J170" s="202"/>
      <c r="K170" s="50"/>
      <c r="L170" s="45"/>
    </row>
    <row r="171" spans="2:12" s="33" customFormat="1" x14ac:dyDescent="0.35">
      <c r="B171" s="69"/>
      <c r="C171" s="70"/>
      <c r="D171" s="100"/>
      <c r="E171" s="101"/>
      <c r="F171" s="60" t="s">
        <v>130</v>
      </c>
      <c r="G171" s="60" t="s">
        <v>171</v>
      </c>
      <c r="H171" s="110">
        <v>1</v>
      </c>
      <c r="I171" s="98" t="s">
        <v>83</v>
      </c>
      <c r="J171" s="28"/>
      <c r="K171" s="28"/>
      <c r="L171" s="45"/>
    </row>
    <row r="172" spans="2:12" x14ac:dyDescent="0.35">
      <c r="B172" s="159"/>
      <c r="C172" s="104"/>
      <c r="D172" s="105"/>
      <c r="E172" s="101"/>
      <c r="F172" s="101" t="s">
        <v>130</v>
      </c>
      <c r="G172" s="52" t="s">
        <v>172</v>
      </c>
      <c r="H172" s="102">
        <v>2</v>
      </c>
      <c r="I172" s="98" t="s">
        <v>83</v>
      </c>
      <c r="J172" s="202"/>
      <c r="K172" s="50"/>
      <c r="L172" s="45"/>
    </row>
    <row r="173" spans="2:12" x14ac:dyDescent="0.35">
      <c r="B173" s="159"/>
      <c r="C173" s="104"/>
      <c r="D173" s="105"/>
      <c r="E173" s="101"/>
      <c r="F173" s="101" t="s">
        <v>130</v>
      </c>
      <c r="G173" s="52" t="s">
        <v>173</v>
      </c>
      <c r="H173" s="102">
        <v>1</v>
      </c>
      <c r="I173" s="98" t="s">
        <v>83</v>
      </c>
      <c r="J173" s="202"/>
      <c r="K173" s="50"/>
      <c r="L173" s="45"/>
    </row>
    <row r="174" spans="2:12" x14ac:dyDescent="0.35">
      <c r="B174" s="159"/>
      <c r="C174" s="104"/>
      <c r="D174" s="105"/>
      <c r="E174" s="101"/>
      <c r="F174" s="101" t="s">
        <v>130</v>
      </c>
      <c r="G174" s="52" t="s">
        <v>174</v>
      </c>
      <c r="H174" s="60">
        <v>1</v>
      </c>
      <c r="I174" s="98" t="s">
        <v>83</v>
      </c>
      <c r="J174" s="202"/>
      <c r="K174" s="50"/>
      <c r="L174" s="45"/>
    </row>
    <row r="175" spans="2:12" x14ac:dyDescent="0.35">
      <c r="B175" s="69"/>
      <c r="C175" s="70"/>
      <c r="D175" s="105" t="s">
        <v>39</v>
      </c>
      <c r="E175" s="101"/>
      <c r="F175" s="60" t="s">
        <v>175</v>
      </c>
      <c r="G175" s="52"/>
      <c r="H175" s="102">
        <f>5+3</f>
        <v>8</v>
      </c>
      <c r="I175" s="98" t="s">
        <v>160</v>
      </c>
      <c r="J175" s="202"/>
      <c r="K175" s="50"/>
      <c r="L175" s="45"/>
    </row>
    <row r="176" spans="2:12" x14ac:dyDescent="0.35">
      <c r="B176" s="69"/>
      <c r="C176" s="70"/>
      <c r="D176" s="105"/>
      <c r="E176" s="101"/>
      <c r="F176" s="60" t="s">
        <v>130</v>
      </c>
      <c r="G176" s="52" t="s">
        <v>161</v>
      </c>
      <c r="H176" s="102">
        <f>700+1480+50</f>
        <v>2230</v>
      </c>
      <c r="I176" s="98" t="s">
        <v>141</v>
      </c>
      <c r="J176" s="202"/>
      <c r="K176" s="50"/>
      <c r="L176" s="45"/>
    </row>
    <row r="177" spans="2:12" x14ac:dyDescent="0.35">
      <c r="B177" s="69"/>
      <c r="C177" s="70"/>
      <c r="D177" s="105"/>
      <c r="E177" s="101"/>
      <c r="F177" s="60" t="s">
        <v>130</v>
      </c>
      <c r="G177" s="52" t="s">
        <v>162</v>
      </c>
      <c r="H177" s="102">
        <v>50</v>
      </c>
      <c r="I177" s="98" t="s">
        <v>141</v>
      </c>
      <c r="J177" s="202"/>
      <c r="K177" s="50"/>
      <c r="L177" s="45"/>
    </row>
    <row r="178" spans="2:12" x14ac:dyDescent="0.35">
      <c r="B178" s="69"/>
      <c r="C178" s="68"/>
      <c r="D178" s="100"/>
      <c r="E178" s="101"/>
      <c r="F178" s="101" t="s">
        <v>130</v>
      </c>
      <c r="G178" s="52" t="s">
        <v>163</v>
      </c>
      <c r="H178" s="102">
        <v>2</v>
      </c>
      <c r="I178" s="98" t="s">
        <v>83</v>
      </c>
      <c r="J178" s="202"/>
      <c r="K178" s="50"/>
      <c r="L178" s="45"/>
    </row>
    <row r="179" spans="2:12" x14ac:dyDescent="0.35">
      <c r="B179" s="69"/>
      <c r="C179" s="70"/>
      <c r="D179" s="100"/>
      <c r="E179" s="58"/>
      <c r="F179" s="101" t="s">
        <v>130</v>
      </c>
      <c r="G179" s="52" t="s">
        <v>176</v>
      </c>
      <c r="H179" s="102">
        <v>1</v>
      </c>
      <c r="I179" s="98" t="s">
        <v>83</v>
      </c>
      <c r="J179" s="202"/>
      <c r="K179" s="50"/>
      <c r="L179" s="45"/>
    </row>
    <row r="180" spans="2:12" x14ac:dyDescent="0.35">
      <c r="B180" s="111"/>
      <c r="C180" s="112"/>
      <c r="D180" s="100"/>
      <c r="E180" s="101"/>
      <c r="F180" s="101" t="s">
        <v>130</v>
      </c>
      <c r="G180" s="52" t="s">
        <v>173</v>
      </c>
      <c r="H180" s="102">
        <v>1</v>
      </c>
      <c r="I180" s="98" t="s">
        <v>83</v>
      </c>
      <c r="J180" s="202"/>
      <c r="K180" s="50"/>
      <c r="L180" s="45"/>
    </row>
    <row r="181" spans="2:12" x14ac:dyDescent="0.35">
      <c r="B181" s="69"/>
      <c r="C181" s="70"/>
      <c r="D181" s="100"/>
      <c r="E181" s="107"/>
      <c r="F181" s="107" t="s">
        <v>130</v>
      </c>
      <c r="G181" s="108" t="s">
        <v>169</v>
      </c>
      <c r="H181" s="109">
        <v>160</v>
      </c>
      <c r="I181" s="108" t="s">
        <v>141</v>
      </c>
      <c r="J181" s="202"/>
      <c r="K181" s="50"/>
      <c r="L181" s="45"/>
    </row>
    <row r="182" spans="2:12" x14ac:dyDescent="0.35">
      <c r="B182" s="69"/>
      <c r="C182" s="70"/>
      <c r="D182" s="68"/>
      <c r="E182" s="113"/>
      <c r="F182" s="60" t="s">
        <v>130</v>
      </c>
      <c r="G182" s="98" t="s">
        <v>170</v>
      </c>
      <c r="H182" s="102">
        <v>2</v>
      </c>
      <c r="I182" s="98" t="s">
        <v>83</v>
      </c>
      <c r="J182" s="202"/>
      <c r="K182" s="50"/>
      <c r="L182" s="45"/>
    </row>
    <row r="183" spans="2:12" x14ac:dyDescent="0.35">
      <c r="B183" s="69"/>
      <c r="C183" s="70"/>
      <c r="D183" s="100"/>
      <c r="E183" s="101"/>
      <c r="F183" s="101" t="s">
        <v>130</v>
      </c>
      <c r="G183" s="52" t="s">
        <v>148</v>
      </c>
      <c r="H183" s="60">
        <v>1</v>
      </c>
      <c r="I183" s="98" t="s">
        <v>83</v>
      </c>
      <c r="J183" s="202"/>
      <c r="K183" s="50"/>
      <c r="L183" s="45"/>
    </row>
    <row r="184" spans="2:12" x14ac:dyDescent="0.35">
      <c r="B184" s="69"/>
      <c r="C184" s="70"/>
      <c r="D184" s="100"/>
      <c r="E184" s="101"/>
      <c r="F184" s="101" t="s">
        <v>130</v>
      </c>
      <c r="G184" s="52" t="s">
        <v>174</v>
      </c>
      <c r="H184" s="60">
        <v>1</v>
      </c>
      <c r="I184" s="98" t="s">
        <v>83</v>
      </c>
      <c r="J184" s="202"/>
      <c r="K184" s="50"/>
      <c r="L184" s="45"/>
    </row>
    <row r="185" spans="2:12" x14ac:dyDescent="0.35">
      <c r="B185" s="114"/>
      <c r="C185" s="62"/>
      <c r="D185" s="100"/>
      <c r="E185" s="101"/>
      <c r="F185" s="101" t="s">
        <v>130</v>
      </c>
      <c r="G185" s="52" t="s">
        <v>177</v>
      </c>
      <c r="H185" s="60">
        <v>2</v>
      </c>
      <c r="I185" s="98" t="s">
        <v>83</v>
      </c>
      <c r="J185" s="202"/>
      <c r="K185" s="50"/>
      <c r="L185" s="45"/>
    </row>
    <row r="186" spans="2:12" x14ac:dyDescent="0.35">
      <c r="B186" s="114"/>
      <c r="C186" s="62"/>
      <c r="D186" s="100"/>
      <c r="E186" s="101"/>
      <c r="F186" s="101" t="s">
        <v>130</v>
      </c>
      <c r="G186" s="52" t="s">
        <v>178</v>
      </c>
      <c r="H186" s="60">
        <v>1</v>
      </c>
      <c r="I186" s="98" t="s">
        <v>83</v>
      </c>
      <c r="J186" s="202"/>
      <c r="K186" s="50"/>
      <c r="L186" s="45"/>
    </row>
    <row r="187" spans="2:12" x14ac:dyDescent="0.35">
      <c r="B187" s="159"/>
      <c r="C187" s="104" t="s">
        <v>179</v>
      </c>
      <c r="D187" s="105"/>
      <c r="E187" s="101"/>
      <c r="F187" s="60" t="s">
        <v>180</v>
      </c>
      <c r="G187" s="52"/>
      <c r="H187" s="102"/>
      <c r="I187" s="98"/>
      <c r="J187" s="49"/>
      <c r="K187" s="28"/>
      <c r="L187" s="51"/>
    </row>
    <row r="188" spans="2:12" x14ac:dyDescent="0.35">
      <c r="B188" s="159"/>
      <c r="C188" s="104"/>
      <c r="D188" s="105" t="s">
        <v>34</v>
      </c>
      <c r="E188" s="101"/>
      <c r="F188" s="60" t="s">
        <v>159</v>
      </c>
      <c r="G188" s="52"/>
      <c r="H188" s="102">
        <v>8</v>
      </c>
      <c r="I188" s="98" t="s">
        <v>160</v>
      </c>
      <c r="J188" s="202"/>
      <c r="K188" s="50"/>
      <c r="L188" s="45"/>
    </row>
    <row r="189" spans="2:12" x14ac:dyDescent="0.35">
      <c r="B189" s="159"/>
      <c r="C189" s="104"/>
      <c r="D189" s="105"/>
      <c r="E189" s="101"/>
      <c r="F189" s="60" t="s">
        <v>130</v>
      </c>
      <c r="G189" s="52" t="s">
        <v>181</v>
      </c>
      <c r="H189" s="102">
        <f>1190+260</f>
        <v>1450</v>
      </c>
      <c r="I189" s="98" t="s">
        <v>141</v>
      </c>
      <c r="J189" s="202"/>
      <c r="K189" s="50"/>
      <c r="L189" s="45"/>
    </row>
    <row r="190" spans="2:12" x14ac:dyDescent="0.35">
      <c r="B190" s="159"/>
      <c r="C190" s="104"/>
      <c r="D190" s="105"/>
      <c r="E190" s="101"/>
      <c r="F190" s="60" t="s">
        <v>130</v>
      </c>
      <c r="G190" s="52" t="s">
        <v>161</v>
      </c>
      <c r="H190" s="102">
        <v>100</v>
      </c>
      <c r="I190" s="98" t="s">
        <v>141</v>
      </c>
      <c r="J190" s="202"/>
      <c r="K190" s="50"/>
      <c r="L190" s="45"/>
    </row>
    <row r="191" spans="2:12" x14ac:dyDescent="0.35">
      <c r="B191" s="159"/>
      <c r="C191" s="104"/>
      <c r="D191" s="105"/>
      <c r="E191" s="101"/>
      <c r="F191" s="101" t="s">
        <v>130</v>
      </c>
      <c r="G191" s="52" t="s">
        <v>182</v>
      </c>
      <c r="H191" s="102">
        <v>4</v>
      </c>
      <c r="I191" s="98" t="s">
        <v>83</v>
      </c>
      <c r="J191" s="202"/>
      <c r="K191" s="50"/>
      <c r="L191" s="45"/>
    </row>
    <row r="192" spans="2:12" s="33" customFormat="1" x14ac:dyDescent="0.35">
      <c r="B192" s="69"/>
      <c r="C192" s="70"/>
      <c r="D192" s="100"/>
      <c r="E192" s="101"/>
      <c r="F192" s="60" t="s">
        <v>130</v>
      </c>
      <c r="G192" s="60" t="s">
        <v>171</v>
      </c>
      <c r="H192" s="110">
        <v>1</v>
      </c>
      <c r="I192" s="98" t="s">
        <v>83</v>
      </c>
      <c r="J192" s="28"/>
      <c r="K192" s="28"/>
      <c r="L192" s="45"/>
    </row>
    <row r="193" spans="2:12" x14ac:dyDescent="0.35">
      <c r="B193" s="159"/>
      <c r="C193" s="104"/>
      <c r="D193" s="105"/>
      <c r="E193" s="101"/>
      <c r="F193" s="101" t="s">
        <v>130</v>
      </c>
      <c r="G193" s="52" t="s">
        <v>164</v>
      </c>
      <c r="H193" s="102">
        <v>1</v>
      </c>
      <c r="I193" s="98" t="s">
        <v>83</v>
      </c>
      <c r="J193" s="202"/>
      <c r="K193" s="50"/>
      <c r="L193" s="45"/>
    </row>
    <row r="194" spans="2:12" x14ac:dyDescent="0.35">
      <c r="B194" s="159"/>
      <c r="C194" s="104"/>
      <c r="D194" s="105"/>
      <c r="E194" s="107"/>
      <c r="F194" s="107" t="s">
        <v>130</v>
      </c>
      <c r="G194" s="108" t="s">
        <v>169</v>
      </c>
      <c r="H194" s="109">
        <v>140</v>
      </c>
      <c r="I194" s="108" t="s">
        <v>141</v>
      </c>
      <c r="J194" s="202"/>
      <c r="K194" s="50"/>
      <c r="L194" s="45"/>
    </row>
    <row r="195" spans="2:12" x14ac:dyDescent="0.35">
      <c r="B195" s="159"/>
      <c r="C195" s="104"/>
      <c r="D195" s="105"/>
      <c r="E195" s="101"/>
      <c r="F195" s="60" t="s">
        <v>130</v>
      </c>
      <c r="G195" s="98" t="s">
        <v>170</v>
      </c>
      <c r="H195" s="102">
        <v>2</v>
      </c>
      <c r="I195" s="98" t="s">
        <v>83</v>
      </c>
      <c r="J195" s="202"/>
      <c r="K195" s="50"/>
      <c r="L195" s="45"/>
    </row>
    <row r="196" spans="2:12" x14ac:dyDescent="0.35">
      <c r="B196" s="159"/>
      <c r="C196" s="104"/>
      <c r="D196" s="105"/>
      <c r="E196" s="101"/>
      <c r="F196" s="101" t="s">
        <v>130</v>
      </c>
      <c r="G196" s="52" t="s">
        <v>148</v>
      </c>
      <c r="H196" s="60">
        <v>1</v>
      </c>
      <c r="I196" s="98" t="s">
        <v>83</v>
      </c>
      <c r="J196" s="202"/>
      <c r="K196" s="50"/>
      <c r="L196" s="45"/>
    </row>
    <row r="197" spans="2:12" x14ac:dyDescent="0.35">
      <c r="B197" s="159"/>
      <c r="C197" s="104"/>
      <c r="D197" s="105"/>
      <c r="E197" s="101"/>
      <c r="F197" s="101" t="s">
        <v>130</v>
      </c>
      <c r="G197" s="52" t="s">
        <v>183</v>
      </c>
      <c r="H197" s="102">
        <v>4</v>
      </c>
      <c r="I197" s="98" t="s">
        <v>83</v>
      </c>
      <c r="J197" s="202"/>
      <c r="K197" s="50"/>
      <c r="L197" s="45"/>
    </row>
    <row r="198" spans="2:12" x14ac:dyDescent="0.35">
      <c r="B198" s="159"/>
      <c r="C198" s="104"/>
      <c r="D198" s="105"/>
      <c r="E198" s="101"/>
      <c r="F198" s="101" t="s">
        <v>130</v>
      </c>
      <c r="G198" s="52" t="s">
        <v>184</v>
      </c>
      <c r="H198" s="102">
        <v>1</v>
      </c>
      <c r="I198" s="98" t="s">
        <v>83</v>
      </c>
      <c r="J198" s="202"/>
      <c r="K198" s="50"/>
      <c r="L198" s="45"/>
    </row>
    <row r="199" spans="2:12" x14ac:dyDescent="0.35">
      <c r="B199" s="159"/>
      <c r="C199" s="104"/>
      <c r="D199" s="105" t="s">
        <v>37</v>
      </c>
      <c r="E199" s="101"/>
      <c r="F199" s="60" t="s">
        <v>168</v>
      </c>
      <c r="G199" s="52"/>
      <c r="H199" s="102">
        <v>6</v>
      </c>
      <c r="I199" s="98" t="s">
        <v>160</v>
      </c>
      <c r="J199" s="202"/>
      <c r="K199" s="50"/>
      <c r="L199" s="45"/>
    </row>
    <row r="200" spans="2:12" x14ac:dyDescent="0.35">
      <c r="B200" s="159"/>
      <c r="C200" s="104"/>
      <c r="D200" s="105"/>
      <c r="E200" s="101"/>
      <c r="F200" s="60" t="s">
        <v>130</v>
      </c>
      <c r="G200" s="52" t="s">
        <v>161</v>
      </c>
      <c r="H200" s="102">
        <f>430+40</f>
        <v>470</v>
      </c>
      <c r="I200" s="98" t="s">
        <v>141</v>
      </c>
      <c r="J200" s="202"/>
      <c r="K200" s="50"/>
      <c r="L200" s="45"/>
    </row>
    <row r="201" spans="2:12" x14ac:dyDescent="0.35">
      <c r="B201" s="69"/>
      <c r="C201" s="68"/>
      <c r="D201" s="100"/>
      <c r="E201" s="101"/>
      <c r="F201" s="101" t="s">
        <v>130</v>
      </c>
      <c r="G201" s="52" t="s">
        <v>163</v>
      </c>
      <c r="H201" s="102">
        <v>2</v>
      </c>
      <c r="I201" s="98" t="s">
        <v>83</v>
      </c>
      <c r="J201" s="202"/>
      <c r="K201" s="50"/>
      <c r="L201" s="45"/>
    </row>
    <row r="202" spans="2:12" x14ac:dyDescent="0.35">
      <c r="B202" s="69"/>
      <c r="C202" s="70"/>
      <c r="D202" s="100"/>
      <c r="E202" s="107"/>
      <c r="F202" s="107" t="s">
        <v>130</v>
      </c>
      <c r="G202" s="108" t="s">
        <v>169</v>
      </c>
      <c r="H202" s="109">
        <f>90+160</f>
        <v>250</v>
      </c>
      <c r="I202" s="108" t="s">
        <v>141</v>
      </c>
      <c r="J202" s="202"/>
      <c r="K202" s="50"/>
      <c r="L202" s="45"/>
    </row>
    <row r="203" spans="2:12" x14ac:dyDescent="0.35">
      <c r="B203" s="69"/>
      <c r="C203" s="70"/>
      <c r="D203" s="100"/>
      <c r="E203" s="101"/>
      <c r="F203" s="60" t="s">
        <v>130</v>
      </c>
      <c r="G203" s="98" t="s">
        <v>170</v>
      </c>
      <c r="H203" s="102">
        <v>4</v>
      </c>
      <c r="I203" s="98" t="s">
        <v>83</v>
      </c>
      <c r="J203" s="202"/>
      <c r="K203" s="50"/>
      <c r="L203" s="45"/>
    </row>
    <row r="204" spans="2:12" x14ac:dyDescent="0.35">
      <c r="B204" s="159"/>
      <c r="C204" s="104"/>
      <c r="D204" s="105"/>
      <c r="E204" s="101"/>
      <c r="F204" s="101" t="s">
        <v>130</v>
      </c>
      <c r="G204" s="52" t="s">
        <v>172</v>
      </c>
      <c r="H204" s="102">
        <v>2</v>
      </c>
      <c r="I204" s="98" t="s">
        <v>83</v>
      </c>
      <c r="J204" s="202"/>
      <c r="K204" s="50"/>
      <c r="L204" s="45"/>
    </row>
    <row r="205" spans="2:12" x14ac:dyDescent="0.35">
      <c r="B205" s="46"/>
      <c r="C205" s="47"/>
      <c r="D205" s="23"/>
      <c r="G205" s="21"/>
      <c r="I205" s="21"/>
      <c r="J205" s="49"/>
      <c r="K205" s="28"/>
      <c r="L205" s="51"/>
    </row>
    <row r="206" spans="2:12" x14ac:dyDescent="0.35">
      <c r="B206" s="224"/>
      <c r="C206" s="47"/>
      <c r="D206" s="23"/>
      <c r="G206" s="21"/>
      <c r="I206" s="21"/>
      <c r="J206" s="49"/>
      <c r="K206" s="28"/>
      <c r="L206" s="51"/>
    </row>
    <row r="207" spans="2:12" x14ac:dyDescent="0.35">
      <c r="B207" s="8"/>
      <c r="C207" s="9"/>
      <c r="D207" s="10"/>
      <c r="E207" s="4"/>
      <c r="F207" s="4"/>
      <c r="G207" s="4"/>
      <c r="H207" s="1"/>
      <c r="I207" s="1"/>
      <c r="J207" s="11" t="s">
        <v>8</v>
      </c>
      <c r="K207" s="7">
        <f>SUM(K154:K206)</f>
        <v>0</v>
      </c>
      <c r="L207" s="7">
        <f>SUM(L154:L206)</f>
        <v>0</v>
      </c>
    </row>
    <row r="208" spans="2:12" x14ac:dyDescent="0.35">
      <c r="B208" s="8"/>
      <c r="C208" s="9"/>
      <c r="D208" s="9"/>
      <c r="E208" s="4"/>
      <c r="F208" s="4"/>
      <c r="G208" s="4"/>
      <c r="H208" s="1"/>
      <c r="I208" s="1"/>
      <c r="J208" s="11"/>
      <c r="K208" s="34" t="s">
        <v>13</v>
      </c>
      <c r="L208" s="35" t="s">
        <v>14</v>
      </c>
    </row>
    <row r="209" spans="2:12" x14ac:dyDescent="0.35">
      <c r="B209" s="3" t="s">
        <v>9</v>
      </c>
      <c r="C209" s="4"/>
      <c r="D209" s="4"/>
      <c r="E209" s="4"/>
      <c r="F209" s="4"/>
      <c r="G209" s="4"/>
      <c r="H209" s="1"/>
      <c r="I209" s="1"/>
      <c r="J209" s="12"/>
      <c r="K209" s="12"/>
      <c r="L209" s="13"/>
    </row>
    <row r="210" spans="2:12" x14ac:dyDescent="0.35">
      <c r="B210" s="36"/>
      <c r="C210" s="1"/>
      <c r="D210" s="1"/>
      <c r="E210" s="37"/>
      <c r="F210" s="37"/>
      <c r="G210" s="37"/>
      <c r="H210" s="1"/>
      <c r="I210" s="1"/>
      <c r="J210" s="1"/>
      <c r="K210" s="1"/>
      <c r="L210" s="18"/>
    </row>
    <row r="211" spans="2:12" x14ac:dyDescent="0.35">
      <c r="B211" s="27" t="s">
        <v>6</v>
      </c>
      <c r="C211" s="26"/>
      <c r="D211" s="26"/>
      <c r="E211" s="25"/>
      <c r="F211" s="25"/>
      <c r="G211" s="5"/>
      <c r="K211" s="232" t="s">
        <v>813</v>
      </c>
      <c r="L211" s="233"/>
    </row>
    <row r="212" spans="2:12" x14ac:dyDescent="0.35">
      <c r="B212" s="27">
        <v>1</v>
      </c>
      <c r="C212" s="26"/>
      <c r="D212" s="26"/>
      <c r="E212" s="25" t="s">
        <v>7</v>
      </c>
      <c r="F212" s="25"/>
      <c r="G212" s="5"/>
      <c r="K212" s="232" t="s">
        <v>18</v>
      </c>
      <c r="L212" s="233"/>
    </row>
    <row r="213" spans="2:12" x14ac:dyDescent="0.35">
      <c r="B213" s="38"/>
      <c r="C213" s="26"/>
      <c r="D213" s="26"/>
      <c r="E213" s="25"/>
      <c r="F213" s="25"/>
      <c r="G213" s="5"/>
      <c r="J213" s="24"/>
      <c r="K213" s="24"/>
      <c r="L213" s="23"/>
    </row>
    <row r="214" spans="2:12" x14ac:dyDescent="0.35">
      <c r="B214" s="27"/>
      <c r="C214" s="26"/>
      <c r="D214" s="26"/>
      <c r="E214" s="25"/>
      <c r="F214" s="25"/>
      <c r="G214" s="5"/>
      <c r="L214" s="21"/>
    </row>
    <row r="215" spans="2:12" x14ac:dyDescent="0.35">
      <c r="B215" s="44"/>
      <c r="E215" s="5"/>
      <c r="F215" s="5"/>
      <c r="G215" s="5"/>
      <c r="L215" s="21"/>
    </row>
    <row r="216" spans="2:12" x14ac:dyDescent="0.35">
      <c r="B216" s="44"/>
      <c r="E216" s="5"/>
      <c r="F216" s="5"/>
      <c r="G216" s="5"/>
      <c r="L216" s="21"/>
    </row>
    <row r="217" spans="2:12" x14ac:dyDescent="0.35">
      <c r="B217" s="44"/>
      <c r="E217" s="5"/>
      <c r="F217" s="5"/>
      <c r="G217" s="5"/>
      <c r="L217" s="21"/>
    </row>
    <row r="218" spans="2:12" x14ac:dyDescent="0.35">
      <c r="B218" s="44"/>
      <c r="E218" s="5"/>
      <c r="F218" s="5"/>
      <c r="G218" s="5"/>
      <c r="J218" s="39"/>
      <c r="K218" s="234" t="s">
        <v>26</v>
      </c>
      <c r="L218" s="235"/>
    </row>
    <row r="219" spans="2:12" x14ac:dyDescent="0.35">
      <c r="B219" s="44"/>
      <c r="K219" s="236" t="s">
        <v>27</v>
      </c>
      <c r="L219" s="237"/>
    </row>
    <row r="220" spans="2:12" x14ac:dyDescent="0.35">
      <c r="B220" s="238"/>
      <c r="C220" s="239"/>
      <c r="D220" s="239"/>
      <c r="E220" s="40"/>
      <c r="F220" s="40"/>
      <c r="G220" s="40"/>
      <c r="H220" s="2"/>
      <c r="I220" s="2"/>
      <c r="J220" s="2"/>
      <c r="K220" s="2"/>
      <c r="L220" s="20"/>
    </row>
    <row r="221" spans="2:12" x14ac:dyDescent="0.35">
      <c r="B221" s="222"/>
      <c r="C221" s="47"/>
      <c r="D221" s="48"/>
      <c r="G221" s="21"/>
      <c r="H221" s="1"/>
      <c r="I221" s="1"/>
      <c r="J221" s="42"/>
      <c r="K221" s="29"/>
      <c r="L221" s="43"/>
    </row>
    <row r="222" spans="2:12" x14ac:dyDescent="0.35">
      <c r="B222" s="159"/>
      <c r="C222" s="104"/>
      <c r="D222" s="105"/>
      <c r="E222" s="101"/>
      <c r="F222" s="101" t="s">
        <v>130</v>
      </c>
      <c r="G222" s="52" t="s">
        <v>173</v>
      </c>
      <c r="H222" s="102">
        <v>1</v>
      </c>
      <c r="I222" s="98" t="s">
        <v>83</v>
      </c>
      <c r="J222" s="202"/>
      <c r="K222" s="50"/>
      <c r="L222" s="45"/>
    </row>
    <row r="223" spans="2:12" x14ac:dyDescent="0.35">
      <c r="B223" s="159"/>
      <c r="C223" s="104"/>
      <c r="D223" s="105"/>
      <c r="E223" s="101"/>
      <c r="F223" s="101" t="s">
        <v>130</v>
      </c>
      <c r="G223" s="52" t="s">
        <v>174</v>
      </c>
      <c r="H223" s="60">
        <v>1</v>
      </c>
      <c r="I223" s="98" t="s">
        <v>83</v>
      </c>
      <c r="J223" s="202"/>
      <c r="K223" s="50"/>
      <c r="L223" s="45"/>
    </row>
    <row r="224" spans="2:12" x14ac:dyDescent="0.35">
      <c r="B224" s="69"/>
      <c r="C224" s="70"/>
      <c r="D224" s="105" t="s">
        <v>39</v>
      </c>
      <c r="E224" s="101"/>
      <c r="F224" s="60" t="s">
        <v>175</v>
      </c>
      <c r="G224" s="52"/>
      <c r="H224" s="102">
        <v>8</v>
      </c>
      <c r="I224" s="98" t="s">
        <v>160</v>
      </c>
      <c r="J224" s="202"/>
      <c r="K224" s="50"/>
      <c r="L224" s="45"/>
    </row>
    <row r="225" spans="2:12" x14ac:dyDescent="0.35">
      <c r="B225" s="69"/>
      <c r="C225" s="70"/>
      <c r="D225" s="105"/>
      <c r="E225" s="101"/>
      <c r="F225" s="60" t="s">
        <v>130</v>
      </c>
      <c r="G225" s="52" t="s">
        <v>161</v>
      </c>
      <c r="H225" s="102">
        <f>800+50</f>
        <v>850</v>
      </c>
      <c r="I225" s="98" t="s">
        <v>141</v>
      </c>
      <c r="J225" s="202"/>
      <c r="K225" s="50"/>
      <c r="L225" s="45"/>
    </row>
    <row r="226" spans="2:12" x14ac:dyDescent="0.35">
      <c r="B226" s="69"/>
      <c r="C226" s="70"/>
      <c r="D226" s="105"/>
      <c r="E226" s="101"/>
      <c r="F226" s="60" t="s">
        <v>130</v>
      </c>
      <c r="G226" s="52" t="s">
        <v>162</v>
      </c>
      <c r="H226" s="102">
        <v>50</v>
      </c>
      <c r="I226" s="98" t="s">
        <v>141</v>
      </c>
      <c r="J226" s="202"/>
      <c r="K226" s="50"/>
      <c r="L226" s="45"/>
    </row>
    <row r="227" spans="2:12" x14ac:dyDescent="0.35">
      <c r="B227" s="69"/>
      <c r="C227" s="68"/>
      <c r="D227" s="100"/>
      <c r="E227" s="101"/>
      <c r="F227" s="101" t="s">
        <v>130</v>
      </c>
      <c r="G227" s="52" t="s">
        <v>163</v>
      </c>
      <c r="H227" s="102">
        <v>2</v>
      </c>
      <c r="I227" s="98" t="s">
        <v>83</v>
      </c>
      <c r="J227" s="202"/>
      <c r="K227" s="50"/>
      <c r="L227" s="45"/>
    </row>
    <row r="228" spans="2:12" x14ac:dyDescent="0.35">
      <c r="B228" s="69"/>
      <c r="C228" s="70"/>
      <c r="D228" s="100"/>
      <c r="E228" s="58"/>
      <c r="F228" s="101" t="s">
        <v>130</v>
      </c>
      <c r="G228" s="52" t="s">
        <v>176</v>
      </c>
      <c r="H228" s="102">
        <v>2</v>
      </c>
      <c r="I228" s="98" t="s">
        <v>83</v>
      </c>
      <c r="J228" s="202"/>
      <c r="K228" s="50"/>
      <c r="L228" s="45"/>
    </row>
    <row r="229" spans="2:12" x14ac:dyDescent="0.35">
      <c r="B229" s="111"/>
      <c r="C229" s="112"/>
      <c r="D229" s="100"/>
      <c r="E229" s="101"/>
      <c r="F229" s="101" t="s">
        <v>130</v>
      </c>
      <c r="G229" s="52" t="s">
        <v>173</v>
      </c>
      <c r="H229" s="102">
        <v>1</v>
      </c>
      <c r="I229" s="98" t="s">
        <v>83</v>
      </c>
      <c r="J229" s="202"/>
      <c r="K229" s="50"/>
      <c r="L229" s="45"/>
    </row>
    <row r="230" spans="2:12" x14ac:dyDescent="0.35">
      <c r="B230" s="69"/>
      <c r="C230" s="70"/>
      <c r="D230" s="100"/>
      <c r="E230" s="107"/>
      <c r="F230" s="107" t="s">
        <v>130</v>
      </c>
      <c r="G230" s="108" t="s">
        <v>169</v>
      </c>
      <c r="H230" s="109">
        <v>100</v>
      </c>
      <c r="I230" s="108" t="s">
        <v>141</v>
      </c>
      <c r="J230" s="202"/>
      <c r="K230" s="50"/>
      <c r="L230" s="45"/>
    </row>
    <row r="231" spans="2:12" x14ac:dyDescent="0.35">
      <c r="B231" s="69"/>
      <c r="C231" s="70"/>
      <c r="D231" s="100"/>
      <c r="E231" s="101"/>
      <c r="F231" s="101" t="s">
        <v>130</v>
      </c>
      <c r="G231" s="52" t="s">
        <v>148</v>
      </c>
      <c r="H231" s="60">
        <v>1</v>
      </c>
      <c r="I231" s="98" t="s">
        <v>83</v>
      </c>
      <c r="J231" s="202"/>
      <c r="K231" s="50"/>
      <c r="L231" s="45"/>
    </row>
    <row r="232" spans="2:12" x14ac:dyDescent="0.35">
      <c r="B232" s="69"/>
      <c r="C232" s="70"/>
      <c r="D232" s="100"/>
      <c r="E232" s="101"/>
      <c r="F232" s="101" t="s">
        <v>130</v>
      </c>
      <c r="G232" s="52" t="s">
        <v>174</v>
      </c>
      <c r="H232" s="60">
        <v>1</v>
      </c>
      <c r="I232" s="98" t="s">
        <v>83</v>
      </c>
      <c r="J232" s="202"/>
      <c r="K232" s="50"/>
      <c r="L232" s="45"/>
    </row>
    <row r="233" spans="2:12" x14ac:dyDescent="0.35">
      <c r="B233" s="114"/>
      <c r="C233" s="62"/>
      <c r="D233" s="100"/>
      <c r="E233" s="101"/>
      <c r="F233" s="101" t="s">
        <v>130</v>
      </c>
      <c r="G233" s="52" t="s">
        <v>177</v>
      </c>
      <c r="H233" s="60">
        <v>2</v>
      </c>
      <c r="I233" s="98" t="s">
        <v>83</v>
      </c>
      <c r="J233" s="202"/>
      <c r="K233" s="50"/>
      <c r="L233" s="45"/>
    </row>
    <row r="234" spans="2:12" x14ac:dyDescent="0.35">
      <c r="B234" s="159"/>
      <c r="C234" s="104"/>
      <c r="D234" s="105"/>
      <c r="E234" s="101"/>
      <c r="F234" s="101" t="s">
        <v>130</v>
      </c>
      <c r="G234" s="52" t="s">
        <v>184</v>
      </c>
      <c r="H234" s="102">
        <v>1</v>
      </c>
      <c r="I234" s="98" t="s">
        <v>83</v>
      </c>
      <c r="J234" s="202"/>
      <c r="K234" s="50"/>
      <c r="L234" s="45"/>
    </row>
    <row r="235" spans="2:12" x14ac:dyDescent="0.35">
      <c r="B235" s="159"/>
      <c r="C235" s="104" t="s">
        <v>185</v>
      </c>
      <c r="D235" s="105"/>
      <c r="E235" s="101"/>
      <c r="F235" s="60" t="s">
        <v>186</v>
      </c>
      <c r="G235" s="52"/>
      <c r="H235" s="102"/>
      <c r="I235" s="98"/>
      <c r="J235" s="49"/>
      <c r="K235" s="28"/>
      <c r="L235" s="51"/>
    </row>
    <row r="236" spans="2:12" x14ac:dyDescent="0.35">
      <c r="B236" s="159"/>
      <c r="C236" s="104"/>
      <c r="D236" s="105" t="s">
        <v>34</v>
      </c>
      <c r="E236" s="101"/>
      <c r="F236" s="60" t="s">
        <v>159</v>
      </c>
      <c r="G236" s="52"/>
      <c r="H236" s="102">
        <f>7+6</f>
        <v>13</v>
      </c>
      <c r="I236" s="98" t="s">
        <v>160</v>
      </c>
      <c r="J236" s="202"/>
      <c r="K236" s="50"/>
      <c r="L236" s="45"/>
    </row>
    <row r="237" spans="2:12" x14ac:dyDescent="0.35">
      <c r="B237" s="159"/>
      <c r="C237" s="104"/>
      <c r="D237" s="105"/>
      <c r="E237" s="101"/>
      <c r="F237" s="60" t="s">
        <v>130</v>
      </c>
      <c r="G237" s="52" t="s">
        <v>187</v>
      </c>
      <c r="H237" s="102">
        <f>1340+340+400+80+180</f>
        <v>2340</v>
      </c>
      <c r="I237" s="98" t="s">
        <v>141</v>
      </c>
      <c r="J237" s="202"/>
      <c r="K237" s="50"/>
      <c r="L237" s="45"/>
    </row>
    <row r="238" spans="2:12" x14ac:dyDescent="0.35">
      <c r="B238" s="159"/>
      <c r="C238" s="104"/>
      <c r="D238" s="105"/>
      <c r="E238" s="101"/>
      <c r="F238" s="101" t="s">
        <v>130</v>
      </c>
      <c r="G238" s="52" t="s">
        <v>188</v>
      </c>
      <c r="H238" s="102">
        <v>2</v>
      </c>
      <c r="I238" s="98" t="s">
        <v>83</v>
      </c>
      <c r="J238" s="202"/>
      <c r="K238" s="50"/>
      <c r="L238" s="45"/>
    </row>
    <row r="239" spans="2:12" x14ac:dyDescent="0.35">
      <c r="B239" s="159"/>
      <c r="C239" s="104"/>
      <c r="D239" s="105"/>
      <c r="E239" s="58"/>
      <c r="F239" s="101" t="s">
        <v>130</v>
      </c>
      <c r="G239" s="52" t="s">
        <v>189</v>
      </c>
      <c r="H239" s="102">
        <v>2</v>
      </c>
      <c r="I239" s="98" t="s">
        <v>83</v>
      </c>
      <c r="J239" s="202"/>
      <c r="K239" s="50"/>
      <c r="L239" s="45"/>
    </row>
    <row r="240" spans="2:12" x14ac:dyDescent="0.35">
      <c r="B240" s="159"/>
      <c r="C240" s="104"/>
      <c r="D240" s="105"/>
      <c r="E240" s="107"/>
      <c r="F240" s="107" t="s">
        <v>130</v>
      </c>
      <c r="G240" s="108" t="s">
        <v>190</v>
      </c>
      <c r="H240" s="109">
        <v>150</v>
      </c>
      <c r="I240" s="108" t="s">
        <v>141</v>
      </c>
      <c r="J240" s="202"/>
      <c r="K240" s="50"/>
      <c r="L240" s="45"/>
    </row>
    <row r="241" spans="2:12" x14ac:dyDescent="0.35">
      <c r="B241" s="159"/>
      <c r="C241" s="104"/>
      <c r="D241" s="105"/>
      <c r="E241" s="113"/>
      <c r="F241" s="60" t="s">
        <v>130</v>
      </c>
      <c r="G241" s="98" t="s">
        <v>191</v>
      </c>
      <c r="H241" s="102">
        <v>2</v>
      </c>
      <c r="I241" s="98" t="s">
        <v>83</v>
      </c>
      <c r="J241" s="202"/>
      <c r="K241" s="50"/>
      <c r="L241" s="45"/>
    </row>
    <row r="242" spans="2:12" x14ac:dyDescent="0.35">
      <c r="B242" s="159"/>
      <c r="C242" s="104"/>
      <c r="D242" s="105"/>
      <c r="E242" s="101"/>
      <c r="F242" s="101" t="s">
        <v>130</v>
      </c>
      <c r="G242" s="52" t="s">
        <v>142</v>
      </c>
      <c r="H242" s="60">
        <v>1</v>
      </c>
      <c r="I242" s="98" t="s">
        <v>83</v>
      </c>
      <c r="J242" s="202"/>
      <c r="K242" s="50"/>
      <c r="L242" s="45"/>
    </row>
    <row r="243" spans="2:12" x14ac:dyDescent="0.35">
      <c r="B243" s="159"/>
      <c r="C243" s="104"/>
      <c r="D243" s="105"/>
      <c r="E243" s="58"/>
      <c r="F243" s="101" t="s">
        <v>130</v>
      </c>
      <c r="G243" s="52" t="s">
        <v>143</v>
      </c>
      <c r="H243" s="102">
        <v>4</v>
      </c>
      <c r="I243" s="98" t="s">
        <v>83</v>
      </c>
      <c r="J243" s="202"/>
      <c r="K243" s="50"/>
      <c r="L243" s="45"/>
    </row>
    <row r="244" spans="2:12" x14ac:dyDescent="0.35">
      <c r="B244" s="159"/>
      <c r="C244" s="104"/>
      <c r="D244" s="105" t="s">
        <v>37</v>
      </c>
      <c r="E244" s="101"/>
      <c r="F244" s="60" t="s">
        <v>192</v>
      </c>
      <c r="G244" s="52"/>
      <c r="H244" s="102">
        <v>5</v>
      </c>
      <c r="I244" s="98" t="s">
        <v>160</v>
      </c>
      <c r="J244" s="202"/>
      <c r="K244" s="50"/>
      <c r="L244" s="45"/>
    </row>
    <row r="245" spans="2:12" x14ac:dyDescent="0.35">
      <c r="B245" s="159"/>
      <c r="C245" s="104"/>
      <c r="D245" s="105"/>
      <c r="E245" s="101"/>
      <c r="F245" s="60" t="s">
        <v>130</v>
      </c>
      <c r="G245" s="52" t="s">
        <v>187</v>
      </c>
      <c r="H245" s="102">
        <v>120</v>
      </c>
      <c r="I245" s="98" t="s">
        <v>141</v>
      </c>
      <c r="J245" s="202"/>
      <c r="K245" s="50"/>
      <c r="L245" s="45"/>
    </row>
    <row r="246" spans="2:12" x14ac:dyDescent="0.35">
      <c r="B246" s="159"/>
      <c r="C246" s="104"/>
      <c r="D246" s="105"/>
      <c r="E246" s="101"/>
      <c r="F246" s="60" t="s">
        <v>130</v>
      </c>
      <c r="G246" s="52" t="s">
        <v>188</v>
      </c>
      <c r="H246" s="102">
        <v>2</v>
      </c>
      <c r="I246" s="98" t="s">
        <v>83</v>
      </c>
      <c r="J246" s="202"/>
      <c r="K246" s="50"/>
      <c r="L246" s="45"/>
    </row>
    <row r="247" spans="2:12" s="33" customFormat="1" x14ac:dyDescent="0.35">
      <c r="B247" s="159"/>
      <c r="C247" s="104"/>
      <c r="D247" s="105"/>
      <c r="E247" s="107"/>
      <c r="F247" s="107" t="s">
        <v>130</v>
      </c>
      <c r="G247" s="108" t="s">
        <v>193</v>
      </c>
      <c r="H247" s="109">
        <v>140</v>
      </c>
      <c r="I247" s="108" t="s">
        <v>141</v>
      </c>
      <c r="J247" s="28"/>
      <c r="K247" s="28"/>
      <c r="L247" s="51"/>
    </row>
    <row r="248" spans="2:12" x14ac:dyDescent="0.35">
      <c r="B248" s="111"/>
      <c r="C248" s="112"/>
      <c r="D248" s="100"/>
      <c r="E248" s="101"/>
      <c r="F248" s="101" t="s">
        <v>130</v>
      </c>
      <c r="G248" s="52" t="s">
        <v>194</v>
      </c>
      <c r="H248" s="102">
        <v>1</v>
      </c>
      <c r="I248" s="98" t="s">
        <v>83</v>
      </c>
      <c r="J248" s="202"/>
      <c r="K248" s="50"/>
      <c r="L248" s="45"/>
    </row>
    <row r="249" spans="2:12" x14ac:dyDescent="0.35">
      <c r="B249" s="159"/>
      <c r="C249" s="104"/>
      <c r="D249" s="105"/>
      <c r="E249" s="113"/>
      <c r="F249" s="60" t="s">
        <v>130</v>
      </c>
      <c r="G249" s="98" t="s">
        <v>191</v>
      </c>
      <c r="H249" s="102">
        <v>4</v>
      </c>
      <c r="I249" s="98" t="s">
        <v>83</v>
      </c>
      <c r="J249" s="202"/>
      <c r="K249" s="50"/>
      <c r="L249" s="45"/>
    </row>
    <row r="250" spans="2:12" x14ac:dyDescent="0.35">
      <c r="B250" s="159"/>
      <c r="C250" s="104"/>
      <c r="D250" s="105" t="s">
        <v>39</v>
      </c>
      <c r="E250" s="101"/>
      <c r="F250" s="60" t="s">
        <v>195</v>
      </c>
      <c r="G250" s="52"/>
      <c r="H250" s="102">
        <v>5</v>
      </c>
      <c r="I250" s="98" t="s">
        <v>160</v>
      </c>
      <c r="J250" s="202"/>
      <c r="K250" s="50"/>
      <c r="L250" s="45"/>
    </row>
    <row r="251" spans="2:12" x14ac:dyDescent="0.35">
      <c r="B251" s="159"/>
      <c r="C251" s="104"/>
      <c r="D251" s="105"/>
      <c r="E251" s="101"/>
      <c r="F251" s="60" t="s">
        <v>130</v>
      </c>
      <c r="G251" s="52" t="s">
        <v>187</v>
      </c>
      <c r="H251" s="102">
        <v>820</v>
      </c>
      <c r="I251" s="98" t="s">
        <v>141</v>
      </c>
      <c r="J251" s="202"/>
      <c r="K251" s="50"/>
      <c r="L251" s="45"/>
    </row>
    <row r="252" spans="2:12" x14ac:dyDescent="0.35">
      <c r="B252" s="159"/>
      <c r="C252" s="104"/>
      <c r="D252" s="105"/>
      <c r="E252" s="101"/>
      <c r="F252" s="60" t="s">
        <v>130</v>
      </c>
      <c r="G252" s="52" t="s">
        <v>188</v>
      </c>
      <c r="H252" s="102">
        <v>1</v>
      </c>
      <c r="I252" s="98" t="s">
        <v>141</v>
      </c>
      <c r="J252" s="202"/>
      <c r="K252" s="50"/>
      <c r="L252" s="45"/>
    </row>
    <row r="253" spans="2:12" x14ac:dyDescent="0.35">
      <c r="B253" s="111"/>
      <c r="C253" s="112"/>
      <c r="D253" s="100"/>
      <c r="E253" s="101"/>
      <c r="F253" s="101" t="s">
        <v>130</v>
      </c>
      <c r="G253" s="52" t="s">
        <v>196</v>
      </c>
      <c r="H253" s="102">
        <v>1</v>
      </c>
      <c r="I253" s="98" t="s">
        <v>83</v>
      </c>
      <c r="J253" s="202"/>
      <c r="K253" s="50"/>
      <c r="L253" s="45"/>
    </row>
    <row r="254" spans="2:12" x14ac:dyDescent="0.35">
      <c r="B254" s="159"/>
      <c r="C254" s="104" t="s">
        <v>197</v>
      </c>
      <c r="D254" s="105"/>
      <c r="E254" s="101"/>
      <c r="F254" s="60" t="s">
        <v>198</v>
      </c>
      <c r="G254" s="52"/>
      <c r="H254" s="102"/>
      <c r="I254" s="98"/>
      <c r="J254" s="49"/>
      <c r="K254" s="28"/>
      <c r="L254" s="51"/>
    </row>
    <row r="255" spans="2:12" x14ac:dyDescent="0.35">
      <c r="B255" s="159"/>
      <c r="C255" s="104"/>
      <c r="D255" s="105" t="s">
        <v>34</v>
      </c>
      <c r="E255" s="101"/>
      <c r="F255" s="60" t="s">
        <v>159</v>
      </c>
      <c r="G255" s="52"/>
      <c r="H255" s="102">
        <f>7+6+6</f>
        <v>19</v>
      </c>
      <c r="I255" s="98" t="s">
        <v>160</v>
      </c>
      <c r="J255" s="202"/>
      <c r="K255" s="50"/>
      <c r="L255" s="45"/>
    </row>
    <row r="256" spans="2:12" x14ac:dyDescent="0.35">
      <c r="B256" s="159"/>
      <c r="C256" s="104"/>
      <c r="D256" s="105"/>
      <c r="E256" s="101"/>
      <c r="F256" s="60" t="s">
        <v>130</v>
      </c>
      <c r="G256" s="52" t="s">
        <v>187</v>
      </c>
      <c r="H256" s="102">
        <f>200+920+131+370+120+150</f>
        <v>1891</v>
      </c>
      <c r="I256" s="98" t="s">
        <v>141</v>
      </c>
      <c r="J256" s="202"/>
      <c r="K256" s="50"/>
      <c r="L256" s="45"/>
    </row>
    <row r="257" spans="2:12" x14ac:dyDescent="0.35">
      <c r="B257" s="159"/>
      <c r="C257" s="104"/>
      <c r="D257" s="105"/>
      <c r="E257" s="101"/>
      <c r="F257" s="101" t="s">
        <v>130</v>
      </c>
      <c r="G257" s="52" t="s">
        <v>188</v>
      </c>
      <c r="H257" s="102">
        <f>4+2</f>
        <v>6</v>
      </c>
      <c r="I257" s="98" t="s">
        <v>83</v>
      </c>
      <c r="J257" s="202"/>
      <c r="K257" s="50"/>
      <c r="L257" s="45"/>
    </row>
    <row r="258" spans="2:12" x14ac:dyDescent="0.35">
      <c r="B258" s="159"/>
      <c r="C258" s="104"/>
      <c r="D258" s="105"/>
      <c r="E258" s="58"/>
      <c r="F258" s="101" t="s">
        <v>130</v>
      </c>
      <c r="G258" s="52" t="s">
        <v>189</v>
      </c>
      <c r="H258" s="102">
        <f>4+1</f>
        <v>5</v>
      </c>
      <c r="I258" s="98" t="s">
        <v>83</v>
      </c>
      <c r="J258" s="202"/>
      <c r="K258" s="50"/>
      <c r="L258" s="45"/>
    </row>
    <row r="259" spans="2:12" x14ac:dyDescent="0.35">
      <c r="B259" s="159"/>
      <c r="C259" s="104"/>
      <c r="D259" s="105"/>
      <c r="E259" s="107"/>
      <c r="F259" s="107" t="s">
        <v>130</v>
      </c>
      <c r="G259" s="108" t="s">
        <v>190</v>
      </c>
      <c r="H259" s="109">
        <v>100</v>
      </c>
      <c r="I259" s="108" t="s">
        <v>141</v>
      </c>
      <c r="J259" s="202"/>
      <c r="K259" s="50"/>
      <c r="L259" s="45"/>
    </row>
    <row r="260" spans="2:12" x14ac:dyDescent="0.35">
      <c r="B260" s="159"/>
      <c r="C260" s="104"/>
      <c r="D260" s="105"/>
      <c r="E260" s="113"/>
      <c r="F260" s="60" t="s">
        <v>130</v>
      </c>
      <c r="G260" s="98" t="s">
        <v>191</v>
      </c>
      <c r="H260" s="102">
        <v>2</v>
      </c>
      <c r="I260" s="98" t="s">
        <v>83</v>
      </c>
      <c r="J260" s="202"/>
      <c r="K260" s="50"/>
      <c r="L260" s="45"/>
    </row>
    <row r="261" spans="2:12" x14ac:dyDescent="0.35">
      <c r="B261" s="159"/>
      <c r="C261" s="104"/>
      <c r="D261" s="105"/>
      <c r="E261" s="101"/>
      <c r="F261" s="101" t="s">
        <v>130</v>
      </c>
      <c r="G261" s="52" t="s">
        <v>142</v>
      </c>
      <c r="H261" s="60">
        <v>1</v>
      </c>
      <c r="I261" s="98" t="s">
        <v>83</v>
      </c>
      <c r="J261" s="202"/>
      <c r="K261" s="50"/>
      <c r="L261" s="45"/>
    </row>
    <row r="262" spans="2:12" x14ac:dyDescent="0.35">
      <c r="B262" s="159"/>
      <c r="C262" s="104"/>
      <c r="D262" s="105"/>
      <c r="E262" s="58"/>
      <c r="F262" s="101" t="s">
        <v>130</v>
      </c>
      <c r="G262" s="52" t="s">
        <v>143</v>
      </c>
      <c r="H262" s="102">
        <v>4</v>
      </c>
      <c r="I262" s="98" t="s">
        <v>83</v>
      </c>
      <c r="J262" s="202"/>
      <c r="K262" s="50"/>
      <c r="L262" s="45"/>
    </row>
    <row r="263" spans="2:12" x14ac:dyDescent="0.35">
      <c r="B263" s="159"/>
      <c r="C263" s="104"/>
      <c r="D263" s="105" t="s">
        <v>37</v>
      </c>
      <c r="E263" s="101"/>
      <c r="F263" s="60" t="s">
        <v>192</v>
      </c>
      <c r="G263" s="52"/>
      <c r="H263" s="102">
        <v>5</v>
      </c>
      <c r="I263" s="98" t="s">
        <v>160</v>
      </c>
      <c r="J263" s="202"/>
      <c r="K263" s="50"/>
      <c r="L263" s="45"/>
    </row>
    <row r="264" spans="2:12" x14ac:dyDescent="0.35">
      <c r="B264" s="159"/>
      <c r="C264" s="104"/>
      <c r="D264" s="105"/>
      <c r="E264" s="101"/>
      <c r="F264" s="60" t="s">
        <v>130</v>
      </c>
      <c r="G264" s="52" t="s">
        <v>187</v>
      </c>
      <c r="H264" s="102">
        <v>120</v>
      </c>
      <c r="I264" s="98" t="s">
        <v>141</v>
      </c>
      <c r="J264" s="202"/>
      <c r="K264" s="50"/>
      <c r="L264" s="45"/>
    </row>
    <row r="265" spans="2:12" x14ac:dyDescent="0.35">
      <c r="B265" s="159"/>
      <c r="C265" s="104"/>
      <c r="D265" s="105"/>
      <c r="E265" s="101"/>
      <c r="F265" s="60" t="s">
        <v>130</v>
      </c>
      <c r="G265" s="52" t="s">
        <v>188</v>
      </c>
      <c r="H265" s="102">
        <v>2</v>
      </c>
      <c r="I265" s="98" t="s">
        <v>141</v>
      </c>
      <c r="J265" s="202"/>
      <c r="K265" s="50"/>
      <c r="L265" s="45"/>
    </row>
    <row r="266" spans="2:12" s="33" customFormat="1" x14ac:dyDescent="0.35">
      <c r="B266" s="159"/>
      <c r="C266" s="104"/>
      <c r="D266" s="105"/>
      <c r="E266" s="107"/>
      <c r="F266" s="107" t="s">
        <v>130</v>
      </c>
      <c r="G266" s="108" t="s">
        <v>193</v>
      </c>
      <c r="H266" s="109">
        <v>150</v>
      </c>
      <c r="I266" s="108" t="s">
        <v>141</v>
      </c>
      <c r="J266" s="28"/>
      <c r="K266" s="28"/>
      <c r="L266" s="51"/>
    </row>
    <row r="267" spans="2:12" x14ac:dyDescent="0.35">
      <c r="B267" s="111"/>
      <c r="C267" s="112"/>
      <c r="D267" s="100"/>
      <c r="E267" s="101"/>
      <c r="F267" s="101" t="s">
        <v>130</v>
      </c>
      <c r="G267" s="52" t="s">
        <v>194</v>
      </c>
      <c r="H267" s="102">
        <v>1</v>
      </c>
      <c r="I267" s="98" t="s">
        <v>83</v>
      </c>
      <c r="J267" s="202"/>
      <c r="K267" s="50"/>
      <c r="L267" s="45"/>
    </row>
    <row r="268" spans="2:12" x14ac:dyDescent="0.35">
      <c r="B268" s="159"/>
      <c r="C268" s="104"/>
      <c r="D268" s="105"/>
      <c r="E268" s="113"/>
      <c r="F268" s="60" t="s">
        <v>130</v>
      </c>
      <c r="G268" s="98" t="s">
        <v>191</v>
      </c>
      <c r="H268" s="102">
        <v>4</v>
      </c>
      <c r="I268" s="98" t="s">
        <v>83</v>
      </c>
      <c r="J268" s="202"/>
      <c r="K268" s="50"/>
      <c r="L268" s="45"/>
    </row>
    <row r="269" spans="2:12" x14ac:dyDescent="0.35">
      <c r="B269" s="46"/>
      <c r="C269" s="47"/>
      <c r="D269" s="23"/>
      <c r="G269" s="21"/>
      <c r="I269" s="21"/>
      <c r="J269" s="49"/>
      <c r="K269" s="28"/>
      <c r="L269" s="51"/>
    </row>
    <row r="270" spans="2:12" x14ac:dyDescent="0.35">
      <c r="B270" s="46"/>
      <c r="C270" s="47"/>
      <c r="D270" s="23"/>
      <c r="G270" s="21"/>
      <c r="I270" s="21"/>
      <c r="J270" s="49"/>
      <c r="K270" s="28"/>
      <c r="L270" s="51"/>
    </row>
    <row r="271" spans="2:12" x14ac:dyDescent="0.35">
      <c r="B271" s="46"/>
      <c r="C271" s="47"/>
      <c r="D271" s="23"/>
      <c r="G271" s="21"/>
      <c r="I271" s="21"/>
      <c r="J271" s="49"/>
      <c r="K271" s="28"/>
      <c r="L271" s="51"/>
    </row>
    <row r="272" spans="2:12" x14ac:dyDescent="0.35">
      <c r="B272" s="46"/>
      <c r="C272" s="47"/>
      <c r="D272" s="23"/>
      <c r="G272" s="21"/>
      <c r="I272" s="21"/>
      <c r="J272" s="49"/>
      <c r="K272" s="28"/>
      <c r="L272" s="51"/>
    </row>
    <row r="273" spans="2:12" x14ac:dyDescent="0.35">
      <c r="B273" s="224"/>
      <c r="C273" s="47"/>
      <c r="D273" s="23"/>
      <c r="G273" s="21"/>
      <c r="I273" s="21"/>
      <c r="J273" s="49"/>
      <c r="K273" s="28"/>
      <c r="L273" s="51"/>
    </row>
    <row r="274" spans="2:12" x14ac:dyDescent="0.35">
      <c r="B274" s="8"/>
      <c r="C274" s="9"/>
      <c r="D274" s="10"/>
      <c r="E274" s="4"/>
      <c r="F274" s="4"/>
      <c r="G274" s="4"/>
      <c r="H274" s="1"/>
      <c r="I274" s="1"/>
      <c r="J274" s="11" t="s">
        <v>8</v>
      </c>
      <c r="K274" s="7">
        <f>SUM(K221:K273)</f>
        <v>0</v>
      </c>
      <c r="L274" s="7">
        <f>SUM(L221:L273)</f>
        <v>0</v>
      </c>
    </row>
    <row r="275" spans="2:12" x14ac:dyDescent="0.35">
      <c r="B275" s="8"/>
      <c r="C275" s="9"/>
      <c r="D275" s="9"/>
      <c r="E275" s="4"/>
      <c r="F275" s="4"/>
      <c r="G275" s="4"/>
      <c r="H275" s="1"/>
      <c r="I275" s="1"/>
      <c r="J275" s="11"/>
      <c r="K275" s="34" t="s">
        <v>13</v>
      </c>
      <c r="L275" s="35" t="s">
        <v>14</v>
      </c>
    </row>
    <row r="276" spans="2:12" x14ac:dyDescent="0.35">
      <c r="B276" s="3" t="s">
        <v>9</v>
      </c>
      <c r="C276" s="4"/>
      <c r="D276" s="4"/>
      <c r="E276" s="4"/>
      <c r="F276" s="4"/>
      <c r="G276" s="4"/>
      <c r="H276" s="1"/>
      <c r="I276" s="1"/>
      <c r="J276" s="12"/>
      <c r="K276" s="12"/>
      <c r="L276" s="13"/>
    </row>
    <row r="277" spans="2:12" x14ac:dyDescent="0.35">
      <c r="B277" s="36"/>
      <c r="C277" s="1"/>
      <c r="D277" s="1"/>
      <c r="E277" s="37"/>
      <c r="F277" s="37"/>
      <c r="G277" s="37"/>
      <c r="H277" s="1"/>
      <c r="I277" s="1"/>
      <c r="J277" s="1"/>
      <c r="K277" s="1"/>
      <c r="L277" s="18"/>
    </row>
    <row r="278" spans="2:12" x14ac:dyDescent="0.35">
      <c r="B278" s="27" t="s">
        <v>6</v>
      </c>
      <c r="C278" s="26"/>
      <c r="D278" s="26"/>
      <c r="E278" s="25"/>
      <c r="F278" s="25"/>
      <c r="G278" s="5"/>
      <c r="K278" s="232" t="s">
        <v>813</v>
      </c>
      <c r="L278" s="233"/>
    </row>
    <row r="279" spans="2:12" x14ac:dyDescent="0.35">
      <c r="B279" s="27">
        <v>1</v>
      </c>
      <c r="C279" s="26"/>
      <c r="D279" s="26"/>
      <c r="E279" s="25" t="s">
        <v>7</v>
      </c>
      <c r="F279" s="25"/>
      <c r="G279" s="5"/>
      <c r="K279" s="232" t="s">
        <v>18</v>
      </c>
      <c r="L279" s="233"/>
    </row>
    <row r="280" spans="2:12" x14ac:dyDescent="0.35">
      <c r="B280" s="38"/>
      <c r="C280" s="26"/>
      <c r="D280" s="26"/>
      <c r="E280" s="25"/>
      <c r="F280" s="25"/>
      <c r="G280" s="5"/>
      <c r="J280" s="24"/>
      <c r="K280" s="24"/>
      <c r="L280" s="23"/>
    </row>
    <row r="281" spans="2:12" x14ac:dyDescent="0.35">
      <c r="B281" s="27"/>
      <c r="C281" s="26"/>
      <c r="D281" s="26"/>
      <c r="E281" s="25"/>
      <c r="F281" s="25"/>
      <c r="G281" s="5"/>
      <c r="L281" s="21"/>
    </row>
    <row r="282" spans="2:12" x14ac:dyDescent="0.35">
      <c r="B282" s="44"/>
      <c r="E282" s="5"/>
      <c r="F282" s="5"/>
      <c r="G282" s="5"/>
      <c r="L282" s="21"/>
    </row>
    <row r="283" spans="2:12" x14ac:dyDescent="0.35">
      <c r="B283" s="44"/>
      <c r="E283" s="5"/>
      <c r="F283" s="5"/>
      <c r="G283" s="5"/>
      <c r="L283" s="21"/>
    </row>
    <row r="284" spans="2:12" x14ac:dyDescent="0.35">
      <c r="B284" s="44"/>
      <c r="E284" s="5"/>
      <c r="F284" s="5"/>
      <c r="G284" s="5"/>
      <c r="L284" s="21"/>
    </row>
    <row r="285" spans="2:12" x14ac:dyDescent="0.35">
      <c r="B285" s="44"/>
      <c r="E285" s="5"/>
      <c r="F285" s="5"/>
      <c r="G285" s="5"/>
      <c r="J285" s="39"/>
      <c r="K285" s="234" t="s">
        <v>26</v>
      </c>
      <c r="L285" s="235"/>
    </row>
    <row r="286" spans="2:12" x14ac:dyDescent="0.35">
      <c r="B286" s="44"/>
      <c r="K286" s="236" t="s">
        <v>27</v>
      </c>
      <c r="L286" s="237"/>
    </row>
    <row r="287" spans="2:12" x14ac:dyDescent="0.35">
      <c r="B287" s="238"/>
      <c r="C287" s="239"/>
      <c r="D287" s="239"/>
      <c r="E287" s="40"/>
      <c r="F287" s="40"/>
      <c r="G287" s="40"/>
      <c r="H287" s="2"/>
      <c r="I287" s="2"/>
      <c r="J287" s="2"/>
      <c r="K287" s="2"/>
      <c r="L287" s="20"/>
    </row>
    <row r="288" spans="2:12" x14ac:dyDescent="0.35">
      <c r="B288" s="222"/>
      <c r="C288" s="47"/>
      <c r="D288" s="48"/>
      <c r="G288" s="21"/>
      <c r="H288" s="1"/>
      <c r="I288" s="1"/>
      <c r="J288" s="42"/>
      <c r="K288" s="29"/>
      <c r="L288" s="43"/>
    </row>
    <row r="289" spans="2:12" x14ac:dyDescent="0.35">
      <c r="B289" s="159"/>
      <c r="C289" s="104" t="s">
        <v>199</v>
      </c>
      <c r="D289" s="105"/>
      <c r="E289" s="101"/>
      <c r="F289" s="60" t="s">
        <v>200</v>
      </c>
      <c r="G289" s="52"/>
      <c r="H289" s="102"/>
      <c r="I289" s="98"/>
      <c r="J289" s="28"/>
      <c r="K289" s="50"/>
      <c r="L289" s="45"/>
    </row>
    <row r="290" spans="2:12" x14ac:dyDescent="0.35">
      <c r="B290" s="159"/>
      <c r="C290" s="104"/>
      <c r="D290" s="105" t="s">
        <v>34</v>
      </c>
      <c r="E290" s="101"/>
      <c r="F290" s="60" t="s">
        <v>201</v>
      </c>
      <c r="G290" s="52"/>
      <c r="H290" s="102">
        <f>12+4+7+16+8</f>
        <v>47</v>
      </c>
      <c r="I290" s="98" t="s">
        <v>160</v>
      </c>
      <c r="J290" s="202"/>
      <c r="K290" s="50"/>
      <c r="L290" s="45"/>
    </row>
    <row r="291" spans="2:12" x14ac:dyDescent="0.35">
      <c r="B291" s="159"/>
      <c r="C291" s="104"/>
      <c r="D291" s="105"/>
      <c r="E291" s="101"/>
      <c r="F291" s="60" t="s">
        <v>130</v>
      </c>
      <c r="G291" s="52" t="s">
        <v>187</v>
      </c>
      <c r="H291" s="102">
        <f>490+390+1070+90+870+820+190+1800+680+20+100+90+200+560</f>
        <v>7370</v>
      </c>
      <c r="I291" s="98" t="s">
        <v>141</v>
      </c>
      <c r="J291" s="202"/>
      <c r="K291" s="50"/>
      <c r="L291" s="45"/>
    </row>
    <row r="292" spans="2:12" x14ac:dyDescent="0.35">
      <c r="B292" s="159"/>
      <c r="C292" s="104"/>
      <c r="D292" s="105"/>
      <c r="E292" s="101"/>
      <c r="F292" s="101" t="s">
        <v>130</v>
      </c>
      <c r="G292" s="52" t="s">
        <v>188</v>
      </c>
      <c r="H292" s="102">
        <f>3+2+4+3</f>
        <v>12</v>
      </c>
      <c r="I292" s="98" t="s">
        <v>83</v>
      </c>
      <c r="J292" s="202"/>
      <c r="K292" s="50"/>
      <c r="L292" s="45"/>
    </row>
    <row r="293" spans="2:12" x14ac:dyDescent="0.35">
      <c r="B293" s="159"/>
      <c r="C293" s="104"/>
      <c r="D293" s="105"/>
      <c r="E293" s="58"/>
      <c r="F293" s="101" t="s">
        <v>130</v>
      </c>
      <c r="G293" s="52" t="s">
        <v>189</v>
      </c>
      <c r="H293" s="102">
        <f>3+2+2+4+2</f>
        <v>13</v>
      </c>
      <c r="I293" s="98" t="s">
        <v>83</v>
      </c>
      <c r="J293" s="202"/>
      <c r="K293" s="50"/>
      <c r="L293" s="45"/>
    </row>
    <row r="294" spans="2:12" x14ac:dyDescent="0.35">
      <c r="B294" s="159"/>
      <c r="C294" s="104"/>
      <c r="D294" s="105"/>
      <c r="E294" s="58"/>
      <c r="F294" s="101" t="s">
        <v>130</v>
      </c>
      <c r="G294" s="52" t="s">
        <v>202</v>
      </c>
      <c r="H294" s="102">
        <v>1</v>
      </c>
      <c r="I294" s="98" t="s">
        <v>83</v>
      </c>
      <c r="J294" s="202"/>
      <c r="K294" s="50"/>
      <c r="L294" s="45"/>
    </row>
    <row r="295" spans="2:12" x14ac:dyDescent="0.35">
      <c r="B295" s="160"/>
      <c r="C295" s="104"/>
      <c r="D295" s="105"/>
      <c r="E295" s="101"/>
      <c r="F295" s="101" t="s">
        <v>130</v>
      </c>
      <c r="G295" s="52" t="s">
        <v>142</v>
      </c>
      <c r="H295" s="60">
        <v>7</v>
      </c>
      <c r="I295" s="98" t="s">
        <v>83</v>
      </c>
      <c r="J295" s="202"/>
      <c r="K295" s="50"/>
      <c r="L295" s="45"/>
    </row>
    <row r="296" spans="2:12" x14ac:dyDescent="0.35">
      <c r="B296" s="160"/>
      <c r="C296" s="104"/>
      <c r="D296" s="105"/>
      <c r="E296" s="101"/>
      <c r="F296" s="101" t="s">
        <v>130</v>
      </c>
      <c r="G296" s="52" t="s">
        <v>203</v>
      </c>
      <c r="H296" s="60">
        <v>1</v>
      </c>
      <c r="I296" s="98" t="s">
        <v>83</v>
      </c>
      <c r="J296" s="202"/>
      <c r="K296" s="50"/>
      <c r="L296" s="45"/>
    </row>
    <row r="297" spans="2:12" x14ac:dyDescent="0.35">
      <c r="B297" s="160"/>
      <c r="C297" s="104"/>
      <c r="D297" s="105"/>
      <c r="E297" s="101"/>
      <c r="F297" s="101" t="s">
        <v>130</v>
      </c>
      <c r="G297" s="52" t="s">
        <v>143</v>
      </c>
      <c r="H297" s="102">
        <f>4+4+8+4</f>
        <v>20</v>
      </c>
      <c r="I297" s="98" t="s">
        <v>83</v>
      </c>
      <c r="J297" s="202"/>
      <c r="K297" s="50"/>
      <c r="L297" s="45"/>
    </row>
    <row r="298" spans="2:12" x14ac:dyDescent="0.35">
      <c r="B298" s="160"/>
      <c r="C298" s="104"/>
      <c r="D298" s="105"/>
      <c r="E298" s="101"/>
      <c r="F298" s="101" t="s">
        <v>130</v>
      </c>
      <c r="G298" s="52" t="s">
        <v>183</v>
      </c>
      <c r="H298" s="102">
        <v>12</v>
      </c>
      <c r="I298" s="98" t="s">
        <v>83</v>
      </c>
      <c r="J298" s="202"/>
      <c r="K298" s="50"/>
      <c r="L298" s="45"/>
    </row>
    <row r="299" spans="2:12" x14ac:dyDescent="0.35">
      <c r="B299" s="160"/>
      <c r="C299" s="104"/>
      <c r="D299" s="105"/>
      <c r="E299" s="101"/>
      <c r="F299" s="101" t="s">
        <v>130</v>
      </c>
      <c r="G299" s="52" t="s">
        <v>204</v>
      </c>
      <c r="H299" s="102">
        <v>4</v>
      </c>
      <c r="I299" s="98" t="s">
        <v>83</v>
      </c>
      <c r="J299" s="202"/>
      <c r="K299" s="50"/>
      <c r="L299" s="45"/>
    </row>
    <row r="300" spans="2:12" x14ac:dyDescent="0.35">
      <c r="B300" s="158"/>
      <c r="C300" s="104"/>
      <c r="D300" s="105"/>
      <c r="E300" s="101"/>
      <c r="F300" s="60" t="s">
        <v>130</v>
      </c>
      <c r="G300" s="52" t="s">
        <v>205</v>
      </c>
      <c r="H300" s="102">
        <v>3</v>
      </c>
      <c r="I300" s="98" t="s">
        <v>83</v>
      </c>
      <c r="J300" s="202"/>
      <c r="K300" s="50"/>
      <c r="L300" s="45"/>
    </row>
    <row r="301" spans="2:12" x14ac:dyDescent="0.35">
      <c r="B301" s="159"/>
      <c r="C301" s="104"/>
      <c r="D301" s="105" t="s">
        <v>37</v>
      </c>
      <c r="E301" s="101"/>
      <c r="F301" s="60" t="s">
        <v>206</v>
      </c>
      <c r="G301" s="52"/>
      <c r="H301" s="102">
        <f>13+15</f>
        <v>28</v>
      </c>
      <c r="I301" s="98" t="s">
        <v>160</v>
      </c>
      <c r="J301" s="202"/>
      <c r="K301" s="50"/>
      <c r="L301" s="45"/>
    </row>
    <row r="302" spans="2:12" x14ac:dyDescent="0.35">
      <c r="B302" s="159"/>
      <c r="C302" s="104"/>
      <c r="D302" s="105"/>
      <c r="E302" s="101"/>
      <c r="F302" s="60" t="s">
        <v>130</v>
      </c>
      <c r="G302" s="52" t="s">
        <v>187</v>
      </c>
      <c r="H302" s="102">
        <f>80+790+1000+340+40+1980+300+640+180+220+50</f>
        <v>5620</v>
      </c>
      <c r="I302" s="98" t="s">
        <v>141</v>
      </c>
      <c r="J302" s="202"/>
      <c r="K302" s="50"/>
      <c r="L302" s="45"/>
    </row>
    <row r="303" spans="2:12" x14ac:dyDescent="0.35">
      <c r="B303" s="159"/>
      <c r="C303" s="104"/>
      <c r="D303" s="105"/>
      <c r="E303" s="101"/>
      <c r="F303" s="101" t="s">
        <v>130</v>
      </c>
      <c r="G303" s="52" t="s">
        <v>188</v>
      </c>
      <c r="H303" s="102">
        <f>3+4</f>
        <v>7</v>
      </c>
      <c r="I303" s="98" t="s">
        <v>83</v>
      </c>
      <c r="J303" s="202"/>
      <c r="K303" s="50"/>
      <c r="L303" s="45"/>
    </row>
    <row r="304" spans="2:12" x14ac:dyDescent="0.35">
      <c r="B304" s="159"/>
      <c r="C304" s="104"/>
      <c r="D304" s="105"/>
      <c r="E304" s="58"/>
      <c r="F304" s="101" t="s">
        <v>130</v>
      </c>
      <c r="G304" s="52" t="s">
        <v>189</v>
      </c>
      <c r="H304" s="102">
        <f>3+3</f>
        <v>6</v>
      </c>
      <c r="I304" s="98" t="s">
        <v>83</v>
      </c>
      <c r="J304" s="202"/>
      <c r="K304" s="50"/>
      <c r="L304" s="45"/>
    </row>
    <row r="305" spans="2:12" x14ac:dyDescent="0.35">
      <c r="B305" s="160"/>
      <c r="C305" s="104"/>
      <c r="D305" s="105"/>
      <c r="E305" s="101"/>
      <c r="F305" s="101" t="s">
        <v>130</v>
      </c>
      <c r="G305" s="52" t="s">
        <v>142</v>
      </c>
      <c r="H305" s="60">
        <v>2</v>
      </c>
      <c r="I305" s="98" t="s">
        <v>83</v>
      </c>
      <c r="J305" s="202"/>
      <c r="K305" s="50"/>
      <c r="L305" s="45"/>
    </row>
    <row r="306" spans="2:12" x14ac:dyDescent="0.35">
      <c r="B306" s="160"/>
      <c r="C306" s="104"/>
      <c r="D306" s="105"/>
      <c r="E306" s="101"/>
      <c r="F306" s="101" t="s">
        <v>130</v>
      </c>
      <c r="G306" s="52" t="s">
        <v>143</v>
      </c>
      <c r="H306" s="102">
        <v>8</v>
      </c>
      <c r="I306" s="98" t="s">
        <v>83</v>
      </c>
      <c r="J306" s="202"/>
      <c r="K306" s="50"/>
      <c r="L306" s="45"/>
    </row>
    <row r="307" spans="2:12" x14ac:dyDescent="0.35">
      <c r="B307" s="158"/>
      <c r="C307" s="104"/>
      <c r="D307" s="105"/>
      <c r="E307" s="101"/>
      <c r="F307" s="60" t="s">
        <v>130</v>
      </c>
      <c r="G307" s="52" t="s">
        <v>205</v>
      </c>
      <c r="H307" s="102">
        <v>2</v>
      </c>
      <c r="I307" s="98" t="s">
        <v>83</v>
      </c>
      <c r="J307" s="202"/>
      <c r="K307" s="50"/>
      <c r="L307" s="45"/>
    </row>
    <row r="308" spans="2:12" x14ac:dyDescent="0.35">
      <c r="B308" s="129"/>
      <c r="C308" s="104"/>
      <c r="D308" s="105"/>
      <c r="E308" s="101"/>
      <c r="F308" s="60" t="s">
        <v>130</v>
      </c>
      <c r="G308" s="52" t="s">
        <v>207</v>
      </c>
      <c r="H308" s="94">
        <f>0.12*6*0.44*7.85*1.2</f>
        <v>2.9842559999999998</v>
      </c>
      <c r="I308" s="98" t="s">
        <v>208</v>
      </c>
      <c r="J308" s="202"/>
      <c r="K308" s="50"/>
      <c r="L308" s="45"/>
    </row>
    <row r="309" spans="2:12" x14ac:dyDescent="0.35">
      <c r="B309" s="159"/>
      <c r="C309" s="104"/>
      <c r="D309" s="105" t="s">
        <v>39</v>
      </c>
      <c r="E309" s="101"/>
      <c r="F309" s="60" t="s">
        <v>209</v>
      </c>
      <c r="G309" s="52"/>
      <c r="H309" s="102">
        <f>7+7</f>
        <v>14</v>
      </c>
      <c r="I309" s="98" t="s">
        <v>160</v>
      </c>
      <c r="J309" s="202"/>
      <c r="K309" s="50"/>
      <c r="L309" s="45"/>
    </row>
    <row r="310" spans="2:12" x14ac:dyDescent="0.35">
      <c r="B310" s="159"/>
      <c r="C310" s="104"/>
      <c r="D310" s="105"/>
      <c r="E310" s="101"/>
      <c r="F310" s="60" t="s">
        <v>130</v>
      </c>
      <c r="G310" s="52" t="s">
        <v>161</v>
      </c>
      <c r="H310" s="102">
        <f>800+700+130+930+260</f>
        <v>2820</v>
      </c>
      <c r="I310" s="98" t="s">
        <v>141</v>
      </c>
      <c r="J310" s="202"/>
      <c r="K310" s="50"/>
      <c r="L310" s="45"/>
    </row>
    <row r="311" spans="2:12" x14ac:dyDescent="0.35">
      <c r="B311" s="159"/>
      <c r="C311" s="104"/>
      <c r="D311" s="105"/>
      <c r="E311" s="101"/>
      <c r="F311" s="101" t="s">
        <v>130</v>
      </c>
      <c r="G311" s="52" t="s">
        <v>163</v>
      </c>
      <c r="H311" s="102">
        <v>5</v>
      </c>
      <c r="I311" s="98" t="s">
        <v>83</v>
      </c>
      <c r="J311" s="202"/>
      <c r="K311" s="50"/>
      <c r="L311" s="45"/>
    </row>
    <row r="312" spans="2:12" s="33" customFormat="1" x14ac:dyDescent="0.35">
      <c r="B312" s="129"/>
      <c r="C312" s="104"/>
      <c r="D312" s="64"/>
      <c r="E312" s="68"/>
      <c r="F312" s="101" t="s">
        <v>130</v>
      </c>
      <c r="G312" s="52" t="s">
        <v>210</v>
      </c>
      <c r="H312" s="102">
        <v>3</v>
      </c>
      <c r="I312" s="98" t="s">
        <v>83</v>
      </c>
      <c r="J312" s="202"/>
      <c r="K312" s="50"/>
      <c r="L312" s="45"/>
    </row>
    <row r="313" spans="2:12" x14ac:dyDescent="0.35">
      <c r="B313" s="159"/>
      <c r="C313" s="104"/>
      <c r="D313" s="105"/>
      <c r="E313" s="101"/>
      <c r="F313" s="101" t="s">
        <v>130</v>
      </c>
      <c r="G313" s="52" t="s">
        <v>211</v>
      </c>
      <c r="H313" s="60">
        <v>1</v>
      </c>
      <c r="I313" s="98" t="s">
        <v>83</v>
      </c>
      <c r="J313" s="202"/>
      <c r="K313" s="50"/>
      <c r="L313" s="45"/>
    </row>
    <row r="314" spans="2:12" x14ac:dyDescent="0.35">
      <c r="B314" s="116"/>
      <c r="C314" s="117"/>
      <c r="D314" s="64"/>
      <c r="E314" s="101"/>
      <c r="F314" s="101" t="s">
        <v>130</v>
      </c>
      <c r="G314" s="52" t="s">
        <v>183</v>
      </c>
      <c r="H314" s="102">
        <v>4</v>
      </c>
      <c r="I314" s="98" t="s">
        <v>83</v>
      </c>
      <c r="J314" s="202"/>
      <c r="K314" s="50"/>
      <c r="L314" s="45"/>
    </row>
    <row r="315" spans="2:12" x14ac:dyDescent="0.35">
      <c r="B315" s="159"/>
      <c r="C315" s="104"/>
      <c r="D315" s="105" t="s">
        <v>41</v>
      </c>
      <c r="E315" s="101"/>
      <c r="F315" s="60" t="s">
        <v>212</v>
      </c>
      <c r="G315" s="52"/>
      <c r="H315" s="102">
        <v>4</v>
      </c>
      <c r="I315" s="98" t="s">
        <v>160</v>
      </c>
      <c r="J315" s="202"/>
      <c r="K315" s="50"/>
      <c r="L315" s="45"/>
    </row>
    <row r="316" spans="2:12" x14ac:dyDescent="0.35">
      <c r="B316" s="159"/>
      <c r="C316" s="104"/>
      <c r="D316" s="105"/>
      <c r="E316" s="101"/>
      <c r="F316" s="60" t="s">
        <v>130</v>
      </c>
      <c r="G316" s="52" t="s">
        <v>187</v>
      </c>
      <c r="H316" s="102">
        <v>400</v>
      </c>
      <c r="I316" s="98" t="s">
        <v>141</v>
      </c>
      <c r="J316" s="202"/>
      <c r="K316" s="50"/>
      <c r="L316" s="45"/>
    </row>
    <row r="317" spans="2:12" x14ac:dyDescent="0.35">
      <c r="B317" s="159"/>
      <c r="C317" s="104"/>
      <c r="D317" s="105"/>
      <c r="E317" s="101"/>
      <c r="F317" s="101" t="s">
        <v>130</v>
      </c>
      <c r="G317" s="52" t="s">
        <v>188</v>
      </c>
      <c r="H317" s="102">
        <v>1</v>
      </c>
      <c r="I317" s="98" t="s">
        <v>83</v>
      </c>
      <c r="J317" s="202"/>
      <c r="K317" s="50"/>
      <c r="L317" s="45"/>
    </row>
    <row r="318" spans="2:12" x14ac:dyDescent="0.35">
      <c r="B318" s="159"/>
      <c r="C318" s="104"/>
      <c r="D318" s="105"/>
      <c r="E318" s="58"/>
      <c r="F318" s="101" t="s">
        <v>130</v>
      </c>
      <c r="G318" s="52" t="s">
        <v>189</v>
      </c>
      <c r="H318" s="102">
        <v>1</v>
      </c>
      <c r="I318" s="98" t="s">
        <v>83</v>
      </c>
      <c r="J318" s="202"/>
      <c r="K318" s="50"/>
      <c r="L318" s="45"/>
    </row>
    <row r="319" spans="2:12" x14ac:dyDescent="0.35">
      <c r="B319" s="160"/>
      <c r="C319" s="104"/>
      <c r="D319" s="105"/>
      <c r="E319" s="101"/>
      <c r="F319" s="101" t="s">
        <v>130</v>
      </c>
      <c r="G319" s="52" t="s">
        <v>142</v>
      </c>
      <c r="H319" s="60">
        <v>1</v>
      </c>
      <c r="I319" s="98" t="s">
        <v>83</v>
      </c>
      <c r="J319" s="202"/>
      <c r="K319" s="50"/>
      <c r="L319" s="45"/>
    </row>
    <row r="320" spans="2:12" x14ac:dyDescent="0.35">
      <c r="B320" s="160"/>
      <c r="C320" s="104"/>
      <c r="D320" s="105"/>
      <c r="E320" s="101"/>
      <c r="F320" s="101" t="s">
        <v>130</v>
      </c>
      <c r="G320" s="52" t="s">
        <v>183</v>
      </c>
      <c r="H320" s="102">
        <v>4</v>
      </c>
      <c r="I320" s="98" t="s">
        <v>83</v>
      </c>
      <c r="J320" s="202"/>
      <c r="K320" s="50"/>
      <c r="L320" s="45"/>
    </row>
    <row r="321" spans="2:13" x14ac:dyDescent="0.35">
      <c r="B321" s="159"/>
      <c r="C321" s="104" t="s">
        <v>213</v>
      </c>
      <c r="D321" s="105"/>
      <c r="E321" s="101"/>
      <c r="F321" s="60" t="s">
        <v>214</v>
      </c>
      <c r="G321" s="52"/>
      <c r="H321" s="102"/>
      <c r="I321" s="98"/>
      <c r="J321" s="49"/>
      <c r="K321" s="28"/>
      <c r="L321" s="51"/>
    </row>
    <row r="322" spans="2:13" x14ac:dyDescent="0.35">
      <c r="B322" s="159"/>
      <c r="C322" s="104"/>
      <c r="D322" s="105" t="s">
        <v>34</v>
      </c>
      <c r="E322" s="101"/>
      <c r="F322" s="60" t="s">
        <v>215</v>
      </c>
      <c r="G322" s="52"/>
      <c r="H322" s="102">
        <f>7+14+7+9</f>
        <v>37</v>
      </c>
      <c r="I322" s="98" t="s">
        <v>160</v>
      </c>
      <c r="J322" s="202"/>
      <c r="K322" s="50"/>
      <c r="L322" s="45"/>
    </row>
    <row r="323" spans="2:13" x14ac:dyDescent="0.35">
      <c r="B323" s="159"/>
      <c r="C323" s="104"/>
      <c r="D323" s="105"/>
      <c r="E323" s="101"/>
      <c r="F323" s="60" t="s">
        <v>130</v>
      </c>
      <c r="G323" s="52" t="s">
        <v>187</v>
      </c>
      <c r="H323" s="102">
        <f>340+600+900+550+100+90+390+900+1240+220+490</f>
        <v>5820</v>
      </c>
      <c r="I323" s="98" t="s">
        <v>141</v>
      </c>
      <c r="J323" s="202"/>
      <c r="K323" s="50"/>
      <c r="L323" s="45"/>
    </row>
    <row r="324" spans="2:13" x14ac:dyDescent="0.35">
      <c r="B324" s="159"/>
      <c r="C324" s="104"/>
      <c r="D324" s="105"/>
      <c r="E324" s="101"/>
      <c r="F324" s="101" t="s">
        <v>130</v>
      </c>
      <c r="G324" s="52" t="s">
        <v>188</v>
      </c>
      <c r="H324" s="102">
        <f>2+3+2+3</f>
        <v>10</v>
      </c>
      <c r="I324" s="98" t="s">
        <v>83</v>
      </c>
      <c r="J324" s="202"/>
      <c r="K324" s="50"/>
      <c r="L324" s="45"/>
    </row>
    <row r="325" spans="2:13" x14ac:dyDescent="0.35">
      <c r="B325" s="159"/>
      <c r="C325" s="104"/>
      <c r="D325" s="105"/>
      <c r="E325" s="58"/>
      <c r="F325" s="101" t="s">
        <v>130</v>
      </c>
      <c r="G325" s="52" t="s">
        <v>189</v>
      </c>
      <c r="H325" s="102">
        <f>2+4+2+2</f>
        <v>10</v>
      </c>
      <c r="I325" s="98" t="s">
        <v>83</v>
      </c>
      <c r="J325" s="202"/>
      <c r="K325" s="50"/>
      <c r="L325" s="45"/>
    </row>
    <row r="326" spans="2:13" x14ac:dyDescent="0.35">
      <c r="B326" s="160"/>
      <c r="C326" s="104"/>
      <c r="D326" s="105"/>
      <c r="E326" s="101"/>
      <c r="F326" s="101" t="s">
        <v>130</v>
      </c>
      <c r="G326" s="52" t="s">
        <v>142</v>
      </c>
      <c r="H326" s="60">
        <v>3</v>
      </c>
      <c r="I326" s="98" t="s">
        <v>83</v>
      </c>
      <c r="J326" s="202"/>
      <c r="K326" s="50"/>
      <c r="L326" s="45"/>
    </row>
    <row r="327" spans="2:13" x14ac:dyDescent="0.35">
      <c r="B327" s="160"/>
      <c r="C327" s="104"/>
      <c r="D327" s="105"/>
      <c r="E327" s="101"/>
      <c r="F327" s="101" t="s">
        <v>130</v>
      </c>
      <c r="G327" s="52" t="s">
        <v>143</v>
      </c>
      <c r="H327" s="102">
        <v>8</v>
      </c>
      <c r="I327" s="98" t="s">
        <v>83</v>
      </c>
      <c r="J327" s="202"/>
      <c r="K327" s="50"/>
      <c r="L327" s="45"/>
    </row>
    <row r="328" spans="2:13" x14ac:dyDescent="0.35">
      <c r="B328" s="158"/>
      <c r="C328" s="104"/>
      <c r="D328" s="105"/>
      <c r="E328" s="101"/>
      <c r="F328" s="60" t="s">
        <v>130</v>
      </c>
      <c r="G328" s="52" t="s">
        <v>205</v>
      </c>
      <c r="H328" s="102">
        <v>1</v>
      </c>
      <c r="I328" s="98" t="s">
        <v>83</v>
      </c>
      <c r="J328" s="202"/>
      <c r="K328" s="50"/>
      <c r="L328" s="45"/>
    </row>
    <row r="329" spans="2:13" x14ac:dyDescent="0.35">
      <c r="B329" s="159"/>
      <c r="C329" s="104" t="s">
        <v>216</v>
      </c>
      <c r="D329" s="105"/>
      <c r="E329" s="101"/>
      <c r="F329" s="60" t="s">
        <v>217</v>
      </c>
      <c r="G329" s="52"/>
      <c r="H329" s="102"/>
      <c r="I329" s="98"/>
      <c r="J329" s="49"/>
      <c r="K329" s="28"/>
      <c r="L329" s="51"/>
    </row>
    <row r="330" spans="2:13" x14ac:dyDescent="0.35">
      <c r="B330" s="159"/>
      <c r="C330" s="104"/>
      <c r="D330" s="105" t="s">
        <v>34</v>
      </c>
      <c r="E330" s="101"/>
      <c r="F330" s="60" t="s">
        <v>218</v>
      </c>
      <c r="G330" s="52"/>
      <c r="H330" s="102">
        <v>1</v>
      </c>
      <c r="I330" s="98" t="s">
        <v>533</v>
      </c>
      <c r="J330" s="49"/>
      <c r="K330" s="28"/>
      <c r="L330" s="51"/>
    </row>
    <row r="331" spans="2:13" x14ac:dyDescent="0.35">
      <c r="B331" s="129"/>
      <c r="C331" s="104"/>
      <c r="D331" s="105"/>
      <c r="E331" s="101"/>
      <c r="F331" s="60" t="s">
        <v>130</v>
      </c>
      <c r="G331" s="52" t="s">
        <v>219</v>
      </c>
      <c r="H331" s="94"/>
      <c r="I331" s="98"/>
      <c r="J331" s="49"/>
      <c r="K331" s="28"/>
      <c r="L331" s="51"/>
      <c r="M331" s="210"/>
    </row>
    <row r="332" spans="2:13" x14ac:dyDescent="0.35">
      <c r="B332" s="69"/>
      <c r="C332" s="104"/>
      <c r="D332" s="105"/>
      <c r="E332" s="101"/>
      <c r="F332" s="60" t="s">
        <v>130</v>
      </c>
      <c r="G332" s="52" t="s">
        <v>220</v>
      </c>
      <c r="H332" s="94"/>
      <c r="I332" s="98"/>
      <c r="J332" s="49"/>
      <c r="K332" s="28"/>
      <c r="L332" s="51"/>
      <c r="M332" s="210"/>
    </row>
    <row r="333" spans="2:13" x14ac:dyDescent="0.35">
      <c r="B333" s="69"/>
      <c r="C333" s="104"/>
      <c r="D333" s="105"/>
      <c r="E333" s="101"/>
      <c r="F333" s="60" t="s">
        <v>130</v>
      </c>
      <c r="G333" s="52" t="s">
        <v>221</v>
      </c>
      <c r="H333" s="94"/>
      <c r="I333" s="98"/>
      <c r="J333" s="49"/>
      <c r="K333" s="28"/>
      <c r="L333" s="51"/>
      <c r="M333" s="210"/>
    </row>
    <row r="334" spans="2:13" x14ac:dyDescent="0.35">
      <c r="B334" s="69"/>
      <c r="C334" s="104"/>
      <c r="D334" s="105"/>
      <c r="E334" s="101"/>
      <c r="F334" s="101" t="s">
        <v>130</v>
      </c>
      <c r="G334" s="52" t="s">
        <v>222</v>
      </c>
      <c r="H334" s="94"/>
      <c r="I334" s="98"/>
      <c r="J334" s="49"/>
      <c r="K334" s="28"/>
      <c r="L334" s="51"/>
      <c r="M334" s="210"/>
    </row>
    <row r="335" spans="2:13" x14ac:dyDescent="0.35">
      <c r="B335" s="69"/>
      <c r="C335" s="104"/>
      <c r="D335" s="105"/>
      <c r="E335" s="101"/>
      <c r="F335" s="101" t="s">
        <v>130</v>
      </c>
      <c r="G335" s="52" t="s">
        <v>223</v>
      </c>
      <c r="H335" s="94"/>
      <c r="I335" s="98"/>
      <c r="J335" s="49"/>
      <c r="K335" s="28"/>
      <c r="L335" s="51"/>
      <c r="M335" s="210"/>
    </row>
    <row r="336" spans="2:13" x14ac:dyDescent="0.35">
      <c r="B336" s="69"/>
      <c r="C336" s="104"/>
      <c r="D336" s="105"/>
      <c r="E336" s="101"/>
      <c r="F336" s="101" t="s">
        <v>130</v>
      </c>
      <c r="G336" s="52" t="s">
        <v>224</v>
      </c>
      <c r="H336" s="94"/>
      <c r="I336" s="98"/>
      <c r="J336" s="49"/>
      <c r="K336" s="28"/>
      <c r="L336" s="51"/>
      <c r="M336" s="210"/>
    </row>
    <row r="337" spans="2:15" x14ac:dyDescent="0.35">
      <c r="B337" s="69"/>
      <c r="C337" s="104"/>
      <c r="D337" s="105"/>
      <c r="E337" s="101"/>
      <c r="F337" s="101" t="s">
        <v>130</v>
      </c>
      <c r="G337" s="52" t="s">
        <v>225</v>
      </c>
      <c r="H337" s="94"/>
      <c r="I337" s="98"/>
      <c r="J337" s="49"/>
      <c r="K337" s="28"/>
      <c r="L337" s="51"/>
      <c r="M337" s="210"/>
    </row>
    <row r="338" spans="2:15" x14ac:dyDescent="0.35">
      <c r="B338" s="160"/>
      <c r="C338" s="104"/>
      <c r="D338" s="105"/>
      <c r="E338" s="101"/>
      <c r="F338" s="101" t="s">
        <v>130</v>
      </c>
      <c r="G338" s="52" t="s">
        <v>769</v>
      </c>
      <c r="H338" s="60"/>
      <c r="I338" s="98"/>
      <c r="J338" s="49"/>
      <c r="K338" s="28"/>
      <c r="L338" s="51"/>
      <c r="M338" s="210"/>
      <c r="N338" s="210"/>
      <c r="O338" s="211"/>
    </row>
    <row r="339" spans="2:15" x14ac:dyDescent="0.35">
      <c r="B339" s="46"/>
      <c r="C339" s="47"/>
      <c r="D339" s="23"/>
      <c r="G339" s="21"/>
      <c r="I339" s="21"/>
      <c r="J339" s="49"/>
      <c r="K339" s="28"/>
      <c r="L339" s="51"/>
    </row>
    <row r="340" spans="2:15" x14ac:dyDescent="0.35">
      <c r="B340" s="224"/>
      <c r="C340" s="47"/>
      <c r="D340" s="23"/>
      <c r="G340" s="21"/>
      <c r="I340" s="21"/>
      <c r="J340" s="49"/>
      <c r="K340" s="28"/>
      <c r="L340" s="51"/>
    </row>
    <row r="341" spans="2:15" x14ac:dyDescent="0.35">
      <c r="B341" s="8"/>
      <c r="C341" s="9"/>
      <c r="D341" s="10"/>
      <c r="E341" s="4"/>
      <c r="F341" s="4"/>
      <c r="G341" s="4"/>
      <c r="H341" s="1"/>
      <c r="I341" s="1"/>
      <c r="J341" s="11" t="s">
        <v>8</v>
      </c>
      <c r="K341" s="7">
        <f>SUM(K288:K340)</f>
        <v>0</v>
      </c>
      <c r="L341" s="7">
        <f>SUM(L288:L340)</f>
        <v>0</v>
      </c>
    </row>
    <row r="342" spans="2:15" x14ac:dyDescent="0.35">
      <c r="B342" s="8"/>
      <c r="C342" s="9"/>
      <c r="D342" s="9"/>
      <c r="E342" s="4"/>
      <c r="F342" s="4"/>
      <c r="G342" s="4"/>
      <c r="H342" s="1"/>
      <c r="I342" s="1"/>
      <c r="J342" s="11"/>
      <c r="K342" s="34" t="s">
        <v>13</v>
      </c>
      <c r="L342" s="35" t="s">
        <v>14</v>
      </c>
    </row>
    <row r="343" spans="2:15" x14ac:dyDescent="0.35">
      <c r="B343" s="3" t="s">
        <v>9</v>
      </c>
      <c r="C343" s="4"/>
      <c r="D343" s="4"/>
      <c r="E343" s="4"/>
      <c r="F343" s="4"/>
      <c r="G343" s="4"/>
      <c r="H343" s="1"/>
      <c r="I343" s="1"/>
      <c r="J343" s="12"/>
      <c r="K343" s="12"/>
      <c r="L343" s="13"/>
    </row>
    <row r="344" spans="2:15" x14ac:dyDescent="0.35">
      <c r="B344" s="36"/>
      <c r="C344" s="1"/>
      <c r="D344" s="1"/>
      <c r="E344" s="37"/>
      <c r="F344" s="37"/>
      <c r="G344" s="37"/>
      <c r="H344" s="1"/>
      <c r="I344" s="1"/>
      <c r="J344" s="1"/>
      <c r="K344" s="1"/>
      <c r="L344" s="18"/>
    </row>
    <row r="345" spans="2:15" x14ac:dyDescent="0.35">
      <c r="B345" s="27" t="s">
        <v>6</v>
      </c>
      <c r="C345" s="26"/>
      <c r="D345" s="26"/>
      <c r="E345" s="25"/>
      <c r="F345" s="25"/>
      <c r="G345" s="5"/>
      <c r="K345" s="232" t="s">
        <v>813</v>
      </c>
      <c r="L345" s="233"/>
    </row>
    <row r="346" spans="2:15" x14ac:dyDescent="0.35">
      <c r="B346" s="27">
        <v>1</v>
      </c>
      <c r="C346" s="26"/>
      <c r="D346" s="26"/>
      <c r="E346" s="25" t="s">
        <v>7</v>
      </c>
      <c r="F346" s="25"/>
      <c r="G346" s="5"/>
      <c r="K346" s="232" t="s">
        <v>18</v>
      </c>
      <c r="L346" s="233"/>
    </row>
    <row r="347" spans="2:15" x14ac:dyDescent="0.35">
      <c r="B347" s="38"/>
      <c r="C347" s="26"/>
      <c r="D347" s="26"/>
      <c r="E347" s="25"/>
      <c r="F347" s="25"/>
      <c r="G347" s="5"/>
      <c r="J347" s="24"/>
      <c r="K347" s="24"/>
      <c r="L347" s="23"/>
    </row>
    <row r="348" spans="2:15" x14ac:dyDescent="0.35">
      <c r="B348" s="27"/>
      <c r="C348" s="26"/>
      <c r="D348" s="26"/>
      <c r="E348" s="25"/>
      <c r="F348" s="25"/>
      <c r="G348" s="5"/>
      <c r="L348" s="21"/>
    </row>
    <row r="349" spans="2:15" x14ac:dyDescent="0.35">
      <c r="B349" s="44"/>
      <c r="E349" s="5"/>
      <c r="F349" s="5"/>
      <c r="G349" s="5"/>
      <c r="L349" s="21"/>
    </row>
    <row r="350" spans="2:15" x14ac:dyDescent="0.35">
      <c r="B350" s="44"/>
      <c r="E350" s="5"/>
      <c r="F350" s="5"/>
      <c r="G350" s="5"/>
      <c r="L350" s="21"/>
    </row>
    <row r="351" spans="2:15" x14ac:dyDescent="0.35">
      <c r="B351" s="44"/>
      <c r="E351" s="5"/>
      <c r="F351" s="5"/>
      <c r="G351" s="5"/>
      <c r="L351" s="21"/>
    </row>
    <row r="352" spans="2:15" x14ac:dyDescent="0.35">
      <c r="B352" s="44"/>
      <c r="E352" s="5"/>
      <c r="F352" s="5"/>
      <c r="G352" s="5"/>
      <c r="J352" s="39"/>
      <c r="K352" s="234" t="s">
        <v>26</v>
      </c>
      <c r="L352" s="235"/>
    </row>
    <row r="353" spans="2:12" x14ac:dyDescent="0.35">
      <c r="B353" s="44"/>
      <c r="K353" s="236" t="s">
        <v>27</v>
      </c>
      <c r="L353" s="237"/>
    </row>
    <row r="354" spans="2:12" x14ac:dyDescent="0.35">
      <c r="B354" s="238"/>
      <c r="C354" s="239"/>
      <c r="D354" s="239"/>
      <c r="E354" s="40"/>
      <c r="F354" s="40"/>
      <c r="G354" s="40"/>
      <c r="H354" s="2"/>
      <c r="I354" s="2"/>
      <c r="J354" s="2"/>
      <c r="K354" s="2"/>
      <c r="L354" s="20"/>
    </row>
    <row r="355" spans="2:12" x14ac:dyDescent="0.35">
      <c r="B355" s="222"/>
      <c r="C355" s="47"/>
      <c r="D355" s="48"/>
      <c r="G355" s="21"/>
      <c r="H355" s="1"/>
      <c r="I355" s="1"/>
      <c r="J355" s="42"/>
      <c r="K355" s="29"/>
      <c r="L355" s="43"/>
    </row>
    <row r="356" spans="2:12" x14ac:dyDescent="0.35">
      <c r="B356" s="159"/>
      <c r="C356" s="104"/>
      <c r="D356" s="105" t="s">
        <v>37</v>
      </c>
      <c r="E356" s="101"/>
      <c r="F356" s="60" t="s">
        <v>226</v>
      </c>
      <c r="G356" s="52"/>
      <c r="H356" s="102">
        <v>1</v>
      </c>
      <c r="I356" s="98" t="s">
        <v>94</v>
      </c>
      <c r="J356" s="49"/>
      <c r="K356" s="28"/>
      <c r="L356" s="51"/>
    </row>
    <row r="357" spans="2:12" x14ac:dyDescent="0.35">
      <c r="B357" s="129"/>
      <c r="C357" s="104"/>
      <c r="D357" s="105"/>
      <c r="E357" s="101"/>
      <c r="F357" s="60" t="s">
        <v>130</v>
      </c>
      <c r="G357" s="52" t="s">
        <v>227</v>
      </c>
      <c r="H357" s="94"/>
      <c r="I357" s="98"/>
      <c r="J357" s="49"/>
      <c r="K357" s="50"/>
      <c r="L357" s="45"/>
    </row>
    <row r="358" spans="2:12" x14ac:dyDescent="0.35">
      <c r="B358" s="69"/>
      <c r="C358" s="104"/>
      <c r="D358" s="105"/>
      <c r="E358" s="101"/>
      <c r="F358" s="60" t="s">
        <v>130</v>
      </c>
      <c r="G358" s="52" t="s">
        <v>228</v>
      </c>
      <c r="H358" s="94"/>
      <c r="I358" s="98"/>
      <c r="J358" s="49"/>
      <c r="K358" s="50"/>
      <c r="L358" s="45"/>
    </row>
    <row r="359" spans="2:12" x14ac:dyDescent="0.35">
      <c r="B359" s="69"/>
      <c r="C359" s="104"/>
      <c r="D359" s="105"/>
      <c r="E359" s="101"/>
      <c r="F359" s="101" t="s">
        <v>130</v>
      </c>
      <c r="G359" s="52" t="s">
        <v>222</v>
      </c>
      <c r="H359" s="94"/>
      <c r="I359" s="98"/>
      <c r="J359" s="49"/>
      <c r="K359" s="28"/>
      <c r="L359" s="51"/>
    </row>
    <row r="360" spans="2:12" x14ac:dyDescent="0.35">
      <c r="B360" s="69"/>
      <c r="C360" s="104"/>
      <c r="D360" s="105"/>
      <c r="E360" s="101"/>
      <c r="F360" s="101" t="s">
        <v>130</v>
      </c>
      <c r="G360" s="52" t="s">
        <v>229</v>
      </c>
      <c r="H360" s="94"/>
      <c r="I360" s="98"/>
      <c r="J360" s="49"/>
      <c r="K360" s="28"/>
      <c r="L360" s="51"/>
    </row>
    <row r="361" spans="2:12" x14ac:dyDescent="0.35">
      <c r="B361" s="69"/>
      <c r="C361" s="104"/>
      <c r="D361" s="105"/>
      <c r="E361" s="101"/>
      <c r="F361" s="101" t="s">
        <v>130</v>
      </c>
      <c r="G361" s="52" t="s">
        <v>225</v>
      </c>
      <c r="H361" s="94"/>
      <c r="I361" s="98"/>
      <c r="J361" s="49"/>
      <c r="K361" s="28"/>
      <c r="L361" s="51"/>
    </row>
    <row r="362" spans="2:12" x14ac:dyDescent="0.35">
      <c r="B362" s="160"/>
      <c r="C362" s="104"/>
      <c r="D362" s="105"/>
      <c r="E362" s="101"/>
      <c r="F362" s="101" t="s">
        <v>130</v>
      </c>
      <c r="G362" s="52" t="s">
        <v>770</v>
      </c>
      <c r="H362" s="60"/>
      <c r="I362" s="98"/>
      <c r="J362" s="49"/>
      <c r="K362" s="28"/>
      <c r="L362" s="51"/>
    </row>
    <row r="363" spans="2:12" x14ac:dyDescent="0.35">
      <c r="B363" s="160"/>
      <c r="C363" s="104"/>
      <c r="D363" s="105"/>
      <c r="E363" s="101"/>
      <c r="F363" s="101" t="s">
        <v>130</v>
      </c>
      <c r="G363" s="52" t="s">
        <v>771</v>
      </c>
      <c r="H363" s="60"/>
      <c r="I363" s="98"/>
      <c r="J363" s="49"/>
      <c r="K363" s="28"/>
      <c r="L363" s="51"/>
    </row>
    <row r="364" spans="2:12" x14ac:dyDescent="0.35">
      <c r="B364" s="158"/>
      <c r="C364" s="104"/>
      <c r="D364" s="105" t="s">
        <v>39</v>
      </c>
      <c r="E364" s="101"/>
      <c r="F364" s="60" t="s">
        <v>230</v>
      </c>
      <c r="G364" s="52"/>
      <c r="H364" s="102">
        <v>2</v>
      </c>
      <c r="I364" s="98" t="s">
        <v>94</v>
      </c>
      <c r="J364" s="202"/>
      <c r="K364" s="50"/>
      <c r="L364" s="45"/>
    </row>
    <row r="365" spans="2:12" x14ac:dyDescent="0.35">
      <c r="B365" s="129"/>
      <c r="C365" s="104"/>
      <c r="D365" s="105" t="s">
        <v>41</v>
      </c>
      <c r="E365" s="101"/>
      <c r="F365" s="60" t="s">
        <v>231</v>
      </c>
      <c r="G365" s="52"/>
      <c r="H365" s="102">
        <v>2</v>
      </c>
      <c r="I365" s="98" t="s">
        <v>94</v>
      </c>
      <c r="J365" s="202"/>
      <c r="K365" s="50"/>
      <c r="L365" s="45"/>
    </row>
    <row r="366" spans="2:12" x14ac:dyDescent="0.35">
      <c r="B366" s="129" t="s">
        <v>84</v>
      </c>
      <c r="C366" s="104"/>
      <c r="D366" s="105"/>
      <c r="E366" s="118" t="s">
        <v>12</v>
      </c>
      <c r="F366" s="119"/>
      <c r="G366" s="120"/>
      <c r="H366" s="121"/>
      <c r="I366" s="122"/>
      <c r="J366" s="49"/>
      <c r="K366" s="28"/>
      <c r="L366" s="51"/>
    </row>
    <row r="367" spans="2:12" x14ac:dyDescent="0.35">
      <c r="B367" s="158"/>
      <c r="C367" s="104" t="s">
        <v>232</v>
      </c>
      <c r="D367" s="105"/>
      <c r="E367" s="107"/>
      <c r="F367" s="60" t="s">
        <v>233</v>
      </c>
      <c r="G367" s="52"/>
      <c r="H367" s="102"/>
      <c r="I367" s="98"/>
      <c r="J367" s="49"/>
      <c r="K367" s="28"/>
      <c r="L367" s="51"/>
    </row>
    <row r="368" spans="2:12" x14ac:dyDescent="0.35">
      <c r="B368" s="129"/>
      <c r="C368" s="104"/>
      <c r="D368" s="105" t="s">
        <v>34</v>
      </c>
      <c r="E368" s="107"/>
      <c r="F368" s="60" t="s">
        <v>234</v>
      </c>
      <c r="G368" s="52"/>
      <c r="H368" s="102">
        <v>1</v>
      </c>
      <c r="I368" s="98" t="s">
        <v>94</v>
      </c>
      <c r="J368" s="49"/>
      <c r="K368" s="28"/>
      <c r="L368" s="51"/>
    </row>
    <row r="369" spans="2:14" x14ac:dyDescent="0.35">
      <c r="B369" s="69"/>
      <c r="C369" s="104"/>
      <c r="D369" s="105"/>
      <c r="E369" s="101"/>
      <c r="F369" s="101" t="s">
        <v>130</v>
      </c>
      <c r="G369" s="52" t="s">
        <v>235</v>
      </c>
      <c r="H369" s="94"/>
      <c r="I369" s="98"/>
      <c r="J369" s="49"/>
      <c r="K369" s="28"/>
      <c r="L369" s="51"/>
      <c r="M369" s="210"/>
    </row>
    <row r="370" spans="2:14" x14ac:dyDescent="0.35">
      <c r="B370" s="69"/>
      <c r="C370" s="104"/>
      <c r="D370" s="105"/>
      <c r="E370" s="101"/>
      <c r="F370" s="101" t="s">
        <v>130</v>
      </c>
      <c r="G370" s="52" t="s">
        <v>236</v>
      </c>
      <c r="H370" s="94"/>
      <c r="I370" s="98"/>
      <c r="J370" s="49"/>
      <c r="K370" s="28"/>
      <c r="L370" s="51"/>
      <c r="M370" s="210"/>
      <c r="N370" s="210"/>
    </row>
    <row r="371" spans="2:14" x14ac:dyDescent="0.35">
      <c r="B371" s="129"/>
      <c r="C371" s="104"/>
      <c r="D371" s="105" t="s">
        <v>37</v>
      </c>
      <c r="E371" s="107"/>
      <c r="F371" s="60" t="s">
        <v>237</v>
      </c>
      <c r="G371" s="52"/>
      <c r="H371" s="102">
        <v>1</v>
      </c>
      <c r="I371" s="98" t="s">
        <v>94</v>
      </c>
      <c r="J371" s="49"/>
      <c r="K371" s="28"/>
      <c r="L371" s="51"/>
    </row>
    <row r="372" spans="2:14" x14ac:dyDescent="0.35">
      <c r="B372" s="158"/>
      <c r="C372" s="104"/>
      <c r="D372" s="105"/>
      <c r="E372" s="107"/>
      <c r="F372" s="60" t="s">
        <v>130</v>
      </c>
      <c r="G372" s="52" t="s">
        <v>772</v>
      </c>
      <c r="H372" s="102"/>
      <c r="I372" s="98"/>
      <c r="J372" s="49"/>
      <c r="K372" s="28"/>
      <c r="L372" s="51"/>
      <c r="M372" s="210"/>
    </row>
    <row r="373" spans="2:14" x14ac:dyDescent="0.35">
      <c r="B373" s="158"/>
      <c r="C373" s="104"/>
      <c r="D373" s="105"/>
      <c r="E373" s="101"/>
      <c r="F373" s="101" t="s">
        <v>130</v>
      </c>
      <c r="G373" s="52" t="s">
        <v>773</v>
      </c>
      <c r="H373" s="102"/>
      <c r="I373" s="98"/>
      <c r="J373" s="49"/>
      <c r="K373" s="28"/>
      <c r="L373" s="51"/>
      <c r="M373" s="210"/>
      <c r="N373" s="210"/>
    </row>
    <row r="374" spans="2:14" x14ac:dyDescent="0.35">
      <c r="B374" s="158"/>
      <c r="C374" s="104" t="s">
        <v>238</v>
      </c>
      <c r="D374" s="105"/>
      <c r="E374" s="107"/>
      <c r="F374" s="60" t="s">
        <v>239</v>
      </c>
      <c r="G374" s="52"/>
      <c r="H374" s="102"/>
      <c r="I374" s="98"/>
      <c r="J374" s="49"/>
      <c r="K374" s="28"/>
      <c r="L374" s="51"/>
    </row>
    <row r="375" spans="2:14" x14ac:dyDescent="0.35">
      <c r="B375" s="116"/>
      <c r="C375" s="117"/>
      <c r="D375" s="64" t="s">
        <v>34</v>
      </c>
      <c r="E375" s="68"/>
      <c r="F375" s="60" t="s">
        <v>240</v>
      </c>
      <c r="G375" s="52"/>
      <c r="H375" s="102">
        <v>1</v>
      </c>
      <c r="I375" s="98" t="s">
        <v>94</v>
      </c>
      <c r="J375" s="202"/>
      <c r="K375" s="50"/>
      <c r="L375" s="45"/>
    </row>
    <row r="376" spans="2:14" x14ac:dyDescent="0.35">
      <c r="B376" s="116"/>
      <c r="C376" s="117"/>
      <c r="D376" s="64"/>
      <c r="E376" s="58"/>
      <c r="F376" s="60" t="s">
        <v>130</v>
      </c>
      <c r="G376" s="52" t="s">
        <v>774</v>
      </c>
      <c r="H376" s="123"/>
      <c r="I376" s="29"/>
      <c r="J376" s="49"/>
      <c r="K376" s="28"/>
      <c r="L376" s="51"/>
    </row>
    <row r="377" spans="2:14" x14ac:dyDescent="0.35">
      <c r="B377" s="116"/>
      <c r="C377" s="117"/>
      <c r="D377" s="64"/>
      <c r="E377" s="60"/>
      <c r="F377" s="124" t="s">
        <v>130</v>
      </c>
      <c r="G377" s="66" t="s">
        <v>762</v>
      </c>
      <c r="H377" s="125"/>
      <c r="I377" s="29"/>
      <c r="J377" s="49"/>
      <c r="K377" s="28"/>
      <c r="L377" s="51"/>
    </row>
    <row r="378" spans="2:14" x14ac:dyDescent="0.35">
      <c r="B378" s="116"/>
      <c r="C378" s="117"/>
      <c r="D378" s="64"/>
      <c r="E378" s="60"/>
      <c r="F378" s="60" t="s">
        <v>130</v>
      </c>
      <c r="G378" s="52" t="s">
        <v>775</v>
      </c>
      <c r="H378" s="125"/>
      <c r="I378" s="29"/>
      <c r="J378" s="49"/>
      <c r="K378" s="28"/>
      <c r="L378" s="51"/>
    </row>
    <row r="379" spans="2:14" x14ac:dyDescent="0.35">
      <c r="B379" s="116"/>
      <c r="C379" s="117"/>
      <c r="D379" s="64" t="s">
        <v>37</v>
      </c>
      <c r="E379" s="68"/>
      <c r="F379" s="60" t="s">
        <v>241</v>
      </c>
      <c r="G379" s="52"/>
      <c r="H379" s="102">
        <v>1</v>
      </c>
      <c r="I379" s="98" t="s">
        <v>94</v>
      </c>
      <c r="J379" s="202"/>
      <c r="K379" s="50"/>
      <c r="L379" s="45"/>
    </row>
    <row r="380" spans="2:14" x14ac:dyDescent="0.35">
      <c r="B380" s="116"/>
      <c r="C380" s="117"/>
      <c r="D380" s="64"/>
      <c r="E380" s="58"/>
      <c r="F380" s="60" t="s">
        <v>130</v>
      </c>
      <c r="G380" s="52" t="s">
        <v>774</v>
      </c>
      <c r="H380" s="123"/>
      <c r="I380" s="29"/>
      <c r="J380" s="49"/>
      <c r="K380" s="28"/>
      <c r="L380" s="51"/>
    </row>
    <row r="381" spans="2:14" x14ac:dyDescent="0.35">
      <c r="B381" s="116"/>
      <c r="C381" s="117"/>
      <c r="D381" s="64"/>
      <c r="E381" s="60"/>
      <c r="F381" s="124" t="s">
        <v>130</v>
      </c>
      <c r="G381" s="66" t="s">
        <v>762</v>
      </c>
      <c r="H381" s="125"/>
      <c r="I381" s="29"/>
      <c r="J381" s="49"/>
      <c r="K381" s="28"/>
      <c r="L381" s="51"/>
    </row>
    <row r="382" spans="2:14" x14ac:dyDescent="0.35">
      <c r="B382" s="116"/>
      <c r="C382" s="117"/>
      <c r="D382" s="64"/>
      <c r="E382" s="60"/>
      <c r="F382" s="60" t="s">
        <v>130</v>
      </c>
      <c r="G382" s="52" t="s">
        <v>776</v>
      </c>
      <c r="H382" s="125"/>
      <c r="I382" s="29"/>
      <c r="J382" s="49"/>
      <c r="K382" s="28"/>
      <c r="L382" s="51"/>
    </row>
    <row r="383" spans="2:14" x14ac:dyDescent="0.35">
      <c r="B383" s="116"/>
      <c r="C383" s="117"/>
      <c r="D383" s="64" t="s">
        <v>39</v>
      </c>
      <c r="E383" s="68"/>
      <c r="F383" s="60" t="s">
        <v>242</v>
      </c>
      <c r="G383" s="52"/>
      <c r="H383" s="102">
        <v>1</v>
      </c>
      <c r="I383" s="98" t="s">
        <v>94</v>
      </c>
      <c r="J383" s="202"/>
      <c r="K383" s="50"/>
      <c r="L383" s="45"/>
    </row>
    <row r="384" spans="2:14" x14ac:dyDescent="0.35">
      <c r="B384" s="116"/>
      <c r="C384" s="117"/>
      <c r="D384" s="64"/>
      <c r="E384" s="58"/>
      <c r="F384" s="60" t="s">
        <v>130</v>
      </c>
      <c r="G384" s="52" t="s">
        <v>774</v>
      </c>
      <c r="H384" s="123"/>
      <c r="I384" s="29"/>
      <c r="J384" s="49"/>
      <c r="K384" s="28"/>
      <c r="L384" s="51"/>
    </row>
    <row r="385" spans="2:15" x14ac:dyDescent="0.35">
      <c r="B385" s="116"/>
      <c r="C385" s="117"/>
      <c r="D385" s="64"/>
      <c r="E385" s="60"/>
      <c r="F385" s="124" t="s">
        <v>130</v>
      </c>
      <c r="G385" s="66" t="s">
        <v>762</v>
      </c>
      <c r="H385" s="125"/>
      <c r="I385" s="29"/>
      <c r="J385" s="49"/>
      <c r="K385" s="28"/>
      <c r="L385" s="51"/>
    </row>
    <row r="386" spans="2:15" x14ac:dyDescent="0.35">
      <c r="B386" s="116"/>
      <c r="C386" s="117"/>
      <c r="D386" s="64"/>
      <c r="E386" s="60"/>
      <c r="F386" s="60" t="s">
        <v>130</v>
      </c>
      <c r="G386" s="52" t="s">
        <v>776</v>
      </c>
      <c r="H386" s="125"/>
      <c r="I386" s="29"/>
      <c r="J386" s="49"/>
      <c r="K386" s="28"/>
      <c r="L386" s="51"/>
    </row>
    <row r="387" spans="2:15" x14ac:dyDescent="0.35">
      <c r="B387" s="116"/>
      <c r="C387" s="117"/>
      <c r="D387" s="64" t="s">
        <v>41</v>
      </c>
      <c r="E387" s="68"/>
      <c r="F387" s="60" t="s">
        <v>243</v>
      </c>
      <c r="G387" s="52"/>
      <c r="H387" s="102">
        <v>1</v>
      </c>
      <c r="I387" s="98" t="s">
        <v>94</v>
      </c>
      <c r="J387" s="202"/>
      <c r="K387" s="50"/>
      <c r="L387" s="45"/>
    </row>
    <row r="388" spans="2:15" x14ac:dyDescent="0.35">
      <c r="B388" s="116"/>
      <c r="C388" s="117"/>
      <c r="D388" s="64"/>
      <c r="E388" s="58"/>
      <c r="F388" s="60" t="s">
        <v>130</v>
      </c>
      <c r="G388" s="52" t="s">
        <v>774</v>
      </c>
      <c r="H388" s="123"/>
      <c r="I388" s="29"/>
      <c r="J388" s="49"/>
      <c r="K388" s="28"/>
      <c r="L388" s="51"/>
    </row>
    <row r="389" spans="2:15" x14ac:dyDescent="0.35">
      <c r="B389" s="116"/>
      <c r="C389" s="117"/>
      <c r="D389" s="64"/>
      <c r="E389" s="60"/>
      <c r="F389" s="124" t="s">
        <v>130</v>
      </c>
      <c r="G389" s="66" t="s">
        <v>762</v>
      </c>
      <c r="H389" s="125"/>
      <c r="I389" s="29"/>
      <c r="J389" s="49"/>
      <c r="K389" s="28"/>
      <c r="L389" s="51"/>
    </row>
    <row r="390" spans="2:15" x14ac:dyDescent="0.35">
      <c r="B390" s="116"/>
      <c r="C390" s="117"/>
      <c r="D390" s="64"/>
      <c r="E390" s="60"/>
      <c r="F390" s="60" t="s">
        <v>130</v>
      </c>
      <c r="G390" s="52" t="s">
        <v>777</v>
      </c>
      <c r="H390" s="123"/>
      <c r="I390" s="29"/>
      <c r="J390" s="49"/>
      <c r="K390" s="28"/>
      <c r="L390" s="51"/>
    </row>
    <row r="391" spans="2:15" x14ac:dyDescent="0.35">
      <c r="B391" s="116"/>
      <c r="C391" s="117"/>
      <c r="D391" s="64"/>
      <c r="E391" s="60"/>
      <c r="F391" s="60" t="s">
        <v>130</v>
      </c>
      <c r="G391" s="52" t="s">
        <v>776</v>
      </c>
      <c r="H391" s="125"/>
      <c r="I391" s="29"/>
      <c r="J391" s="49"/>
      <c r="K391" s="28"/>
      <c r="L391" s="51"/>
    </row>
    <row r="392" spans="2:15" x14ac:dyDescent="0.35">
      <c r="B392" s="116"/>
      <c r="C392" s="117"/>
      <c r="D392" s="64" t="s">
        <v>44</v>
      </c>
      <c r="E392" s="68"/>
      <c r="F392" s="60" t="s">
        <v>244</v>
      </c>
      <c r="G392" s="52"/>
      <c r="H392" s="102">
        <v>1</v>
      </c>
      <c r="I392" s="98" t="s">
        <v>94</v>
      </c>
      <c r="J392" s="202"/>
      <c r="K392" s="50"/>
      <c r="L392" s="45"/>
    </row>
    <row r="393" spans="2:15" x14ac:dyDescent="0.35">
      <c r="B393" s="116"/>
      <c r="C393" s="117"/>
      <c r="D393" s="64"/>
      <c r="E393" s="58"/>
      <c r="F393" s="60" t="s">
        <v>130</v>
      </c>
      <c r="G393" s="52" t="s">
        <v>774</v>
      </c>
      <c r="H393" s="123"/>
      <c r="I393" s="29"/>
      <c r="J393" s="49"/>
      <c r="K393" s="28"/>
      <c r="L393" s="51"/>
    </row>
    <row r="394" spans="2:15" x14ac:dyDescent="0.35">
      <c r="B394" s="116"/>
      <c r="C394" s="117"/>
      <c r="D394" s="64"/>
      <c r="E394" s="60"/>
      <c r="F394" s="124" t="s">
        <v>130</v>
      </c>
      <c r="G394" s="66" t="s">
        <v>762</v>
      </c>
      <c r="H394" s="125"/>
      <c r="I394" s="29"/>
      <c r="J394" s="49"/>
      <c r="K394" s="28"/>
      <c r="L394" s="51"/>
    </row>
    <row r="395" spans="2:15" x14ac:dyDescent="0.35">
      <c r="B395" s="116"/>
      <c r="C395" s="117"/>
      <c r="D395" s="64"/>
      <c r="E395" s="60"/>
      <c r="F395" s="60" t="s">
        <v>130</v>
      </c>
      <c r="G395" s="52" t="s">
        <v>776</v>
      </c>
      <c r="H395" s="125"/>
      <c r="I395" s="29"/>
      <c r="J395" s="49"/>
      <c r="K395" s="28"/>
      <c r="L395" s="51"/>
    </row>
    <row r="396" spans="2:15" x14ac:dyDescent="0.35">
      <c r="B396" s="158"/>
      <c r="C396" s="104" t="s">
        <v>245</v>
      </c>
      <c r="D396" s="105"/>
      <c r="E396" s="107"/>
      <c r="F396" s="52" t="s">
        <v>246</v>
      </c>
      <c r="G396" s="52"/>
      <c r="H396" s="102"/>
      <c r="I396" s="98"/>
      <c r="J396" s="49"/>
      <c r="K396" s="28"/>
      <c r="L396" s="51"/>
    </row>
    <row r="397" spans="2:15" x14ac:dyDescent="0.35">
      <c r="B397" s="116"/>
      <c r="C397" s="117"/>
      <c r="D397" s="64" t="s">
        <v>34</v>
      </c>
      <c r="E397" s="68"/>
      <c r="F397" s="52" t="s">
        <v>247</v>
      </c>
      <c r="G397" s="52"/>
      <c r="H397" s="60">
        <v>1</v>
      </c>
      <c r="I397" s="52" t="s">
        <v>94</v>
      </c>
      <c r="J397" s="49"/>
      <c r="K397" s="28"/>
      <c r="L397" s="51"/>
    </row>
    <row r="398" spans="2:15" x14ac:dyDescent="0.35">
      <c r="B398" s="129"/>
      <c r="C398" s="104"/>
      <c r="D398" s="64"/>
      <c r="E398" s="101"/>
      <c r="F398" s="60" t="s">
        <v>130</v>
      </c>
      <c r="G398" s="98" t="s">
        <v>248</v>
      </c>
      <c r="H398" s="94"/>
      <c r="I398" s="98"/>
      <c r="J398" s="49"/>
      <c r="K398" s="28"/>
      <c r="L398" s="51"/>
      <c r="M398" s="210"/>
    </row>
    <row r="399" spans="2:15" x14ac:dyDescent="0.35">
      <c r="B399" s="129"/>
      <c r="C399" s="104"/>
      <c r="D399" s="64"/>
      <c r="E399" s="101"/>
      <c r="F399" s="60" t="s">
        <v>130</v>
      </c>
      <c r="G399" s="98" t="s">
        <v>249</v>
      </c>
      <c r="H399" s="94"/>
      <c r="I399" s="98"/>
      <c r="J399" s="49"/>
      <c r="K399" s="28"/>
      <c r="L399" s="51"/>
      <c r="M399" s="210"/>
    </row>
    <row r="400" spans="2:15" x14ac:dyDescent="0.35">
      <c r="B400" s="116"/>
      <c r="C400" s="117"/>
      <c r="D400" s="64"/>
      <c r="E400" s="68"/>
      <c r="F400" s="60" t="s">
        <v>130</v>
      </c>
      <c r="G400" s="52" t="s">
        <v>778</v>
      </c>
      <c r="H400" s="60"/>
      <c r="I400" s="52"/>
      <c r="J400" s="49"/>
      <c r="K400" s="28"/>
      <c r="L400" s="51"/>
      <c r="M400" s="210"/>
      <c r="N400" s="210"/>
      <c r="O400" s="211"/>
    </row>
    <row r="401" spans="2:15" x14ac:dyDescent="0.35">
      <c r="B401" s="129"/>
      <c r="C401" s="104"/>
      <c r="D401" s="64" t="s">
        <v>37</v>
      </c>
      <c r="E401" s="68"/>
      <c r="F401" s="52" t="s">
        <v>250</v>
      </c>
      <c r="G401" s="52"/>
      <c r="H401" s="60">
        <v>1</v>
      </c>
      <c r="I401" s="52" t="s">
        <v>94</v>
      </c>
      <c r="J401" s="49"/>
      <c r="K401" s="28"/>
      <c r="L401" s="51"/>
    </row>
    <row r="402" spans="2:15" x14ac:dyDescent="0.35">
      <c r="B402" s="129"/>
      <c r="C402" s="104"/>
      <c r="D402" s="64"/>
      <c r="E402" s="101"/>
      <c r="F402" s="60" t="s">
        <v>130</v>
      </c>
      <c r="G402" s="98" t="s">
        <v>251</v>
      </c>
      <c r="H402" s="94"/>
      <c r="I402" s="98"/>
      <c r="J402" s="49"/>
      <c r="K402" s="28"/>
      <c r="L402" s="51"/>
      <c r="M402" s="210"/>
    </row>
    <row r="403" spans="2:15" x14ac:dyDescent="0.35">
      <c r="B403" s="129"/>
      <c r="C403" s="104"/>
      <c r="D403" s="64"/>
      <c r="E403" s="101"/>
      <c r="F403" s="60" t="s">
        <v>130</v>
      </c>
      <c r="G403" s="98" t="s">
        <v>252</v>
      </c>
      <c r="H403" s="94"/>
      <c r="I403" s="98"/>
      <c r="J403" s="49"/>
      <c r="K403" s="28"/>
      <c r="L403" s="51"/>
      <c r="M403" s="210"/>
    </row>
    <row r="404" spans="2:15" x14ac:dyDescent="0.35">
      <c r="B404" s="129"/>
      <c r="C404" s="104"/>
      <c r="D404" s="64"/>
      <c r="E404" s="68"/>
      <c r="F404" s="60" t="s">
        <v>130</v>
      </c>
      <c r="G404" s="52" t="s">
        <v>778</v>
      </c>
      <c r="H404" s="60"/>
      <c r="I404" s="52"/>
      <c r="J404" s="49"/>
      <c r="K404" s="28"/>
      <c r="L404" s="51"/>
      <c r="M404" s="210"/>
      <c r="N404" s="210"/>
      <c r="O404" s="211"/>
    </row>
    <row r="405" spans="2:15" x14ac:dyDescent="0.35">
      <c r="B405" s="46"/>
      <c r="C405" s="47"/>
      <c r="D405" s="23"/>
      <c r="G405" s="21"/>
      <c r="I405" s="21"/>
      <c r="J405" s="49"/>
      <c r="K405" s="28"/>
      <c r="L405" s="51"/>
    </row>
    <row r="406" spans="2:15" x14ac:dyDescent="0.35">
      <c r="B406" s="46"/>
      <c r="C406" s="47"/>
      <c r="D406" s="23"/>
      <c r="G406" s="21"/>
      <c r="I406" s="21"/>
      <c r="J406" s="49"/>
      <c r="K406" s="28"/>
      <c r="L406" s="51"/>
    </row>
    <row r="407" spans="2:15" x14ac:dyDescent="0.35">
      <c r="B407" s="224"/>
      <c r="C407" s="47"/>
      <c r="D407" s="23"/>
      <c r="G407" s="21"/>
      <c r="I407" s="21"/>
      <c r="J407" s="49"/>
      <c r="K407" s="28"/>
      <c r="L407" s="51"/>
    </row>
    <row r="408" spans="2:15" x14ac:dyDescent="0.35">
      <c r="B408" s="8"/>
      <c r="C408" s="9"/>
      <c r="D408" s="10"/>
      <c r="E408" s="4"/>
      <c r="F408" s="4"/>
      <c r="G408" s="4"/>
      <c r="H408" s="1"/>
      <c r="I408" s="1"/>
      <c r="J408" s="11" t="s">
        <v>8</v>
      </c>
      <c r="K408" s="7">
        <f>SUM(K355:K407)</f>
        <v>0</v>
      </c>
      <c r="L408" s="7">
        <f>SUM(L355:L407)</f>
        <v>0</v>
      </c>
    </row>
    <row r="409" spans="2:15" x14ac:dyDescent="0.35">
      <c r="B409" s="8"/>
      <c r="C409" s="9"/>
      <c r="D409" s="9"/>
      <c r="E409" s="4"/>
      <c r="F409" s="4"/>
      <c r="G409" s="4"/>
      <c r="H409" s="1"/>
      <c r="I409" s="1"/>
      <c r="J409" s="11"/>
      <c r="K409" s="34" t="s">
        <v>13</v>
      </c>
      <c r="L409" s="35" t="s">
        <v>14</v>
      </c>
    </row>
    <row r="410" spans="2:15" x14ac:dyDescent="0.35">
      <c r="B410" s="3" t="s">
        <v>9</v>
      </c>
      <c r="C410" s="4"/>
      <c r="D410" s="4"/>
      <c r="E410" s="4"/>
      <c r="F410" s="4"/>
      <c r="G410" s="4"/>
      <c r="H410" s="1"/>
      <c r="I410" s="1"/>
      <c r="J410" s="12"/>
      <c r="K410" s="12"/>
      <c r="L410" s="13"/>
    </row>
    <row r="411" spans="2:15" x14ac:dyDescent="0.35">
      <c r="B411" s="36"/>
      <c r="C411" s="1"/>
      <c r="D411" s="1"/>
      <c r="E411" s="37"/>
      <c r="F411" s="37"/>
      <c r="G411" s="37"/>
      <c r="H411" s="1"/>
      <c r="I411" s="1"/>
      <c r="J411" s="1"/>
      <c r="K411" s="1"/>
      <c r="L411" s="18"/>
    </row>
    <row r="412" spans="2:15" x14ac:dyDescent="0.35">
      <c r="B412" s="27" t="s">
        <v>6</v>
      </c>
      <c r="C412" s="26"/>
      <c r="D412" s="26"/>
      <c r="E412" s="25"/>
      <c r="F412" s="25"/>
      <c r="G412" s="5"/>
      <c r="K412" s="232" t="s">
        <v>813</v>
      </c>
      <c r="L412" s="233"/>
    </row>
    <row r="413" spans="2:15" x14ac:dyDescent="0.35">
      <c r="B413" s="27">
        <v>1</v>
      </c>
      <c r="C413" s="26"/>
      <c r="D413" s="26"/>
      <c r="E413" s="25" t="s">
        <v>7</v>
      </c>
      <c r="F413" s="25"/>
      <c r="G413" s="5"/>
      <c r="K413" s="232" t="s">
        <v>18</v>
      </c>
      <c r="L413" s="233"/>
    </row>
    <row r="414" spans="2:15" x14ac:dyDescent="0.35">
      <c r="B414" s="38"/>
      <c r="C414" s="26"/>
      <c r="D414" s="26"/>
      <c r="E414" s="25"/>
      <c r="F414" s="25"/>
      <c r="G414" s="5"/>
      <c r="J414" s="24"/>
      <c r="K414" s="24"/>
      <c r="L414" s="23"/>
    </row>
    <row r="415" spans="2:15" x14ac:dyDescent="0.35">
      <c r="B415" s="27"/>
      <c r="C415" s="26"/>
      <c r="D415" s="26"/>
      <c r="E415" s="25"/>
      <c r="F415" s="25"/>
      <c r="G415" s="5"/>
      <c r="L415" s="21"/>
    </row>
    <row r="416" spans="2:15" x14ac:dyDescent="0.35">
      <c r="B416" s="44"/>
      <c r="E416" s="5"/>
      <c r="F416" s="5"/>
      <c r="G416" s="5"/>
      <c r="L416" s="21"/>
    </row>
    <row r="417" spans="2:15" x14ac:dyDescent="0.35">
      <c r="B417" s="44"/>
      <c r="E417" s="5"/>
      <c r="F417" s="5"/>
      <c r="G417" s="5"/>
      <c r="L417" s="21"/>
    </row>
    <row r="418" spans="2:15" x14ac:dyDescent="0.35">
      <c r="B418" s="44"/>
      <c r="E418" s="5"/>
      <c r="F418" s="5"/>
      <c r="G418" s="5"/>
      <c r="L418" s="21"/>
    </row>
    <row r="419" spans="2:15" x14ac:dyDescent="0.35">
      <c r="B419" s="44"/>
      <c r="E419" s="5"/>
      <c r="F419" s="5"/>
      <c r="G419" s="5"/>
      <c r="J419" s="39"/>
      <c r="K419" s="234" t="s">
        <v>26</v>
      </c>
      <c r="L419" s="235"/>
    </row>
    <row r="420" spans="2:15" x14ac:dyDescent="0.35">
      <c r="B420" s="44"/>
      <c r="K420" s="236" t="s">
        <v>27</v>
      </c>
      <c r="L420" s="237"/>
    </row>
    <row r="421" spans="2:15" x14ac:dyDescent="0.35">
      <c r="B421" s="238"/>
      <c r="C421" s="239"/>
      <c r="D421" s="239"/>
      <c r="E421" s="40"/>
      <c r="F421" s="40"/>
      <c r="G421" s="40"/>
      <c r="H421" s="2"/>
      <c r="I421" s="2"/>
      <c r="J421" s="2"/>
      <c r="K421" s="2"/>
      <c r="L421" s="20"/>
    </row>
    <row r="422" spans="2:15" x14ac:dyDescent="0.35">
      <c r="B422" s="222"/>
      <c r="C422" s="47"/>
      <c r="D422" s="48"/>
      <c r="G422" s="21"/>
      <c r="H422" s="1"/>
      <c r="I422" s="1"/>
      <c r="J422" s="42"/>
      <c r="K422" s="29"/>
      <c r="L422" s="43"/>
    </row>
    <row r="423" spans="2:15" x14ac:dyDescent="0.35">
      <c r="B423" s="129"/>
      <c r="C423" s="104"/>
      <c r="D423" s="64" t="s">
        <v>39</v>
      </c>
      <c r="E423" s="68"/>
      <c r="F423" s="52" t="s">
        <v>253</v>
      </c>
      <c r="G423" s="52"/>
      <c r="H423" s="60">
        <v>1</v>
      </c>
      <c r="I423" s="52" t="s">
        <v>94</v>
      </c>
      <c r="J423" s="49"/>
      <c r="K423" s="28"/>
      <c r="L423" s="51"/>
    </row>
    <row r="424" spans="2:15" x14ac:dyDescent="0.35">
      <c r="B424" s="129"/>
      <c r="C424" s="104"/>
      <c r="D424" s="64"/>
      <c r="E424" s="101"/>
      <c r="F424" s="60" t="s">
        <v>130</v>
      </c>
      <c r="G424" s="98" t="s">
        <v>254</v>
      </c>
      <c r="H424" s="94"/>
      <c r="I424" s="98"/>
      <c r="J424" s="49"/>
      <c r="K424" s="28"/>
      <c r="L424" s="51"/>
      <c r="M424" s="210"/>
    </row>
    <row r="425" spans="2:15" x14ac:dyDescent="0.35">
      <c r="B425" s="129"/>
      <c r="C425" s="104"/>
      <c r="D425" s="64"/>
      <c r="E425" s="101"/>
      <c r="F425" s="60" t="s">
        <v>130</v>
      </c>
      <c r="G425" s="98" t="s">
        <v>255</v>
      </c>
      <c r="H425" s="94"/>
      <c r="I425" s="98"/>
      <c r="J425" s="49"/>
      <c r="K425" s="28"/>
      <c r="L425" s="51"/>
      <c r="M425" s="210"/>
    </row>
    <row r="426" spans="2:15" x14ac:dyDescent="0.35">
      <c r="B426" s="129"/>
      <c r="C426" s="104"/>
      <c r="D426" s="64"/>
      <c r="E426" s="68"/>
      <c r="F426" s="60" t="s">
        <v>130</v>
      </c>
      <c r="G426" s="52" t="s">
        <v>778</v>
      </c>
      <c r="H426" s="60"/>
      <c r="I426" s="52"/>
      <c r="J426" s="49"/>
      <c r="K426" s="28"/>
      <c r="L426" s="51"/>
      <c r="M426" s="210"/>
      <c r="N426" s="210"/>
      <c r="O426" s="211"/>
    </row>
    <row r="427" spans="2:15" x14ac:dyDescent="0.35">
      <c r="B427" s="129"/>
      <c r="C427" s="104"/>
      <c r="D427" s="64" t="s">
        <v>41</v>
      </c>
      <c r="E427" s="68"/>
      <c r="F427" s="52" t="s">
        <v>256</v>
      </c>
      <c r="G427" s="52"/>
      <c r="H427" s="60">
        <v>1</v>
      </c>
      <c r="I427" s="52" t="s">
        <v>94</v>
      </c>
      <c r="J427" s="49"/>
      <c r="K427" s="28"/>
      <c r="L427" s="51"/>
    </row>
    <row r="428" spans="2:15" x14ac:dyDescent="0.35">
      <c r="B428" s="129"/>
      <c r="C428" s="104"/>
      <c r="D428" s="64"/>
      <c r="E428" s="101"/>
      <c r="F428" s="60" t="s">
        <v>130</v>
      </c>
      <c r="G428" s="98" t="s">
        <v>257</v>
      </c>
      <c r="H428" s="94"/>
      <c r="I428" s="98"/>
      <c r="J428" s="49"/>
      <c r="K428" s="28"/>
      <c r="L428" s="51"/>
      <c r="M428" s="210"/>
    </row>
    <row r="429" spans="2:15" x14ac:dyDescent="0.35">
      <c r="B429" s="129"/>
      <c r="C429" s="104"/>
      <c r="D429" s="64"/>
      <c r="E429" s="101"/>
      <c r="F429" s="60" t="s">
        <v>130</v>
      </c>
      <c r="G429" s="98" t="s">
        <v>258</v>
      </c>
      <c r="H429" s="94"/>
      <c r="I429" s="98"/>
      <c r="J429" s="49"/>
      <c r="K429" s="28"/>
      <c r="L429" s="51"/>
      <c r="M429" s="210"/>
    </row>
    <row r="430" spans="2:15" x14ac:dyDescent="0.35">
      <c r="B430" s="129"/>
      <c r="C430" s="104"/>
      <c r="D430" s="64"/>
      <c r="E430" s="68"/>
      <c r="F430" s="60" t="s">
        <v>130</v>
      </c>
      <c r="G430" s="52" t="s">
        <v>778</v>
      </c>
      <c r="H430" s="60"/>
      <c r="I430" s="52"/>
      <c r="J430" s="49"/>
      <c r="K430" s="28"/>
      <c r="L430" s="51"/>
      <c r="M430" s="210"/>
      <c r="N430" s="210"/>
      <c r="O430" s="211"/>
    </row>
    <row r="431" spans="2:15" x14ac:dyDescent="0.35">
      <c r="B431" s="129"/>
      <c r="C431" s="104"/>
      <c r="D431" s="64" t="s">
        <v>44</v>
      </c>
      <c r="E431" s="68"/>
      <c r="F431" s="52" t="s">
        <v>259</v>
      </c>
      <c r="G431" s="52"/>
      <c r="H431" s="60">
        <v>1</v>
      </c>
      <c r="I431" s="52" t="s">
        <v>94</v>
      </c>
      <c r="J431" s="49"/>
      <c r="K431" s="28"/>
      <c r="L431" s="51"/>
    </row>
    <row r="432" spans="2:15" x14ac:dyDescent="0.35">
      <c r="B432" s="129"/>
      <c r="C432" s="104"/>
      <c r="D432" s="64"/>
      <c r="E432" s="101"/>
      <c r="F432" s="60" t="s">
        <v>130</v>
      </c>
      <c r="G432" s="98" t="s">
        <v>260</v>
      </c>
      <c r="H432" s="94"/>
      <c r="I432" s="98"/>
      <c r="J432" s="49"/>
      <c r="K432" s="28"/>
      <c r="L432" s="51"/>
    </row>
    <row r="433" spans="2:15" x14ac:dyDescent="0.35">
      <c r="B433" s="129"/>
      <c r="C433" s="104"/>
      <c r="D433" s="64" t="s">
        <v>46</v>
      </c>
      <c r="E433" s="68"/>
      <c r="F433" s="52" t="s">
        <v>261</v>
      </c>
      <c r="G433" s="52"/>
      <c r="H433" s="60">
        <v>1</v>
      </c>
      <c r="I433" s="52" t="s">
        <v>94</v>
      </c>
      <c r="J433" s="49"/>
      <c r="K433" s="28"/>
      <c r="L433" s="51"/>
    </row>
    <row r="434" spans="2:15" x14ac:dyDescent="0.35">
      <c r="B434" s="129"/>
      <c r="C434" s="104"/>
      <c r="D434" s="64"/>
      <c r="E434" s="101"/>
      <c r="F434" s="60" t="s">
        <v>130</v>
      </c>
      <c r="G434" s="98" t="s">
        <v>262</v>
      </c>
      <c r="H434" s="94"/>
      <c r="I434" s="98"/>
      <c r="J434" s="49"/>
      <c r="K434" s="28"/>
      <c r="L434" s="51"/>
    </row>
    <row r="435" spans="2:15" x14ac:dyDescent="0.35">
      <c r="B435" s="129"/>
      <c r="C435" s="104"/>
      <c r="D435" s="64" t="s">
        <v>48</v>
      </c>
      <c r="E435" s="68"/>
      <c r="F435" s="52" t="s">
        <v>263</v>
      </c>
      <c r="G435" s="52"/>
      <c r="H435" s="60">
        <v>1</v>
      </c>
      <c r="I435" s="52" t="s">
        <v>94</v>
      </c>
      <c r="J435" s="49"/>
      <c r="K435" s="28"/>
      <c r="L435" s="51"/>
    </row>
    <row r="436" spans="2:15" x14ac:dyDescent="0.35">
      <c r="B436" s="129"/>
      <c r="C436" s="104"/>
      <c r="D436" s="64"/>
      <c r="E436" s="101"/>
      <c r="F436" s="60" t="s">
        <v>130</v>
      </c>
      <c r="G436" s="98" t="s">
        <v>264</v>
      </c>
      <c r="H436" s="94"/>
      <c r="I436" s="98"/>
      <c r="J436" s="49"/>
      <c r="K436" s="28"/>
      <c r="L436" s="51"/>
      <c r="M436" s="210"/>
    </row>
    <row r="437" spans="2:15" x14ac:dyDescent="0.35">
      <c r="B437" s="129"/>
      <c r="C437" s="104"/>
      <c r="D437" s="64"/>
      <c r="E437" s="101"/>
      <c r="F437" s="60" t="s">
        <v>130</v>
      </c>
      <c r="G437" s="98" t="s">
        <v>252</v>
      </c>
      <c r="H437" s="94"/>
      <c r="I437" s="98"/>
      <c r="J437" s="49"/>
      <c r="K437" s="28"/>
      <c r="L437" s="51"/>
      <c r="M437" s="210"/>
    </row>
    <row r="438" spans="2:15" x14ac:dyDescent="0.35">
      <c r="B438" s="129"/>
      <c r="C438" s="104"/>
      <c r="D438" s="64"/>
      <c r="E438" s="68"/>
      <c r="F438" s="60" t="s">
        <v>130</v>
      </c>
      <c r="G438" s="52" t="s">
        <v>778</v>
      </c>
      <c r="H438" s="60"/>
      <c r="I438" s="52"/>
      <c r="J438" s="49"/>
      <c r="K438" s="28"/>
      <c r="L438" s="51"/>
      <c r="M438" s="210"/>
      <c r="N438" s="210"/>
      <c r="O438" s="211"/>
    </row>
    <row r="439" spans="2:15" x14ac:dyDescent="0.35">
      <c r="B439" s="158"/>
      <c r="C439" s="104" t="s">
        <v>265</v>
      </c>
      <c r="D439" s="105"/>
      <c r="E439" s="107"/>
      <c r="F439" s="52" t="s">
        <v>266</v>
      </c>
      <c r="G439" s="52"/>
      <c r="H439" s="102"/>
      <c r="I439" s="98"/>
      <c r="J439" s="49"/>
      <c r="K439" s="28"/>
      <c r="L439" s="51"/>
    </row>
    <row r="440" spans="2:15" x14ac:dyDescent="0.35">
      <c r="B440" s="116"/>
      <c r="C440" s="117"/>
      <c r="D440" s="64" t="s">
        <v>34</v>
      </c>
      <c r="E440" s="68"/>
      <c r="F440" s="52" t="s">
        <v>267</v>
      </c>
      <c r="G440" s="52"/>
      <c r="H440" s="60">
        <v>1</v>
      </c>
      <c r="I440" s="52" t="s">
        <v>94</v>
      </c>
      <c r="J440" s="49"/>
      <c r="K440" s="28"/>
      <c r="L440" s="51"/>
    </row>
    <row r="441" spans="2:15" x14ac:dyDescent="0.35">
      <c r="B441" s="129"/>
      <c r="C441" s="104"/>
      <c r="D441" s="105"/>
      <c r="E441" s="101"/>
      <c r="F441" s="126" t="s">
        <v>130</v>
      </c>
      <c r="G441" s="52" t="s">
        <v>268</v>
      </c>
      <c r="H441" s="94"/>
      <c r="I441" s="98"/>
      <c r="J441" s="49"/>
      <c r="K441" s="28"/>
      <c r="L441" s="51"/>
      <c r="M441" s="210"/>
    </row>
    <row r="442" spans="2:15" x14ac:dyDescent="0.35">
      <c r="B442" s="158"/>
      <c r="C442" s="104"/>
      <c r="D442" s="105"/>
      <c r="E442" s="101"/>
      <c r="F442" s="126" t="s">
        <v>130</v>
      </c>
      <c r="G442" s="52" t="s">
        <v>269</v>
      </c>
      <c r="H442" s="94"/>
      <c r="I442" s="98"/>
      <c r="J442" s="49"/>
      <c r="K442" s="28"/>
      <c r="L442" s="51"/>
      <c r="M442" s="210"/>
      <c r="N442" s="210"/>
      <c r="O442" s="211"/>
    </row>
    <row r="443" spans="2:15" x14ac:dyDescent="0.35">
      <c r="B443" s="158"/>
      <c r="C443" s="104" t="s">
        <v>270</v>
      </c>
      <c r="D443" s="105"/>
      <c r="E443" s="107"/>
      <c r="F443" s="52" t="s">
        <v>271</v>
      </c>
      <c r="G443" s="52"/>
      <c r="H443" s="102"/>
      <c r="I443" s="98"/>
      <c r="J443" s="49"/>
      <c r="K443" s="28"/>
      <c r="L443" s="51"/>
    </row>
    <row r="444" spans="2:15" x14ac:dyDescent="0.35">
      <c r="B444" s="116"/>
      <c r="C444" s="117"/>
      <c r="D444" s="64" t="s">
        <v>34</v>
      </c>
      <c r="E444" s="68"/>
      <c r="F444" s="52" t="s">
        <v>272</v>
      </c>
      <c r="G444" s="52"/>
      <c r="H444" s="60">
        <v>1</v>
      </c>
      <c r="I444" s="52" t="s">
        <v>94</v>
      </c>
      <c r="J444" s="49"/>
      <c r="K444" s="28"/>
      <c r="L444" s="51"/>
    </row>
    <row r="445" spans="2:15" x14ac:dyDescent="0.35">
      <c r="B445" s="129"/>
      <c r="C445" s="104"/>
      <c r="D445" s="105"/>
      <c r="E445" s="101"/>
      <c r="F445" s="126" t="s">
        <v>130</v>
      </c>
      <c r="G445" s="52" t="s">
        <v>273</v>
      </c>
      <c r="H445" s="94"/>
      <c r="I445" s="98"/>
      <c r="J445" s="49"/>
      <c r="K445" s="28"/>
      <c r="L445" s="51"/>
      <c r="M445" s="210"/>
    </row>
    <row r="446" spans="2:15" x14ac:dyDescent="0.35">
      <c r="B446" s="129"/>
      <c r="C446" s="104"/>
      <c r="D446" s="105"/>
      <c r="E446" s="107"/>
      <c r="F446" s="101" t="s">
        <v>130</v>
      </c>
      <c r="G446" s="52" t="s">
        <v>274</v>
      </c>
      <c r="H446" s="94"/>
      <c r="I446" s="98"/>
      <c r="J446" s="49"/>
      <c r="K446" s="28"/>
      <c r="L446" s="51"/>
      <c r="M446" s="210"/>
    </row>
    <row r="447" spans="2:15" x14ac:dyDescent="0.35">
      <c r="B447" s="129"/>
      <c r="C447" s="104"/>
      <c r="D447" s="105"/>
      <c r="E447" s="58"/>
      <c r="F447" s="101" t="s">
        <v>130</v>
      </c>
      <c r="G447" s="52" t="s">
        <v>779</v>
      </c>
      <c r="H447" s="102"/>
      <c r="I447" s="98"/>
      <c r="J447" s="49"/>
      <c r="K447" s="28"/>
      <c r="L447" s="51"/>
      <c r="M447" s="210"/>
    </row>
    <row r="448" spans="2:15" x14ac:dyDescent="0.35">
      <c r="B448" s="158"/>
      <c r="C448" s="104"/>
      <c r="D448" s="105"/>
      <c r="E448" s="107"/>
      <c r="F448" s="60" t="s">
        <v>130</v>
      </c>
      <c r="G448" s="52" t="s">
        <v>780</v>
      </c>
      <c r="H448" s="102"/>
      <c r="I448" s="98"/>
      <c r="J448" s="49"/>
      <c r="K448" s="28"/>
      <c r="L448" s="51"/>
      <c r="M448" s="210"/>
      <c r="N448" s="210"/>
      <c r="O448" s="211"/>
    </row>
    <row r="449" spans="2:15" x14ac:dyDescent="0.35">
      <c r="B449" s="158"/>
      <c r="C449" s="104"/>
      <c r="D449" s="64" t="s">
        <v>37</v>
      </c>
      <c r="E449" s="68"/>
      <c r="F449" s="52" t="s">
        <v>275</v>
      </c>
      <c r="G449" s="52"/>
      <c r="H449" s="60">
        <v>1</v>
      </c>
      <c r="I449" s="52" t="s">
        <v>94</v>
      </c>
      <c r="J449" s="49"/>
      <c r="K449" s="28"/>
      <c r="L449" s="51"/>
    </row>
    <row r="450" spans="2:15" x14ac:dyDescent="0.35">
      <c r="B450" s="158"/>
      <c r="C450" s="127"/>
      <c r="D450" s="105"/>
      <c r="E450" s="101"/>
      <c r="F450" s="126" t="s">
        <v>130</v>
      </c>
      <c r="G450" s="52" t="s">
        <v>276</v>
      </c>
      <c r="H450" s="94"/>
      <c r="I450" s="98"/>
      <c r="J450" s="49"/>
      <c r="K450" s="28"/>
      <c r="L450" s="51"/>
      <c r="M450" s="210"/>
    </row>
    <row r="451" spans="2:15" x14ac:dyDescent="0.35">
      <c r="B451" s="158"/>
      <c r="C451" s="127"/>
      <c r="D451" s="105"/>
      <c r="E451" s="107"/>
      <c r="F451" s="101" t="s">
        <v>130</v>
      </c>
      <c r="G451" s="52" t="s">
        <v>274</v>
      </c>
      <c r="H451" s="94"/>
      <c r="I451" s="98"/>
      <c r="J451" s="49"/>
      <c r="K451" s="28"/>
      <c r="L451" s="51"/>
      <c r="M451" s="210"/>
    </row>
    <row r="452" spans="2:15" x14ac:dyDescent="0.35">
      <c r="B452" s="129"/>
      <c r="C452" s="104"/>
      <c r="D452" s="105"/>
      <c r="E452" s="58"/>
      <c r="F452" s="101" t="s">
        <v>130</v>
      </c>
      <c r="G452" s="52" t="s">
        <v>779</v>
      </c>
      <c r="H452" s="102"/>
      <c r="I452" s="98"/>
      <c r="J452" s="49"/>
      <c r="K452" s="28"/>
      <c r="L452" s="51"/>
      <c r="M452" s="210"/>
    </row>
    <row r="453" spans="2:15" x14ac:dyDescent="0.35">
      <c r="B453" s="129"/>
      <c r="C453" s="104"/>
      <c r="D453" s="105"/>
      <c r="E453" s="107"/>
      <c r="F453" s="60" t="s">
        <v>130</v>
      </c>
      <c r="G453" s="52" t="s">
        <v>780</v>
      </c>
      <c r="H453" s="102"/>
      <c r="I453" s="98"/>
      <c r="J453" s="49"/>
      <c r="K453" s="28"/>
      <c r="L453" s="51"/>
      <c r="M453" s="210"/>
      <c r="N453" s="210"/>
      <c r="O453" s="211"/>
    </row>
    <row r="454" spans="2:15" x14ac:dyDescent="0.35">
      <c r="B454" s="129"/>
      <c r="C454" s="104"/>
      <c r="D454" s="64" t="s">
        <v>39</v>
      </c>
      <c r="E454" s="68"/>
      <c r="F454" s="52" t="s">
        <v>277</v>
      </c>
      <c r="G454" s="52"/>
      <c r="H454" s="60">
        <v>1</v>
      </c>
      <c r="I454" s="52" t="s">
        <v>94</v>
      </c>
      <c r="J454" s="49"/>
      <c r="K454" s="28"/>
      <c r="L454" s="51"/>
    </row>
    <row r="455" spans="2:15" x14ac:dyDescent="0.35">
      <c r="B455" s="129"/>
      <c r="C455" s="104"/>
      <c r="D455" s="105"/>
      <c r="E455" s="101"/>
      <c r="F455" s="126" t="s">
        <v>130</v>
      </c>
      <c r="G455" s="52" t="s">
        <v>276</v>
      </c>
      <c r="H455" s="94"/>
      <c r="I455" s="98"/>
      <c r="J455" s="49"/>
      <c r="K455" s="28"/>
      <c r="L455" s="51"/>
      <c r="M455" s="210"/>
    </row>
    <row r="456" spans="2:15" x14ac:dyDescent="0.35">
      <c r="B456" s="129"/>
      <c r="C456" s="104"/>
      <c r="D456" s="105"/>
      <c r="E456" s="107"/>
      <c r="F456" s="101" t="s">
        <v>130</v>
      </c>
      <c r="G456" s="52" t="s">
        <v>274</v>
      </c>
      <c r="H456" s="94"/>
      <c r="I456" s="98"/>
      <c r="J456" s="49"/>
      <c r="K456" s="28"/>
      <c r="L456" s="51"/>
      <c r="M456" s="210"/>
    </row>
    <row r="457" spans="2:15" x14ac:dyDescent="0.35">
      <c r="B457" s="129"/>
      <c r="C457" s="104"/>
      <c r="D457" s="105"/>
      <c r="E457" s="58"/>
      <c r="F457" s="101" t="s">
        <v>130</v>
      </c>
      <c r="G457" s="52" t="s">
        <v>779</v>
      </c>
      <c r="H457" s="102"/>
      <c r="I457" s="98"/>
      <c r="J457" s="49"/>
      <c r="K457" s="28"/>
      <c r="L457" s="51"/>
      <c r="M457" s="210"/>
    </row>
    <row r="458" spans="2:15" x14ac:dyDescent="0.35">
      <c r="B458" s="129"/>
      <c r="C458" s="104"/>
      <c r="D458" s="105"/>
      <c r="E458" s="107"/>
      <c r="F458" s="60" t="s">
        <v>130</v>
      </c>
      <c r="G458" s="52" t="s">
        <v>780</v>
      </c>
      <c r="H458" s="102"/>
      <c r="I458" s="98"/>
      <c r="J458" s="49"/>
      <c r="K458" s="28"/>
      <c r="L458" s="51"/>
      <c r="M458" s="210"/>
      <c r="N458" s="210"/>
      <c r="O458" s="211"/>
    </row>
    <row r="459" spans="2:15" x14ac:dyDescent="0.35">
      <c r="B459" s="160"/>
      <c r="C459" s="104" t="s">
        <v>278</v>
      </c>
      <c r="D459" s="105"/>
      <c r="E459" s="107"/>
      <c r="F459" s="60" t="s">
        <v>279</v>
      </c>
      <c r="G459" s="52"/>
      <c r="H459" s="102"/>
      <c r="I459" s="98"/>
      <c r="J459" s="49"/>
      <c r="K459" s="28"/>
      <c r="L459" s="51"/>
    </row>
    <row r="460" spans="2:15" x14ac:dyDescent="0.35">
      <c r="B460" s="158"/>
      <c r="C460" s="104"/>
      <c r="D460" s="105" t="s">
        <v>34</v>
      </c>
      <c r="E460" s="107"/>
      <c r="F460" s="60" t="s">
        <v>280</v>
      </c>
      <c r="G460" s="120"/>
      <c r="H460" s="60">
        <v>1</v>
      </c>
      <c r="I460" s="52" t="s">
        <v>94</v>
      </c>
      <c r="J460" s="49"/>
      <c r="K460" s="28"/>
      <c r="L460" s="51"/>
    </row>
    <row r="461" spans="2:15" x14ac:dyDescent="0.35">
      <c r="B461" s="158"/>
      <c r="C461" s="104"/>
      <c r="D461" s="105"/>
      <c r="E461" s="101"/>
      <c r="F461" s="60" t="s">
        <v>130</v>
      </c>
      <c r="G461" s="98" t="s">
        <v>281</v>
      </c>
      <c r="H461" s="94"/>
      <c r="I461" s="98"/>
      <c r="J461" s="49"/>
      <c r="K461" s="28"/>
      <c r="L461" s="51"/>
      <c r="M461" s="210"/>
    </row>
    <row r="462" spans="2:15" x14ac:dyDescent="0.35">
      <c r="B462" s="158"/>
      <c r="C462" s="104"/>
      <c r="D462" s="105"/>
      <c r="E462" s="101"/>
      <c r="F462" s="60" t="s">
        <v>130</v>
      </c>
      <c r="G462" s="98" t="s">
        <v>282</v>
      </c>
      <c r="H462" s="94"/>
      <c r="I462" s="98"/>
      <c r="J462" s="49"/>
      <c r="K462" s="28"/>
      <c r="L462" s="51"/>
      <c r="M462" s="210"/>
    </row>
    <row r="463" spans="2:15" x14ac:dyDescent="0.35">
      <c r="B463" s="129"/>
      <c r="C463" s="104"/>
      <c r="D463" s="64"/>
      <c r="E463" s="101"/>
      <c r="F463" s="60" t="s">
        <v>130</v>
      </c>
      <c r="G463" s="98" t="s">
        <v>283</v>
      </c>
      <c r="H463" s="94"/>
      <c r="I463" s="98"/>
      <c r="J463" s="49"/>
      <c r="K463" s="28"/>
      <c r="L463" s="51"/>
      <c r="M463" s="210"/>
    </row>
    <row r="464" spans="2:15" x14ac:dyDescent="0.35">
      <c r="B464" s="129"/>
      <c r="C464" s="104"/>
      <c r="D464" s="64"/>
      <c r="E464" s="101"/>
      <c r="F464" s="60" t="s">
        <v>130</v>
      </c>
      <c r="G464" s="98" t="s">
        <v>284</v>
      </c>
      <c r="H464" s="94"/>
      <c r="I464" s="98"/>
      <c r="J464" s="49"/>
      <c r="K464" s="28"/>
      <c r="L464" s="51"/>
      <c r="M464" s="210"/>
    </row>
    <row r="465" spans="2:14" x14ac:dyDescent="0.35">
      <c r="B465" s="158"/>
      <c r="C465" s="104"/>
      <c r="D465" s="105"/>
      <c r="E465" s="101"/>
      <c r="F465" s="60" t="s">
        <v>130</v>
      </c>
      <c r="G465" s="98" t="s">
        <v>285</v>
      </c>
      <c r="H465" s="94"/>
      <c r="I465" s="98"/>
      <c r="J465" s="49"/>
      <c r="K465" s="28"/>
      <c r="L465" s="51"/>
      <c r="M465" s="210"/>
    </row>
    <row r="466" spans="2:14" x14ac:dyDescent="0.35">
      <c r="B466" s="158"/>
      <c r="C466" s="104"/>
      <c r="D466" s="105"/>
      <c r="E466" s="101"/>
      <c r="F466" s="60" t="s">
        <v>130</v>
      </c>
      <c r="G466" s="98" t="s">
        <v>286</v>
      </c>
      <c r="H466" s="94"/>
      <c r="I466" s="98"/>
      <c r="J466" s="49"/>
      <c r="K466" s="28"/>
      <c r="L466" s="51"/>
      <c r="M466" s="210"/>
    </row>
    <row r="467" spans="2:14" x14ac:dyDescent="0.35">
      <c r="B467" s="158"/>
      <c r="C467" s="104"/>
      <c r="D467" s="105"/>
      <c r="E467" s="107"/>
      <c r="F467" s="119" t="s">
        <v>130</v>
      </c>
      <c r="G467" s="120" t="s">
        <v>287</v>
      </c>
      <c r="H467" s="128"/>
      <c r="I467" s="122"/>
      <c r="J467" s="49"/>
      <c r="K467" s="28"/>
      <c r="L467" s="51"/>
      <c r="M467" s="210"/>
    </row>
    <row r="468" spans="2:14" x14ac:dyDescent="0.35">
      <c r="B468" s="158"/>
      <c r="C468" s="104"/>
      <c r="D468" s="105"/>
      <c r="E468" s="107"/>
      <c r="F468" s="119" t="s">
        <v>130</v>
      </c>
      <c r="G468" s="120" t="s">
        <v>288</v>
      </c>
      <c r="H468" s="128"/>
      <c r="I468" s="122"/>
      <c r="J468" s="49"/>
      <c r="K468" s="28"/>
      <c r="L468" s="51"/>
      <c r="M468" s="210"/>
    </row>
    <row r="469" spans="2:14" x14ac:dyDescent="0.35">
      <c r="B469" s="158"/>
      <c r="C469" s="104"/>
      <c r="D469" s="105"/>
      <c r="E469" s="107"/>
      <c r="F469" s="60" t="s">
        <v>130</v>
      </c>
      <c r="G469" s="52" t="s">
        <v>289</v>
      </c>
      <c r="H469" s="94"/>
      <c r="I469" s="98"/>
      <c r="J469" s="49"/>
      <c r="K469" s="28"/>
      <c r="L469" s="51"/>
      <c r="M469" s="210"/>
      <c r="N469" s="210"/>
    </row>
    <row r="470" spans="2:14" x14ac:dyDescent="0.35">
      <c r="B470" s="129"/>
      <c r="C470" s="104" t="s">
        <v>290</v>
      </c>
      <c r="D470" s="105"/>
      <c r="E470" s="107"/>
      <c r="F470" s="60" t="s">
        <v>291</v>
      </c>
      <c r="G470" s="52"/>
      <c r="H470" s="102"/>
      <c r="I470" s="98"/>
      <c r="J470" s="49"/>
      <c r="K470" s="28"/>
      <c r="L470" s="51"/>
    </row>
    <row r="471" spans="2:14" x14ac:dyDescent="0.35">
      <c r="B471" s="129"/>
      <c r="C471" s="104"/>
      <c r="D471" s="105" t="s">
        <v>34</v>
      </c>
      <c r="E471" s="107"/>
      <c r="F471" s="60" t="s">
        <v>292</v>
      </c>
      <c r="G471" s="120"/>
      <c r="H471" s="107">
        <v>2</v>
      </c>
      <c r="I471" s="108" t="s">
        <v>94</v>
      </c>
      <c r="J471" s="202"/>
      <c r="K471" s="50"/>
      <c r="L471" s="45"/>
    </row>
    <row r="472" spans="2:14" x14ac:dyDescent="0.35">
      <c r="B472" s="129"/>
      <c r="C472" s="104"/>
      <c r="D472" s="105"/>
      <c r="E472" s="101"/>
      <c r="F472" s="60" t="s">
        <v>130</v>
      </c>
      <c r="G472" s="98" t="s">
        <v>293</v>
      </c>
      <c r="H472" s="94"/>
      <c r="I472" s="98"/>
      <c r="J472" s="49"/>
      <c r="K472" s="28"/>
      <c r="L472" s="51"/>
    </row>
    <row r="473" spans="2:14" x14ac:dyDescent="0.35">
      <c r="B473" s="129"/>
      <c r="C473" s="104"/>
      <c r="D473" s="105"/>
      <c r="E473" s="107"/>
      <c r="F473" s="101" t="s">
        <v>130</v>
      </c>
      <c r="G473" s="52" t="s">
        <v>294</v>
      </c>
      <c r="H473" s="94"/>
      <c r="I473" s="98"/>
      <c r="J473" s="49"/>
      <c r="K473" s="28"/>
      <c r="L473" s="51"/>
    </row>
    <row r="474" spans="2:14" x14ac:dyDescent="0.35">
      <c r="B474" s="224"/>
      <c r="C474" s="47"/>
      <c r="D474" s="23"/>
      <c r="G474" s="21"/>
      <c r="I474" s="21"/>
      <c r="J474" s="49"/>
      <c r="K474" s="28"/>
      <c r="L474" s="51"/>
    </row>
    <row r="475" spans="2:14" x14ac:dyDescent="0.35">
      <c r="B475" s="8"/>
      <c r="C475" s="9"/>
      <c r="D475" s="10"/>
      <c r="E475" s="4"/>
      <c r="F475" s="4"/>
      <c r="G475" s="4"/>
      <c r="H475" s="1"/>
      <c r="I475" s="1"/>
      <c r="J475" s="11" t="s">
        <v>8</v>
      </c>
      <c r="K475" s="7">
        <f>SUM(K422:K474)</f>
        <v>0</v>
      </c>
      <c r="L475" s="7">
        <f>SUM(L422:L474)</f>
        <v>0</v>
      </c>
    </row>
    <row r="476" spans="2:14" x14ac:dyDescent="0.35">
      <c r="B476" s="8"/>
      <c r="C476" s="9"/>
      <c r="D476" s="9"/>
      <c r="E476" s="4"/>
      <c r="F476" s="4"/>
      <c r="G476" s="4"/>
      <c r="H476" s="1"/>
      <c r="I476" s="1"/>
      <c r="J476" s="11"/>
      <c r="K476" s="34" t="s">
        <v>13</v>
      </c>
      <c r="L476" s="35" t="s">
        <v>14</v>
      </c>
    </row>
    <row r="477" spans="2:14" x14ac:dyDescent="0.35">
      <c r="B477" s="3" t="s">
        <v>9</v>
      </c>
      <c r="C477" s="4"/>
      <c r="D477" s="4"/>
      <c r="E477" s="4"/>
      <c r="F477" s="4"/>
      <c r="G477" s="4"/>
      <c r="H477" s="1"/>
      <c r="I477" s="1"/>
      <c r="J477" s="12"/>
      <c r="K477" s="12"/>
      <c r="L477" s="13"/>
    </row>
    <row r="478" spans="2:14" x14ac:dyDescent="0.35">
      <c r="B478" s="36"/>
      <c r="C478" s="1"/>
      <c r="D478" s="1"/>
      <c r="E478" s="37"/>
      <c r="F478" s="37"/>
      <c r="G478" s="37"/>
      <c r="H478" s="1"/>
      <c r="I478" s="1"/>
      <c r="J478" s="1"/>
      <c r="K478" s="1"/>
      <c r="L478" s="18"/>
    </row>
    <row r="479" spans="2:14" x14ac:dyDescent="0.35">
      <c r="B479" s="27" t="s">
        <v>6</v>
      </c>
      <c r="C479" s="26"/>
      <c r="D479" s="26"/>
      <c r="E479" s="25"/>
      <c r="F479" s="25"/>
      <c r="G479" s="5"/>
      <c r="K479" s="232" t="s">
        <v>813</v>
      </c>
      <c r="L479" s="233"/>
    </row>
    <row r="480" spans="2:14" x14ac:dyDescent="0.35">
      <c r="B480" s="27">
        <v>1</v>
      </c>
      <c r="C480" s="26"/>
      <c r="D480" s="26"/>
      <c r="E480" s="25" t="s">
        <v>7</v>
      </c>
      <c r="F480" s="25"/>
      <c r="G480" s="5"/>
      <c r="K480" s="232" t="s">
        <v>18</v>
      </c>
      <c r="L480" s="233"/>
    </row>
    <row r="481" spans="2:12" x14ac:dyDescent="0.35">
      <c r="B481" s="38"/>
      <c r="C481" s="26"/>
      <c r="D481" s="26"/>
      <c r="E481" s="25"/>
      <c r="F481" s="25"/>
      <c r="G481" s="5"/>
      <c r="J481" s="24"/>
      <c r="K481" s="24"/>
      <c r="L481" s="23"/>
    </row>
    <row r="482" spans="2:12" x14ac:dyDescent="0.35">
      <c r="B482" s="27"/>
      <c r="C482" s="26"/>
      <c r="D482" s="26"/>
      <c r="E482" s="25"/>
      <c r="F482" s="25"/>
      <c r="G482" s="5"/>
      <c r="L482" s="21"/>
    </row>
    <row r="483" spans="2:12" x14ac:dyDescent="0.35">
      <c r="B483" s="44"/>
      <c r="E483" s="5"/>
      <c r="F483" s="5"/>
      <c r="G483" s="5"/>
      <c r="L483" s="21"/>
    </row>
    <row r="484" spans="2:12" x14ac:dyDescent="0.35">
      <c r="B484" s="44"/>
      <c r="E484" s="5"/>
      <c r="F484" s="5"/>
      <c r="G484" s="5"/>
      <c r="L484" s="21"/>
    </row>
    <row r="485" spans="2:12" x14ac:dyDescent="0.35">
      <c r="B485" s="44"/>
      <c r="E485" s="5"/>
      <c r="F485" s="5"/>
      <c r="G485" s="5"/>
      <c r="L485" s="21"/>
    </row>
    <row r="486" spans="2:12" x14ac:dyDescent="0.35">
      <c r="B486" s="44"/>
      <c r="E486" s="5"/>
      <c r="F486" s="5"/>
      <c r="G486" s="5"/>
      <c r="J486" s="39"/>
      <c r="K486" s="234" t="s">
        <v>26</v>
      </c>
      <c r="L486" s="235"/>
    </row>
    <row r="487" spans="2:12" x14ac:dyDescent="0.35">
      <c r="B487" s="44"/>
      <c r="K487" s="236" t="s">
        <v>27</v>
      </c>
      <c r="L487" s="237"/>
    </row>
    <row r="488" spans="2:12" x14ac:dyDescent="0.35">
      <c r="B488" s="238"/>
      <c r="C488" s="239"/>
      <c r="D488" s="239"/>
      <c r="E488" s="40"/>
      <c r="F488" s="40"/>
      <c r="G488" s="40"/>
      <c r="H488" s="2"/>
      <c r="I488" s="2"/>
      <c r="J488" s="2"/>
      <c r="K488" s="2"/>
      <c r="L488" s="20"/>
    </row>
    <row r="489" spans="2:12" x14ac:dyDescent="0.35">
      <c r="B489" s="222"/>
      <c r="C489" s="47"/>
      <c r="D489" s="48"/>
      <c r="G489" s="21"/>
      <c r="H489" s="1"/>
      <c r="I489" s="1"/>
      <c r="J489" s="42"/>
      <c r="K489" s="29"/>
      <c r="L489" s="43"/>
    </row>
    <row r="490" spans="2:12" x14ac:dyDescent="0.35">
      <c r="B490" s="129"/>
      <c r="C490" s="104" t="s">
        <v>295</v>
      </c>
      <c r="D490" s="105"/>
      <c r="E490" s="107"/>
      <c r="F490" s="60" t="s">
        <v>296</v>
      </c>
      <c r="G490" s="52"/>
      <c r="H490" s="102"/>
      <c r="I490" s="98"/>
      <c r="J490" s="28"/>
      <c r="K490" s="50"/>
      <c r="L490" s="45"/>
    </row>
    <row r="491" spans="2:12" x14ac:dyDescent="0.35">
      <c r="B491" s="129"/>
      <c r="C491" s="104"/>
      <c r="D491" s="105" t="s">
        <v>34</v>
      </c>
      <c r="E491" s="107"/>
      <c r="F491" s="60" t="s">
        <v>297</v>
      </c>
      <c r="G491" s="120"/>
      <c r="H491" s="107"/>
      <c r="I491" s="108"/>
      <c r="J491" s="49"/>
      <c r="K491" s="50"/>
      <c r="L491" s="45"/>
    </row>
    <row r="492" spans="2:12" x14ac:dyDescent="0.35">
      <c r="B492" s="129"/>
      <c r="C492" s="104"/>
      <c r="D492" s="105"/>
      <c r="E492" s="107"/>
      <c r="F492" s="60" t="s">
        <v>130</v>
      </c>
      <c r="G492" s="52" t="s">
        <v>298</v>
      </c>
      <c r="H492" s="94">
        <f>0.35*0.34*10*7.85*1.2</f>
        <v>11.2098</v>
      </c>
      <c r="I492" s="98" t="s">
        <v>208</v>
      </c>
      <c r="J492" s="49"/>
      <c r="K492" s="50"/>
      <c r="L492" s="45"/>
    </row>
    <row r="493" spans="2:12" x14ac:dyDescent="0.35">
      <c r="B493" s="129"/>
      <c r="C493" s="104"/>
      <c r="D493" s="105"/>
      <c r="E493" s="107"/>
      <c r="F493" s="60" t="s">
        <v>130</v>
      </c>
      <c r="G493" s="52" t="s">
        <v>299</v>
      </c>
      <c r="H493" s="94">
        <f>0.45*0.08*10*7.85*1.2</f>
        <v>3.3912</v>
      </c>
      <c r="I493" s="98" t="s">
        <v>208</v>
      </c>
      <c r="J493" s="49"/>
      <c r="K493" s="50"/>
      <c r="L493" s="45"/>
    </row>
    <row r="494" spans="2:12" x14ac:dyDescent="0.35">
      <c r="B494" s="129"/>
      <c r="C494" s="104"/>
      <c r="D494" s="105"/>
      <c r="E494" s="107"/>
      <c r="F494" s="60" t="s">
        <v>130</v>
      </c>
      <c r="G494" s="52" t="s">
        <v>300</v>
      </c>
      <c r="H494" s="94">
        <f>0.45*10*7.85*0.45*1.2</f>
        <v>19.075499999999998</v>
      </c>
      <c r="I494" s="98" t="s">
        <v>208</v>
      </c>
      <c r="J494" s="49"/>
      <c r="K494" s="50"/>
      <c r="L494" s="45"/>
    </row>
    <row r="495" spans="2:12" x14ac:dyDescent="0.35">
      <c r="B495" s="129"/>
      <c r="C495" s="104"/>
      <c r="D495" s="105"/>
      <c r="E495" s="107"/>
      <c r="F495" s="60" t="s">
        <v>130</v>
      </c>
      <c r="G495" s="52" t="s">
        <v>301</v>
      </c>
      <c r="H495" s="94">
        <f>0.45*10*7.85*0.55*1.2</f>
        <v>23.314499999999999</v>
      </c>
      <c r="I495" s="98" t="s">
        <v>208</v>
      </c>
      <c r="J495" s="49"/>
      <c r="K495" s="50"/>
      <c r="L495" s="45"/>
    </row>
    <row r="496" spans="2:12" x14ac:dyDescent="0.35">
      <c r="B496" s="129"/>
      <c r="C496" s="104"/>
      <c r="D496" s="105"/>
      <c r="E496" s="107"/>
      <c r="F496" s="60" t="s">
        <v>130</v>
      </c>
      <c r="G496" s="52" t="s">
        <v>302</v>
      </c>
      <c r="H496" s="94">
        <f>0.45*10*7.85*0.1*1.2</f>
        <v>4.2389999999999999</v>
      </c>
      <c r="I496" s="98" t="s">
        <v>208</v>
      </c>
      <c r="J496" s="49"/>
      <c r="K496" s="50"/>
      <c r="L496" s="45"/>
    </row>
    <row r="497" spans="2:12" x14ac:dyDescent="0.35">
      <c r="B497" s="129"/>
      <c r="C497" s="104"/>
      <c r="D497" s="105"/>
      <c r="E497" s="107"/>
      <c r="F497" s="60" t="s">
        <v>130</v>
      </c>
      <c r="G497" s="52" t="s">
        <v>303</v>
      </c>
      <c r="H497" s="94">
        <f>0.24*10*7.85*0.9*1.2</f>
        <v>20.347199999999997</v>
      </c>
      <c r="I497" s="98" t="s">
        <v>208</v>
      </c>
      <c r="J497" s="49"/>
      <c r="K497" s="50"/>
      <c r="L497" s="45"/>
    </row>
    <row r="498" spans="2:12" x14ac:dyDescent="0.35">
      <c r="B498" s="129"/>
      <c r="C498" s="104"/>
      <c r="D498" s="105"/>
      <c r="E498" s="107"/>
      <c r="F498" s="60" t="s">
        <v>130</v>
      </c>
      <c r="G498" s="52" t="s">
        <v>304</v>
      </c>
      <c r="H498" s="94">
        <f>0.4*10*7.85*0.42*1.2</f>
        <v>15.825599999999998</v>
      </c>
      <c r="I498" s="98" t="s">
        <v>208</v>
      </c>
      <c r="J498" s="49"/>
      <c r="K498" s="50"/>
      <c r="L498" s="45"/>
    </row>
    <row r="499" spans="2:12" x14ac:dyDescent="0.35">
      <c r="B499" s="129"/>
      <c r="C499" s="104"/>
      <c r="D499" s="105"/>
      <c r="E499" s="107"/>
      <c r="F499" s="60" t="s">
        <v>130</v>
      </c>
      <c r="G499" s="52" t="s">
        <v>305</v>
      </c>
      <c r="H499" s="94">
        <f>0.4*10*7.85*0.36*1.2</f>
        <v>13.564799999999998</v>
      </c>
      <c r="I499" s="98" t="s">
        <v>208</v>
      </c>
      <c r="J499" s="49"/>
      <c r="K499" s="50"/>
      <c r="L499" s="45"/>
    </row>
    <row r="500" spans="2:12" x14ac:dyDescent="0.35">
      <c r="B500" s="129"/>
      <c r="C500" s="104"/>
      <c r="D500" s="105"/>
      <c r="E500" s="107"/>
      <c r="F500" s="60" t="s">
        <v>130</v>
      </c>
      <c r="G500" s="52" t="s">
        <v>306</v>
      </c>
      <c r="H500" s="94">
        <f>0.4*10*7.85*0.96*1.2</f>
        <v>36.172799999999995</v>
      </c>
      <c r="I500" s="98" t="s">
        <v>208</v>
      </c>
      <c r="J500" s="49"/>
      <c r="K500" s="50"/>
      <c r="L500" s="45"/>
    </row>
    <row r="501" spans="2:12" x14ac:dyDescent="0.35">
      <c r="B501" s="129"/>
      <c r="C501" s="104"/>
      <c r="D501" s="105"/>
      <c r="E501" s="107"/>
      <c r="F501" s="60" t="s">
        <v>130</v>
      </c>
      <c r="G501" s="52" t="s">
        <v>307</v>
      </c>
      <c r="H501" s="94">
        <f>0.4*10*7.85*0.4*1.2</f>
        <v>15.071999999999999</v>
      </c>
      <c r="I501" s="98" t="s">
        <v>208</v>
      </c>
      <c r="J501" s="49"/>
      <c r="K501" s="50"/>
      <c r="L501" s="45"/>
    </row>
    <row r="502" spans="2:12" x14ac:dyDescent="0.35">
      <c r="B502" s="129"/>
      <c r="C502" s="104"/>
      <c r="D502" s="105"/>
      <c r="E502" s="107"/>
      <c r="F502" s="60" t="s">
        <v>130</v>
      </c>
      <c r="G502" s="52" t="s">
        <v>308</v>
      </c>
      <c r="H502" s="94">
        <f>0.4*10*7.85*0.39*1.2</f>
        <v>14.6952</v>
      </c>
      <c r="I502" s="98" t="s">
        <v>208</v>
      </c>
      <c r="J502" s="49"/>
      <c r="K502" s="50"/>
      <c r="L502" s="45"/>
    </row>
    <row r="503" spans="2:12" x14ac:dyDescent="0.35">
      <c r="B503" s="129"/>
      <c r="C503" s="104"/>
      <c r="D503" s="105"/>
      <c r="E503" s="107"/>
      <c r="F503" s="60" t="s">
        <v>130</v>
      </c>
      <c r="G503" s="52" t="s">
        <v>309</v>
      </c>
      <c r="H503" s="94">
        <f>0.4*10*7.85*0.29*1.2</f>
        <v>10.927199999999997</v>
      </c>
      <c r="I503" s="98" t="s">
        <v>208</v>
      </c>
      <c r="J503" s="49"/>
      <c r="K503" s="50"/>
      <c r="L503" s="45"/>
    </row>
    <row r="504" spans="2:12" x14ac:dyDescent="0.35">
      <c r="B504" s="129"/>
      <c r="C504" s="104"/>
      <c r="D504" s="105"/>
      <c r="E504" s="107"/>
      <c r="F504" s="60" t="s">
        <v>130</v>
      </c>
      <c r="G504" s="52" t="s">
        <v>310</v>
      </c>
      <c r="H504" s="94">
        <f>0.45*10*7.85*0.39*1.2</f>
        <v>16.532099999999996</v>
      </c>
      <c r="I504" s="98" t="s">
        <v>208</v>
      </c>
      <c r="J504" s="49"/>
      <c r="K504" s="50"/>
      <c r="L504" s="45"/>
    </row>
    <row r="505" spans="2:12" x14ac:dyDescent="0.35">
      <c r="B505" s="129"/>
      <c r="C505" s="104"/>
      <c r="D505" s="105"/>
      <c r="E505" s="107"/>
      <c r="F505" s="60" t="s">
        <v>130</v>
      </c>
      <c r="G505" s="52" t="s">
        <v>311</v>
      </c>
      <c r="H505" s="94">
        <f>0.45*10*7.85*0.3*1.2</f>
        <v>12.716999999999997</v>
      </c>
      <c r="I505" s="98" t="s">
        <v>208</v>
      </c>
      <c r="J505" s="49"/>
      <c r="K505" s="50"/>
      <c r="L505" s="45"/>
    </row>
    <row r="506" spans="2:12" x14ac:dyDescent="0.35">
      <c r="B506" s="129"/>
      <c r="C506" s="104"/>
      <c r="D506" s="105"/>
      <c r="E506" s="107"/>
      <c r="F506" s="60" t="s">
        <v>130</v>
      </c>
      <c r="G506" s="52" t="s">
        <v>312</v>
      </c>
      <c r="H506" s="94">
        <f>0.45*10*7.85*0.3*1.2</f>
        <v>12.716999999999997</v>
      </c>
      <c r="I506" s="98" t="s">
        <v>208</v>
      </c>
      <c r="J506" s="49"/>
      <c r="K506" s="50"/>
      <c r="L506" s="45"/>
    </row>
    <row r="507" spans="2:12" x14ac:dyDescent="0.35">
      <c r="B507" s="129"/>
      <c r="C507" s="104"/>
      <c r="D507" s="105"/>
      <c r="E507" s="107"/>
      <c r="F507" s="60" t="s">
        <v>130</v>
      </c>
      <c r="G507" s="52" t="s">
        <v>313</v>
      </c>
      <c r="H507" s="94">
        <f>0.35*10*7.85*0.45*1.2</f>
        <v>14.836499999999999</v>
      </c>
      <c r="I507" s="98" t="s">
        <v>208</v>
      </c>
      <c r="J507" s="49"/>
      <c r="K507" s="50"/>
      <c r="L507" s="45"/>
    </row>
    <row r="508" spans="2:12" x14ac:dyDescent="0.35">
      <c r="B508" s="129"/>
      <c r="C508" s="104"/>
      <c r="D508" s="105"/>
      <c r="E508" s="107"/>
      <c r="F508" s="60" t="s">
        <v>130</v>
      </c>
      <c r="G508" s="52" t="s">
        <v>314</v>
      </c>
      <c r="H508" s="94">
        <f>0.9*0.07*10*7.85*1.2</f>
        <v>5.9346000000000005</v>
      </c>
      <c r="I508" s="98" t="s">
        <v>208</v>
      </c>
      <c r="J508" s="49"/>
      <c r="K508" s="50"/>
      <c r="L508" s="45"/>
    </row>
    <row r="509" spans="2:12" x14ac:dyDescent="0.35">
      <c r="B509" s="129"/>
      <c r="C509" s="104"/>
      <c r="D509" s="105"/>
      <c r="E509" s="107"/>
      <c r="F509" s="60" t="s">
        <v>130</v>
      </c>
      <c r="G509" s="52" t="s">
        <v>315</v>
      </c>
      <c r="H509" s="94">
        <f>0.4*0.3*10*7.85*1.2</f>
        <v>11.304</v>
      </c>
      <c r="I509" s="98" t="s">
        <v>208</v>
      </c>
      <c r="J509" s="49"/>
      <c r="K509" s="50"/>
      <c r="L509" s="45"/>
    </row>
    <row r="510" spans="2:12" x14ac:dyDescent="0.35">
      <c r="B510" s="129"/>
      <c r="C510" s="104"/>
      <c r="D510" s="105"/>
      <c r="E510" s="107"/>
      <c r="F510" s="60" t="s">
        <v>130</v>
      </c>
      <c r="G510" s="52" t="s">
        <v>316</v>
      </c>
      <c r="H510" s="94">
        <f>0.92*0.07*10*7.85*1.2</f>
        <v>6.0664800000000003</v>
      </c>
      <c r="I510" s="98" t="s">
        <v>208</v>
      </c>
      <c r="J510" s="49"/>
      <c r="K510" s="50"/>
      <c r="L510" s="45"/>
    </row>
    <row r="511" spans="2:12" x14ac:dyDescent="0.35">
      <c r="B511" s="129"/>
      <c r="C511" s="104"/>
      <c r="D511" s="105"/>
      <c r="E511" s="107"/>
      <c r="F511" s="60" t="s">
        <v>130</v>
      </c>
      <c r="G511" s="52" t="s">
        <v>317</v>
      </c>
      <c r="H511" s="94">
        <f>0.93*0.07*10*7.85*1.2</f>
        <v>6.1324200000000006</v>
      </c>
      <c r="I511" s="98" t="s">
        <v>208</v>
      </c>
      <c r="J511" s="49"/>
      <c r="K511" s="50"/>
      <c r="L511" s="45"/>
    </row>
    <row r="512" spans="2:12" x14ac:dyDescent="0.35">
      <c r="B512" s="129"/>
      <c r="C512" s="104"/>
      <c r="D512" s="105" t="s">
        <v>37</v>
      </c>
      <c r="E512" s="107"/>
      <c r="F512" s="60" t="s">
        <v>318</v>
      </c>
      <c r="G512" s="120"/>
      <c r="H512" s="107"/>
      <c r="I512" s="108"/>
      <c r="J512" s="49"/>
      <c r="K512" s="28"/>
      <c r="L512" s="51"/>
    </row>
    <row r="513" spans="2:12" x14ac:dyDescent="0.35">
      <c r="B513" s="129"/>
      <c r="C513" s="104"/>
      <c r="D513" s="105"/>
      <c r="E513" s="107"/>
      <c r="F513" s="60" t="s">
        <v>130</v>
      </c>
      <c r="G513" s="52" t="s">
        <v>319</v>
      </c>
      <c r="H513" s="94">
        <f>0.35*0.35*10*7.85*1.2</f>
        <v>11.539499999999999</v>
      </c>
      <c r="I513" s="98" t="s">
        <v>208</v>
      </c>
      <c r="J513" s="49"/>
      <c r="K513" s="50"/>
      <c r="L513" s="45"/>
    </row>
    <row r="514" spans="2:12" x14ac:dyDescent="0.35">
      <c r="B514" s="129"/>
      <c r="C514" s="104"/>
      <c r="D514" s="105"/>
      <c r="E514" s="107"/>
      <c r="F514" s="60" t="s">
        <v>130</v>
      </c>
      <c r="G514" s="52" t="s">
        <v>299</v>
      </c>
      <c r="H514" s="94">
        <f>0.45*0.08*10*7.85*1.2</f>
        <v>3.3912</v>
      </c>
      <c r="I514" s="98" t="s">
        <v>208</v>
      </c>
      <c r="J514" s="49"/>
      <c r="K514" s="50"/>
      <c r="L514" s="45"/>
    </row>
    <row r="515" spans="2:12" x14ac:dyDescent="0.35">
      <c r="B515" s="129"/>
      <c r="C515" s="104"/>
      <c r="D515" s="105"/>
      <c r="E515" s="107"/>
      <c r="F515" s="60" t="s">
        <v>130</v>
      </c>
      <c r="G515" s="52" t="s">
        <v>320</v>
      </c>
      <c r="H515" s="94">
        <f>0.4*10*7.85*0.3*1.2</f>
        <v>11.304</v>
      </c>
      <c r="I515" s="98" t="s">
        <v>208</v>
      </c>
      <c r="J515" s="49"/>
      <c r="K515" s="50"/>
      <c r="L515" s="45"/>
    </row>
    <row r="516" spans="2:12" x14ac:dyDescent="0.35">
      <c r="B516" s="129"/>
      <c r="C516" s="104"/>
      <c r="D516" s="105"/>
      <c r="E516" s="107"/>
      <c r="F516" s="60" t="s">
        <v>130</v>
      </c>
      <c r="G516" s="52" t="s">
        <v>321</v>
      </c>
      <c r="H516" s="94">
        <f>0.45*10*7.85*0.3*1.2</f>
        <v>12.716999999999997</v>
      </c>
      <c r="I516" s="98" t="s">
        <v>208</v>
      </c>
      <c r="J516" s="49"/>
      <c r="K516" s="50"/>
      <c r="L516" s="45"/>
    </row>
    <row r="517" spans="2:12" x14ac:dyDescent="0.35">
      <c r="B517" s="129"/>
      <c r="C517" s="104"/>
      <c r="D517" s="105"/>
      <c r="E517" s="107"/>
      <c r="F517" s="60" t="s">
        <v>130</v>
      </c>
      <c r="G517" s="52" t="s">
        <v>322</v>
      </c>
      <c r="H517" s="94">
        <f>0.69*0.09*10*7.85*1.2</f>
        <v>5.8498199999999994</v>
      </c>
      <c r="I517" s="98" t="s">
        <v>208</v>
      </c>
      <c r="J517" s="49"/>
      <c r="K517" s="50"/>
      <c r="L517" s="45"/>
    </row>
    <row r="518" spans="2:12" x14ac:dyDescent="0.35">
      <c r="B518" s="129"/>
      <c r="C518" s="104"/>
      <c r="D518" s="105"/>
      <c r="E518" s="107"/>
      <c r="F518" s="60" t="s">
        <v>130</v>
      </c>
      <c r="G518" s="52" t="s">
        <v>323</v>
      </c>
      <c r="H518" s="94">
        <f>0.4*10*7.85*0.5*1.2</f>
        <v>18.84</v>
      </c>
      <c r="I518" s="98" t="s">
        <v>208</v>
      </c>
      <c r="J518" s="49"/>
      <c r="K518" s="50"/>
      <c r="L518" s="45"/>
    </row>
    <row r="519" spans="2:12" x14ac:dyDescent="0.35">
      <c r="B519" s="129"/>
      <c r="C519" s="104"/>
      <c r="D519" s="105"/>
      <c r="E519" s="107"/>
      <c r="F519" s="60" t="s">
        <v>130</v>
      </c>
      <c r="G519" s="52" t="s">
        <v>324</v>
      </c>
      <c r="H519" s="94">
        <f>0.45*10*7.85*0.3*1.2</f>
        <v>12.716999999999997</v>
      </c>
      <c r="I519" s="98" t="s">
        <v>208</v>
      </c>
      <c r="J519" s="49"/>
      <c r="K519" s="50"/>
      <c r="L519" s="45"/>
    </row>
    <row r="520" spans="2:12" x14ac:dyDescent="0.35">
      <c r="B520" s="129"/>
      <c r="C520" s="104"/>
      <c r="D520" s="105"/>
      <c r="E520" s="107"/>
      <c r="F520" s="60" t="s">
        <v>130</v>
      </c>
      <c r="G520" s="52" t="s">
        <v>325</v>
      </c>
      <c r="H520" s="94">
        <f>0.35*10*7.85*0.29*1.2</f>
        <v>9.5612999999999975</v>
      </c>
      <c r="I520" s="98" t="s">
        <v>208</v>
      </c>
      <c r="J520" s="49"/>
      <c r="K520" s="50"/>
      <c r="L520" s="45"/>
    </row>
    <row r="521" spans="2:12" x14ac:dyDescent="0.35">
      <c r="B521" s="129"/>
      <c r="C521" s="104"/>
      <c r="D521" s="105"/>
      <c r="E521" s="107"/>
      <c r="F521" s="60" t="s">
        <v>130</v>
      </c>
      <c r="G521" s="52" t="s">
        <v>326</v>
      </c>
      <c r="H521" s="94">
        <f>0.45*10*7.85*0.97*1.2</f>
        <v>41.118299999999991</v>
      </c>
      <c r="I521" s="98" t="s">
        <v>208</v>
      </c>
      <c r="J521" s="49"/>
      <c r="K521" s="50"/>
      <c r="L521" s="45"/>
    </row>
    <row r="522" spans="2:12" x14ac:dyDescent="0.35">
      <c r="B522" s="129"/>
      <c r="C522" s="104"/>
      <c r="D522" s="105"/>
      <c r="E522" s="107"/>
      <c r="F522" s="60" t="s">
        <v>130</v>
      </c>
      <c r="G522" s="52" t="s">
        <v>327</v>
      </c>
      <c r="H522" s="94">
        <f>0.45*10*7.85*0.98*1.2</f>
        <v>41.542199999999994</v>
      </c>
      <c r="I522" s="98" t="s">
        <v>208</v>
      </c>
      <c r="J522" s="49"/>
      <c r="K522" s="50"/>
      <c r="L522" s="45"/>
    </row>
    <row r="523" spans="2:12" x14ac:dyDescent="0.35">
      <c r="B523" s="129"/>
      <c r="C523" s="104"/>
      <c r="D523" s="105"/>
      <c r="E523" s="107"/>
      <c r="F523" s="60" t="s">
        <v>130</v>
      </c>
      <c r="G523" s="52" t="s">
        <v>328</v>
      </c>
      <c r="H523" s="94">
        <f>0.45*10*7.85*0.44*1.2</f>
        <v>18.651599999999995</v>
      </c>
      <c r="I523" s="98" t="s">
        <v>208</v>
      </c>
      <c r="J523" s="49"/>
      <c r="K523" s="50"/>
      <c r="L523" s="45"/>
    </row>
    <row r="524" spans="2:12" x14ac:dyDescent="0.35">
      <c r="B524" s="129"/>
      <c r="C524" s="104"/>
      <c r="D524" s="105"/>
      <c r="E524" s="107"/>
      <c r="F524" s="60" t="s">
        <v>130</v>
      </c>
      <c r="G524" s="52" t="s">
        <v>329</v>
      </c>
      <c r="H524" s="94">
        <f>0.4*10*7.85*0.3*1.2</f>
        <v>11.304</v>
      </c>
      <c r="I524" s="98" t="s">
        <v>208</v>
      </c>
      <c r="J524" s="49"/>
      <c r="K524" s="50"/>
      <c r="L524" s="45"/>
    </row>
    <row r="525" spans="2:12" x14ac:dyDescent="0.35">
      <c r="B525" s="129"/>
      <c r="C525" s="104"/>
      <c r="D525" s="105"/>
      <c r="E525" s="107"/>
      <c r="F525" s="60" t="s">
        <v>130</v>
      </c>
      <c r="G525" s="52" t="s">
        <v>330</v>
      </c>
      <c r="H525" s="94">
        <f>0.45*10*7.85*0.35*1.2</f>
        <v>14.836499999999997</v>
      </c>
      <c r="I525" s="98" t="s">
        <v>208</v>
      </c>
      <c r="J525" s="49"/>
      <c r="K525" s="50"/>
      <c r="L525" s="45"/>
    </row>
    <row r="526" spans="2:12" x14ac:dyDescent="0.35">
      <c r="B526" s="129"/>
      <c r="C526" s="104"/>
      <c r="D526" s="105"/>
      <c r="E526" s="107"/>
      <c r="F526" s="60" t="s">
        <v>130</v>
      </c>
      <c r="G526" s="52" t="s">
        <v>331</v>
      </c>
      <c r="H526" s="94">
        <f>0.45*10*7.85*0.36*1.2</f>
        <v>15.260399999999997</v>
      </c>
      <c r="I526" s="98" t="s">
        <v>208</v>
      </c>
      <c r="J526" s="49"/>
      <c r="K526" s="50"/>
      <c r="L526" s="45"/>
    </row>
    <row r="527" spans="2:12" x14ac:dyDescent="0.35">
      <c r="B527" s="129"/>
      <c r="C527" s="104"/>
      <c r="D527" s="105"/>
      <c r="E527" s="107"/>
      <c r="F527" s="60" t="s">
        <v>130</v>
      </c>
      <c r="G527" s="52" t="s">
        <v>332</v>
      </c>
      <c r="H527" s="94">
        <f>0.5*10*7.85*0.3*1.2</f>
        <v>14.13</v>
      </c>
      <c r="I527" s="98" t="s">
        <v>208</v>
      </c>
      <c r="J527" s="49"/>
      <c r="K527" s="50"/>
      <c r="L527" s="45"/>
    </row>
    <row r="528" spans="2:12" x14ac:dyDescent="0.35">
      <c r="B528" s="129"/>
      <c r="C528" s="104"/>
      <c r="D528" s="105"/>
      <c r="E528" s="107"/>
      <c r="F528" s="60" t="s">
        <v>130</v>
      </c>
      <c r="G528" s="52" t="s">
        <v>333</v>
      </c>
      <c r="H528" s="94">
        <f>0.39*0.35*10*7.85*1.2</f>
        <v>12.858299999999996</v>
      </c>
      <c r="I528" s="98" t="s">
        <v>208</v>
      </c>
      <c r="J528" s="49"/>
      <c r="K528" s="50"/>
      <c r="L528" s="45"/>
    </row>
    <row r="529" spans="2:12" x14ac:dyDescent="0.35">
      <c r="B529" s="129"/>
      <c r="C529" s="104"/>
      <c r="D529" s="105"/>
      <c r="E529" s="107"/>
      <c r="F529" s="60" t="s">
        <v>130</v>
      </c>
      <c r="G529" s="52" t="s">
        <v>334</v>
      </c>
      <c r="H529" s="94">
        <f>0.91*0.07*10*7.85*1.2</f>
        <v>6.00054</v>
      </c>
      <c r="I529" s="98" t="s">
        <v>208</v>
      </c>
      <c r="J529" s="49"/>
      <c r="K529" s="50"/>
      <c r="L529" s="45"/>
    </row>
    <row r="530" spans="2:12" x14ac:dyDescent="0.35">
      <c r="B530" s="129"/>
      <c r="C530" s="104"/>
      <c r="D530" s="105"/>
      <c r="E530" s="107"/>
      <c r="F530" s="60" t="s">
        <v>130</v>
      </c>
      <c r="G530" s="52" t="s">
        <v>335</v>
      </c>
      <c r="H530" s="94">
        <f>0.4*0.31*10*7.85*1.2</f>
        <v>11.6808</v>
      </c>
      <c r="I530" s="98" t="s">
        <v>208</v>
      </c>
      <c r="J530" s="49"/>
      <c r="K530" s="50"/>
      <c r="L530" s="45"/>
    </row>
    <row r="531" spans="2:12" x14ac:dyDescent="0.35">
      <c r="B531" s="129"/>
      <c r="C531" s="104"/>
      <c r="D531" s="105"/>
      <c r="E531" s="107"/>
      <c r="F531" s="60" t="s">
        <v>130</v>
      </c>
      <c r="G531" s="52" t="s">
        <v>336</v>
      </c>
      <c r="H531" s="94">
        <f>0.89*0.07*10*7.85*1.2</f>
        <v>5.8686600000000011</v>
      </c>
      <c r="I531" s="98" t="s">
        <v>208</v>
      </c>
      <c r="J531" s="49"/>
      <c r="K531" s="50"/>
      <c r="L531" s="45"/>
    </row>
    <row r="532" spans="2:12" x14ac:dyDescent="0.35">
      <c r="B532" s="129"/>
      <c r="C532" s="104"/>
      <c r="D532" s="105"/>
      <c r="E532" s="107"/>
      <c r="F532" s="60" t="s">
        <v>130</v>
      </c>
      <c r="G532" s="52" t="s">
        <v>337</v>
      </c>
      <c r="H532" s="94">
        <f>0.4*10*7.85*0.45*1.2</f>
        <v>16.956</v>
      </c>
      <c r="I532" s="98" t="s">
        <v>208</v>
      </c>
      <c r="J532" s="49"/>
      <c r="K532" s="50"/>
      <c r="L532" s="45"/>
    </row>
    <row r="533" spans="2:12" x14ac:dyDescent="0.35">
      <c r="B533" s="129"/>
      <c r="C533" s="104"/>
      <c r="D533" s="105"/>
      <c r="E533" s="107"/>
      <c r="F533" s="60" t="s">
        <v>130</v>
      </c>
      <c r="G533" s="52" t="s">
        <v>338</v>
      </c>
      <c r="H533" s="94">
        <f>0.4*10*7.85*0.46*1.2</f>
        <v>17.332799999999999</v>
      </c>
      <c r="I533" s="98" t="s">
        <v>208</v>
      </c>
      <c r="J533" s="49"/>
      <c r="K533" s="50"/>
      <c r="L533" s="45"/>
    </row>
    <row r="534" spans="2:12" x14ac:dyDescent="0.35">
      <c r="B534" s="129"/>
      <c r="C534" s="104"/>
      <c r="D534" s="105"/>
      <c r="E534" s="107"/>
      <c r="F534" s="60" t="s">
        <v>130</v>
      </c>
      <c r="G534" s="52" t="s">
        <v>339</v>
      </c>
      <c r="H534" s="94">
        <f>0.41*0.32*10*7.85*1.2</f>
        <v>12.359039999999998</v>
      </c>
      <c r="I534" s="98" t="s">
        <v>208</v>
      </c>
      <c r="J534" s="49"/>
      <c r="K534" s="50"/>
      <c r="L534" s="45"/>
    </row>
    <row r="535" spans="2:12" x14ac:dyDescent="0.35">
      <c r="B535" s="129"/>
      <c r="C535" s="104"/>
      <c r="D535" s="105"/>
      <c r="E535" s="107"/>
      <c r="F535" s="60" t="s">
        <v>130</v>
      </c>
      <c r="G535" s="52" t="s">
        <v>340</v>
      </c>
      <c r="H535" s="94">
        <f>0.94*0.07*10*7.85*1.2</f>
        <v>6.1983599999999992</v>
      </c>
      <c r="I535" s="98" t="s">
        <v>208</v>
      </c>
      <c r="J535" s="49"/>
      <c r="K535" s="50"/>
      <c r="L535" s="45"/>
    </row>
    <row r="536" spans="2:12" x14ac:dyDescent="0.35">
      <c r="B536" s="129"/>
      <c r="C536" s="104"/>
      <c r="D536" s="105" t="s">
        <v>39</v>
      </c>
      <c r="E536" s="107"/>
      <c r="F536" s="60" t="s">
        <v>341</v>
      </c>
      <c r="G536" s="120"/>
      <c r="H536" s="107"/>
      <c r="I536" s="108"/>
      <c r="J536" s="49"/>
      <c r="K536" s="28"/>
      <c r="L536" s="51"/>
    </row>
    <row r="537" spans="2:12" x14ac:dyDescent="0.35">
      <c r="B537" s="129"/>
      <c r="C537" s="104"/>
      <c r="D537" s="105"/>
      <c r="E537" s="107"/>
      <c r="F537" s="60" t="s">
        <v>130</v>
      </c>
      <c r="G537" s="52" t="s">
        <v>342</v>
      </c>
      <c r="H537" s="94">
        <f>0.4*10*7.85*0.3*1.2</f>
        <v>11.304</v>
      </c>
      <c r="I537" s="98" t="s">
        <v>208</v>
      </c>
      <c r="J537" s="49"/>
      <c r="K537" s="50"/>
      <c r="L537" s="45"/>
    </row>
    <row r="538" spans="2:12" x14ac:dyDescent="0.35">
      <c r="B538" s="129"/>
      <c r="C538" s="104"/>
      <c r="D538" s="105"/>
      <c r="E538" s="107"/>
      <c r="F538" s="60" t="s">
        <v>130</v>
      </c>
      <c r="G538" s="52" t="s">
        <v>343</v>
      </c>
      <c r="H538" s="94">
        <f>0.4*10*7.85*0.32*1.2</f>
        <v>12.057599999999999</v>
      </c>
      <c r="I538" s="98" t="s">
        <v>208</v>
      </c>
      <c r="J538" s="49"/>
      <c r="K538" s="50"/>
      <c r="L538" s="45"/>
    </row>
    <row r="539" spans="2:12" x14ac:dyDescent="0.35">
      <c r="B539" s="129"/>
      <c r="C539" s="104"/>
      <c r="D539" s="105"/>
      <c r="E539" s="107"/>
      <c r="F539" s="60" t="s">
        <v>130</v>
      </c>
      <c r="G539" s="52" t="s">
        <v>344</v>
      </c>
      <c r="H539" s="94">
        <f>0.4*10*7.85*0.35*1.2</f>
        <v>13.187999999999997</v>
      </c>
      <c r="I539" s="98" t="s">
        <v>208</v>
      </c>
      <c r="J539" s="49"/>
      <c r="K539" s="50"/>
      <c r="L539" s="45"/>
    </row>
    <row r="540" spans="2:12" x14ac:dyDescent="0.35">
      <c r="B540" s="46"/>
      <c r="C540" s="47"/>
      <c r="D540" s="23"/>
      <c r="G540" s="21"/>
      <c r="I540" s="21"/>
      <c r="J540" s="49"/>
      <c r="K540" s="28"/>
      <c r="L540" s="51"/>
    </row>
    <row r="541" spans="2:12" x14ac:dyDescent="0.35">
      <c r="B541" s="224"/>
      <c r="C541" s="47"/>
      <c r="D541" s="23"/>
      <c r="G541" s="21"/>
      <c r="I541" s="21"/>
      <c r="J541" s="49"/>
      <c r="K541" s="28"/>
      <c r="L541" s="51"/>
    </row>
    <row r="542" spans="2:12" x14ac:dyDescent="0.35">
      <c r="B542" s="8"/>
      <c r="C542" s="9"/>
      <c r="D542" s="10"/>
      <c r="E542" s="4"/>
      <c r="F542" s="4"/>
      <c r="G542" s="4"/>
      <c r="H542" s="1"/>
      <c r="I542" s="1"/>
      <c r="J542" s="11" t="s">
        <v>8</v>
      </c>
      <c r="K542" s="7">
        <f>SUM(K489:K541)</f>
        <v>0</v>
      </c>
      <c r="L542" s="7">
        <f>SUM(L489:L541)</f>
        <v>0</v>
      </c>
    </row>
    <row r="543" spans="2:12" x14ac:dyDescent="0.35">
      <c r="B543" s="8"/>
      <c r="C543" s="9"/>
      <c r="D543" s="9"/>
      <c r="E543" s="4"/>
      <c r="F543" s="4"/>
      <c r="G543" s="4"/>
      <c r="H543" s="1"/>
      <c r="I543" s="1"/>
      <c r="J543" s="11"/>
      <c r="K543" s="34" t="s">
        <v>13</v>
      </c>
      <c r="L543" s="35" t="s">
        <v>14</v>
      </c>
    </row>
    <row r="544" spans="2:12" x14ac:dyDescent="0.35">
      <c r="B544" s="3" t="s">
        <v>9</v>
      </c>
      <c r="C544" s="4"/>
      <c r="D544" s="4"/>
      <c r="E544" s="4"/>
      <c r="F544" s="4"/>
      <c r="G544" s="4"/>
      <c r="H544" s="1"/>
      <c r="I544" s="1"/>
      <c r="J544" s="12"/>
      <c r="K544" s="12"/>
      <c r="L544" s="13"/>
    </row>
    <row r="545" spans="2:12" x14ac:dyDescent="0.35">
      <c r="B545" s="36"/>
      <c r="C545" s="1"/>
      <c r="D545" s="1"/>
      <c r="E545" s="37"/>
      <c r="F545" s="37"/>
      <c r="G545" s="37"/>
      <c r="H545" s="1"/>
      <c r="I545" s="1"/>
      <c r="J545" s="1"/>
      <c r="K545" s="1"/>
      <c r="L545" s="18"/>
    </row>
    <row r="546" spans="2:12" x14ac:dyDescent="0.35">
      <c r="B546" s="27" t="s">
        <v>6</v>
      </c>
      <c r="C546" s="26"/>
      <c r="D546" s="26"/>
      <c r="E546" s="25"/>
      <c r="F546" s="25"/>
      <c r="G546" s="5"/>
      <c r="K546" s="232" t="s">
        <v>813</v>
      </c>
      <c r="L546" s="233"/>
    </row>
    <row r="547" spans="2:12" x14ac:dyDescent="0.35">
      <c r="B547" s="27">
        <v>1</v>
      </c>
      <c r="C547" s="26"/>
      <c r="D547" s="26"/>
      <c r="E547" s="25" t="s">
        <v>7</v>
      </c>
      <c r="F547" s="25"/>
      <c r="G547" s="5"/>
      <c r="K547" s="232" t="s">
        <v>18</v>
      </c>
      <c r="L547" s="233"/>
    </row>
    <row r="548" spans="2:12" x14ac:dyDescent="0.35">
      <c r="B548" s="38"/>
      <c r="C548" s="26"/>
      <c r="D548" s="26"/>
      <c r="E548" s="25"/>
      <c r="F548" s="25"/>
      <c r="G548" s="5"/>
      <c r="J548" s="24"/>
      <c r="K548" s="24"/>
      <c r="L548" s="23"/>
    </row>
    <row r="549" spans="2:12" x14ac:dyDescent="0.35">
      <c r="B549" s="27"/>
      <c r="C549" s="26"/>
      <c r="D549" s="26"/>
      <c r="E549" s="25"/>
      <c r="F549" s="25"/>
      <c r="G549" s="5"/>
      <c r="L549" s="21"/>
    </row>
    <row r="550" spans="2:12" x14ac:dyDescent="0.35">
      <c r="B550" s="44"/>
      <c r="E550" s="5"/>
      <c r="F550" s="5"/>
      <c r="G550" s="5"/>
      <c r="L550" s="21"/>
    </row>
    <row r="551" spans="2:12" x14ac:dyDescent="0.35">
      <c r="B551" s="44"/>
      <c r="E551" s="5"/>
      <c r="F551" s="5"/>
      <c r="G551" s="5"/>
      <c r="L551" s="21"/>
    </row>
    <row r="552" spans="2:12" x14ac:dyDescent="0.35">
      <c r="B552" s="44"/>
      <c r="E552" s="5"/>
      <c r="F552" s="5"/>
      <c r="G552" s="5"/>
      <c r="L552" s="21"/>
    </row>
    <row r="553" spans="2:12" x14ac:dyDescent="0.35">
      <c r="B553" s="44"/>
      <c r="E553" s="5"/>
      <c r="F553" s="5"/>
      <c r="G553" s="5"/>
      <c r="J553" s="39"/>
      <c r="K553" s="234" t="s">
        <v>26</v>
      </c>
      <c r="L553" s="235"/>
    </row>
    <row r="554" spans="2:12" x14ac:dyDescent="0.35">
      <c r="B554" s="44"/>
      <c r="K554" s="236" t="s">
        <v>27</v>
      </c>
      <c r="L554" s="237"/>
    </row>
    <row r="555" spans="2:12" x14ac:dyDescent="0.35">
      <c r="B555" s="238"/>
      <c r="C555" s="239"/>
      <c r="D555" s="239"/>
      <c r="E555" s="40"/>
      <c r="F555" s="40"/>
      <c r="G555" s="40"/>
      <c r="H555" s="2"/>
      <c r="I555" s="2"/>
      <c r="J555" s="2"/>
      <c r="K555" s="2"/>
      <c r="L555" s="20"/>
    </row>
    <row r="556" spans="2:12" x14ac:dyDescent="0.35">
      <c r="B556" s="222"/>
      <c r="C556" s="47"/>
      <c r="D556" s="48"/>
      <c r="G556" s="21"/>
      <c r="H556" s="1"/>
      <c r="I556" s="1"/>
      <c r="J556" s="42"/>
      <c r="K556" s="29"/>
      <c r="L556" s="43"/>
    </row>
    <row r="557" spans="2:12" x14ac:dyDescent="0.35">
      <c r="B557" s="129"/>
      <c r="C557" s="104"/>
      <c r="D557" s="105" t="s">
        <v>41</v>
      </c>
      <c r="E557" s="107"/>
      <c r="F557" s="60" t="s">
        <v>345</v>
      </c>
      <c r="G557" s="120"/>
      <c r="H557" s="107"/>
      <c r="I557" s="108"/>
      <c r="J557" s="28"/>
      <c r="K557" s="50"/>
      <c r="L557" s="45"/>
    </row>
    <row r="558" spans="2:12" x14ac:dyDescent="0.35">
      <c r="B558" s="129"/>
      <c r="C558" s="104"/>
      <c r="D558" s="105"/>
      <c r="E558" s="107"/>
      <c r="F558" s="60" t="s">
        <v>130</v>
      </c>
      <c r="G558" s="52" t="s">
        <v>342</v>
      </c>
      <c r="H558" s="94">
        <f>0.4*10*7.85*0.3*1.2</f>
        <v>11.304</v>
      </c>
      <c r="I558" s="98" t="s">
        <v>208</v>
      </c>
      <c r="J558" s="49"/>
      <c r="K558" s="50"/>
      <c r="L558" s="45"/>
    </row>
    <row r="559" spans="2:12" x14ac:dyDescent="0.35">
      <c r="B559" s="129"/>
      <c r="C559" s="104"/>
      <c r="D559" s="105"/>
      <c r="E559" s="107"/>
      <c r="F559" s="60" t="s">
        <v>130</v>
      </c>
      <c r="G559" s="52" t="s">
        <v>343</v>
      </c>
      <c r="H559" s="94">
        <f>0.4*10*7.85*0.32*1.2</f>
        <v>12.057599999999999</v>
      </c>
      <c r="I559" s="98" t="s">
        <v>208</v>
      </c>
      <c r="J559" s="49"/>
      <c r="K559" s="50"/>
      <c r="L559" s="45"/>
    </row>
    <row r="560" spans="2:12" x14ac:dyDescent="0.35">
      <c r="B560" s="129"/>
      <c r="C560" s="104"/>
      <c r="D560" s="105"/>
      <c r="E560" s="107"/>
      <c r="F560" s="60" t="s">
        <v>130</v>
      </c>
      <c r="G560" s="52" t="s">
        <v>344</v>
      </c>
      <c r="H560" s="94">
        <f>0.4*10*7.85*0.35*1.2</f>
        <v>13.187999999999997</v>
      </c>
      <c r="I560" s="98" t="s">
        <v>208</v>
      </c>
      <c r="J560" s="49"/>
      <c r="K560" s="50"/>
      <c r="L560" s="45"/>
    </row>
    <row r="561" spans="2:12" x14ac:dyDescent="0.35">
      <c r="B561" s="129"/>
      <c r="C561" s="104"/>
      <c r="D561" s="105" t="s">
        <v>44</v>
      </c>
      <c r="E561" s="107"/>
      <c r="F561" s="60" t="s">
        <v>346</v>
      </c>
      <c r="G561" s="120"/>
      <c r="H561" s="107"/>
      <c r="I561" s="108"/>
      <c r="J561" s="49"/>
      <c r="K561" s="28"/>
      <c r="L561" s="51"/>
    </row>
    <row r="562" spans="2:12" x14ac:dyDescent="0.35">
      <c r="B562" s="129"/>
      <c r="C562" s="104"/>
      <c r="D562" s="105"/>
      <c r="E562" s="107"/>
      <c r="F562" s="60" t="s">
        <v>130</v>
      </c>
      <c r="G562" s="52" t="s">
        <v>347</v>
      </c>
      <c r="H562" s="94">
        <f>0.006165*19.05*19.05*0.21*1.2*33</f>
        <v>18.605336176350001</v>
      </c>
      <c r="I562" s="98" t="s">
        <v>208</v>
      </c>
      <c r="J562" s="49"/>
      <c r="K562" s="50"/>
      <c r="L562" s="45"/>
    </row>
    <row r="563" spans="2:12" x14ac:dyDescent="0.35">
      <c r="B563" s="129"/>
      <c r="C563" s="104" t="s">
        <v>348</v>
      </c>
      <c r="D563" s="105"/>
      <c r="E563" s="107"/>
      <c r="F563" s="60" t="s">
        <v>349</v>
      </c>
      <c r="G563" s="52"/>
      <c r="H563" s="102"/>
      <c r="I563" s="98"/>
      <c r="J563" s="49"/>
      <c r="K563" s="28"/>
      <c r="L563" s="51"/>
    </row>
    <row r="564" spans="2:12" x14ac:dyDescent="0.35">
      <c r="B564" s="129"/>
      <c r="C564" s="104"/>
      <c r="D564" s="105" t="s">
        <v>34</v>
      </c>
      <c r="E564" s="107"/>
      <c r="F564" s="60" t="s">
        <v>350</v>
      </c>
      <c r="G564" s="120"/>
      <c r="H564" s="107"/>
      <c r="I564" s="108"/>
      <c r="J564" s="49"/>
      <c r="K564" s="28"/>
      <c r="L564" s="51"/>
    </row>
    <row r="565" spans="2:12" x14ac:dyDescent="0.35">
      <c r="B565" s="129"/>
      <c r="C565" s="104"/>
      <c r="D565" s="105"/>
      <c r="E565" s="107"/>
      <c r="F565" s="60" t="s">
        <v>130</v>
      </c>
      <c r="G565" s="52" t="s">
        <v>351</v>
      </c>
      <c r="H565" s="102">
        <v>1</v>
      </c>
      <c r="I565" s="98" t="s">
        <v>36</v>
      </c>
      <c r="J565" s="202"/>
      <c r="K565" s="50"/>
      <c r="L565" s="45"/>
    </row>
    <row r="566" spans="2:12" x14ac:dyDescent="0.35">
      <c r="B566" s="129"/>
      <c r="C566" s="104"/>
      <c r="D566" s="105" t="s">
        <v>37</v>
      </c>
      <c r="E566" s="107"/>
      <c r="F566" s="60" t="s">
        <v>352</v>
      </c>
      <c r="G566" s="120"/>
      <c r="H566" s="107"/>
      <c r="I566" s="108"/>
      <c r="J566" s="49"/>
      <c r="K566" s="28"/>
      <c r="L566" s="51"/>
    </row>
    <row r="567" spans="2:12" x14ac:dyDescent="0.35">
      <c r="B567" s="129"/>
      <c r="C567" s="104"/>
      <c r="D567" s="105"/>
      <c r="E567" s="107"/>
      <c r="F567" s="60" t="s">
        <v>130</v>
      </c>
      <c r="G567" s="52" t="s">
        <v>353</v>
      </c>
      <c r="H567" s="94">
        <f>0.36*0.4*10*7.85*1.2</f>
        <v>13.564799999999998</v>
      </c>
      <c r="I567" s="98" t="s">
        <v>208</v>
      </c>
      <c r="J567" s="49"/>
      <c r="K567" s="50"/>
      <c r="L567" s="45"/>
    </row>
    <row r="568" spans="2:12" x14ac:dyDescent="0.35">
      <c r="B568" s="129"/>
      <c r="C568" s="104" t="s">
        <v>354</v>
      </c>
      <c r="D568" s="105"/>
      <c r="E568" s="107"/>
      <c r="F568" s="60" t="s">
        <v>355</v>
      </c>
      <c r="G568" s="52"/>
      <c r="H568" s="102"/>
      <c r="I568" s="98"/>
      <c r="J568" s="49"/>
      <c r="K568" s="28"/>
      <c r="L568" s="51"/>
    </row>
    <row r="569" spans="2:12" x14ac:dyDescent="0.35">
      <c r="B569" s="129"/>
      <c r="C569" s="104"/>
      <c r="D569" s="105" t="s">
        <v>34</v>
      </c>
      <c r="E569" s="107"/>
      <c r="F569" s="60" t="s">
        <v>356</v>
      </c>
      <c r="G569" s="120"/>
      <c r="H569" s="107">
        <v>6</v>
      </c>
      <c r="I569" s="108" t="s">
        <v>160</v>
      </c>
      <c r="J569" s="49"/>
      <c r="K569" s="28"/>
      <c r="L569" s="51"/>
    </row>
    <row r="570" spans="2:12" s="33" customFormat="1" x14ac:dyDescent="0.35">
      <c r="B570" s="129"/>
      <c r="C570" s="104"/>
      <c r="D570" s="105"/>
      <c r="E570" s="107"/>
      <c r="F570" s="60" t="s">
        <v>130</v>
      </c>
      <c r="G570" s="52" t="s">
        <v>357</v>
      </c>
      <c r="H570" s="102">
        <f>230+240+430</f>
        <v>900</v>
      </c>
      <c r="I570" s="98" t="s">
        <v>141</v>
      </c>
      <c r="J570" s="28"/>
      <c r="K570" s="28"/>
      <c r="L570" s="51"/>
    </row>
    <row r="571" spans="2:12" x14ac:dyDescent="0.35">
      <c r="B571" s="158"/>
      <c r="C571" s="104"/>
      <c r="D571" s="105"/>
      <c r="E571" s="107"/>
      <c r="F571" s="119"/>
      <c r="G571" s="120"/>
      <c r="H571" s="128"/>
      <c r="I571" s="122"/>
      <c r="J571" s="49"/>
      <c r="K571" s="28"/>
      <c r="L571" s="51"/>
    </row>
    <row r="572" spans="2:12" x14ac:dyDescent="0.35">
      <c r="B572" s="82"/>
      <c r="C572" s="62"/>
      <c r="D572" s="68"/>
      <c r="E572" s="91" t="s">
        <v>358</v>
      </c>
      <c r="F572" s="92"/>
      <c r="G572" s="93"/>
      <c r="H572" s="94"/>
      <c r="I572" s="95"/>
      <c r="J572" s="49"/>
      <c r="K572" s="28"/>
      <c r="L572" s="51"/>
    </row>
    <row r="573" spans="2:12" x14ac:dyDescent="0.35">
      <c r="B573" s="82" t="s">
        <v>33</v>
      </c>
      <c r="C573" s="62"/>
      <c r="D573" s="68"/>
      <c r="E573" s="96" t="s">
        <v>359</v>
      </c>
      <c r="F573" s="60"/>
      <c r="G573" s="52"/>
      <c r="H573" s="94"/>
      <c r="I573" s="98"/>
      <c r="J573" s="49"/>
      <c r="K573" s="28"/>
      <c r="L573" s="51"/>
    </row>
    <row r="574" spans="2:12" x14ac:dyDescent="0.35">
      <c r="B574" s="82"/>
      <c r="C574" s="62" t="s">
        <v>138</v>
      </c>
      <c r="D574" s="68"/>
      <c r="E574" s="96"/>
      <c r="F574" s="60" t="s">
        <v>360</v>
      </c>
      <c r="G574" s="52"/>
      <c r="H574" s="94"/>
      <c r="I574" s="98"/>
      <c r="J574" s="49"/>
      <c r="K574" s="28"/>
      <c r="L574" s="51"/>
    </row>
    <row r="575" spans="2:12" x14ac:dyDescent="0.35">
      <c r="B575" s="82"/>
      <c r="C575" s="62"/>
      <c r="D575" s="68" t="s">
        <v>34</v>
      </c>
      <c r="E575" s="96"/>
      <c r="F575" s="60" t="s">
        <v>361</v>
      </c>
      <c r="G575" s="52"/>
      <c r="H575" s="94"/>
      <c r="I575" s="98"/>
      <c r="J575" s="49"/>
      <c r="K575" s="28"/>
      <c r="L575" s="51"/>
    </row>
    <row r="576" spans="2:12" x14ac:dyDescent="0.35">
      <c r="B576" s="82"/>
      <c r="C576" s="62"/>
      <c r="D576" s="68"/>
      <c r="E576" s="96"/>
      <c r="F576" s="60" t="s">
        <v>130</v>
      </c>
      <c r="G576" s="52" t="s">
        <v>362</v>
      </c>
      <c r="H576" s="94">
        <f>1.49*0.25*50*7.85*1.2</f>
        <v>175.44749999999996</v>
      </c>
      <c r="I576" s="98" t="s">
        <v>208</v>
      </c>
      <c r="J576" s="202"/>
      <c r="K576" s="50"/>
      <c r="L576" s="45"/>
    </row>
    <row r="577" spans="2:12" x14ac:dyDescent="0.35">
      <c r="B577" s="82"/>
      <c r="C577" s="62"/>
      <c r="D577" s="68"/>
      <c r="E577" s="96"/>
      <c r="F577" s="60" t="s">
        <v>130</v>
      </c>
      <c r="G577" s="52" t="s">
        <v>363</v>
      </c>
      <c r="H577" s="102">
        <v>1</v>
      </c>
      <c r="I577" s="98" t="s">
        <v>36</v>
      </c>
      <c r="J577" s="202"/>
      <c r="K577" s="50"/>
      <c r="L577" s="45"/>
    </row>
    <row r="578" spans="2:12" x14ac:dyDescent="0.35">
      <c r="B578" s="96" t="s">
        <v>70</v>
      </c>
      <c r="C578" s="68"/>
      <c r="D578" s="68"/>
      <c r="E578" s="129" t="s">
        <v>364</v>
      </c>
      <c r="F578" s="60"/>
      <c r="G578" s="98"/>
      <c r="H578" s="60"/>
      <c r="I578" s="98"/>
      <c r="J578" s="49"/>
      <c r="K578" s="28"/>
      <c r="L578" s="51"/>
    </row>
    <row r="579" spans="2:12" x14ac:dyDescent="0.35">
      <c r="B579" s="96"/>
      <c r="C579" s="68" t="s">
        <v>157</v>
      </c>
      <c r="D579" s="64"/>
      <c r="E579" s="99"/>
      <c r="F579" s="60" t="s">
        <v>11</v>
      </c>
      <c r="G579" s="98"/>
      <c r="H579" s="60"/>
      <c r="I579" s="98"/>
      <c r="J579" s="49"/>
      <c r="K579" s="28"/>
      <c r="L579" s="51"/>
    </row>
    <row r="580" spans="2:12" x14ac:dyDescent="0.35">
      <c r="B580" s="103"/>
      <c r="C580" s="68"/>
      <c r="D580" s="100" t="s">
        <v>34</v>
      </c>
      <c r="E580" s="101"/>
      <c r="F580" s="60" t="s">
        <v>365</v>
      </c>
      <c r="G580" s="98"/>
      <c r="H580" s="102"/>
      <c r="I580" s="98"/>
      <c r="J580" s="49"/>
      <c r="K580" s="28"/>
      <c r="L580" s="51"/>
    </row>
    <row r="581" spans="2:12" x14ac:dyDescent="0.35">
      <c r="B581" s="103"/>
      <c r="C581" s="68"/>
      <c r="D581" s="100"/>
      <c r="E581" s="60"/>
      <c r="F581" s="101" t="s">
        <v>130</v>
      </c>
      <c r="G581" s="52" t="s">
        <v>366</v>
      </c>
      <c r="H581" s="94">
        <f>7.2*0.9*12*7.85</f>
        <v>610.41600000000005</v>
      </c>
      <c r="I581" s="98" t="s">
        <v>208</v>
      </c>
      <c r="J581" s="202"/>
      <c r="K581" s="50"/>
      <c r="L581" s="45"/>
    </row>
    <row r="582" spans="2:12" x14ac:dyDescent="0.35">
      <c r="B582" s="103"/>
      <c r="C582" s="68"/>
      <c r="D582" s="100" t="s">
        <v>37</v>
      </c>
      <c r="E582" s="101"/>
      <c r="F582" s="60" t="s">
        <v>367</v>
      </c>
      <c r="G582" s="98"/>
      <c r="H582" s="102"/>
      <c r="I582" s="98"/>
      <c r="J582" s="49"/>
      <c r="K582" s="28"/>
      <c r="L582" s="51"/>
    </row>
    <row r="583" spans="2:12" x14ac:dyDescent="0.35">
      <c r="B583" s="103"/>
      <c r="C583" s="68"/>
      <c r="D583" s="100"/>
      <c r="E583" s="60"/>
      <c r="F583" s="101" t="s">
        <v>130</v>
      </c>
      <c r="G583" s="52" t="s">
        <v>368</v>
      </c>
      <c r="H583" s="94">
        <f>9.95*1.53*10*7.85</f>
        <v>1195.0447499999998</v>
      </c>
      <c r="I583" s="98" t="s">
        <v>208</v>
      </c>
      <c r="J583" s="202"/>
      <c r="K583" s="50"/>
      <c r="L583" s="45"/>
    </row>
    <row r="584" spans="2:12" x14ac:dyDescent="0.35">
      <c r="B584" s="103"/>
      <c r="C584" s="68"/>
      <c r="D584" s="100" t="s">
        <v>39</v>
      </c>
      <c r="E584" s="101"/>
      <c r="F584" s="60" t="s">
        <v>369</v>
      </c>
      <c r="G584" s="98"/>
      <c r="H584" s="102"/>
      <c r="I584" s="98"/>
      <c r="J584" s="49"/>
      <c r="K584" s="28"/>
      <c r="L584" s="51"/>
    </row>
    <row r="585" spans="2:12" x14ac:dyDescent="0.35">
      <c r="B585" s="103"/>
      <c r="C585" s="68"/>
      <c r="D585" s="100"/>
      <c r="E585" s="60"/>
      <c r="F585" s="101" t="s">
        <v>130</v>
      </c>
      <c r="G585" s="52" t="s">
        <v>370</v>
      </c>
      <c r="H585" s="94">
        <f>4.31*1.34*10*7.85</f>
        <v>453.36889999999988</v>
      </c>
      <c r="I585" s="98" t="s">
        <v>208</v>
      </c>
      <c r="J585" s="202"/>
      <c r="K585" s="50"/>
      <c r="L585" s="45"/>
    </row>
    <row r="586" spans="2:12" x14ac:dyDescent="0.35">
      <c r="B586" s="129"/>
      <c r="C586" s="104"/>
      <c r="D586" s="100" t="s">
        <v>41</v>
      </c>
      <c r="E586" s="101"/>
      <c r="F586" s="60" t="s">
        <v>371</v>
      </c>
      <c r="G586" s="98"/>
      <c r="H586" s="102"/>
      <c r="I586" s="98"/>
      <c r="J586" s="49"/>
      <c r="K586" s="28"/>
      <c r="L586" s="51"/>
    </row>
    <row r="587" spans="2:12" x14ac:dyDescent="0.35">
      <c r="B587" s="129"/>
      <c r="C587" s="104"/>
      <c r="D587" s="100"/>
      <c r="E587" s="60"/>
      <c r="F587" s="101" t="s">
        <v>130</v>
      </c>
      <c r="G587" s="52" t="s">
        <v>372</v>
      </c>
      <c r="H587" s="94">
        <f>5.69*1.34*10*7.85</f>
        <v>598.53110000000004</v>
      </c>
      <c r="I587" s="98" t="s">
        <v>208</v>
      </c>
      <c r="J587" s="202"/>
      <c r="K587" s="50"/>
      <c r="L587" s="45"/>
    </row>
    <row r="588" spans="2:12" x14ac:dyDescent="0.35">
      <c r="B588" s="129"/>
      <c r="C588" s="104"/>
      <c r="D588" s="100" t="s">
        <v>44</v>
      </c>
      <c r="E588" s="101"/>
      <c r="F588" s="60" t="s">
        <v>373</v>
      </c>
      <c r="G588" s="98"/>
      <c r="H588" s="102"/>
      <c r="I588" s="98"/>
      <c r="J588" s="49"/>
      <c r="K588" s="28"/>
      <c r="L588" s="51"/>
    </row>
    <row r="589" spans="2:12" x14ac:dyDescent="0.35">
      <c r="B589" s="129"/>
      <c r="C589" s="104"/>
      <c r="D589" s="100"/>
      <c r="E589" s="60"/>
      <c r="F589" s="101" t="s">
        <v>130</v>
      </c>
      <c r="G589" s="52" t="s">
        <v>374</v>
      </c>
      <c r="H589" s="94">
        <f>2.33*0.8*10*7.85</f>
        <v>146.32399999999998</v>
      </c>
      <c r="I589" s="98" t="s">
        <v>208</v>
      </c>
      <c r="J589" s="202"/>
      <c r="K589" s="50"/>
      <c r="L589" s="45"/>
    </row>
    <row r="590" spans="2:12" x14ac:dyDescent="0.35">
      <c r="B590" s="129"/>
      <c r="C590" s="104"/>
      <c r="D590" s="100" t="s">
        <v>46</v>
      </c>
      <c r="E590" s="101"/>
      <c r="F590" s="60" t="s">
        <v>375</v>
      </c>
      <c r="G590" s="98"/>
      <c r="H590" s="102"/>
      <c r="I590" s="98"/>
      <c r="J590" s="49"/>
      <c r="K590" s="28"/>
      <c r="L590" s="51"/>
    </row>
    <row r="591" spans="2:12" x14ac:dyDescent="0.35">
      <c r="B591" s="129"/>
      <c r="C591" s="104"/>
      <c r="D591" s="100"/>
      <c r="E591" s="60"/>
      <c r="F591" s="101" t="s">
        <v>130</v>
      </c>
      <c r="G591" s="52" t="s">
        <v>376</v>
      </c>
      <c r="H591" s="94">
        <f>1.2*0.75*10*7.85</f>
        <v>70.649999999999991</v>
      </c>
      <c r="I591" s="98" t="s">
        <v>208</v>
      </c>
      <c r="J591" s="202"/>
      <c r="K591" s="50"/>
      <c r="L591" s="45"/>
    </row>
    <row r="592" spans="2:12" x14ac:dyDescent="0.35">
      <c r="B592" s="96"/>
      <c r="C592" s="68" t="s">
        <v>179</v>
      </c>
      <c r="D592" s="64"/>
      <c r="E592" s="99"/>
      <c r="F592" s="60" t="s">
        <v>377</v>
      </c>
      <c r="G592" s="98"/>
      <c r="H592" s="94"/>
      <c r="I592" s="98"/>
      <c r="J592" s="49"/>
      <c r="K592" s="28"/>
      <c r="L592" s="51"/>
    </row>
    <row r="593" spans="2:12" x14ac:dyDescent="0.35">
      <c r="B593" s="103"/>
      <c r="C593" s="68"/>
      <c r="D593" s="100" t="s">
        <v>34</v>
      </c>
      <c r="E593" s="101"/>
      <c r="F593" s="60" t="s">
        <v>378</v>
      </c>
      <c r="G593" s="98"/>
      <c r="H593" s="94"/>
      <c r="I593" s="98"/>
      <c r="J593" s="49"/>
      <c r="K593" s="28"/>
      <c r="L593" s="51"/>
    </row>
    <row r="594" spans="2:12" x14ac:dyDescent="0.35">
      <c r="B594" s="103"/>
      <c r="C594" s="68"/>
      <c r="D594" s="100"/>
      <c r="E594" s="60"/>
      <c r="F594" s="101" t="s">
        <v>130</v>
      </c>
      <c r="G594" s="52" t="s">
        <v>379</v>
      </c>
      <c r="H594" s="94">
        <f>2.91*0.8*10*7.85</f>
        <v>182.74799999999999</v>
      </c>
      <c r="I594" s="98" t="s">
        <v>208</v>
      </c>
      <c r="J594" s="202"/>
      <c r="K594" s="50"/>
      <c r="L594" s="45"/>
    </row>
    <row r="595" spans="2:12" x14ac:dyDescent="0.35">
      <c r="B595" s="129"/>
      <c r="C595" s="104"/>
      <c r="D595" s="105"/>
      <c r="E595" s="107"/>
      <c r="F595" s="60" t="s">
        <v>130</v>
      </c>
      <c r="G595" s="52" t="s">
        <v>380</v>
      </c>
      <c r="H595" s="94">
        <f>0.006165*38.1*38.1*2.8*1.2</f>
        <v>30.069230184000002</v>
      </c>
      <c r="I595" s="98" t="s">
        <v>208</v>
      </c>
      <c r="J595" s="202"/>
      <c r="K595" s="50"/>
      <c r="L595" s="45"/>
    </row>
    <row r="596" spans="2:12" x14ac:dyDescent="0.35">
      <c r="B596" s="129" t="s">
        <v>84</v>
      </c>
      <c r="C596" s="104"/>
      <c r="D596" s="105"/>
      <c r="E596" s="130" t="s">
        <v>381</v>
      </c>
      <c r="F596" s="60"/>
      <c r="G596" s="52"/>
      <c r="H596" s="102"/>
      <c r="I596" s="98"/>
      <c r="J596" s="49"/>
      <c r="K596" s="28"/>
      <c r="L596" s="51"/>
    </row>
    <row r="597" spans="2:12" x14ac:dyDescent="0.35">
      <c r="B597" s="129"/>
      <c r="C597" s="104" t="s">
        <v>232</v>
      </c>
      <c r="D597" s="105"/>
      <c r="E597" s="60"/>
      <c r="F597" s="60" t="s">
        <v>382</v>
      </c>
      <c r="G597" s="52"/>
      <c r="H597" s="102"/>
      <c r="I597" s="60"/>
      <c r="J597" s="49"/>
      <c r="K597" s="28"/>
      <c r="L597" s="51"/>
    </row>
    <row r="598" spans="2:12" x14ac:dyDescent="0.35">
      <c r="B598" s="158"/>
      <c r="C598" s="104"/>
      <c r="D598" s="64" t="s">
        <v>34</v>
      </c>
      <c r="E598" s="60"/>
      <c r="F598" s="60" t="s">
        <v>383</v>
      </c>
      <c r="G598" s="52"/>
      <c r="H598" s="94"/>
      <c r="I598" s="60"/>
      <c r="J598" s="49"/>
      <c r="K598" s="28"/>
      <c r="L598" s="51"/>
    </row>
    <row r="599" spans="2:12" x14ac:dyDescent="0.35">
      <c r="B599" s="158"/>
      <c r="C599" s="104"/>
      <c r="D599" s="64"/>
      <c r="E599" s="101"/>
      <c r="F599" s="60" t="s">
        <v>130</v>
      </c>
      <c r="G599" s="52" t="s">
        <v>384</v>
      </c>
      <c r="H599" s="94">
        <f>5.3*0.3*12*7.85*1.2</f>
        <v>179.7336</v>
      </c>
      <c r="I599" s="60" t="s">
        <v>208</v>
      </c>
      <c r="J599" s="28"/>
      <c r="K599" s="50"/>
      <c r="L599" s="45"/>
    </row>
    <row r="600" spans="2:12" x14ac:dyDescent="0.35">
      <c r="B600" s="158"/>
      <c r="C600" s="104"/>
      <c r="D600" s="105"/>
      <c r="E600" s="107"/>
      <c r="F600" s="60" t="s">
        <v>130</v>
      </c>
      <c r="G600" s="52" t="s">
        <v>385</v>
      </c>
      <c r="H600" s="94">
        <f>5.9*0.05*20*7.85*1.2</f>
        <v>55.577999999999996</v>
      </c>
      <c r="I600" s="60" t="s">
        <v>208</v>
      </c>
      <c r="J600" s="28"/>
      <c r="K600" s="50"/>
      <c r="L600" s="45"/>
    </row>
    <row r="601" spans="2:12" x14ac:dyDescent="0.35">
      <c r="B601" s="158"/>
      <c r="C601" s="104"/>
      <c r="D601" s="105"/>
      <c r="E601" s="107"/>
      <c r="F601" s="60" t="s">
        <v>130</v>
      </c>
      <c r="G601" s="52" t="s">
        <v>386</v>
      </c>
      <c r="H601" s="94">
        <f>3.3*0.3*12*7.85*1.2</f>
        <v>111.90959999999997</v>
      </c>
      <c r="I601" s="60" t="s">
        <v>208</v>
      </c>
      <c r="J601" s="28"/>
      <c r="K601" s="50"/>
      <c r="L601" s="45"/>
    </row>
    <row r="602" spans="2:12" x14ac:dyDescent="0.35">
      <c r="B602" s="159"/>
      <c r="C602" s="104"/>
      <c r="D602" s="105"/>
      <c r="E602" s="129"/>
      <c r="F602" s="60" t="s">
        <v>130</v>
      </c>
      <c r="G602" s="52" t="s">
        <v>387</v>
      </c>
      <c r="H602" s="94">
        <f>3.9*0.05*20*7.85*1.2</f>
        <v>36.738</v>
      </c>
      <c r="I602" s="60" t="s">
        <v>208</v>
      </c>
      <c r="J602" s="28"/>
      <c r="K602" s="50"/>
      <c r="L602" s="45"/>
    </row>
    <row r="603" spans="2:12" x14ac:dyDescent="0.35">
      <c r="B603" s="158"/>
      <c r="C603" s="104" t="s">
        <v>238</v>
      </c>
      <c r="D603" s="105"/>
      <c r="E603" s="60"/>
      <c r="F603" s="60" t="s">
        <v>388</v>
      </c>
      <c r="G603" s="52"/>
      <c r="H603" s="60"/>
      <c r="I603" s="60"/>
      <c r="J603" s="49"/>
      <c r="K603" s="28"/>
      <c r="L603" s="51"/>
    </row>
    <row r="604" spans="2:12" x14ac:dyDescent="0.35">
      <c r="B604" s="129"/>
      <c r="C604" s="104"/>
      <c r="D604" s="105" t="s">
        <v>34</v>
      </c>
      <c r="E604" s="118"/>
      <c r="F604" s="60" t="s">
        <v>389</v>
      </c>
      <c r="G604" s="52"/>
      <c r="H604" s="170">
        <v>57</v>
      </c>
      <c r="I604" s="60" t="s">
        <v>94</v>
      </c>
      <c r="J604" s="28"/>
      <c r="K604" s="50"/>
      <c r="L604" s="45"/>
    </row>
    <row r="605" spans="2:12" x14ac:dyDescent="0.35">
      <c r="B605" s="129"/>
      <c r="C605" s="104"/>
      <c r="D605" s="105"/>
      <c r="E605" s="118"/>
      <c r="F605" s="60" t="s">
        <v>130</v>
      </c>
      <c r="G605" s="52" t="s">
        <v>390</v>
      </c>
      <c r="H605" s="131"/>
      <c r="I605" s="107"/>
      <c r="J605" s="49"/>
      <c r="K605" s="28"/>
      <c r="L605" s="51"/>
    </row>
    <row r="606" spans="2:12" x14ac:dyDescent="0.35">
      <c r="B606" s="129"/>
      <c r="C606" s="104"/>
      <c r="D606" s="105"/>
      <c r="E606" s="118"/>
      <c r="F606" s="60" t="s">
        <v>130</v>
      </c>
      <c r="G606" s="52" t="s">
        <v>391</v>
      </c>
      <c r="H606" s="131"/>
      <c r="I606" s="107"/>
      <c r="J606" s="49"/>
      <c r="K606" s="28"/>
      <c r="L606" s="51"/>
    </row>
    <row r="607" spans="2:12" x14ac:dyDescent="0.35">
      <c r="B607" s="46"/>
      <c r="C607" s="47"/>
      <c r="D607" s="23"/>
      <c r="G607" s="21"/>
      <c r="I607" s="21"/>
      <c r="J607" s="49"/>
      <c r="K607" s="28"/>
      <c r="L607" s="51"/>
    </row>
    <row r="608" spans="2:12" x14ac:dyDescent="0.35">
      <c r="B608" s="224"/>
      <c r="C608" s="47"/>
      <c r="D608" s="23"/>
      <c r="G608" s="21"/>
      <c r="I608" s="21"/>
      <c r="J608" s="49"/>
      <c r="K608" s="28"/>
      <c r="L608" s="51"/>
    </row>
    <row r="609" spans="2:12" x14ac:dyDescent="0.35">
      <c r="B609" s="8"/>
      <c r="C609" s="9"/>
      <c r="D609" s="10"/>
      <c r="E609" s="4"/>
      <c r="F609" s="4"/>
      <c r="G609" s="4"/>
      <c r="H609" s="1"/>
      <c r="I609" s="1"/>
      <c r="J609" s="11" t="s">
        <v>8</v>
      </c>
      <c r="K609" s="7">
        <f>SUM(K556:K608)</f>
        <v>0</v>
      </c>
      <c r="L609" s="7">
        <f>SUM(L556:L608)</f>
        <v>0</v>
      </c>
    </row>
    <row r="610" spans="2:12" x14ac:dyDescent="0.35">
      <c r="B610" s="8"/>
      <c r="C610" s="9"/>
      <c r="D610" s="9"/>
      <c r="E610" s="4"/>
      <c r="F610" s="4"/>
      <c r="G610" s="4"/>
      <c r="H610" s="1"/>
      <c r="I610" s="1"/>
      <c r="J610" s="11"/>
      <c r="K610" s="34" t="s">
        <v>13</v>
      </c>
      <c r="L610" s="35" t="s">
        <v>14</v>
      </c>
    </row>
    <row r="611" spans="2:12" x14ac:dyDescent="0.35">
      <c r="B611" s="3" t="s">
        <v>9</v>
      </c>
      <c r="C611" s="4"/>
      <c r="D611" s="4"/>
      <c r="E611" s="4"/>
      <c r="F611" s="4"/>
      <c r="G611" s="4"/>
      <c r="H611" s="1"/>
      <c r="I611" s="1"/>
      <c r="J611" s="12"/>
      <c r="K611" s="12"/>
      <c r="L611" s="13"/>
    </row>
    <row r="612" spans="2:12" x14ac:dyDescent="0.35">
      <c r="B612" s="36"/>
      <c r="C612" s="1"/>
      <c r="D612" s="1"/>
      <c r="E612" s="37"/>
      <c r="F612" s="37"/>
      <c r="G612" s="37"/>
      <c r="H612" s="1"/>
      <c r="I612" s="1"/>
      <c r="J612" s="1"/>
      <c r="K612" s="1"/>
      <c r="L612" s="18"/>
    </row>
    <row r="613" spans="2:12" x14ac:dyDescent="0.35">
      <c r="B613" s="27" t="s">
        <v>6</v>
      </c>
      <c r="C613" s="26"/>
      <c r="D613" s="26"/>
      <c r="E613" s="25"/>
      <c r="F613" s="25"/>
      <c r="G613" s="5"/>
      <c r="K613" s="232" t="s">
        <v>813</v>
      </c>
      <c r="L613" s="233"/>
    </row>
    <row r="614" spans="2:12" x14ac:dyDescent="0.35">
      <c r="B614" s="27">
        <v>1</v>
      </c>
      <c r="C614" s="26"/>
      <c r="D614" s="26"/>
      <c r="E614" s="25" t="s">
        <v>7</v>
      </c>
      <c r="F614" s="25"/>
      <c r="G614" s="5"/>
      <c r="K614" s="232" t="s">
        <v>18</v>
      </c>
      <c r="L614" s="233"/>
    </row>
    <row r="615" spans="2:12" x14ac:dyDescent="0.35">
      <c r="B615" s="38"/>
      <c r="C615" s="26"/>
      <c r="D615" s="26"/>
      <c r="E615" s="25"/>
      <c r="F615" s="25"/>
      <c r="G615" s="5"/>
      <c r="J615" s="24"/>
      <c r="K615" s="24"/>
      <c r="L615" s="23"/>
    </row>
    <row r="616" spans="2:12" x14ac:dyDescent="0.35">
      <c r="B616" s="27"/>
      <c r="C616" s="26"/>
      <c r="D616" s="26"/>
      <c r="E616" s="25"/>
      <c r="F616" s="25"/>
      <c r="G616" s="5"/>
      <c r="L616" s="21"/>
    </row>
    <row r="617" spans="2:12" x14ac:dyDescent="0.35">
      <c r="B617" s="44"/>
      <c r="E617" s="5"/>
      <c r="F617" s="5"/>
      <c r="G617" s="5"/>
      <c r="L617" s="21"/>
    </row>
    <row r="618" spans="2:12" x14ac:dyDescent="0.35">
      <c r="B618" s="44"/>
      <c r="E618" s="5"/>
      <c r="F618" s="5"/>
      <c r="G618" s="5"/>
      <c r="L618" s="21"/>
    </row>
    <row r="619" spans="2:12" x14ac:dyDescent="0.35">
      <c r="B619" s="44"/>
      <c r="E619" s="5"/>
      <c r="F619" s="5"/>
      <c r="G619" s="5"/>
      <c r="L619" s="21"/>
    </row>
    <row r="620" spans="2:12" x14ac:dyDescent="0.35">
      <c r="B620" s="44"/>
      <c r="E620" s="5"/>
      <c r="F620" s="5"/>
      <c r="G620" s="5"/>
      <c r="J620" s="39"/>
      <c r="K620" s="234" t="s">
        <v>26</v>
      </c>
      <c r="L620" s="235"/>
    </row>
    <row r="621" spans="2:12" x14ac:dyDescent="0.35">
      <c r="B621" s="44"/>
      <c r="K621" s="236" t="s">
        <v>27</v>
      </c>
      <c r="L621" s="237"/>
    </row>
    <row r="622" spans="2:12" x14ac:dyDescent="0.35">
      <c r="B622" s="238"/>
      <c r="C622" s="239"/>
      <c r="D622" s="239"/>
      <c r="E622" s="40"/>
      <c r="F622" s="40"/>
      <c r="G622" s="40"/>
      <c r="H622" s="2"/>
      <c r="I622" s="2"/>
      <c r="J622" s="2"/>
      <c r="K622" s="2"/>
      <c r="L622" s="20"/>
    </row>
    <row r="623" spans="2:12" x14ac:dyDescent="0.35">
      <c r="B623" s="222"/>
      <c r="C623" s="47"/>
      <c r="D623" s="48"/>
      <c r="G623" s="21"/>
      <c r="H623" s="1"/>
      <c r="I623" s="1"/>
      <c r="J623" s="42"/>
      <c r="K623" s="29"/>
      <c r="L623" s="43"/>
    </row>
    <row r="624" spans="2:12" x14ac:dyDescent="0.35">
      <c r="B624" s="158"/>
      <c r="C624" s="104" t="s">
        <v>245</v>
      </c>
      <c r="D624" s="105"/>
      <c r="E624" s="60"/>
      <c r="F624" s="60" t="s">
        <v>392</v>
      </c>
      <c r="G624" s="52"/>
      <c r="H624" s="60"/>
      <c r="I624" s="73"/>
      <c r="J624" s="28"/>
      <c r="K624" s="50"/>
      <c r="L624" s="45"/>
    </row>
    <row r="625" spans="2:12" x14ac:dyDescent="0.35">
      <c r="B625" s="158"/>
      <c r="C625" s="104"/>
      <c r="D625" s="105" t="s">
        <v>34</v>
      </c>
      <c r="E625" s="118"/>
      <c r="F625" s="52" t="s">
        <v>393</v>
      </c>
      <c r="G625" s="52"/>
      <c r="H625" s="73">
        <v>1</v>
      </c>
      <c r="I625" s="73" t="s">
        <v>83</v>
      </c>
      <c r="J625" s="28"/>
      <c r="K625" s="50"/>
      <c r="L625" s="45"/>
    </row>
    <row r="626" spans="2:12" x14ac:dyDescent="0.35">
      <c r="B626" s="158"/>
      <c r="C626" s="127"/>
      <c r="D626" s="79" t="s">
        <v>37</v>
      </c>
      <c r="E626" s="73"/>
      <c r="F626" s="52" t="s">
        <v>781</v>
      </c>
      <c r="G626" s="52"/>
      <c r="H626" s="73">
        <v>1</v>
      </c>
      <c r="I626" s="73" t="s">
        <v>36</v>
      </c>
      <c r="J626" s="28"/>
      <c r="K626" s="50"/>
      <c r="L626" s="45"/>
    </row>
    <row r="627" spans="2:12" x14ac:dyDescent="0.35">
      <c r="B627" s="158"/>
      <c r="C627" s="104"/>
      <c r="D627" s="79" t="s">
        <v>39</v>
      </c>
      <c r="E627" s="73"/>
      <c r="F627" s="52" t="s">
        <v>394</v>
      </c>
      <c r="G627" s="52"/>
      <c r="H627" s="73">
        <v>2</v>
      </c>
      <c r="I627" s="73" t="s">
        <v>83</v>
      </c>
      <c r="J627" s="28"/>
      <c r="K627" s="50"/>
      <c r="L627" s="45"/>
    </row>
    <row r="628" spans="2:12" x14ac:dyDescent="0.35">
      <c r="B628" s="158"/>
      <c r="C628" s="104" t="s">
        <v>265</v>
      </c>
      <c r="D628" s="105"/>
      <c r="E628" s="60"/>
      <c r="F628" s="60" t="s">
        <v>395</v>
      </c>
      <c r="G628" s="52"/>
      <c r="H628" s="60">
        <v>2</v>
      </c>
      <c r="I628" s="73" t="s">
        <v>94</v>
      </c>
      <c r="J628" s="49"/>
      <c r="K628" s="28"/>
      <c r="L628" s="51"/>
    </row>
    <row r="629" spans="2:12" s="33" customFormat="1" x14ac:dyDescent="0.35">
      <c r="B629" s="129"/>
      <c r="C629" s="104"/>
      <c r="D629" s="105"/>
      <c r="E629" s="118"/>
      <c r="F629" s="60" t="s">
        <v>130</v>
      </c>
      <c r="G629" s="52" t="s">
        <v>396</v>
      </c>
      <c r="H629" s="131"/>
      <c r="I629" s="107"/>
      <c r="J629" s="28"/>
      <c r="K629" s="28"/>
      <c r="L629" s="51"/>
    </row>
    <row r="630" spans="2:12" s="33" customFormat="1" x14ac:dyDescent="0.35">
      <c r="B630" s="129"/>
      <c r="C630" s="104"/>
      <c r="D630" s="105"/>
      <c r="E630" s="118"/>
      <c r="F630" s="60" t="s">
        <v>130</v>
      </c>
      <c r="G630" s="52" t="s">
        <v>397</v>
      </c>
      <c r="H630" s="131"/>
      <c r="I630" s="107"/>
      <c r="J630" s="28"/>
      <c r="K630" s="28"/>
      <c r="L630" s="51"/>
    </row>
    <row r="631" spans="2:12" x14ac:dyDescent="0.35">
      <c r="B631" s="55" t="s">
        <v>88</v>
      </c>
      <c r="C631" s="56"/>
      <c r="D631" s="57"/>
      <c r="E631" s="58" t="s">
        <v>107</v>
      </c>
      <c r="F631" s="60"/>
      <c r="G631" s="52"/>
      <c r="H631" s="60"/>
      <c r="I631" s="52"/>
      <c r="J631" s="49"/>
      <c r="K631" s="28"/>
      <c r="L631" s="51"/>
    </row>
    <row r="632" spans="2:12" x14ac:dyDescent="0.35">
      <c r="B632" s="61"/>
      <c r="C632" s="62"/>
      <c r="D632" s="79" t="s">
        <v>34</v>
      </c>
      <c r="E632" s="73"/>
      <c r="F632" s="60" t="s">
        <v>398</v>
      </c>
      <c r="G632" s="52"/>
      <c r="H632" s="75">
        <v>2</v>
      </c>
      <c r="I632" s="52" t="s">
        <v>94</v>
      </c>
      <c r="J632" s="202"/>
      <c r="K632" s="50"/>
      <c r="L632" s="45"/>
    </row>
    <row r="633" spans="2:12" x14ac:dyDescent="0.35">
      <c r="B633" s="158"/>
      <c r="C633" s="104"/>
      <c r="D633" s="105"/>
      <c r="E633" s="107"/>
      <c r="F633" s="60"/>
      <c r="G633" s="120"/>
      <c r="H633" s="107"/>
      <c r="I633" s="108"/>
      <c r="J633" s="49"/>
      <c r="K633" s="28"/>
      <c r="L633" s="51"/>
    </row>
    <row r="634" spans="2:12" x14ac:dyDescent="0.35">
      <c r="B634" s="82"/>
      <c r="C634" s="62"/>
      <c r="D634" s="68"/>
      <c r="E634" s="91" t="s">
        <v>399</v>
      </c>
      <c r="F634" s="92"/>
      <c r="G634" s="93"/>
      <c r="H634" s="94"/>
      <c r="I634" s="95"/>
      <c r="J634" s="49"/>
      <c r="K634" s="28"/>
      <c r="L634" s="51"/>
    </row>
    <row r="635" spans="2:12" x14ac:dyDescent="0.35">
      <c r="B635" s="55" t="s">
        <v>33</v>
      </c>
      <c r="C635" s="56"/>
      <c r="D635" s="57"/>
      <c r="E635" s="58" t="s">
        <v>137</v>
      </c>
      <c r="F635" s="60"/>
      <c r="G635" s="52"/>
      <c r="H635" s="60"/>
      <c r="I635" s="52"/>
      <c r="J635" s="49"/>
      <c r="K635" s="28"/>
      <c r="L635" s="51"/>
    </row>
    <row r="636" spans="2:12" x14ac:dyDescent="0.35">
      <c r="B636" s="96"/>
      <c r="C636" s="68" t="s">
        <v>138</v>
      </c>
      <c r="D636" s="64"/>
      <c r="E636" s="99"/>
      <c r="F636" s="60" t="s">
        <v>139</v>
      </c>
      <c r="G636" s="98"/>
      <c r="H636" s="60"/>
      <c r="I636" s="98"/>
      <c r="J636" s="49"/>
      <c r="K636" s="28"/>
      <c r="L636" s="51"/>
    </row>
    <row r="637" spans="2:12" x14ac:dyDescent="0.35">
      <c r="B637" s="103"/>
      <c r="C637" s="68"/>
      <c r="D637" s="100" t="s">
        <v>34</v>
      </c>
      <c r="E637" s="101"/>
      <c r="F637" s="60" t="s">
        <v>400</v>
      </c>
      <c r="G637" s="98"/>
      <c r="H637" s="75">
        <v>1</v>
      </c>
      <c r="I637" s="52" t="s">
        <v>94</v>
      </c>
      <c r="J637" s="28"/>
      <c r="K637" s="50"/>
      <c r="L637" s="45"/>
    </row>
    <row r="638" spans="2:12" x14ac:dyDescent="0.35">
      <c r="B638" s="103"/>
      <c r="C638" s="68"/>
      <c r="D638" s="100"/>
      <c r="E638" s="60"/>
      <c r="F638" s="101" t="s">
        <v>130</v>
      </c>
      <c r="G638" s="52" t="s">
        <v>146</v>
      </c>
      <c r="H638" s="102"/>
      <c r="I638" s="98"/>
      <c r="J638" s="49"/>
      <c r="K638" s="28"/>
      <c r="L638" s="51"/>
    </row>
    <row r="639" spans="2:12" x14ac:dyDescent="0.35">
      <c r="B639" s="96"/>
      <c r="C639" s="68"/>
      <c r="D639" s="100"/>
      <c r="E639" s="58"/>
      <c r="F639" s="101" t="s">
        <v>130</v>
      </c>
      <c r="G639" s="52" t="s">
        <v>782</v>
      </c>
      <c r="H639" s="60"/>
      <c r="I639" s="98"/>
      <c r="J639" s="49"/>
      <c r="K639" s="28"/>
      <c r="L639" s="51"/>
    </row>
    <row r="640" spans="2:12" x14ac:dyDescent="0.35">
      <c r="B640" s="96"/>
      <c r="C640" s="68"/>
      <c r="D640" s="100"/>
      <c r="E640" s="58"/>
      <c r="F640" s="101" t="s">
        <v>130</v>
      </c>
      <c r="G640" s="52" t="s">
        <v>783</v>
      </c>
      <c r="H640" s="60"/>
      <c r="I640" s="98"/>
      <c r="J640" s="49"/>
      <c r="K640" s="28"/>
      <c r="L640" s="51"/>
    </row>
    <row r="641" spans="2:12" x14ac:dyDescent="0.35">
      <c r="B641" s="103"/>
      <c r="C641" s="68"/>
      <c r="D641" s="100"/>
      <c r="E641" s="58"/>
      <c r="F641" s="101" t="s">
        <v>130</v>
      </c>
      <c r="G641" s="52" t="s">
        <v>784</v>
      </c>
      <c r="H641" s="102"/>
      <c r="I641" s="98"/>
      <c r="J641" s="49"/>
      <c r="K641" s="28"/>
      <c r="L641" s="51"/>
    </row>
    <row r="642" spans="2:12" x14ac:dyDescent="0.35">
      <c r="B642" s="103"/>
      <c r="C642" s="68"/>
      <c r="D642" s="100"/>
      <c r="E642" s="58"/>
      <c r="F642" s="101" t="s">
        <v>130</v>
      </c>
      <c r="G642" s="52" t="s">
        <v>785</v>
      </c>
      <c r="H642" s="102"/>
      <c r="I642" s="98"/>
      <c r="J642" s="49"/>
      <c r="K642" s="28"/>
      <c r="L642" s="51"/>
    </row>
    <row r="643" spans="2:12" x14ac:dyDescent="0.35">
      <c r="B643" s="103"/>
      <c r="C643" s="68"/>
      <c r="D643" s="100" t="s">
        <v>37</v>
      </c>
      <c r="E643" s="101"/>
      <c r="F643" s="60" t="s">
        <v>400</v>
      </c>
      <c r="G643" s="98"/>
      <c r="H643" s="75">
        <v>1</v>
      </c>
      <c r="I643" s="52" t="s">
        <v>94</v>
      </c>
      <c r="J643" s="28"/>
      <c r="K643" s="50"/>
      <c r="L643" s="45"/>
    </row>
    <row r="644" spans="2:12" x14ac:dyDescent="0.35">
      <c r="B644" s="103"/>
      <c r="C644" s="68"/>
      <c r="D644" s="100"/>
      <c r="E644" s="60"/>
      <c r="F644" s="101" t="s">
        <v>130</v>
      </c>
      <c r="G644" s="52" t="s">
        <v>146</v>
      </c>
      <c r="H644" s="102"/>
      <c r="I644" s="98"/>
      <c r="J644" s="49"/>
      <c r="K644" s="28"/>
      <c r="L644" s="51"/>
    </row>
    <row r="645" spans="2:12" x14ac:dyDescent="0.35">
      <c r="B645" s="96"/>
      <c r="C645" s="68"/>
      <c r="D645" s="100"/>
      <c r="E645" s="58"/>
      <c r="F645" s="101" t="s">
        <v>130</v>
      </c>
      <c r="G645" s="52" t="s">
        <v>786</v>
      </c>
      <c r="H645" s="60"/>
      <c r="I645" s="98"/>
      <c r="J645" s="49"/>
      <c r="K645" s="28"/>
      <c r="L645" s="51"/>
    </row>
    <row r="646" spans="2:12" x14ac:dyDescent="0.35">
      <c r="B646" s="96"/>
      <c r="C646" s="68"/>
      <c r="D646" s="100"/>
      <c r="E646" s="58"/>
      <c r="F646" s="101" t="s">
        <v>130</v>
      </c>
      <c r="G646" s="52" t="s">
        <v>762</v>
      </c>
      <c r="H646" s="60"/>
      <c r="I646" s="98"/>
      <c r="J646" s="49"/>
      <c r="K646" s="28"/>
      <c r="L646" s="51"/>
    </row>
    <row r="647" spans="2:12" x14ac:dyDescent="0.35">
      <c r="B647" s="103"/>
      <c r="C647" s="68"/>
      <c r="D647" s="100"/>
      <c r="E647" s="58"/>
      <c r="F647" s="101" t="s">
        <v>130</v>
      </c>
      <c r="G647" s="52" t="s">
        <v>784</v>
      </c>
      <c r="H647" s="102"/>
      <c r="I647" s="98"/>
      <c r="J647" s="49"/>
      <c r="K647" s="28"/>
      <c r="L647" s="51"/>
    </row>
    <row r="648" spans="2:12" x14ac:dyDescent="0.35">
      <c r="B648" s="103"/>
      <c r="C648" s="68"/>
      <c r="D648" s="100"/>
      <c r="E648" s="58"/>
      <c r="F648" s="101" t="s">
        <v>130</v>
      </c>
      <c r="G648" s="52" t="s">
        <v>785</v>
      </c>
      <c r="H648" s="102"/>
      <c r="I648" s="98"/>
      <c r="J648" s="49"/>
      <c r="K648" s="28"/>
      <c r="L648" s="51"/>
    </row>
    <row r="649" spans="2:12" x14ac:dyDescent="0.35">
      <c r="B649" s="159"/>
      <c r="C649" s="104"/>
      <c r="D649" s="100" t="s">
        <v>39</v>
      </c>
      <c r="E649" s="101"/>
      <c r="F649" s="60" t="s">
        <v>401</v>
      </c>
      <c r="G649" s="98"/>
      <c r="H649" s="75">
        <v>1</v>
      </c>
      <c r="I649" s="52" t="s">
        <v>94</v>
      </c>
      <c r="J649" s="201"/>
      <c r="K649" s="50"/>
      <c r="L649" s="45"/>
    </row>
    <row r="650" spans="2:12" x14ac:dyDescent="0.35">
      <c r="B650" s="159"/>
      <c r="C650" s="104"/>
      <c r="D650" s="100"/>
      <c r="E650" s="60"/>
      <c r="F650" s="101" t="s">
        <v>130</v>
      </c>
      <c r="G650" s="52" t="s">
        <v>146</v>
      </c>
      <c r="H650" s="102"/>
      <c r="I650" s="98"/>
      <c r="J650" s="49"/>
      <c r="K650" s="28"/>
      <c r="L650" s="51"/>
    </row>
    <row r="651" spans="2:12" x14ac:dyDescent="0.35">
      <c r="B651" s="159"/>
      <c r="C651" s="104"/>
      <c r="D651" s="100"/>
      <c r="E651" s="58"/>
      <c r="F651" s="101" t="s">
        <v>130</v>
      </c>
      <c r="G651" s="52" t="s">
        <v>766</v>
      </c>
      <c r="H651" s="60"/>
      <c r="I651" s="98"/>
      <c r="J651" s="49"/>
      <c r="K651" s="28"/>
      <c r="L651" s="51"/>
    </row>
    <row r="652" spans="2:12" x14ac:dyDescent="0.35">
      <c r="B652" s="159"/>
      <c r="C652" s="104"/>
      <c r="D652" s="100"/>
      <c r="E652" s="58"/>
      <c r="F652" s="101" t="s">
        <v>130</v>
      </c>
      <c r="G652" s="52" t="s">
        <v>784</v>
      </c>
      <c r="H652" s="102"/>
      <c r="I652" s="98"/>
      <c r="J652" s="49"/>
      <c r="K652" s="28"/>
      <c r="L652" s="51"/>
    </row>
    <row r="653" spans="2:12" x14ac:dyDescent="0.35">
      <c r="B653" s="159"/>
      <c r="C653" s="104"/>
      <c r="D653" s="100"/>
      <c r="E653" s="58"/>
      <c r="F653" s="101" t="s">
        <v>130</v>
      </c>
      <c r="G653" s="52" t="s">
        <v>787</v>
      </c>
      <c r="H653" s="102"/>
      <c r="I653" s="98"/>
      <c r="J653" s="49"/>
      <c r="K653" s="28"/>
      <c r="L653" s="51"/>
    </row>
    <row r="654" spans="2:12" x14ac:dyDescent="0.35">
      <c r="B654" s="159"/>
      <c r="C654" s="104"/>
      <c r="D654" s="100" t="s">
        <v>41</v>
      </c>
      <c r="E654" s="101"/>
      <c r="F654" s="60" t="s">
        <v>403</v>
      </c>
      <c r="G654" s="98"/>
      <c r="H654" s="75">
        <v>1</v>
      </c>
      <c r="I654" s="52" t="s">
        <v>94</v>
      </c>
      <c r="J654" s="201"/>
      <c r="K654" s="50"/>
      <c r="L654" s="45"/>
    </row>
    <row r="655" spans="2:12" x14ac:dyDescent="0.35">
      <c r="B655" s="159"/>
      <c r="C655" s="104"/>
      <c r="D655" s="100"/>
      <c r="E655" s="60"/>
      <c r="F655" s="101" t="s">
        <v>130</v>
      </c>
      <c r="G655" s="52" t="s">
        <v>146</v>
      </c>
      <c r="H655" s="102"/>
      <c r="I655" s="98"/>
      <c r="J655" s="49"/>
      <c r="K655" s="28"/>
      <c r="L655" s="51"/>
    </row>
    <row r="656" spans="2:12" x14ac:dyDescent="0.35">
      <c r="B656" s="159"/>
      <c r="C656" s="104"/>
      <c r="D656" s="100"/>
      <c r="E656" s="58"/>
      <c r="F656" s="101" t="s">
        <v>130</v>
      </c>
      <c r="G656" s="52" t="s">
        <v>788</v>
      </c>
      <c r="H656" s="60"/>
      <c r="I656" s="98"/>
      <c r="J656" s="49"/>
      <c r="K656" s="28"/>
      <c r="L656" s="51"/>
    </row>
    <row r="657" spans="2:12" x14ac:dyDescent="0.35">
      <c r="B657" s="159"/>
      <c r="C657" s="104"/>
      <c r="D657" s="100"/>
      <c r="E657" s="58"/>
      <c r="F657" s="101" t="s">
        <v>130</v>
      </c>
      <c r="G657" s="52" t="s">
        <v>768</v>
      </c>
      <c r="H657" s="60"/>
      <c r="I657" s="98"/>
      <c r="J657" s="49"/>
      <c r="K657" s="28"/>
      <c r="L657" s="51"/>
    </row>
    <row r="658" spans="2:12" x14ac:dyDescent="0.35">
      <c r="B658" s="159"/>
      <c r="C658" s="104"/>
      <c r="D658" s="100"/>
      <c r="E658" s="58"/>
      <c r="F658" s="101" t="s">
        <v>130</v>
      </c>
      <c r="G658" s="52" t="s">
        <v>784</v>
      </c>
      <c r="H658" s="102"/>
      <c r="I658" s="98"/>
      <c r="J658" s="49"/>
      <c r="K658" s="28"/>
      <c r="L658" s="51"/>
    </row>
    <row r="659" spans="2:12" x14ac:dyDescent="0.35">
      <c r="B659" s="159"/>
      <c r="C659" s="104"/>
      <c r="D659" s="100"/>
      <c r="E659" s="58"/>
      <c r="F659" s="101" t="s">
        <v>130</v>
      </c>
      <c r="G659" s="52" t="s">
        <v>787</v>
      </c>
      <c r="H659" s="102"/>
      <c r="I659" s="98"/>
      <c r="J659" s="49"/>
      <c r="K659" s="28"/>
      <c r="L659" s="51"/>
    </row>
    <row r="660" spans="2:12" x14ac:dyDescent="0.35">
      <c r="B660" s="159"/>
      <c r="C660" s="104"/>
      <c r="D660" s="100" t="s">
        <v>44</v>
      </c>
      <c r="E660" s="101"/>
      <c r="F660" s="60" t="s">
        <v>404</v>
      </c>
      <c r="G660" s="98"/>
      <c r="H660" s="75">
        <v>1</v>
      </c>
      <c r="I660" s="52" t="s">
        <v>94</v>
      </c>
      <c r="J660" s="201"/>
      <c r="K660" s="50"/>
      <c r="L660" s="45"/>
    </row>
    <row r="661" spans="2:12" x14ac:dyDescent="0.35">
      <c r="B661" s="159"/>
      <c r="C661" s="104"/>
      <c r="D661" s="100"/>
      <c r="E661" s="60"/>
      <c r="F661" s="101" t="s">
        <v>130</v>
      </c>
      <c r="G661" s="52" t="s">
        <v>146</v>
      </c>
      <c r="H661" s="102"/>
      <c r="I661" s="98"/>
      <c r="J661" s="49"/>
      <c r="K661" s="28"/>
      <c r="L661" s="51"/>
    </row>
    <row r="662" spans="2:12" x14ac:dyDescent="0.35">
      <c r="B662" s="159"/>
      <c r="C662" s="104"/>
      <c r="D662" s="100"/>
      <c r="E662" s="58"/>
      <c r="F662" s="101" t="s">
        <v>130</v>
      </c>
      <c r="G662" s="52" t="s">
        <v>147</v>
      </c>
      <c r="H662" s="60"/>
      <c r="I662" s="98"/>
      <c r="J662" s="49"/>
      <c r="K662" s="28"/>
      <c r="L662" s="51"/>
    </row>
    <row r="663" spans="2:12" x14ac:dyDescent="0.35">
      <c r="B663" s="159"/>
      <c r="C663" s="104"/>
      <c r="D663" s="100"/>
      <c r="E663" s="58"/>
      <c r="F663" s="101" t="s">
        <v>130</v>
      </c>
      <c r="G663" s="52" t="s">
        <v>789</v>
      </c>
      <c r="H663" s="102"/>
      <c r="I663" s="98"/>
      <c r="J663" s="49"/>
      <c r="K663" s="28"/>
      <c r="L663" s="51"/>
    </row>
    <row r="664" spans="2:12" x14ac:dyDescent="0.35">
      <c r="B664" s="159"/>
      <c r="C664" s="104"/>
      <c r="D664" s="100" t="s">
        <v>46</v>
      </c>
      <c r="E664" s="101"/>
      <c r="F664" s="60" t="s">
        <v>405</v>
      </c>
      <c r="G664" s="98"/>
      <c r="H664" s="75">
        <v>1</v>
      </c>
      <c r="I664" s="52" t="s">
        <v>94</v>
      </c>
      <c r="J664" s="212"/>
      <c r="K664" s="50"/>
      <c r="L664" s="45"/>
    </row>
    <row r="665" spans="2:12" x14ac:dyDescent="0.35">
      <c r="B665" s="159"/>
      <c r="C665" s="104"/>
      <c r="D665" s="100"/>
      <c r="E665" s="58"/>
      <c r="F665" s="101" t="s">
        <v>130</v>
      </c>
      <c r="G665" s="52" t="s">
        <v>408</v>
      </c>
      <c r="H665" s="60"/>
      <c r="I665" s="98"/>
      <c r="J665" s="49"/>
      <c r="K665" s="28"/>
      <c r="L665" s="51"/>
    </row>
    <row r="666" spans="2:12" x14ac:dyDescent="0.35">
      <c r="B666" s="159"/>
      <c r="C666" s="104"/>
      <c r="D666" s="100"/>
      <c r="E666" s="58"/>
      <c r="F666" s="101" t="s">
        <v>130</v>
      </c>
      <c r="G666" s="52" t="s">
        <v>790</v>
      </c>
      <c r="H666" s="102"/>
      <c r="I666" s="98"/>
      <c r="J666" s="49"/>
      <c r="K666" s="28"/>
      <c r="L666" s="51"/>
    </row>
    <row r="667" spans="2:12" x14ac:dyDescent="0.35">
      <c r="B667" s="159"/>
      <c r="C667" s="104"/>
      <c r="D667" s="100" t="s">
        <v>48</v>
      </c>
      <c r="E667" s="101"/>
      <c r="F667" s="60" t="s">
        <v>407</v>
      </c>
      <c r="G667" s="98"/>
      <c r="H667" s="75">
        <v>1</v>
      </c>
      <c r="I667" s="52" t="s">
        <v>94</v>
      </c>
      <c r="J667" s="212"/>
      <c r="K667" s="50"/>
      <c r="L667" s="45"/>
    </row>
    <row r="668" spans="2:12" x14ac:dyDescent="0.35">
      <c r="B668" s="159"/>
      <c r="C668" s="104"/>
      <c r="D668" s="100"/>
      <c r="E668" s="58"/>
      <c r="F668" s="101" t="s">
        <v>130</v>
      </c>
      <c r="G668" s="52" t="s">
        <v>408</v>
      </c>
      <c r="H668" s="60"/>
      <c r="I668" s="98"/>
      <c r="J668" s="49"/>
      <c r="K668" s="28"/>
      <c r="L668" s="51"/>
    </row>
    <row r="669" spans="2:12" x14ac:dyDescent="0.35">
      <c r="B669" s="159"/>
      <c r="C669" s="104"/>
      <c r="D669" s="100"/>
      <c r="E669" s="58"/>
      <c r="F669" s="101" t="s">
        <v>130</v>
      </c>
      <c r="G669" s="52" t="s">
        <v>787</v>
      </c>
      <c r="H669" s="102"/>
      <c r="I669" s="98"/>
      <c r="J669" s="49"/>
      <c r="K669" s="28"/>
      <c r="L669" s="51"/>
    </row>
    <row r="670" spans="2:12" x14ac:dyDescent="0.35">
      <c r="B670" s="159"/>
      <c r="C670" s="104"/>
      <c r="D670" s="100" t="s">
        <v>50</v>
      </c>
      <c r="E670" s="101"/>
      <c r="F670" s="60" t="s">
        <v>407</v>
      </c>
      <c r="G670" s="98"/>
      <c r="H670" s="102">
        <v>3</v>
      </c>
      <c r="I670" s="98" t="s">
        <v>94</v>
      </c>
      <c r="J670" s="212"/>
      <c r="K670" s="50"/>
      <c r="L670" s="45"/>
    </row>
    <row r="671" spans="2:12" x14ac:dyDescent="0.35">
      <c r="B671" s="159"/>
      <c r="C671" s="104"/>
      <c r="D671" s="100"/>
      <c r="E671" s="60"/>
      <c r="F671" s="101" t="s">
        <v>130</v>
      </c>
      <c r="G671" s="52" t="s">
        <v>408</v>
      </c>
      <c r="H671" s="60"/>
      <c r="I671" s="98"/>
      <c r="J671" s="49"/>
      <c r="K671" s="28"/>
      <c r="L671" s="51"/>
    </row>
    <row r="672" spans="2:12" x14ac:dyDescent="0.35">
      <c r="B672" s="159"/>
      <c r="C672" s="104"/>
      <c r="D672" s="100"/>
      <c r="E672" s="58"/>
      <c r="F672" s="101" t="s">
        <v>130</v>
      </c>
      <c r="G672" s="52" t="s">
        <v>409</v>
      </c>
      <c r="H672" s="102"/>
      <c r="I672" s="98"/>
      <c r="J672" s="49"/>
      <c r="K672" s="28"/>
      <c r="L672" s="51"/>
    </row>
    <row r="673" spans="2:12" x14ac:dyDescent="0.35">
      <c r="B673" s="46"/>
      <c r="C673" s="47"/>
      <c r="D673" s="23"/>
      <c r="G673" s="21"/>
      <c r="I673" s="21"/>
      <c r="J673" s="49"/>
      <c r="K673" s="28"/>
      <c r="L673" s="51"/>
    </row>
    <row r="674" spans="2:12" x14ac:dyDescent="0.35">
      <c r="B674" s="46"/>
      <c r="C674" s="47"/>
      <c r="D674" s="23"/>
      <c r="G674" s="21"/>
      <c r="I674" s="21"/>
      <c r="J674" s="49"/>
      <c r="K674" s="28"/>
      <c r="L674" s="51"/>
    </row>
    <row r="675" spans="2:12" x14ac:dyDescent="0.35">
      <c r="B675" s="224"/>
      <c r="C675" s="47"/>
      <c r="D675" s="23"/>
      <c r="G675" s="21"/>
      <c r="I675" s="21"/>
      <c r="J675" s="49"/>
      <c r="K675" s="28"/>
      <c r="L675" s="51"/>
    </row>
    <row r="676" spans="2:12" x14ac:dyDescent="0.35">
      <c r="B676" s="8"/>
      <c r="C676" s="9"/>
      <c r="D676" s="10"/>
      <c r="E676" s="4"/>
      <c r="F676" s="4"/>
      <c r="G676" s="4"/>
      <c r="H676" s="1"/>
      <c r="I676" s="1"/>
      <c r="J676" s="11" t="s">
        <v>8</v>
      </c>
      <c r="K676" s="7">
        <f>SUM(K623:K675)</f>
        <v>0</v>
      </c>
      <c r="L676" s="7">
        <f>SUM(L623:L675)</f>
        <v>0</v>
      </c>
    </row>
    <row r="677" spans="2:12" x14ac:dyDescent="0.35">
      <c r="B677" s="8"/>
      <c r="C677" s="9"/>
      <c r="D677" s="9"/>
      <c r="E677" s="4"/>
      <c r="F677" s="4"/>
      <c r="G677" s="4"/>
      <c r="H677" s="1"/>
      <c r="I677" s="1"/>
      <c r="J677" s="11"/>
      <c r="K677" s="34" t="s">
        <v>13</v>
      </c>
      <c r="L677" s="35" t="s">
        <v>14</v>
      </c>
    </row>
    <row r="678" spans="2:12" x14ac:dyDescent="0.35">
      <c r="B678" s="3" t="s">
        <v>9</v>
      </c>
      <c r="C678" s="4"/>
      <c r="D678" s="4"/>
      <c r="E678" s="4"/>
      <c r="F678" s="4"/>
      <c r="G678" s="4"/>
      <c r="H678" s="1"/>
      <c r="I678" s="1"/>
      <c r="J678" s="12"/>
      <c r="K678" s="12"/>
      <c r="L678" s="13"/>
    </row>
    <row r="679" spans="2:12" x14ac:dyDescent="0.35">
      <c r="B679" s="36"/>
      <c r="C679" s="1"/>
      <c r="D679" s="1"/>
      <c r="E679" s="37"/>
      <c r="F679" s="37"/>
      <c r="G679" s="37"/>
      <c r="H679" s="1"/>
      <c r="I679" s="1"/>
      <c r="J679" s="1"/>
      <c r="K679" s="1"/>
      <c r="L679" s="18"/>
    </row>
    <row r="680" spans="2:12" x14ac:dyDescent="0.35">
      <c r="B680" s="27" t="s">
        <v>6</v>
      </c>
      <c r="C680" s="26"/>
      <c r="D680" s="26"/>
      <c r="E680" s="25"/>
      <c r="F680" s="25"/>
      <c r="G680" s="5"/>
      <c r="K680" s="232" t="s">
        <v>813</v>
      </c>
      <c r="L680" s="233"/>
    </row>
    <row r="681" spans="2:12" x14ac:dyDescent="0.35">
      <c r="B681" s="27">
        <v>1</v>
      </c>
      <c r="C681" s="26"/>
      <c r="D681" s="26"/>
      <c r="E681" s="25" t="s">
        <v>7</v>
      </c>
      <c r="F681" s="25"/>
      <c r="G681" s="5"/>
      <c r="K681" s="232" t="s">
        <v>18</v>
      </c>
      <c r="L681" s="233"/>
    </row>
    <row r="682" spans="2:12" x14ac:dyDescent="0.35">
      <c r="B682" s="38"/>
      <c r="C682" s="26"/>
      <c r="D682" s="26"/>
      <c r="E682" s="25"/>
      <c r="F682" s="25"/>
      <c r="G682" s="5"/>
      <c r="J682" s="24"/>
      <c r="K682" s="24"/>
      <c r="L682" s="23"/>
    </row>
    <row r="683" spans="2:12" x14ac:dyDescent="0.35">
      <c r="B683" s="27"/>
      <c r="C683" s="26"/>
      <c r="D683" s="26"/>
      <c r="E683" s="25"/>
      <c r="F683" s="25"/>
      <c r="G683" s="5"/>
      <c r="L683" s="21"/>
    </row>
    <row r="684" spans="2:12" x14ac:dyDescent="0.35">
      <c r="B684" s="44"/>
      <c r="E684" s="5"/>
      <c r="F684" s="5"/>
      <c r="G684" s="5"/>
      <c r="L684" s="21"/>
    </row>
    <row r="685" spans="2:12" x14ac:dyDescent="0.35">
      <c r="B685" s="44"/>
      <c r="E685" s="5"/>
      <c r="F685" s="5"/>
      <c r="G685" s="5"/>
      <c r="L685" s="21"/>
    </row>
    <row r="686" spans="2:12" x14ac:dyDescent="0.35">
      <c r="B686" s="44"/>
      <c r="E686" s="5"/>
      <c r="F686" s="5"/>
      <c r="G686" s="5"/>
      <c r="L686" s="21"/>
    </row>
    <row r="687" spans="2:12" x14ac:dyDescent="0.35">
      <c r="B687" s="44"/>
      <c r="E687" s="5"/>
      <c r="F687" s="5"/>
      <c r="G687" s="5"/>
      <c r="J687" s="39"/>
      <c r="K687" s="234" t="s">
        <v>26</v>
      </c>
      <c r="L687" s="235"/>
    </row>
    <row r="688" spans="2:12" x14ac:dyDescent="0.35">
      <c r="B688" s="44"/>
      <c r="K688" s="236" t="s">
        <v>27</v>
      </c>
      <c r="L688" s="237"/>
    </row>
    <row r="689" spans="2:12" x14ac:dyDescent="0.35">
      <c r="B689" s="238"/>
      <c r="C689" s="239"/>
      <c r="D689" s="239"/>
      <c r="E689" s="40"/>
      <c r="F689" s="40"/>
      <c r="G689" s="40"/>
      <c r="H689" s="2"/>
      <c r="I689" s="2"/>
      <c r="J689" s="2"/>
      <c r="K689" s="2"/>
      <c r="L689" s="20"/>
    </row>
    <row r="690" spans="2:12" x14ac:dyDescent="0.35">
      <c r="B690" s="222"/>
      <c r="C690" s="47"/>
      <c r="D690" s="48"/>
      <c r="G690" s="21"/>
      <c r="H690" s="1"/>
      <c r="I690" s="1"/>
      <c r="J690" s="42"/>
      <c r="K690" s="29"/>
      <c r="L690" s="43"/>
    </row>
    <row r="691" spans="2:12" s="33" customFormat="1" x14ac:dyDescent="0.35">
      <c r="B691" s="103"/>
      <c r="C691" s="68"/>
      <c r="D691" s="100" t="s">
        <v>52</v>
      </c>
      <c r="E691" s="101"/>
      <c r="F691" s="60" t="s">
        <v>410</v>
      </c>
      <c r="G691" s="98"/>
      <c r="H691" s="102">
        <v>2</v>
      </c>
      <c r="I691" s="98" t="s">
        <v>94</v>
      </c>
      <c r="J691" s="28"/>
      <c r="K691" s="50"/>
      <c r="L691" s="45"/>
    </row>
    <row r="692" spans="2:12" x14ac:dyDescent="0.35">
      <c r="B692" s="96"/>
      <c r="C692" s="68"/>
      <c r="D692" s="100"/>
      <c r="E692" s="58"/>
      <c r="F692" s="101" t="s">
        <v>130</v>
      </c>
      <c r="G692" s="52" t="s">
        <v>411</v>
      </c>
      <c r="H692" s="60"/>
      <c r="I692" s="98"/>
      <c r="J692" s="49"/>
      <c r="K692" s="50"/>
      <c r="L692" s="45"/>
    </row>
    <row r="693" spans="2:12" x14ac:dyDescent="0.35">
      <c r="B693" s="103"/>
      <c r="C693" s="68"/>
      <c r="D693" s="100"/>
      <c r="E693" s="58"/>
      <c r="F693" s="101" t="s">
        <v>130</v>
      </c>
      <c r="G693" s="52" t="s">
        <v>154</v>
      </c>
      <c r="H693" s="102"/>
      <c r="I693" s="98"/>
      <c r="J693" s="49"/>
      <c r="K693" s="50"/>
      <c r="L693" s="45"/>
    </row>
    <row r="694" spans="2:12" x14ac:dyDescent="0.35">
      <c r="B694" s="129"/>
      <c r="C694" s="104"/>
      <c r="D694" s="100" t="s">
        <v>54</v>
      </c>
      <c r="E694" s="101"/>
      <c r="F694" s="60" t="s">
        <v>412</v>
      </c>
      <c r="G694" s="98"/>
      <c r="H694" s="102">
        <v>2</v>
      </c>
      <c r="I694" s="98" t="s">
        <v>94</v>
      </c>
      <c r="J694" s="201"/>
      <c r="K694" s="50"/>
      <c r="L694" s="45"/>
    </row>
    <row r="695" spans="2:12" x14ac:dyDescent="0.35">
      <c r="B695" s="129"/>
      <c r="C695" s="104"/>
      <c r="D695" s="100"/>
      <c r="E695" s="60"/>
      <c r="F695" s="101" t="s">
        <v>130</v>
      </c>
      <c r="G695" s="52" t="s">
        <v>146</v>
      </c>
      <c r="H695" s="102"/>
      <c r="I695" s="98"/>
      <c r="J695" s="49"/>
      <c r="K695" s="28"/>
      <c r="L695" s="51"/>
    </row>
    <row r="696" spans="2:12" x14ac:dyDescent="0.35">
      <c r="B696" s="158"/>
      <c r="C696" s="104"/>
      <c r="D696" s="100"/>
      <c r="E696" s="58"/>
      <c r="F696" s="101" t="s">
        <v>130</v>
      </c>
      <c r="G696" s="52" t="s">
        <v>413</v>
      </c>
      <c r="H696" s="60"/>
      <c r="I696" s="98"/>
      <c r="J696" s="49"/>
      <c r="K696" s="28"/>
      <c r="L696" s="51"/>
    </row>
    <row r="697" spans="2:12" x14ac:dyDescent="0.35">
      <c r="B697" s="158"/>
      <c r="C697" s="127"/>
      <c r="D697" s="100"/>
      <c r="E697" s="58"/>
      <c r="F697" s="101" t="s">
        <v>130</v>
      </c>
      <c r="G697" s="52" t="s">
        <v>149</v>
      </c>
      <c r="H697" s="102"/>
      <c r="I697" s="98"/>
      <c r="J697" s="49"/>
      <c r="K697" s="28"/>
      <c r="L697" s="51"/>
    </row>
    <row r="698" spans="2:12" x14ac:dyDescent="0.35">
      <c r="B698" s="129"/>
      <c r="C698" s="104"/>
      <c r="D698" s="100" t="s">
        <v>56</v>
      </c>
      <c r="E698" s="101"/>
      <c r="F698" s="60" t="s">
        <v>414</v>
      </c>
      <c r="G698" s="98"/>
      <c r="H698" s="102">
        <v>2</v>
      </c>
      <c r="I698" s="98" t="s">
        <v>94</v>
      </c>
      <c r="J698" s="201"/>
      <c r="K698" s="50"/>
      <c r="L698" s="45"/>
    </row>
    <row r="699" spans="2:12" x14ac:dyDescent="0.35">
      <c r="B699" s="129"/>
      <c r="C699" s="104"/>
      <c r="D699" s="100"/>
      <c r="E699" s="60"/>
      <c r="F699" s="101" t="s">
        <v>130</v>
      </c>
      <c r="G699" s="52" t="s">
        <v>146</v>
      </c>
      <c r="H699" s="102"/>
      <c r="I699" s="98"/>
      <c r="J699" s="49"/>
      <c r="K699" s="28"/>
      <c r="L699" s="51"/>
    </row>
    <row r="700" spans="2:12" x14ac:dyDescent="0.35">
      <c r="B700" s="158"/>
      <c r="C700" s="104"/>
      <c r="D700" s="100"/>
      <c r="E700" s="58"/>
      <c r="F700" s="101" t="s">
        <v>130</v>
      </c>
      <c r="G700" s="52" t="s">
        <v>415</v>
      </c>
      <c r="H700" s="60"/>
      <c r="I700" s="98"/>
      <c r="J700" s="49"/>
      <c r="K700" s="28"/>
      <c r="L700" s="51"/>
    </row>
    <row r="701" spans="2:12" x14ac:dyDescent="0.35">
      <c r="B701" s="158"/>
      <c r="C701" s="104"/>
      <c r="D701" s="100"/>
      <c r="E701" s="58"/>
      <c r="F701" s="101" t="s">
        <v>130</v>
      </c>
      <c r="G701" s="52" t="s">
        <v>149</v>
      </c>
      <c r="H701" s="102"/>
      <c r="I701" s="98"/>
      <c r="J701" s="49"/>
      <c r="K701" s="28"/>
      <c r="L701" s="51"/>
    </row>
    <row r="702" spans="2:12" x14ac:dyDescent="0.35">
      <c r="B702" s="129"/>
      <c r="C702" s="104"/>
      <c r="D702" s="100" t="s">
        <v>58</v>
      </c>
      <c r="E702" s="101"/>
      <c r="F702" s="60" t="s">
        <v>416</v>
      </c>
      <c r="G702" s="98"/>
      <c r="H702" s="102">
        <v>1</v>
      </c>
      <c r="I702" s="98" t="s">
        <v>94</v>
      </c>
      <c r="J702" s="45"/>
      <c r="K702" s="50"/>
      <c r="L702" s="45"/>
    </row>
    <row r="703" spans="2:12" x14ac:dyDescent="0.35">
      <c r="B703" s="158"/>
      <c r="C703" s="104"/>
      <c r="D703" s="100"/>
      <c r="E703" s="58"/>
      <c r="F703" s="101" t="s">
        <v>130</v>
      </c>
      <c r="G703" s="52" t="s">
        <v>791</v>
      </c>
      <c r="H703" s="60"/>
      <c r="I703" s="98"/>
      <c r="J703" s="49"/>
      <c r="K703" s="28"/>
      <c r="L703" s="51"/>
    </row>
    <row r="704" spans="2:12" x14ac:dyDescent="0.35">
      <c r="B704" s="158"/>
      <c r="C704" s="127"/>
      <c r="D704" s="100"/>
      <c r="E704" s="58"/>
      <c r="F704" s="101" t="s">
        <v>130</v>
      </c>
      <c r="G704" s="52" t="s">
        <v>154</v>
      </c>
      <c r="H704" s="102"/>
      <c r="I704" s="98"/>
      <c r="J704" s="49"/>
      <c r="K704" s="28"/>
      <c r="L704" s="51"/>
    </row>
    <row r="705" spans="2:12" x14ac:dyDescent="0.35">
      <c r="B705" s="129"/>
      <c r="C705" s="104"/>
      <c r="D705" s="100" t="s">
        <v>61</v>
      </c>
      <c r="E705" s="101"/>
      <c r="F705" s="60" t="s">
        <v>417</v>
      </c>
      <c r="G705" s="98"/>
      <c r="H705" s="102">
        <v>2</v>
      </c>
      <c r="I705" s="98" t="s">
        <v>94</v>
      </c>
      <c r="J705" s="45"/>
      <c r="K705" s="50"/>
      <c r="L705" s="45"/>
    </row>
    <row r="706" spans="2:12" x14ac:dyDescent="0.35">
      <c r="B706" s="129"/>
      <c r="C706" s="104"/>
      <c r="D706" s="100"/>
      <c r="E706" s="60"/>
      <c r="F706" s="101" t="s">
        <v>130</v>
      </c>
      <c r="G706" s="52" t="s">
        <v>146</v>
      </c>
      <c r="H706" s="102"/>
      <c r="I706" s="98"/>
      <c r="J706" s="49"/>
      <c r="K706" s="28"/>
      <c r="L706" s="51"/>
    </row>
    <row r="707" spans="2:12" x14ac:dyDescent="0.35">
      <c r="B707" s="158"/>
      <c r="C707" s="104"/>
      <c r="D707" s="100"/>
      <c r="E707" s="58"/>
      <c r="F707" s="101" t="s">
        <v>130</v>
      </c>
      <c r="G707" s="52" t="s">
        <v>418</v>
      </c>
      <c r="H707" s="60"/>
      <c r="I707" s="98"/>
      <c r="J707" s="49"/>
      <c r="K707" s="28"/>
      <c r="L707" s="51"/>
    </row>
    <row r="708" spans="2:12" x14ac:dyDescent="0.35">
      <c r="B708" s="158"/>
      <c r="C708" s="104"/>
      <c r="D708" s="100"/>
      <c r="E708" s="58"/>
      <c r="F708" s="101" t="s">
        <v>130</v>
      </c>
      <c r="G708" s="52" t="s">
        <v>419</v>
      </c>
      <c r="H708" s="60"/>
      <c r="I708" s="98"/>
      <c r="J708" s="49"/>
      <c r="K708" s="28"/>
      <c r="L708" s="51"/>
    </row>
    <row r="709" spans="2:12" x14ac:dyDescent="0.35">
      <c r="B709" s="158"/>
      <c r="C709" s="127"/>
      <c r="D709" s="100"/>
      <c r="E709" s="58"/>
      <c r="F709" s="101" t="s">
        <v>130</v>
      </c>
      <c r="G709" s="52" t="s">
        <v>149</v>
      </c>
      <c r="H709" s="102"/>
      <c r="I709" s="98"/>
      <c r="J709" s="49"/>
      <c r="K709" s="28"/>
      <c r="L709" s="51"/>
    </row>
    <row r="710" spans="2:12" x14ac:dyDescent="0.35">
      <c r="B710" s="129"/>
      <c r="C710" s="104"/>
      <c r="D710" s="64" t="s">
        <v>63</v>
      </c>
      <c r="E710" s="68"/>
      <c r="F710" s="60" t="s">
        <v>420</v>
      </c>
      <c r="G710" s="98"/>
      <c r="H710" s="102">
        <v>1</v>
      </c>
      <c r="I710" s="98" t="s">
        <v>94</v>
      </c>
      <c r="J710" s="201"/>
      <c r="K710" s="50"/>
      <c r="L710" s="45"/>
    </row>
    <row r="711" spans="2:12" x14ac:dyDescent="0.35">
      <c r="B711" s="129"/>
      <c r="C711" s="104"/>
      <c r="D711" s="64"/>
      <c r="E711" s="60"/>
      <c r="F711" s="101" t="s">
        <v>130</v>
      </c>
      <c r="G711" s="52" t="s">
        <v>766</v>
      </c>
      <c r="H711" s="60"/>
      <c r="I711" s="98"/>
      <c r="J711" s="49"/>
      <c r="K711" s="28"/>
      <c r="L711" s="51"/>
    </row>
    <row r="712" spans="2:12" x14ac:dyDescent="0.35">
      <c r="B712" s="129"/>
      <c r="C712" s="104"/>
      <c r="D712" s="64"/>
      <c r="E712" s="60"/>
      <c r="F712" s="101" t="s">
        <v>130</v>
      </c>
      <c r="G712" s="52" t="s">
        <v>792</v>
      </c>
      <c r="H712" s="102"/>
      <c r="I712" s="98"/>
      <c r="J712" s="49"/>
      <c r="K712" s="28"/>
      <c r="L712" s="51"/>
    </row>
    <row r="713" spans="2:12" x14ac:dyDescent="0.35">
      <c r="B713" s="129"/>
      <c r="C713" s="104"/>
      <c r="D713" s="64" t="s">
        <v>66</v>
      </c>
      <c r="E713" s="68"/>
      <c r="F713" s="60" t="s">
        <v>421</v>
      </c>
      <c r="G713" s="98"/>
      <c r="H713" s="102">
        <v>2</v>
      </c>
      <c r="I713" s="98" t="s">
        <v>94</v>
      </c>
      <c r="J713" s="45"/>
      <c r="K713" s="50"/>
      <c r="L713" s="45"/>
    </row>
    <row r="714" spans="2:12" x14ac:dyDescent="0.35">
      <c r="B714" s="129"/>
      <c r="C714" s="104"/>
      <c r="D714" s="64"/>
      <c r="E714" s="60"/>
      <c r="F714" s="101" t="s">
        <v>130</v>
      </c>
      <c r="G714" s="52" t="s">
        <v>422</v>
      </c>
      <c r="H714" s="60"/>
      <c r="I714" s="98"/>
      <c r="J714" s="49"/>
      <c r="K714" s="28"/>
      <c r="L714" s="51"/>
    </row>
    <row r="715" spans="2:12" x14ac:dyDescent="0.35">
      <c r="B715" s="129"/>
      <c r="C715" s="104"/>
      <c r="D715" s="64"/>
      <c r="E715" s="60"/>
      <c r="F715" s="101" t="s">
        <v>130</v>
      </c>
      <c r="G715" s="52" t="s">
        <v>423</v>
      </c>
      <c r="H715" s="102"/>
      <c r="I715" s="98"/>
      <c r="J715" s="49"/>
      <c r="K715" s="28"/>
      <c r="L715" s="51"/>
    </row>
    <row r="716" spans="2:12" x14ac:dyDescent="0.35">
      <c r="B716" s="129"/>
      <c r="C716" s="104"/>
      <c r="D716" s="64" t="s">
        <v>68</v>
      </c>
      <c r="E716" s="68"/>
      <c r="F716" s="60" t="s">
        <v>424</v>
      </c>
      <c r="G716" s="98"/>
      <c r="H716" s="102">
        <v>1</v>
      </c>
      <c r="I716" s="98" t="s">
        <v>94</v>
      </c>
      <c r="J716" s="212"/>
      <c r="K716" s="50"/>
      <c r="L716" s="45"/>
    </row>
    <row r="717" spans="2:12" x14ac:dyDescent="0.35">
      <c r="B717" s="129"/>
      <c r="C717" s="104"/>
      <c r="D717" s="64"/>
      <c r="E717" s="60"/>
      <c r="F717" s="101" t="s">
        <v>130</v>
      </c>
      <c r="G717" s="52" t="s">
        <v>793</v>
      </c>
      <c r="H717" s="60"/>
      <c r="I717" s="98"/>
      <c r="J717" s="49"/>
      <c r="K717" s="28"/>
      <c r="L717" s="51"/>
    </row>
    <row r="718" spans="2:12" x14ac:dyDescent="0.35">
      <c r="B718" s="129"/>
      <c r="C718" s="104"/>
      <c r="D718" s="64"/>
      <c r="E718" s="60"/>
      <c r="F718" s="101" t="s">
        <v>130</v>
      </c>
      <c r="G718" s="52" t="s">
        <v>409</v>
      </c>
      <c r="H718" s="102"/>
      <c r="I718" s="98"/>
      <c r="J718" s="49"/>
      <c r="K718" s="28"/>
      <c r="L718" s="51"/>
    </row>
    <row r="719" spans="2:12" x14ac:dyDescent="0.35">
      <c r="B719" s="129"/>
      <c r="C719" s="104"/>
      <c r="D719" s="100" t="s">
        <v>425</v>
      </c>
      <c r="E719" s="101"/>
      <c r="F719" s="60" t="s">
        <v>426</v>
      </c>
      <c r="G719" s="98"/>
      <c r="H719" s="102">
        <v>1</v>
      </c>
      <c r="I719" s="98" t="s">
        <v>94</v>
      </c>
      <c r="J719" s="28"/>
      <c r="K719" s="50"/>
      <c r="L719" s="45"/>
    </row>
    <row r="720" spans="2:12" x14ac:dyDescent="0.35">
      <c r="B720" s="129"/>
      <c r="C720" s="104"/>
      <c r="D720" s="100"/>
      <c r="E720" s="60"/>
      <c r="F720" s="101" t="s">
        <v>130</v>
      </c>
      <c r="G720" s="52" t="s">
        <v>146</v>
      </c>
      <c r="H720" s="102"/>
      <c r="I720" s="98"/>
      <c r="J720" s="49"/>
      <c r="K720" s="28"/>
      <c r="L720" s="51"/>
    </row>
    <row r="721" spans="2:12" x14ac:dyDescent="0.35">
      <c r="B721" s="158"/>
      <c r="C721" s="104"/>
      <c r="D721" s="100"/>
      <c r="E721" s="58"/>
      <c r="F721" s="101" t="s">
        <v>130</v>
      </c>
      <c r="G721" s="52" t="s">
        <v>786</v>
      </c>
      <c r="H721" s="60"/>
      <c r="I721" s="98"/>
      <c r="J721" s="49"/>
      <c r="K721" s="28"/>
      <c r="L721" s="51"/>
    </row>
    <row r="722" spans="2:12" x14ac:dyDescent="0.35">
      <c r="B722" s="158"/>
      <c r="C722" s="104"/>
      <c r="D722" s="100"/>
      <c r="E722" s="58"/>
      <c r="F722" s="101" t="s">
        <v>130</v>
      </c>
      <c r="G722" s="52" t="s">
        <v>794</v>
      </c>
      <c r="H722" s="60"/>
      <c r="I722" s="98"/>
      <c r="J722" s="49"/>
      <c r="K722" s="28"/>
      <c r="L722" s="51"/>
    </row>
    <row r="723" spans="2:12" x14ac:dyDescent="0.35">
      <c r="B723" s="158"/>
      <c r="C723" s="127"/>
      <c r="D723" s="100"/>
      <c r="E723" s="58"/>
      <c r="F723" s="101" t="s">
        <v>130</v>
      </c>
      <c r="G723" s="52" t="s">
        <v>795</v>
      </c>
      <c r="H723" s="102"/>
      <c r="I723" s="98"/>
      <c r="J723" s="49"/>
      <c r="K723" s="28"/>
      <c r="L723" s="51"/>
    </row>
    <row r="724" spans="2:12" x14ac:dyDescent="0.35">
      <c r="B724" s="129"/>
      <c r="C724" s="104"/>
      <c r="D724" s="100" t="s">
        <v>427</v>
      </c>
      <c r="E724" s="101"/>
      <c r="F724" s="60" t="s">
        <v>428</v>
      </c>
      <c r="G724" s="98"/>
      <c r="H724" s="102">
        <v>2</v>
      </c>
      <c r="I724" s="98" t="s">
        <v>94</v>
      </c>
      <c r="J724" s="28"/>
      <c r="K724" s="50"/>
      <c r="L724" s="45"/>
    </row>
    <row r="725" spans="2:12" x14ac:dyDescent="0.35">
      <c r="B725" s="129"/>
      <c r="C725" s="104"/>
      <c r="D725" s="100"/>
      <c r="E725" s="60"/>
      <c r="F725" s="101" t="s">
        <v>130</v>
      </c>
      <c r="G725" s="52" t="s">
        <v>146</v>
      </c>
      <c r="H725" s="102"/>
      <c r="I725" s="98"/>
      <c r="J725" s="49"/>
      <c r="K725" s="28"/>
      <c r="L725" s="51"/>
    </row>
    <row r="726" spans="2:12" x14ac:dyDescent="0.35">
      <c r="B726" s="158"/>
      <c r="C726" s="104"/>
      <c r="D726" s="100"/>
      <c r="E726" s="58"/>
      <c r="F726" s="101" t="s">
        <v>130</v>
      </c>
      <c r="G726" s="52" t="s">
        <v>429</v>
      </c>
      <c r="H726" s="60"/>
      <c r="I726" s="98"/>
      <c r="J726" s="49"/>
      <c r="K726" s="28"/>
      <c r="L726" s="51"/>
    </row>
    <row r="727" spans="2:12" x14ac:dyDescent="0.35">
      <c r="B727" s="158"/>
      <c r="C727" s="127"/>
      <c r="D727" s="100"/>
      <c r="E727" s="58"/>
      <c r="F727" s="101" t="s">
        <v>130</v>
      </c>
      <c r="G727" s="52" t="s">
        <v>149</v>
      </c>
      <c r="H727" s="102"/>
      <c r="I727" s="98"/>
      <c r="J727" s="49"/>
      <c r="K727" s="28"/>
      <c r="L727" s="51"/>
    </row>
    <row r="728" spans="2:12" x14ac:dyDescent="0.35">
      <c r="B728" s="129"/>
      <c r="C728" s="104"/>
      <c r="D728" s="100" t="s">
        <v>430</v>
      </c>
      <c r="E728" s="101"/>
      <c r="F728" s="60" t="s">
        <v>431</v>
      </c>
      <c r="G728" s="98"/>
      <c r="H728" s="102">
        <v>1</v>
      </c>
      <c r="I728" s="98" t="s">
        <v>94</v>
      </c>
      <c r="J728" s="201"/>
      <c r="K728" s="50"/>
      <c r="L728" s="45"/>
    </row>
    <row r="729" spans="2:12" x14ac:dyDescent="0.35">
      <c r="B729" s="129"/>
      <c r="C729" s="104"/>
      <c r="D729" s="100"/>
      <c r="E729" s="60"/>
      <c r="F729" s="101" t="s">
        <v>130</v>
      </c>
      <c r="G729" s="52" t="s">
        <v>146</v>
      </c>
      <c r="H729" s="102"/>
      <c r="I729" s="98"/>
      <c r="J729" s="49"/>
      <c r="K729" s="28"/>
      <c r="L729" s="51"/>
    </row>
    <row r="730" spans="2:12" x14ac:dyDescent="0.35">
      <c r="B730" s="158"/>
      <c r="C730" s="104"/>
      <c r="D730" s="100"/>
      <c r="E730" s="58"/>
      <c r="F730" s="101" t="s">
        <v>130</v>
      </c>
      <c r="G730" s="52" t="s">
        <v>796</v>
      </c>
      <c r="H730" s="60"/>
      <c r="I730" s="98"/>
      <c r="J730" s="49"/>
      <c r="K730" s="28"/>
      <c r="L730" s="51"/>
    </row>
    <row r="731" spans="2:12" x14ac:dyDescent="0.35">
      <c r="B731" s="158"/>
      <c r="C731" s="127"/>
      <c r="D731" s="100"/>
      <c r="E731" s="58"/>
      <c r="F731" s="101" t="s">
        <v>130</v>
      </c>
      <c r="G731" s="52" t="s">
        <v>797</v>
      </c>
      <c r="H731" s="102"/>
      <c r="I731" s="98"/>
      <c r="J731" s="49"/>
      <c r="K731" s="28"/>
      <c r="L731" s="51"/>
    </row>
    <row r="732" spans="2:12" x14ac:dyDescent="0.35">
      <c r="B732" s="129"/>
      <c r="C732" s="104"/>
      <c r="D732" s="100" t="s">
        <v>432</v>
      </c>
      <c r="E732" s="101"/>
      <c r="F732" s="60" t="s">
        <v>433</v>
      </c>
      <c r="G732" s="98"/>
      <c r="H732" s="102">
        <v>1</v>
      </c>
      <c r="I732" s="98" t="s">
        <v>94</v>
      </c>
      <c r="J732" s="201"/>
      <c r="K732" s="50"/>
      <c r="L732" s="45"/>
    </row>
    <row r="733" spans="2:12" x14ac:dyDescent="0.35">
      <c r="B733" s="129"/>
      <c r="C733" s="104"/>
      <c r="D733" s="100"/>
      <c r="E733" s="60"/>
      <c r="F733" s="101" t="s">
        <v>130</v>
      </c>
      <c r="G733" s="52" t="s">
        <v>146</v>
      </c>
      <c r="H733" s="102"/>
      <c r="I733" s="98"/>
      <c r="J733" s="49"/>
      <c r="K733" s="28"/>
      <c r="L733" s="51"/>
    </row>
    <row r="734" spans="2:12" x14ac:dyDescent="0.35">
      <c r="B734" s="158"/>
      <c r="C734" s="104"/>
      <c r="D734" s="100"/>
      <c r="E734" s="58"/>
      <c r="F734" s="101" t="s">
        <v>130</v>
      </c>
      <c r="G734" s="52" t="s">
        <v>798</v>
      </c>
      <c r="H734" s="60"/>
      <c r="I734" s="98"/>
      <c r="J734" s="49"/>
      <c r="K734" s="28"/>
      <c r="L734" s="51"/>
    </row>
    <row r="735" spans="2:12" x14ac:dyDescent="0.35">
      <c r="B735" s="158"/>
      <c r="C735" s="104"/>
      <c r="D735" s="100"/>
      <c r="E735" s="58"/>
      <c r="F735" s="101" t="s">
        <v>130</v>
      </c>
      <c r="G735" s="52" t="s">
        <v>768</v>
      </c>
      <c r="H735" s="60"/>
      <c r="I735" s="98"/>
      <c r="J735" s="49"/>
      <c r="K735" s="28"/>
      <c r="L735" s="51"/>
    </row>
    <row r="736" spans="2:12" x14ac:dyDescent="0.35">
      <c r="B736" s="158"/>
      <c r="C736" s="127"/>
      <c r="D736" s="100"/>
      <c r="E736" s="58"/>
      <c r="F736" s="101" t="s">
        <v>130</v>
      </c>
      <c r="G736" s="52" t="s">
        <v>799</v>
      </c>
      <c r="H736" s="102"/>
      <c r="I736" s="98"/>
      <c r="J736" s="49"/>
      <c r="K736" s="28"/>
      <c r="L736" s="51"/>
    </row>
    <row r="737" spans="2:12" x14ac:dyDescent="0.35">
      <c r="B737" s="158"/>
      <c r="C737" s="127"/>
      <c r="D737" s="100"/>
      <c r="E737" s="58"/>
      <c r="F737" s="101" t="s">
        <v>130</v>
      </c>
      <c r="G737" s="52" t="s">
        <v>800</v>
      </c>
      <c r="H737" s="102"/>
      <c r="I737" s="98"/>
      <c r="J737" s="49"/>
      <c r="K737" s="28"/>
      <c r="L737" s="51"/>
    </row>
    <row r="738" spans="2:12" x14ac:dyDescent="0.35">
      <c r="B738" s="129"/>
      <c r="C738" s="104"/>
      <c r="D738" s="100" t="s">
        <v>434</v>
      </c>
      <c r="E738" s="101"/>
      <c r="F738" s="60" t="s">
        <v>435</v>
      </c>
      <c r="G738" s="98"/>
      <c r="H738" s="102">
        <v>1</v>
      </c>
      <c r="I738" s="98" t="s">
        <v>94</v>
      </c>
      <c r="J738" s="201"/>
      <c r="K738" s="50"/>
      <c r="L738" s="45"/>
    </row>
    <row r="739" spans="2:12" x14ac:dyDescent="0.35">
      <c r="B739" s="129"/>
      <c r="C739" s="104"/>
      <c r="D739" s="100"/>
      <c r="E739" s="60"/>
      <c r="F739" s="101" t="s">
        <v>130</v>
      </c>
      <c r="G739" s="52" t="s">
        <v>146</v>
      </c>
      <c r="H739" s="102"/>
      <c r="I739" s="98"/>
      <c r="J739" s="49"/>
      <c r="K739" s="28"/>
      <c r="L739" s="51"/>
    </row>
    <row r="740" spans="2:12" x14ac:dyDescent="0.35">
      <c r="B740" s="158"/>
      <c r="C740" s="104"/>
      <c r="D740" s="100"/>
      <c r="E740" s="58"/>
      <c r="F740" s="101" t="s">
        <v>130</v>
      </c>
      <c r="G740" s="52" t="s">
        <v>801</v>
      </c>
      <c r="H740" s="60"/>
      <c r="I740" s="98"/>
      <c r="J740" s="49"/>
      <c r="K740" s="28"/>
      <c r="L740" s="51"/>
    </row>
    <row r="741" spans="2:12" x14ac:dyDescent="0.35">
      <c r="B741" s="158"/>
      <c r="C741" s="127"/>
      <c r="D741" s="100"/>
      <c r="E741" s="58"/>
      <c r="F741" s="101" t="s">
        <v>130</v>
      </c>
      <c r="G741" s="52" t="s">
        <v>154</v>
      </c>
      <c r="H741" s="102"/>
      <c r="I741" s="98"/>
      <c r="J741" s="49"/>
      <c r="K741" s="28"/>
      <c r="L741" s="51"/>
    </row>
    <row r="742" spans="2:12" x14ac:dyDescent="0.35">
      <c r="B742" s="224"/>
      <c r="C742" s="47"/>
      <c r="D742" s="23"/>
      <c r="G742" s="21"/>
      <c r="I742" s="21"/>
      <c r="J742" s="49"/>
      <c r="K742" s="28"/>
      <c r="L742" s="51"/>
    </row>
    <row r="743" spans="2:12" x14ac:dyDescent="0.35">
      <c r="B743" s="8"/>
      <c r="C743" s="9"/>
      <c r="D743" s="10"/>
      <c r="E743" s="4"/>
      <c r="F743" s="4"/>
      <c r="G743" s="4"/>
      <c r="H743" s="1"/>
      <c r="I743" s="1"/>
      <c r="J743" s="11" t="s">
        <v>8</v>
      </c>
      <c r="K743" s="7">
        <f>SUM(K690:K742)</f>
        <v>0</v>
      </c>
      <c r="L743" s="7">
        <f>SUM(L690:L742)</f>
        <v>0</v>
      </c>
    </row>
    <row r="744" spans="2:12" x14ac:dyDescent="0.35">
      <c r="B744" s="8"/>
      <c r="C744" s="9"/>
      <c r="D744" s="9"/>
      <c r="E744" s="4"/>
      <c r="F744" s="4"/>
      <c r="G744" s="4"/>
      <c r="H744" s="1"/>
      <c r="I744" s="1"/>
      <c r="J744" s="11"/>
      <c r="K744" s="34" t="s">
        <v>13</v>
      </c>
      <c r="L744" s="35" t="s">
        <v>14</v>
      </c>
    </row>
    <row r="745" spans="2:12" x14ac:dyDescent="0.35">
      <c r="B745" s="3" t="s">
        <v>9</v>
      </c>
      <c r="C745" s="4"/>
      <c r="D745" s="4"/>
      <c r="E745" s="4"/>
      <c r="F745" s="4"/>
      <c r="G745" s="4"/>
      <c r="H745" s="1"/>
      <c r="I745" s="1"/>
      <c r="J745" s="12"/>
      <c r="K745" s="12"/>
      <c r="L745" s="13"/>
    </row>
    <row r="746" spans="2:12" x14ac:dyDescent="0.35">
      <c r="B746" s="36"/>
      <c r="C746" s="1"/>
      <c r="D746" s="1"/>
      <c r="E746" s="37"/>
      <c r="F746" s="37"/>
      <c r="G746" s="37"/>
      <c r="H746" s="1"/>
      <c r="I746" s="1"/>
      <c r="J746" s="1"/>
      <c r="K746" s="1"/>
      <c r="L746" s="18"/>
    </row>
    <row r="747" spans="2:12" x14ac:dyDescent="0.35">
      <c r="B747" s="27" t="s">
        <v>6</v>
      </c>
      <c r="C747" s="26"/>
      <c r="D747" s="26"/>
      <c r="E747" s="25"/>
      <c r="F747" s="25"/>
      <c r="G747" s="5"/>
      <c r="K747" s="232" t="s">
        <v>813</v>
      </c>
      <c r="L747" s="233"/>
    </row>
    <row r="748" spans="2:12" x14ac:dyDescent="0.35">
      <c r="B748" s="27">
        <v>1</v>
      </c>
      <c r="C748" s="26"/>
      <c r="D748" s="26"/>
      <c r="E748" s="25" t="s">
        <v>7</v>
      </c>
      <c r="F748" s="25"/>
      <c r="G748" s="5"/>
      <c r="K748" s="232" t="s">
        <v>18</v>
      </c>
      <c r="L748" s="233"/>
    </row>
    <row r="749" spans="2:12" x14ac:dyDescent="0.35">
      <c r="B749" s="38"/>
      <c r="C749" s="26"/>
      <c r="D749" s="26"/>
      <c r="E749" s="25"/>
      <c r="F749" s="25"/>
      <c r="G749" s="5"/>
      <c r="J749" s="24"/>
      <c r="K749" s="24"/>
      <c r="L749" s="23"/>
    </row>
    <row r="750" spans="2:12" x14ac:dyDescent="0.35">
      <c r="B750" s="27"/>
      <c r="C750" s="26"/>
      <c r="D750" s="26"/>
      <c r="E750" s="25"/>
      <c r="F750" s="25"/>
      <c r="G750" s="5"/>
      <c r="L750" s="21"/>
    </row>
    <row r="751" spans="2:12" x14ac:dyDescent="0.35">
      <c r="B751" s="44"/>
      <c r="E751" s="5"/>
      <c r="F751" s="5"/>
      <c r="G751" s="5"/>
      <c r="L751" s="21"/>
    </row>
    <row r="752" spans="2:12" x14ac:dyDescent="0.35">
      <c r="B752" s="44"/>
      <c r="E752" s="5"/>
      <c r="F752" s="5"/>
      <c r="G752" s="5"/>
      <c r="L752" s="21"/>
    </row>
    <row r="753" spans="2:12" x14ac:dyDescent="0.35">
      <c r="B753" s="44"/>
      <c r="E753" s="5"/>
      <c r="F753" s="5"/>
      <c r="G753" s="5"/>
      <c r="L753" s="21"/>
    </row>
    <row r="754" spans="2:12" x14ac:dyDescent="0.35">
      <c r="B754" s="44"/>
      <c r="E754" s="5"/>
      <c r="F754" s="5"/>
      <c r="G754" s="5"/>
      <c r="J754" s="39"/>
      <c r="K754" s="234" t="s">
        <v>26</v>
      </c>
      <c r="L754" s="235"/>
    </row>
    <row r="755" spans="2:12" x14ac:dyDescent="0.35">
      <c r="B755" s="44"/>
      <c r="K755" s="236" t="s">
        <v>27</v>
      </c>
      <c r="L755" s="237"/>
    </row>
    <row r="756" spans="2:12" x14ac:dyDescent="0.35">
      <c r="B756" s="238"/>
      <c r="C756" s="239"/>
      <c r="D756" s="239"/>
      <c r="E756" s="40"/>
      <c r="F756" s="40"/>
      <c r="G756" s="40"/>
      <c r="H756" s="2"/>
      <c r="I756" s="2"/>
      <c r="J756" s="2"/>
      <c r="K756" s="2"/>
      <c r="L756" s="20"/>
    </row>
    <row r="757" spans="2:12" x14ac:dyDescent="0.35">
      <c r="B757" s="222"/>
      <c r="C757" s="47"/>
      <c r="D757" s="48"/>
      <c r="G757" s="21"/>
      <c r="H757" s="1"/>
      <c r="I757" s="1"/>
      <c r="J757" s="42"/>
      <c r="K757" s="29"/>
      <c r="L757" s="43"/>
    </row>
    <row r="758" spans="2:12" x14ac:dyDescent="0.35">
      <c r="B758" s="82" t="s">
        <v>70</v>
      </c>
      <c r="C758" s="62"/>
      <c r="D758" s="68"/>
      <c r="E758" s="132" t="s">
        <v>359</v>
      </c>
      <c r="F758" s="60"/>
      <c r="G758" s="52"/>
      <c r="H758" s="94"/>
      <c r="I758" s="98"/>
      <c r="J758" s="28"/>
      <c r="K758" s="50"/>
      <c r="L758" s="45"/>
    </row>
    <row r="759" spans="2:12" x14ac:dyDescent="0.35">
      <c r="B759" s="82"/>
      <c r="C759" s="62" t="s">
        <v>157</v>
      </c>
      <c r="D759" s="68"/>
      <c r="E759" s="96"/>
      <c r="F759" s="60" t="s">
        <v>436</v>
      </c>
      <c r="G759" s="52"/>
      <c r="H759" s="94"/>
      <c r="I759" s="98"/>
      <c r="J759" s="49"/>
      <c r="K759" s="50"/>
      <c r="L759" s="45"/>
    </row>
    <row r="760" spans="2:12" x14ac:dyDescent="0.35">
      <c r="B760" s="158"/>
      <c r="C760" s="104"/>
      <c r="D760" s="105"/>
      <c r="E760" s="107"/>
      <c r="F760" s="60" t="s">
        <v>130</v>
      </c>
      <c r="G760" s="52" t="s">
        <v>437</v>
      </c>
      <c r="H760" s="102">
        <v>1</v>
      </c>
      <c r="I760" s="98" t="s">
        <v>83</v>
      </c>
      <c r="J760" s="202"/>
      <c r="K760" s="50"/>
      <c r="L760" s="45"/>
    </row>
    <row r="761" spans="2:12" x14ac:dyDescent="0.35">
      <c r="B761" s="158"/>
      <c r="C761" s="104"/>
      <c r="D761" s="105"/>
      <c r="E761" s="107"/>
      <c r="F761" s="60" t="s">
        <v>130</v>
      </c>
      <c r="G761" s="52" t="s">
        <v>438</v>
      </c>
      <c r="H761" s="102">
        <v>1</v>
      </c>
      <c r="I761" s="98" t="s">
        <v>83</v>
      </c>
      <c r="J761" s="202"/>
      <c r="K761" s="50"/>
      <c r="L761" s="45"/>
    </row>
    <row r="762" spans="2:12" x14ac:dyDescent="0.35">
      <c r="B762" s="96" t="s">
        <v>84</v>
      </c>
      <c r="C762" s="68"/>
      <c r="D762" s="68"/>
      <c r="E762" s="129" t="s">
        <v>364</v>
      </c>
      <c r="F762" s="60"/>
      <c r="G762" s="98"/>
      <c r="H762" s="60"/>
      <c r="I762" s="98"/>
      <c r="J762" s="49"/>
      <c r="K762" s="28"/>
      <c r="L762" s="51"/>
    </row>
    <row r="763" spans="2:12" x14ac:dyDescent="0.35">
      <c r="B763" s="96"/>
      <c r="C763" s="68" t="s">
        <v>232</v>
      </c>
      <c r="D763" s="64"/>
      <c r="E763" s="99"/>
      <c r="F763" s="60" t="s">
        <v>439</v>
      </c>
      <c r="G763" s="98"/>
      <c r="H763" s="60"/>
      <c r="I763" s="98"/>
      <c r="J763" s="49"/>
      <c r="K763" s="28"/>
      <c r="L763" s="51"/>
    </row>
    <row r="764" spans="2:12" x14ac:dyDescent="0.35">
      <c r="B764" s="96"/>
      <c r="C764" s="68"/>
      <c r="D764" s="64" t="s">
        <v>34</v>
      </c>
      <c r="E764" s="101"/>
      <c r="F764" s="60" t="s">
        <v>440</v>
      </c>
      <c r="G764" s="98"/>
      <c r="H764" s="102"/>
      <c r="I764" s="98"/>
      <c r="J764" s="49"/>
      <c r="K764" s="28"/>
      <c r="L764" s="51"/>
    </row>
    <row r="765" spans="2:12" x14ac:dyDescent="0.35">
      <c r="B765" s="96"/>
      <c r="C765" s="68"/>
      <c r="D765" s="64"/>
      <c r="E765" s="99"/>
      <c r="F765" s="60" t="s">
        <v>130</v>
      </c>
      <c r="G765" s="98" t="s">
        <v>441</v>
      </c>
      <c r="H765" s="94">
        <f>0.55*0.3*10*7.85*1.2</f>
        <v>15.542999999999999</v>
      </c>
      <c r="I765" s="98" t="s">
        <v>208</v>
      </c>
      <c r="J765" s="202"/>
      <c r="K765" s="50"/>
      <c r="L765" s="45"/>
    </row>
    <row r="766" spans="2:12" x14ac:dyDescent="0.35">
      <c r="B766" s="96"/>
      <c r="C766" s="68"/>
      <c r="D766" s="64"/>
      <c r="E766" s="99"/>
      <c r="F766" s="60" t="s">
        <v>130</v>
      </c>
      <c r="G766" s="98" t="s">
        <v>442</v>
      </c>
      <c r="H766" s="94">
        <f>1*0.15*10*7.85*1.2</f>
        <v>14.129999999999997</v>
      </c>
      <c r="I766" s="98" t="s">
        <v>208</v>
      </c>
      <c r="J766" s="202"/>
      <c r="K766" s="50"/>
      <c r="L766" s="45"/>
    </row>
    <row r="767" spans="2:12" x14ac:dyDescent="0.35">
      <c r="B767" s="96"/>
      <c r="C767" s="68"/>
      <c r="D767" s="64"/>
      <c r="E767" s="99"/>
      <c r="F767" s="60" t="s">
        <v>130</v>
      </c>
      <c r="G767" s="98" t="s">
        <v>443</v>
      </c>
      <c r="H767" s="94">
        <f>0.45*10*7.85*0.9*1.2*2</f>
        <v>76.301999999999992</v>
      </c>
      <c r="I767" s="98" t="s">
        <v>208</v>
      </c>
      <c r="J767" s="202"/>
      <c r="K767" s="50"/>
      <c r="L767" s="45"/>
    </row>
    <row r="768" spans="2:12" x14ac:dyDescent="0.35">
      <c r="B768" s="103"/>
      <c r="C768" s="68"/>
      <c r="D768" s="64"/>
      <c r="E768" s="101"/>
      <c r="F768" s="60" t="s">
        <v>130</v>
      </c>
      <c r="G768" s="98" t="s">
        <v>444</v>
      </c>
      <c r="H768" s="94">
        <f>0.4*10*7.85*1.02*1.2*4</f>
        <v>153.73439999999999</v>
      </c>
      <c r="I768" s="98" t="s">
        <v>208</v>
      </c>
      <c r="J768" s="202"/>
      <c r="K768" s="50"/>
      <c r="L768" s="45"/>
    </row>
    <row r="769" spans="2:12" x14ac:dyDescent="0.35">
      <c r="B769" s="103"/>
      <c r="C769" s="68"/>
      <c r="D769" s="64"/>
      <c r="E769" s="101"/>
      <c r="F769" s="60" t="s">
        <v>130</v>
      </c>
      <c r="G769" s="98" t="s">
        <v>445</v>
      </c>
      <c r="H769" s="94">
        <f>0.24*10*7.85*0.5*1.2</f>
        <v>11.304</v>
      </c>
      <c r="I769" s="98" t="s">
        <v>208</v>
      </c>
      <c r="J769" s="202"/>
      <c r="K769" s="50"/>
      <c r="L769" s="45"/>
    </row>
    <row r="770" spans="2:12" x14ac:dyDescent="0.35">
      <c r="B770" s="103"/>
      <c r="C770" s="68"/>
      <c r="D770" s="64"/>
      <c r="E770" s="101"/>
      <c r="F770" s="60" t="s">
        <v>130</v>
      </c>
      <c r="G770" s="98" t="s">
        <v>446</v>
      </c>
      <c r="H770" s="94">
        <f>0.24*10*7.85*0.7*1.2</f>
        <v>15.825599999999998</v>
      </c>
      <c r="I770" s="98" t="s">
        <v>208</v>
      </c>
      <c r="J770" s="202"/>
      <c r="K770" s="50"/>
      <c r="L770" s="45"/>
    </row>
    <row r="771" spans="2:12" x14ac:dyDescent="0.35">
      <c r="B771" s="103"/>
      <c r="C771" s="68"/>
      <c r="D771" s="64"/>
      <c r="E771" s="101"/>
      <c r="F771" s="60" t="s">
        <v>130</v>
      </c>
      <c r="G771" s="98" t="s">
        <v>447</v>
      </c>
      <c r="H771" s="94">
        <f>0.24*10*7.85*0.84*1.2</f>
        <v>18.99072</v>
      </c>
      <c r="I771" s="98" t="s">
        <v>208</v>
      </c>
      <c r="J771" s="202"/>
      <c r="K771" s="50"/>
      <c r="L771" s="45"/>
    </row>
    <row r="772" spans="2:12" x14ac:dyDescent="0.35">
      <c r="B772" s="103"/>
      <c r="C772" s="68"/>
      <c r="D772" s="64"/>
      <c r="E772" s="101"/>
      <c r="F772" s="60" t="s">
        <v>130</v>
      </c>
      <c r="G772" s="98" t="s">
        <v>448</v>
      </c>
      <c r="H772" s="94">
        <f>0.24*10*7.85*0.88*1.2</f>
        <v>19.895039999999998</v>
      </c>
      <c r="I772" s="98" t="s">
        <v>208</v>
      </c>
      <c r="J772" s="202"/>
      <c r="K772" s="50"/>
      <c r="L772" s="45"/>
    </row>
    <row r="773" spans="2:12" x14ac:dyDescent="0.35">
      <c r="B773" s="103"/>
      <c r="C773" s="68"/>
      <c r="D773" s="64"/>
      <c r="E773" s="101"/>
      <c r="F773" s="60" t="s">
        <v>130</v>
      </c>
      <c r="G773" s="98" t="s">
        <v>449</v>
      </c>
      <c r="H773" s="94">
        <f>0.24*10*7.85*1*1.2</f>
        <v>22.608000000000001</v>
      </c>
      <c r="I773" s="98" t="s">
        <v>208</v>
      </c>
      <c r="J773" s="202"/>
      <c r="K773" s="50"/>
      <c r="L773" s="45"/>
    </row>
    <row r="774" spans="2:12" x14ac:dyDescent="0.35">
      <c r="B774" s="103"/>
      <c r="C774" s="68"/>
      <c r="D774" s="64"/>
      <c r="E774" s="101"/>
      <c r="F774" s="60" t="s">
        <v>130</v>
      </c>
      <c r="G774" s="98" t="s">
        <v>450</v>
      </c>
      <c r="H774" s="94">
        <f>0.39*0.28*10*7.85*1.2</f>
        <v>10.28664</v>
      </c>
      <c r="I774" s="98" t="s">
        <v>208</v>
      </c>
      <c r="J774" s="202"/>
      <c r="K774" s="50"/>
      <c r="L774" s="45"/>
    </row>
    <row r="775" spans="2:12" x14ac:dyDescent="0.35">
      <c r="B775" s="96"/>
      <c r="C775" s="68"/>
      <c r="D775" s="64" t="s">
        <v>37</v>
      </c>
      <c r="E775" s="101"/>
      <c r="F775" s="60" t="s">
        <v>451</v>
      </c>
      <c r="G775" s="98"/>
      <c r="H775" s="94"/>
      <c r="I775" s="98"/>
      <c r="J775" s="49"/>
      <c r="K775" s="28"/>
      <c r="L775" s="51"/>
    </row>
    <row r="776" spans="2:12" x14ac:dyDescent="0.35">
      <c r="B776" s="96"/>
      <c r="C776" s="68"/>
      <c r="D776" s="64"/>
      <c r="E776" s="99"/>
      <c r="F776" s="60" t="s">
        <v>130</v>
      </c>
      <c r="G776" s="98" t="s">
        <v>452</v>
      </c>
      <c r="H776" s="94">
        <f>1.83*0.45*10*7.85*1.2</f>
        <v>77.573699999999988</v>
      </c>
      <c r="I776" s="98" t="s">
        <v>208</v>
      </c>
      <c r="J776" s="202"/>
      <c r="K776" s="50"/>
      <c r="L776" s="45"/>
    </row>
    <row r="777" spans="2:12" x14ac:dyDescent="0.35">
      <c r="B777" s="96"/>
      <c r="C777" s="68"/>
      <c r="D777" s="64"/>
      <c r="E777" s="99"/>
      <c r="F777" s="60" t="s">
        <v>130</v>
      </c>
      <c r="G777" s="98" t="s">
        <v>453</v>
      </c>
      <c r="H777" s="94">
        <f>1.83*0.08*10*7.85*1.2</f>
        <v>13.79088</v>
      </c>
      <c r="I777" s="98" t="s">
        <v>208</v>
      </c>
      <c r="J777" s="202"/>
      <c r="K777" s="50"/>
      <c r="L777" s="45"/>
    </row>
    <row r="778" spans="2:12" x14ac:dyDescent="0.35">
      <c r="B778" s="96"/>
      <c r="C778" s="68"/>
      <c r="D778" s="64"/>
      <c r="E778" s="99"/>
      <c r="F778" s="60" t="s">
        <v>130</v>
      </c>
      <c r="G778" s="98" t="s">
        <v>454</v>
      </c>
      <c r="H778" s="94">
        <f>1.83*0.53*10*7.85*1.2</f>
        <v>91.364580000000004</v>
      </c>
      <c r="I778" s="98" t="s">
        <v>208</v>
      </c>
      <c r="J778" s="202"/>
      <c r="K778" s="50"/>
      <c r="L778" s="45"/>
    </row>
    <row r="779" spans="2:12" x14ac:dyDescent="0.35">
      <c r="B779" s="96"/>
      <c r="C779" s="68"/>
      <c r="D779" s="64"/>
      <c r="E779" s="99"/>
      <c r="F779" s="60" t="s">
        <v>130</v>
      </c>
      <c r="G779" s="98" t="s">
        <v>453</v>
      </c>
      <c r="H779" s="94">
        <f>1.83*0.08*10*7.85*1.2</f>
        <v>13.79088</v>
      </c>
      <c r="I779" s="98" t="s">
        <v>208</v>
      </c>
      <c r="J779" s="202"/>
      <c r="K779" s="50"/>
      <c r="L779" s="45"/>
    </row>
    <row r="780" spans="2:12" x14ac:dyDescent="0.35">
      <c r="B780" s="96"/>
      <c r="C780" s="68"/>
      <c r="D780" s="64"/>
      <c r="E780" s="99"/>
      <c r="F780" s="60" t="s">
        <v>130</v>
      </c>
      <c r="G780" s="98" t="s">
        <v>455</v>
      </c>
      <c r="H780" s="94">
        <f>0.3*0.15*10*7.85*1.2*2</f>
        <v>8.477999999999998</v>
      </c>
      <c r="I780" s="98" t="s">
        <v>208</v>
      </c>
      <c r="J780" s="202"/>
      <c r="K780" s="50"/>
      <c r="L780" s="45"/>
    </row>
    <row r="781" spans="2:12" x14ac:dyDescent="0.35">
      <c r="B781" s="159" t="s">
        <v>88</v>
      </c>
      <c r="C781" s="104"/>
      <c r="D781" s="105"/>
      <c r="E781" s="106" t="s">
        <v>115</v>
      </c>
      <c r="F781" s="60"/>
      <c r="G781" s="52"/>
      <c r="H781" s="94"/>
      <c r="I781" s="98"/>
      <c r="J781" s="49"/>
      <c r="K781" s="28"/>
      <c r="L781" s="51"/>
    </row>
    <row r="782" spans="2:12" x14ac:dyDescent="0.35">
      <c r="B782" s="159"/>
      <c r="C782" s="104" t="s">
        <v>456</v>
      </c>
      <c r="D782" s="105"/>
      <c r="E782" s="101"/>
      <c r="F782" s="60" t="s">
        <v>457</v>
      </c>
      <c r="G782" s="52"/>
      <c r="H782" s="102"/>
      <c r="I782" s="98"/>
      <c r="J782" s="49"/>
      <c r="K782" s="28"/>
      <c r="L782" s="51"/>
    </row>
    <row r="783" spans="2:12" x14ac:dyDescent="0.35">
      <c r="B783" s="159"/>
      <c r="C783" s="104"/>
      <c r="D783" s="105" t="s">
        <v>34</v>
      </c>
      <c r="E783" s="101"/>
      <c r="F783" s="60" t="s">
        <v>458</v>
      </c>
      <c r="G783" s="52"/>
      <c r="H783" s="102">
        <f>7+9+7+2</f>
        <v>25</v>
      </c>
      <c r="I783" s="98" t="s">
        <v>160</v>
      </c>
      <c r="J783" s="202"/>
      <c r="K783" s="50"/>
      <c r="L783" s="45"/>
    </row>
    <row r="784" spans="2:12" x14ac:dyDescent="0.35">
      <c r="B784" s="159"/>
      <c r="C784" s="104"/>
      <c r="D784" s="105"/>
      <c r="E784" s="101"/>
      <c r="F784" s="60" t="s">
        <v>130</v>
      </c>
      <c r="G784" s="52" t="s">
        <v>181</v>
      </c>
      <c r="H784" s="102">
        <f>200+200+550+490+2600+1500+500+970+70+300</f>
        <v>7380</v>
      </c>
      <c r="I784" s="98" t="s">
        <v>141</v>
      </c>
      <c r="J784" s="202"/>
      <c r="K784" s="50"/>
      <c r="L784" s="45"/>
    </row>
    <row r="785" spans="2:12" x14ac:dyDescent="0.35">
      <c r="B785" s="159"/>
      <c r="C785" s="104"/>
      <c r="D785" s="105"/>
      <c r="E785" s="101"/>
      <c r="F785" s="101" t="s">
        <v>130</v>
      </c>
      <c r="G785" s="52" t="s">
        <v>182</v>
      </c>
      <c r="H785" s="102">
        <v>4</v>
      </c>
      <c r="I785" s="98" t="s">
        <v>83</v>
      </c>
      <c r="J785" s="28"/>
      <c r="K785" s="50"/>
      <c r="L785" s="45"/>
    </row>
    <row r="786" spans="2:12" x14ac:dyDescent="0.35">
      <c r="B786" s="159"/>
      <c r="C786" s="104"/>
      <c r="D786" s="105"/>
      <c r="E786" s="101"/>
      <c r="F786" s="101" t="s">
        <v>130</v>
      </c>
      <c r="G786" s="52" t="s">
        <v>164</v>
      </c>
      <c r="H786" s="102">
        <f>6+1</f>
        <v>7</v>
      </c>
      <c r="I786" s="98" t="s">
        <v>83</v>
      </c>
      <c r="J786" s="28"/>
      <c r="K786" s="50"/>
      <c r="L786" s="45"/>
    </row>
    <row r="787" spans="2:12" s="33" customFormat="1" x14ac:dyDescent="0.35">
      <c r="B787" s="69"/>
      <c r="C787" s="117"/>
      <c r="D787" s="105"/>
      <c r="E787" s="107"/>
      <c r="F787" s="107" t="s">
        <v>130</v>
      </c>
      <c r="G787" s="108" t="s">
        <v>459</v>
      </c>
      <c r="H787" s="109">
        <v>2</v>
      </c>
      <c r="I787" s="108" t="s">
        <v>83</v>
      </c>
      <c r="J787" s="28"/>
      <c r="K787" s="28"/>
      <c r="L787" s="51"/>
    </row>
    <row r="788" spans="2:12" x14ac:dyDescent="0.35">
      <c r="B788" s="159"/>
      <c r="C788" s="104"/>
      <c r="D788" s="105"/>
      <c r="E788" s="101"/>
      <c r="F788" s="60" t="s">
        <v>130</v>
      </c>
      <c r="G788" s="98" t="s">
        <v>460</v>
      </c>
      <c r="H788" s="102">
        <v>2</v>
      </c>
      <c r="I788" s="98" t="s">
        <v>83</v>
      </c>
      <c r="J788" s="28"/>
      <c r="K788" s="50"/>
      <c r="L788" s="45"/>
    </row>
    <row r="789" spans="2:12" x14ac:dyDescent="0.35">
      <c r="B789" s="159"/>
      <c r="C789" s="104"/>
      <c r="D789" s="105"/>
      <c r="E789" s="101"/>
      <c r="F789" s="101" t="s">
        <v>130</v>
      </c>
      <c r="G789" s="52" t="s">
        <v>148</v>
      </c>
      <c r="H789" s="60">
        <v>4</v>
      </c>
      <c r="I789" s="98" t="s">
        <v>83</v>
      </c>
      <c r="J789" s="28"/>
      <c r="K789" s="50"/>
      <c r="L789" s="45"/>
    </row>
    <row r="790" spans="2:12" x14ac:dyDescent="0.35">
      <c r="B790" s="159"/>
      <c r="C790" s="104"/>
      <c r="D790" s="105"/>
      <c r="E790" s="101"/>
      <c r="F790" s="101" t="s">
        <v>130</v>
      </c>
      <c r="G790" s="52" t="s">
        <v>183</v>
      </c>
      <c r="H790" s="102">
        <f>8+8+4</f>
        <v>20</v>
      </c>
      <c r="I790" s="98" t="s">
        <v>83</v>
      </c>
      <c r="J790" s="28"/>
      <c r="K790" s="50"/>
      <c r="L790" s="45"/>
    </row>
    <row r="791" spans="2:12" x14ac:dyDescent="0.35">
      <c r="B791" s="116"/>
      <c r="C791" s="117"/>
      <c r="D791" s="64"/>
      <c r="E791" s="68"/>
      <c r="F791" s="60" t="s">
        <v>130</v>
      </c>
      <c r="G791" s="52" t="s">
        <v>461</v>
      </c>
      <c r="H791" s="60">
        <v>2</v>
      </c>
      <c r="I791" s="52" t="s">
        <v>83</v>
      </c>
      <c r="J791" s="28"/>
      <c r="K791" s="50"/>
      <c r="L791" s="45"/>
    </row>
    <row r="792" spans="2:12" x14ac:dyDescent="0.35">
      <c r="B792" s="159"/>
      <c r="C792" s="104"/>
      <c r="D792" s="105" t="s">
        <v>37</v>
      </c>
      <c r="E792" s="101"/>
      <c r="F792" s="60" t="s">
        <v>462</v>
      </c>
      <c r="G792" s="52"/>
      <c r="H792" s="102">
        <v>7</v>
      </c>
      <c r="I792" s="98" t="s">
        <v>160</v>
      </c>
      <c r="J792" s="202"/>
      <c r="K792" s="50"/>
      <c r="L792" s="45"/>
    </row>
    <row r="793" spans="2:12" x14ac:dyDescent="0.35">
      <c r="B793" s="159"/>
      <c r="C793" s="104"/>
      <c r="D793" s="105"/>
      <c r="E793" s="101"/>
      <c r="F793" s="60" t="s">
        <v>130</v>
      </c>
      <c r="G793" s="52" t="s">
        <v>181</v>
      </c>
      <c r="H793" s="102">
        <f>300+800</f>
        <v>1100</v>
      </c>
      <c r="I793" s="98" t="s">
        <v>141</v>
      </c>
      <c r="J793" s="202"/>
      <c r="K793" s="50"/>
      <c r="L793" s="45"/>
    </row>
    <row r="794" spans="2:12" x14ac:dyDescent="0.35">
      <c r="B794" s="159"/>
      <c r="C794" s="104"/>
      <c r="D794" s="105"/>
      <c r="E794" s="101"/>
      <c r="F794" s="101" t="s">
        <v>130</v>
      </c>
      <c r="G794" s="52" t="s">
        <v>182</v>
      </c>
      <c r="H794" s="102">
        <v>2</v>
      </c>
      <c r="I794" s="98" t="s">
        <v>83</v>
      </c>
      <c r="J794" s="28"/>
      <c r="K794" s="50"/>
      <c r="L794" s="45"/>
    </row>
    <row r="795" spans="2:12" x14ac:dyDescent="0.35">
      <c r="B795" s="159"/>
      <c r="C795" s="104"/>
      <c r="D795" s="105"/>
      <c r="E795" s="101"/>
      <c r="F795" s="101" t="s">
        <v>130</v>
      </c>
      <c r="G795" s="52" t="s">
        <v>164</v>
      </c>
      <c r="H795" s="102">
        <v>2</v>
      </c>
      <c r="I795" s="98" t="s">
        <v>83</v>
      </c>
      <c r="J795" s="28"/>
      <c r="K795" s="50"/>
      <c r="L795" s="45"/>
    </row>
    <row r="796" spans="2:12" x14ac:dyDescent="0.35">
      <c r="B796" s="159"/>
      <c r="C796" s="104"/>
      <c r="D796" s="105"/>
      <c r="E796" s="101"/>
      <c r="F796" s="101" t="s">
        <v>130</v>
      </c>
      <c r="G796" s="52" t="s">
        <v>148</v>
      </c>
      <c r="H796" s="60">
        <v>1</v>
      </c>
      <c r="I796" s="98" t="s">
        <v>83</v>
      </c>
      <c r="J796" s="28"/>
      <c r="K796" s="50"/>
      <c r="L796" s="45"/>
    </row>
    <row r="797" spans="2:12" x14ac:dyDescent="0.35">
      <c r="B797" s="159"/>
      <c r="C797" s="104"/>
      <c r="D797" s="105"/>
      <c r="E797" s="101"/>
      <c r="F797" s="101" t="s">
        <v>130</v>
      </c>
      <c r="G797" s="52" t="s">
        <v>183</v>
      </c>
      <c r="H797" s="102">
        <v>4</v>
      </c>
      <c r="I797" s="98" t="s">
        <v>83</v>
      </c>
      <c r="J797" s="28"/>
      <c r="K797" s="50"/>
      <c r="L797" s="45"/>
    </row>
    <row r="798" spans="2:12" x14ac:dyDescent="0.35">
      <c r="B798" s="116"/>
      <c r="C798" s="117"/>
      <c r="D798" s="105" t="s">
        <v>39</v>
      </c>
      <c r="E798" s="101"/>
      <c r="F798" s="60" t="s">
        <v>463</v>
      </c>
      <c r="G798" s="52"/>
      <c r="H798" s="102">
        <f>7+9+6+6</f>
        <v>28</v>
      </c>
      <c r="I798" s="98" t="s">
        <v>160</v>
      </c>
      <c r="J798" s="202"/>
      <c r="K798" s="50"/>
      <c r="L798" s="45"/>
    </row>
    <row r="799" spans="2:12" x14ac:dyDescent="0.35">
      <c r="B799" s="116"/>
      <c r="C799" s="117"/>
      <c r="D799" s="105"/>
      <c r="E799" s="101"/>
      <c r="F799" s="60" t="s">
        <v>130</v>
      </c>
      <c r="G799" s="52" t="s">
        <v>181</v>
      </c>
      <c r="H799" s="102">
        <f>80+950+530+140+590+500+2610+160+200+350+200+380</f>
        <v>6690</v>
      </c>
      <c r="I799" s="98" t="s">
        <v>141</v>
      </c>
      <c r="J799" s="202"/>
      <c r="K799" s="50"/>
      <c r="L799" s="45"/>
    </row>
    <row r="800" spans="2:12" x14ac:dyDescent="0.35">
      <c r="B800" s="116"/>
      <c r="C800" s="117"/>
      <c r="D800" s="105"/>
      <c r="E800" s="101"/>
      <c r="F800" s="101" t="s">
        <v>130</v>
      </c>
      <c r="G800" s="52" t="s">
        <v>182</v>
      </c>
      <c r="H800" s="102">
        <f>4+1</f>
        <v>5</v>
      </c>
      <c r="I800" s="98" t="s">
        <v>83</v>
      </c>
      <c r="J800" s="28"/>
      <c r="K800" s="50"/>
      <c r="L800" s="45"/>
    </row>
    <row r="801" spans="2:12" x14ac:dyDescent="0.35">
      <c r="B801" s="116"/>
      <c r="C801" s="117"/>
      <c r="D801" s="105"/>
      <c r="E801" s="101"/>
      <c r="F801" s="101" t="s">
        <v>130</v>
      </c>
      <c r="G801" s="52" t="s">
        <v>164</v>
      </c>
      <c r="H801" s="102">
        <v>6</v>
      </c>
      <c r="I801" s="98" t="s">
        <v>83</v>
      </c>
      <c r="J801" s="28"/>
      <c r="K801" s="50"/>
      <c r="L801" s="45"/>
    </row>
    <row r="802" spans="2:12" s="33" customFormat="1" x14ac:dyDescent="0.35">
      <c r="B802" s="69"/>
      <c r="C802" s="117"/>
      <c r="D802" s="105"/>
      <c r="E802" s="107"/>
      <c r="F802" s="107" t="s">
        <v>130</v>
      </c>
      <c r="G802" s="108" t="s">
        <v>459</v>
      </c>
      <c r="H802" s="109">
        <v>2</v>
      </c>
      <c r="I802" s="108" t="s">
        <v>83</v>
      </c>
      <c r="J802" s="28"/>
      <c r="K802" s="28"/>
      <c r="L802" s="51"/>
    </row>
    <row r="803" spans="2:12" x14ac:dyDescent="0.35">
      <c r="B803" s="69"/>
      <c r="C803" s="68"/>
      <c r="D803" s="105"/>
      <c r="E803" s="101"/>
      <c r="F803" s="60" t="s">
        <v>130</v>
      </c>
      <c r="G803" s="98" t="s">
        <v>460</v>
      </c>
      <c r="H803" s="102">
        <v>4</v>
      </c>
      <c r="I803" s="98" t="s">
        <v>83</v>
      </c>
      <c r="J803" s="28"/>
      <c r="K803" s="50"/>
      <c r="L803" s="45"/>
    </row>
    <row r="804" spans="2:12" x14ac:dyDescent="0.35">
      <c r="B804" s="133"/>
      <c r="C804" s="68"/>
      <c r="D804" s="105"/>
      <c r="E804" s="101"/>
      <c r="F804" s="101" t="s">
        <v>130</v>
      </c>
      <c r="G804" s="52" t="s">
        <v>148</v>
      </c>
      <c r="H804" s="60">
        <v>3</v>
      </c>
      <c r="I804" s="98" t="s">
        <v>83</v>
      </c>
      <c r="J804" s="28"/>
      <c r="K804" s="50"/>
      <c r="L804" s="45"/>
    </row>
    <row r="805" spans="2:12" x14ac:dyDescent="0.35">
      <c r="B805" s="69"/>
      <c r="C805" s="68"/>
      <c r="D805" s="105"/>
      <c r="E805" s="101"/>
      <c r="F805" s="101" t="s">
        <v>130</v>
      </c>
      <c r="G805" s="52" t="s">
        <v>183</v>
      </c>
      <c r="H805" s="102">
        <f>18+8</f>
        <v>26</v>
      </c>
      <c r="I805" s="98" t="s">
        <v>83</v>
      </c>
      <c r="J805" s="28"/>
      <c r="K805" s="50"/>
      <c r="L805" s="45"/>
    </row>
    <row r="806" spans="2:12" x14ac:dyDescent="0.35">
      <c r="B806" s="69"/>
      <c r="C806" s="68"/>
      <c r="D806" s="64"/>
      <c r="E806" s="68"/>
      <c r="F806" s="60" t="s">
        <v>130</v>
      </c>
      <c r="G806" s="52" t="s">
        <v>461</v>
      </c>
      <c r="H806" s="60">
        <v>3</v>
      </c>
      <c r="I806" s="52" t="s">
        <v>83</v>
      </c>
      <c r="J806" s="28"/>
      <c r="K806" s="50"/>
      <c r="L806" s="45"/>
    </row>
    <row r="807" spans="2:12" x14ac:dyDescent="0.35">
      <c r="B807" s="46"/>
      <c r="C807" s="47"/>
      <c r="D807" s="23"/>
      <c r="G807" s="21"/>
      <c r="I807" s="21"/>
      <c r="J807" s="49"/>
      <c r="K807" s="28"/>
      <c r="L807" s="51"/>
    </row>
    <row r="808" spans="2:12" x14ac:dyDescent="0.35">
      <c r="B808" s="46"/>
      <c r="C808" s="47"/>
      <c r="D808" s="23"/>
      <c r="G808" s="21"/>
      <c r="I808" s="21"/>
      <c r="J808" s="49"/>
      <c r="K808" s="28"/>
      <c r="L808" s="51"/>
    </row>
    <row r="809" spans="2:12" x14ac:dyDescent="0.35">
      <c r="B809" s="224"/>
      <c r="C809" s="47"/>
      <c r="D809" s="23"/>
      <c r="G809" s="21"/>
      <c r="I809" s="21"/>
      <c r="J809" s="49"/>
      <c r="K809" s="28"/>
      <c r="L809" s="51"/>
    </row>
    <row r="810" spans="2:12" x14ac:dyDescent="0.35">
      <c r="B810" s="8"/>
      <c r="C810" s="9"/>
      <c r="D810" s="10"/>
      <c r="E810" s="4"/>
      <c r="F810" s="4"/>
      <c r="G810" s="4"/>
      <c r="H810" s="1"/>
      <c r="I810" s="1"/>
      <c r="J810" s="11" t="s">
        <v>8</v>
      </c>
      <c r="K810" s="7">
        <f>SUM(K757:K809)</f>
        <v>0</v>
      </c>
      <c r="L810" s="7">
        <f>SUM(L757:L809)</f>
        <v>0</v>
      </c>
    </row>
    <row r="811" spans="2:12" x14ac:dyDescent="0.35">
      <c r="B811" s="8"/>
      <c r="C811" s="9"/>
      <c r="D811" s="9"/>
      <c r="E811" s="4"/>
      <c r="F811" s="4"/>
      <c r="G811" s="4"/>
      <c r="H811" s="1"/>
      <c r="I811" s="1"/>
      <c r="J811" s="11"/>
      <c r="K811" s="34" t="s">
        <v>13</v>
      </c>
      <c r="L811" s="35" t="s">
        <v>14</v>
      </c>
    </row>
    <row r="812" spans="2:12" x14ac:dyDescent="0.35">
      <c r="B812" s="3" t="s">
        <v>9</v>
      </c>
      <c r="C812" s="4"/>
      <c r="D812" s="4"/>
      <c r="E812" s="4"/>
      <c r="F812" s="4"/>
      <c r="G812" s="4"/>
      <c r="H812" s="1"/>
      <c r="I812" s="1"/>
      <c r="J812" s="12"/>
      <c r="K812" s="12"/>
      <c r="L812" s="13"/>
    </row>
    <row r="813" spans="2:12" x14ac:dyDescent="0.35">
      <c r="B813" s="36"/>
      <c r="C813" s="1"/>
      <c r="D813" s="1"/>
      <c r="E813" s="37"/>
      <c r="F813" s="37"/>
      <c r="G813" s="37"/>
      <c r="H813" s="1"/>
      <c r="I813" s="1"/>
      <c r="J813" s="1"/>
      <c r="K813" s="1"/>
      <c r="L813" s="18"/>
    </row>
    <row r="814" spans="2:12" x14ac:dyDescent="0.35">
      <c r="B814" s="27" t="s">
        <v>6</v>
      </c>
      <c r="C814" s="26"/>
      <c r="D814" s="26"/>
      <c r="E814" s="25"/>
      <c r="F814" s="25"/>
      <c r="G814" s="5"/>
      <c r="K814" s="232" t="s">
        <v>813</v>
      </c>
      <c r="L814" s="233"/>
    </row>
    <row r="815" spans="2:12" x14ac:dyDescent="0.35">
      <c r="B815" s="27">
        <v>1</v>
      </c>
      <c r="C815" s="26"/>
      <c r="D815" s="26"/>
      <c r="E815" s="25" t="s">
        <v>7</v>
      </c>
      <c r="F815" s="25"/>
      <c r="G815" s="5"/>
      <c r="K815" s="232" t="s">
        <v>18</v>
      </c>
      <c r="L815" s="233"/>
    </row>
    <row r="816" spans="2:12" x14ac:dyDescent="0.35">
      <c r="B816" s="38"/>
      <c r="C816" s="26"/>
      <c r="D816" s="26"/>
      <c r="E816" s="25"/>
      <c r="F816" s="25"/>
      <c r="G816" s="5"/>
      <c r="J816" s="24"/>
      <c r="K816" s="24"/>
      <c r="L816" s="23"/>
    </row>
    <row r="817" spans="2:12" x14ac:dyDescent="0.35">
      <c r="B817" s="27"/>
      <c r="C817" s="26"/>
      <c r="D817" s="26"/>
      <c r="E817" s="25"/>
      <c r="F817" s="25"/>
      <c r="G817" s="5"/>
      <c r="L817" s="21"/>
    </row>
    <row r="818" spans="2:12" x14ac:dyDescent="0.35">
      <c r="B818" s="44"/>
      <c r="E818" s="5"/>
      <c r="F818" s="5"/>
      <c r="G818" s="5"/>
      <c r="L818" s="21"/>
    </row>
    <row r="819" spans="2:12" x14ac:dyDescent="0.35">
      <c r="B819" s="44"/>
      <c r="E819" s="5"/>
      <c r="F819" s="5"/>
      <c r="G819" s="5"/>
      <c r="L819" s="21"/>
    </row>
    <row r="820" spans="2:12" x14ac:dyDescent="0.35">
      <c r="B820" s="44"/>
      <c r="E820" s="5"/>
      <c r="F820" s="5"/>
      <c r="G820" s="5"/>
      <c r="L820" s="21"/>
    </row>
    <row r="821" spans="2:12" x14ac:dyDescent="0.35">
      <c r="B821" s="44"/>
      <c r="E821" s="5"/>
      <c r="F821" s="5"/>
      <c r="G821" s="5"/>
      <c r="J821" s="39"/>
      <c r="K821" s="234" t="s">
        <v>26</v>
      </c>
      <c r="L821" s="235"/>
    </row>
    <row r="822" spans="2:12" x14ac:dyDescent="0.35">
      <c r="B822" s="44"/>
      <c r="K822" s="236" t="s">
        <v>27</v>
      </c>
      <c r="L822" s="237"/>
    </row>
    <row r="823" spans="2:12" x14ac:dyDescent="0.35">
      <c r="B823" s="238"/>
      <c r="C823" s="239"/>
      <c r="D823" s="239"/>
      <c r="E823" s="40"/>
      <c r="F823" s="40"/>
      <c r="G823" s="40"/>
      <c r="H823" s="2"/>
      <c r="I823" s="2"/>
      <c r="J823" s="2"/>
      <c r="K823" s="2"/>
      <c r="L823" s="20"/>
    </row>
    <row r="824" spans="2:12" x14ac:dyDescent="0.35">
      <c r="B824" s="222"/>
      <c r="C824" s="225"/>
      <c r="D824" s="48"/>
      <c r="G824" s="21"/>
      <c r="H824" s="1"/>
      <c r="I824" s="1"/>
      <c r="J824" s="42"/>
      <c r="K824" s="29"/>
      <c r="L824" s="43"/>
    </row>
    <row r="825" spans="2:12" x14ac:dyDescent="0.35">
      <c r="B825" s="159"/>
      <c r="C825" s="104" t="s">
        <v>464</v>
      </c>
      <c r="D825" s="105"/>
      <c r="E825" s="101"/>
      <c r="F825" s="60" t="s">
        <v>465</v>
      </c>
      <c r="G825" s="52"/>
      <c r="H825" s="102"/>
      <c r="I825" s="98"/>
      <c r="J825" s="28"/>
      <c r="K825" s="50"/>
      <c r="L825" s="45"/>
    </row>
    <row r="826" spans="2:12" x14ac:dyDescent="0.35">
      <c r="B826" s="159"/>
      <c r="C826" s="104"/>
      <c r="D826" s="105" t="s">
        <v>34</v>
      </c>
      <c r="E826" s="101"/>
      <c r="F826" s="60" t="s">
        <v>466</v>
      </c>
      <c r="G826" s="52"/>
      <c r="H826" s="102">
        <v>20</v>
      </c>
      <c r="I826" s="98" t="s">
        <v>160</v>
      </c>
      <c r="J826" s="202"/>
      <c r="K826" s="50"/>
      <c r="L826" s="45"/>
    </row>
    <row r="827" spans="2:12" x14ac:dyDescent="0.35">
      <c r="B827" s="159"/>
      <c r="C827" s="104"/>
      <c r="D827" s="105"/>
      <c r="E827" s="101"/>
      <c r="F827" s="60" t="s">
        <v>130</v>
      </c>
      <c r="G827" s="52" t="s">
        <v>467</v>
      </c>
      <c r="H827" s="102">
        <f>860+770+250+230+1590+1830</f>
        <v>5530</v>
      </c>
      <c r="I827" s="98" t="s">
        <v>141</v>
      </c>
      <c r="J827" s="202"/>
      <c r="K827" s="50"/>
      <c r="L827" s="45"/>
    </row>
    <row r="828" spans="2:12" x14ac:dyDescent="0.35">
      <c r="B828" s="159"/>
      <c r="C828" s="104"/>
      <c r="D828" s="105"/>
      <c r="E828" s="101"/>
      <c r="F828" s="101" t="s">
        <v>130</v>
      </c>
      <c r="G828" s="52" t="s">
        <v>468</v>
      </c>
      <c r="H828" s="102">
        <v>2</v>
      </c>
      <c r="I828" s="98" t="s">
        <v>83</v>
      </c>
      <c r="J828" s="202"/>
      <c r="K828" s="50"/>
      <c r="L828" s="45"/>
    </row>
    <row r="829" spans="2:12" x14ac:dyDescent="0.35">
      <c r="B829" s="116"/>
      <c r="C829" s="117"/>
      <c r="D829" s="64"/>
      <c r="E829" s="68"/>
      <c r="F829" s="101" t="s">
        <v>130</v>
      </c>
      <c r="G829" s="52" t="s">
        <v>469</v>
      </c>
      <c r="H829" s="102">
        <v>8</v>
      </c>
      <c r="I829" s="98" t="s">
        <v>83</v>
      </c>
      <c r="J829" s="202"/>
      <c r="K829" s="50"/>
      <c r="L829" s="45"/>
    </row>
    <row r="830" spans="2:12" x14ac:dyDescent="0.35">
      <c r="B830" s="129"/>
      <c r="C830" s="104"/>
      <c r="D830" s="105"/>
      <c r="E830" s="68"/>
      <c r="F830" s="101" t="s">
        <v>130</v>
      </c>
      <c r="G830" s="52" t="s">
        <v>470</v>
      </c>
      <c r="H830" s="60">
        <v>6</v>
      </c>
      <c r="I830" s="98" t="s">
        <v>83</v>
      </c>
      <c r="J830" s="202"/>
      <c r="K830" s="50"/>
      <c r="L830" s="45"/>
    </row>
    <row r="831" spans="2:12" x14ac:dyDescent="0.35">
      <c r="B831" s="159"/>
      <c r="C831" s="104"/>
      <c r="D831" s="64"/>
      <c r="E831" s="60"/>
      <c r="F831" s="101" t="s">
        <v>130</v>
      </c>
      <c r="G831" s="52" t="s">
        <v>143</v>
      </c>
      <c r="H831" s="102">
        <v>24</v>
      </c>
      <c r="I831" s="98" t="s">
        <v>83</v>
      </c>
      <c r="J831" s="202"/>
      <c r="K831" s="50"/>
      <c r="L831" s="45"/>
    </row>
    <row r="832" spans="2:12" x14ac:dyDescent="0.35">
      <c r="B832" s="158"/>
      <c r="C832" s="104"/>
      <c r="D832" s="105"/>
      <c r="E832" s="68"/>
      <c r="F832" s="60" t="s">
        <v>130</v>
      </c>
      <c r="G832" s="52" t="s">
        <v>471</v>
      </c>
      <c r="H832" s="60">
        <v>2</v>
      </c>
      <c r="I832" s="52" t="s">
        <v>83</v>
      </c>
      <c r="J832" s="202"/>
      <c r="K832" s="50"/>
      <c r="L832" s="45"/>
    </row>
    <row r="833" spans="2:12" x14ac:dyDescent="0.35">
      <c r="B833" s="159"/>
      <c r="C833" s="104"/>
      <c r="D833" s="105" t="s">
        <v>37</v>
      </c>
      <c r="E833" s="101"/>
      <c r="F833" s="60" t="s">
        <v>472</v>
      </c>
      <c r="G833" s="52"/>
      <c r="H833" s="102">
        <f>5+6+13</f>
        <v>24</v>
      </c>
      <c r="I833" s="98" t="s">
        <v>160</v>
      </c>
      <c r="J833" s="202"/>
      <c r="K833" s="50"/>
      <c r="L833" s="45"/>
    </row>
    <row r="834" spans="2:12" x14ac:dyDescent="0.35">
      <c r="B834" s="159"/>
      <c r="C834" s="104"/>
      <c r="D834" s="105"/>
      <c r="E834" s="101"/>
      <c r="F834" s="60" t="s">
        <v>130</v>
      </c>
      <c r="G834" s="52" t="s">
        <v>467</v>
      </c>
      <c r="H834" s="102">
        <f>1540+490+1090+1030+350+530+330+270</f>
        <v>5630</v>
      </c>
      <c r="I834" s="98" t="s">
        <v>141</v>
      </c>
      <c r="J834" s="202"/>
      <c r="K834" s="50"/>
      <c r="L834" s="45"/>
    </row>
    <row r="835" spans="2:12" x14ac:dyDescent="0.35">
      <c r="B835" s="159"/>
      <c r="C835" s="104"/>
      <c r="D835" s="105"/>
      <c r="E835" s="101"/>
      <c r="F835" s="101" t="s">
        <v>130</v>
      </c>
      <c r="G835" s="52" t="s">
        <v>468</v>
      </c>
      <c r="H835" s="102">
        <v>3</v>
      </c>
      <c r="I835" s="98" t="s">
        <v>83</v>
      </c>
      <c r="J835" s="202"/>
      <c r="K835" s="50"/>
      <c r="L835" s="45"/>
    </row>
    <row r="836" spans="2:12" x14ac:dyDescent="0.35">
      <c r="B836" s="116"/>
      <c r="C836" s="117"/>
      <c r="D836" s="64"/>
      <c r="E836" s="68"/>
      <c r="F836" s="101" t="s">
        <v>130</v>
      </c>
      <c r="G836" s="52" t="s">
        <v>469</v>
      </c>
      <c r="H836" s="102">
        <f>2+2+3</f>
        <v>7</v>
      </c>
      <c r="I836" s="98" t="s">
        <v>83</v>
      </c>
      <c r="J836" s="202"/>
      <c r="K836" s="50"/>
      <c r="L836" s="45"/>
    </row>
    <row r="837" spans="2:12" x14ac:dyDescent="0.35">
      <c r="B837" s="129"/>
      <c r="C837" s="104"/>
      <c r="D837" s="105"/>
      <c r="E837" s="68"/>
      <c r="F837" s="101" t="s">
        <v>130</v>
      </c>
      <c r="G837" s="52" t="s">
        <v>470</v>
      </c>
      <c r="H837" s="60">
        <v>5</v>
      </c>
      <c r="I837" s="98" t="s">
        <v>83</v>
      </c>
      <c r="J837" s="202"/>
      <c r="K837" s="50"/>
      <c r="L837" s="45"/>
    </row>
    <row r="838" spans="2:12" x14ac:dyDescent="0.35">
      <c r="B838" s="159"/>
      <c r="C838" s="104"/>
      <c r="D838" s="64"/>
      <c r="E838" s="60"/>
      <c r="F838" s="101" t="s">
        <v>130</v>
      </c>
      <c r="G838" s="52" t="s">
        <v>143</v>
      </c>
      <c r="H838" s="102">
        <v>20</v>
      </c>
      <c r="I838" s="98" t="s">
        <v>83</v>
      </c>
      <c r="J838" s="202"/>
      <c r="K838" s="50"/>
      <c r="L838" s="45"/>
    </row>
    <row r="839" spans="2:12" x14ac:dyDescent="0.35">
      <c r="B839" s="158"/>
      <c r="C839" s="104"/>
      <c r="D839" s="105"/>
      <c r="E839" s="68"/>
      <c r="F839" s="60" t="s">
        <v>130</v>
      </c>
      <c r="G839" s="52" t="s">
        <v>473</v>
      </c>
      <c r="H839" s="60">
        <v>1</v>
      </c>
      <c r="I839" s="52" t="s">
        <v>83</v>
      </c>
      <c r="J839" s="202"/>
      <c r="K839" s="50"/>
      <c r="L839" s="45"/>
    </row>
    <row r="840" spans="2:12" x14ac:dyDescent="0.35">
      <c r="B840" s="159"/>
      <c r="C840" s="104" t="s">
        <v>474</v>
      </c>
      <c r="D840" s="105"/>
      <c r="E840" s="101"/>
      <c r="F840" s="60" t="s">
        <v>475</v>
      </c>
      <c r="G840" s="52"/>
      <c r="H840" s="102"/>
      <c r="I840" s="98"/>
      <c r="J840" s="49"/>
      <c r="K840" s="28"/>
      <c r="L840" s="51"/>
    </row>
    <row r="841" spans="2:12" x14ac:dyDescent="0.35">
      <c r="B841" s="159"/>
      <c r="C841" s="104"/>
      <c r="D841" s="105" t="s">
        <v>34</v>
      </c>
      <c r="E841" s="101"/>
      <c r="F841" s="60" t="s">
        <v>476</v>
      </c>
      <c r="G841" s="52"/>
      <c r="H841" s="102">
        <f>3+14+8+6</f>
        <v>31</v>
      </c>
      <c r="I841" s="98" t="s">
        <v>160</v>
      </c>
      <c r="J841" s="201"/>
      <c r="K841" s="50"/>
      <c r="L841" s="45"/>
    </row>
    <row r="842" spans="2:12" x14ac:dyDescent="0.35">
      <c r="B842" s="159"/>
      <c r="C842" s="104"/>
      <c r="D842" s="105"/>
      <c r="E842" s="101"/>
      <c r="F842" s="60" t="s">
        <v>130</v>
      </c>
      <c r="G842" s="52" t="s">
        <v>477</v>
      </c>
      <c r="H842" s="102">
        <f>140+140+560+60+1830+40+260+890+720+30</f>
        <v>4670</v>
      </c>
      <c r="I842" s="98" t="s">
        <v>141</v>
      </c>
      <c r="J842" s="201"/>
      <c r="K842" s="50"/>
      <c r="L842" s="45"/>
    </row>
    <row r="843" spans="2:12" x14ac:dyDescent="0.35">
      <c r="B843" s="129"/>
      <c r="C843" s="104"/>
      <c r="D843" s="105"/>
      <c r="E843" s="101"/>
      <c r="F843" s="101" t="s">
        <v>130</v>
      </c>
      <c r="G843" s="52" t="s">
        <v>478</v>
      </c>
      <c r="H843" s="102">
        <f>1+1+4+2+2</f>
        <v>10</v>
      </c>
      <c r="I843" s="98" t="s">
        <v>83</v>
      </c>
      <c r="J843" s="201"/>
      <c r="K843" s="208"/>
      <c r="L843" s="45"/>
    </row>
    <row r="844" spans="2:12" x14ac:dyDescent="0.35">
      <c r="B844" s="129"/>
      <c r="C844" s="104"/>
      <c r="D844" s="105"/>
      <c r="E844" s="101"/>
      <c r="F844" s="101" t="s">
        <v>130</v>
      </c>
      <c r="G844" s="52" t="s">
        <v>479</v>
      </c>
      <c r="H844" s="102">
        <v>2</v>
      </c>
      <c r="I844" s="98" t="s">
        <v>83</v>
      </c>
      <c r="J844" s="202"/>
      <c r="K844" s="50"/>
      <c r="L844" s="45"/>
    </row>
    <row r="845" spans="2:12" x14ac:dyDescent="0.35">
      <c r="B845" s="129"/>
      <c r="C845" s="104"/>
      <c r="D845" s="134"/>
      <c r="E845" s="68"/>
      <c r="F845" s="101" t="s">
        <v>130</v>
      </c>
      <c r="G845" s="52" t="s">
        <v>480</v>
      </c>
      <c r="H845" s="102">
        <f>1+1+3+1+1</f>
        <v>7</v>
      </c>
      <c r="I845" s="98" t="s">
        <v>83</v>
      </c>
      <c r="J845" s="202"/>
      <c r="K845" s="50"/>
      <c r="L845" s="45"/>
    </row>
    <row r="846" spans="2:12" x14ac:dyDescent="0.35">
      <c r="B846" s="129"/>
      <c r="C846" s="104"/>
      <c r="D846" s="134"/>
      <c r="E846" s="68"/>
      <c r="F846" s="101" t="s">
        <v>130</v>
      </c>
      <c r="G846" s="52" t="s">
        <v>481</v>
      </c>
      <c r="H846" s="102">
        <v>1</v>
      </c>
      <c r="I846" s="98" t="s">
        <v>83</v>
      </c>
      <c r="J846" s="202"/>
      <c r="K846" s="50"/>
      <c r="L846" s="45"/>
    </row>
    <row r="847" spans="2:12" x14ac:dyDescent="0.35">
      <c r="B847" s="129"/>
      <c r="C847" s="104"/>
      <c r="D847" s="134"/>
      <c r="E847" s="101"/>
      <c r="F847" s="101" t="s">
        <v>130</v>
      </c>
      <c r="G847" s="52" t="s">
        <v>482</v>
      </c>
      <c r="H847" s="60">
        <v>4</v>
      </c>
      <c r="I847" s="98" t="s">
        <v>83</v>
      </c>
      <c r="J847" s="202"/>
      <c r="K847" s="50"/>
      <c r="L847" s="45"/>
    </row>
    <row r="848" spans="2:12" x14ac:dyDescent="0.35">
      <c r="B848" s="129"/>
      <c r="C848" s="104"/>
      <c r="D848" s="134"/>
      <c r="E848" s="101"/>
      <c r="F848" s="101" t="s">
        <v>130</v>
      </c>
      <c r="G848" s="52" t="s">
        <v>402</v>
      </c>
      <c r="H848" s="102">
        <v>16</v>
      </c>
      <c r="I848" s="98" t="s">
        <v>83</v>
      </c>
      <c r="J848" s="202"/>
      <c r="K848" s="50"/>
      <c r="L848" s="45"/>
    </row>
    <row r="849" spans="2:12" x14ac:dyDescent="0.35">
      <c r="B849" s="116"/>
      <c r="C849" s="117"/>
      <c r="D849" s="105"/>
      <c r="E849" s="68"/>
      <c r="F849" s="60" t="s">
        <v>130</v>
      </c>
      <c r="G849" s="52" t="s">
        <v>483</v>
      </c>
      <c r="H849" s="60">
        <v>2</v>
      </c>
      <c r="I849" s="52" t="s">
        <v>83</v>
      </c>
      <c r="J849" s="202"/>
      <c r="K849" s="50"/>
      <c r="L849" s="45"/>
    </row>
    <row r="850" spans="2:12" s="33" customFormat="1" x14ac:dyDescent="0.35">
      <c r="B850" s="116"/>
      <c r="C850" s="117"/>
      <c r="D850" s="105"/>
      <c r="E850" s="68"/>
      <c r="F850" s="60" t="s">
        <v>130</v>
      </c>
      <c r="G850" s="52" t="s">
        <v>484</v>
      </c>
      <c r="H850" s="60">
        <v>80</v>
      </c>
      <c r="I850" s="52" t="s">
        <v>141</v>
      </c>
      <c r="J850" s="28"/>
      <c r="K850" s="28"/>
      <c r="L850" s="51"/>
    </row>
    <row r="851" spans="2:12" x14ac:dyDescent="0.35">
      <c r="B851" s="116"/>
      <c r="C851" s="117"/>
      <c r="D851" s="105"/>
      <c r="E851" s="68"/>
      <c r="F851" s="60" t="s">
        <v>130</v>
      </c>
      <c r="G851" s="52" t="s">
        <v>485</v>
      </c>
      <c r="H851" s="60">
        <v>2</v>
      </c>
      <c r="I851" s="52" t="s">
        <v>83</v>
      </c>
      <c r="J851" s="202"/>
      <c r="K851" s="50"/>
      <c r="L851" s="45"/>
    </row>
    <row r="852" spans="2:12" x14ac:dyDescent="0.35">
      <c r="B852" s="129"/>
      <c r="C852" s="117"/>
      <c r="D852" s="105" t="s">
        <v>37</v>
      </c>
      <c r="E852" s="101"/>
      <c r="F852" s="60" t="s">
        <v>486</v>
      </c>
      <c r="G852" s="52"/>
      <c r="H852" s="102">
        <f>7+13</f>
        <v>20</v>
      </c>
      <c r="I852" s="60" t="s">
        <v>160</v>
      </c>
      <c r="J852" s="45"/>
      <c r="K852" s="50"/>
      <c r="L852" s="45"/>
    </row>
    <row r="853" spans="2:12" x14ac:dyDescent="0.35">
      <c r="B853" s="160"/>
      <c r="C853" s="117"/>
      <c r="D853" s="105"/>
      <c r="E853" s="101"/>
      <c r="F853" s="60" t="s">
        <v>130</v>
      </c>
      <c r="G853" s="52" t="s">
        <v>181</v>
      </c>
      <c r="H853" s="102">
        <f>70+90+2090+150+840+100+60</f>
        <v>3400</v>
      </c>
      <c r="I853" s="60" t="s">
        <v>141</v>
      </c>
      <c r="J853" s="28"/>
      <c r="K853" s="50"/>
      <c r="L853" s="45"/>
    </row>
    <row r="854" spans="2:12" x14ac:dyDescent="0.35">
      <c r="B854" s="116"/>
      <c r="C854" s="117"/>
      <c r="D854" s="105"/>
      <c r="E854" s="101"/>
      <c r="F854" s="101" t="s">
        <v>130</v>
      </c>
      <c r="G854" s="52" t="s">
        <v>487</v>
      </c>
      <c r="H854" s="102">
        <v>6</v>
      </c>
      <c r="I854" s="60" t="s">
        <v>83</v>
      </c>
      <c r="J854" s="28"/>
      <c r="K854" s="208"/>
      <c r="L854" s="45"/>
    </row>
    <row r="855" spans="2:12" x14ac:dyDescent="0.35">
      <c r="B855" s="116"/>
      <c r="C855" s="104"/>
      <c r="D855" s="105"/>
      <c r="E855" s="68"/>
      <c r="F855" s="101" t="s">
        <v>130</v>
      </c>
      <c r="G855" s="52" t="s">
        <v>164</v>
      </c>
      <c r="H855" s="102">
        <v>3</v>
      </c>
      <c r="I855" s="98" t="s">
        <v>83</v>
      </c>
      <c r="J855" s="28"/>
      <c r="K855" s="50"/>
      <c r="L855" s="45"/>
    </row>
    <row r="856" spans="2:12" x14ac:dyDescent="0.35">
      <c r="B856" s="116"/>
      <c r="C856" s="104"/>
      <c r="D856" s="105"/>
      <c r="E856" s="68"/>
      <c r="F856" s="101" t="s">
        <v>130</v>
      </c>
      <c r="G856" s="52" t="s">
        <v>488</v>
      </c>
      <c r="H856" s="102">
        <v>1</v>
      </c>
      <c r="I856" s="98" t="s">
        <v>83</v>
      </c>
      <c r="J856" s="28"/>
      <c r="K856" s="50"/>
      <c r="L856" s="45"/>
    </row>
    <row r="857" spans="2:12" x14ac:dyDescent="0.35">
      <c r="B857" s="129"/>
      <c r="C857" s="104"/>
      <c r="D857" s="105"/>
      <c r="E857" s="101"/>
      <c r="F857" s="101" t="s">
        <v>130</v>
      </c>
      <c r="G857" s="52" t="s">
        <v>489</v>
      </c>
      <c r="H857" s="60">
        <v>3</v>
      </c>
      <c r="I857" s="98" t="s">
        <v>83</v>
      </c>
      <c r="J857" s="202"/>
      <c r="K857" s="50"/>
      <c r="L857" s="45"/>
    </row>
    <row r="858" spans="2:12" x14ac:dyDescent="0.35">
      <c r="B858" s="129"/>
      <c r="C858" s="104"/>
      <c r="D858" s="105"/>
      <c r="E858" s="101"/>
      <c r="F858" s="101" t="s">
        <v>130</v>
      </c>
      <c r="G858" s="52" t="s">
        <v>183</v>
      </c>
      <c r="H858" s="102">
        <v>10</v>
      </c>
      <c r="I858" s="98" t="s">
        <v>83</v>
      </c>
      <c r="J858" s="202"/>
      <c r="K858" s="50"/>
      <c r="L858" s="45"/>
    </row>
    <row r="859" spans="2:12" x14ac:dyDescent="0.35">
      <c r="B859" s="116"/>
      <c r="C859" s="104"/>
      <c r="D859" s="105"/>
      <c r="E859" s="68"/>
      <c r="F859" s="60" t="s">
        <v>130</v>
      </c>
      <c r="G859" s="52" t="s">
        <v>461</v>
      </c>
      <c r="H859" s="60">
        <v>2</v>
      </c>
      <c r="I859" s="52" t="s">
        <v>83</v>
      </c>
      <c r="J859" s="202"/>
      <c r="K859" s="50"/>
      <c r="L859" s="45"/>
    </row>
    <row r="860" spans="2:12" x14ac:dyDescent="0.35">
      <c r="B860" s="159"/>
      <c r="C860" s="104" t="s">
        <v>490</v>
      </c>
      <c r="D860" s="105"/>
      <c r="E860" s="101"/>
      <c r="F860" s="60" t="s">
        <v>491</v>
      </c>
      <c r="G860" s="52"/>
      <c r="H860" s="102"/>
      <c r="I860" s="98"/>
      <c r="J860" s="49"/>
      <c r="K860" s="28"/>
      <c r="L860" s="51"/>
    </row>
    <row r="861" spans="2:12" x14ac:dyDescent="0.35">
      <c r="B861" s="159"/>
      <c r="C861" s="104"/>
      <c r="D861" s="105" t="s">
        <v>34</v>
      </c>
      <c r="E861" s="101"/>
      <c r="F861" s="60" t="s">
        <v>492</v>
      </c>
      <c r="G861" s="52"/>
      <c r="H861" s="102">
        <f>3+12</f>
        <v>15</v>
      </c>
      <c r="I861" s="98" t="s">
        <v>160</v>
      </c>
      <c r="J861" s="201"/>
      <c r="K861" s="50"/>
      <c r="L861" s="45"/>
    </row>
    <row r="862" spans="2:12" x14ac:dyDescent="0.35">
      <c r="B862" s="159"/>
      <c r="C862" s="104"/>
      <c r="D862" s="105"/>
      <c r="E862" s="101"/>
      <c r="F862" s="60" t="s">
        <v>130</v>
      </c>
      <c r="G862" s="52" t="s">
        <v>493</v>
      </c>
      <c r="H862" s="102">
        <f>40+70+40</f>
        <v>150</v>
      </c>
      <c r="I862" s="98" t="s">
        <v>141</v>
      </c>
      <c r="J862" s="202"/>
      <c r="K862" s="50"/>
      <c r="L862" s="45"/>
    </row>
    <row r="863" spans="2:12" x14ac:dyDescent="0.35">
      <c r="B863" s="159"/>
      <c r="C863" s="104"/>
      <c r="D863" s="105"/>
      <c r="E863" s="101"/>
      <c r="F863" s="60" t="s">
        <v>130</v>
      </c>
      <c r="G863" s="52" t="s">
        <v>477</v>
      </c>
      <c r="H863" s="102">
        <f>200+1820+290</f>
        <v>2310</v>
      </c>
      <c r="I863" s="98" t="s">
        <v>141</v>
      </c>
      <c r="J863" s="201"/>
      <c r="K863" s="50"/>
      <c r="L863" s="45"/>
    </row>
    <row r="864" spans="2:12" x14ac:dyDescent="0.35">
      <c r="B864" s="116"/>
      <c r="C864" s="117"/>
      <c r="D864" s="135"/>
      <c r="E864" s="101"/>
      <c r="F864" s="101" t="s">
        <v>130</v>
      </c>
      <c r="G864" s="52" t="s">
        <v>494</v>
      </c>
      <c r="H864" s="102">
        <v>4</v>
      </c>
      <c r="I864" s="98" t="s">
        <v>83</v>
      </c>
      <c r="J864" s="201"/>
      <c r="K864" s="208"/>
      <c r="L864" s="45"/>
    </row>
    <row r="865" spans="2:12" x14ac:dyDescent="0.35">
      <c r="B865" s="116"/>
      <c r="C865" s="117"/>
      <c r="D865" s="135"/>
      <c r="E865" s="68"/>
      <c r="F865" s="101" t="s">
        <v>130</v>
      </c>
      <c r="G865" s="52" t="s">
        <v>495</v>
      </c>
      <c r="H865" s="102">
        <v>3</v>
      </c>
      <c r="I865" s="98" t="s">
        <v>83</v>
      </c>
      <c r="J865" s="28"/>
      <c r="K865" s="50"/>
      <c r="L865" s="45"/>
    </row>
    <row r="866" spans="2:12" x14ac:dyDescent="0.35">
      <c r="B866" s="116"/>
      <c r="C866" s="117"/>
      <c r="D866" s="135"/>
      <c r="E866" s="68"/>
      <c r="F866" s="101" t="s">
        <v>130</v>
      </c>
      <c r="G866" s="52" t="s">
        <v>480</v>
      </c>
      <c r="H866" s="102">
        <v>2</v>
      </c>
      <c r="I866" s="98" t="s">
        <v>83</v>
      </c>
      <c r="J866" s="202"/>
      <c r="K866" s="50"/>
      <c r="L866" s="45"/>
    </row>
    <row r="867" spans="2:12" s="33" customFormat="1" x14ac:dyDescent="0.35">
      <c r="B867" s="116"/>
      <c r="C867" s="117"/>
      <c r="D867" s="135"/>
      <c r="E867" s="117"/>
      <c r="F867" s="117" t="s">
        <v>130</v>
      </c>
      <c r="G867" s="117" t="s">
        <v>496</v>
      </c>
      <c r="H867" s="136">
        <v>1</v>
      </c>
      <c r="I867" s="135" t="s">
        <v>83</v>
      </c>
      <c r="J867" s="28"/>
      <c r="K867" s="28"/>
      <c r="L867" s="51"/>
    </row>
    <row r="868" spans="2:12" x14ac:dyDescent="0.35">
      <c r="B868" s="116"/>
      <c r="C868" s="117"/>
      <c r="D868" s="135"/>
      <c r="E868" s="117"/>
      <c r="F868" s="117" t="s">
        <v>130</v>
      </c>
      <c r="G868" s="117" t="s">
        <v>497</v>
      </c>
      <c r="H868" s="136">
        <v>1</v>
      </c>
      <c r="I868" s="135" t="s">
        <v>83</v>
      </c>
      <c r="J868" s="28"/>
      <c r="K868" s="208"/>
      <c r="L868" s="45"/>
    </row>
    <row r="869" spans="2:12" s="33" customFormat="1" x14ac:dyDescent="0.35">
      <c r="B869" s="158"/>
      <c r="C869" s="104"/>
      <c r="D869" s="105"/>
      <c r="E869" s="118"/>
      <c r="F869" s="60" t="s">
        <v>130</v>
      </c>
      <c r="G869" s="52" t="s">
        <v>498</v>
      </c>
      <c r="H869" s="107">
        <v>1</v>
      </c>
      <c r="I869" s="52" t="s">
        <v>83</v>
      </c>
      <c r="J869" s="202"/>
      <c r="K869" s="50"/>
      <c r="L869" s="45"/>
    </row>
    <row r="870" spans="2:12" x14ac:dyDescent="0.35">
      <c r="B870" s="158"/>
      <c r="C870" s="104"/>
      <c r="D870" s="135"/>
      <c r="E870" s="101"/>
      <c r="F870" s="101" t="s">
        <v>130</v>
      </c>
      <c r="G870" s="52" t="s">
        <v>406</v>
      </c>
      <c r="H870" s="60">
        <v>2</v>
      </c>
      <c r="I870" s="98" t="s">
        <v>83</v>
      </c>
      <c r="J870" s="202"/>
      <c r="K870" s="50"/>
      <c r="L870" s="45"/>
    </row>
    <row r="871" spans="2:12" x14ac:dyDescent="0.35">
      <c r="B871" s="129"/>
      <c r="C871" s="104"/>
      <c r="D871" s="135"/>
      <c r="E871" s="101"/>
      <c r="F871" s="101" t="s">
        <v>130</v>
      </c>
      <c r="G871" s="52" t="s">
        <v>402</v>
      </c>
      <c r="H871" s="102">
        <v>8</v>
      </c>
      <c r="I871" s="98" t="s">
        <v>83</v>
      </c>
      <c r="J871" s="202"/>
      <c r="K871" s="50"/>
      <c r="L871" s="45"/>
    </row>
    <row r="872" spans="2:12" x14ac:dyDescent="0.35">
      <c r="B872" s="116"/>
      <c r="C872" s="104"/>
      <c r="D872" s="105" t="s">
        <v>37</v>
      </c>
      <c r="E872" s="101"/>
      <c r="F872" s="60" t="s">
        <v>499</v>
      </c>
      <c r="G872" s="52"/>
      <c r="H872" s="102">
        <f>14+8</f>
        <v>22</v>
      </c>
      <c r="I872" s="98" t="s">
        <v>160</v>
      </c>
      <c r="J872" s="212"/>
      <c r="K872" s="50"/>
      <c r="L872" s="45"/>
    </row>
    <row r="873" spans="2:12" x14ac:dyDescent="0.35">
      <c r="B873" s="116"/>
      <c r="C873" s="117"/>
      <c r="D873" s="105"/>
      <c r="E873" s="101"/>
      <c r="F873" s="60" t="s">
        <v>130</v>
      </c>
      <c r="G873" s="52" t="s">
        <v>493</v>
      </c>
      <c r="H873" s="102">
        <f>110+120+900+200+100+430+90+50</f>
        <v>2000</v>
      </c>
      <c r="I873" s="98" t="s">
        <v>141</v>
      </c>
      <c r="J873" s="202"/>
      <c r="K873" s="50"/>
      <c r="L873" s="45"/>
    </row>
    <row r="874" spans="2:12" x14ac:dyDescent="0.35">
      <c r="B874" s="129"/>
      <c r="C874" s="104"/>
      <c r="D874" s="135"/>
      <c r="E874" s="101"/>
      <c r="F874" s="101" t="s">
        <v>130</v>
      </c>
      <c r="G874" s="52" t="s">
        <v>500</v>
      </c>
      <c r="H874" s="102">
        <v>6</v>
      </c>
      <c r="I874" s="98" t="s">
        <v>83</v>
      </c>
      <c r="J874" s="202"/>
      <c r="K874" s="50"/>
      <c r="L874" s="45"/>
    </row>
    <row r="875" spans="2:12" x14ac:dyDescent="0.35">
      <c r="B875" s="129"/>
      <c r="C875" s="104"/>
      <c r="D875" s="135"/>
      <c r="E875" s="68"/>
      <c r="F875" s="101"/>
      <c r="G875" s="52"/>
      <c r="H875" s="102"/>
      <c r="I875" s="98"/>
      <c r="J875" s="49"/>
      <c r="K875" s="28"/>
      <c r="L875" s="51"/>
    </row>
    <row r="876" spans="2:12" x14ac:dyDescent="0.35">
      <c r="B876" s="224"/>
      <c r="C876" s="226"/>
      <c r="D876" s="23"/>
      <c r="G876" s="21"/>
      <c r="I876" s="21"/>
      <c r="J876" s="49"/>
      <c r="K876" s="28"/>
      <c r="L876" s="51"/>
    </row>
    <row r="877" spans="2:12" x14ac:dyDescent="0.35">
      <c r="B877" s="8"/>
      <c r="C877" s="9"/>
      <c r="D877" s="10"/>
      <c r="E877" s="4"/>
      <c r="F877" s="4"/>
      <c r="G877" s="4"/>
      <c r="H877" s="1"/>
      <c r="I877" s="1"/>
      <c r="J877" s="11" t="s">
        <v>8</v>
      </c>
      <c r="K877" s="7">
        <f>SUM(K824:K876)</f>
        <v>0</v>
      </c>
      <c r="L877" s="7">
        <f>SUM(L824:L876)</f>
        <v>0</v>
      </c>
    </row>
    <row r="878" spans="2:12" x14ac:dyDescent="0.35">
      <c r="B878" s="8"/>
      <c r="C878" s="9"/>
      <c r="D878" s="9"/>
      <c r="E878" s="4"/>
      <c r="F878" s="4"/>
      <c r="G878" s="4"/>
      <c r="H878" s="1"/>
      <c r="I878" s="1"/>
      <c r="J878" s="11"/>
      <c r="K878" s="34" t="s">
        <v>13</v>
      </c>
      <c r="L878" s="35" t="s">
        <v>14</v>
      </c>
    </row>
    <row r="879" spans="2:12" x14ac:dyDescent="0.35">
      <c r="B879" s="3" t="s">
        <v>9</v>
      </c>
      <c r="C879" s="4"/>
      <c r="D879" s="4"/>
      <c r="E879" s="4"/>
      <c r="F879" s="4"/>
      <c r="G879" s="4"/>
      <c r="H879" s="1"/>
      <c r="I879" s="1"/>
      <c r="J879" s="12"/>
      <c r="K879" s="12"/>
      <c r="L879" s="13"/>
    </row>
    <row r="880" spans="2:12" x14ac:dyDescent="0.35">
      <c r="B880" s="36"/>
      <c r="C880" s="1"/>
      <c r="D880" s="1"/>
      <c r="E880" s="37"/>
      <c r="F880" s="37"/>
      <c r="G880" s="37"/>
      <c r="H880" s="1"/>
      <c r="I880" s="1"/>
      <c r="J880" s="1"/>
      <c r="K880" s="1"/>
      <c r="L880" s="18"/>
    </row>
    <row r="881" spans="2:12" x14ac:dyDescent="0.35">
      <c r="B881" s="27" t="s">
        <v>6</v>
      </c>
      <c r="C881" s="26"/>
      <c r="D881" s="26"/>
      <c r="E881" s="25"/>
      <c r="F881" s="25"/>
      <c r="G881" s="5"/>
      <c r="K881" s="232" t="s">
        <v>813</v>
      </c>
      <c r="L881" s="233"/>
    </row>
    <row r="882" spans="2:12" x14ac:dyDescent="0.35">
      <c r="B882" s="27">
        <v>1</v>
      </c>
      <c r="C882" s="26"/>
      <c r="D882" s="26"/>
      <c r="E882" s="25" t="s">
        <v>7</v>
      </c>
      <c r="F882" s="25"/>
      <c r="G882" s="5"/>
      <c r="K882" s="232" t="s">
        <v>18</v>
      </c>
      <c r="L882" s="233"/>
    </row>
    <row r="883" spans="2:12" x14ac:dyDescent="0.35">
      <c r="B883" s="38"/>
      <c r="C883" s="26"/>
      <c r="D883" s="26"/>
      <c r="E883" s="25"/>
      <c r="F883" s="25"/>
      <c r="G883" s="5"/>
      <c r="J883" s="24"/>
      <c r="K883" s="24"/>
      <c r="L883" s="23"/>
    </row>
    <row r="884" spans="2:12" x14ac:dyDescent="0.35">
      <c r="B884" s="27"/>
      <c r="C884" s="26"/>
      <c r="D884" s="26"/>
      <c r="E884" s="25"/>
      <c r="F884" s="25"/>
      <c r="G884" s="5"/>
      <c r="L884" s="21"/>
    </row>
    <row r="885" spans="2:12" x14ac:dyDescent="0.35">
      <c r="B885" s="44"/>
      <c r="E885" s="5"/>
      <c r="F885" s="5"/>
      <c r="G885" s="5"/>
      <c r="L885" s="21"/>
    </row>
    <row r="886" spans="2:12" x14ac:dyDescent="0.35">
      <c r="B886" s="44"/>
      <c r="E886" s="5"/>
      <c r="F886" s="5"/>
      <c r="G886" s="5"/>
      <c r="L886" s="21"/>
    </row>
    <row r="887" spans="2:12" x14ac:dyDescent="0.35">
      <c r="B887" s="44"/>
      <c r="E887" s="5"/>
      <c r="F887" s="5"/>
      <c r="G887" s="5"/>
      <c r="L887" s="21"/>
    </row>
    <row r="888" spans="2:12" x14ac:dyDescent="0.35">
      <c r="B888" s="44"/>
      <c r="E888" s="5"/>
      <c r="F888" s="5"/>
      <c r="G888" s="5"/>
      <c r="J888" s="39"/>
      <c r="K888" s="234" t="s">
        <v>26</v>
      </c>
      <c r="L888" s="235"/>
    </row>
    <row r="889" spans="2:12" x14ac:dyDescent="0.35">
      <c r="B889" s="44"/>
      <c r="K889" s="236" t="s">
        <v>27</v>
      </c>
      <c r="L889" s="237"/>
    </row>
    <row r="890" spans="2:12" x14ac:dyDescent="0.35">
      <c r="B890" s="238"/>
      <c r="C890" s="239"/>
      <c r="D890" s="239"/>
      <c r="E890" s="40"/>
      <c r="F890" s="40"/>
      <c r="G890" s="40"/>
      <c r="H890" s="2"/>
      <c r="I890" s="2"/>
      <c r="J890" s="2"/>
      <c r="K890" s="2"/>
      <c r="L890" s="20"/>
    </row>
    <row r="891" spans="2:12" x14ac:dyDescent="0.35">
      <c r="B891" s="222"/>
      <c r="C891" s="225"/>
      <c r="D891" s="48"/>
      <c r="G891" s="21"/>
      <c r="H891" s="1"/>
      <c r="I891" s="1"/>
      <c r="J891" s="42"/>
      <c r="K891" s="29"/>
      <c r="L891" s="43"/>
    </row>
    <row r="892" spans="2:12" x14ac:dyDescent="0.35">
      <c r="B892" s="129"/>
      <c r="C892" s="104"/>
      <c r="D892" s="135"/>
      <c r="E892" s="68"/>
      <c r="F892" s="101" t="s">
        <v>130</v>
      </c>
      <c r="G892" s="52" t="s">
        <v>495</v>
      </c>
      <c r="H892" s="102">
        <v>5</v>
      </c>
      <c r="I892" s="98" t="s">
        <v>83</v>
      </c>
      <c r="J892" s="28"/>
      <c r="K892" s="50"/>
      <c r="L892" s="45"/>
    </row>
    <row r="893" spans="2:12" x14ac:dyDescent="0.35">
      <c r="B893" s="69"/>
      <c r="C893" s="60"/>
      <c r="D893" s="135"/>
      <c r="E893" s="101"/>
      <c r="F893" s="101" t="s">
        <v>130</v>
      </c>
      <c r="G893" s="52" t="s">
        <v>501</v>
      </c>
      <c r="H893" s="60">
        <v>3</v>
      </c>
      <c r="I893" s="98" t="s">
        <v>83</v>
      </c>
      <c r="J893" s="202"/>
      <c r="K893" s="50"/>
      <c r="L893" s="45"/>
    </row>
    <row r="894" spans="2:12" x14ac:dyDescent="0.35">
      <c r="B894" s="69"/>
      <c r="C894" s="60"/>
      <c r="D894" s="135"/>
      <c r="E894" s="101"/>
      <c r="F894" s="101" t="s">
        <v>130</v>
      </c>
      <c r="G894" s="52" t="s">
        <v>402</v>
      </c>
      <c r="H894" s="102">
        <v>28</v>
      </c>
      <c r="I894" s="98" t="s">
        <v>83</v>
      </c>
      <c r="J894" s="202"/>
      <c r="K894" s="50"/>
      <c r="L894" s="45"/>
    </row>
    <row r="895" spans="2:12" x14ac:dyDescent="0.35">
      <c r="B895" s="129"/>
      <c r="C895" s="104"/>
      <c r="D895" s="135"/>
      <c r="E895" s="101"/>
      <c r="F895" s="101" t="s">
        <v>130</v>
      </c>
      <c r="G895" s="52" t="s">
        <v>502</v>
      </c>
      <c r="H895" s="102">
        <v>2</v>
      </c>
      <c r="I895" s="98" t="s">
        <v>83</v>
      </c>
      <c r="J895" s="202"/>
      <c r="K895" s="50"/>
      <c r="L895" s="45"/>
    </row>
    <row r="896" spans="2:12" s="33" customFormat="1" x14ac:dyDescent="0.35">
      <c r="B896" s="129"/>
      <c r="C896" s="104"/>
      <c r="D896" s="135"/>
      <c r="E896" s="101"/>
      <c r="F896" s="101" t="s">
        <v>130</v>
      </c>
      <c r="G896" s="52" t="s">
        <v>503</v>
      </c>
      <c r="H896" s="102">
        <v>1</v>
      </c>
      <c r="I896" s="98" t="s">
        <v>83</v>
      </c>
      <c r="J896" s="28"/>
      <c r="K896" s="28"/>
      <c r="L896" s="51"/>
    </row>
    <row r="897" spans="2:12" x14ac:dyDescent="0.35">
      <c r="B897" s="129"/>
      <c r="C897" s="104"/>
      <c r="D897" s="135"/>
      <c r="E897" s="101"/>
      <c r="F897" s="101" t="s">
        <v>130</v>
      </c>
      <c r="G897" s="52" t="s">
        <v>504</v>
      </c>
      <c r="H897" s="102">
        <v>1</v>
      </c>
      <c r="I897" s="98" t="s">
        <v>83</v>
      </c>
      <c r="J897" s="202"/>
      <c r="K897" s="50"/>
      <c r="L897" s="45"/>
    </row>
    <row r="898" spans="2:12" x14ac:dyDescent="0.35">
      <c r="B898" s="69"/>
      <c r="C898" s="60"/>
      <c r="D898" s="135"/>
      <c r="E898" s="101"/>
      <c r="F898" s="101" t="s">
        <v>130</v>
      </c>
      <c r="G898" s="52" t="s">
        <v>406</v>
      </c>
      <c r="H898" s="60">
        <v>2</v>
      </c>
      <c r="I898" s="98" t="s">
        <v>83</v>
      </c>
      <c r="J898" s="202"/>
      <c r="K898" s="50"/>
      <c r="L898" s="45"/>
    </row>
    <row r="899" spans="2:12" s="33" customFormat="1" x14ac:dyDescent="0.35">
      <c r="B899" s="129"/>
      <c r="C899" s="104"/>
      <c r="D899" s="135"/>
      <c r="E899" s="101"/>
      <c r="F899" s="101" t="s">
        <v>130</v>
      </c>
      <c r="G899" s="52" t="s">
        <v>505</v>
      </c>
      <c r="H899" s="102">
        <v>1</v>
      </c>
      <c r="I899" s="98" t="s">
        <v>83</v>
      </c>
      <c r="J899" s="28"/>
      <c r="K899" s="28"/>
      <c r="L899" s="51"/>
    </row>
    <row r="900" spans="2:12" x14ac:dyDescent="0.35">
      <c r="B900" s="159"/>
      <c r="C900" s="104"/>
      <c r="D900" s="105" t="s">
        <v>39</v>
      </c>
      <c r="E900" s="101"/>
      <c r="F900" s="60" t="s">
        <v>506</v>
      </c>
      <c r="G900" s="52"/>
      <c r="H900" s="102">
        <v>12</v>
      </c>
      <c r="I900" s="98" t="s">
        <v>160</v>
      </c>
      <c r="J900" s="201"/>
      <c r="K900" s="50"/>
      <c r="L900" s="45"/>
    </row>
    <row r="901" spans="2:12" x14ac:dyDescent="0.35">
      <c r="B901" s="159"/>
      <c r="C901" s="104"/>
      <c r="D901" s="105"/>
      <c r="E901" s="101"/>
      <c r="F901" s="60" t="s">
        <v>130</v>
      </c>
      <c r="G901" s="52" t="s">
        <v>493</v>
      </c>
      <c r="H901" s="102">
        <f>50+50+80</f>
        <v>180</v>
      </c>
      <c r="I901" s="98" t="s">
        <v>141</v>
      </c>
      <c r="J901" s="202"/>
      <c r="K901" s="50"/>
      <c r="L901" s="45"/>
    </row>
    <row r="902" spans="2:12" x14ac:dyDescent="0.35">
      <c r="B902" s="116"/>
      <c r="C902" s="117"/>
      <c r="D902" s="135"/>
      <c r="E902" s="101"/>
      <c r="F902" s="60" t="s">
        <v>130</v>
      </c>
      <c r="G902" s="52" t="s">
        <v>477</v>
      </c>
      <c r="H902" s="102">
        <f>20+1830+280</f>
        <v>2130</v>
      </c>
      <c r="I902" s="98" t="s">
        <v>141</v>
      </c>
      <c r="J902" s="201"/>
      <c r="K902" s="50"/>
      <c r="L902" s="45"/>
    </row>
    <row r="903" spans="2:12" x14ac:dyDescent="0.35">
      <c r="B903" s="116"/>
      <c r="C903" s="117"/>
      <c r="D903" s="135"/>
      <c r="E903" s="68"/>
      <c r="F903" s="101" t="s">
        <v>130</v>
      </c>
      <c r="G903" s="52" t="s">
        <v>494</v>
      </c>
      <c r="H903" s="102">
        <v>4</v>
      </c>
      <c r="I903" s="98" t="s">
        <v>83</v>
      </c>
      <c r="J903" s="201"/>
      <c r="K903" s="208"/>
      <c r="L903" s="45"/>
    </row>
    <row r="904" spans="2:12" x14ac:dyDescent="0.35">
      <c r="B904" s="116"/>
      <c r="C904" s="117"/>
      <c r="D904" s="135"/>
      <c r="E904" s="117"/>
      <c r="F904" s="101" t="s">
        <v>130</v>
      </c>
      <c r="G904" s="52" t="s">
        <v>495</v>
      </c>
      <c r="H904" s="102">
        <v>3</v>
      </c>
      <c r="I904" s="98" t="s">
        <v>83</v>
      </c>
      <c r="J904" s="28"/>
      <c r="K904" s="50"/>
      <c r="L904" s="45"/>
    </row>
    <row r="905" spans="2:12" s="33" customFormat="1" x14ac:dyDescent="0.35">
      <c r="B905" s="158"/>
      <c r="C905" s="104"/>
      <c r="D905" s="135"/>
      <c r="E905" s="101"/>
      <c r="F905" s="117" t="s">
        <v>130</v>
      </c>
      <c r="G905" s="117" t="s">
        <v>496</v>
      </c>
      <c r="H905" s="136">
        <v>1</v>
      </c>
      <c r="I905" s="135" t="s">
        <v>83</v>
      </c>
      <c r="J905" s="28"/>
      <c r="K905" s="28"/>
      <c r="L905" s="51"/>
    </row>
    <row r="906" spans="2:12" x14ac:dyDescent="0.35">
      <c r="B906" s="158"/>
      <c r="C906" s="104"/>
      <c r="D906" s="135"/>
      <c r="E906" s="68"/>
      <c r="F906" s="60" t="s">
        <v>130</v>
      </c>
      <c r="G906" s="52" t="s">
        <v>498</v>
      </c>
      <c r="H906" s="107">
        <v>1</v>
      </c>
      <c r="I906" s="52" t="s">
        <v>83</v>
      </c>
      <c r="J906" s="202"/>
      <c r="K906" s="50"/>
      <c r="L906" s="45"/>
    </row>
    <row r="907" spans="2:12" x14ac:dyDescent="0.35">
      <c r="B907" s="158"/>
      <c r="C907" s="104"/>
      <c r="D907" s="135"/>
      <c r="E907" s="101"/>
      <c r="F907" s="101" t="s">
        <v>130</v>
      </c>
      <c r="G907" s="52" t="s">
        <v>501</v>
      </c>
      <c r="H907" s="60">
        <v>2</v>
      </c>
      <c r="I907" s="98" t="s">
        <v>83</v>
      </c>
      <c r="J907" s="202"/>
      <c r="K907" s="50"/>
      <c r="L907" s="45"/>
    </row>
    <row r="908" spans="2:12" x14ac:dyDescent="0.35">
      <c r="B908" s="129"/>
      <c r="C908" s="104"/>
      <c r="D908" s="135"/>
      <c r="E908" s="101"/>
      <c r="F908" s="101" t="s">
        <v>130</v>
      </c>
      <c r="G908" s="52" t="s">
        <v>402</v>
      </c>
      <c r="H908" s="102">
        <v>4</v>
      </c>
      <c r="I908" s="98" t="s">
        <v>83</v>
      </c>
      <c r="J908" s="202"/>
      <c r="K908" s="50"/>
      <c r="L908" s="45"/>
    </row>
    <row r="909" spans="2:12" x14ac:dyDescent="0.35">
      <c r="B909" s="116"/>
      <c r="C909" s="104"/>
      <c r="D909" s="105" t="s">
        <v>41</v>
      </c>
      <c r="E909" s="101"/>
      <c r="F909" s="60" t="s">
        <v>507</v>
      </c>
      <c r="G909" s="52"/>
      <c r="H909" s="102">
        <v>14</v>
      </c>
      <c r="I909" s="98" t="s">
        <v>160</v>
      </c>
      <c r="J909" s="212"/>
      <c r="K909" s="50"/>
      <c r="L909" s="45"/>
    </row>
    <row r="910" spans="2:12" x14ac:dyDescent="0.35">
      <c r="B910" s="116"/>
      <c r="C910" s="117"/>
      <c r="D910" s="105"/>
      <c r="E910" s="101"/>
      <c r="F910" s="60" t="s">
        <v>130</v>
      </c>
      <c r="G910" s="52" t="s">
        <v>493</v>
      </c>
      <c r="H910" s="102">
        <f>420+70+210+90+120+100</f>
        <v>1010</v>
      </c>
      <c r="I910" s="98" t="s">
        <v>141</v>
      </c>
      <c r="J910" s="202"/>
      <c r="K910" s="50"/>
      <c r="L910" s="45"/>
    </row>
    <row r="911" spans="2:12" x14ac:dyDescent="0.35">
      <c r="B911" s="129"/>
      <c r="C911" s="104"/>
      <c r="D911" s="135"/>
      <c r="E911" s="101"/>
      <c r="F911" s="101" t="s">
        <v>130</v>
      </c>
      <c r="G911" s="52" t="s">
        <v>500</v>
      </c>
      <c r="H911" s="102">
        <v>5</v>
      </c>
      <c r="I911" s="98" t="s">
        <v>83</v>
      </c>
      <c r="J911" s="202"/>
      <c r="K911" s="50"/>
      <c r="L911" s="45"/>
    </row>
    <row r="912" spans="2:12" x14ac:dyDescent="0.35">
      <c r="B912" s="129"/>
      <c r="C912" s="104"/>
      <c r="D912" s="135"/>
      <c r="E912" s="68"/>
      <c r="F912" s="101" t="s">
        <v>130</v>
      </c>
      <c r="G912" s="52" t="s">
        <v>495</v>
      </c>
      <c r="H912" s="102">
        <v>2</v>
      </c>
      <c r="I912" s="98" t="s">
        <v>83</v>
      </c>
      <c r="J912" s="28"/>
      <c r="K912" s="50"/>
      <c r="L912" s="45"/>
    </row>
    <row r="913" spans="2:12" x14ac:dyDescent="0.35">
      <c r="B913" s="69"/>
      <c r="C913" s="60"/>
      <c r="D913" s="135"/>
      <c r="E913" s="101"/>
      <c r="F913" s="101" t="s">
        <v>130</v>
      </c>
      <c r="G913" s="52" t="s">
        <v>508</v>
      </c>
      <c r="H913" s="60">
        <v>1</v>
      </c>
      <c r="I913" s="98" t="s">
        <v>83</v>
      </c>
      <c r="J913" s="202"/>
      <c r="K913" s="50"/>
      <c r="L913" s="45"/>
    </row>
    <row r="914" spans="2:12" x14ac:dyDescent="0.35">
      <c r="B914" s="69"/>
      <c r="C914" s="60"/>
      <c r="D914" s="135"/>
      <c r="E914" s="101"/>
      <c r="F914" s="101" t="s">
        <v>130</v>
      </c>
      <c r="G914" s="52" t="s">
        <v>402</v>
      </c>
      <c r="H914" s="102">
        <v>4</v>
      </c>
      <c r="I914" s="98" t="s">
        <v>83</v>
      </c>
      <c r="J914" s="202"/>
      <c r="K914" s="50"/>
      <c r="L914" s="45"/>
    </row>
    <row r="915" spans="2:12" x14ac:dyDescent="0.35">
      <c r="B915" s="159"/>
      <c r="C915" s="104" t="s">
        <v>509</v>
      </c>
      <c r="D915" s="105"/>
      <c r="E915" s="101"/>
      <c r="F915" s="60" t="s">
        <v>510</v>
      </c>
      <c r="G915" s="52"/>
      <c r="H915" s="102"/>
      <c r="I915" s="98"/>
      <c r="J915" s="49"/>
      <c r="K915" s="28"/>
      <c r="L915" s="51"/>
    </row>
    <row r="916" spans="2:12" x14ac:dyDescent="0.35">
      <c r="B916" s="160"/>
      <c r="C916" s="104"/>
      <c r="D916" s="105" t="s">
        <v>34</v>
      </c>
      <c r="E916" s="118"/>
      <c r="F916" s="60" t="s">
        <v>511</v>
      </c>
      <c r="G916" s="52"/>
      <c r="H916" s="107"/>
      <c r="I916" s="52"/>
      <c r="J916" s="49"/>
      <c r="K916" s="28"/>
      <c r="L916" s="51"/>
    </row>
    <row r="917" spans="2:12" x14ac:dyDescent="0.35">
      <c r="B917" s="227"/>
      <c r="C917" s="104"/>
      <c r="D917" s="105"/>
      <c r="E917" s="107"/>
      <c r="F917" s="107" t="s">
        <v>130</v>
      </c>
      <c r="G917" s="108" t="s">
        <v>512</v>
      </c>
      <c r="H917" s="213">
        <v>1</v>
      </c>
      <c r="I917" s="214" t="s">
        <v>533</v>
      </c>
      <c r="J917" s="28"/>
      <c r="K917" s="50"/>
      <c r="L917" s="45"/>
    </row>
    <row r="918" spans="2:12" x14ac:dyDescent="0.35">
      <c r="B918" s="227"/>
      <c r="C918" s="104"/>
      <c r="D918" s="105" t="s">
        <v>37</v>
      </c>
      <c r="E918" s="118"/>
      <c r="F918" s="60" t="s">
        <v>513</v>
      </c>
      <c r="G918" s="52"/>
      <c r="H918" s="107"/>
      <c r="I918" s="52"/>
      <c r="J918" s="49"/>
      <c r="K918" s="28"/>
      <c r="L918" s="51"/>
    </row>
    <row r="919" spans="2:12" x14ac:dyDescent="0.35">
      <c r="B919" s="160"/>
      <c r="C919" s="104"/>
      <c r="D919" s="105"/>
      <c r="E919" s="107"/>
      <c r="F919" s="107" t="s">
        <v>130</v>
      </c>
      <c r="G919" s="108" t="s">
        <v>514</v>
      </c>
      <c r="H919" s="213">
        <v>1</v>
      </c>
      <c r="I919" s="214" t="s">
        <v>533</v>
      </c>
      <c r="J919" s="28"/>
      <c r="K919" s="50"/>
      <c r="L919" s="45"/>
    </row>
    <row r="920" spans="2:12" x14ac:dyDescent="0.35">
      <c r="B920" s="129" t="s">
        <v>106</v>
      </c>
      <c r="C920" s="104"/>
      <c r="D920" s="105"/>
      <c r="E920" s="118" t="s">
        <v>381</v>
      </c>
      <c r="F920" s="107"/>
      <c r="G920" s="108"/>
      <c r="H920" s="109"/>
      <c r="I920" s="120"/>
      <c r="J920" s="49"/>
      <c r="K920" s="28"/>
      <c r="L920" s="51"/>
    </row>
    <row r="921" spans="2:12" x14ac:dyDescent="0.35">
      <c r="B921" s="158"/>
      <c r="C921" s="104" t="s">
        <v>515</v>
      </c>
      <c r="D921" s="105"/>
      <c r="E921" s="117"/>
      <c r="F921" s="107" t="s">
        <v>516</v>
      </c>
      <c r="G921" s="108"/>
      <c r="H921" s="109"/>
      <c r="I921" s="120"/>
      <c r="J921" s="49"/>
      <c r="K921" s="28"/>
      <c r="L921" s="51"/>
    </row>
    <row r="922" spans="2:12" x14ac:dyDescent="0.35">
      <c r="B922" s="158"/>
      <c r="C922" s="104"/>
      <c r="D922" s="105" t="s">
        <v>34</v>
      </c>
      <c r="E922" s="107"/>
      <c r="F922" s="107" t="s">
        <v>517</v>
      </c>
      <c r="G922" s="108"/>
      <c r="H922" s="107"/>
      <c r="I922" s="120"/>
      <c r="J922" s="49"/>
      <c r="K922" s="28"/>
      <c r="L922" s="51"/>
    </row>
    <row r="923" spans="2:12" x14ac:dyDescent="0.35">
      <c r="B923" s="158"/>
      <c r="C923" s="60"/>
      <c r="D923" s="68"/>
      <c r="E923" s="75"/>
      <c r="F923" s="60" t="s">
        <v>130</v>
      </c>
      <c r="G923" s="60" t="s">
        <v>518</v>
      </c>
      <c r="H923" s="137">
        <f>0.5*0.5*12*7.85*1.2</f>
        <v>28.259999999999994</v>
      </c>
      <c r="I923" s="66" t="s">
        <v>208</v>
      </c>
      <c r="J923" s="28"/>
      <c r="K923" s="50"/>
      <c r="L923" s="45"/>
    </row>
    <row r="924" spans="2:12" x14ac:dyDescent="0.35">
      <c r="B924" s="158"/>
      <c r="C924" s="60"/>
      <c r="D924" s="68"/>
      <c r="E924" s="75"/>
      <c r="F924" s="60" t="s">
        <v>130</v>
      </c>
      <c r="G924" s="60" t="s">
        <v>519</v>
      </c>
      <c r="H924" s="137">
        <f>0.42*0.31*12*7.85*1.2</f>
        <v>14.717807999999996</v>
      </c>
      <c r="I924" s="66" t="s">
        <v>208</v>
      </c>
      <c r="J924" s="28"/>
      <c r="K924" s="50"/>
      <c r="L924" s="45"/>
    </row>
    <row r="925" spans="2:12" x14ac:dyDescent="0.35">
      <c r="B925" s="158"/>
      <c r="C925" s="60"/>
      <c r="D925" s="68"/>
      <c r="E925" s="75"/>
      <c r="F925" s="60" t="s">
        <v>130</v>
      </c>
      <c r="G925" s="60" t="s">
        <v>520</v>
      </c>
      <c r="H925" s="137">
        <f>0.67*0.46*12*7.85*1.2</f>
        <v>34.838928000000003</v>
      </c>
      <c r="I925" s="66" t="s">
        <v>208</v>
      </c>
      <c r="J925" s="28"/>
      <c r="K925" s="50"/>
      <c r="L925" s="45"/>
    </row>
    <row r="926" spans="2:12" x14ac:dyDescent="0.35">
      <c r="B926" s="158"/>
      <c r="C926" s="60"/>
      <c r="D926" s="68"/>
      <c r="E926" s="75"/>
      <c r="F926" s="60" t="s">
        <v>130</v>
      </c>
      <c r="G926" s="60" t="s">
        <v>521</v>
      </c>
      <c r="H926" s="137">
        <f>1.32*0.74*12*7.85*1.2</f>
        <v>110.417472</v>
      </c>
      <c r="I926" s="66" t="s">
        <v>208</v>
      </c>
      <c r="J926" s="28"/>
      <c r="K926" s="50"/>
      <c r="L926" s="45"/>
    </row>
    <row r="927" spans="2:12" x14ac:dyDescent="0.35">
      <c r="B927" s="129" t="s">
        <v>114</v>
      </c>
      <c r="C927" s="104"/>
      <c r="D927" s="105"/>
      <c r="E927" s="118" t="s">
        <v>12</v>
      </c>
      <c r="F927" s="107"/>
      <c r="G927" s="108"/>
      <c r="H927" s="109"/>
      <c r="I927" s="120"/>
      <c r="J927" s="49"/>
      <c r="K927" s="28"/>
      <c r="L927" s="51"/>
    </row>
    <row r="928" spans="2:12" x14ac:dyDescent="0.35">
      <c r="B928" s="158"/>
      <c r="C928" s="104" t="s">
        <v>522</v>
      </c>
      <c r="D928" s="105"/>
      <c r="E928" s="117"/>
      <c r="F928" s="107" t="s">
        <v>523</v>
      </c>
      <c r="G928" s="108"/>
      <c r="H928" s="109"/>
      <c r="I928" s="120"/>
      <c r="J928" s="49"/>
      <c r="K928" s="28"/>
      <c r="L928" s="51"/>
    </row>
    <row r="929" spans="2:15" x14ac:dyDescent="0.35">
      <c r="B929" s="158"/>
      <c r="C929" s="104"/>
      <c r="D929" s="105" t="s">
        <v>34</v>
      </c>
      <c r="E929" s="107"/>
      <c r="F929" s="107" t="s">
        <v>524</v>
      </c>
      <c r="G929" s="107"/>
      <c r="H929" s="110">
        <v>1</v>
      </c>
      <c r="I929" s="73" t="s">
        <v>533</v>
      </c>
      <c r="J929" s="28"/>
      <c r="K929" s="50"/>
      <c r="L929" s="45"/>
    </row>
    <row r="930" spans="2:15" x14ac:dyDescent="0.35">
      <c r="B930" s="227"/>
      <c r="C930" s="104"/>
      <c r="D930" s="105"/>
      <c r="E930" s="107"/>
      <c r="F930" s="107" t="s">
        <v>130</v>
      </c>
      <c r="G930" s="60" t="s">
        <v>525</v>
      </c>
      <c r="H930" s="110"/>
      <c r="I930" s="66"/>
      <c r="J930" s="49"/>
      <c r="K930" s="28"/>
      <c r="L930" s="51"/>
    </row>
    <row r="931" spans="2:15" x14ac:dyDescent="0.35">
      <c r="B931" s="227"/>
      <c r="C931" s="104"/>
      <c r="D931" s="105"/>
      <c r="E931" s="107"/>
      <c r="F931" s="107" t="s">
        <v>130</v>
      </c>
      <c r="G931" s="60" t="s">
        <v>526</v>
      </c>
      <c r="H931" s="110"/>
      <c r="I931" s="66"/>
      <c r="J931" s="49"/>
      <c r="K931" s="28"/>
      <c r="L931" s="51"/>
    </row>
    <row r="932" spans="2:15" x14ac:dyDescent="0.35">
      <c r="B932" s="160"/>
      <c r="C932" s="104" t="s">
        <v>527</v>
      </c>
      <c r="D932" s="105"/>
      <c r="E932" s="117"/>
      <c r="F932" s="107" t="s">
        <v>528</v>
      </c>
      <c r="G932" s="107"/>
      <c r="H932" s="215"/>
      <c r="I932" s="120"/>
      <c r="J932" s="49"/>
      <c r="K932" s="28"/>
      <c r="L932" s="51"/>
    </row>
    <row r="933" spans="2:15" x14ac:dyDescent="0.35">
      <c r="B933" s="160"/>
      <c r="C933" s="104"/>
      <c r="D933" s="104" t="s">
        <v>34</v>
      </c>
      <c r="E933" s="138"/>
      <c r="F933" s="60" t="s">
        <v>529</v>
      </c>
      <c r="G933" s="60"/>
      <c r="H933" s="110">
        <v>1</v>
      </c>
      <c r="I933" s="66" t="s">
        <v>533</v>
      </c>
      <c r="J933" s="49"/>
      <c r="K933" s="28"/>
      <c r="L933" s="45"/>
    </row>
    <row r="934" spans="2:15" x14ac:dyDescent="0.35">
      <c r="B934" s="160"/>
      <c r="C934" s="104"/>
      <c r="D934" s="104"/>
      <c r="E934" s="138"/>
      <c r="F934" s="60" t="s">
        <v>130</v>
      </c>
      <c r="G934" s="60" t="s">
        <v>530</v>
      </c>
      <c r="H934" s="137"/>
      <c r="I934" s="66"/>
      <c r="J934" s="49"/>
      <c r="K934" s="28"/>
      <c r="L934" s="51"/>
      <c r="M934" s="210"/>
    </row>
    <row r="935" spans="2:15" x14ac:dyDescent="0.35">
      <c r="B935" s="160"/>
      <c r="C935" s="104"/>
      <c r="D935" s="104"/>
      <c r="E935" s="138"/>
      <c r="F935" s="60" t="s">
        <v>130</v>
      </c>
      <c r="G935" s="60" t="s">
        <v>531</v>
      </c>
      <c r="H935" s="110"/>
      <c r="I935" s="66"/>
      <c r="J935" s="49"/>
      <c r="K935" s="28"/>
      <c r="L935" s="51"/>
      <c r="M935" s="210"/>
      <c r="N935" s="210"/>
      <c r="O935" s="211"/>
    </row>
    <row r="936" spans="2:15" x14ac:dyDescent="0.35">
      <c r="B936" s="160"/>
      <c r="C936" s="104"/>
      <c r="D936" s="104" t="s">
        <v>37</v>
      </c>
      <c r="E936" s="138"/>
      <c r="F936" s="60" t="s">
        <v>532</v>
      </c>
      <c r="G936" s="60"/>
      <c r="H936" s="110">
        <v>1</v>
      </c>
      <c r="I936" s="66" t="s">
        <v>533</v>
      </c>
      <c r="J936" s="49"/>
      <c r="K936" s="28"/>
      <c r="L936" s="45"/>
    </row>
    <row r="937" spans="2:15" x14ac:dyDescent="0.35">
      <c r="B937" s="160"/>
      <c r="C937" s="104"/>
      <c r="D937" s="104"/>
      <c r="E937" s="138"/>
      <c r="F937" s="60" t="s">
        <v>130</v>
      </c>
      <c r="G937" s="60" t="s">
        <v>530</v>
      </c>
      <c r="H937" s="137"/>
      <c r="I937" s="66"/>
      <c r="J937" s="49"/>
      <c r="K937" s="28"/>
      <c r="L937" s="51"/>
      <c r="M937" s="210"/>
    </row>
    <row r="938" spans="2:15" x14ac:dyDescent="0.35">
      <c r="B938" s="160"/>
      <c r="C938" s="104"/>
      <c r="D938" s="104"/>
      <c r="E938" s="138"/>
      <c r="F938" s="60" t="s">
        <v>130</v>
      </c>
      <c r="G938" s="60" t="s">
        <v>531</v>
      </c>
      <c r="H938" s="110"/>
      <c r="I938" s="66"/>
      <c r="J938" s="49"/>
      <c r="K938" s="28"/>
      <c r="L938" s="51"/>
      <c r="M938" s="210"/>
      <c r="N938" s="210"/>
      <c r="O938" s="211"/>
    </row>
    <row r="939" spans="2:15" x14ac:dyDescent="0.35">
      <c r="B939" s="160"/>
      <c r="C939" s="104"/>
      <c r="D939" s="104" t="s">
        <v>39</v>
      </c>
      <c r="E939" s="138"/>
      <c r="F939" s="60" t="s">
        <v>534</v>
      </c>
      <c r="G939" s="60"/>
      <c r="H939" s="110">
        <v>1</v>
      </c>
      <c r="I939" s="66" t="s">
        <v>533</v>
      </c>
      <c r="J939" s="49"/>
      <c r="K939" s="28"/>
      <c r="L939" s="45"/>
    </row>
    <row r="940" spans="2:15" x14ac:dyDescent="0.35">
      <c r="B940" s="160"/>
      <c r="C940" s="104"/>
      <c r="D940" s="104"/>
      <c r="E940" s="138"/>
      <c r="F940" s="60" t="s">
        <v>130</v>
      </c>
      <c r="G940" s="60" t="s">
        <v>535</v>
      </c>
      <c r="H940" s="137"/>
      <c r="I940" s="66"/>
      <c r="J940" s="49"/>
      <c r="K940" s="28"/>
      <c r="L940" s="51"/>
      <c r="M940" s="210"/>
    </row>
    <row r="941" spans="2:15" x14ac:dyDescent="0.35">
      <c r="B941" s="160"/>
      <c r="C941" s="104"/>
      <c r="D941" s="104"/>
      <c r="E941" s="138"/>
      <c r="F941" s="60" t="s">
        <v>130</v>
      </c>
      <c r="G941" s="60" t="s">
        <v>536</v>
      </c>
      <c r="H941" s="137"/>
      <c r="I941" s="66"/>
      <c r="J941" s="49"/>
      <c r="K941" s="28"/>
      <c r="L941" s="51"/>
      <c r="M941" s="210"/>
      <c r="N941" s="210"/>
      <c r="O941" s="211"/>
    </row>
    <row r="942" spans="2:15" x14ac:dyDescent="0.35">
      <c r="B942" s="46"/>
      <c r="C942" s="47"/>
      <c r="D942" s="23"/>
      <c r="G942" s="21"/>
      <c r="I942" s="21"/>
      <c r="J942" s="49"/>
      <c r="K942" s="28"/>
      <c r="L942" s="51"/>
    </row>
    <row r="943" spans="2:15" x14ac:dyDescent="0.35">
      <c r="B943" s="46"/>
      <c r="C943" s="47"/>
      <c r="D943" s="23"/>
      <c r="G943" s="21"/>
      <c r="I943" s="21"/>
      <c r="J943" s="49"/>
      <c r="K943" s="28"/>
      <c r="L943" s="51"/>
    </row>
    <row r="944" spans="2:15" x14ac:dyDescent="0.35">
      <c r="B944" s="8"/>
      <c r="C944" s="9"/>
      <c r="D944" s="10"/>
      <c r="E944" s="4"/>
      <c r="F944" s="4"/>
      <c r="G944" s="4"/>
      <c r="H944" s="1"/>
      <c r="I944" s="1"/>
      <c r="J944" s="11" t="s">
        <v>8</v>
      </c>
      <c r="K944" s="7">
        <f>SUM(K891:K943)</f>
        <v>0</v>
      </c>
      <c r="L944" s="7">
        <f>SUM(L891:L943)</f>
        <v>0</v>
      </c>
    </row>
    <row r="945" spans="2:13" x14ac:dyDescent="0.35">
      <c r="B945" s="8"/>
      <c r="C945" s="9"/>
      <c r="D945" s="9"/>
      <c r="E945" s="4"/>
      <c r="F945" s="4"/>
      <c r="G945" s="4"/>
      <c r="H945" s="1"/>
      <c r="I945" s="1"/>
      <c r="J945" s="11"/>
      <c r="K945" s="34" t="s">
        <v>13</v>
      </c>
      <c r="L945" s="35" t="s">
        <v>14</v>
      </c>
    </row>
    <row r="946" spans="2:13" x14ac:dyDescent="0.35">
      <c r="B946" s="3" t="s">
        <v>9</v>
      </c>
      <c r="C946" s="4"/>
      <c r="D946" s="4"/>
      <c r="E946" s="4"/>
      <c r="F946" s="4"/>
      <c r="G946" s="4"/>
      <c r="H946" s="1"/>
      <c r="I946" s="1"/>
      <c r="J946" s="12"/>
      <c r="K946" s="12"/>
      <c r="L946" s="13"/>
    </row>
    <row r="947" spans="2:13" x14ac:dyDescent="0.35">
      <c r="B947" s="36"/>
      <c r="C947" s="1"/>
      <c r="D947" s="1"/>
      <c r="E947" s="37"/>
      <c r="F947" s="37"/>
      <c r="G947" s="37"/>
      <c r="H947" s="1"/>
      <c r="I947" s="1"/>
      <c r="J947" s="1"/>
      <c r="K947" s="1"/>
      <c r="L947" s="18"/>
    </row>
    <row r="948" spans="2:13" x14ac:dyDescent="0.35">
      <c r="B948" s="27" t="s">
        <v>6</v>
      </c>
      <c r="C948" s="26"/>
      <c r="D948" s="26"/>
      <c r="E948" s="25"/>
      <c r="F948" s="25"/>
      <c r="G948" s="5"/>
      <c r="K948" s="232" t="s">
        <v>813</v>
      </c>
      <c r="L948" s="233"/>
    </row>
    <row r="949" spans="2:13" x14ac:dyDescent="0.35">
      <c r="B949" s="27">
        <v>1</v>
      </c>
      <c r="C949" s="26"/>
      <c r="D949" s="26"/>
      <c r="E949" s="25" t="s">
        <v>7</v>
      </c>
      <c r="F949" s="25"/>
      <c r="G949" s="5"/>
      <c r="K949" s="232" t="s">
        <v>18</v>
      </c>
      <c r="L949" s="233"/>
    </row>
    <row r="950" spans="2:13" x14ac:dyDescent="0.35">
      <c r="B950" s="38"/>
      <c r="C950" s="26"/>
      <c r="D950" s="26"/>
      <c r="E950" s="25"/>
      <c r="F950" s="25"/>
      <c r="G950" s="5"/>
      <c r="J950" s="24"/>
      <c r="K950" s="24"/>
      <c r="L950" s="23"/>
    </row>
    <row r="951" spans="2:13" x14ac:dyDescent="0.35">
      <c r="B951" s="27"/>
      <c r="C951" s="26"/>
      <c r="D951" s="26"/>
      <c r="E951" s="25"/>
      <c r="F951" s="25"/>
      <c r="G951" s="5"/>
      <c r="L951" s="21"/>
    </row>
    <row r="952" spans="2:13" x14ac:dyDescent="0.35">
      <c r="B952" s="44"/>
      <c r="E952" s="5"/>
      <c r="F952" s="5"/>
      <c r="G952" s="5"/>
      <c r="L952" s="21"/>
    </row>
    <row r="953" spans="2:13" x14ac:dyDescent="0.35">
      <c r="B953" s="44"/>
      <c r="E953" s="5"/>
      <c r="F953" s="5"/>
      <c r="G953" s="5"/>
      <c r="L953" s="21"/>
    </row>
    <row r="954" spans="2:13" x14ac:dyDescent="0.35">
      <c r="B954" s="44"/>
      <c r="E954" s="5"/>
      <c r="F954" s="5"/>
      <c r="G954" s="5"/>
      <c r="L954" s="21"/>
    </row>
    <row r="955" spans="2:13" x14ac:dyDescent="0.35">
      <c r="B955" s="44"/>
      <c r="E955" s="5"/>
      <c r="F955" s="5"/>
      <c r="G955" s="5"/>
      <c r="J955" s="39"/>
      <c r="K955" s="234" t="s">
        <v>26</v>
      </c>
      <c r="L955" s="235"/>
    </row>
    <row r="956" spans="2:13" x14ac:dyDescent="0.35">
      <c r="B956" s="44"/>
      <c r="K956" s="236" t="s">
        <v>27</v>
      </c>
      <c r="L956" s="237"/>
    </row>
    <row r="957" spans="2:13" x14ac:dyDescent="0.35">
      <c r="B957" s="238"/>
      <c r="C957" s="239"/>
      <c r="D957" s="239"/>
      <c r="E957" s="40"/>
      <c r="F957" s="40"/>
      <c r="G957" s="40"/>
      <c r="H957" s="2"/>
      <c r="I957" s="2"/>
      <c r="J957" s="2"/>
      <c r="K957" s="2"/>
      <c r="L957" s="20"/>
    </row>
    <row r="958" spans="2:13" x14ac:dyDescent="0.35">
      <c r="B958" s="222"/>
      <c r="C958" s="47"/>
      <c r="D958" s="48"/>
      <c r="G958" s="21"/>
      <c r="H958" s="1"/>
      <c r="I958" s="1"/>
      <c r="J958" s="42"/>
      <c r="K958" s="29"/>
      <c r="L958" s="43"/>
    </row>
    <row r="959" spans="2:13" x14ac:dyDescent="0.35">
      <c r="B959" s="160"/>
      <c r="C959" s="104"/>
      <c r="D959" s="104" t="s">
        <v>41</v>
      </c>
      <c r="E959" s="138"/>
      <c r="F959" s="60" t="s">
        <v>537</v>
      </c>
      <c r="G959" s="60"/>
      <c r="H959" s="137"/>
      <c r="I959" s="66"/>
      <c r="J959" s="28"/>
      <c r="K959" s="50"/>
      <c r="L959" s="45"/>
    </row>
    <row r="960" spans="2:13" x14ac:dyDescent="0.35">
      <c r="B960" s="160"/>
      <c r="C960" s="104"/>
      <c r="D960" s="104"/>
      <c r="E960" s="138"/>
      <c r="F960" s="60" t="s">
        <v>130</v>
      </c>
      <c r="G960" s="60" t="s">
        <v>538</v>
      </c>
      <c r="H960" s="147">
        <v>1</v>
      </c>
      <c r="I960" s="148" t="s">
        <v>83</v>
      </c>
      <c r="J960" s="49"/>
      <c r="K960" s="50"/>
      <c r="L960" s="45"/>
      <c r="M960" s="210"/>
    </row>
    <row r="961" spans="2:15" x14ac:dyDescent="0.35">
      <c r="B961" s="160"/>
      <c r="C961" s="104"/>
      <c r="D961" s="104"/>
      <c r="E961" s="138"/>
      <c r="F961" s="60" t="s">
        <v>130</v>
      </c>
      <c r="G961" s="60" t="s">
        <v>539</v>
      </c>
      <c r="H961" s="147">
        <v>1</v>
      </c>
      <c r="I961" s="148" t="s">
        <v>83</v>
      </c>
      <c r="J961" s="49"/>
      <c r="K961" s="50"/>
      <c r="L961" s="45"/>
      <c r="M961" s="210"/>
    </row>
    <row r="962" spans="2:15" x14ac:dyDescent="0.35">
      <c r="B962" s="160"/>
      <c r="C962" s="104"/>
      <c r="D962" s="104"/>
      <c r="E962" s="138"/>
      <c r="F962" s="60" t="s">
        <v>130</v>
      </c>
      <c r="G962" s="60" t="s">
        <v>540</v>
      </c>
      <c r="H962" s="147">
        <v>1</v>
      </c>
      <c r="I962" s="148" t="s">
        <v>83</v>
      </c>
      <c r="J962" s="49"/>
      <c r="K962" s="28"/>
      <c r="L962" s="45"/>
      <c r="M962" s="210"/>
    </row>
    <row r="963" spans="2:15" x14ac:dyDescent="0.35">
      <c r="B963" s="160"/>
      <c r="C963" s="104"/>
      <c r="D963" s="104"/>
      <c r="E963" s="138"/>
      <c r="F963" s="60" t="s">
        <v>130</v>
      </c>
      <c r="G963" s="60" t="s">
        <v>541</v>
      </c>
      <c r="H963" s="147">
        <v>1</v>
      </c>
      <c r="I963" s="148" t="s">
        <v>83</v>
      </c>
      <c r="J963" s="49"/>
      <c r="K963" s="28"/>
      <c r="L963" s="45"/>
      <c r="M963" s="210"/>
    </row>
    <row r="964" spans="2:15" x14ac:dyDescent="0.35">
      <c r="B964" s="160"/>
      <c r="C964" s="104"/>
      <c r="D964" s="104"/>
      <c r="E964" s="138"/>
      <c r="F964" s="60" t="s">
        <v>130</v>
      </c>
      <c r="G964" s="60" t="s">
        <v>542</v>
      </c>
      <c r="H964" s="147">
        <v>1</v>
      </c>
      <c r="I964" s="148" t="s">
        <v>83</v>
      </c>
      <c r="J964" s="49"/>
      <c r="K964" s="28"/>
      <c r="L964" s="45"/>
      <c r="M964" s="210"/>
    </row>
    <row r="965" spans="2:15" x14ac:dyDescent="0.35">
      <c r="B965" s="160"/>
      <c r="C965" s="104"/>
      <c r="D965" s="104"/>
      <c r="E965" s="138"/>
      <c r="F965" s="60" t="s">
        <v>130</v>
      </c>
      <c r="G965" s="60" t="s">
        <v>543</v>
      </c>
      <c r="H965" s="147">
        <v>1</v>
      </c>
      <c r="I965" s="148" t="s">
        <v>83</v>
      </c>
      <c r="J965" s="49"/>
      <c r="K965" s="28"/>
      <c r="L965" s="45"/>
      <c r="M965" s="210"/>
    </row>
    <row r="966" spans="2:15" x14ac:dyDescent="0.35">
      <c r="B966" s="160"/>
      <c r="C966" s="104"/>
      <c r="D966" s="104"/>
      <c r="E966" s="138"/>
      <c r="F966" s="60" t="s">
        <v>130</v>
      </c>
      <c r="G966" s="60" t="s">
        <v>544</v>
      </c>
      <c r="H966" s="147">
        <v>1</v>
      </c>
      <c r="I966" s="148" t="s">
        <v>83</v>
      </c>
      <c r="J966" s="49"/>
      <c r="K966" s="28"/>
      <c r="L966" s="45"/>
      <c r="M966" s="210"/>
    </row>
    <row r="967" spans="2:15" x14ac:dyDescent="0.35">
      <c r="B967" s="160"/>
      <c r="C967" s="104"/>
      <c r="D967" s="104" t="s">
        <v>44</v>
      </c>
      <c r="E967" s="138"/>
      <c r="F967" s="60" t="s">
        <v>545</v>
      </c>
      <c r="G967" s="60"/>
      <c r="H967" s="110">
        <v>1</v>
      </c>
      <c r="I967" s="66" t="s">
        <v>533</v>
      </c>
      <c r="J967" s="49"/>
      <c r="K967" s="28"/>
      <c r="L967" s="51"/>
    </row>
    <row r="968" spans="2:15" x14ac:dyDescent="0.35">
      <c r="B968" s="160"/>
      <c r="C968" s="104"/>
      <c r="D968" s="104"/>
      <c r="E968" s="138"/>
      <c r="F968" s="60" t="s">
        <v>130</v>
      </c>
      <c r="G968" s="60" t="s">
        <v>546</v>
      </c>
      <c r="H968" s="137"/>
      <c r="I968" s="66"/>
      <c r="J968" s="49"/>
      <c r="K968" s="28"/>
      <c r="L968" s="51"/>
      <c r="M968" s="210"/>
    </row>
    <row r="969" spans="2:15" x14ac:dyDescent="0.35">
      <c r="B969" s="160"/>
      <c r="C969" s="104"/>
      <c r="D969" s="104"/>
      <c r="E969" s="138"/>
      <c r="F969" s="60" t="s">
        <v>130</v>
      </c>
      <c r="G969" s="60" t="s">
        <v>547</v>
      </c>
      <c r="H969" s="137"/>
      <c r="I969" s="66"/>
      <c r="J969" s="49"/>
      <c r="K969" s="28"/>
      <c r="L969" s="51"/>
      <c r="M969" s="210"/>
    </row>
    <row r="970" spans="2:15" x14ac:dyDescent="0.35">
      <c r="B970" s="160"/>
      <c r="C970" s="104"/>
      <c r="D970" s="104"/>
      <c r="E970" s="138"/>
      <c r="F970" s="60" t="s">
        <v>130</v>
      </c>
      <c r="G970" s="60" t="s">
        <v>548</v>
      </c>
      <c r="H970" s="137"/>
      <c r="I970" s="66"/>
      <c r="J970" s="49"/>
      <c r="K970" s="28"/>
      <c r="L970" s="51"/>
      <c r="M970" s="210"/>
      <c r="N970" s="210"/>
      <c r="O970" s="211"/>
    </row>
    <row r="971" spans="2:15" x14ac:dyDescent="0.35">
      <c r="B971" s="129"/>
      <c r="C971" s="104"/>
      <c r="D971" s="105"/>
      <c r="E971" s="101"/>
      <c r="F971" s="101"/>
      <c r="G971" s="52"/>
      <c r="H971" s="94"/>
      <c r="I971" s="52"/>
      <c r="J971" s="49"/>
      <c r="K971" s="28"/>
      <c r="L971" s="51"/>
    </row>
    <row r="972" spans="2:15" x14ac:dyDescent="0.35">
      <c r="B972" s="55"/>
      <c r="C972" s="56"/>
      <c r="D972" s="139"/>
      <c r="E972" s="140" t="s">
        <v>549</v>
      </c>
      <c r="F972" s="141"/>
      <c r="G972" s="142"/>
      <c r="H972" s="143"/>
      <c r="I972" s="144"/>
      <c r="J972" s="49"/>
      <c r="K972" s="28"/>
      <c r="L972" s="51"/>
    </row>
    <row r="973" spans="2:15" x14ac:dyDescent="0.35">
      <c r="B973" s="228" t="s">
        <v>33</v>
      </c>
      <c r="C973" s="127"/>
      <c r="D973" s="145"/>
      <c r="E973" s="118" t="s">
        <v>85</v>
      </c>
      <c r="F973" s="118"/>
      <c r="G973" s="146"/>
      <c r="H973" s="107"/>
      <c r="I973" s="120"/>
      <c r="J973" s="49"/>
      <c r="K973" s="28"/>
      <c r="L973" s="51"/>
    </row>
    <row r="974" spans="2:15" x14ac:dyDescent="0.35">
      <c r="B974" s="158"/>
      <c r="C974" s="104"/>
      <c r="D974" s="105" t="s">
        <v>34</v>
      </c>
      <c r="E974" s="107"/>
      <c r="F974" s="107" t="s">
        <v>550</v>
      </c>
      <c r="G974" s="108"/>
      <c r="H974" s="147">
        <v>2</v>
      </c>
      <c r="I974" s="148" t="s">
        <v>94</v>
      </c>
      <c r="J974" s="28"/>
      <c r="K974" s="50"/>
      <c r="L974" s="45"/>
    </row>
    <row r="975" spans="2:15" x14ac:dyDescent="0.35">
      <c r="B975" s="158"/>
      <c r="C975" s="104"/>
      <c r="D975" s="105"/>
      <c r="E975" s="107"/>
      <c r="F975" s="107" t="s">
        <v>130</v>
      </c>
      <c r="G975" s="108" t="s">
        <v>551</v>
      </c>
      <c r="H975" s="147"/>
      <c r="I975" s="148"/>
      <c r="J975" s="49"/>
      <c r="K975" s="28"/>
      <c r="L975" s="51"/>
    </row>
    <row r="976" spans="2:15" x14ac:dyDescent="0.35">
      <c r="B976" s="158"/>
      <c r="C976" s="104"/>
      <c r="D976" s="105" t="s">
        <v>37</v>
      </c>
      <c r="E976" s="107"/>
      <c r="F976" s="107" t="s">
        <v>552</v>
      </c>
      <c r="G976" s="120"/>
      <c r="H976" s="148">
        <v>1</v>
      </c>
      <c r="I976" s="122" t="s">
        <v>94</v>
      </c>
      <c r="J976" s="28"/>
      <c r="K976" s="50"/>
      <c r="L976" s="45"/>
    </row>
    <row r="977" spans="2:12" x14ac:dyDescent="0.35">
      <c r="B977" s="160"/>
      <c r="C977" s="104"/>
      <c r="D977" s="104"/>
      <c r="E977" s="138"/>
      <c r="F977" s="60" t="s">
        <v>130</v>
      </c>
      <c r="G977" s="52" t="s">
        <v>553</v>
      </c>
      <c r="H977" s="94"/>
      <c r="I977" s="73"/>
      <c r="J977" s="49"/>
      <c r="K977" s="28"/>
      <c r="L977" s="51"/>
    </row>
    <row r="978" spans="2:12" x14ac:dyDescent="0.35">
      <c r="B978" s="160"/>
      <c r="C978" s="104"/>
      <c r="D978" s="149"/>
      <c r="E978" s="118"/>
      <c r="F978" s="60" t="s">
        <v>130</v>
      </c>
      <c r="G978" s="52" t="s">
        <v>802</v>
      </c>
      <c r="H978" s="102"/>
      <c r="I978" s="73"/>
      <c r="J978" s="49"/>
      <c r="K978" s="28"/>
      <c r="L978" s="51"/>
    </row>
    <row r="979" spans="2:12" x14ac:dyDescent="0.35">
      <c r="B979" s="158"/>
      <c r="C979" s="104"/>
      <c r="D979" s="105" t="s">
        <v>39</v>
      </c>
      <c r="E979" s="107"/>
      <c r="F979" s="107" t="s">
        <v>554</v>
      </c>
      <c r="G979" s="120"/>
      <c r="H979" s="148">
        <v>2</v>
      </c>
      <c r="I979" s="122" t="s">
        <v>94</v>
      </c>
      <c r="J979" s="28"/>
      <c r="K979" s="50"/>
      <c r="L979" s="45"/>
    </row>
    <row r="980" spans="2:12" x14ac:dyDescent="0.35">
      <c r="B980" s="159"/>
      <c r="C980" s="127"/>
      <c r="D980" s="104"/>
      <c r="E980" s="115"/>
      <c r="F980" s="107" t="s">
        <v>130</v>
      </c>
      <c r="G980" s="120" t="s">
        <v>555</v>
      </c>
      <c r="H980" s="109"/>
      <c r="I980" s="108"/>
      <c r="J980" s="49"/>
      <c r="K980" s="28"/>
      <c r="L980" s="51"/>
    </row>
    <row r="981" spans="2:12" x14ac:dyDescent="0.35">
      <c r="B981" s="160"/>
      <c r="C981" s="104"/>
      <c r="D981" s="104"/>
      <c r="E981" s="115"/>
      <c r="F981" s="107" t="s">
        <v>130</v>
      </c>
      <c r="G981" s="120" t="s">
        <v>556</v>
      </c>
      <c r="H981" s="109"/>
      <c r="I981" s="108"/>
      <c r="J981" s="49"/>
      <c r="K981" s="28"/>
      <c r="L981" s="51"/>
    </row>
    <row r="982" spans="2:12" x14ac:dyDescent="0.35">
      <c r="B982" s="228" t="s">
        <v>70</v>
      </c>
      <c r="C982" s="127"/>
      <c r="D982" s="145"/>
      <c r="E982" s="118" t="s">
        <v>89</v>
      </c>
      <c r="F982" s="118"/>
      <c r="G982" s="146"/>
      <c r="H982" s="107"/>
      <c r="I982" s="122"/>
      <c r="J982" s="49"/>
      <c r="K982" s="28"/>
      <c r="L982" s="51"/>
    </row>
    <row r="983" spans="2:12" x14ac:dyDescent="0.35">
      <c r="B983" s="160"/>
      <c r="C983" s="104"/>
      <c r="D983" s="105" t="s">
        <v>34</v>
      </c>
      <c r="E983" s="107"/>
      <c r="F983" s="107" t="s">
        <v>557</v>
      </c>
      <c r="G983" s="108"/>
      <c r="H983" s="150">
        <v>2</v>
      </c>
      <c r="I983" s="122" t="s">
        <v>94</v>
      </c>
      <c r="J983" s="28"/>
      <c r="K983" s="50"/>
      <c r="L983" s="45"/>
    </row>
    <row r="984" spans="2:12" x14ac:dyDescent="0.35">
      <c r="B984" s="159"/>
      <c r="C984" s="127"/>
      <c r="D984" s="145"/>
      <c r="E984" s="118"/>
      <c r="F984" s="107" t="s">
        <v>130</v>
      </c>
      <c r="G984" s="108" t="s">
        <v>558</v>
      </c>
      <c r="H984" s="150"/>
      <c r="I984" s="122"/>
      <c r="J984" s="49"/>
      <c r="K984" s="28"/>
      <c r="L984" s="51"/>
    </row>
    <row r="985" spans="2:12" x14ac:dyDescent="0.35">
      <c r="B985" s="228" t="s">
        <v>84</v>
      </c>
      <c r="C985" s="127"/>
      <c r="D985" s="145"/>
      <c r="E985" s="118" t="s">
        <v>107</v>
      </c>
      <c r="F985" s="118"/>
      <c r="G985" s="146"/>
      <c r="H985" s="107"/>
      <c r="I985" s="122"/>
      <c r="J985" s="49"/>
      <c r="K985" s="28"/>
      <c r="L985" s="51"/>
    </row>
    <row r="986" spans="2:12" x14ac:dyDescent="0.35">
      <c r="B986" s="160"/>
      <c r="C986" s="104"/>
      <c r="D986" s="105" t="s">
        <v>34</v>
      </c>
      <c r="E986" s="107"/>
      <c r="F986" s="107" t="s">
        <v>557</v>
      </c>
      <c r="G986" s="108"/>
      <c r="H986" s="150">
        <v>2</v>
      </c>
      <c r="I986" s="122" t="s">
        <v>94</v>
      </c>
      <c r="J986" s="28"/>
      <c r="K986" s="50"/>
      <c r="L986" s="45"/>
    </row>
    <row r="987" spans="2:12" x14ac:dyDescent="0.35">
      <c r="B987" s="159"/>
      <c r="C987" s="127"/>
      <c r="D987" s="145"/>
      <c r="E987" s="118"/>
      <c r="F987" s="107" t="s">
        <v>130</v>
      </c>
      <c r="G987" s="108" t="s">
        <v>559</v>
      </c>
      <c r="H987" s="150"/>
      <c r="I987" s="122"/>
      <c r="J987" s="49"/>
      <c r="K987" s="28"/>
      <c r="L987" s="51"/>
    </row>
    <row r="988" spans="2:12" x14ac:dyDescent="0.35">
      <c r="B988" s="67"/>
      <c r="C988" s="68"/>
      <c r="D988" s="151"/>
      <c r="E988" s="152"/>
      <c r="F988" s="153"/>
      <c r="G988" s="154"/>
      <c r="H988" s="155"/>
      <c r="I988" s="65"/>
      <c r="J988" s="49"/>
      <c r="K988" s="28"/>
      <c r="L988" s="51"/>
    </row>
    <row r="989" spans="2:12" x14ac:dyDescent="0.35">
      <c r="B989" s="82"/>
      <c r="C989" s="62"/>
      <c r="D989" s="68"/>
      <c r="E989" s="91" t="s">
        <v>560</v>
      </c>
      <c r="F989" s="92"/>
      <c r="G989" s="93"/>
      <c r="H989" s="94"/>
      <c r="I989" s="95"/>
      <c r="J989" s="49"/>
      <c r="K989" s="28"/>
      <c r="L989" s="51"/>
    </row>
    <row r="990" spans="2:12" x14ac:dyDescent="0.35">
      <c r="B990" s="96" t="s">
        <v>33</v>
      </c>
      <c r="C990" s="68"/>
      <c r="D990" s="68"/>
      <c r="E990" s="129" t="s">
        <v>364</v>
      </c>
      <c r="F990" s="60"/>
      <c r="G990" s="98"/>
      <c r="H990" s="60"/>
      <c r="I990" s="98"/>
      <c r="J990" s="49"/>
      <c r="K990" s="28"/>
      <c r="L990" s="51"/>
    </row>
    <row r="991" spans="2:12" x14ac:dyDescent="0.35">
      <c r="B991" s="96"/>
      <c r="C991" s="68" t="s">
        <v>138</v>
      </c>
      <c r="D991" s="64"/>
      <c r="E991" s="99"/>
      <c r="F991" s="60" t="s">
        <v>561</v>
      </c>
      <c r="G991" s="98"/>
      <c r="H991" s="60"/>
      <c r="I991" s="98"/>
      <c r="J991" s="49"/>
      <c r="K991" s="28"/>
      <c r="L991" s="51"/>
    </row>
    <row r="992" spans="2:12" x14ac:dyDescent="0.35">
      <c r="B992" s="103"/>
      <c r="C992" s="68"/>
      <c r="D992" s="100" t="s">
        <v>34</v>
      </c>
      <c r="E992" s="101"/>
      <c r="F992" s="60" t="s">
        <v>562</v>
      </c>
      <c r="G992" s="98"/>
      <c r="H992" s="102"/>
      <c r="I992" s="98"/>
      <c r="J992" s="49"/>
      <c r="K992" s="28"/>
      <c r="L992" s="51"/>
    </row>
    <row r="993" spans="2:12" x14ac:dyDescent="0.35">
      <c r="B993" s="103"/>
      <c r="C993" s="68"/>
      <c r="D993" s="100"/>
      <c r="E993" s="60"/>
      <c r="F993" s="101" t="s">
        <v>130</v>
      </c>
      <c r="G993" s="52" t="s">
        <v>563</v>
      </c>
      <c r="H993" s="94">
        <f>3.37*1.53*10*7.85</f>
        <v>404.75385000000006</v>
      </c>
      <c r="I993" s="98" t="s">
        <v>208</v>
      </c>
      <c r="J993" s="28"/>
      <c r="K993" s="50"/>
      <c r="L993" s="45"/>
    </row>
    <row r="994" spans="2:12" x14ac:dyDescent="0.35">
      <c r="B994" s="103"/>
      <c r="C994" s="68"/>
      <c r="D994" s="100" t="s">
        <v>37</v>
      </c>
      <c r="E994" s="101"/>
      <c r="F994" s="60" t="s">
        <v>564</v>
      </c>
      <c r="G994" s="98"/>
      <c r="H994" s="102"/>
      <c r="I994" s="98"/>
      <c r="J994" s="49"/>
      <c r="K994" s="28"/>
      <c r="L994" s="51"/>
    </row>
    <row r="995" spans="2:12" x14ac:dyDescent="0.35">
      <c r="B995" s="103"/>
      <c r="C995" s="68"/>
      <c r="D995" s="100"/>
      <c r="E995" s="60"/>
      <c r="F995" s="101" t="s">
        <v>130</v>
      </c>
      <c r="G995" s="52" t="s">
        <v>563</v>
      </c>
      <c r="H995" s="94">
        <f>3.37*1.53*10*7.85</f>
        <v>404.75385000000006</v>
      </c>
      <c r="I995" s="98" t="s">
        <v>208</v>
      </c>
      <c r="J995" s="28"/>
      <c r="K995" s="50"/>
      <c r="L995" s="45"/>
    </row>
    <row r="996" spans="2:12" x14ac:dyDescent="0.35">
      <c r="B996" s="96"/>
      <c r="C996" s="68" t="s">
        <v>565</v>
      </c>
      <c r="D996" s="64"/>
      <c r="E996" s="99"/>
      <c r="F996" s="60" t="s">
        <v>566</v>
      </c>
      <c r="G996" s="98"/>
      <c r="H996" s="60"/>
      <c r="I996" s="98"/>
      <c r="J996" s="49"/>
      <c r="K996" s="28"/>
      <c r="L996" s="51"/>
    </row>
    <row r="997" spans="2:12" x14ac:dyDescent="0.35">
      <c r="B997" s="103"/>
      <c r="C997" s="68"/>
      <c r="D997" s="100" t="s">
        <v>34</v>
      </c>
      <c r="E997" s="101"/>
      <c r="F997" s="60" t="s">
        <v>567</v>
      </c>
      <c r="G997" s="98"/>
      <c r="H997" s="102"/>
      <c r="I997" s="98"/>
      <c r="J997" s="49"/>
      <c r="K997" s="28"/>
      <c r="L997" s="51"/>
    </row>
    <row r="998" spans="2:12" x14ac:dyDescent="0.35">
      <c r="B998" s="103"/>
      <c r="C998" s="68"/>
      <c r="D998" s="100"/>
      <c r="E998" s="60"/>
      <c r="F998" s="101" t="s">
        <v>130</v>
      </c>
      <c r="G998" s="52" t="s">
        <v>568</v>
      </c>
      <c r="H998" s="94">
        <f>1.85*1.22*10*7.85*1.2</f>
        <v>212.60939999999999</v>
      </c>
      <c r="I998" s="98" t="s">
        <v>208</v>
      </c>
      <c r="J998" s="28"/>
      <c r="K998" s="50"/>
      <c r="L998" s="45"/>
    </row>
    <row r="999" spans="2:12" x14ac:dyDescent="0.35">
      <c r="B999" s="129" t="s">
        <v>70</v>
      </c>
      <c r="C999" s="104"/>
      <c r="D999" s="105"/>
      <c r="E999" s="58" t="s">
        <v>115</v>
      </c>
      <c r="F999" s="60"/>
      <c r="G999" s="52"/>
      <c r="H999" s="102"/>
      <c r="I999" s="98"/>
      <c r="J999" s="49"/>
      <c r="K999" s="28"/>
      <c r="L999" s="51"/>
    </row>
    <row r="1000" spans="2:12" x14ac:dyDescent="0.35">
      <c r="B1000" s="159"/>
      <c r="C1000" s="104" t="s">
        <v>179</v>
      </c>
      <c r="D1000" s="105"/>
      <c r="E1000" s="101"/>
      <c r="F1000" s="60" t="s">
        <v>569</v>
      </c>
      <c r="G1000" s="52"/>
      <c r="H1000" s="102"/>
      <c r="I1000" s="98"/>
      <c r="J1000" s="49"/>
      <c r="K1000" s="28"/>
      <c r="L1000" s="51"/>
    </row>
    <row r="1001" spans="2:12" x14ac:dyDescent="0.35">
      <c r="B1001" s="159"/>
      <c r="C1001" s="104"/>
      <c r="D1001" s="105" t="s">
        <v>34</v>
      </c>
      <c r="E1001" s="101"/>
      <c r="F1001" s="60" t="s">
        <v>570</v>
      </c>
      <c r="G1001" s="52"/>
      <c r="H1001" s="102">
        <v>7</v>
      </c>
      <c r="I1001" s="98" t="s">
        <v>160</v>
      </c>
      <c r="J1001" s="28"/>
      <c r="K1001" s="50"/>
      <c r="L1001" s="45"/>
    </row>
    <row r="1002" spans="2:12" x14ac:dyDescent="0.35">
      <c r="B1002" s="159"/>
      <c r="C1002" s="104"/>
      <c r="D1002" s="105"/>
      <c r="E1002" s="101"/>
      <c r="F1002" s="60" t="s">
        <v>130</v>
      </c>
      <c r="G1002" s="52" t="s">
        <v>571</v>
      </c>
      <c r="H1002" s="102">
        <f>1000+1030</f>
        <v>2030</v>
      </c>
      <c r="I1002" s="98" t="s">
        <v>141</v>
      </c>
      <c r="J1002" s="216"/>
      <c r="K1002" s="50"/>
      <c r="L1002" s="45"/>
    </row>
    <row r="1003" spans="2:12" x14ac:dyDescent="0.35">
      <c r="B1003" s="227"/>
      <c r="C1003" s="104"/>
      <c r="D1003" s="149"/>
      <c r="E1003" s="107"/>
      <c r="F1003" s="101" t="s">
        <v>130</v>
      </c>
      <c r="G1003" s="52" t="s">
        <v>572</v>
      </c>
      <c r="H1003" s="102">
        <v>2</v>
      </c>
      <c r="I1003" s="98" t="s">
        <v>83</v>
      </c>
      <c r="J1003" s="28"/>
      <c r="K1003" s="50"/>
      <c r="L1003" s="45"/>
    </row>
    <row r="1004" spans="2:12" x14ac:dyDescent="0.35">
      <c r="B1004" s="227"/>
      <c r="C1004" s="104"/>
      <c r="D1004" s="149"/>
      <c r="E1004" s="118"/>
      <c r="F1004" s="60" t="s">
        <v>130</v>
      </c>
      <c r="G1004" s="60" t="s">
        <v>469</v>
      </c>
      <c r="H1004" s="110">
        <v>2</v>
      </c>
      <c r="I1004" s="66" t="s">
        <v>83</v>
      </c>
      <c r="J1004" s="28"/>
      <c r="K1004" s="50"/>
      <c r="L1004" s="45"/>
    </row>
    <row r="1005" spans="2:12" x14ac:dyDescent="0.35">
      <c r="B1005" s="227"/>
      <c r="C1005" s="104"/>
      <c r="D1005" s="104"/>
      <c r="E1005" s="156"/>
      <c r="F1005" s="107" t="s">
        <v>130</v>
      </c>
      <c r="G1005" s="120" t="s">
        <v>573</v>
      </c>
      <c r="H1005" s="109">
        <v>2</v>
      </c>
      <c r="I1005" s="120" t="s">
        <v>83</v>
      </c>
      <c r="J1005" s="201"/>
      <c r="K1005" s="208"/>
      <c r="L1005" s="45"/>
    </row>
    <row r="1006" spans="2:12" x14ac:dyDescent="0.35">
      <c r="B1006" s="227"/>
      <c r="C1006" s="104"/>
      <c r="D1006" s="149"/>
      <c r="E1006" s="75"/>
      <c r="F1006" s="60" t="s">
        <v>130</v>
      </c>
      <c r="G1006" s="60" t="s">
        <v>574</v>
      </c>
      <c r="H1006" s="110">
        <v>4</v>
      </c>
      <c r="I1006" s="66" t="s">
        <v>83</v>
      </c>
      <c r="J1006" s="201"/>
      <c r="K1006" s="50"/>
      <c r="L1006" s="45"/>
    </row>
    <row r="1007" spans="2:12" x14ac:dyDescent="0.35">
      <c r="B1007" s="46"/>
      <c r="C1007" s="47"/>
      <c r="D1007" s="23"/>
      <c r="G1007" s="21"/>
      <c r="I1007" s="21"/>
      <c r="J1007" s="49"/>
      <c r="K1007" s="28"/>
      <c r="L1007" s="51"/>
    </row>
    <row r="1008" spans="2:12" x14ac:dyDescent="0.35">
      <c r="B1008" s="46"/>
      <c r="C1008" s="47"/>
      <c r="D1008" s="23"/>
      <c r="G1008" s="21"/>
      <c r="I1008" s="21"/>
      <c r="J1008" s="49"/>
      <c r="K1008" s="28"/>
      <c r="L1008" s="51"/>
    </row>
    <row r="1009" spans="2:12" x14ac:dyDescent="0.35">
      <c r="B1009" s="46"/>
      <c r="C1009" s="47"/>
      <c r="D1009" s="23"/>
      <c r="G1009" s="21"/>
      <c r="I1009" s="21"/>
      <c r="J1009" s="49"/>
      <c r="K1009" s="28"/>
      <c r="L1009" s="51"/>
    </row>
    <row r="1010" spans="2:12" x14ac:dyDescent="0.35">
      <c r="B1010" s="224"/>
      <c r="C1010" s="47"/>
      <c r="D1010" s="23"/>
      <c r="G1010" s="21"/>
      <c r="I1010" s="21"/>
      <c r="J1010" s="49"/>
      <c r="K1010" s="28"/>
      <c r="L1010" s="51"/>
    </row>
    <row r="1011" spans="2:12" x14ac:dyDescent="0.35">
      <c r="B1011" s="8"/>
      <c r="C1011" s="9"/>
      <c r="D1011" s="10"/>
      <c r="E1011" s="4"/>
      <c r="F1011" s="4"/>
      <c r="G1011" s="4"/>
      <c r="H1011" s="1"/>
      <c r="I1011" s="1"/>
      <c r="J1011" s="11" t="s">
        <v>8</v>
      </c>
      <c r="K1011" s="7">
        <f>SUM(K958:K1010)</f>
        <v>0</v>
      </c>
      <c r="L1011" s="7">
        <f>SUM(L958:L1010)</f>
        <v>0</v>
      </c>
    </row>
    <row r="1012" spans="2:12" x14ac:dyDescent="0.35">
      <c r="B1012" s="8"/>
      <c r="C1012" s="9"/>
      <c r="D1012" s="9"/>
      <c r="E1012" s="4"/>
      <c r="F1012" s="4"/>
      <c r="G1012" s="4"/>
      <c r="H1012" s="1"/>
      <c r="I1012" s="1"/>
      <c r="J1012" s="11"/>
      <c r="K1012" s="34" t="s">
        <v>13</v>
      </c>
      <c r="L1012" s="35" t="s">
        <v>14</v>
      </c>
    </row>
    <row r="1013" spans="2:12" x14ac:dyDescent="0.35">
      <c r="B1013" s="3" t="s">
        <v>9</v>
      </c>
      <c r="C1013" s="4"/>
      <c r="D1013" s="4"/>
      <c r="E1013" s="4"/>
      <c r="F1013" s="4"/>
      <c r="G1013" s="4"/>
      <c r="H1013" s="1"/>
      <c r="I1013" s="1"/>
      <c r="J1013" s="12"/>
      <c r="K1013" s="12"/>
      <c r="L1013" s="13"/>
    </row>
    <row r="1014" spans="2:12" x14ac:dyDescent="0.35">
      <c r="B1014" s="36"/>
      <c r="C1014" s="1"/>
      <c r="D1014" s="1"/>
      <c r="E1014" s="37"/>
      <c r="F1014" s="37"/>
      <c r="G1014" s="37"/>
      <c r="H1014" s="1"/>
      <c r="I1014" s="1"/>
      <c r="J1014" s="1"/>
      <c r="K1014" s="1"/>
      <c r="L1014" s="18"/>
    </row>
    <row r="1015" spans="2:12" x14ac:dyDescent="0.35">
      <c r="B1015" s="27" t="s">
        <v>6</v>
      </c>
      <c r="C1015" s="26"/>
      <c r="D1015" s="26"/>
      <c r="E1015" s="25"/>
      <c r="F1015" s="25"/>
      <c r="G1015" s="5"/>
      <c r="K1015" s="232" t="s">
        <v>813</v>
      </c>
      <c r="L1015" s="233"/>
    </row>
    <row r="1016" spans="2:12" x14ac:dyDescent="0.35">
      <c r="B1016" s="27">
        <v>1</v>
      </c>
      <c r="C1016" s="26"/>
      <c r="D1016" s="26"/>
      <c r="E1016" s="25" t="s">
        <v>7</v>
      </c>
      <c r="F1016" s="25"/>
      <c r="G1016" s="5"/>
      <c r="K1016" s="232" t="s">
        <v>18</v>
      </c>
      <c r="L1016" s="233"/>
    </row>
    <row r="1017" spans="2:12" x14ac:dyDescent="0.35">
      <c r="B1017" s="38"/>
      <c r="C1017" s="26"/>
      <c r="D1017" s="26"/>
      <c r="E1017" s="25"/>
      <c r="F1017" s="25"/>
      <c r="G1017" s="5"/>
      <c r="J1017" s="24"/>
      <c r="K1017" s="24"/>
      <c r="L1017" s="23"/>
    </row>
    <row r="1018" spans="2:12" x14ac:dyDescent="0.35">
      <c r="B1018" s="27"/>
      <c r="C1018" s="26"/>
      <c r="D1018" s="26"/>
      <c r="E1018" s="25"/>
      <c r="F1018" s="25"/>
      <c r="G1018" s="5"/>
      <c r="L1018" s="21"/>
    </row>
    <row r="1019" spans="2:12" x14ac:dyDescent="0.35">
      <c r="B1019" s="44"/>
      <c r="E1019" s="5"/>
      <c r="F1019" s="5"/>
      <c r="G1019" s="5"/>
      <c r="L1019" s="21"/>
    </row>
    <row r="1020" spans="2:12" x14ac:dyDescent="0.35">
      <c r="B1020" s="44"/>
      <c r="E1020" s="5"/>
      <c r="F1020" s="5"/>
      <c r="G1020" s="5"/>
      <c r="L1020" s="21"/>
    </row>
    <row r="1021" spans="2:12" x14ac:dyDescent="0.35">
      <c r="B1021" s="44"/>
      <c r="E1021" s="5"/>
      <c r="F1021" s="5"/>
      <c r="G1021" s="5"/>
      <c r="L1021" s="21"/>
    </row>
    <row r="1022" spans="2:12" x14ac:dyDescent="0.35">
      <c r="B1022" s="44"/>
      <c r="E1022" s="5"/>
      <c r="F1022" s="5"/>
      <c r="G1022" s="5"/>
      <c r="J1022" s="39"/>
      <c r="K1022" s="234" t="s">
        <v>26</v>
      </c>
      <c r="L1022" s="235"/>
    </row>
    <row r="1023" spans="2:12" x14ac:dyDescent="0.35">
      <c r="B1023" s="44"/>
      <c r="K1023" s="236" t="s">
        <v>27</v>
      </c>
      <c r="L1023" s="237"/>
    </row>
    <row r="1024" spans="2:12" x14ac:dyDescent="0.35">
      <c r="B1024" s="238"/>
      <c r="C1024" s="239"/>
      <c r="D1024" s="239"/>
      <c r="E1024" s="40"/>
      <c r="F1024" s="40"/>
      <c r="G1024" s="40"/>
      <c r="H1024" s="2"/>
      <c r="I1024" s="2"/>
      <c r="J1024" s="2"/>
      <c r="K1024" s="2"/>
      <c r="L1024" s="20"/>
    </row>
    <row r="1025" spans="2:12" x14ac:dyDescent="0.35">
      <c r="B1025" s="222"/>
      <c r="C1025" s="47"/>
      <c r="D1025" s="48"/>
      <c r="G1025" s="21"/>
      <c r="H1025" s="1"/>
      <c r="I1025" s="1"/>
      <c r="J1025" s="42"/>
      <c r="K1025" s="29"/>
      <c r="L1025" s="43"/>
    </row>
    <row r="1026" spans="2:12" x14ac:dyDescent="0.35">
      <c r="B1026" s="159"/>
      <c r="C1026" s="104" t="s">
        <v>185</v>
      </c>
      <c r="D1026" s="105"/>
      <c r="E1026" s="101"/>
      <c r="F1026" s="60" t="s">
        <v>575</v>
      </c>
      <c r="G1026" s="52"/>
      <c r="H1026" s="102"/>
      <c r="I1026" s="52"/>
      <c r="J1026" s="28"/>
      <c r="K1026" s="50"/>
      <c r="L1026" s="45"/>
    </row>
    <row r="1027" spans="2:12" x14ac:dyDescent="0.35">
      <c r="B1027" s="159"/>
      <c r="C1027" s="104"/>
      <c r="D1027" s="105" t="s">
        <v>34</v>
      </c>
      <c r="E1027" s="101"/>
      <c r="F1027" s="60" t="s">
        <v>575</v>
      </c>
      <c r="G1027" s="52"/>
      <c r="H1027" s="102"/>
      <c r="I1027" s="52"/>
      <c r="J1027" s="49"/>
      <c r="K1027" s="50"/>
      <c r="L1027" s="45"/>
    </row>
    <row r="1028" spans="2:12" x14ac:dyDescent="0.35">
      <c r="B1028" s="158"/>
      <c r="C1028" s="60"/>
      <c r="D1028" s="68"/>
      <c r="E1028" s="75"/>
      <c r="F1028" s="107" t="s">
        <v>130</v>
      </c>
      <c r="G1028" s="60" t="s">
        <v>576</v>
      </c>
      <c r="H1028" s="110">
        <v>1</v>
      </c>
      <c r="I1028" s="66" t="s">
        <v>36</v>
      </c>
      <c r="J1028" s="28"/>
      <c r="K1028" s="50"/>
      <c r="L1028" s="45"/>
    </row>
    <row r="1029" spans="2:12" x14ac:dyDescent="0.35">
      <c r="B1029" s="227"/>
      <c r="C1029" s="104"/>
      <c r="D1029" s="105"/>
      <c r="E1029" s="107"/>
      <c r="F1029" s="107" t="s">
        <v>130</v>
      </c>
      <c r="G1029" s="120" t="s">
        <v>577</v>
      </c>
      <c r="H1029" s="109">
        <v>1</v>
      </c>
      <c r="I1029" s="120" t="s">
        <v>36</v>
      </c>
      <c r="J1029" s="28"/>
      <c r="K1029" s="50"/>
      <c r="L1029" s="45"/>
    </row>
    <row r="1030" spans="2:12" x14ac:dyDescent="0.35">
      <c r="B1030" s="227"/>
      <c r="C1030" s="104"/>
      <c r="D1030" s="105"/>
      <c r="E1030" s="107"/>
      <c r="F1030" s="107" t="s">
        <v>130</v>
      </c>
      <c r="G1030" s="120" t="s">
        <v>578</v>
      </c>
      <c r="H1030" s="109">
        <v>2</v>
      </c>
      <c r="I1030" s="120" t="s">
        <v>83</v>
      </c>
      <c r="J1030" s="201"/>
      <c r="K1030" s="208"/>
      <c r="L1030" s="45"/>
    </row>
    <row r="1031" spans="2:12" x14ac:dyDescent="0.35">
      <c r="B1031" s="227"/>
      <c r="C1031" s="104"/>
      <c r="D1031" s="149"/>
      <c r="E1031" s="75"/>
      <c r="F1031" s="60" t="s">
        <v>130</v>
      </c>
      <c r="G1031" s="60" t="s">
        <v>579</v>
      </c>
      <c r="H1031" s="110">
        <v>20</v>
      </c>
      <c r="I1031" s="66" t="s">
        <v>83</v>
      </c>
      <c r="J1031" s="28"/>
      <c r="K1031" s="50"/>
      <c r="L1031" s="45"/>
    </row>
    <row r="1032" spans="2:12" x14ac:dyDescent="0.35">
      <c r="B1032" s="133"/>
      <c r="C1032" s="104" t="s">
        <v>197</v>
      </c>
      <c r="D1032" s="105"/>
      <c r="E1032" s="101"/>
      <c r="F1032" s="60" t="s">
        <v>580</v>
      </c>
      <c r="G1032" s="52"/>
      <c r="H1032" s="102"/>
      <c r="I1032" s="52"/>
      <c r="J1032" s="49"/>
      <c r="K1032" s="28"/>
      <c r="L1032" s="51"/>
    </row>
    <row r="1033" spans="2:12" x14ac:dyDescent="0.35">
      <c r="B1033" s="69"/>
      <c r="C1033" s="104"/>
      <c r="D1033" s="105" t="s">
        <v>34</v>
      </c>
      <c r="E1033" s="101"/>
      <c r="F1033" s="60" t="s">
        <v>581</v>
      </c>
      <c r="G1033" s="52"/>
      <c r="H1033" s="102"/>
      <c r="I1033" s="52"/>
      <c r="J1033" s="49"/>
      <c r="K1033" s="28"/>
      <c r="L1033" s="51"/>
    </row>
    <row r="1034" spans="2:12" x14ac:dyDescent="0.35">
      <c r="B1034" s="69"/>
      <c r="C1034" s="60"/>
      <c r="D1034" s="68"/>
      <c r="E1034" s="75"/>
      <c r="F1034" s="107" t="s">
        <v>130</v>
      </c>
      <c r="G1034" s="60" t="s">
        <v>582</v>
      </c>
      <c r="H1034" s="110">
        <v>1</v>
      </c>
      <c r="I1034" s="66" t="s">
        <v>36</v>
      </c>
      <c r="J1034" s="28"/>
      <c r="K1034" s="50"/>
      <c r="L1034" s="45"/>
    </row>
    <row r="1035" spans="2:12" x14ac:dyDescent="0.35">
      <c r="B1035" s="133"/>
      <c r="C1035" s="104"/>
      <c r="D1035" s="105"/>
      <c r="E1035" s="107"/>
      <c r="F1035" s="107" t="s">
        <v>130</v>
      </c>
      <c r="G1035" s="120" t="s">
        <v>577</v>
      </c>
      <c r="H1035" s="109">
        <v>1</v>
      </c>
      <c r="I1035" s="120" t="s">
        <v>36</v>
      </c>
      <c r="J1035" s="28"/>
      <c r="K1035" s="50"/>
      <c r="L1035" s="45"/>
    </row>
    <row r="1036" spans="2:12" x14ac:dyDescent="0.35">
      <c r="B1036" s="227"/>
      <c r="C1036" s="104"/>
      <c r="D1036" s="105"/>
      <c r="E1036" s="107"/>
      <c r="F1036" s="107" t="s">
        <v>130</v>
      </c>
      <c r="G1036" s="120" t="s">
        <v>578</v>
      </c>
      <c r="H1036" s="109">
        <v>2</v>
      </c>
      <c r="I1036" s="120" t="s">
        <v>83</v>
      </c>
      <c r="J1036" s="201"/>
      <c r="K1036" s="208"/>
      <c r="L1036" s="45"/>
    </row>
    <row r="1037" spans="2:12" x14ac:dyDescent="0.35">
      <c r="B1037" s="227"/>
      <c r="C1037" s="104"/>
      <c r="D1037" s="149"/>
      <c r="E1037" s="75"/>
      <c r="F1037" s="60" t="s">
        <v>130</v>
      </c>
      <c r="G1037" s="60" t="s">
        <v>579</v>
      </c>
      <c r="H1037" s="110">
        <v>17</v>
      </c>
      <c r="I1037" s="66" t="s">
        <v>83</v>
      </c>
      <c r="J1037" s="28"/>
      <c r="K1037" s="50"/>
      <c r="L1037" s="45"/>
    </row>
    <row r="1038" spans="2:12" x14ac:dyDescent="0.35">
      <c r="B1038" s="133"/>
      <c r="C1038" s="104" t="s">
        <v>199</v>
      </c>
      <c r="D1038" s="105"/>
      <c r="E1038" s="101"/>
      <c r="F1038" s="60" t="s">
        <v>583</v>
      </c>
      <c r="G1038" s="52"/>
      <c r="H1038" s="102"/>
      <c r="I1038" s="52"/>
      <c r="J1038" s="49"/>
      <c r="K1038" s="28"/>
      <c r="L1038" s="51"/>
    </row>
    <row r="1039" spans="2:12" x14ac:dyDescent="0.35">
      <c r="B1039" s="69"/>
      <c r="C1039" s="104"/>
      <c r="D1039" s="105" t="s">
        <v>34</v>
      </c>
      <c r="E1039" s="101"/>
      <c r="F1039" s="60" t="s">
        <v>583</v>
      </c>
      <c r="G1039" s="52"/>
      <c r="H1039" s="102"/>
      <c r="I1039" s="52"/>
      <c r="J1039" s="49"/>
      <c r="K1039" s="28"/>
      <c r="L1039" s="51"/>
    </row>
    <row r="1040" spans="2:12" x14ac:dyDescent="0.35">
      <c r="B1040" s="69"/>
      <c r="C1040" s="60"/>
      <c r="D1040" s="68"/>
      <c r="E1040" s="75"/>
      <c r="F1040" s="107" t="s">
        <v>130</v>
      </c>
      <c r="G1040" s="60" t="s">
        <v>584</v>
      </c>
      <c r="H1040" s="110">
        <v>1</v>
      </c>
      <c r="I1040" s="66" t="s">
        <v>36</v>
      </c>
      <c r="J1040" s="28"/>
      <c r="K1040" s="50"/>
      <c r="L1040" s="45"/>
    </row>
    <row r="1041" spans="2:13" x14ac:dyDescent="0.35">
      <c r="B1041" s="133"/>
      <c r="C1041" s="104"/>
      <c r="D1041" s="105"/>
      <c r="E1041" s="107"/>
      <c r="F1041" s="107" t="s">
        <v>130</v>
      </c>
      <c r="G1041" s="120" t="s">
        <v>577</v>
      </c>
      <c r="H1041" s="109">
        <v>1</v>
      </c>
      <c r="I1041" s="120" t="s">
        <v>36</v>
      </c>
      <c r="J1041" s="28"/>
      <c r="K1041" s="50"/>
      <c r="L1041" s="45"/>
    </row>
    <row r="1042" spans="2:13" x14ac:dyDescent="0.35">
      <c r="B1042" s="227"/>
      <c r="C1042" s="104"/>
      <c r="D1042" s="105"/>
      <c r="E1042" s="107"/>
      <c r="F1042" s="107" t="s">
        <v>130</v>
      </c>
      <c r="G1042" s="120" t="s">
        <v>585</v>
      </c>
      <c r="H1042" s="109">
        <v>2</v>
      </c>
      <c r="I1042" s="120" t="s">
        <v>83</v>
      </c>
      <c r="J1042" s="201"/>
      <c r="K1042" s="208"/>
      <c r="L1042" s="45"/>
    </row>
    <row r="1043" spans="2:13" x14ac:dyDescent="0.35">
      <c r="B1043" s="227"/>
      <c r="C1043" s="104"/>
      <c r="D1043" s="149"/>
      <c r="E1043" s="75"/>
      <c r="F1043" s="60" t="s">
        <v>130</v>
      </c>
      <c r="G1043" s="60" t="s">
        <v>579</v>
      </c>
      <c r="H1043" s="110">
        <v>18</v>
      </c>
      <c r="I1043" s="66" t="s">
        <v>83</v>
      </c>
      <c r="J1043" s="28"/>
      <c r="K1043" s="50"/>
      <c r="L1043" s="45"/>
    </row>
    <row r="1044" spans="2:13" x14ac:dyDescent="0.35">
      <c r="B1044" s="133"/>
      <c r="C1044" s="104" t="s">
        <v>213</v>
      </c>
      <c r="D1044" s="105"/>
      <c r="E1044" s="101"/>
      <c r="F1044" s="60" t="s">
        <v>586</v>
      </c>
      <c r="G1044" s="52"/>
      <c r="H1044" s="102"/>
      <c r="I1044" s="52"/>
      <c r="J1044" s="49"/>
      <c r="K1044" s="28"/>
      <c r="L1044" s="51"/>
    </row>
    <row r="1045" spans="2:13" x14ac:dyDescent="0.35">
      <c r="B1045" s="133"/>
      <c r="C1045" s="104"/>
      <c r="D1045" s="105" t="s">
        <v>34</v>
      </c>
      <c r="E1045" s="101"/>
      <c r="F1045" s="60" t="s">
        <v>587</v>
      </c>
      <c r="G1045" s="52"/>
      <c r="H1045" s="102"/>
      <c r="I1045" s="52"/>
      <c r="J1045" s="49"/>
      <c r="K1045" s="28"/>
      <c r="L1045" s="51"/>
    </row>
    <row r="1046" spans="2:13" x14ac:dyDescent="0.35">
      <c r="B1046" s="133"/>
      <c r="C1046" s="68"/>
      <c r="D1046" s="105"/>
      <c r="E1046" s="101"/>
      <c r="F1046" s="157" t="s">
        <v>130</v>
      </c>
      <c r="G1046" s="52" t="s">
        <v>588</v>
      </c>
      <c r="H1046" s="109">
        <v>1</v>
      </c>
      <c r="I1046" s="120" t="s">
        <v>83</v>
      </c>
      <c r="J1046" s="28"/>
      <c r="K1046" s="50"/>
      <c r="L1046" s="45"/>
      <c r="M1046" s="210"/>
    </row>
    <row r="1047" spans="2:13" x14ac:dyDescent="0.35">
      <c r="B1047" s="133"/>
      <c r="C1047" s="68"/>
      <c r="D1047" s="105"/>
      <c r="E1047" s="101"/>
      <c r="F1047" s="157" t="s">
        <v>130</v>
      </c>
      <c r="G1047" s="52" t="s">
        <v>589</v>
      </c>
      <c r="H1047" s="109">
        <v>1</v>
      </c>
      <c r="I1047" s="120" t="s">
        <v>83</v>
      </c>
      <c r="J1047" s="28"/>
      <c r="K1047" s="50"/>
      <c r="L1047" s="45"/>
      <c r="M1047" s="210"/>
    </row>
    <row r="1048" spans="2:13" x14ac:dyDescent="0.35">
      <c r="B1048" s="133"/>
      <c r="C1048" s="68"/>
      <c r="D1048" s="105"/>
      <c r="E1048" s="101"/>
      <c r="F1048" s="157" t="s">
        <v>130</v>
      </c>
      <c r="G1048" s="52" t="s">
        <v>590</v>
      </c>
      <c r="H1048" s="109">
        <v>1</v>
      </c>
      <c r="I1048" s="120" t="s">
        <v>83</v>
      </c>
      <c r="J1048" s="28"/>
      <c r="K1048" s="50"/>
      <c r="L1048" s="45"/>
      <c r="M1048" s="210"/>
    </row>
    <row r="1049" spans="2:13" x14ac:dyDescent="0.35">
      <c r="B1049" s="133"/>
      <c r="C1049" s="68"/>
      <c r="D1049" s="105"/>
      <c r="E1049" s="101"/>
      <c r="F1049" s="157" t="s">
        <v>130</v>
      </c>
      <c r="G1049" s="52" t="s">
        <v>591</v>
      </c>
      <c r="H1049" s="109">
        <v>1</v>
      </c>
      <c r="I1049" s="120" t="s">
        <v>83</v>
      </c>
      <c r="J1049" s="28"/>
      <c r="K1049" s="50"/>
      <c r="L1049" s="45"/>
      <c r="M1049" s="210"/>
    </row>
    <row r="1050" spans="2:13" x14ac:dyDescent="0.35">
      <c r="B1050" s="133"/>
      <c r="C1050" s="68"/>
      <c r="D1050" s="105"/>
      <c r="E1050" s="101"/>
      <c r="F1050" s="157" t="s">
        <v>130</v>
      </c>
      <c r="G1050" s="52" t="s">
        <v>592</v>
      </c>
      <c r="H1050" s="109">
        <v>2</v>
      </c>
      <c r="I1050" s="120" t="s">
        <v>83</v>
      </c>
      <c r="J1050" s="28"/>
      <c r="K1050" s="50"/>
      <c r="L1050" s="45"/>
      <c r="M1050" s="210"/>
    </row>
    <row r="1051" spans="2:13" x14ac:dyDescent="0.35">
      <c r="B1051" s="133"/>
      <c r="C1051" s="68"/>
      <c r="D1051" s="105"/>
      <c r="E1051" s="101"/>
      <c r="F1051" s="157" t="s">
        <v>130</v>
      </c>
      <c r="G1051" s="52" t="s">
        <v>593</v>
      </c>
      <c r="H1051" s="109">
        <v>1</v>
      </c>
      <c r="I1051" s="120" t="s">
        <v>83</v>
      </c>
      <c r="J1051" s="28"/>
      <c r="K1051" s="50"/>
      <c r="L1051" s="45"/>
      <c r="M1051" s="210"/>
    </row>
    <row r="1052" spans="2:13" x14ac:dyDescent="0.35">
      <c r="B1052" s="133"/>
      <c r="C1052" s="68"/>
      <c r="D1052" s="105"/>
      <c r="E1052" s="101"/>
      <c r="F1052" s="157" t="s">
        <v>130</v>
      </c>
      <c r="G1052" s="52" t="s">
        <v>594</v>
      </c>
      <c r="H1052" s="109">
        <v>1</v>
      </c>
      <c r="I1052" s="120" t="s">
        <v>83</v>
      </c>
      <c r="J1052" s="28"/>
      <c r="K1052" s="50"/>
      <c r="L1052" s="45"/>
      <c r="M1052" s="210"/>
    </row>
    <row r="1053" spans="2:13" x14ac:dyDescent="0.35">
      <c r="B1053" s="133"/>
      <c r="C1053" s="68"/>
      <c r="D1053" s="105"/>
      <c r="E1053" s="101"/>
      <c r="F1053" s="157" t="s">
        <v>130</v>
      </c>
      <c r="G1053" s="52" t="s">
        <v>595</v>
      </c>
      <c r="H1053" s="109">
        <v>1</v>
      </c>
      <c r="I1053" s="120" t="s">
        <v>83</v>
      </c>
      <c r="J1053" s="28"/>
      <c r="K1053" s="50"/>
      <c r="L1053" s="45"/>
      <c r="M1053" s="210"/>
    </row>
    <row r="1054" spans="2:13" x14ac:dyDescent="0.35">
      <c r="B1054" s="133"/>
      <c r="C1054" s="68"/>
      <c r="D1054" s="105"/>
      <c r="E1054" s="101"/>
      <c r="F1054" s="157" t="s">
        <v>130</v>
      </c>
      <c r="G1054" s="52" t="s">
        <v>596</v>
      </c>
      <c r="H1054" s="109">
        <v>1</v>
      </c>
      <c r="I1054" s="120" t="s">
        <v>83</v>
      </c>
      <c r="J1054" s="28"/>
      <c r="K1054" s="50"/>
      <c r="L1054" s="45"/>
      <c r="M1054" s="210"/>
    </row>
    <row r="1055" spans="2:13" x14ac:dyDescent="0.35">
      <c r="B1055" s="133"/>
      <c r="C1055" s="68"/>
      <c r="D1055" s="105"/>
      <c r="E1055" s="101"/>
      <c r="F1055" s="157" t="s">
        <v>130</v>
      </c>
      <c r="G1055" s="52" t="s">
        <v>597</v>
      </c>
      <c r="H1055" s="109">
        <v>1</v>
      </c>
      <c r="I1055" s="120" t="s">
        <v>83</v>
      </c>
      <c r="J1055" s="28"/>
      <c r="K1055" s="50"/>
      <c r="L1055" s="45"/>
      <c r="M1055" s="210"/>
    </row>
    <row r="1056" spans="2:13" x14ac:dyDescent="0.35">
      <c r="B1056" s="133"/>
      <c r="C1056" s="68"/>
      <c r="D1056" s="105"/>
      <c r="E1056" s="101"/>
      <c r="F1056" s="157" t="s">
        <v>130</v>
      </c>
      <c r="G1056" s="52" t="s">
        <v>598</v>
      </c>
      <c r="H1056" s="109">
        <v>1</v>
      </c>
      <c r="I1056" s="120" t="s">
        <v>83</v>
      </c>
      <c r="J1056" s="28"/>
      <c r="K1056" s="50"/>
      <c r="L1056" s="45"/>
      <c r="M1056" s="210"/>
    </row>
    <row r="1057" spans="2:12" x14ac:dyDescent="0.35">
      <c r="B1057" s="69"/>
      <c r="C1057" s="68"/>
      <c r="D1057" s="151"/>
      <c r="E1057" s="101"/>
      <c r="F1057" s="60" t="s">
        <v>130</v>
      </c>
      <c r="G1057" s="52" t="s">
        <v>599</v>
      </c>
      <c r="H1057" s="94">
        <f>0.12*6*7.85*0.3*1.2</f>
        <v>2.0347199999999996</v>
      </c>
      <c r="I1057" s="52" t="s">
        <v>208</v>
      </c>
      <c r="J1057" s="49"/>
      <c r="K1057" s="28"/>
      <c r="L1057" s="45"/>
    </row>
    <row r="1058" spans="2:12" x14ac:dyDescent="0.35">
      <c r="B1058" s="69"/>
      <c r="C1058" s="68"/>
      <c r="D1058" s="151"/>
      <c r="E1058" s="101"/>
      <c r="F1058" s="60" t="s">
        <v>130</v>
      </c>
      <c r="G1058" s="52" t="s">
        <v>600</v>
      </c>
      <c r="H1058" s="94">
        <f>0.12*6*7.85*0.39*1.2</f>
        <v>2.6451359999999995</v>
      </c>
      <c r="I1058" s="52" t="s">
        <v>208</v>
      </c>
      <c r="J1058" s="49"/>
      <c r="K1058" s="28"/>
      <c r="L1058" s="45"/>
    </row>
    <row r="1059" spans="2:12" x14ac:dyDescent="0.35">
      <c r="B1059" s="69"/>
      <c r="C1059" s="68"/>
      <c r="D1059" s="151"/>
      <c r="E1059" s="101"/>
      <c r="F1059" s="60" t="s">
        <v>130</v>
      </c>
      <c r="G1059" s="52" t="s">
        <v>601</v>
      </c>
      <c r="H1059" s="94">
        <f>0.12*6*7.85*0.38*1.2</f>
        <v>2.5773119999999996</v>
      </c>
      <c r="I1059" s="52" t="s">
        <v>208</v>
      </c>
      <c r="J1059" s="49"/>
      <c r="K1059" s="28"/>
      <c r="L1059" s="45"/>
    </row>
    <row r="1060" spans="2:12" x14ac:dyDescent="0.35">
      <c r="B1060" s="69"/>
      <c r="C1060" s="68"/>
      <c r="D1060" s="151"/>
      <c r="E1060" s="101"/>
      <c r="F1060" s="60" t="s">
        <v>130</v>
      </c>
      <c r="G1060" s="52" t="s">
        <v>602</v>
      </c>
      <c r="H1060" s="94">
        <f>0.12*6*7.85*0.47*1.2</f>
        <v>3.1877279999999995</v>
      </c>
      <c r="I1060" s="52" t="s">
        <v>208</v>
      </c>
      <c r="J1060" s="49"/>
      <c r="K1060" s="28"/>
      <c r="L1060" s="45"/>
    </row>
    <row r="1061" spans="2:12" x14ac:dyDescent="0.35">
      <c r="B1061" s="69"/>
      <c r="C1061" s="68"/>
      <c r="D1061" s="151"/>
      <c r="E1061" s="101"/>
      <c r="F1061" s="60" t="s">
        <v>130</v>
      </c>
      <c r="G1061" s="52" t="s">
        <v>603</v>
      </c>
      <c r="H1061" s="94">
        <f>0.12*6*7.85*0.6*1.2*2</f>
        <v>8.1388799999999986</v>
      </c>
      <c r="I1061" s="52" t="s">
        <v>208</v>
      </c>
      <c r="J1061" s="49"/>
      <c r="K1061" s="28"/>
      <c r="L1061" s="45"/>
    </row>
    <row r="1062" spans="2:12" x14ac:dyDescent="0.35">
      <c r="B1062" s="69"/>
      <c r="C1062" s="68"/>
      <c r="D1062" s="151"/>
      <c r="E1062" s="101"/>
      <c r="F1062" s="60" t="s">
        <v>130</v>
      </c>
      <c r="G1062" s="52" t="s">
        <v>604</v>
      </c>
      <c r="H1062" s="94">
        <f>0.12*6*7.85*0.63*1.2</f>
        <v>4.2729119999999998</v>
      </c>
      <c r="I1062" s="52" t="s">
        <v>208</v>
      </c>
      <c r="J1062" s="49"/>
      <c r="K1062" s="28"/>
      <c r="L1062" s="45"/>
    </row>
    <row r="1063" spans="2:12" x14ac:dyDescent="0.35">
      <c r="B1063" s="69"/>
      <c r="C1063" s="68"/>
      <c r="D1063" s="151"/>
      <c r="E1063" s="101"/>
      <c r="F1063" s="60" t="s">
        <v>130</v>
      </c>
      <c r="G1063" s="52" t="s">
        <v>605</v>
      </c>
      <c r="H1063" s="94">
        <f>0.12*6*7.85*0.88*1.2</f>
        <v>5.9685119999999996</v>
      </c>
      <c r="I1063" s="52" t="s">
        <v>208</v>
      </c>
      <c r="J1063" s="49"/>
      <c r="K1063" s="28"/>
      <c r="L1063" s="45"/>
    </row>
    <row r="1064" spans="2:12" x14ac:dyDescent="0.35">
      <c r="B1064" s="69"/>
      <c r="C1064" s="68"/>
      <c r="D1064" s="151"/>
      <c r="E1064" s="101"/>
      <c r="F1064" s="60" t="s">
        <v>130</v>
      </c>
      <c r="G1064" s="52" t="s">
        <v>606</v>
      </c>
      <c r="H1064" s="94">
        <f>0.12*6*7.85*1.05*1.2</f>
        <v>7.1215199999999994</v>
      </c>
      <c r="I1064" s="52" t="s">
        <v>208</v>
      </c>
      <c r="J1064" s="49"/>
      <c r="K1064" s="28"/>
      <c r="L1064" s="45"/>
    </row>
    <row r="1065" spans="2:12" x14ac:dyDescent="0.35">
      <c r="B1065" s="69"/>
      <c r="C1065" s="68"/>
      <c r="D1065" s="151"/>
      <c r="E1065" s="101"/>
      <c r="F1065" s="60" t="s">
        <v>130</v>
      </c>
      <c r="G1065" s="52" t="s">
        <v>607</v>
      </c>
      <c r="H1065" s="94">
        <f>0.12*6*7.85*1.32*1.2*2</f>
        <v>17.905535999999998</v>
      </c>
      <c r="I1065" s="52" t="s">
        <v>208</v>
      </c>
      <c r="J1065" s="49"/>
      <c r="K1065" s="28"/>
      <c r="L1065" s="45"/>
    </row>
    <row r="1066" spans="2:12" x14ac:dyDescent="0.35">
      <c r="B1066" s="69"/>
      <c r="C1066" s="68"/>
      <c r="D1066" s="151"/>
      <c r="E1066" s="101"/>
      <c r="F1066" s="60" t="s">
        <v>130</v>
      </c>
      <c r="G1066" s="52" t="s">
        <v>608</v>
      </c>
      <c r="H1066" s="94">
        <f>0.12*6*7.85*1.36*1.2*3</f>
        <v>27.672191999999995</v>
      </c>
      <c r="I1066" s="52" t="s">
        <v>208</v>
      </c>
      <c r="J1066" s="49"/>
      <c r="K1066" s="207"/>
      <c r="L1066" s="45"/>
    </row>
    <row r="1067" spans="2:12" x14ac:dyDescent="0.35">
      <c r="B1067" s="69"/>
      <c r="C1067" s="68"/>
      <c r="D1067" s="151"/>
      <c r="E1067" s="101"/>
      <c r="F1067" s="60" t="s">
        <v>130</v>
      </c>
      <c r="G1067" s="52" t="s">
        <v>609</v>
      </c>
      <c r="H1067" s="102">
        <v>1</v>
      </c>
      <c r="I1067" s="52" t="s">
        <v>36</v>
      </c>
      <c r="J1067" s="28"/>
      <c r="K1067" s="50"/>
      <c r="L1067" s="45"/>
    </row>
    <row r="1068" spans="2:12" x14ac:dyDescent="0.35">
      <c r="B1068" s="129" t="s">
        <v>84</v>
      </c>
      <c r="C1068" s="104"/>
      <c r="D1068" s="105"/>
      <c r="E1068" s="58" t="s">
        <v>12</v>
      </c>
      <c r="F1068" s="60"/>
      <c r="G1068" s="52"/>
      <c r="H1068" s="102"/>
      <c r="I1068" s="52"/>
      <c r="J1068" s="49"/>
      <c r="K1068" s="207"/>
      <c r="L1068" s="45"/>
    </row>
    <row r="1069" spans="2:12" x14ac:dyDescent="0.35">
      <c r="B1069" s="159"/>
      <c r="C1069" s="104" t="s">
        <v>232</v>
      </c>
      <c r="D1069" s="105"/>
      <c r="E1069" s="101"/>
      <c r="F1069" s="60" t="s">
        <v>610</v>
      </c>
      <c r="G1069" s="52"/>
      <c r="H1069" s="102"/>
      <c r="I1069" s="52"/>
      <c r="J1069" s="49"/>
      <c r="K1069" s="28"/>
      <c r="L1069" s="51"/>
    </row>
    <row r="1070" spans="2:12" x14ac:dyDescent="0.35">
      <c r="B1070" s="159"/>
      <c r="C1070" s="104"/>
      <c r="D1070" s="105" t="s">
        <v>34</v>
      </c>
      <c r="E1070" s="101"/>
      <c r="F1070" s="60" t="s">
        <v>611</v>
      </c>
      <c r="G1070" s="52"/>
      <c r="H1070" s="102">
        <v>4</v>
      </c>
      <c r="I1070" s="52" t="s">
        <v>160</v>
      </c>
      <c r="J1070" s="28"/>
      <c r="K1070" s="50"/>
      <c r="L1070" s="45"/>
    </row>
    <row r="1071" spans="2:12" x14ac:dyDescent="0.35">
      <c r="B1071" s="159"/>
      <c r="C1071" s="104"/>
      <c r="D1071" s="105"/>
      <c r="E1071" s="101"/>
      <c r="F1071" s="60" t="s">
        <v>130</v>
      </c>
      <c r="G1071" s="52" t="s">
        <v>612</v>
      </c>
      <c r="H1071" s="102">
        <v>560</v>
      </c>
      <c r="I1071" s="52" t="s">
        <v>141</v>
      </c>
      <c r="J1071" s="28"/>
      <c r="K1071" s="50"/>
      <c r="L1071" s="45"/>
    </row>
    <row r="1072" spans="2:12" x14ac:dyDescent="0.35">
      <c r="B1072" s="133"/>
      <c r="C1072" s="68"/>
      <c r="D1072" s="151"/>
      <c r="E1072" s="118"/>
      <c r="F1072" s="60" t="s">
        <v>130</v>
      </c>
      <c r="G1072" s="60" t="s">
        <v>189</v>
      </c>
      <c r="H1072" s="110">
        <v>2</v>
      </c>
      <c r="I1072" s="66" t="s">
        <v>83</v>
      </c>
      <c r="J1072" s="28"/>
      <c r="K1072" s="50"/>
      <c r="L1072" s="45"/>
    </row>
    <row r="1073" spans="2:12" x14ac:dyDescent="0.35">
      <c r="B1073" s="69"/>
      <c r="C1073" s="68"/>
      <c r="D1073" s="151"/>
      <c r="E1073" s="156"/>
      <c r="F1073" s="107" t="s">
        <v>130</v>
      </c>
      <c r="G1073" s="120" t="s">
        <v>613</v>
      </c>
      <c r="H1073" s="109">
        <v>1</v>
      </c>
      <c r="I1073" s="120" t="s">
        <v>83</v>
      </c>
      <c r="J1073" s="28"/>
      <c r="K1073" s="50"/>
      <c r="L1073" s="45"/>
    </row>
    <row r="1074" spans="2:12" x14ac:dyDescent="0.35">
      <c r="B1074" s="69"/>
      <c r="C1074" s="68"/>
      <c r="D1074" s="151"/>
      <c r="E1074" s="75"/>
      <c r="F1074" s="60" t="s">
        <v>130</v>
      </c>
      <c r="G1074" s="60" t="s">
        <v>614</v>
      </c>
      <c r="H1074" s="110">
        <v>4</v>
      </c>
      <c r="I1074" s="66" t="s">
        <v>83</v>
      </c>
      <c r="J1074" s="28"/>
      <c r="K1074" s="50"/>
      <c r="L1074" s="45"/>
    </row>
    <row r="1075" spans="2:12" x14ac:dyDescent="0.35">
      <c r="B1075" s="46"/>
      <c r="C1075" s="47"/>
      <c r="D1075" s="23"/>
      <c r="G1075" s="21"/>
      <c r="I1075" s="21"/>
      <c r="J1075" s="49"/>
      <c r="K1075" s="28"/>
      <c r="L1075" s="51"/>
    </row>
    <row r="1076" spans="2:12" x14ac:dyDescent="0.35">
      <c r="B1076" s="46"/>
      <c r="C1076" s="47"/>
      <c r="D1076" s="23"/>
      <c r="G1076" s="21"/>
      <c r="I1076" s="21"/>
      <c r="J1076" s="49"/>
      <c r="K1076" s="28"/>
      <c r="L1076" s="51"/>
    </row>
    <row r="1077" spans="2:12" x14ac:dyDescent="0.35">
      <c r="B1077" s="224"/>
      <c r="C1077" s="47"/>
      <c r="D1077" s="23"/>
      <c r="G1077" s="21"/>
      <c r="I1077" s="21"/>
      <c r="J1077" s="49"/>
      <c r="K1077" s="28"/>
      <c r="L1077" s="51"/>
    </row>
    <row r="1078" spans="2:12" x14ac:dyDescent="0.35">
      <c r="B1078" s="8"/>
      <c r="C1078" s="9"/>
      <c r="D1078" s="10"/>
      <c r="E1078" s="4"/>
      <c r="F1078" s="4"/>
      <c r="G1078" s="4"/>
      <c r="H1078" s="1"/>
      <c r="I1078" s="1"/>
      <c r="J1078" s="11" t="s">
        <v>8</v>
      </c>
      <c r="K1078" s="7">
        <f>SUM(K1025:K1077)</f>
        <v>0</v>
      </c>
      <c r="L1078" s="7">
        <f>SUM(L1025:L1077)</f>
        <v>0</v>
      </c>
    </row>
    <row r="1079" spans="2:12" x14ac:dyDescent="0.35">
      <c r="B1079" s="8"/>
      <c r="C1079" s="9"/>
      <c r="D1079" s="9"/>
      <c r="E1079" s="4"/>
      <c r="F1079" s="4"/>
      <c r="G1079" s="4"/>
      <c r="H1079" s="1"/>
      <c r="I1079" s="1"/>
      <c r="J1079" s="11"/>
      <c r="K1079" s="34" t="s">
        <v>13</v>
      </c>
      <c r="L1079" s="35" t="s">
        <v>14</v>
      </c>
    </row>
    <row r="1080" spans="2:12" x14ac:dyDescent="0.35">
      <c r="B1080" s="3" t="s">
        <v>9</v>
      </c>
      <c r="C1080" s="4"/>
      <c r="D1080" s="4"/>
      <c r="E1080" s="4"/>
      <c r="F1080" s="4"/>
      <c r="G1080" s="4"/>
      <c r="H1080" s="1"/>
      <c r="I1080" s="1"/>
      <c r="J1080" s="12"/>
      <c r="K1080" s="12"/>
      <c r="L1080" s="13"/>
    </row>
    <row r="1081" spans="2:12" x14ac:dyDescent="0.35">
      <c r="B1081" s="36"/>
      <c r="C1081" s="1"/>
      <c r="D1081" s="1"/>
      <c r="E1081" s="37"/>
      <c r="F1081" s="37"/>
      <c r="G1081" s="37"/>
      <c r="H1081" s="1"/>
      <c r="I1081" s="1"/>
      <c r="J1081" s="1"/>
      <c r="K1081" s="1"/>
      <c r="L1081" s="18"/>
    </row>
    <row r="1082" spans="2:12" x14ac:dyDescent="0.35">
      <c r="B1082" s="27" t="s">
        <v>6</v>
      </c>
      <c r="C1082" s="26"/>
      <c r="D1082" s="26"/>
      <c r="E1082" s="25"/>
      <c r="F1082" s="25"/>
      <c r="G1082" s="5"/>
      <c r="K1082" s="232" t="s">
        <v>813</v>
      </c>
      <c r="L1082" s="233"/>
    </row>
    <row r="1083" spans="2:12" x14ac:dyDescent="0.35">
      <c r="B1083" s="27">
        <v>1</v>
      </c>
      <c r="C1083" s="26"/>
      <c r="D1083" s="26"/>
      <c r="E1083" s="25" t="s">
        <v>7</v>
      </c>
      <c r="F1083" s="25"/>
      <c r="G1083" s="5"/>
      <c r="K1083" s="232" t="s">
        <v>18</v>
      </c>
      <c r="L1083" s="233"/>
    </row>
    <row r="1084" spans="2:12" x14ac:dyDescent="0.35">
      <c r="B1084" s="38"/>
      <c r="C1084" s="26"/>
      <c r="D1084" s="26"/>
      <c r="E1084" s="25"/>
      <c r="F1084" s="25"/>
      <c r="G1084" s="5"/>
      <c r="J1084" s="24"/>
      <c r="K1084" s="24"/>
      <c r="L1084" s="23"/>
    </row>
    <row r="1085" spans="2:12" x14ac:dyDescent="0.35">
      <c r="B1085" s="27"/>
      <c r="C1085" s="26"/>
      <c r="D1085" s="26"/>
      <c r="E1085" s="25"/>
      <c r="F1085" s="25"/>
      <c r="G1085" s="5"/>
      <c r="L1085" s="21"/>
    </row>
    <row r="1086" spans="2:12" x14ac:dyDescent="0.35">
      <c r="B1086" s="44"/>
      <c r="E1086" s="5"/>
      <c r="F1086" s="5"/>
      <c r="G1086" s="5"/>
      <c r="L1086" s="21"/>
    </row>
    <row r="1087" spans="2:12" x14ac:dyDescent="0.35">
      <c r="B1087" s="44"/>
      <c r="E1087" s="5"/>
      <c r="F1087" s="5"/>
      <c r="G1087" s="5"/>
      <c r="L1087" s="21"/>
    </row>
    <row r="1088" spans="2:12" x14ac:dyDescent="0.35">
      <c r="B1088" s="44"/>
      <c r="E1088" s="5"/>
      <c r="F1088" s="5"/>
      <c r="G1088" s="5"/>
      <c r="L1088" s="21"/>
    </row>
    <row r="1089" spans="2:12" x14ac:dyDescent="0.35">
      <c r="B1089" s="44"/>
      <c r="E1089" s="5"/>
      <c r="F1089" s="5"/>
      <c r="G1089" s="5"/>
      <c r="J1089" s="39"/>
      <c r="K1089" s="234" t="s">
        <v>26</v>
      </c>
      <c r="L1089" s="235"/>
    </row>
    <row r="1090" spans="2:12" x14ac:dyDescent="0.35">
      <c r="B1090" s="44"/>
      <c r="K1090" s="236" t="s">
        <v>27</v>
      </c>
      <c r="L1090" s="237"/>
    </row>
    <row r="1091" spans="2:12" x14ac:dyDescent="0.35">
      <c r="B1091" s="238"/>
      <c r="C1091" s="239"/>
      <c r="D1091" s="239"/>
      <c r="E1091" s="40"/>
      <c r="F1091" s="40"/>
      <c r="G1091" s="40"/>
      <c r="H1091" s="2"/>
      <c r="I1091" s="2"/>
      <c r="J1091" s="2"/>
      <c r="K1091" s="2"/>
      <c r="L1091" s="20"/>
    </row>
    <row r="1092" spans="2:12" x14ac:dyDescent="0.35">
      <c r="B1092" s="222"/>
      <c r="C1092" s="47"/>
      <c r="D1092" s="48"/>
      <c r="G1092" s="21"/>
      <c r="H1092" s="1"/>
      <c r="I1092" s="1"/>
      <c r="J1092" s="42"/>
      <c r="K1092" s="29"/>
      <c r="L1092" s="43"/>
    </row>
    <row r="1093" spans="2:12" x14ac:dyDescent="0.35">
      <c r="B1093" s="67"/>
      <c r="C1093" s="68"/>
      <c r="D1093" s="105" t="s">
        <v>37</v>
      </c>
      <c r="E1093" s="101"/>
      <c r="F1093" s="60" t="s">
        <v>615</v>
      </c>
      <c r="G1093" s="52"/>
      <c r="H1093" s="102">
        <v>4</v>
      </c>
      <c r="I1093" s="52" t="s">
        <v>160</v>
      </c>
      <c r="J1093" s="201"/>
      <c r="K1093" s="50"/>
      <c r="L1093" s="45"/>
    </row>
    <row r="1094" spans="2:12" x14ac:dyDescent="0.35">
      <c r="B1094" s="69"/>
      <c r="C1094" s="62"/>
      <c r="D1094" s="105"/>
      <c r="E1094" s="101"/>
      <c r="F1094" s="60" t="s">
        <v>130</v>
      </c>
      <c r="G1094" s="52" t="s">
        <v>612</v>
      </c>
      <c r="H1094" s="102">
        <v>560</v>
      </c>
      <c r="I1094" s="52" t="s">
        <v>141</v>
      </c>
      <c r="J1094" s="28"/>
      <c r="K1094" s="50"/>
      <c r="L1094" s="45"/>
    </row>
    <row r="1095" spans="2:12" x14ac:dyDescent="0.35">
      <c r="B1095" s="133"/>
      <c r="C1095" s="68"/>
      <c r="D1095" s="151"/>
      <c r="E1095" s="118"/>
      <c r="F1095" s="60" t="s">
        <v>130</v>
      </c>
      <c r="G1095" s="60" t="s">
        <v>189</v>
      </c>
      <c r="H1095" s="110">
        <v>2</v>
      </c>
      <c r="I1095" s="66" t="s">
        <v>83</v>
      </c>
      <c r="J1095" s="28"/>
      <c r="K1095" s="50"/>
      <c r="L1095" s="45"/>
    </row>
    <row r="1096" spans="2:12" x14ac:dyDescent="0.35">
      <c r="B1096" s="69"/>
      <c r="C1096" s="68"/>
      <c r="D1096" s="151"/>
      <c r="E1096" s="156"/>
      <c r="F1096" s="107" t="s">
        <v>130</v>
      </c>
      <c r="G1096" s="120" t="s">
        <v>613</v>
      </c>
      <c r="H1096" s="109">
        <v>1</v>
      </c>
      <c r="I1096" s="120" t="s">
        <v>83</v>
      </c>
      <c r="J1096" s="28"/>
      <c r="K1096" s="50"/>
      <c r="L1096" s="45"/>
    </row>
    <row r="1097" spans="2:12" x14ac:dyDescent="0.35">
      <c r="B1097" s="69"/>
      <c r="C1097" s="62"/>
      <c r="D1097" s="151"/>
      <c r="E1097" s="75"/>
      <c r="F1097" s="60" t="s">
        <v>130</v>
      </c>
      <c r="G1097" s="60" t="s">
        <v>574</v>
      </c>
      <c r="H1097" s="110">
        <v>4</v>
      </c>
      <c r="I1097" s="66" t="s">
        <v>83</v>
      </c>
      <c r="J1097" s="28"/>
      <c r="K1097" s="50"/>
      <c r="L1097" s="45"/>
    </row>
    <row r="1098" spans="2:12" x14ac:dyDescent="0.35">
      <c r="B1098" s="67"/>
      <c r="C1098" s="68"/>
      <c r="D1098" s="105" t="s">
        <v>39</v>
      </c>
      <c r="E1098" s="101"/>
      <c r="F1098" s="60" t="s">
        <v>616</v>
      </c>
      <c r="G1098" s="52"/>
      <c r="H1098" s="102">
        <v>4</v>
      </c>
      <c r="I1098" s="52" t="s">
        <v>160</v>
      </c>
      <c r="J1098" s="201"/>
      <c r="K1098" s="50"/>
      <c r="L1098" s="45"/>
    </row>
    <row r="1099" spans="2:12" x14ac:dyDescent="0.35">
      <c r="B1099" s="133"/>
      <c r="C1099" s="68"/>
      <c r="D1099" s="151"/>
      <c r="E1099" s="118"/>
      <c r="F1099" s="60" t="s">
        <v>130</v>
      </c>
      <c r="G1099" s="60" t="s">
        <v>189</v>
      </c>
      <c r="H1099" s="110">
        <v>2</v>
      </c>
      <c r="I1099" s="66" t="s">
        <v>83</v>
      </c>
      <c r="J1099" s="28"/>
      <c r="K1099" s="50"/>
      <c r="L1099" s="45"/>
    </row>
    <row r="1100" spans="2:12" x14ac:dyDescent="0.35">
      <c r="B1100" s="69"/>
      <c r="C1100" s="62"/>
      <c r="D1100" s="105" t="s">
        <v>41</v>
      </c>
      <c r="E1100" s="101"/>
      <c r="F1100" s="60" t="s">
        <v>617</v>
      </c>
      <c r="G1100" s="52"/>
      <c r="H1100" s="102">
        <v>7</v>
      </c>
      <c r="I1100" s="52" t="s">
        <v>160</v>
      </c>
      <c r="J1100" s="201"/>
      <c r="K1100" s="50"/>
      <c r="L1100" s="45"/>
    </row>
    <row r="1101" spans="2:12" x14ac:dyDescent="0.35">
      <c r="B1101" s="133"/>
      <c r="C1101" s="68"/>
      <c r="D1101" s="105"/>
      <c r="E1101" s="101"/>
      <c r="F1101" s="60" t="s">
        <v>130</v>
      </c>
      <c r="G1101" s="52" t="s">
        <v>612</v>
      </c>
      <c r="H1101" s="102">
        <v>560</v>
      </c>
      <c r="I1101" s="52" t="s">
        <v>141</v>
      </c>
      <c r="J1101" s="28"/>
      <c r="K1101" s="50"/>
      <c r="L1101" s="45"/>
    </row>
    <row r="1102" spans="2:12" x14ac:dyDescent="0.35">
      <c r="B1102" s="82"/>
      <c r="C1102" s="70"/>
      <c r="D1102" s="151"/>
      <c r="E1102" s="118"/>
      <c r="F1102" s="60" t="s">
        <v>130</v>
      </c>
      <c r="G1102" s="60" t="s">
        <v>189</v>
      </c>
      <c r="H1102" s="110">
        <v>3</v>
      </c>
      <c r="I1102" s="66" t="s">
        <v>83</v>
      </c>
      <c r="J1102" s="28"/>
      <c r="K1102" s="50"/>
      <c r="L1102" s="45"/>
    </row>
    <row r="1103" spans="2:12" x14ac:dyDescent="0.35">
      <c r="B1103" s="69"/>
      <c r="C1103" s="68"/>
      <c r="D1103" s="151"/>
      <c r="E1103" s="156"/>
      <c r="F1103" s="107" t="s">
        <v>130</v>
      </c>
      <c r="G1103" s="120" t="s">
        <v>613</v>
      </c>
      <c r="H1103" s="109">
        <v>1</v>
      </c>
      <c r="I1103" s="120" t="s">
        <v>83</v>
      </c>
      <c r="J1103" s="28"/>
      <c r="K1103" s="50"/>
      <c r="L1103" s="45"/>
    </row>
    <row r="1104" spans="2:12" x14ac:dyDescent="0.35">
      <c r="B1104" s="82"/>
      <c r="C1104" s="70"/>
      <c r="D1104" s="151"/>
      <c r="E1104" s="75"/>
      <c r="F1104" s="60" t="s">
        <v>130</v>
      </c>
      <c r="G1104" s="60" t="s">
        <v>614</v>
      </c>
      <c r="H1104" s="110">
        <v>4</v>
      </c>
      <c r="I1104" s="66" t="s">
        <v>83</v>
      </c>
      <c r="J1104" s="28"/>
      <c r="K1104" s="50"/>
      <c r="L1104" s="45"/>
    </row>
    <row r="1105" spans="2:12" x14ac:dyDescent="0.35">
      <c r="B1105" s="82"/>
      <c r="C1105" s="70"/>
      <c r="D1105" s="105" t="s">
        <v>44</v>
      </c>
      <c r="E1105" s="101"/>
      <c r="F1105" s="60" t="s">
        <v>618</v>
      </c>
      <c r="G1105" s="52"/>
      <c r="H1105" s="102">
        <v>7</v>
      </c>
      <c r="I1105" s="52" t="s">
        <v>160</v>
      </c>
      <c r="J1105" s="201"/>
      <c r="K1105" s="50"/>
      <c r="L1105" s="45"/>
    </row>
    <row r="1106" spans="2:12" x14ac:dyDescent="0.35">
      <c r="B1106" s="69"/>
      <c r="C1106" s="68"/>
      <c r="D1106" s="105"/>
      <c r="E1106" s="101"/>
      <c r="F1106" s="60" t="s">
        <v>130</v>
      </c>
      <c r="G1106" s="52" t="s">
        <v>612</v>
      </c>
      <c r="H1106" s="102">
        <v>560</v>
      </c>
      <c r="I1106" s="52" t="s">
        <v>141</v>
      </c>
      <c r="J1106" s="28"/>
      <c r="K1106" s="50"/>
      <c r="L1106" s="45"/>
    </row>
    <row r="1107" spans="2:12" x14ac:dyDescent="0.35">
      <c r="B1107" s="158"/>
      <c r="C1107" s="60"/>
      <c r="D1107" s="151"/>
      <c r="E1107" s="118"/>
      <c r="F1107" s="60" t="s">
        <v>130</v>
      </c>
      <c r="G1107" s="60" t="s">
        <v>189</v>
      </c>
      <c r="H1107" s="110">
        <v>3</v>
      </c>
      <c r="I1107" s="66" t="s">
        <v>83</v>
      </c>
      <c r="J1107" s="28"/>
      <c r="K1107" s="50"/>
      <c r="L1107" s="45"/>
    </row>
    <row r="1108" spans="2:12" x14ac:dyDescent="0.35">
      <c r="B1108" s="69"/>
      <c r="C1108" s="68"/>
      <c r="D1108" s="151"/>
      <c r="E1108" s="156"/>
      <c r="F1108" s="107" t="s">
        <v>130</v>
      </c>
      <c r="G1108" s="120" t="s">
        <v>613</v>
      </c>
      <c r="H1108" s="109">
        <v>1</v>
      </c>
      <c r="I1108" s="120" t="s">
        <v>83</v>
      </c>
      <c r="J1108" s="28"/>
      <c r="K1108" s="50"/>
      <c r="L1108" s="45"/>
    </row>
    <row r="1109" spans="2:12" x14ac:dyDescent="0.35">
      <c r="B1109" s="129"/>
      <c r="C1109" s="104"/>
      <c r="D1109" s="151"/>
      <c r="E1109" s="75"/>
      <c r="F1109" s="60" t="s">
        <v>130</v>
      </c>
      <c r="G1109" s="60" t="s">
        <v>574</v>
      </c>
      <c r="H1109" s="110">
        <v>4</v>
      </c>
      <c r="I1109" s="66" t="s">
        <v>83</v>
      </c>
      <c r="J1109" s="28"/>
      <c r="K1109" s="50"/>
      <c r="L1109" s="45"/>
    </row>
    <row r="1110" spans="2:12" x14ac:dyDescent="0.35">
      <c r="B1110" s="82"/>
      <c r="C1110" s="70"/>
      <c r="D1110" s="105" t="s">
        <v>46</v>
      </c>
      <c r="E1110" s="101"/>
      <c r="F1110" s="60" t="s">
        <v>619</v>
      </c>
      <c r="G1110" s="52"/>
      <c r="H1110" s="102">
        <v>2</v>
      </c>
      <c r="I1110" s="52" t="s">
        <v>160</v>
      </c>
      <c r="J1110" s="201"/>
      <c r="K1110" s="50"/>
      <c r="L1110" s="45"/>
    </row>
    <row r="1111" spans="2:12" x14ac:dyDescent="0.35">
      <c r="B1111" s="158"/>
      <c r="C1111" s="60"/>
      <c r="D1111" s="151"/>
      <c r="E1111" s="118"/>
      <c r="F1111" s="60" t="s">
        <v>130</v>
      </c>
      <c r="G1111" s="60" t="s">
        <v>189</v>
      </c>
      <c r="H1111" s="110">
        <v>1</v>
      </c>
      <c r="I1111" s="66" t="s">
        <v>83</v>
      </c>
      <c r="J1111" s="28"/>
      <c r="K1111" s="50"/>
      <c r="L1111" s="45"/>
    </row>
    <row r="1112" spans="2:12" x14ac:dyDescent="0.35">
      <c r="B1112" s="82"/>
      <c r="C1112" s="70"/>
      <c r="D1112" s="105" t="s">
        <v>48</v>
      </c>
      <c r="E1112" s="101"/>
      <c r="F1112" s="60" t="s">
        <v>620</v>
      </c>
      <c r="G1112" s="52"/>
      <c r="H1112" s="102">
        <v>4</v>
      </c>
      <c r="I1112" s="52" t="s">
        <v>160</v>
      </c>
      <c r="J1112" s="201"/>
      <c r="K1112" s="50"/>
      <c r="L1112" s="45"/>
    </row>
    <row r="1113" spans="2:12" x14ac:dyDescent="0.35">
      <c r="B1113" s="69"/>
      <c r="C1113" s="68"/>
      <c r="D1113" s="105"/>
      <c r="E1113" s="101"/>
      <c r="F1113" s="60" t="s">
        <v>130</v>
      </c>
      <c r="G1113" s="52" t="s">
        <v>612</v>
      </c>
      <c r="H1113" s="102">
        <v>550</v>
      </c>
      <c r="I1113" s="52" t="s">
        <v>141</v>
      </c>
      <c r="J1113" s="28"/>
      <c r="K1113" s="50"/>
      <c r="L1113" s="45"/>
    </row>
    <row r="1114" spans="2:12" x14ac:dyDescent="0.35">
      <c r="B1114" s="158"/>
      <c r="C1114" s="60"/>
      <c r="D1114" s="151"/>
      <c r="E1114" s="118"/>
      <c r="F1114" s="60" t="s">
        <v>130</v>
      </c>
      <c r="G1114" s="60" t="s">
        <v>189</v>
      </c>
      <c r="H1114" s="110">
        <v>1</v>
      </c>
      <c r="I1114" s="66" t="s">
        <v>83</v>
      </c>
      <c r="J1114" s="28"/>
      <c r="K1114" s="50"/>
      <c r="L1114" s="45"/>
    </row>
    <row r="1115" spans="2:12" x14ac:dyDescent="0.35">
      <c r="B1115" s="69"/>
      <c r="C1115" s="68"/>
      <c r="D1115" s="151"/>
      <c r="E1115" s="156"/>
      <c r="F1115" s="107" t="s">
        <v>130</v>
      </c>
      <c r="G1115" s="120" t="s">
        <v>613</v>
      </c>
      <c r="H1115" s="109">
        <v>1</v>
      </c>
      <c r="I1115" s="120" t="s">
        <v>83</v>
      </c>
      <c r="J1115" s="28"/>
      <c r="K1115" s="50"/>
      <c r="L1115" s="45"/>
    </row>
    <row r="1116" spans="2:12" x14ac:dyDescent="0.35">
      <c r="B1116" s="129"/>
      <c r="C1116" s="104"/>
      <c r="D1116" s="151"/>
      <c r="E1116" s="75"/>
      <c r="F1116" s="60" t="s">
        <v>130</v>
      </c>
      <c r="G1116" s="60" t="s">
        <v>574</v>
      </c>
      <c r="H1116" s="110">
        <v>4</v>
      </c>
      <c r="I1116" s="66" t="s">
        <v>83</v>
      </c>
      <c r="J1116" s="28"/>
      <c r="K1116" s="50"/>
      <c r="L1116" s="45"/>
    </row>
    <row r="1117" spans="2:12" x14ac:dyDescent="0.35">
      <c r="B1117" s="82"/>
      <c r="C1117" s="70"/>
      <c r="D1117" s="105" t="s">
        <v>50</v>
      </c>
      <c r="E1117" s="101"/>
      <c r="F1117" s="60" t="s">
        <v>621</v>
      </c>
      <c r="G1117" s="52"/>
      <c r="H1117" s="102">
        <v>4</v>
      </c>
      <c r="I1117" s="52" t="s">
        <v>160</v>
      </c>
      <c r="J1117" s="201"/>
      <c r="K1117" s="50"/>
      <c r="L1117" s="45"/>
    </row>
    <row r="1118" spans="2:12" x14ac:dyDescent="0.35">
      <c r="B1118" s="158"/>
      <c r="C1118" s="60"/>
      <c r="D1118" s="151"/>
      <c r="E1118" s="118"/>
      <c r="F1118" s="60" t="s">
        <v>130</v>
      </c>
      <c r="G1118" s="60" t="s">
        <v>189</v>
      </c>
      <c r="H1118" s="110">
        <v>2</v>
      </c>
      <c r="I1118" s="66" t="s">
        <v>83</v>
      </c>
      <c r="J1118" s="28"/>
      <c r="K1118" s="50"/>
      <c r="L1118" s="45"/>
    </row>
    <row r="1119" spans="2:12" x14ac:dyDescent="0.35">
      <c r="B1119" s="82"/>
      <c r="C1119" s="70"/>
      <c r="D1119" s="105" t="s">
        <v>52</v>
      </c>
      <c r="E1119" s="101"/>
      <c r="F1119" s="60" t="s">
        <v>622</v>
      </c>
      <c r="G1119" s="52"/>
      <c r="H1119" s="102">
        <v>2</v>
      </c>
      <c r="I1119" s="52" t="s">
        <v>160</v>
      </c>
      <c r="J1119" s="201"/>
      <c r="K1119" s="50"/>
      <c r="L1119" s="45"/>
    </row>
    <row r="1120" spans="2:12" x14ac:dyDescent="0.35">
      <c r="B1120" s="158"/>
      <c r="C1120" s="60"/>
      <c r="D1120" s="151"/>
      <c r="E1120" s="118"/>
      <c r="F1120" s="60" t="s">
        <v>130</v>
      </c>
      <c r="G1120" s="60" t="s">
        <v>189</v>
      </c>
      <c r="H1120" s="110">
        <v>1</v>
      </c>
      <c r="I1120" s="66" t="s">
        <v>83</v>
      </c>
      <c r="J1120" s="28"/>
      <c r="K1120" s="50"/>
      <c r="L1120" s="45"/>
    </row>
    <row r="1121" spans="2:12" x14ac:dyDescent="0.35">
      <c r="B1121" s="82"/>
      <c r="C1121" s="70"/>
      <c r="D1121" s="105" t="s">
        <v>54</v>
      </c>
      <c r="E1121" s="101"/>
      <c r="F1121" s="60" t="s">
        <v>623</v>
      </c>
      <c r="G1121" s="52"/>
      <c r="H1121" s="102">
        <v>2</v>
      </c>
      <c r="I1121" s="52" t="s">
        <v>160</v>
      </c>
      <c r="J1121" s="201"/>
      <c r="K1121" s="50"/>
      <c r="L1121" s="45"/>
    </row>
    <row r="1122" spans="2:12" x14ac:dyDescent="0.35">
      <c r="B1122" s="158"/>
      <c r="C1122" s="60"/>
      <c r="D1122" s="151"/>
      <c r="E1122" s="118"/>
      <c r="F1122" s="60" t="s">
        <v>130</v>
      </c>
      <c r="G1122" s="60" t="s">
        <v>189</v>
      </c>
      <c r="H1122" s="110">
        <v>1</v>
      </c>
      <c r="I1122" s="66" t="s">
        <v>83</v>
      </c>
      <c r="J1122" s="28"/>
      <c r="K1122" s="50"/>
      <c r="L1122" s="45"/>
    </row>
    <row r="1123" spans="2:12" x14ac:dyDescent="0.35">
      <c r="B1123" s="82"/>
      <c r="C1123" s="70"/>
      <c r="D1123" s="105" t="s">
        <v>56</v>
      </c>
      <c r="E1123" s="101"/>
      <c r="F1123" s="60" t="s">
        <v>624</v>
      </c>
      <c r="G1123" s="52"/>
      <c r="H1123" s="102">
        <v>8</v>
      </c>
      <c r="I1123" s="52" t="s">
        <v>160</v>
      </c>
      <c r="J1123" s="49"/>
      <c r="K1123" s="28"/>
      <c r="L1123" s="51"/>
    </row>
    <row r="1124" spans="2:12" x14ac:dyDescent="0.35">
      <c r="B1124" s="69"/>
      <c r="C1124" s="68"/>
      <c r="D1124" s="105"/>
      <c r="E1124" s="101"/>
      <c r="F1124" s="60" t="s">
        <v>130</v>
      </c>
      <c r="G1124" s="52" t="s">
        <v>625</v>
      </c>
      <c r="H1124" s="102">
        <v>360</v>
      </c>
      <c r="I1124" s="52" t="s">
        <v>141</v>
      </c>
      <c r="J1124" s="49"/>
      <c r="K1124" s="28"/>
      <c r="L1124" s="45"/>
    </row>
    <row r="1125" spans="2:12" x14ac:dyDescent="0.35">
      <c r="B1125" s="69"/>
      <c r="C1125" s="68"/>
      <c r="D1125" s="105"/>
      <c r="E1125" s="101"/>
      <c r="F1125" s="60" t="s">
        <v>130</v>
      </c>
      <c r="G1125" s="52" t="s">
        <v>626</v>
      </c>
      <c r="H1125" s="102">
        <v>1</v>
      </c>
      <c r="I1125" s="52" t="s">
        <v>83</v>
      </c>
      <c r="J1125" s="49"/>
      <c r="K1125" s="28"/>
      <c r="L1125" s="45"/>
    </row>
    <row r="1126" spans="2:12" x14ac:dyDescent="0.35">
      <c r="B1126" s="158"/>
      <c r="C1126" s="60"/>
      <c r="D1126" s="151"/>
      <c r="E1126" s="118"/>
      <c r="F1126" s="60" t="s">
        <v>130</v>
      </c>
      <c r="G1126" s="60" t="s">
        <v>627</v>
      </c>
      <c r="H1126" s="110">
        <v>1</v>
      </c>
      <c r="I1126" s="66" t="s">
        <v>83</v>
      </c>
      <c r="J1126" s="49"/>
      <c r="K1126" s="28"/>
      <c r="L1126" s="45"/>
    </row>
    <row r="1127" spans="2:12" x14ac:dyDescent="0.35">
      <c r="B1127" s="69"/>
      <c r="C1127" s="68"/>
      <c r="D1127" s="151"/>
      <c r="E1127" s="156"/>
      <c r="F1127" s="107" t="s">
        <v>130</v>
      </c>
      <c r="G1127" s="120" t="s">
        <v>628</v>
      </c>
      <c r="H1127" s="109">
        <v>2</v>
      </c>
      <c r="I1127" s="120" t="s">
        <v>83</v>
      </c>
      <c r="J1127" s="49"/>
      <c r="K1127" s="28"/>
      <c r="L1127" s="45"/>
    </row>
    <row r="1128" spans="2:12" x14ac:dyDescent="0.35">
      <c r="B1128" s="129"/>
      <c r="C1128" s="104"/>
      <c r="D1128" s="151"/>
      <c r="E1128" s="75"/>
      <c r="F1128" s="60" t="s">
        <v>130</v>
      </c>
      <c r="G1128" s="60" t="s">
        <v>629</v>
      </c>
      <c r="H1128" s="110">
        <v>12</v>
      </c>
      <c r="I1128" s="66" t="s">
        <v>83</v>
      </c>
      <c r="J1128" s="49"/>
      <c r="K1128" s="28"/>
      <c r="L1128" s="45"/>
    </row>
    <row r="1129" spans="2:12" x14ac:dyDescent="0.35">
      <c r="B1129" s="129"/>
      <c r="C1129" s="104"/>
      <c r="D1129" s="105"/>
      <c r="E1129" s="101"/>
      <c r="F1129" s="126" t="s">
        <v>130</v>
      </c>
      <c r="G1129" s="52" t="s">
        <v>630</v>
      </c>
      <c r="H1129" s="94">
        <f>2.05*0.15*8*7.85*1.2</f>
        <v>23.173199999999994</v>
      </c>
      <c r="I1129" s="98" t="s">
        <v>208</v>
      </c>
      <c r="J1129" s="49"/>
      <c r="K1129" s="28"/>
      <c r="L1129" s="45"/>
    </row>
    <row r="1130" spans="2:12" x14ac:dyDescent="0.35">
      <c r="B1130" s="129"/>
      <c r="C1130" s="104"/>
      <c r="D1130" s="105"/>
      <c r="E1130" s="101"/>
      <c r="F1130" s="126" t="s">
        <v>130</v>
      </c>
      <c r="G1130" s="52" t="s">
        <v>631</v>
      </c>
      <c r="H1130" s="94">
        <f>0.36*0.69*8*7.85*1.2</f>
        <v>18.719423999999997</v>
      </c>
      <c r="I1130" s="98" t="s">
        <v>208</v>
      </c>
      <c r="J1130" s="49"/>
      <c r="K1130" s="28"/>
      <c r="L1130" s="45"/>
    </row>
    <row r="1131" spans="2:12" x14ac:dyDescent="0.35">
      <c r="B1131" s="129"/>
      <c r="C1131" s="104"/>
      <c r="D1131" s="151"/>
      <c r="E1131" s="75"/>
      <c r="F1131" s="60" t="s">
        <v>130</v>
      </c>
      <c r="G1131" s="60" t="s">
        <v>632</v>
      </c>
      <c r="H1131" s="110">
        <v>4</v>
      </c>
      <c r="I1131" s="66" t="s">
        <v>83</v>
      </c>
      <c r="J1131" s="49"/>
      <c r="K1131" s="28"/>
      <c r="L1131" s="45"/>
    </row>
    <row r="1132" spans="2:12" x14ac:dyDescent="0.35">
      <c r="B1132" s="82"/>
      <c r="C1132" s="70"/>
      <c r="D1132" s="105" t="s">
        <v>58</v>
      </c>
      <c r="E1132" s="101"/>
      <c r="F1132" s="60" t="s">
        <v>633</v>
      </c>
      <c r="G1132" s="52"/>
      <c r="H1132" s="102">
        <v>8</v>
      </c>
      <c r="I1132" s="52" t="s">
        <v>160</v>
      </c>
      <c r="J1132" s="49"/>
      <c r="K1132" s="28"/>
      <c r="L1132" s="51"/>
    </row>
    <row r="1133" spans="2:12" x14ac:dyDescent="0.35">
      <c r="B1133" s="69"/>
      <c r="C1133" s="68"/>
      <c r="D1133" s="105"/>
      <c r="E1133" s="101"/>
      <c r="F1133" s="60" t="s">
        <v>130</v>
      </c>
      <c r="G1133" s="52" t="s">
        <v>625</v>
      </c>
      <c r="H1133" s="102">
        <v>390</v>
      </c>
      <c r="I1133" s="52" t="s">
        <v>141</v>
      </c>
      <c r="J1133" s="49"/>
      <c r="K1133" s="28"/>
      <c r="L1133" s="45"/>
    </row>
    <row r="1134" spans="2:12" x14ac:dyDescent="0.35">
      <c r="B1134" s="69"/>
      <c r="C1134" s="68"/>
      <c r="D1134" s="105"/>
      <c r="E1134" s="101"/>
      <c r="F1134" s="60" t="s">
        <v>130</v>
      </c>
      <c r="G1134" s="52" t="s">
        <v>626</v>
      </c>
      <c r="H1134" s="102">
        <v>1</v>
      </c>
      <c r="I1134" s="52" t="s">
        <v>83</v>
      </c>
      <c r="J1134" s="49"/>
      <c r="K1134" s="28"/>
      <c r="L1134" s="45"/>
    </row>
    <row r="1135" spans="2:12" x14ac:dyDescent="0.35">
      <c r="B1135" s="158"/>
      <c r="C1135" s="60"/>
      <c r="D1135" s="151"/>
      <c r="E1135" s="118"/>
      <c r="F1135" s="60" t="s">
        <v>130</v>
      </c>
      <c r="G1135" s="60" t="s">
        <v>627</v>
      </c>
      <c r="H1135" s="110">
        <v>1</v>
      </c>
      <c r="I1135" s="66" t="s">
        <v>83</v>
      </c>
      <c r="J1135" s="49"/>
      <c r="K1135" s="28"/>
      <c r="L1135" s="45"/>
    </row>
    <row r="1136" spans="2:12" x14ac:dyDescent="0.35">
      <c r="B1136" s="69"/>
      <c r="C1136" s="68"/>
      <c r="D1136" s="151"/>
      <c r="E1136" s="156"/>
      <c r="F1136" s="107" t="s">
        <v>130</v>
      </c>
      <c r="G1136" s="120" t="s">
        <v>628</v>
      </c>
      <c r="H1136" s="109">
        <v>2</v>
      </c>
      <c r="I1136" s="120" t="s">
        <v>83</v>
      </c>
      <c r="J1136" s="49"/>
      <c r="K1136" s="28"/>
      <c r="L1136" s="45"/>
    </row>
    <row r="1137" spans="2:12" x14ac:dyDescent="0.35">
      <c r="B1137" s="129"/>
      <c r="C1137" s="104"/>
      <c r="D1137" s="151"/>
      <c r="E1137" s="75"/>
      <c r="F1137" s="60" t="s">
        <v>130</v>
      </c>
      <c r="G1137" s="60" t="s">
        <v>629</v>
      </c>
      <c r="H1137" s="110">
        <v>12</v>
      </c>
      <c r="I1137" s="66" t="s">
        <v>83</v>
      </c>
      <c r="J1137" s="49"/>
      <c r="K1137" s="28"/>
      <c r="L1137" s="45"/>
    </row>
    <row r="1138" spans="2:12" x14ac:dyDescent="0.35">
      <c r="B1138" s="129"/>
      <c r="C1138" s="104"/>
      <c r="D1138" s="105"/>
      <c r="E1138" s="101"/>
      <c r="F1138" s="126" t="s">
        <v>130</v>
      </c>
      <c r="G1138" s="52" t="s">
        <v>630</v>
      </c>
      <c r="H1138" s="94">
        <f>2.05*0.15*8*7.85*1.2</f>
        <v>23.173199999999994</v>
      </c>
      <c r="I1138" s="98" t="s">
        <v>208</v>
      </c>
      <c r="J1138" s="49"/>
      <c r="K1138" s="28"/>
      <c r="L1138" s="45"/>
    </row>
    <row r="1139" spans="2:12" x14ac:dyDescent="0.35">
      <c r="B1139" s="129"/>
      <c r="C1139" s="104"/>
      <c r="D1139" s="105"/>
      <c r="E1139" s="101"/>
      <c r="F1139" s="126" t="s">
        <v>130</v>
      </c>
      <c r="G1139" s="52" t="s">
        <v>631</v>
      </c>
      <c r="H1139" s="94">
        <f>0.36*0.69*8*7.85*1.2</f>
        <v>18.719423999999997</v>
      </c>
      <c r="I1139" s="98" t="s">
        <v>208</v>
      </c>
      <c r="J1139" s="49"/>
      <c r="K1139" s="28"/>
      <c r="L1139" s="45"/>
    </row>
    <row r="1140" spans="2:12" x14ac:dyDescent="0.35">
      <c r="B1140" s="129"/>
      <c r="C1140" s="104"/>
      <c r="D1140" s="151"/>
      <c r="E1140" s="75"/>
      <c r="F1140" s="60" t="s">
        <v>130</v>
      </c>
      <c r="G1140" s="60" t="s">
        <v>632</v>
      </c>
      <c r="H1140" s="110">
        <v>4</v>
      </c>
      <c r="I1140" s="66" t="s">
        <v>83</v>
      </c>
      <c r="J1140" s="49"/>
      <c r="K1140" s="28"/>
      <c r="L1140" s="45"/>
    </row>
    <row r="1141" spans="2:12" x14ac:dyDescent="0.35">
      <c r="B1141" s="46"/>
      <c r="C1141" s="47"/>
      <c r="D1141" s="23"/>
      <c r="G1141" s="21"/>
      <c r="I1141" s="21"/>
      <c r="J1141" s="49"/>
      <c r="K1141" s="28"/>
      <c r="L1141" s="51"/>
    </row>
    <row r="1142" spans="2:12" x14ac:dyDescent="0.35">
      <c r="B1142" s="46"/>
      <c r="C1142" s="47"/>
      <c r="D1142" s="23"/>
      <c r="G1142" s="21"/>
      <c r="I1142" s="21"/>
      <c r="J1142" s="49"/>
      <c r="K1142" s="28"/>
      <c r="L1142" s="51"/>
    </row>
    <row r="1143" spans="2:12" x14ac:dyDescent="0.35">
      <c r="B1143" s="46"/>
      <c r="C1143" s="47"/>
      <c r="D1143" s="23"/>
      <c r="G1143" s="21"/>
      <c r="I1143" s="21"/>
      <c r="J1143" s="49"/>
      <c r="K1143" s="28"/>
      <c r="L1143" s="51"/>
    </row>
    <row r="1144" spans="2:12" x14ac:dyDescent="0.35">
      <c r="B1144" s="224"/>
      <c r="C1144" s="47"/>
      <c r="D1144" s="23"/>
      <c r="G1144" s="21"/>
      <c r="I1144" s="21"/>
      <c r="J1144" s="49"/>
      <c r="K1144" s="28"/>
      <c r="L1144" s="51"/>
    </row>
    <row r="1145" spans="2:12" x14ac:dyDescent="0.35">
      <c r="B1145" s="8"/>
      <c r="C1145" s="9"/>
      <c r="D1145" s="10"/>
      <c r="E1145" s="4"/>
      <c r="F1145" s="4"/>
      <c r="G1145" s="4"/>
      <c r="H1145" s="1"/>
      <c r="I1145" s="1"/>
      <c r="J1145" s="11" t="s">
        <v>8</v>
      </c>
      <c r="K1145" s="7">
        <f>SUM(K1092:K1144)</f>
        <v>0</v>
      </c>
      <c r="L1145" s="7">
        <f>SUM(L1092:L1144)</f>
        <v>0</v>
      </c>
    </row>
    <row r="1146" spans="2:12" x14ac:dyDescent="0.35">
      <c r="B1146" s="8"/>
      <c r="C1146" s="9"/>
      <c r="D1146" s="9"/>
      <c r="E1146" s="4"/>
      <c r="F1146" s="4"/>
      <c r="G1146" s="4"/>
      <c r="H1146" s="1"/>
      <c r="I1146" s="1"/>
      <c r="J1146" s="11"/>
      <c r="K1146" s="34" t="s">
        <v>13</v>
      </c>
      <c r="L1146" s="35" t="s">
        <v>14</v>
      </c>
    </row>
    <row r="1147" spans="2:12" x14ac:dyDescent="0.35">
      <c r="B1147" s="3" t="s">
        <v>9</v>
      </c>
      <c r="C1147" s="4"/>
      <c r="D1147" s="4"/>
      <c r="E1147" s="4"/>
      <c r="F1147" s="4"/>
      <c r="G1147" s="4"/>
      <c r="H1147" s="1"/>
      <c r="I1147" s="1"/>
      <c r="J1147" s="12"/>
      <c r="K1147" s="12"/>
      <c r="L1147" s="13"/>
    </row>
    <row r="1148" spans="2:12" x14ac:dyDescent="0.35">
      <c r="B1148" s="36"/>
      <c r="C1148" s="1"/>
      <c r="D1148" s="1"/>
      <c r="E1148" s="37"/>
      <c r="F1148" s="37"/>
      <c r="G1148" s="37"/>
      <c r="H1148" s="1"/>
      <c r="I1148" s="1"/>
      <c r="J1148" s="1"/>
      <c r="K1148" s="1"/>
      <c r="L1148" s="18"/>
    </row>
    <row r="1149" spans="2:12" x14ac:dyDescent="0.35">
      <c r="B1149" s="27" t="s">
        <v>6</v>
      </c>
      <c r="C1149" s="26"/>
      <c r="D1149" s="26"/>
      <c r="E1149" s="25"/>
      <c r="F1149" s="25"/>
      <c r="G1149" s="5"/>
      <c r="K1149" s="232" t="s">
        <v>813</v>
      </c>
      <c r="L1149" s="233"/>
    </row>
    <row r="1150" spans="2:12" x14ac:dyDescent="0.35">
      <c r="B1150" s="27">
        <v>1</v>
      </c>
      <c r="C1150" s="26"/>
      <c r="D1150" s="26"/>
      <c r="E1150" s="25" t="s">
        <v>7</v>
      </c>
      <c r="F1150" s="25"/>
      <c r="G1150" s="5"/>
      <c r="K1150" s="232" t="s">
        <v>18</v>
      </c>
      <c r="L1150" s="233"/>
    </row>
    <row r="1151" spans="2:12" x14ac:dyDescent="0.35">
      <c r="B1151" s="38"/>
      <c r="C1151" s="26"/>
      <c r="D1151" s="26"/>
      <c r="E1151" s="25"/>
      <c r="F1151" s="25"/>
      <c r="G1151" s="5"/>
      <c r="J1151" s="24"/>
      <c r="K1151" s="24"/>
      <c r="L1151" s="23"/>
    </row>
    <row r="1152" spans="2:12" x14ac:dyDescent="0.35">
      <c r="B1152" s="27"/>
      <c r="C1152" s="26"/>
      <c r="D1152" s="26"/>
      <c r="E1152" s="25"/>
      <c r="F1152" s="25"/>
      <c r="G1152" s="5"/>
      <c r="L1152" s="21"/>
    </row>
    <row r="1153" spans="2:12" x14ac:dyDescent="0.35">
      <c r="B1153" s="44"/>
      <c r="E1153" s="5"/>
      <c r="F1153" s="5"/>
      <c r="G1153" s="5"/>
      <c r="L1153" s="21"/>
    </row>
    <row r="1154" spans="2:12" x14ac:dyDescent="0.35">
      <c r="B1154" s="44"/>
      <c r="E1154" s="5"/>
      <c r="F1154" s="5"/>
      <c r="G1154" s="5"/>
      <c r="L1154" s="21"/>
    </row>
    <row r="1155" spans="2:12" x14ac:dyDescent="0.35">
      <c r="B1155" s="44"/>
      <c r="E1155" s="5"/>
      <c r="F1155" s="5"/>
      <c r="G1155" s="5"/>
      <c r="L1155" s="21"/>
    </row>
    <row r="1156" spans="2:12" x14ac:dyDescent="0.35">
      <c r="B1156" s="44"/>
      <c r="E1156" s="5"/>
      <c r="F1156" s="5"/>
      <c r="G1156" s="5"/>
      <c r="J1156" s="39"/>
      <c r="K1156" s="234" t="s">
        <v>26</v>
      </c>
      <c r="L1156" s="235"/>
    </row>
    <row r="1157" spans="2:12" x14ac:dyDescent="0.35">
      <c r="B1157" s="44"/>
      <c r="K1157" s="236" t="s">
        <v>27</v>
      </c>
      <c r="L1157" s="237"/>
    </row>
    <row r="1158" spans="2:12" x14ac:dyDescent="0.35">
      <c r="B1158" s="238"/>
      <c r="C1158" s="239"/>
      <c r="D1158" s="239"/>
      <c r="E1158" s="40"/>
      <c r="F1158" s="40"/>
      <c r="G1158" s="40"/>
      <c r="H1158" s="2"/>
      <c r="I1158" s="2"/>
      <c r="J1158" s="2"/>
      <c r="K1158" s="2"/>
      <c r="L1158" s="20"/>
    </row>
    <row r="1159" spans="2:12" x14ac:dyDescent="0.35">
      <c r="B1159" s="222"/>
      <c r="C1159" s="47"/>
      <c r="D1159" s="48"/>
      <c r="G1159" s="21"/>
      <c r="H1159" s="1"/>
      <c r="I1159" s="1"/>
      <c r="J1159" s="42"/>
      <c r="K1159" s="29"/>
      <c r="L1159" s="43"/>
    </row>
    <row r="1160" spans="2:12" x14ac:dyDescent="0.35">
      <c r="B1160" s="159"/>
      <c r="C1160" s="104" t="s">
        <v>238</v>
      </c>
      <c r="D1160" s="105"/>
      <c r="E1160" s="101"/>
      <c r="F1160" s="60" t="s">
        <v>634</v>
      </c>
      <c r="G1160" s="52"/>
      <c r="H1160" s="102"/>
      <c r="I1160" s="52"/>
      <c r="J1160" s="28"/>
      <c r="K1160" s="50"/>
      <c r="L1160" s="45"/>
    </row>
    <row r="1161" spans="2:12" x14ac:dyDescent="0.35">
      <c r="B1161" s="159"/>
      <c r="C1161" s="104"/>
      <c r="D1161" s="105" t="s">
        <v>34</v>
      </c>
      <c r="E1161" s="101"/>
      <c r="F1161" s="60" t="s">
        <v>635</v>
      </c>
      <c r="G1161" s="52"/>
      <c r="H1161" s="102">
        <v>20</v>
      </c>
      <c r="I1161" s="52" t="s">
        <v>160</v>
      </c>
      <c r="J1161" s="28"/>
      <c r="K1161" s="50"/>
      <c r="L1161" s="45"/>
    </row>
    <row r="1162" spans="2:12" x14ac:dyDescent="0.35">
      <c r="B1162" s="159"/>
      <c r="C1162" s="104"/>
      <c r="D1162" s="105"/>
      <c r="E1162" s="101"/>
      <c r="F1162" s="60" t="s">
        <v>130</v>
      </c>
      <c r="G1162" s="52" t="s">
        <v>493</v>
      </c>
      <c r="H1162" s="102">
        <f>60+80+610+300+320+60+150</f>
        <v>1580</v>
      </c>
      <c r="I1162" s="52" t="s">
        <v>141</v>
      </c>
      <c r="J1162" s="28"/>
      <c r="K1162" s="50"/>
      <c r="L1162" s="45"/>
    </row>
    <row r="1163" spans="2:12" x14ac:dyDescent="0.35">
      <c r="B1163" s="158"/>
      <c r="C1163" s="104"/>
      <c r="D1163" s="105"/>
      <c r="E1163" s="107"/>
      <c r="F1163" s="101" t="s">
        <v>130</v>
      </c>
      <c r="G1163" s="52" t="s">
        <v>636</v>
      </c>
      <c r="H1163" s="102">
        <v>5</v>
      </c>
      <c r="I1163" s="52" t="s">
        <v>83</v>
      </c>
      <c r="J1163" s="201"/>
      <c r="K1163" s="50"/>
      <c r="L1163" s="45"/>
    </row>
    <row r="1164" spans="2:12" x14ac:dyDescent="0.35">
      <c r="B1164" s="158"/>
      <c r="C1164" s="104"/>
      <c r="D1164" s="105"/>
      <c r="E1164" s="107"/>
      <c r="F1164" s="107" t="s">
        <v>130</v>
      </c>
      <c r="G1164" s="108" t="s">
        <v>637</v>
      </c>
      <c r="H1164" s="107">
        <v>1</v>
      </c>
      <c r="I1164" s="120" t="s">
        <v>83</v>
      </c>
      <c r="J1164" s="28"/>
      <c r="K1164" s="50"/>
      <c r="L1164" s="45"/>
    </row>
    <row r="1165" spans="2:12" x14ac:dyDescent="0.35">
      <c r="B1165" s="158"/>
      <c r="C1165" s="127"/>
      <c r="D1165" s="105"/>
      <c r="E1165" s="107"/>
      <c r="F1165" s="60" t="s">
        <v>130</v>
      </c>
      <c r="G1165" s="60" t="s">
        <v>495</v>
      </c>
      <c r="H1165" s="110">
        <v>4</v>
      </c>
      <c r="I1165" s="66" t="s">
        <v>83</v>
      </c>
      <c r="J1165" s="28"/>
      <c r="K1165" s="50"/>
      <c r="L1165" s="45"/>
    </row>
    <row r="1166" spans="2:12" x14ac:dyDescent="0.35">
      <c r="B1166" s="158"/>
      <c r="C1166" s="60"/>
      <c r="D1166" s="68"/>
      <c r="E1166" s="156"/>
      <c r="F1166" s="107" t="s">
        <v>130</v>
      </c>
      <c r="G1166" s="120" t="s">
        <v>501</v>
      </c>
      <c r="H1166" s="109">
        <v>2</v>
      </c>
      <c r="I1166" s="120" t="s">
        <v>83</v>
      </c>
      <c r="J1166" s="28"/>
      <c r="K1166" s="50"/>
      <c r="L1166" s="45"/>
    </row>
    <row r="1167" spans="2:12" x14ac:dyDescent="0.35">
      <c r="B1167" s="158"/>
      <c r="C1167" s="117"/>
      <c r="D1167" s="135"/>
      <c r="E1167" s="75"/>
      <c r="F1167" s="60" t="s">
        <v>130</v>
      </c>
      <c r="G1167" s="60" t="s">
        <v>638</v>
      </c>
      <c r="H1167" s="110">
        <v>8</v>
      </c>
      <c r="I1167" s="66" t="s">
        <v>83</v>
      </c>
      <c r="J1167" s="28"/>
      <c r="K1167" s="50"/>
      <c r="L1167" s="45"/>
    </row>
    <row r="1168" spans="2:12" s="33" customFormat="1" x14ac:dyDescent="0.35">
      <c r="B1168" s="160"/>
      <c r="C1168" s="104"/>
      <c r="D1168" s="105"/>
      <c r="E1168" s="101"/>
      <c r="F1168" s="60" t="s">
        <v>130</v>
      </c>
      <c r="G1168" s="52" t="s">
        <v>639</v>
      </c>
      <c r="H1168" s="102">
        <v>1</v>
      </c>
      <c r="I1168" s="52" t="s">
        <v>83</v>
      </c>
      <c r="J1168" s="28"/>
      <c r="K1168" s="28"/>
      <c r="L1168" s="51"/>
    </row>
    <row r="1169" spans="2:12" x14ac:dyDescent="0.35">
      <c r="B1169" s="160"/>
      <c r="C1169" s="104"/>
      <c r="D1169" s="105" t="s">
        <v>37</v>
      </c>
      <c r="E1169" s="107"/>
      <c r="F1169" s="107" t="s">
        <v>640</v>
      </c>
      <c r="G1169" s="108"/>
      <c r="H1169" s="131"/>
      <c r="I1169" s="120"/>
      <c r="J1169" s="49"/>
      <c r="K1169" s="28"/>
      <c r="L1169" s="51"/>
    </row>
    <row r="1170" spans="2:12" x14ac:dyDescent="0.35">
      <c r="B1170" s="160"/>
      <c r="C1170" s="104"/>
      <c r="D1170" s="105"/>
      <c r="E1170" s="107"/>
      <c r="F1170" s="107" t="s">
        <v>130</v>
      </c>
      <c r="G1170" s="108" t="s">
        <v>641</v>
      </c>
      <c r="H1170" s="131">
        <f>0.16*8*7.85*0.3*1.2</f>
        <v>3.6172799999999996</v>
      </c>
      <c r="I1170" s="120" t="s">
        <v>208</v>
      </c>
      <c r="J1170" s="28"/>
      <c r="K1170" s="50"/>
      <c r="L1170" s="45"/>
    </row>
    <row r="1171" spans="2:12" x14ac:dyDescent="0.35">
      <c r="B1171" s="160"/>
      <c r="C1171" s="104"/>
      <c r="D1171" s="105"/>
      <c r="E1171" s="107"/>
      <c r="F1171" s="107" t="s">
        <v>130</v>
      </c>
      <c r="G1171" s="108" t="s">
        <v>642</v>
      </c>
      <c r="H1171" s="131">
        <f>0.16*8*7.85*0.65*1.2</f>
        <v>7.83744</v>
      </c>
      <c r="I1171" s="120" t="s">
        <v>208</v>
      </c>
      <c r="J1171" s="28"/>
      <c r="K1171" s="50"/>
      <c r="L1171" s="45"/>
    </row>
    <row r="1172" spans="2:12" x14ac:dyDescent="0.35">
      <c r="B1172" s="129"/>
      <c r="C1172" s="104"/>
      <c r="D1172" s="63"/>
      <c r="E1172" s="107"/>
      <c r="F1172" s="107" t="s">
        <v>130</v>
      </c>
      <c r="G1172" s="108" t="s">
        <v>643</v>
      </c>
      <c r="H1172" s="131">
        <f>0.16*8*7.85*0.95*1.2</f>
        <v>11.45472</v>
      </c>
      <c r="I1172" s="107" t="s">
        <v>208</v>
      </c>
      <c r="J1172" s="28"/>
      <c r="K1172" s="50"/>
      <c r="L1172" s="45"/>
    </row>
    <row r="1173" spans="2:12" x14ac:dyDescent="0.35">
      <c r="B1173" s="129"/>
      <c r="C1173" s="104"/>
      <c r="D1173" s="105"/>
      <c r="E1173" s="107"/>
      <c r="F1173" s="107" t="s">
        <v>130</v>
      </c>
      <c r="G1173" s="108" t="s">
        <v>644</v>
      </c>
      <c r="H1173" s="131">
        <f>0.16*8*7.85*1*1.2</f>
        <v>12.057599999999999</v>
      </c>
      <c r="I1173" s="107" t="s">
        <v>208</v>
      </c>
      <c r="J1173" s="28"/>
      <c r="K1173" s="50"/>
      <c r="L1173" s="45"/>
    </row>
    <row r="1174" spans="2:12" x14ac:dyDescent="0.35">
      <c r="B1174" s="129"/>
      <c r="C1174" s="104"/>
      <c r="D1174" s="105"/>
      <c r="E1174" s="107"/>
      <c r="F1174" s="107" t="s">
        <v>130</v>
      </c>
      <c r="G1174" s="108" t="s">
        <v>645</v>
      </c>
      <c r="H1174" s="131">
        <f>0.16*8*7.85*1.03*1.2</f>
        <v>12.419327999999998</v>
      </c>
      <c r="I1174" s="107" t="s">
        <v>208</v>
      </c>
      <c r="J1174" s="28"/>
      <c r="K1174" s="50"/>
      <c r="L1174" s="45"/>
    </row>
    <row r="1175" spans="2:12" x14ac:dyDescent="0.35">
      <c r="B1175" s="129"/>
      <c r="C1175" s="104"/>
      <c r="D1175" s="105"/>
      <c r="E1175" s="107"/>
      <c r="F1175" s="107" t="s">
        <v>130</v>
      </c>
      <c r="G1175" s="108" t="s">
        <v>646</v>
      </c>
      <c r="H1175" s="131">
        <f>0.16*8*7.85*1.5*1.2</f>
        <v>18.086399999999998</v>
      </c>
      <c r="I1175" s="107" t="s">
        <v>208</v>
      </c>
      <c r="J1175" s="28"/>
      <c r="K1175" s="50"/>
      <c r="L1175" s="45"/>
    </row>
    <row r="1176" spans="2:12" x14ac:dyDescent="0.35">
      <c r="B1176" s="159"/>
      <c r="C1176" s="104" t="s">
        <v>245</v>
      </c>
      <c r="D1176" s="105"/>
      <c r="E1176" s="101"/>
      <c r="F1176" s="60" t="s">
        <v>647</v>
      </c>
      <c r="G1176" s="52"/>
      <c r="H1176" s="102"/>
      <c r="I1176" s="60"/>
      <c r="J1176" s="49"/>
      <c r="K1176" s="28"/>
      <c r="L1176" s="51"/>
    </row>
    <row r="1177" spans="2:12" x14ac:dyDescent="0.35">
      <c r="B1177" s="159"/>
      <c r="C1177" s="104"/>
      <c r="D1177" s="105" t="s">
        <v>34</v>
      </c>
      <c r="E1177" s="101"/>
      <c r="F1177" s="60" t="s">
        <v>648</v>
      </c>
      <c r="G1177" s="52"/>
      <c r="H1177" s="102">
        <v>15</v>
      </c>
      <c r="I1177" s="60" t="s">
        <v>160</v>
      </c>
      <c r="J1177" s="28"/>
      <c r="K1177" s="50"/>
      <c r="L1177" s="45"/>
    </row>
    <row r="1178" spans="2:12" x14ac:dyDescent="0.35">
      <c r="B1178" s="159"/>
      <c r="C1178" s="104"/>
      <c r="D1178" s="105"/>
      <c r="E1178" s="101"/>
      <c r="F1178" s="60" t="s">
        <v>130</v>
      </c>
      <c r="G1178" s="52" t="s">
        <v>493</v>
      </c>
      <c r="H1178" s="102">
        <f>80+120+1260+150+100+760</f>
        <v>2470</v>
      </c>
      <c r="I1178" s="60" t="s">
        <v>141</v>
      </c>
      <c r="J1178" s="28"/>
      <c r="K1178" s="50"/>
      <c r="L1178" s="45"/>
    </row>
    <row r="1179" spans="2:12" x14ac:dyDescent="0.35">
      <c r="B1179" s="158"/>
      <c r="C1179" s="104"/>
      <c r="D1179" s="105"/>
      <c r="E1179" s="107"/>
      <c r="F1179" s="101" t="s">
        <v>130</v>
      </c>
      <c r="G1179" s="52" t="s">
        <v>636</v>
      </c>
      <c r="H1179" s="102">
        <v>6</v>
      </c>
      <c r="I1179" s="52" t="s">
        <v>83</v>
      </c>
      <c r="J1179" s="28"/>
      <c r="K1179" s="50"/>
      <c r="L1179" s="45"/>
    </row>
    <row r="1180" spans="2:12" x14ac:dyDescent="0.35">
      <c r="B1180" s="158"/>
      <c r="C1180" s="104"/>
      <c r="D1180" s="105"/>
      <c r="E1180" s="107"/>
      <c r="F1180" s="107" t="s">
        <v>130</v>
      </c>
      <c r="G1180" s="108" t="s">
        <v>637</v>
      </c>
      <c r="H1180" s="107">
        <v>2</v>
      </c>
      <c r="I1180" s="120" t="s">
        <v>83</v>
      </c>
      <c r="J1180" s="28"/>
      <c r="K1180" s="50"/>
      <c r="L1180" s="45"/>
    </row>
    <row r="1181" spans="2:12" x14ac:dyDescent="0.35">
      <c r="B1181" s="158"/>
      <c r="C1181" s="127"/>
      <c r="D1181" s="105"/>
      <c r="E1181" s="107"/>
      <c r="F1181" s="107" t="s">
        <v>130</v>
      </c>
      <c r="G1181" s="108" t="s">
        <v>497</v>
      </c>
      <c r="H1181" s="107">
        <v>2</v>
      </c>
      <c r="I1181" s="120" t="s">
        <v>83</v>
      </c>
      <c r="J1181" s="28"/>
      <c r="K1181" s="208"/>
      <c r="L1181" s="45"/>
    </row>
    <row r="1182" spans="2:12" s="33" customFormat="1" x14ac:dyDescent="0.35">
      <c r="B1182" s="160"/>
      <c r="C1182" s="104"/>
      <c r="D1182" s="105"/>
      <c r="E1182" s="101"/>
      <c r="F1182" s="60" t="s">
        <v>130</v>
      </c>
      <c r="G1182" s="52" t="s">
        <v>639</v>
      </c>
      <c r="H1182" s="102">
        <v>2</v>
      </c>
      <c r="I1182" s="52" t="s">
        <v>83</v>
      </c>
      <c r="J1182" s="28"/>
      <c r="K1182" s="28"/>
      <c r="L1182" s="51"/>
    </row>
    <row r="1183" spans="2:12" x14ac:dyDescent="0.35">
      <c r="B1183" s="160"/>
      <c r="C1183" s="104"/>
      <c r="D1183" s="105"/>
      <c r="E1183" s="118"/>
      <c r="F1183" s="60" t="s">
        <v>130</v>
      </c>
      <c r="G1183" s="52" t="s">
        <v>649</v>
      </c>
      <c r="H1183" s="102">
        <v>2</v>
      </c>
      <c r="I1183" s="52" t="s">
        <v>83</v>
      </c>
      <c r="J1183" s="28"/>
      <c r="K1183" s="50"/>
      <c r="L1183" s="45"/>
    </row>
    <row r="1184" spans="2:12" x14ac:dyDescent="0.35">
      <c r="B1184" s="160"/>
      <c r="C1184" s="104"/>
      <c r="D1184" s="105"/>
      <c r="E1184" s="107"/>
      <c r="F1184" s="60" t="s">
        <v>130</v>
      </c>
      <c r="G1184" s="52" t="s">
        <v>650</v>
      </c>
      <c r="H1184" s="102">
        <v>2</v>
      </c>
      <c r="I1184" s="52" t="s">
        <v>83</v>
      </c>
      <c r="J1184" s="28"/>
      <c r="K1184" s="50"/>
      <c r="L1184" s="45"/>
    </row>
    <row r="1185" spans="2:14" s="33" customFormat="1" x14ac:dyDescent="0.35">
      <c r="B1185" s="160"/>
      <c r="C1185" s="104"/>
      <c r="D1185" s="105"/>
      <c r="E1185" s="101"/>
      <c r="F1185" s="60" t="s">
        <v>130</v>
      </c>
      <c r="G1185" s="52" t="s">
        <v>651</v>
      </c>
      <c r="H1185" s="102">
        <v>1</v>
      </c>
      <c r="I1185" s="52" t="s">
        <v>83</v>
      </c>
      <c r="J1185" s="28"/>
      <c r="K1185" s="28"/>
      <c r="L1185" s="51"/>
    </row>
    <row r="1186" spans="2:14" x14ac:dyDescent="0.35">
      <c r="B1186" s="160"/>
      <c r="C1186" s="104"/>
      <c r="D1186" s="105"/>
      <c r="E1186" s="101"/>
      <c r="F1186" s="60" t="s">
        <v>130</v>
      </c>
      <c r="G1186" s="52" t="s">
        <v>652</v>
      </c>
      <c r="H1186" s="102">
        <v>1</v>
      </c>
      <c r="I1186" s="52" t="s">
        <v>83</v>
      </c>
      <c r="J1186" s="49"/>
      <c r="K1186" s="28"/>
      <c r="L1186" s="51"/>
    </row>
    <row r="1187" spans="2:14" x14ac:dyDescent="0.35">
      <c r="B1187" s="159"/>
      <c r="C1187" s="104" t="s">
        <v>265</v>
      </c>
      <c r="D1187" s="105"/>
      <c r="E1187" s="101"/>
      <c r="F1187" s="60" t="s">
        <v>653</v>
      </c>
      <c r="G1187" s="52"/>
      <c r="H1187" s="102"/>
      <c r="I1187" s="52"/>
      <c r="J1187" s="49"/>
      <c r="K1187" s="28"/>
      <c r="L1187" s="51"/>
    </row>
    <row r="1188" spans="2:14" x14ac:dyDescent="0.35">
      <c r="B1188" s="159"/>
      <c r="C1188" s="104"/>
      <c r="D1188" s="105" t="s">
        <v>34</v>
      </c>
      <c r="E1188" s="101"/>
      <c r="F1188" s="60" t="s">
        <v>653</v>
      </c>
      <c r="G1188" s="52"/>
      <c r="H1188" s="102">
        <v>8</v>
      </c>
      <c r="I1188" s="52" t="s">
        <v>94</v>
      </c>
      <c r="J1188" s="49"/>
      <c r="K1188" s="28"/>
      <c r="L1188" s="51"/>
    </row>
    <row r="1189" spans="2:14" s="33" customFormat="1" x14ac:dyDescent="0.35">
      <c r="B1189" s="116"/>
      <c r="C1189" s="117"/>
      <c r="D1189" s="135"/>
      <c r="E1189" s="117"/>
      <c r="F1189" s="60" t="s">
        <v>130</v>
      </c>
      <c r="G1189" s="52" t="s">
        <v>654</v>
      </c>
      <c r="H1189" s="102"/>
      <c r="I1189" s="52"/>
      <c r="J1189" s="28"/>
      <c r="K1189" s="28"/>
      <c r="L1189" s="51"/>
      <c r="M1189" s="221"/>
    </row>
    <row r="1190" spans="2:14" x14ac:dyDescent="0.35">
      <c r="B1190" s="116"/>
      <c r="C1190" s="117"/>
      <c r="D1190" s="135"/>
      <c r="E1190" s="117"/>
      <c r="F1190" s="60" t="s">
        <v>130</v>
      </c>
      <c r="G1190" s="52" t="s">
        <v>655</v>
      </c>
      <c r="H1190" s="102"/>
      <c r="I1190" s="52"/>
      <c r="J1190" s="49"/>
      <c r="K1190" s="28"/>
      <c r="L1190" s="51"/>
      <c r="M1190" s="220"/>
      <c r="N1190" s="217"/>
    </row>
    <row r="1191" spans="2:14" x14ac:dyDescent="0.35">
      <c r="B1191" s="159"/>
      <c r="C1191" s="104" t="s">
        <v>270</v>
      </c>
      <c r="D1191" s="105"/>
      <c r="E1191" s="101"/>
      <c r="F1191" s="60" t="s">
        <v>656</v>
      </c>
      <c r="G1191" s="52"/>
      <c r="H1191" s="102"/>
      <c r="I1191" s="98"/>
      <c r="J1191" s="49"/>
      <c r="K1191" s="28"/>
      <c r="L1191" s="51"/>
    </row>
    <row r="1192" spans="2:14" x14ac:dyDescent="0.35">
      <c r="B1192" s="159"/>
      <c r="C1192" s="104"/>
      <c r="D1192" s="105" t="s">
        <v>34</v>
      </c>
      <c r="E1192" s="101"/>
      <c r="F1192" s="60" t="s">
        <v>657</v>
      </c>
      <c r="G1192" s="52"/>
      <c r="H1192" s="102"/>
      <c r="I1192" s="98"/>
      <c r="J1192" s="49"/>
      <c r="K1192" s="28"/>
      <c r="L1192" s="51"/>
    </row>
    <row r="1193" spans="2:14" x14ac:dyDescent="0.35">
      <c r="B1193" s="116"/>
      <c r="C1193" s="117"/>
      <c r="D1193" s="135"/>
      <c r="E1193" s="117"/>
      <c r="F1193" s="60" t="s">
        <v>130</v>
      </c>
      <c r="G1193" s="52" t="s">
        <v>658</v>
      </c>
      <c r="H1193" s="94">
        <f>0.006165*15.875*15.875*7.88*1.2</f>
        <v>14.691563358749999</v>
      </c>
      <c r="I1193" s="98" t="s">
        <v>208</v>
      </c>
      <c r="J1193" s="49"/>
      <c r="K1193" s="28"/>
      <c r="L1193" s="51"/>
    </row>
    <row r="1194" spans="2:14" x14ac:dyDescent="0.35">
      <c r="B1194" s="116"/>
      <c r="C1194" s="117"/>
      <c r="D1194" s="135"/>
      <c r="E1194" s="117"/>
      <c r="F1194" s="60" t="s">
        <v>130</v>
      </c>
      <c r="G1194" s="52" t="s">
        <v>659</v>
      </c>
      <c r="H1194" s="94">
        <f>0.006165*38.1*38.1*7.37*1.2</f>
        <v>79.1465094486</v>
      </c>
      <c r="I1194" s="98" t="s">
        <v>208</v>
      </c>
      <c r="J1194" s="49"/>
      <c r="K1194" s="28"/>
      <c r="L1194" s="51"/>
    </row>
    <row r="1195" spans="2:14" x14ac:dyDescent="0.35">
      <c r="B1195" s="116"/>
      <c r="C1195" s="117"/>
      <c r="D1195" s="64"/>
      <c r="E1195" s="60"/>
      <c r="F1195" s="124"/>
      <c r="G1195" s="66"/>
      <c r="H1195" s="76"/>
      <c r="I1195" s="52"/>
      <c r="J1195" s="49"/>
      <c r="K1195" s="28"/>
      <c r="L1195" s="51"/>
    </row>
    <row r="1196" spans="2:14" x14ac:dyDescent="0.35">
      <c r="B1196" s="82"/>
      <c r="C1196" s="62"/>
      <c r="D1196" s="68"/>
      <c r="E1196" s="91" t="s">
        <v>660</v>
      </c>
      <c r="F1196" s="92"/>
      <c r="G1196" s="93"/>
      <c r="H1196" s="94"/>
      <c r="I1196" s="95"/>
      <c r="J1196" s="49"/>
      <c r="K1196" s="28"/>
      <c r="L1196" s="51"/>
    </row>
    <row r="1197" spans="2:14" x14ac:dyDescent="0.35">
      <c r="B1197" s="55" t="s">
        <v>33</v>
      </c>
      <c r="C1197" s="56"/>
      <c r="D1197" s="57"/>
      <c r="E1197" s="161" t="s">
        <v>364</v>
      </c>
      <c r="F1197" s="161"/>
      <c r="G1197" s="162"/>
      <c r="H1197" s="163"/>
      <c r="I1197" s="164"/>
      <c r="J1197" s="49"/>
      <c r="K1197" s="28"/>
      <c r="L1197" s="51"/>
    </row>
    <row r="1198" spans="2:14" x14ac:dyDescent="0.35">
      <c r="B1198" s="165"/>
      <c r="C1198" s="166" t="s">
        <v>138</v>
      </c>
      <c r="D1198" s="167"/>
      <c r="E1198" s="168"/>
      <c r="F1198" s="169" t="s">
        <v>661</v>
      </c>
      <c r="G1198" s="29"/>
      <c r="H1198" s="170"/>
      <c r="I1198" s="52"/>
      <c r="J1198" s="49"/>
      <c r="K1198" s="28"/>
      <c r="L1198" s="51"/>
    </row>
    <row r="1199" spans="2:14" x14ac:dyDescent="0.35">
      <c r="B1199" s="158"/>
      <c r="C1199" s="104"/>
      <c r="D1199" s="105" t="s">
        <v>34</v>
      </c>
      <c r="E1199" s="171"/>
      <c r="F1199" s="169" t="s">
        <v>662</v>
      </c>
      <c r="G1199" s="29"/>
      <c r="H1199" s="170"/>
      <c r="I1199" s="52"/>
      <c r="J1199" s="49"/>
      <c r="K1199" s="28"/>
      <c r="L1199" s="51"/>
    </row>
    <row r="1200" spans="2:14" x14ac:dyDescent="0.35">
      <c r="B1200" s="158"/>
      <c r="C1200" s="104"/>
      <c r="D1200" s="105"/>
      <c r="E1200" s="172"/>
      <c r="F1200" s="60" t="s">
        <v>130</v>
      </c>
      <c r="G1200" s="60" t="s">
        <v>663</v>
      </c>
      <c r="H1200" s="137">
        <f>4.67*1.83*10*7.85</f>
        <v>670.86885000000007</v>
      </c>
      <c r="I1200" s="66" t="s">
        <v>208</v>
      </c>
      <c r="J1200" s="49"/>
      <c r="K1200" s="28"/>
      <c r="L1200" s="51"/>
    </row>
    <row r="1201" spans="2:12" x14ac:dyDescent="0.35">
      <c r="B1201" s="158"/>
      <c r="C1201" s="104"/>
      <c r="D1201" s="105" t="s">
        <v>37</v>
      </c>
      <c r="E1201" s="171"/>
      <c r="F1201" s="169" t="s">
        <v>664</v>
      </c>
      <c r="G1201" s="29"/>
      <c r="H1201" s="170"/>
      <c r="I1201" s="52"/>
      <c r="J1201" s="49"/>
      <c r="K1201" s="28"/>
      <c r="L1201" s="51"/>
    </row>
    <row r="1202" spans="2:12" x14ac:dyDescent="0.35">
      <c r="B1202" s="158"/>
      <c r="C1202" s="104"/>
      <c r="D1202" s="105"/>
      <c r="E1202" s="172"/>
      <c r="F1202" s="60" t="s">
        <v>130</v>
      </c>
      <c r="G1202" s="60" t="s">
        <v>665</v>
      </c>
      <c r="H1202" s="137">
        <f>5.28*1.53*10*7.85</f>
        <v>634.15440000000001</v>
      </c>
      <c r="I1202" s="66" t="s">
        <v>208</v>
      </c>
      <c r="J1202" s="49"/>
      <c r="K1202" s="28"/>
      <c r="L1202" s="51"/>
    </row>
    <row r="1203" spans="2:12" x14ac:dyDescent="0.35">
      <c r="B1203" s="158"/>
      <c r="C1203" s="173"/>
      <c r="D1203" s="167"/>
      <c r="E1203" s="171"/>
      <c r="F1203" s="60" t="s">
        <v>130</v>
      </c>
      <c r="G1203" s="60" t="s">
        <v>666</v>
      </c>
      <c r="H1203" s="137">
        <f>5.28*0.93*10*7.85</f>
        <v>385.46639999999996</v>
      </c>
      <c r="I1203" s="66" t="s">
        <v>208</v>
      </c>
      <c r="J1203" s="49"/>
      <c r="K1203" s="28"/>
      <c r="L1203" s="51"/>
    </row>
    <row r="1204" spans="2:12" x14ac:dyDescent="0.35">
      <c r="B1204" s="158"/>
      <c r="C1204" s="104"/>
      <c r="D1204" s="105" t="s">
        <v>39</v>
      </c>
      <c r="E1204" s="171"/>
      <c r="F1204" s="169" t="s">
        <v>667</v>
      </c>
      <c r="G1204" s="29"/>
      <c r="H1204" s="170"/>
      <c r="I1204" s="52"/>
      <c r="J1204" s="49"/>
      <c r="K1204" s="28"/>
      <c r="L1204" s="51"/>
    </row>
    <row r="1205" spans="2:12" x14ac:dyDescent="0.35">
      <c r="B1205" s="158"/>
      <c r="C1205" s="104"/>
      <c r="D1205" s="105"/>
      <c r="E1205" s="172"/>
      <c r="F1205" s="60" t="s">
        <v>130</v>
      </c>
      <c r="G1205" s="60" t="s">
        <v>665</v>
      </c>
      <c r="H1205" s="137">
        <f>5.28*1.53*10*7.85</f>
        <v>634.15440000000001</v>
      </c>
      <c r="I1205" s="66" t="s">
        <v>208</v>
      </c>
      <c r="J1205" s="49"/>
      <c r="K1205" s="28"/>
      <c r="L1205" s="51"/>
    </row>
    <row r="1206" spans="2:12" x14ac:dyDescent="0.35">
      <c r="B1206" s="158"/>
      <c r="C1206" s="173"/>
      <c r="D1206" s="167"/>
      <c r="E1206" s="171"/>
      <c r="F1206" s="60" t="s">
        <v>130</v>
      </c>
      <c r="G1206" s="60" t="s">
        <v>666</v>
      </c>
      <c r="H1206" s="137">
        <f>5.28*0.93*10*7.85</f>
        <v>385.46639999999996</v>
      </c>
      <c r="I1206" s="66" t="s">
        <v>208</v>
      </c>
      <c r="J1206" s="49"/>
      <c r="K1206" s="28"/>
      <c r="L1206" s="51"/>
    </row>
    <row r="1207" spans="2:12" x14ac:dyDescent="0.35">
      <c r="B1207" s="174"/>
      <c r="C1207" s="104"/>
      <c r="D1207" s="105" t="s">
        <v>41</v>
      </c>
      <c r="E1207" s="171"/>
      <c r="F1207" s="169" t="s">
        <v>668</v>
      </c>
      <c r="G1207" s="29"/>
      <c r="H1207" s="170"/>
      <c r="I1207" s="52"/>
      <c r="J1207" s="49"/>
      <c r="K1207" s="28"/>
      <c r="L1207" s="51"/>
    </row>
    <row r="1208" spans="2:12" x14ac:dyDescent="0.35">
      <c r="B1208" s="174"/>
      <c r="C1208" s="104"/>
      <c r="D1208" s="105"/>
      <c r="E1208" s="172"/>
      <c r="F1208" s="60" t="s">
        <v>130</v>
      </c>
      <c r="G1208" s="60" t="s">
        <v>669</v>
      </c>
      <c r="H1208" s="137">
        <f>0.51*0.55*10*7.85*1.2</f>
        <v>26.423099999999998</v>
      </c>
      <c r="I1208" s="66" t="s">
        <v>208</v>
      </c>
      <c r="J1208" s="49"/>
      <c r="K1208" s="28"/>
      <c r="L1208" s="51"/>
    </row>
    <row r="1209" spans="2:12" x14ac:dyDescent="0.35">
      <c r="B1209" s="174"/>
      <c r="C1209" s="104"/>
      <c r="D1209" s="105" t="s">
        <v>44</v>
      </c>
      <c r="E1209" s="171"/>
      <c r="F1209" s="169" t="s">
        <v>670</v>
      </c>
      <c r="G1209" s="29"/>
      <c r="H1209" s="170"/>
      <c r="I1209" s="52"/>
      <c r="J1209" s="49"/>
      <c r="K1209" s="28"/>
      <c r="L1209" s="51"/>
    </row>
    <row r="1210" spans="2:12" x14ac:dyDescent="0.35">
      <c r="B1210" s="174"/>
      <c r="C1210" s="104"/>
      <c r="D1210" s="105"/>
      <c r="E1210" s="172"/>
      <c r="F1210" s="60" t="s">
        <v>130</v>
      </c>
      <c r="G1210" s="60" t="s">
        <v>671</v>
      </c>
      <c r="H1210" s="137">
        <f>0.76*2.31*10*7.85</f>
        <v>137.81460000000001</v>
      </c>
      <c r="I1210" s="66" t="s">
        <v>208</v>
      </c>
      <c r="J1210" s="49"/>
      <c r="K1210" s="28"/>
      <c r="L1210" s="51"/>
    </row>
    <row r="1211" spans="2:12" x14ac:dyDescent="0.35">
      <c r="B1211" s="224"/>
      <c r="C1211" s="47"/>
      <c r="D1211" s="23"/>
      <c r="G1211" s="21"/>
      <c r="I1211" s="21"/>
      <c r="J1211" s="49"/>
      <c r="K1211" s="28"/>
      <c r="L1211" s="51"/>
    </row>
    <row r="1212" spans="2:12" x14ac:dyDescent="0.35">
      <c r="B1212" s="8"/>
      <c r="C1212" s="9"/>
      <c r="D1212" s="10"/>
      <c r="E1212" s="4"/>
      <c r="F1212" s="4"/>
      <c r="G1212" s="4"/>
      <c r="H1212" s="1"/>
      <c r="I1212" s="1"/>
      <c r="J1212" s="11" t="s">
        <v>8</v>
      </c>
      <c r="K1212" s="7">
        <f>SUM(K1159:K1211)</f>
        <v>0</v>
      </c>
      <c r="L1212" s="7">
        <f>SUM(L1159:L1211)</f>
        <v>0</v>
      </c>
    </row>
    <row r="1213" spans="2:12" x14ac:dyDescent="0.35">
      <c r="B1213" s="8"/>
      <c r="C1213" s="9"/>
      <c r="D1213" s="9"/>
      <c r="E1213" s="4"/>
      <c r="F1213" s="4"/>
      <c r="G1213" s="4"/>
      <c r="H1213" s="1"/>
      <c r="I1213" s="1"/>
      <c r="J1213" s="11"/>
      <c r="K1213" s="34" t="s">
        <v>13</v>
      </c>
      <c r="L1213" s="35" t="s">
        <v>14</v>
      </c>
    </row>
    <row r="1214" spans="2:12" x14ac:dyDescent="0.35">
      <c r="B1214" s="3" t="s">
        <v>9</v>
      </c>
      <c r="C1214" s="4"/>
      <c r="D1214" s="4"/>
      <c r="E1214" s="4"/>
      <c r="F1214" s="4"/>
      <c r="G1214" s="4"/>
      <c r="H1214" s="1"/>
      <c r="I1214" s="1"/>
      <c r="J1214" s="12"/>
      <c r="K1214" s="12"/>
      <c r="L1214" s="13"/>
    </row>
    <row r="1215" spans="2:12" x14ac:dyDescent="0.35">
      <c r="B1215" s="36"/>
      <c r="C1215" s="1"/>
      <c r="D1215" s="1"/>
      <c r="E1215" s="37"/>
      <c r="F1215" s="37"/>
      <c r="G1215" s="37"/>
      <c r="H1215" s="1"/>
      <c r="I1215" s="1"/>
      <c r="J1215" s="1"/>
      <c r="K1215" s="1"/>
      <c r="L1215" s="18"/>
    </row>
    <row r="1216" spans="2:12" x14ac:dyDescent="0.35">
      <c r="B1216" s="27" t="s">
        <v>6</v>
      </c>
      <c r="C1216" s="26"/>
      <c r="D1216" s="26"/>
      <c r="E1216" s="25"/>
      <c r="F1216" s="25"/>
      <c r="G1216" s="5"/>
      <c r="K1216" s="232" t="s">
        <v>813</v>
      </c>
      <c r="L1216" s="233"/>
    </row>
    <row r="1217" spans="2:12" x14ac:dyDescent="0.35">
      <c r="B1217" s="27">
        <v>1</v>
      </c>
      <c r="C1217" s="26"/>
      <c r="D1217" s="26"/>
      <c r="E1217" s="25" t="s">
        <v>7</v>
      </c>
      <c r="F1217" s="25"/>
      <c r="G1217" s="5"/>
      <c r="K1217" s="232" t="s">
        <v>18</v>
      </c>
      <c r="L1217" s="233"/>
    </row>
    <row r="1218" spans="2:12" x14ac:dyDescent="0.35">
      <c r="B1218" s="38"/>
      <c r="C1218" s="26"/>
      <c r="D1218" s="26"/>
      <c r="E1218" s="25"/>
      <c r="F1218" s="25"/>
      <c r="G1218" s="5"/>
      <c r="J1218" s="24"/>
      <c r="K1218" s="24"/>
      <c r="L1218" s="23"/>
    </row>
    <row r="1219" spans="2:12" x14ac:dyDescent="0.35">
      <c r="B1219" s="27"/>
      <c r="C1219" s="26"/>
      <c r="D1219" s="26"/>
      <c r="E1219" s="25"/>
      <c r="F1219" s="25"/>
      <c r="G1219" s="5"/>
      <c r="L1219" s="21"/>
    </row>
    <row r="1220" spans="2:12" x14ac:dyDescent="0.35">
      <c r="B1220" s="44"/>
      <c r="E1220" s="5"/>
      <c r="F1220" s="5"/>
      <c r="G1220" s="5"/>
      <c r="L1220" s="21"/>
    </row>
    <row r="1221" spans="2:12" x14ac:dyDescent="0.35">
      <c r="B1221" s="44"/>
      <c r="E1221" s="5"/>
      <c r="F1221" s="5"/>
      <c r="G1221" s="5"/>
      <c r="L1221" s="21"/>
    </row>
    <row r="1222" spans="2:12" x14ac:dyDescent="0.35">
      <c r="B1222" s="44"/>
      <c r="E1222" s="5"/>
      <c r="F1222" s="5"/>
      <c r="G1222" s="5"/>
      <c r="L1222" s="21"/>
    </row>
    <row r="1223" spans="2:12" x14ac:dyDescent="0.35">
      <c r="B1223" s="44"/>
      <c r="E1223" s="5"/>
      <c r="F1223" s="5"/>
      <c r="G1223" s="5"/>
      <c r="J1223" s="39"/>
      <c r="K1223" s="234" t="s">
        <v>26</v>
      </c>
      <c r="L1223" s="235"/>
    </row>
    <row r="1224" spans="2:12" x14ac:dyDescent="0.35">
      <c r="B1224" s="44"/>
      <c r="K1224" s="236" t="s">
        <v>27</v>
      </c>
      <c r="L1224" s="237"/>
    </row>
    <row r="1225" spans="2:12" x14ac:dyDescent="0.35">
      <c r="B1225" s="238"/>
      <c r="C1225" s="239"/>
      <c r="D1225" s="239"/>
      <c r="E1225" s="40"/>
      <c r="F1225" s="40"/>
      <c r="G1225" s="40"/>
      <c r="H1225" s="2"/>
      <c r="I1225" s="2"/>
      <c r="J1225" s="2"/>
      <c r="K1225" s="2"/>
      <c r="L1225" s="20"/>
    </row>
    <row r="1226" spans="2:12" x14ac:dyDescent="0.35">
      <c r="B1226" s="222"/>
      <c r="C1226" s="225"/>
      <c r="D1226" s="48"/>
      <c r="G1226" s="21"/>
      <c r="H1226" s="1"/>
      <c r="I1226" s="1"/>
      <c r="J1226" s="42"/>
      <c r="K1226" s="29"/>
      <c r="L1226" s="43"/>
    </row>
    <row r="1227" spans="2:12" x14ac:dyDescent="0.35">
      <c r="B1227" s="174"/>
      <c r="C1227" s="166"/>
      <c r="D1227" s="105" t="s">
        <v>46</v>
      </c>
      <c r="E1227" s="171"/>
      <c r="F1227" s="169" t="s">
        <v>672</v>
      </c>
      <c r="G1227" s="29"/>
      <c r="H1227" s="170"/>
      <c r="I1227" s="52"/>
      <c r="J1227" s="28"/>
      <c r="K1227" s="50"/>
      <c r="L1227" s="45"/>
    </row>
    <row r="1228" spans="2:12" x14ac:dyDescent="0.35">
      <c r="B1228" s="174"/>
      <c r="C1228" s="166"/>
      <c r="D1228" s="105"/>
      <c r="E1228" s="172"/>
      <c r="F1228" s="60" t="s">
        <v>130</v>
      </c>
      <c r="G1228" s="60" t="s">
        <v>673</v>
      </c>
      <c r="H1228" s="137">
        <f>2.14*0.76*10*7.85</f>
        <v>127.6724</v>
      </c>
      <c r="I1228" s="66" t="s">
        <v>208</v>
      </c>
      <c r="J1228" s="49"/>
      <c r="K1228" s="28"/>
      <c r="L1228" s="51"/>
    </row>
    <row r="1229" spans="2:12" x14ac:dyDescent="0.35">
      <c r="B1229" s="158"/>
      <c r="C1229" s="104" t="s">
        <v>565</v>
      </c>
      <c r="D1229" s="105"/>
      <c r="E1229" s="101"/>
      <c r="F1229" s="60" t="s">
        <v>674</v>
      </c>
      <c r="G1229" s="98"/>
      <c r="H1229" s="102"/>
      <c r="I1229" s="98"/>
      <c r="J1229" s="49"/>
      <c r="K1229" s="50"/>
      <c r="L1229" s="45"/>
    </row>
    <row r="1230" spans="2:12" x14ac:dyDescent="0.35">
      <c r="B1230" s="158"/>
      <c r="C1230" s="104"/>
      <c r="D1230" s="105" t="s">
        <v>34</v>
      </c>
      <c r="E1230" s="101"/>
      <c r="F1230" s="60" t="s">
        <v>675</v>
      </c>
      <c r="G1230" s="98"/>
      <c r="H1230" s="102"/>
      <c r="I1230" s="98"/>
      <c r="J1230" s="49"/>
      <c r="K1230" s="28"/>
      <c r="L1230" s="51"/>
    </row>
    <row r="1231" spans="2:12" x14ac:dyDescent="0.35">
      <c r="B1231" s="158"/>
      <c r="C1231" s="104"/>
      <c r="D1231" s="105"/>
      <c r="E1231" s="60"/>
      <c r="F1231" s="101" t="s">
        <v>130</v>
      </c>
      <c r="G1231" s="52" t="s">
        <v>676</v>
      </c>
      <c r="H1231" s="94">
        <f>3.07*0.8*10*7.85</f>
        <v>192.79599999999999</v>
      </c>
      <c r="I1231" s="98" t="s">
        <v>208</v>
      </c>
      <c r="J1231" s="49"/>
      <c r="K1231" s="28"/>
      <c r="L1231" s="51"/>
    </row>
    <row r="1232" spans="2:12" x14ac:dyDescent="0.35">
      <c r="B1232" s="55" t="s">
        <v>70</v>
      </c>
      <c r="C1232" s="56"/>
      <c r="D1232" s="57"/>
      <c r="E1232" s="161" t="s">
        <v>677</v>
      </c>
      <c r="F1232" s="161"/>
      <c r="G1232" s="162"/>
      <c r="H1232" s="175"/>
      <c r="I1232" s="176"/>
      <c r="J1232" s="49"/>
      <c r="K1232" s="207"/>
      <c r="L1232" s="45"/>
    </row>
    <row r="1233" spans="2:13" x14ac:dyDescent="0.35">
      <c r="B1233" s="174"/>
      <c r="C1233" s="166"/>
      <c r="D1233" s="105" t="s">
        <v>34</v>
      </c>
      <c r="E1233" s="171"/>
      <c r="F1233" s="171" t="s">
        <v>678</v>
      </c>
      <c r="G1233" s="177"/>
      <c r="H1233" s="175"/>
      <c r="I1233" s="176"/>
      <c r="J1233" s="49"/>
      <c r="K1233" s="207"/>
      <c r="L1233" s="45"/>
    </row>
    <row r="1234" spans="2:13" x14ac:dyDescent="0.35">
      <c r="B1234" s="178"/>
      <c r="C1234" s="166"/>
      <c r="D1234" s="63"/>
      <c r="E1234" s="171"/>
      <c r="F1234" s="171" t="s">
        <v>130</v>
      </c>
      <c r="G1234" s="177" t="s">
        <v>679</v>
      </c>
      <c r="H1234" s="179">
        <v>1</v>
      </c>
      <c r="I1234" s="176" t="s">
        <v>36</v>
      </c>
      <c r="J1234" s="201"/>
      <c r="K1234" s="50"/>
      <c r="L1234" s="45"/>
    </row>
    <row r="1235" spans="2:13" x14ac:dyDescent="0.35">
      <c r="B1235" s="178"/>
      <c r="C1235" s="166"/>
      <c r="D1235" s="63"/>
      <c r="E1235" s="171"/>
      <c r="F1235" s="171" t="s">
        <v>130</v>
      </c>
      <c r="G1235" s="177" t="s">
        <v>680</v>
      </c>
      <c r="H1235" s="179">
        <v>1</v>
      </c>
      <c r="I1235" s="176" t="s">
        <v>36</v>
      </c>
      <c r="J1235" s="201"/>
      <c r="K1235" s="50"/>
      <c r="L1235" s="45"/>
    </row>
    <row r="1236" spans="2:13" x14ac:dyDescent="0.35">
      <c r="B1236" s="178"/>
      <c r="C1236" s="166"/>
      <c r="D1236" s="105" t="s">
        <v>37</v>
      </c>
      <c r="E1236" s="171"/>
      <c r="F1236" s="171" t="s">
        <v>681</v>
      </c>
      <c r="G1236" s="177"/>
      <c r="H1236" s="175"/>
      <c r="I1236" s="176"/>
      <c r="J1236" s="49"/>
      <c r="K1236" s="207"/>
      <c r="L1236" s="45"/>
    </row>
    <row r="1237" spans="2:13" x14ac:dyDescent="0.35">
      <c r="B1237" s="178"/>
      <c r="C1237" s="166"/>
      <c r="D1237" s="63"/>
      <c r="E1237" s="171"/>
      <c r="F1237" s="171" t="s">
        <v>130</v>
      </c>
      <c r="G1237" s="177" t="s">
        <v>679</v>
      </c>
      <c r="H1237" s="179">
        <v>1</v>
      </c>
      <c r="I1237" s="176" t="s">
        <v>36</v>
      </c>
      <c r="J1237" s="201"/>
      <c r="K1237" s="50"/>
      <c r="L1237" s="45"/>
    </row>
    <row r="1238" spans="2:13" x14ac:dyDescent="0.35">
      <c r="B1238" s="178"/>
      <c r="C1238" s="166"/>
      <c r="D1238" s="63"/>
      <c r="E1238" s="171"/>
      <c r="F1238" s="171" t="s">
        <v>130</v>
      </c>
      <c r="G1238" s="177" t="s">
        <v>680</v>
      </c>
      <c r="H1238" s="179">
        <v>1</v>
      </c>
      <c r="I1238" s="176" t="s">
        <v>36</v>
      </c>
      <c r="J1238" s="201"/>
      <c r="K1238" s="50"/>
      <c r="L1238" s="45"/>
    </row>
    <row r="1239" spans="2:13" x14ac:dyDescent="0.35">
      <c r="B1239" s="165"/>
      <c r="C1239" s="166"/>
      <c r="D1239" s="105" t="s">
        <v>39</v>
      </c>
      <c r="E1239" s="171"/>
      <c r="F1239" s="171" t="s">
        <v>682</v>
      </c>
      <c r="G1239" s="177"/>
      <c r="H1239" s="175"/>
      <c r="I1239" s="176"/>
      <c r="J1239" s="49"/>
      <c r="K1239" s="28"/>
      <c r="L1239" s="51"/>
    </row>
    <row r="1240" spans="2:13" x14ac:dyDescent="0.35">
      <c r="B1240" s="165"/>
      <c r="C1240" s="166"/>
      <c r="D1240" s="63"/>
      <c r="E1240" s="171"/>
      <c r="F1240" s="171" t="s">
        <v>130</v>
      </c>
      <c r="G1240" s="177" t="s">
        <v>679</v>
      </c>
      <c r="H1240" s="179">
        <v>1</v>
      </c>
      <c r="I1240" s="176" t="s">
        <v>36</v>
      </c>
      <c r="J1240" s="201"/>
      <c r="K1240" s="50"/>
      <c r="L1240" s="45"/>
    </row>
    <row r="1241" spans="2:13" x14ac:dyDescent="0.35">
      <c r="B1241" s="178"/>
      <c r="C1241" s="166"/>
      <c r="D1241" s="63"/>
      <c r="E1241" s="171"/>
      <c r="F1241" s="171" t="s">
        <v>130</v>
      </c>
      <c r="G1241" s="177" t="s">
        <v>680</v>
      </c>
      <c r="H1241" s="179">
        <v>1</v>
      </c>
      <c r="I1241" s="176" t="s">
        <v>36</v>
      </c>
      <c r="J1241" s="201"/>
      <c r="K1241" s="50"/>
      <c r="L1241" s="45"/>
    </row>
    <row r="1242" spans="2:13" x14ac:dyDescent="0.35">
      <c r="B1242" s="165"/>
      <c r="C1242" s="166"/>
      <c r="D1242" s="105" t="s">
        <v>41</v>
      </c>
      <c r="E1242" s="171"/>
      <c r="F1242" s="171" t="s">
        <v>683</v>
      </c>
      <c r="G1242" s="177"/>
      <c r="H1242" s="175"/>
      <c r="I1242" s="176"/>
      <c r="J1242" s="49"/>
      <c r="K1242" s="28"/>
      <c r="L1242" s="51"/>
    </row>
    <row r="1243" spans="2:13" x14ac:dyDescent="0.35">
      <c r="B1243" s="165"/>
      <c r="C1243" s="166"/>
      <c r="D1243" s="63"/>
      <c r="E1243" s="171"/>
      <c r="F1243" s="171" t="s">
        <v>130</v>
      </c>
      <c r="G1243" s="177" t="s">
        <v>679</v>
      </c>
      <c r="H1243" s="179">
        <v>1</v>
      </c>
      <c r="I1243" s="176" t="s">
        <v>36</v>
      </c>
      <c r="J1243" s="201"/>
      <c r="K1243" s="50"/>
      <c r="L1243" s="45"/>
    </row>
    <row r="1244" spans="2:13" x14ac:dyDescent="0.35">
      <c r="B1244" s="165"/>
      <c r="C1244" s="166"/>
      <c r="D1244" s="105" t="s">
        <v>44</v>
      </c>
      <c r="E1244" s="171"/>
      <c r="F1244" s="171" t="s">
        <v>684</v>
      </c>
      <c r="G1244" s="177"/>
      <c r="H1244" s="175"/>
      <c r="I1244" s="176"/>
      <c r="J1244" s="49"/>
      <c r="K1244" s="28"/>
      <c r="L1244" s="51"/>
    </row>
    <row r="1245" spans="2:13" x14ac:dyDescent="0.35">
      <c r="B1245" s="165"/>
      <c r="C1245" s="166"/>
      <c r="D1245" s="63"/>
      <c r="E1245" s="171"/>
      <c r="F1245" s="171" t="s">
        <v>130</v>
      </c>
      <c r="G1245" s="177" t="s">
        <v>680</v>
      </c>
      <c r="H1245" s="179">
        <v>2</v>
      </c>
      <c r="I1245" s="176" t="s">
        <v>94</v>
      </c>
      <c r="J1245" s="201"/>
      <c r="K1245" s="50"/>
      <c r="L1245" s="45"/>
    </row>
    <row r="1246" spans="2:13" x14ac:dyDescent="0.35">
      <c r="B1246" s="55" t="s">
        <v>84</v>
      </c>
      <c r="C1246" s="56"/>
      <c r="D1246" s="57"/>
      <c r="E1246" s="161" t="s">
        <v>12</v>
      </c>
      <c r="F1246" s="161"/>
      <c r="G1246" s="162"/>
      <c r="H1246" s="170"/>
      <c r="I1246" s="52"/>
      <c r="J1246" s="49"/>
      <c r="K1246" s="28"/>
      <c r="L1246" s="51"/>
    </row>
    <row r="1247" spans="2:13" x14ac:dyDescent="0.35">
      <c r="B1247" s="158"/>
      <c r="C1247" s="104"/>
      <c r="D1247" s="105" t="s">
        <v>34</v>
      </c>
      <c r="E1247" s="171"/>
      <c r="F1247" s="169" t="s">
        <v>685</v>
      </c>
      <c r="G1247" s="169"/>
      <c r="H1247" s="192">
        <v>4</v>
      </c>
      <c r="I1247" s="52" t="s">
        <v>94</v>
      </c>
      <c r="J1247" s="49"/>
      <c r="K1247" s="28"/>
      <c r="L1247" s="51"/>
    </row>
    <row r="1248" spans="2:13" x14ac:dyDescent="0.35">
      <c r="B1248" s="158"/>
      <c r="C1248" s="104"/>
      <c r="D1248" s="105"/>
      <c r="E1248" s="172"/>
      <c r="F1248" s="60" t="s">
        <v>130</v>
      </c>
      <c r="G1248" s="60" t="s">
        <v>686</v>
      </c>
      <c r="H1248" s="137"/>
      <c r="I1248" s="66"/>
      <c r="J1248" s="49"/>
      <c r="K1248" s="28"/>
      <c r="L1248" s="51"/>
      <c r="M1248" s="210"/>
    </row>
    <row r="1249" spans="2:14" x14ac:dyDescent="0.35">
      <c r="B1249" s="158"/>
      <c r="C1249" s="104"/>
      <c r="D1249" s="105"/>
      <c r="E1249" s="172"/>
      <c r="F1249" s="60" t="s">
        <v>130</v>
      </c>
      <c r="G1249" s="60" t="s">
        <v>687</v>
      </c>
      <c r="H1249" s="137"/>
      <c r="I1249" s="66"/>
      <c r="J1249" s="49"/>
      <c r="K1249" s="28"/>
      <c r="L1249" s="51"/>
      <c r="M1249" s="210"/>
    </row>
    <row r="1250" spans="2:14" x14ac:dyDescent="0.35">
      <c r="B1250" s="158"/>
      <c r="C1250" s="104"/>
      <c r="D1250" s="105"/>
      <c r="E1250" s="172"/>
      <c r="F1250" s="60" t="s">
        <v>130</v>
      </c>
      <c r="G1250" s="60" t="s">
        <v>688</v>
      </c>
      <c r="H1250" s="137"/>
      <c r="I1250" s="66"/>
      <c r="J1250" s="49"/>
      <c r="K1250" s="28"/>
      <c r="L1250" s="51"/>
      <c r="M1250" s="210"/>
    </row>
    <row r="1251" spans="2:14" x14ac:dyDescent="0.35">
      <c r="B1251" s="158"/>
      <c r="C1251" s="104"/>
      <c r="D1251" s="167"/>
      <c r="E1251" s="171"/>
      <c r="F1251" s="60" t="s">
        <v>130</v>
      </c>
      <c r="G1251" s="60" t="s">
        <v>689</v>
      </c>
      <c r="H1251" s="137"/>
      <c r="I1251" s="66"/>
      <c r="J1251" s="49"/>
      <c r="K1251" s="28"/>
      <c r="L1251" s="51"/>
      <c r="M1251" s="210"/>
    </row>
    <row r="1252" spans="2:14" x14ac:dyDescent="0.35">
      <c r="B1252" s="158"/>
      <c r="C1252" s="173"/>
      <c r="D1252" s="167"/>
      <c r="E1252" s="171"/>
      <c r="F1252" s="171" t="s">
        <v>130</v>
      </c>
      <c r="G1252" s="171" t="s">
        <v>690</v>
      </c>
      <c r="H1252" s="137"/>
      <c r="I1252" s="176"/>
      <c r="J1252" s="49"/>
      <c r="K1252" s="28"/>
      <c r="L1252" s="51"/>
      <c r="M1252" s="210"/>
    </row>
    <row r="1253" spans="2:14" x14ac:dyDescent="0.35">
      <c r="B1253" s="158"/>
      <c r="C1253" s="104"/>
      <c r="D1253" s="105"/>
      <c r="E1253" s="172"/>
      <c r="F1253" s="60" t="s">
        <v>130</v>
      </c>
      <c r="G1253" s="60" t="s">
        <v>691</v>
      </c>
      <c r="H1253" s="137"/>
      <c r="I1253" s="66"/>
      <c r="J1253" s="49"/>
      <c r="K1253" s="28"/>
      <c r="L1253" s="51"/>
      <c r="M1253" s="210"/>
    </row>
    <row r="1254" spans="2:14" x14ac:dyDescent="0.35">
      <c r="B1254" s="158"/>
      <c r="C1254" s="104"/>
      <c r="D1254" s="105"/>
      <c r="E1254" s="172"/>
      <c r="F1254" s="60" t="s">
        <v>130</v>
      </c>
      <c r="G1254" s="60" t="s">
        <v>692</v>
      </c>
      <c r="H1254" s="137"/>
      <c r="I1254" s="66"/>
      <c r="J1254" s="49"/>
      <c r="K1254" s="28"/>
      <c r="L1254" s="51"/>
      <c r="M1254" s="210"/>
    </row>
    <row r="1255" spans="2:14" x14ac:dyDescent="0.35">
      <c r="B1255" s="158"/>
      <c r="C1255" s="104"/>
      <c r="D1255" s="105"/>
      <c r="E1255" s="172"/>
      <c r="F1255" s="60" t="s">
        <v>130</v>
      </c>
      <c r="G1255" s="60" t="s">
        <v>693</v>
      </c>
      <c r="H1255" s="137"/>
      <c r="I1255" s="66"/>
      <c r="J1255" s="49"/>
      <c r="K1255" s="28"/>
      <c r="L1255" s="51"/>
      <c r="M1255" s="210"/>
    </row>
    <row r="1256" spans="2:14" x14ac:dyDescent="0.35">
      <c r="B1256" s="158"/>
      <c r="C1256" s="104"/>
      <c r="D1256" s="105"/>
      <c r="E1256" s="172"/>
      <c r="F1256" s="60" t="s">
        <v>130</v>
      </c>
      <c r="G1256" s="60" t="s">
        <v>694</v>
      </c>
      <c r="H1256" s="137"/>
      <c r="I1256" s="66"/>
      <c r="J1256" s="49"/>
      <c r="K1256" s="28"/>
      <c r="L1256" s="51"/>
      <c r="M1256" s="210"/>
    </row>
    <row r="1257" spans="2:14" x14ac:dyDescent="0.35">
      <c r="B1257" s="158"/>
      <c r="C1257" s="104"/>
      <c r="D1257" s="105"/>
      <c r="E1257" s="172"/>
      <c r="F1257" s="60" t="s">
        <v>130</v>
      </c>
      <c r="G1257" s="60" t="s">
        <v>695</v>
      </c>
      <c r="H1257" s="193"/>
      <c r="I1257" s="176"/>
      <c r="J1257" s="49"/>
      <c r="K1257" s="28"/>
      <c r="L1257" s="51"/>
      <c r="M1257" s="210"/>
      <c r="N1257" s="210"/>
    </row>
    <row r="1258" spans="2:14" x14ac:dyDescent="0.35">
      <c r="B1258" s="178"/>
      <c r="C1258" s="166"/>
      <c r="D1258" s="63"/>
      <c r="E1258" s="171"/>
      <c r="F1258" s="171"/>
      <c r="G1258" s="171"/>
      <c r="H1258" s="194"/>
      <c r="I1258" s="176"/>
      <c r="J1258" s="49"/>
      <c r="K1258" s="28"/>
      <c r="L1258" s="51"/>
    </row>
    <row r="1259" spans="2:14" x14ac:dyDescent="0.35">
      <c r="B1259" s="180"/>
      <c r="C1259" s="62"/>
      <c r="D1259" s="181"/>
      <c r="E1259" s="182" t="s">
        <v>696</v>
      </c>
      <c r="F1259" s="183"/>
      <c r="G1259" s="183"/>
      <c r="H1259" s="195"/>
      <c r="I1259" s="186"/>
      <c r="J1259" s="49"/>
      <c r="K1259" s="28"/>
      <c r="L1259" s="51"/>
    </row>
    <row r="1260" spans="2:14" x14ac:dyDescent="0.35">
      <c r="B1260" s="55" t="s">
        <v>33</v>
      </c>
      <c r="C1260" s="56"/>
      <c r="D1260" s="57"/>
      <c r="E1260" s="161" t="s">
        <v>364</v>
      </c>
      <c r="F1260" s="161"/>
      <c r="G1260" s="161"/>
      <c r="H1260" s="192"/>
      <c r="I1260" s="52"/>
      <c r="J1260" s="49"/>
      <c r="K1260" s="28"/>
      <c r="L1260" s="51"/>
    </row>
    <row r="1261" spans="2:14" x14ac:dyDescent="0.35">
      <c r="B1261" s="174"/>
      <c r="C1261" s="104" t="s">
        <v>138</v>
      </c>
      <c r="D1261" s="167"/>
      <c r="E1261" s="168"/>
      <c r="F1261" s="169" t="s">
        <v>697</v>
      </c>
      <c r="G1261" s="29"/>
      <c r="H1261" s="170"/>
      <c r="I1261" s="52"/>
      <c r="J1261" s="49"/>
      <c r="K1261" s="28"/>
      <c r="L1261" s="51"/>
    </row>
    <row r="1262" spans="2:14" x14ac:dyDescent="0.35">
      <c r="B1262" s="174"/>
      <c r="C1262" s="104"/>
      <c r="D1262" s="167" t="s">
        <v>34</v>
      </c>
      <c r="E1262" s="172"/>
      <c r="F1262" s="169" t="s">
        <v>698</v>
      </c>
      <c r="G1262" s="29"/>
      <c r="H1262" s="170"/>
      <c r="I1262" s="52"/>
      <c r="J1262" s="49"/>
      <c r="K1262" s="28"/>
      <c r="L1262" s="51"/>
    </row>
    <row r="1263" spans="2:14" x14ac:dyDescent="0.35">
      <c r="B1263" s="174"/>
      <c r="C1263" s="166"/>
      <c r="D1263" s="167"/>
      <c r="E1263" s="171"/>
      <c r="F1263" s="169" t="s">
        <v>130</v>
      </c>
      <c r="G1263" s="29" t="s">
        <v>699</v>
      </c>
      <c r="H1263" s="185">
        <f>0.7*0.4*8*7.85*1.2</f>
        <v>21.100799999999996</v>
      </c>
      <c r="I1263" s="52" t="s">
        <v>208</v>
      </c>
      <c r="J1263" s="49"/>
      <c r="K1263" s="28"/>
      <c r="L1263" s="51"/>
    </row>
    <row r="1264" spans="2:14" x14ac:dyDescent="0.35">
      <c r="B1264" s="174"/>
      <c r="C1264" s="166"/>
      <c r="D1264" s="167"/>
      <c r="E1264" s="171"/>
      <c r="F1264" s="169" t="s">
        <v>130</v>
      </c>
      <c r="G1264" s="29" t="s">
        <v>700</v>
      </c>
      <c r="H1264" s="185">
        <f>0.6*0.4*8*7.85*1.2</f>
        <v>18.086399999999998</v>
      </c>
      <c r="I1264" s="52" t="s">
        <v>208</v>
      </c>
      <c r="J1264" s="49"/>
      <c r="K1264" s="28"/>
      <c r="L1264" s="51"/>
    </row>
    <row r="1265" spans="2:12" x14ac:dyDescent="0.35">
      <c r="B1265" s="165"/>
      <c r="C1265" s="166"/>
      <c r="D1265" s="167" t="s">
        <v>37</v>
      </c>
      <c r="E1265" s="168"/>
      <c r="F1265" s="169" t="s">
        <v>701</v>
      </c>
      <c r="G1265" s="29"/>
      <c r="H1265" s="170">
        <v>5</v>
      </c>
      <c r="I1265" s="52" t="s">
        <v>702</v>
      </c>
      <c r="J1265" s="28"/>
      <c r="K1265" s="50"/>
      <c r="L1265" s="45"/>
    </row>
    <row r="1266" spans="2:12" x14ac:dyDescent="0.35">
      <c r="B1266" s="165"/>
      <c r="C1266" s="166"/>
      <c r="D1266" s="167"/>
      <c r="E1266" s="168"/>
      <c r="F1266" s="169" t="s">
        <v>130</v>
      </c>
      <c r="G1266" s="29" t="s">
        <v>703</v>
      </c>
      <c r="H1266" s="170">
        <v>1700</v>
      </c>
      <c r="I1266" s="52" t="s">
        <v>141</v>
      </c>
      <c r="J1266" s="28"/>
      <c r="K1266" s="50"/>
      <c r="L1266" s="45"/>
    </row>
    <row r="1267" spans="2:12" x14ac:dyDescent="0.35">
      <c r="B1267" s="187"/>
      <c r="C1267" s="188"/>
      <c r="D1267" s="189"/>
      <c r="E1267" s="188"/>
      <c r="F1267" s="169" t="s">
        <v>130</v>
      </c>
      <c r="G1267" s="29" t="s">
        <v>704</v>
      </c>
      <c r="H1267" s="170">
        <v>3</v>
      </c>
      <c r="I1267" s="52" t="s">
        <v>83</v>
      </c>
      <c r="J1267" s="28"/>
      <c r="K1267" s="50"/>
      <c r="L1267" s="45"/>
    </row>
    <row r="1268" spans="2:12" x14ac:dyDescent="0.35">
      <c r="B1268" s="187"/>
      <c r="C1268" s="188"/>
      <c r="D1268" s="189"/>
      <c r="E1268" s="190"/>
      <c r="F1268" s="171" t="s">
        <v>130</v>
      </c>
      <c r="G1268" s="177" t="s">
        <v>705</v>
      </c>
      <c r="H1268" s="185">
        <f>0.16*0.16*10*7.85*1.2</f>
        <v>2.4115199999999999</v>
      </c>
      <c r="I1268" s="176" t="s">
        <v>83</v>
      </c>
      <c r="J1268" s="28"/>
      <c r="K1268" s="50"/>
      <c r="L1268" s="45"/>
    </row>
    <row r="1269" spans="2:12" x14ac:dyDescent="0.35">
      <c r="B1269" s="191"/>
      <c r="C1269" s="104" t="s">
        <v>565</v>
      </c>
      <c r="D1269" s="167"/>
      <c r="E1269" s="168"/>
      <c r="F1269" s="169" t="s">
        <v>706</v>
      </c>
      <c r="G1269" s="29"/>
      <c r="H1269" s="170"/>
      <c r="I1269" s="52"/>
      <c r="J1269" s="49"/>
      <c r="K1269" s="28"/>
      <c r="L1269" s="51"/>
    </row>
    <row r="1270" spans="2:12" x14ac:dyDescent="0.35">
      <c r="B1270" s="191"/>
      <c r="C1270" s="104"/>
      <c r="D1270" s="167" t="s">
        <v>34</v>
      </c>
      <c r="E1270" s="172"/>
      <c r="F1270" s="169" t="s">
        <v>698</v>
      </c>
      <c r="G1270" s="29"/>
      <c r="H1270" s="170"/>
      <c r="I1270" s="52"/>
      <c r="J1270" s="49"/>
      <c r="K1270" s="28"/>
      <c r="L1270" s="51"/>
    </row>
    <row r="1271" spans="2:12" x14ac:dyDescent="0.35">
      <c r="B1271" s="174"/>
      <c r="C1271" s="166"/>
      <c r="D1271" s="167"/>
      <c r="E1271" s="171"/>
      <c r="F1271" s="169" t="s">
        <v>130</v>
      </c>
      <c r="G1271" s="29" t="s">
        <v>699</v>
      </c>
      <c r="H1271" s="185">
        <f>0.7*0.4*8*7.85*1.2</f>
        <v>21.100799999999996</v>
      </c>
      <c r="I1271" s="52" t="s">
        <v>208</v>
      </c>
      <c r="J1271" s="49"/>
      <c r="K1271" s="28"/>
      <c r="L1271" s="51"/>
    </row>
    <row r="1272" spans="2:12" x14ac:dyDescent="0.35">
      <c r="B1272" s="174"/>
      <c r="C1272" s="166"/>
      <c r="D1272" s="167"/>
      <c r="E1272" s="171"/>
      <c r="F1272" s="169" t="s">
        <v>130</v>
      </c>
      <c r="G1272" s="29" t="s">
        <v>700</v>
      </c>
      <c r="H1272" s="185">
        <f>0.6*0.4*8*7.85*1.2</f>
        <v>18.086399999999998</v>
      </c>
      <c r="I1272" s="52" t="s">
        <v>208</v>
      </c>
      <c r="J1272" s="49"/>
      <c r="K1272" s="28"/>
      <c r="L1272" s="51"/>
    </row>
    <row r="1273" spans="2:12" x14ac:dyDescent="0.35">
      <c r="B1273" s="165"/>
      <c r="C1273" s="166"/>
      <c r="D1273" s="167" t="s">
        <v>37</v>
      </c>
      <c r="E1273" s="168"/>
      <c r="F1273" s="169" t="s">
        <v>701</v>
      </c>
      <c r="G1273" s="29"/>
      <c r="H1273" s="170">
        <v>5</v>
      </c>
      <c r="I1273" s="52" t="s">
        <v>702</v>
      </c>
      <c r="J1273" s="28"/>
      <c r="K1273" s="50"/>
      <c r="L1273" s="45"/>
    </row>
    <row r="1274" spans="2:12" x14ac:dyDescent="0.35">
      <c r="B1274" s="165"/>
      <c r="C1274" s="166"/>
      <c r="D1274" s="167"/>
      <c r="E1274" s="168"/>
      <c r="F1274" s="169" t="s">
        <v>130</v>
      </c>
      <c r="G1274" s="29" t="s">
        <v>703</v>
      </c>
      <c r="H1274" s="170">
        <v>1700</v>
      </c>
      <c r="I1274" s="52" t="s">
        <v>141</v>
      </c>
      <c r="J1274" s="28"/>
      <c r="K1274" s="50"/>
      <c r="L1274" s="45"/>
    </row>
    <row r="1275" spans="2:12" x14ac:dyDescent="0.35">
      <c r="B1275" s="187"/>
      <c r="C1275" s="188"/>
      <c r="D1275" s="189"/>
      <c r="E1275" s="188"/>
      <c r="F1275" s="169" t="s">
        <v>130</v>
      </c>
      <c r="G1275" s="29" t="s">
        <v>704</v>
      </c>
      <c r="H1275" s="170">
        <v>3</v>
      </c>
      <c r="I1275" s="52" t="s">
        <v>83</v>
      </c>
      <c r="J1275" s="28"/>
      <c r="K1275" s="50"/>
      <c r="L1275" s="45"/>
    </row>
    <row r="1276" spans="2:12" x14ac:dyDescent="0.35">
      <c r="B1276" s="187"/>
      <c r="C1276" s="188"/>
      <c r="D1276" s="189"/>
      <c r="E1276" s="190"/>
      <c r="F1276" s="171" t="s">
        <v>130</v>
      </c>
      <c r="G1276" s="177" t="s">
        <v>705</v>
      </c>
      <c r="H1276" s="185">
        <f>0.16*0.16*10*7.85*1.2</f>
        <v>2.4115199999999999</v>
      </c>
      <c r="I1276" s="176" t="s">
        <v>83</v>
      </c>
      <c r="J1276" s="28"/>
      <c r="K1276" s="50"/>
      <c r="L1276" s="45"/>
    </row>
    <row r="1277" spans="2:12" x14ac:dyDescent="0.35">
      <c r="B1277" s="165"/>
      <c r="C1277" s="166"/>
      <c r="D1277" s="167" t="s">
        <v>39</v>
      </c>
      <c r="E1277" s="168"/>
      <c r="F1277" s="169" t="s">
        <v>707</v>
      </c>
      <c r="G1277" s="29"/>
      <c r="H1277" s="170">
        <v>1.1000000000000001</v>
      </c>
      <c r="I1277" s="52" t="s">
        <v>803</v>
      </c>
      <c r="J1277" s="49"/>
      <c r="K1277" s="28"/>
      <c r="L1277" s="51"/>
    </row>
    <row r="1278" spans="2:12" x14ac:dyDescent="0.35">
      <c r="B1278" s="224"/>
      <c r="C1278" s="226"/>
      <c r="D1278" s="23"/>
      <c r="G1278" s="21"/>
      <c r="I1278" s="21"/>
      <c r="J1278" s="49"/>
      <c r="K1278" s="28"/>
      <c r="L1278" s="51"/>
    </row>
    <row r="1279" spans="2:12" x14ac:dyDescent="0.35">
      <c r="B1279" s="8"/>
      <c r="C1279" s="9"/>
      <c r="D1279" s="10"/>
      <c r="E1279" s="4"/>
      <c r="F1279" s="4"/>
      <c r="G1279" s="4"/>
      <c r="H1279" s="1"/>
      <c r="I1279" s="1"/>
      <c r="J1279" s="11" t="s">
        <v>8</v>
      </c>
      <c r="K1279" s="7">
        <f>SUM(K1226:K1278)</f>
        <v>0</v>
      </c>
      <c r="L1279" s="7">
        <f>SUM(L1226:L1278)</f>
        <v>0</v>
      </c>
    </row>
    <row r="1280" spans="2:12" x14ac:dyDescent="0.35">
      <c r="B1280" s="8"/>
      <c r="C1280" s="9"/>
      <c r="D1280" s="9"/>
      <c r="E1280" s="4"/>
      <c r="F1280" s="4"/>
      <c r="G1280" s="4"/>
      <c r="H1280" s="1"/>
      <c r="I1280" s="1"/>
      <c r="J1280" s="11"/>
      <c r="K1280" s="34" t="s">
        <v>13</v>
      </c>
      <c r="L1280" s="35" t="s">
        <v>14</v>
      </c>
    </row>
    <row r="1281" spans="2:12" x14ac:dyDescent="0.35">
      <c r="B1281" s="3" t="s">
        <v>9</v>
      </c>
      <c r="C1281" s="4"/>
      <c r="D1281" s="4"/>
      <c r="E1281" s="4"/>
      <c r="F1281" s="4"/>
      <c r="G1281" s="4"/>
      <c r="H1281" s="1"/>
      <c r="I1281" s="1"/>
      <c r="J1281" s="12"/>
      <c r="K1281" s="12"/>
      <c r="L1281" s="13"/>
    </row>
    <row r="1282" spans="2:12" x14ac:dyDescent="0.35">
      <c r="B1282" s="36"/>
      <c r="C1282" s="1"/>
      <c r="D1282" s="1"/>
      <c r="E1282" s="37"/>
      <c r="F1282" s="37"/>
      <c r="G1282" s="37"/>
      <c r="H1282" s="1"/>
      <c r="I1282" s="1"/>
      <c r="J1282" s="1"/>
      <c r="K1282" s="1"/>
      <c r="L1282" s="18"/>
    </row>
    <row r="1283" spans="2:12" x14ac:dyDescent="0.35">
      <c r="B1283" s="27" t="s">
        <v>6</v>
      </c>
      <c r="C1283" s="26"/>
      <c r="D1283" s="26"/>
      <c r="E1283" s="25"/>
      <c r="F1283" s="25"/>
      <c r="G1283" s="5"/>
      <c r="K1283" s="232" t="s">
        <v>813</v>
      </c>
      <c r="L1283" s="233"/>
    </row>
    <row r="1284" spans="2:12" x14ac:dyDescent="0.35">
      <c r="B1284" s="27">
        <v>1</v>
      </c>
      <c r="C1284" s="26"/>
      <c r="D1284" s="26"/>
      <c r="E1284" s="25" t="s">
        <v>7</v>
      </c>
      <c r="F1284" s="25"/>
      <c r="G1284" s="5"/>
      <c r="K1284" s="232" t="s">
        <v>18</v>
      </c>
      <c r="L1284" s="233"/>
    </row>
    <row r="1285" spans="2:12" x14ac:dyDescent="0.35">
      <c r="B1285" s="38"/>
      <c r="C1285" s="26"/>
      <c r="D1285" s="26"/>
      <c r="E1285" s="25"/>
      <c r="F1285" s="25"/>
      <c r="G1285" s="5"/>
      <c r="J1285" s="24"/>
      <c r="K1285" s="24"/>
      <c r="L1285" s="23"/>
    </row>
    <row r="1286" spans="2:12" x14ac:dyDescent="0.35">
      <c r="B1286" s="27"/>
      <c r="C1286" s="26"/>
      <c r="D1286" s="26"/>
      <c r="E1286" s="25"/>
      <c r="F1286" s="25"/>
      <c r="G1286" s="5"/>
      <c r="L1286" s="21"/>
    </row>
    <row r="1287" spans="2:12" x14ac:dyDescent="0.35">
      <c r="B1287" s="44"/>
      <c r="E1287" s="5"/>
      <c r="F1287" s="5"/>
      <c r="G1287" s="5"/>
      <c r="L1287" s="21"/>
    </row>
    <row r="1288" spans="2:12" x14ac:dyDescent="0.35">
      <c r="B1288" s="44"/>
      <c r="E1288" s="5"/>
      <c r="F1288" s="5"/>
      <c r="G1288" s="5"/>
      <c r="L1288" s="21"/>
    </row>
    <row r="1289" spans="2:12" x14ac:dyDescent="0.35">
      <c r="B1289" s="44"/>
      <c r="E1289" s="5"/>
      <c r="F1289" s="5"/>
      <c r="G1289" s="5"/>
      <c r="L1289" s="21"/>
    </row>
    <row r="1290" spans="2:12" x14ac:dyDescent="0.35">
      <c r="B1290" s="44"/>
      <c r="E1290" s="5"/>
      <c r="F1290" s="5"/>
      <c r="G1290" s="5"/>
      <c r="J1290" s="39"/>
      <c r="K1290" s="234" t="s">
        <v>26</v>
      </c>
      <c r="L1290" s="235"/>
    </row>
    <row r="1291" spans="2:12" x14ac:dyDescent="0.35">
      <c r="B1291" s="44"/>
      <c r="K1291" s="236" t="s">
        <v>27</v>
      </c>
      <c r="L1291" s="237"/>
    </row>
    <row r="1292" spans="2:12" x14ac:dyDescent="0.35">
      <c r="B1292" s="238"/>
      <c r="C1292" s="239"/>
      <c r="D1292" s="239"/>
      <c r="E1292" s="40"/>
      <c r="F1292" s="40"/>
      <c r="G1292" s="40"/>
      <c r="H1292" s="2"/>
      <c r="I1292" s="2"/>
      <c r="J1292" s="2"/>
      <c r="K1292" s="2"/>
      <c r="L1292" s="20"/>
    </row>
    <row r="1293" spans="2:12" x14ac:dyDescent="0.35">
      <c r="B1293" s="222"/>
      <c r="C1293" s="47"/>
      <c r="D1293" s="48"/>
      <c r="G1293" s="21"/>
      <c r="H1293" s="1"/>
      <c r="I1293" s="1"/>
      <c r="J1293" s="42"/>
      <c r="K1293" s="29"/>
      <c r="L1293" s="43"/>
    </row>
    <row r="1294" spans="2:12" x14ac:dyDescent="0.35">
      <c r="B1294" s="196"/>
      <c r="C1294" s="104" t="s">
        <v>708</v>
      </c>
      <c r="D1294" s="167"/>
      <c r="E1294" s="168"/>
      <c r="F1294" s="169" t="s">
        <v>709</v>
      </c>
      <c r="G1294" s="29"/>
      <c r="H1294" s="175"/>
      <c r="I1294" s="176"/>
      <c r="J1294" s="28"/>
      <c r="K1294" s="50"/>
      <c r="L1294" s="45"/>
    </row>
    <row r="1295" spans="2:12" x14ac:dyDescent="0.35">
      <c r="B1295" s="197"/>
      <c r="C1295" s="68"/>
      <c r="D1295" s="167" t="s">
        <v>34</v>
      </c>
      <c r="E1295" s="168"/>
      <c r="F1295" s="169" t="s">
        <v>698</v>
      </c>
      <c r="G1295" s="29"/>
      <c r="H1295" s="131"/>
      <c r="I1295" s="120"/>
      <c r="J1295" s="49"/>
      <c r="K1295" s="50"/>
      <c r="L1295" s="45"/>
    </row>
    <row r="1296" spans="2:12" x14ac:dyDescent="0.35">
      <c r="B1296" s="180"/>
      <c r="C1296" s="70"/>
      <c r="D1296" s="167"/>
      <c r="E1296" s="168"/>
      <c r="F1296" s="169" t="s">
        <v>130</v>
      </c>
      <c r="G1296" s="29" t="s">
        <v>710</v>
      </c>
      <c r="H1296" s="109">
        <v>1</v>
      </c>
      <c r="I1296" s="120" t="s">
        <v>36</v>
      </c>
      <c r="J1296" s="28"/>
      <c r="K1296" s="50"/>
      <c r="L1296" s="45"/>
    </row>
    <row r="1297" spans="2:14" x14ac:dyDescent="0.35">
      <c r="B1297" s="55" t="s">
        <v>70</v>
      </c>
      <c r="C1297" s="56"/>
      <c r="D1297" s="57"/>
      <c r="E1297" s="161" t="s">
        <v>711</v>
      </c>
      <c r="F1297" s="161"/>
      <c r="G1297" s="162"/>
      <c r="H1297" s="131"/>
      <c r="I1297" s="120"/>
      <c r="J1297" s="49"/>
      <c r="K1297" s="28"/>
      <c r="L1297" s="51"/>
    </row>
    <row r="1298" spans="2:14" x14ac:dyDescent="0.35">
      <c r="B1298" s="174"/>
      <c r="C1298" s="104"/>
      <c r="D1298" s="167" t="s">
        <v>34</v>
      </c>
      <c r="E1298" s="168"/>
      <c r="F1298" s="169" t="s">
        <v>712</v>
      </c>
      <c r="G1298" s="29"/>
      <c r="H1298" s="109">
        <v>2</v>
      </c>
      <c r="I1298" s="120" t="s">
        <v>533</v>
      </c>
      <c r="J1298" s="49"/>
      <c r="K1298" s="28"/>
      <c r="L1298" s="51"/>
    </row>
    <row r="1299" spans="2:14" x14ac:dyDescent="0.35">
      <c r="B1299" s="180"/>
      <c r="C1299" s="70"/>
      <c r="D1299" s="105"/>
      <c r="E1299" s="171"/>
      <c r="F1299" s="169" t="s">
        <v>130</v>
      </c>
      <c r="G1299" s="29" t="s">
        <v>713</v>
      </c>
      <c r="H1299" s="131"/>
      <c r="I1299" s="120"/>
      <c r="J1299" s="49"/>
      <c r="K1299" s="28"/>
      <c r="L1299" s="51"/>
      <c r="M1299" s="210"/>
    </row>
    <row r="1300" spans="2:14" x14ac:dyDescent="0.35">
      <c r="B1300" s="196"/>
      <c r="C1300" s="68"/>
      <c r="D1300" s="167"/>
      <c r="E1300" s="171"/>
      <c r="F1300" s="169" t="s">
        <v>130</v>
      </c>
      <c r="G1300" s="29" t="s">
        <v>714</v>
      </c>
      <c r="H1300" s="131"/>
      <c r="I1300" s="120"/>
      <c r="J1300" s="49"/>
      <c r="K1300" s="28"/>
      <c r="L1300" s="51"/>
      <c r="M1300" s="210"/>
    </row>
    <row r="1301" spans="2:14" x14ac:dyDescent="0.35">
      <c r="B1301" s="158"/>
      <c r="C1301" s="60"/>
      <c r="D1301" s="151"/>
      <c r="E1301" s="172"/>
      <c r="F1301" s="169" t="s">
        <v>130</v>
      </c>
      <c r="G1301" s="29" t="s">
        <v>715</v>
      </c>
      <c r="H1301" s="131"/>
      <c r="I1301" s="120"/>
      <c r="J1301" s="49"/>
      <c r="K1301" s="28"/>
      <c r="L1301" s="51"/>
      <c r="M1301" s="210"/>
    </row>
    <row r="1302" spans="2:14" x14ac:dyDescent="0.35">
      <c r="B1302" s="158"/>
      <c r="C1302" s="60"/>
      <c r="D1302" s="151"/>
      <c r="E1302" s="172"/>
      <c r="F1302" s="169" t="s">
        <v>130</v>
      </c>
      <c r="G1302" s="29" t="s">
        <v>716</v>
      </c>
      <c r="H1302" s="131"/>
      <c r="I1302" s="120"/>
      <c r="J1302" s="49"/>
      <c r="K1302" s="28"/>
      <c r="L1302" s="51"/>
      <c r="M1302" s="210"/>
    </row>
    <row r="1303" spans="2:14" x14ac:dyDescent="0.35">
      <c r="B1303" s="180"/>
      <c r="C1303" s="62"/>
      <c r="D1303" s="181"/>
      <c r="E1303" s="198"/>
      <c r="F1303" s="169" t="s">
        <v>130</v>
      </c>
      <c r="G1303" s="29" t="s">
        <v>717</v>
      </c>
      <c r="H1303" s="131"/>
      <c r="I1303" s="120"/>
      <c r="J1303" s="49"/>
      <c r="K1303" s="28"/>
      <c r="L1303" s="51"/>
      <c r="M1303" s="210"/>
    </row>
    <row r="1304" spans="2:14" x14ac:dyDescent="0.35">
      <c r="B1304" s="55"/>
      <c r="C1304" s="56"/>
      <c r="D1304" s="57"/>
      <c r="E1304" s="161"/>
      <c r="F1304" s="161" t="s">
        <v>130</v>
      </c>
      <c r="G1304" s="29" t="s">
        <v>718</v>
      </c>
      <c r="H1304" s="169"/>
      <c r="I1304" s="29"/>
      <c r="J1304" s="49"/>
      <c r="K1304" s="28"/>
      <c r="L1304" s="51"/>
      <c r="M1304" s="210"/>
    </row>
    <row r="1305" spans="2:14" x14ac:dyDescent="0.35">
      <c r="B1305" s="180"/>
      <c r="C1305" s="62"/>
      <c r="D1305" s="181"/>
      <c r="E1305" s="198"/>
      <c r="F1305" s="169" t="s">
        <v>130</v>
      </c>
      <c r="G1305" s="29" t="s">
        <v>719</v>
      </c>
      <c r="H1305" s="131"/>
      <c r="I1305" s="120"/>
      <c r="J1305" s="49"/>
      <c r="K1305" s="28"/>
      <c r="L1305" s="51"/>
      <c r="M1305" s="210"/>
      <c r="N1305" s="210"/>
    </row>
    <row r="1306" spans="2:14" x14ac:dyDescent="0.35">
      <c r="B1306" s="55"/>
      <c r="C1306" s="56"/>
      <c r="D1306" s="63" t="s">
        <v>37</v>
      </c>
      <c r="E1306" s="161"/>
      <c r="F1306" s="169" t="s">
        <v>720</v>
      </c>
      <c r="G1306" s="162"/>
      <c r="H1306" s="163">
        <v>1</v>
      </c>
      <c r="I1306" s="164" t="s">
        <v>533</v>
      </c>
      <c r="J1306" s="49"/>
      <c r="K1306" s="28"/>
      <c r="L1306" s="51"/>
      <c r="M1306" s="210"/>
    </row>
    <row r="1307" spans="2:14" x14ac:dyDescent="0.35">
      <c r="B1307" s="165"/>
      <c r="C1307" s="166"/>
      <c r="D1307" s="167"/>
      <c r="E1307" s="168"/>
      <c r="F1307" s="169" t="s">
        <v>130</v>
      </c>
      <c r="G1307" s="29" t="s">
        <v>721</v>
      </c>
      <c r="H1307" s="131"/>
      <c r="I1307" s="120"/>
      <c r="J1307" s="49"/>
      <c r="K1307" s="28"/>
      <c r="L1307" s="51"/>
      <c r="M1307" s="210"/>
    </row>
    <row r="1308" spans="2:14" x14ac:dyDescent="0.35">
      <c r="B1308" s="158"/>
      <c r="C1308" s="104"/>
      <c r="D1308" s="105"/>
      <c r="E1308" s="171"/>
      <c r="F1308" s="169" t="s">
        <v>130</v>
      </c>
      <c r="G1308" s="29" t="s">
        <v>722</v>
      </c>
      <c r="H1308" s="131"/>
      <c r="I1308" s="120"/>
      <c r="J1308" s="49"/>
      <c r="K1308" s="28"/>
      <c r="L1308" s="51"/>
      <c r="M1308" s="210"/>
    </row>
    <row r="1309" spans="2:14" x14ac:dyDescent="0.35">
      <c r="B1309" s="158"/>
      <c r="C1309" s="104"/>
      <c r="D1309" s="105"/>
      <c r="E1309" s="172"/>
      <c r="F1309" s="161" t="s">
        <v>130</v>
      </c>
      <c r="G1309" s="29" t="s">
        <v>723</v>
      </c>
      <c r="H1309" s="169"/>
      <c r="I1309" s="29"/>
      <c r="J1309" s="49"/>
      <c r="K1309" s="28"/>
      <c r="L1309" s="51"/>
      <c r="M1309" s="210"/>
      <c r="N1309" s="210"/>
    </row>
    <row r="1310" spans="2:14" x14ac:dyDescent="0.35">
      <c r="B1310" s="158"/>
      <c r="C1310" s="104"/>
      <c r="D1310" s="105" t="s">
        <v>39</v>
      </c>
      <c r="E1310" s="171"/>
      <c r="F1310" s="169" t="s">
        <v>724</v>
      </c>
      <c r="G1310" s="29"/>
      <c r="H1310" s="170">
        <v>1</v>
      </c>
      <c r="I1310" s="52" t="s">
        <v>533</v>
      </c>
      <c r="J1310" s="49"/>
      <c r="K1310" s="28"/>
      <c r="L1310" s="51"/>
      <c r="M1310" s="210"/>
    </row>
    <row r="1311" spans="2:14" x14ac:dyDescent="0.35">
      <c r="B1311" s="158"/>
      <c r="C1311" s="104"/>
      <c r="D1311" s="105"/>
      <c r="E1311" s="172"/>
      <c r="F1311" s="60" t="s">
        <v>130</v>
      </c>
      <c r="G1311" s="60" t="s">
        <v>725</v>
      </c>
      <c r="H1311" s="137"/>
      <c r="I1311" s="66"/>
      <c r="J1311" s="49"/>
      <c r="K1311" s="28"/>
      <c r="L1311" s="51"/>
      <c r="M1311" s="210"/>
    </row>
    <row r="1312" spans="2:14" x14ac:dyDescent="0.35">
      <c r="B1312" s="158"/>
      <c r="C1312" s="173"/>
      <c r="D1312" s="167"/>
      <c r="E1312" s="171"/>
      <c r="F1312" s="60" t="s">
        <v>130</v>
      </c>
      <c r="G1312" s="60" t="s">
        <v>726</v>
      </c>
      <c r="H1312" s="137"/>
      <c r="I1312" s="66"/>
      <c r="J1312" s="49"/>
      <c r="K1312" s="28"/>
      <c r="L1312" s="51"/>
      <c r="M1312" s="210"/>
      <c r="N1312" s="210"/>
    </row>
    <row r="1313" spans="2:14" x14ac:dyDescent="0.35">
      <c r="B1313" s="158"/>
      <c r="C1313" s="104"/>
      <c r="D1313" s="105" t="s">
        <v>41</v>
      </c>
      <c r="E1313" s="171"/>
      <c r="F1313" s="169" t="s">
        <v>727</v>
      </c>
      <c r="G1313" s="29"/>
      <c r="H1313" s="170">
        <v>2</v>
      </c>
      <c r="I1313" s="52" t="s">
        <v>533</v>
      </c>
      <c r="J1313" s="49"/>
      <c r="K1313" s="28"/>
      <c r="L1313" s="51"/>
    </row>
    <row r="1314" spans="2:14" x14ac:dyDescent="0.35">
      <c r="B1314" s="158"/>
      <c r="C1314" s="104"/>
      <c r="D1314" s="105"/>
      <c r="E1314" s="172"/>
      <c r="F1314" s="60" t="s">
        <v>130</v>
      </c>
      <c r="G1314" s="60" t="s">
        <v>728</v>
      </c>
      <c r="H1314" s="137"/>
      <c r="I1314" s="66"/>
      <c r="J1314" s="49"/>
      <c r="K1314" s="28"/>
      <c r="L1314" s="51"/>
      <c r="M1314" s="210"/>
    </row>
    <row r="1315" spans="2:14" x14ac:dyDescent="0.35">
      <c r="B1315" s="158"/>
      <c r="C1315" s="173"/>
      <c r="D1315" s="167"/>
      <c r="E1315" s="171"/>
      <c r="F1315" s="60" t="s">
        <v>130</v>
      </c>
      <c r="G1315" s="60" t="s">
        <v>729</v>
      </c>
      <c r="H1315" s="137"/>
      <c r="I1315" s="66"/>
      <c r="J1315" s="49"/>
      <c r="K1315" s="28"/>
      <c r="L1315" s="51"/>
      <c r="M1315" s="210"/>
      <c r="N1315" s="210"/>
    </row>
    <row r="1316" spans="2:14" x14ac:dyDescent="0.35">
      <c r="B1316" s="55" t="s">
        <v>84</v>
      </c>
      <c r="C1316" s="56"/>
      <c r="D1316" s="57"/>
      <c r="E1316" s="161" t="s">
        <v>12</v>
      </c>
      <c r="F1316" s="161"/>
      <c r="G1316" s="162"/>
      <c r="H1316" s="137"/>
      <c r="I1316" s="66"/>
      <c r="J1316" s="49"/>
      <c r="K1316" s="28"/>
      <c r="L1316" s="51"/>
    </row>
    <row r="1317" spans="2:14" x14ac:dyDescent="0.35">
      <c r="B1317" s="158"/>
      <c r="C1317" s="188"/>
      <c r="D1317" s="167" t="s">
        <v>34</v>
      </c>
      <c r="E1317" s="171"/>
      <c r="F1317" s="60" t="s">
        <v>730</v>
      </c>
      <c r="G1317" s="60"/>
      <c r="H1317" s="199">
        <v>3</v>
      </c>
      <c r="I1317" s="66" t="s">
        <v>94</v>
      </c>
      <c r="J1317" s="49"/>
      <c r="K1317" s="28"/>
      <c r="L1317" s="51"/>
    </row>
    <row r="1318" spans="2:14" x14ac:dyDescent="0.35">
      <c r="B1318" s="174"/>
      <c r="C1318" s="104"/>
      <c r="D1318" s="105"/>
      <c r="E1318" s="171"/>
      <c r="F1318" s="169" t="s">
        <v>130</v>
      </c>
      <c r="G1318" s="169" t="s">
        <v>723</v>
      </c>
      <c r="H1318" s="192"/>
      <c r="I1318" s="52"/>
      <c r="J1318" s="49"/>
      <c r="K1318" s="28"/>
      <c r="L1318" s="51"/>
    </row>
    <row r="1319" spans="2:14" x14ac:dyDescent="0.35">
      <c r="B1319" s="174"/>
      <c r="C1319" s="104"/>
      <c r="D1319" s="105" t="s">
        <v>37</v>
      </c>
      <c r="E1319" s="172"/>
      <c r="F1319" s="60" t="s">
        <v>731</v>
      </c>
      <c r="G1319" s="60"/>
      <c r="H1319" s="75">
        <v>2</v>
      </c>
      <c r="I1319" s="66" t="s">
        <v>94</v>
      </c>
      <c r="J1319" s="49"/>
      <c r="K1319" s="28"/>
      <c r="L1319" s="51"/>
    </row>
    <row r="1320" spans="2:14" x14ac:dyDescent="0.35">
      <c r="B1320" s="174"/>
      <c r="C1320" s="104"/>
      <c r="D1320" s="105"/>
      <c r="E1320" s="172"/>
      <c r="F1320" s="60" t="s">
        <v>130</v>
      </c>
      <c r="G1320" s="60" t="s">
        <v>732</v>
      </c>
      <c r="H1320" s="110"/>
      <c r="I1320" s="66"/>
      <c r="J1320" s="49"/>
      <c r="K1320" s="28"/>
      <c r="L1320" s="51"/>
      <c r="M1320" s="217"/>
    </row>
    <row r="1321" spans="2:14" x14ac:dyDescent="0.35">
      <c r="B1321" s="174"/>
      <c r="C1321" s="166"/>
      <c r="D1321" s="105"/>
      <c r="E1321" s="171"/>
      <c r="F1321" s="161" t="s">
        <v>130</v>
      </c>
      <c r="G1321" s="29" t="s">
        <v>733</v>
      </c>
      <c r="H1321" s="169"/>
      <c r="I1321" s="169"/>
      <c r="J1321" s="49"/>
      <c r="K1321" s="28"/>
      <c r="L1321" s="51"/>
      <c r="M1321" s="217"/>
    </row>
    <row r="1322" spans="2:14" x14ac:dyDescent="0.35">
      <c r="B1322" s="196"/>
      <c r="C1322" s="68"/>
      <c r="D1322" s="167"/>
      <c r="E1322" s="171"/>
      <c r="F1322" s="169" t="s">
        <v>130</v>
      </c>
      <c r="G1322" s="29" t="s">
        <v>734</v>
      </c>
      <c r="H1322" s="131"/>
      <c r="I1322" s="120"/>
      <c r="J1322" s="49"/>
      <c r="K1322" s="28"/>
      <c r="L1322" s="51"/>
      <c r="M1322" s="217"/>
    </row>
    <row r="1323" spans="2:14" x14ac:dyDescent="0.35">
      <c r="B1323" s="158"/>
      <c r="C1323" s="60"/>
      <c r="D1323" s="151"/>
      <c r="E1323" s="172"/>
      <c r="F1323" s="169" t="s">
        <v>130</v>
      </c>
      <c r="G1323" s="29" t="s">
        <v>735</v>
      </c>
      <c r="H1323" s="131"/>
      <c r="I1323" s="120"/>
      <c r="J1323" s="49"/>
      <c r="K1323" s="28"/>
      <c r="L1323" s="51"/>
      <c r="M1323" s="217"/>
    </row>
    <row r="1324" spans="2:14" x14ac:dyDescent="0.35">
      <c r="B1324" s="158"/>
      <c r="C1324" s="60"/>
      <c r="D1324" s="151"/>
      <c r="E1324" s="172"/>
      <c r="F1324" s="169" t="s">
        <v>130</v>
      </c>
      <c r="G1324" s="29" t="s">
        <v>736</v>
      </c>
      <c r="H1324" s="131"/>
      <c r="I1324" s="120"/>
      <c r="J1324" s="49"/>
      <c r="K1324" s="28"/>
      <c r="L1324" s="51"/>
      <c r="M1324" s="217"/>
    </row>
    <row r="1325" spans="2:14" x14ac:dyDescent="0.35">
      <c r="B1325" s="196"/>
      <c r="C1325" s="68"/>
      <c r="D1325" s="167"/>
      <c r="E1325" s="171"/>
      <c r="F1325" s="169" t="s">
        <v>130</v>
      </c>
      <c r="G1325" s="29" t="s">
        <v>737</v>
      </c>
      <c r="H1325" s="131"/>
      <c r="I1325" s="120"/>
      <c r="J1325" s="49"/>
      <c r="K1325" s="28"/>
      <c r="L1325" s="51"/>
      <c r="M1325" s="217"/>
    </row>
    <row r="1326" spans="2:14" x14ac:dyDescent="0.35">
      <c r="B1326" s="196"/>
      <c r="C1326" s="68"/>
      <c r="D1326" s="167"/>
      <c r="E1326" s="171"/>
      <c r="F1326" s="169" t="s">
        <v>130</v>
      </c>
      <c r="G1326" s="29" t="s">
        <v>738</v>
      </c>
      <c r="H1326" s="131"/>
      <c r="I1326" s="120"/>
      <c r="J1326" s="49"/>
      <c r="K1326" s="28"/>
      <c r="L1326" s="51"/>
      <c r="M1326" s="217"/>
      <c r="N1326" s="210"/>
    </row>
    <row r="1327" spans="2:14" x14ac:dyDescent="0.35">
      <c r="B1327" s="229"/>
      <c r="C1327" s="104"/>
      <c r="D1327" s="105"/>
      <c r="E1327" s="107"/>
      <c r="F1327" s="107"/>
      <c r="G1327" s="108"/>
      <c r="H1327" s="131"/>
      <c r="I1327" s="108"/>
      <c r="J1327" s="49"/>
      <c r="K1327" s="28"/>
      <c r="L1327" s="51"/>
    </row>
    <row r="1328" spans="2:14" x14ac:dyDescent="0.35">
      <c r="B1328" s="180"/>
      <c r="C1328" s="62"/>
      <c r="D1328" s="181"/>
      <c r="E1328" s="182" t="s">
        <v>739</v>
      </c>
      <c r="F1328" s="183"/>
      <c r="G1328" s="184"/>
      <c r="H1328" s="185"/>
      <c r="I1328" s="186"/>
      <c r="J1328" s="49"/>
      <c r="K1328" s="28"/>
      <c r="L1328" s="51"/>
    </row>
    <row r="1329" spans="2:12" x14ac:dyDescent="0.35">
      <c r="B1329" s="55" t="s">
        <v>33</v>
      </c>
      <c r="C1329" s="56"/>
      <c r="D1329" s="57"/>
      <c r="E1329" s="161" t="s">
        <v>740</v>
      </c>
      <c r="F1329" s="161"/>
      <c r="G1329" s="162"/>
      <c r="H1329" s="170"/>
      <c r="I1329" s="52"/>
      <c r="J1329" s="49"/>
      <c r="K1329" s="28"/>
      <c r="L1329" s="51"/>
    </row>
    <row r="1330" spans="2:12" x14ac:dyDescent="0.35">
      <c r="B1330" s="158"/>
      <c r="C1330" s="188"/>
      <c r="D1330" s="167" t="s">
        <v>34</v>
      </c>
      <c r="E1330" s="171"/>
      <c r="F1330" s="60" t="s">
        <v>741</v>
      </c>
      <c r="G1330" s="60"/>
      <c r="H1330" s="218">
        <v>1</v>
      </c>
      <c r="I1330" s="66" t="s">
        <v>533</v>
      </c>
      <c r="J1330" s="28"/>
      <c r="K1330" s="50"/>
      <c r="L1330" s="45"/>
    </row>
    <row r="1331" spans="2:12" x14ac:dyDescent="0.35">
      <c r="B1331" s="174"/>
      <c r="C1331" s="104"/>
      <c r="D1331" s="105"/>
      <c r="E1331" s="171"/>
      <c r="F1331" s="60" t="s">
        <v>130</v>
      </c>
      <c r="G1331" s="52" t="s">
        <v>804</v>
      </c>
      <c r="H1331" s="219"/>
      <c r="I1331" s="214"/>
      <c r="J1331" s="28"/>
      <c r="K1331" s="50"/>
      <c r="L1331" s="45"/>
    </row>
    <row r="1332" spans="2:12" x14ac:dyDescent="0.35">
      <c r="B1332" s="174"/>
      <c r="C1332" s="104"/>
      <c r="D1332" s="105"/>
      <c r="E1332" s="171"/>
      <c r="F1332" s="60" t="s">
        <v>130</v>
      </c>
      <c r="G1332" s="52" t="s">
        <v>805</v>
      </c>
      <c r="H1332" s="219"/>
      <c r="I1332" s="214"/>
      <c r="J1332" s="28"/>
      <c r="K1332" s="50"/>
      <c r="L1332" s="45"/>
    </row>
    <row r="1333" spans="2:12" x14ac:dyDescent="0.35">
      <c r="B1333" s="158"/>
      <c r="C1333" s="188"/>
      <c r="D1333" s="167" t="s">
        <v>37</v>
      </c>
      <c r="E1333" s="171"/>
      <c r="F1333" s="60" t="s">
        <v>742</v>
      </c>
      <c r="G1333" s="60"/>
      <c r="H1333" s="218">
        <v>1</v>
      </c>
      <c r="I1333" s="66" t="s">
        <v>533</v>
      </c>
      <c r="J1333" s="28"/>
      <c r="K1333" s="50"/>
      <c r="L1333" s="45"/>
    </row>
    <row r="1334" spans="2:12" x14ac:dyDescent="0.35">
      <c r="B1334" s="174"/>
      <c r="C1334" s="104"/>
      <c r="D1334" s="105"/>
      <c r="E1334" s="171"/>
      <c r="F1334" s="60" t="s">
        <v>130</v>
      </c>
      <c r="G1334" s="52" t="s">
        <v>804</v>
      </c>
      <c r="H1334" s="219"/>
      <c r="I1334" s="214"/>
      <c r="J1334" s="28"/>
      <c r="K1334" s="50"/>
      <c r="L1334" s="45"/>
    </row>
    <row r="1335" spans="2:12" x14ac:dyDescent="0.35">
      <c r="B1335" s="174"/>
      <c r="C1335" s="104"/>
      <c r="D1335" s="105"/>
      <c r="E1335" s="171"/>
      <c r="F1335" s="60" t="s">
        <v>130</v>
      </c>
      <c r="G1335" s="52" t="s">
        <v>805</v>
      </c>
      <c r="H1335" s="219"/>
      <c r="I1335" s="214"/>
      <c r="J1335" s="28"/>
      <c r="K1335" s="50"/>
      <c r="L1335" s="45"/>
    </row>
    <row r="1336" spans="2:12" x14ac:dyDescent="0.35">
      <c r="B1336" s="158"/>
      <c r="C1336" s="188"/>
      <c r="D1336" s="167" t="s">
        <v>39</v>
      </c>
      <c r="E1336" s="171"/>
      <c r="F1336" s="60" t="s">
        <v>743</v>
      </c>
      <c r="G1336" s="60"/>
      <c r="H1336" s="218">
        <v>1</v>
      </c>
      <c r="I1336" s="66" t="s">
        <v>533</v>
      </c>
      <c r="J1336" s="28"/>
      <c r="K1336" s="50"/>
      <c r="L1336" s="45"/>
    </row>
    <row r="1337" spans="2:12" x14ac:dyDescent="0.35">
      <c r="B1337" s="174"/>
      <c r="C1337" s="104"/>
      <c r="D1337" s="105"/>
      <c r="E1337" s="171"/>
      <c r="F1337" s="60" t="s">
        <v>130</v>
      </c>
      <c r="G1337" s="52" t="s">
        <v>806</v>
      </c>
      <c r="H1337" s="219"/>
      <c r="I1337" s="214"/>
      <c r="J1337" s="203"/>
      <c r="K1337" s="50"/>
      <c r="L1337" s="45"/>
    </row>
    <row r="1338" spans="2:12" x14ac:dyDescent="0.35">
      <c r="B1338" s="158"/>
      <c r="C1338" s="188"/>
      <c r="D1338" s="167" t="s">
        <v>41</v>
      </c>
      <c r="E1338" s="171"/>
      <c r="F1338" s="60" t="s">
        <v>744</v>
      </c>
      <c r="G1338" s="60"/>
      <c r="H1338" s="218">
        <v>1</v>
      </c>
      <c r="I1338" s="66" t="s">
        <v>533</v>
      </c>
      <c r="J1338" s="28"/>
      <c r="K1338" s="50"/>
      <c r="L1338" s="45"/>
    </row>
    <row r="1339" spans="2:12" x14ac:dyDescent="0.35">
      <c r="B1339" s="174"/>
      <c r="C1339" s="104"/>
      <c r="D1339" s="105"/>
      <c r="E1339" s="171"/>
      <c r="F1339" s="60" t="s">
        <v>130</v>
      </c>
      <c r="G1339" s="52" t="s">
        <v>806</v>
      </c>
      <c r="H1339" s="102"/>
      <c r="I1339" s="52"/>
      <c r="J1339" s="49"/>
      <c r="K1339" s="28"/>
      <c r="L1339" s="51"/>
    </row>
    <row r="1340" spans="2:12" x14ac:dyDescent="0.35">
      <c r="B1340" s="165"/>
      <c r="C1340" s="166"/>
      <c r="D1340" s="167"/>
      <c r="E1340" s="168"/>
      <c r="F1340" s="169"/>
      <c r="G1340" s="29"/>
      <c r="H1340" s="170"/>
      <c r="I1340" s="52"/>
      <c r="J1340" s="49"/>
      <c r="K1340" s="28"/>
      <c r="L1340" s="51"/>
    </row>
    <row r="1341" spans="2:12" x14ac:dyDescent="0.35">
      <c r="B1341" s="165"/>
      <c r="C1341" s="166"/>
      <c r="D1341" s="167"/>
      <c r="E1341" s="168"/>
      <c r="F1341" s="169"/>
      <c r="G1341" s="29"/>
      <c r="H1341" s="170"/>
      <c r="I1341" s="52"/>
      <c r="J1341" s="49"/>
      <c r="K1341" s="28"/>
      <c r="L1341" s="51"/>
    </row>
    <row r="1342" spans="2:12" x14ac:dyDescent="0.35">
      <c r="B1342" s="187"/>
      <c r="C1342" s="188"/>
      <c r="D1342" s="189"/>
      <c r="E1342" s="188"/>
      <c r="F1342" s="169"/>
      <c r="G1342" s="29"/>
      <c r="H1342" s="170"/>
      <c r="I1342" s="52"/>
      <c r="J1342" s="49"/>
      <c r="K1342" s="28"/>
      <c r="L1342" s="51"/>
    </row>
    <row r="1343" spans="2:12" x14ac:dyDescent="0.35">
      <c r="B1343" s="187"/>
      <c r="C1343" s="188"/>
      <c r="D1343" s="189"/>
      <c r="E1343" s="190"/>
      <c r="F1343" s="171"/>
      <c r="G1343" s="177"/>
      <c r="H1343" s="185"/>
      <c r="I1343" s="176"/>
      <c r="J1343" s="49"/>
      <c r="K1343" s="28"/>
      <c r="L1343" s="51"/>
    </row>
    <row r="1344" spans="2:12" x14ac:dyDescent="0.35">
      <c r="B1344" s="165"/>
      <c r="C1344" s="166"/>
      <c r="D1344" s="167"/>
      <c r="E1344" s="168"/>
      <c r="F1344" s="169"/>
      <c r="G1344" s="29"/>
      <c r="H1344" s="170"/>
      <c r="I1344" s="52"/>
      <c r="J1344" s="49"/>
      <c r="K1344" s="28"/>
      <c r="L1344" s="51"/>
    </row>
    <row r="1345" spans="2:12" x14ac:dyDescent="0.35">
      <c r="B1345" s="224"/>
      <c r="C1345" s="47"/>
      <c r="D1345" s="23"/>
      <c r="G1345" s="21"/>
      <c r="I1345" s="21"/>
      <c r="J1345" s="49"/>
      <c r="K1345" s="28"/>
      <c r="L1345" s="51"/>
    </row>
    <row r="1346" spans="2:12" x14ac:dyDescent="0.35">
      <c r="B1346" s="8"/>
      <c r="C1346" s="9"/>
      <c r="D1346" s="10"/>
      <c r="E1346" s="4"/>
      <c r="F1346" s="4"/>
      <c r="G1346" s="4"/>
      <c r="H1346" s="1"/>
      <c r="I1346" s="1"/>
      <c r="J1346" s="11" t="s">
        <v>8</v>
      </c>
      <c r="K1346" s="7">
        <f>SUM(K1293:K1345)</f>
        <v>0</v>
      </c>
      <c r="L1346" s="7">
        <f>SUM(L1293:L1345)</f>
        <v>0</v>
      </c>
    </row>
    <row r="1347" spans="2:12" x14ac:dyDescent="0.35">
      <c r="B1347" s="8"/>
      <c r="C1347" s="9"/>
      <c r="D1347" s="9"/>
      <c r="E1347" s="4"/>
      <c r="F1347" s="4"/>
      <c r="G1347" s="4"/>
      <c r="H1347" s="1"/>
      <c r="I1347" s="1"/>
      <c r="J1347" s="11"/>
      <c r="K1347" s="34" t="s">
        <v>13</v>
      </c>
      <c r="L1347" s="35" t="s">
        <v>14</v>
      </c>
    </row>
    <row r="1348" spans="2:12" x14ac:dyDescent="0.35">
      <c r="B1348" s="3" t="s">
        <v>9</v>
      </c>
      <c r="C1348" s="4"/>
      <c r="D1348" s="4"/>
      <c r="E1348" s="4"/>
      <c r="F1348" s="4"/>
      <c r="G1348" s="4"/>
      <c r="H1348" s="1"/>
      <c r="I1348" s="1"/>
      <c r="J1348" s="12"/>
      <c r="K1348" s="12"/>
      <c r="L1348" s="13"/>
    </row>
    <row r="1349" spans="2:12" x14ac:dyDescent="0.35">
      <c r="B1349" s="36"/>
      <c r="C1349" s="1"/>
      <c r="D1349" s="1"/>
      <c r="E1349" s="37"/>
      <c r="F1349" s="37"/>
      <c r="G1349" s="37"/>
      <c r="H1349" s="1"/>
      <c r="I1349" s="1"/>
      <c r="J1349" s="1"/>
      <c r="K1349" s="1"/>
      <c r="L1349" s="18"/>
    </row>
    <row r="1350" spans="2:12" x14ac:dyDescent="0.35">
      <c r="B1350" s="27" t="s">
        <v>6</v>
      </c>
      <c r="C1350" s="26"/>
      <c r="D1350" s="26"/>
      <c r="E1350" s="25"/>
      <c r="F1350" s="25"/>
      <c r="G1350" s="5"/>
      <c r="K1350" s="232" t="s">
        <v>813</v>
      </c>
      <c r="L1350" s="233"/>
    </row>
    <row r="1351" spans="2:12" x14ac:dyDescent="0.35">
      <c r="B1351" s="27">
        <v>1</v>
      </c>
      <c r="C1351" s="26"/>
      <c r="D1351" s="26"/>
      <c r="E1351" s="25" t="s">
        <v>7</v>
      </c>
      <c r="F1351" s="25"/>
      <c r="G1351" s="5"/>
      <c r="K1351" s="232" t="s">
        <v>18</v>
      </c>
      <c r="L1351" s="233"/>
    </row>
    <row r="1352" spans="2:12" x14ac:dyDescent="0.35">
      <c r="B1352" s="38"/>
      <c r="C1352" s="26"/>
      <c r="D1352" s="26"/>
      <c r="E1352" s="25"/>
      <c r="F1352" s="25"/>
      <c r="G1352" s="5"/>
      <c r="J1352" s="24"/>
      <c r="K1352" s="24"/>
      <c r="L1352" s="23"/>
    </row>
    <row r="1353" spans="2:12" x14ac:dyDescent="0.35">
      <c r="B1353" s="27"/>
      <c r="C1353" s="26"/>
      <c r="D1353" s="26"/>
      <c r="E1353" s="25"/>
      <c r="F1353" s="25"/>
      <c r="G1353" s="5"/>
      <c r="L1353" s="21"/>
    </row>
    <row r="1354" spans="2:12" x14ac:dyDescent="0.35">
      <c r="B1354" s="44"/>
      <c r="E1354" s="5"/>
      <c r="F1354" s="5"/>
      <c r="G1354" s="5"/>
      <c r="L1354" s="21"/>
    </row>
    <row r="1355" spans="2:12" x14ac:dyDescent="0.35">
      <c r="B1355" s="44"/>
      <c r="E1355" s="5"/>
      <c r="F1355" s="5"/>
      <c r="G1355" s="5"/>
      <c r="L1355" s="21"/>
    </row>
    <row r="1356" spans="2:12" x14ac:dyDescent="0.35">
      <c r="B1356" s="44"/>
      <c r="E1356" s="5"/>
      <c r="F1356" s="5"/>
      <c r="G1356" s="5"/>
      <c r="L1356" s="21"/>
    </row>
    <row r="1357" spans="2:12" x14ac:dyDescent="0.35">
      <c r="B1357" s="44"/>
      <c r="E1357" s="5"/>
      <c r="F1357" s="5"/>
      <c r="G1357" s="5"/>
      <c r="J1357" s="39"/>
      <c r="K1357" s="234" t="s">
        <v>26</v>
      </c>
      <c r="L1357" s="235"/>
    </row>
    <row r="1358" spans="2:12" x14ac:dyDescent="0.35">
      <c r="B1358" s="44"/>
      <c r="K1358" s="236" t="s">
        <v>27</v>
      </c>
      <c r="L1358" s="237"/>
    </row>
    <row r="1359" spans="2:12" x14ac:dyDescent="0.35">
      <c r="B1359" s="238"/>
      <c r="C1359" s="239"/>
      <c r="D1359" s="239"/>
      <c r="E1359" s="40"/>
      <c r="F1359" s="40"/>
      <c r="G1359" s="40"/>
      <c r="H1359" s="2"/>
      <c r="I1359" s="2"/>
      <c r="J1359" s="2"/>
      <c r="K1359" s="2"/>
      <c r="L1359" s="20"/>
    </row>
    <row r="1360" spans="2:12" x14ac:dyDescent="0.35">
      <c r="B1360" s="222"/>
      <c r="C1360" s="47"/>
      <c r="D1360" s="48"/>
      <c r="G1360" s="21"/>
      <c r="H1360" s="1"/>
      <c r="I1360" s="1"/>
      <c r="J1360" s="42"/>
      <c r="K1360" s="29"/>
      <c r="L1360" s="43"/>
    </row>
    <row r="1361" spans="2:14" x14ac:dyDescent="0.35">
      <c r="B1361" s="180"/>
      <c r="C1361" s="62"/>
      <c r="D1361" s="181"/>
      <c r="E1361" s="182" t="s">
        <v>745</v>
      </c>
      <c r="F1361" s="183"/>
      <c r="G1361" s="184"/>
      <c r="H1361" s="185"/>
      <c r="I1361" s="186"/>
      <c r="J1361" s="28"/>
      <c r="K1361" s="50"/>
      <c r="L1361" s="45"/>
    </row>
    <row r="1362" spans="2:14" x14ac:dyDescent="0.35">
      <c r="B1362" s="55" t="s">
        <v>33</v>
      </c>
      <c r="C1362" s="56"/>
      <c r="D1362" s="57"/>
      <c r="E1362" s="161" t="s">
        <v>740</v>
      </c>
      <c r="F1362" s="161"/>
      <c r="G1362" s="162"/>
      <c r="H1362" s="170"/>
      <c r="I1362" s="52"/>
      <c r="J1362" s="49"/>
      <c r="K1362" s="50"/>
      <c r="L1362" s="45"/>
    </row>
    <row r="1363" spans="2:14" x14ac:dyDescent="0.35">
      <c r="B1363" s="158"/>
      <c r="C1363" s="188"/>
      <c r="D1363" s="167" t="s">
        <v>34</v>
      </c>
      <c r="E1363" s="171"/>
      <c r="F1363" s="60" t="s">
        <v>746</v>
      </c>
      <c r="G1363" s="60"/>
      <c r="H1363" s="199"/>
      <c r="I1363" s="66"/>
      <c r="J1363" s="49"/>
      <c r="K1363" s="50"/>
      <c r="L1363" s="45"/>
    </row>
    <row r="1364" spans="2:14" x14ac:dyDescent="0.35">
      <c r="B1364" s="174"/>
      <c r="C1364" s="104"/>
      <c r="D1364" s="105"/>
      <c r="E1364" s="171"/>
      <c r="F1364" s="60" t="s">
        <v>130</v>
      </c>
      <c r="G1364" s="52" t="s">
        <v>747</v>
      </c>
      <c r="H1364" s="102">
        <v>4</v>
      </c>
      <c r="I1364" s="52" t="s">
        <v>83</v>
      </c>
      <c r="J1364" s="49"/>
      <c r="K1364" s="28"/>
      <c r="L1364" s="51"/>
      <c r="M1364" s="217"/>
    </row>
    <row r="1365" spans="2:14" x14ac:dyDescent="0.35">
      <c r="B1365" s="174"/>
      <c r="C1365" s="104"/>
      <c r="D1365" s="105"/>
      <c r="E1365" s="171"/>
      <c r="F1365" s="60" t="s">
        <v>130</v>
      </c>
      <c r="G1365" s="52" t="s">
        <v>748</v>
      </c>
      <c r="H1365" s="102">
        <v>2</v>
      </c>
      <c r="I1365" s="52" t="s">
        <v>83</v>
      </c>
      <c r="J1365" s="49"/>
      <c r="K1365" s="28"/>
      <c r="L1365" s="51"/>
      <c r="M1365" s="217"/>
    </row>
    <row r="1366" spans="2:14" x14ac:dyDescent="0.35">
      <c r="B1366" s="174"/>
      <c r="C1366" s="104"/>
      <c r="D1366" s="105"/>
      <c r="E1366" s="171"/>
      <c r="F1366" s="60" t="s">
        <v>130</v>
      </c>
      <c r="G1366" s="52" t="s">
        <v>749</v>
      </c>
      <c r="H1366" s="102">
        <v>2</v>
      </c>
      <c r="I1366" s="52" t="s">
        <v>83</v>
      </c>
      <c r="J1366" s="49"/>
      <c r="K1366" s="28"/>
      <c r="L1366" s="51"/>
      <c r="M1366" s="217"/>
    </row>
    <row r="1367" spans="2:14" x14ac:dyDescent="0.35">
      <c r="B1367" s="174"/>
      <c r="C1367" s="104"/>
      <c r="D1367" s="105"/>
      <c r="E1367" s="171"/>
      <c r="F1367" s="60" t="s">
        <v>130</v>
      </c>
      <c r="G1367" s="52" t="s">
        <v>750</v>
      </c>
      <c r="H1367" s="102">
        <v>4</v>
      </c>
      <c r="I1367" s="52" t="s">
        <v>83</v>
      </c>
      <c r="J1367" s="49"/>
      <c r="K1367" s="28"/>
      <c r="L1367" s="51"/>
      <c r="M1367" s="217"/>
    </row>
    <row r="1368" spans="2:14" x14ac:dyDescent="0.35">
      <c r="B1368" s="174"/>
      <c r="C1368" s="104"/>
      <c r="D1368" s="105"/>
      <c r="E1368" s="171"/>
      <c r="F1368" s="60" t="s">
        <v>130</v>
      </c>
      <c r="G1368" s="52" t="s">
        <v>751</v>
      </c>
      <c r="H1368" s="102">
        <v>2</v>
      </c>
      <c r="I1368" s="52" t="s">
        <v>83</v>
      </c>
      <c r="J1368" s="49"/>
      <c r="K1368" s="28"/>
      <c r="L1368" s="51"/>
      <c r="M1368" s="217"/>
    </row>
    <row r="1369" spans="2:14" x14ac:dyDescent="0.35">
      <c r="B1369" s="174"/>
      <c r="C1369" s="104"/>
      <c r="D1369" s="105"/>
      <c r="E1369" s="171"/>
      <c r="F1369" s="60" t="s">
        <v>130</v>
      </c>
      <c r="G1369" s="52" t="s">
        <v>752</v>
      </c>
      <c r="H1369" s="102">
        <v>2</v>
      </c>
      <c r="I1369" s="52" t="s">
        <v>83</v>
      </c>
      <c r="J1369" s="49"/>
      <c r="K1369" s="28"/>
      <c r="L1369" s="51"/>
      <c r="M1369" s="217"/>
    </row>
    <row r="1370" spans="2:14" x14ac:dyDescent="0.35">
      <c r="B1370" s="55" t="s">
        <v>70</v>
      </c>
      <c r="C1370" s="56"/>
      <c r="D1370" s="57"/>
      <c r="E1370" s="161" t="s">
        <v>753</v>
      </c>
      <c r="F1370" s="161"/>
      <c r="G1370" s="162"/>
      <c r="H1370" s="170"/>
      <c r="I1370" s="52"/>
      <c r="J1370" s="49"/>
      <c r="K1370" s="28"/>
      <c r="L1370" s="51"/>
    </row>
    <row r="1371" spans="2:14" x14ac:dyDescent="0.35">
      <c r="B1371" s="158"/>
      <c r="C1371" s="188"/>
      <c r="D1371" s="167" t="s">
        <v>34</v>
      </c>
      <c r="E1371" s="171"/>
      <c r="F1371" s="60" t="s">
        <v>754</v>
      </c>
      <c r="G1371" s="60"/>
      <c r="H1371" s="199">
        <v>1</v>
      </c>
      <c r="I1371" s="66" t="s">
        <v>94</v>
      </c>
      <c r="J1371" s="49"/>
      <c r="K1371" s="28"/>
      <c r="L1371" s="51"/>
    </row>
    <row r="1372" spans="2:14" x14ac:dyDescent="0.35">
      <c r="B1372" s="174"/>
      <c r="C1372" s="104"/>
      <c r="D1372" s="105"/>
      <c r="E1372" s="171"/>
      <c r="F1372" s="60" t="s">
        <v>130</v>
      </c>
      <c r="G1372" s="52" t="s">
        <v>755</v>
      </c>
      <c r="H1372" s="94"/>
      <c r="I1372" s="52"/>
      <c r="J1372" s="49"/>
      <c r="K1372" s="28"/>
      <c r="L1372" s="51"/>
      <c r="M1372" s="210"/>
    </row>
    <row r="1373" spans="2:14" x14ac:dyDescent="0.35">
      <c r="B1373" s="174"/>
      <c r="C1373" s="104"/>
      <c r="D1373" s="105"/>
      <c r="E1373" s="171"/>
      <c r="F1373" s="60" t="s">
        <v>130</v>
      </c>
      <c r="G1373" s="52" t="s">
        <v>756</v>
      </c>
      <c r="H1373" s="94"/>
      <c r="I1373" s="52"/>
      <c r="J1373" s="49"/>
      <c r="K1373" s="28"/>
      <c r="L1373" s="51"/>
      <c r="M1373" s="210"/>
    </row>
    <row r="1374" spans="2:14" x14ac:dyDescent="0.35">
      <c r="B1374" s="174"/>
      <c r="C1374" s="104"/>
      <c r="D1374" s="105"/>
      <c r="E1374" s="171"/>
      <c r="F1374" s="60" t="s">
        <v>130</v>
      </c>
      <c r="G1374" s="52" t="s">
        <v>758</v>
      </c>
      <c r="H1374" s="102"/>
      <c r="I1374" s="52"/>
      <c r="J1374" s="49"/>
      <c r="K1374" s="28"/>
      <c r="L1374" s="51"/>
      <c r="M1374" s="210"/>
    </row>
    <row r="1375" spans="2:14" x14ac:dyDescent="0.35">
      <c r="B1375" s="174"/>
      <c r="C1375" s="104"/>
      <c r="D1375" s="105"/>
      <c r="E1375" s="171"/>
      <c r="F1375" s="60" t="s">
        <v>130</v>
      </c>
      <c r="G1375" s="52" t="s">
        <v>759</v>
      </c>
      <c r="H1375" s="102"/>
      <c r="I1375" s="52"/>
      <c r="J1375" s="49"/>
      <c r="K1375" s="28"/>
      <c r="L1375" s="51"/>
      <c r="M1375" s="210"/>
    </row>
    <row r="1376" spans="2:14" x14ac:dyDescent="0.35">
      <c r="B1376" s="174"/>
      <c r="C1376" s="104"/>
      <c r="D1376" s="105"/>
      <c r="E1376" s="171"/>
      <c r="F1376" s="60" t="s">
        <v>130</v>
      </c>
      <c r="G1376" s="52" t="s">
        <v>760</v>
      </c>
      <c r="H1376" s="102"/>
      <c r="I1376" s="52"/>
      <c r="J1376" s="49"/>
      <c r="K1376" s="28"/>
      <c r="L1376" s="51"/>
      <c r="M1376" s="210"/>
      <c r="N1376" s="210"/>
    </row>
    <row r="1377" spans="2:14" x14ac:dyDescent="0.35">
      <c r="B1377" s="158"/>
      <c r="C1377" s="188"/>
      <c r="D1377" s="167" t="s">
        <v>37</v>
      </c>
      <c r="E1377" s="171"/>
      <c r="F1377" s="60" t="s">
        <v>757</v>
      </c>
      <c r="G1377" s="60"/>
      <c r="H1377" s="199">
        <v>1</v>
      </c>
      <c r="I1377" s="66" t="s">
        <v>94</v>
      </c>
      <c r="J1377" s="49"/>
      <c r="K1377" s="28"/>
      <c r="L1377" s="51"/>
      <c r="M1377" s="210"/>
    </row>
    <row r="1378" spans="2:14" x14ac:dyDescent="0.35">
      <c r="B1378" s="174"/>
      <c r="C1378" s="104"/>
      <c r="D1378" s="105"/>
      <c r="E1378" s="171"/>
      <c r="F1378" s="60" t="s">
        <v>130</v>
      </c>
      <c r="G1378" s="52" t="s">
        <v>755</v>
      </c>
      <c r="H1378" s="94"/>
      <c r="I1378" s="52"/>
      <c r="J1378" s="49"/>
      <c r="K1378" s="28"/>
      <c r="L1378" s="51"/>
      <c r="M1378" s="210"/>
    </row>
    <row r="1379" spans="2:14" x14ac:dyDescent="0.35">
      <c r="B1379" s="174"/>
      <c r="C1379" s="104"/>
      <c r="D1379" s="105"/>
      <c r="E1379" s="171"/>
      <c r="F1379" s="60" t="s">
        <v>130</v>
      </c>
      <c r="G1379" s="52" t="s">
        <v>756</v>
      </c>
      <c r="H1379" s="94"/>
      <c r="I1379" s="52"/>
      <c r="J1379" s="49"/>
      <c r="K1379" s="28"/>
      <c r="L1379" s="51"/>
      <c r="M1379" s="210"/>
    </row>
    <row r="1380" spans="2:14" x14ac:dyDescent="0.35">
      <c r="B1380" s="174"/>
      <c r="C1380" s="104"/>
      <c r="D1380" s="105"/>
      <c r="E1380" s="171"/>
      <c r="F1380" s="60" t="s">
        <v>130</v>
      </c>
      <c r="G1380" s="52" t="s">
        <v>758</v>
      </c>
      <c r="H1380" s="102"/>
      <c r="I1380" s="52"/>
      <c r="J1380" s="49"/>
      <c r="K1380" s="28"/>
      <c r="L1380" s="51"/>
      <c r="M1380" s="210"/>
    </row>
    <row r="1381" spans="2:14" x14ac:dyDescent="0.35">
      <c r="B1381" s="174"/>
      <c r="C1381" s="104"/>
      <c r="D1381" s="105"/>
      <c r="E1381" s="171"/>
      <c r="F1381" s="60" t="s">
        <v>130</v>
      </c>
      <c r="G1381" s="52" t="s">
        <v>759</v>
      </c>
      <c r="H1381" s="102"/>
      <c r="I1381" s="52"/>
      <c r="J1381" s="49"/>
      <c r="K1381" s="28"/>
      <c r="L1381" s="51"/>
      <c r="M1381" s="210"/>
    </row>
    <row r="1382" spans="2:14" x14ac:dyDescent="0.35">
      <c r="B1382" s="174"/>
      <c r="C1382" s="104"/>
      <c r="D1382" s="105"/>
      <c r="E1382" s="171"/>
      <c r="F1382" s="60" t="s">
        <v>130</v>
      </c>
      <c r="G1382" s="52" t="s">
        <v>760</v>
      </c>
      <c r="H1382" s="102"/>
      <c r="I1382" s="52"/>
      <c r="J1382" s="49"/>
      <c r="K1382" s="28"/>
      <c r="L1382" s="51"/>
      <c r="M1382" s="210"/>
      <c r="N1382" s="210"/>
    </row>
    <row r="1383" spans="2:14" s="33" customFormat="1" x14ac:dyDescent="0.35">
      <c r="B1383" s="158"/>
      <c r="C1383" s="188"/>
      <c r="D1383" s="167" t="s">
        <v>39</v>
      </c>
      <c r="E1383" s="171"/>
      <c r="F1383" s="60" t="s">
        <v>761</v>
      </c>
      <c r="G1383" s="60"/>
      <c r="H1383" s="192">
        <v>1</v>
      </c>
      <c r="I1383" s="66" t="s">
        <v>36</v>
      </c>
      <c r="J1383" s="28"/>
      <c r="K1383" s="28"/>
      <c r="L1383" s="51"/>
    </row>
    <row r="1384" spans="2:14" x14ac:dyDescent="0.35">
      <c r="B1384" s="174"/>
      <c r="C1384" s="104"/>
      <c r="D1384" s="105" t="s">
        <v>41</v>
      </c>
      <c r="E1384" s="171"/>
      <c r="F1384" s="60" t="s">
        <v>808</v>
      </c>
      <c r="G1384" s="52"/>
      <c r="H1384" s="192">
        <v>1</v>
      </c>
      <c r="I1384" s="66" t="s">
        <v>36</v>
      </c>
      <c r="J1384" s="28"/>
      <c r="K1384" s="28"/>
      <c r="L1384" s="51"/>
      <c r="M1384" s="217"/>
      <c r="N1384" s="211"/>
    </row>
    <row r="1385" spans="2:14" x14ac:dyDescent="0.35">
      <c r="B1385" s="174"/>
      <c r="C1385" s="104"/>
      <c r="D1385" s="105"/>
      <c r="E1385" s="171"/>
      <c r="F1385" s="230" t="s">
        <v>130</v>
      </c>
      <c r="G1385" s="231" t="s">
        <v>809</v>
      </c>
      <c r="H1385" s="102"/>
      <c r="I1385" s="52"/>
      <c r="J1385" s="49"/>
      <c r="K1385" s="28"/>
      <c r="L1385" s="51"/>
    </row>
    <row r="1386" spans="2:14" x14ac:dyDescent="0.35">
      <c r="B1386" s="174"/>
      <c r="C1386" s="104"/>
      <c r="D1386" s="105"/>
      <c r="E1386" s="171"/>
      <c r="F1386" s="230" t="s">
        <v>130</v>
      </c>
      <c r="G1386" s="231" t="s">
        <v>810</v>
      </c>
      <c r="H1386" s="102"/>
      <c r="I1386" s="52"/>
      <c r="J1386" s="49"/>
      <c r="K1386" s="28"/>
      <c r="L1386" s="51"/>
    </row>
    <row r="1387" spans="2:14" s="33" customFormat="1" x14ac:dyDescent="0.35">
      <c r="B1387" s="158"/>
      <c r="C1387" s="188"/>
      <c r="D1387" s="167"/>
      <c r="E1387" s="171"/>
      <c r="F1387" s="230" t="s">
        <v>130</v>
      </c>
      <c r="G1387" s="231" t="s">
        <v>811</v>
      </c>
      <c r="H1387" s="192"/>
      <c r="I1387" s="66"/>
      <c r="J1387" s="28"/>
      <c r="K1387" s="28"/>
      <c r="L1387" s="51"/>
    </row>
    <row r="1388" spans="2:14" s="33" customFormat="1" x14ac:dyDescent="0.35">
      <c r="B1388" s="174"/>
      <c r="C1388" s="104"/>
      <c r="D1388" s="105" t="s">
        <v>44</v>
      </c>
      <c r="E1388" s="171"/>
      <c r="F1388" s="60" t="s">
        <v>812</v>
      </c>
      <c r="G1388" s="52"/>
      <c r="H1388" s="192">
        <v>1</v>
      </c>
      <c r="I1388" s="66" t="s">
        <v>36</v>
      </c>
      <c r="J1388" s="28"/>
      <c r="K1388" s="28"/>
      <c r="L1388" s="51"/>
    </row>
    <row r="1389" spans="2:14" s="33" customFormat="1" x14ac:dyDescent="0.35">
      <c r="B1389" s="174"/>
      <c r="C1389" s="104"/>
      <c r="D1389" s="105"/>
      <c r="E1389" s="171"/>
      <c r="F1389" s="60"/>
      <c r="G1389" s="52"/>
      <c r="H1389" s="102"/>
      <c r="I1389" s="52"/>
      <c r="J1389" s="28"/>
      <c r="K1389" s="28"/>
      <c r="L1389" s="51"/>
    </row>
    <row r="1390" spans="2:14" s="33" customFormat="1" x14ac:dyDescent="0.35">
      <c r="B1390" s="174"/>
      <c r="C1390" s="104"/>
      <c r="D1390" s="105"/>
      <c r="E1390" s="171"/>
      <c r="F1390" s="60"/>
      <c r="G1390" s="52"/>
      <c r="H1390" s="102"/>
      <c r="I1390" s="52"/>
      <c r="J1390" s="28"/>
      <c r="K1390" s="28"/>
      <c r="L1390" s="51"/>
    </row>
    <row r="1391" spans="2:14" s="33" customFormat="1" x14ac:dyDescent="0.35">
      <c r="B1391" s="174"/>
      <c r="C1391" s="104"/>
      <c r="D1391" s="105"/>
      <c r="E1391" s="171"/>
      <c r="F1391" s="60"/>
      <c r="G1391" s="52"/>
      <c r="H1391" s="102"/>
      <c r="I1391" s="52"/>
      <c r="J1391" s="28"/>
      <c r="K1391" s="28"/>
      <c r="L1391" s="51"/>
    </row>
    <row r="1392" spans="2:14" x14ac:dyDescent="0.35">
      <c r="B1392" s="180"/>
      <c r="C1392" s="62"/>
      <c r="D1392" s="181"/>
      <c r="E1392" s="198"/>
      <c r="F1392" s="169"/>
      <c r="G1392" s="29"/>
      <c r="H1392" s="185"/>
      <c r="I1392" s="200"/>
      <c r="J1392" s="49"/>
      <c r="K1392" s="28"/>
      <c r="L1392" s="51"/>
    </row>
    <row r="1393" spans="2:12" s="33" customFormat="1" x14ac:dyDescent="0.35">
      <c r="B1393" s="180"/>
      <c r="C1393" s="62"/>
      <c r="D1393" s="181"/>
      <c r="E1393" s="198"/>
      <c r="F1393" s="169"/>
      <c r="G1393" s="29"/>
      <c r="H1393" s="185"/>
      <c r="I1393" s="200"/>
      <c r="J1393" s="28"/>
      <c r="K1393" s="28"/>
      <c r="L1393" s="51"/>
    </row>
    <row r="1394" spans="2:12" s="33" customFormat="1" x14ac:dyDescent="0.35">
      <c r="B1394" s="158"/>
      <c r="C1394" s="188"/>
      <c r="D1394" s="167"/>
      <c r="E1394" s="171"/>
      <c r="F1394" s="60"/>
      <c r="G1394" s="60"/>
      <c r="H1394" s="199"/>
      <c r="I1394" s="66"/>
      <c r="J1394" s="28"/>
      <c r="K1394" s="28"/>
      <c r="L1394" s="51"/>
    </row>
    <row r="1395" spans="2:12" s="33" customFormat="1" x14ac:dyDescent="0.35">
      <c r="B1395" s="174"/>
      <c r="C1395" s="104"/>
      <c r="D1395" s="167"/>
      <c r="E1395" s="168"/>
      <c r="F1395" s="169"/>
      <c r="G1395" s="29"/>
      <c r="H1395" s="170"/>
      <c r="I1395" s="52"/>
      <c r="J1395" s="28"/>
      <c r="K1395" s="28"/>
      <c r="L1395" s="51"/>
    </row>
    <row r="1396" spans="2:12" x14ac:dyDescent="0.35">
      <c r="B1396" s="174"/>
      <c r="C1396" s="104"/>
      <c r="D1396" s="167"/>
      <c r="E1396" s="172"/>
      <c r="F1396" s="169"/>
      <c r="G1396" s="29"/>
      <c r="H1396" s="170"/>
      <c r="I1396" s="52"/>
      <c r="J1396" s="49"/>
      <c r="K1396" s="28"/>
      <c r="L1396" s="51"/>
    </row>
    <row r="1397" spans="2:12" x14ac:dyDescent="0.35">
      <c r="B1397" s="174"/>
      <c r="C1397" s="166"/>
      <c r="D1397" s="167"/>
      <c r="E1397" s="171"/>
      <c r="F1397" s="169"/>
      <c r="G1397" s="29"/>
      <c r="H1397" s="185"/>
      <c r="I1397" s="52"/>
      <c r="J1397" s="49"/>
      <c r="K1397" s="28"/>
      <c r="L1397" s="51"/>
    </row>
    <row r="1398" spans="2:12" x14ac:dyDescent="0.35">
      <c r="B1398" s="174"/>
      <c r="C1398" s="166"/>
      <c r="D1398" s="167"/>
      <c r="E1398" s="171"/>
      <c r="F1398" s="169"/>
      <c r="G1398" s="29"/>
      <c r="H1398" s="185"/>
      <c r="I1398" s="52"/>
      <c r="J1398" s="49"/>
      <c r="K1398" s="28"/>
      <c r="L1398" s="51"/>
    </row>
    <row r="1399" spans="2:12" x14ac:dyDescent="0.35">
      <c r="B1399" s="165"/>
      <c r="C1399" s="166"/>
      <c r="D1399" s="167"/>
      <c r="E1399" s="168"/>
      <c r="F1399" s="169"/>
      <c r="G1399" s="29"/>
      <c r="H1399" s="170"/>
      <c r="I1399" s="52"/>
      <c r="J1399" s="49"/>
      <c r="K1399" s="28"/>
      <c r="L1399" s="51"/>
    </row>
    <row r="1400" spans="2:12" x14ac:dyDescent="0.35">
      <c r="B1400" s="165"/>
      <c r="C1400" s="166"/>
      <c r="D1400" s="167"/>
      <c r="E1400" s="168"/>
      <c r="F1400" s="169"/>
      <c r="G1400" s="29"/>
      <c r="H1400" s="170"/>
      <c r="I1400" s="52"/>
      <c r="J1400" s="49"/>
      <c r="K1400" s="28"/>
      <c r="L1400" s="51"/>
    </row>
    <row r="1401" spans="2:12" x14ac:dyDescent="0.35">
      <c r="B1401" s="187"/>
      <c r="C1401" s="188"/>
      <c r="D1401" s="189"/>
      <c r="E1401" s="188"/>
      <c r="F1401" s="169"/>
      <c r="G1401" s="29"/>
      <c r="H1401" s="170"/>
      <c r="I1401" s="52"/>
      <c r="J1401" s="49"/>
      <c r="K1401" s="28"/>
      <c r="L1401" s="51"/>
    </row>
    <row r="1402" spans="2:12" x14ac:dyDescent="0.35">
      <c r="B1402" s="191"/>
      <c r="C1402" s="104"/>
      <c r="D1402" s="167"/>
      <c r="E1402" s="168"/>
      <c r="F1402" s="169"/>
      <c r="G1402" s="29"/>
      <c r="H1402" s="170"/>
      <c r="I1402" s="52"/>
      <c r="J1402" s="49"/>
      <c r="K1402" s="28"/>
      <c r="L1402" s="51"/>
    </row>
    <row r="1403" spans="2:12" x14ac:dyDescent="0.35">
      <c r="B1403" s="191"/>
      <c r="C1403" s="104"/>
      <c r="D1403" s="167"/>
      <c r="E1403" s="172"/>
      <c r="F1403" s="169"/>
      <c r="G1403" s="29"/>
      <c r="H1403" s="170"/>
      <c r="I1403" s="52"/>
      <c r="J1403" s="49"/>
      <c r="K1403" s="28"/>
      <c r="L1403" s="51"/>
    </row>
    <row r="1404" spans="2:12" x14ac:dyDescent="0.35">
      <c r="B1404" s="174"/>
      <c r="C1404" s="166"/>
      <c r="D1404" s="167"/>
      <c r="E1404" s="171"/>
      <c r="F1404" s="169"/>
      <c r="G1404" s="29"/>
      <c r="H1404" s="185"/>
      <c r="I1404" s="52"/>
      <c r="J1404" s="49"/>
      <c r="K1404" s="28"/>
      <c r="L1404" s="51"/>
    </row>
    <row r="1405" spans="2:12" x14ac:dyDescent="0.35">
      <c r="B1405" s="174"/>
      <c r="C1405" s="166"/>
      <c r="D1405" s="167"/>
      <c r="E1405" s="171"/>
      <c r="F1405" s="169"/>
      <c r="G1405" s="29"/>
      <c r="H1405" s="185"/>
      <c r="I1405" s="52"/>
      <c r="J1405" s="49"/>
      <c r="K1405" s="28"/>
      <c r="L1405" s="51"/>
    </row>
    <row r="1406" spans="2:12" x14ac:dyDescent="0.35">
      <c r="B1406" s="165"/>
      <c r="C1406" s="166"/>
      <c r="D1406" s="167"/>
      <c r="E1406" s="168"/>
      <c r="F1406" s="169"/>
      <c r="G1406" s="29"/>
      <c r="H1406" s="170"/>
      <c r="I1406" s="52"/>
      <c r="J1406" s="49"/>
      <c r="K1406" s="28"/>
      <c r="L1406" s="51"/>
    </row>
    <row r="1407" spans="2:12" x14ac:dyDescent="0.35">
      <c r="B1407" s="165"/>
      <c r="C1407" s="166"/>
      <c r="D1407" s="167"/>
      <c r="E1407" s="168"/>
      <c r="F1407" s="169"/>
      <c r="G1407" s="29"/>
      <c r="H1407" s="170"/>
      <c r="I1407" s="52"/>
      <c r="J1407" s="49"/>
      <c r="K1407" s="28"/>
      <c r="L1407" s="51"/>
    </row>
    <row r="1408" spans="2:12" x14ac:dyDescent="0.35">
      <c r="B1408" s="187"/>
      <c r="C1408" s="188"/>
      <c r="D1408" s="189"/>
      <c r="E1408" s="188"/>
      <c r="F1408" s="169"/>
      <c r="G1408" s="29"/>
      <c r="H1408" s="170"/>
      <c r="I1408" s="52"/>
      <c r="J1408" s="49"/>
      <c r="K1408" s="28"/>
      <c r="L1408" s="51"/>
    </row>
    <row r="1409" spans="2:13" x14ac:dyDescent="0.35">
      <c r="B1409" s="187"/>
      <c r="C1409" s="188"/>
      <c r="D1409" s="189"/>
      <c r="E1409" s="190"/>
      <c r="F1409" s="171"/>
      <c r="G1409" s="177"/>
      <c r="H1409" s="185"/>
      <c r="I1409" s="176"/>
      <c r="J1409" s="49"/>
      <c r="K1409" s="28"/>
      <c r="L1409" s="51"/>
    </row>
    <row r="1410" spans="2:13" x14ac:dyDescent="0.35">
      <c r="B1410" s="165"/>
      <c r="C1410" s="166"/>
      <c r="D1410" s="167"/>
      <c r="E1410" s="168"/>
      <c r="F1410" s="169"/>
      <c r="G1410" s="29"/>
      <c r="H1410" s="170"/>
      <c r="I1410" s="52"/>
      <c r="J1410" s="49"/>
      <c r="K1410" s="28"/>
      <c r="L1410" s="51"/>
    </row>
    <row r="1411" spans="2:13" x14ac:dyDescent="0.35">
      <c r="B1411" s="224"/>
      <c r="C1411" s="47"/>
      <c r="D1411" s="23"/>
      <c r="G1411" s="21"/>
      <c r="I1411" s="21"/>
      <c r="J1411" s="49"/>
      <c r="K1411" s="28"/>
      <c r="L1411" s="51"/>
      <c r="M1411" s="14"/>
    </row>
    <row r="1412" spans="2:13" x14ac:dyDescent="0.35">
      <c r="B1412" s="8"/>
      <c r="C1412" s="9"/>
      <c r="D1412" s="10"/>
      <c r="E1412" s="4"/>
      <c r="F1412" s="4"/>
      <c r="G1412" s="4"/>
      <c r="H1412" s="1"/>
      <c r="I1412" s="1"/>
      <c r="J1412" s="11" t="s">
        <v>8</v>
      </c>
      <c r="K1412" s="7">
        <f>SUM(K1360:K1411)</f>
        <v>0</v>
      </c>
      <c r="L1412" s="7">
        <f>SUM(L1360:L1411)</f>
        <v>0</v>
      </c>
    </row>
    <row r="1413" spans="2:13" x14ac:dyDescent="0.35">
      <c r="B1413" s="8"/>
      <c r="C1413" s="9"/>
      <c r="D1413" s="9"/>
      <c r="E1413" s="4"/>
      <c r="F1413" s="4"/>
      <c r="G1413" s="4"/>
      <c r="H1413" s="1"/>
      <c r="I1413" s="1"/>
      <c r="J1413" s="11" t="s">
        <v>807</v>
      </c>
      <c r="K1413" s="54">
        <f>SUM(K73,K140,K207,K274,K341,K408,K475,K542,K609,K676,K743,K810,K877,K944,K1011,K1078,K1145,K1212,K1279,K1346,K1412)</f>
        <v>0</v>
      </c>
      <c r="L1413" s="54">
        <f>SUM(L73,L140,L207,L274,L341,L408,L475,L542,L609,L676,L743,L810,L877,L944,L1011,L1078,L1145,L1212,L1279,L1346,L1412)</f>
        <v>0</v>
      </c>
      <c r="M1413" s="14">
        <f>K1413+L1413</f>
        <v>0</v>
      </c>
    </row>
    <row r="1414" spans="2:13" x14ac:dyDescent="0.35">
      <c r="B1414" s="8"/>
      <c r="C1414" s="9"/>
      <c r="D1414" s="9"/>
      <c r="E1414" s="4"/>
      <c r="F1414" s="4"/>
      <c r="G1414" s="4"/>
      <c r="H1414" s="1"/>
      <c r="I1414" s="1"/>
      <c r="J1414" s="11"/>
      <c r="K1414" s="34" t="s">
        <v>13</v>
      </c>
      <c r="L1414" s="35" t="s">
        <v>14</v>
      </c>
    </row>
    <row r="1415" spans="2:13" x14ac:dyDescent="0.35">
      <c r="B1415" s="3" t="s">
        <v>9</v>
      </c>
      <c r="C1415" s="4"/>
      <c r="D1415" s="4"/>
      <c r="E1415" s="4"/>
      <c r="F1415" s="4"/>
      <c r="G1415" s="4"/>
      <c r="H1415" s="1"/>
      <c r="I1415" s="1"/>
      <c r="J1415" s="12"/>
      <c r="K1415" s="12"/>
      <c r="L1415" s="13"/>
    </row>
    <row r="1416" spans="2:13" x14ac:dyDescent="0.35">
      <c r="B1416" s="36"/>
      <c r="C1416" s="1"/>
      <c r="D1416" s="1"/>
      <c r="E1416" s="37"/>
      <c r="F1416" s="37"/>
      <c r="G1416" s="37"/>
      <c r="H1416" s="1"/>
      <c r="I1416" s="1"/>
      <c r="J1416" s="1"/>
      <c r="K1416" s="1"/>
      <c r="L1416" s="18"/>
    </row>
    <row r="1417" spans="2:13" x14ac:dyDescent="0.35">
      <c r="B1417" s="27" t="s">
        <v>6</v>
      </c>
      <c r="C1417" s="26"/>
      <c r="D1417" s="26"/>
      <c r="E1417" s="25"/>
      <c r="F1417" s="25"/>
      <c r="G1417" s="5"/>
      <c r="K1417" s="232" t="s">
        <v>813</v>
      </c>
      <c r="L1417" s="233"/>
    </row>
    <row r="1418" spans="2:13" x14ac:dyDescent="0.35">
      <c r="B1418" s="27">
        <v>1</v>
      </c>
      <c r="C1418" s="26"/>
      <c r="D1418" s="26"/>
      <c r="E1418" s="25" t="s">
        <v>7</v>
      </c>
      <c r="F1418" s="25"/>
      <c r="G1418" s="5"/>
      <c r="K1418" s="232" t="s">
        <v>18</v>
      </c>
      <c r="L1418" s="233"/>
    </row>
    <row r="1419" spans="2:13" x14ac:dyDescent="0.35">
      <c r="B1419" s="38"/>
      <c r="C1419" s="26"/>
      <c r="D1419" s="26"/>
      <c r="E1419" s="25"/>
      <c r="F1419" s="25"/>
      <c r="G1419" s="5"/>
      <c r="J1419" s="24"/>
      <c r="K1419" s="24"/>
      <c r="L1419" s="23"/>
    </row>
    <row r="1420" spans="2:13" x14ac:dyDescent="0.35">
      <c r="B1420" s="27"/>
      <c r="C1420" s="26"/>
      <c r="D1420" s="26"/>
      <c r="E1420" s="25"/>
      <c r="F1420" s="25"/>
      <c r="G1420" s="5"/>
      <c r="L1420" s="21"/>
    </row>
    <row r="1421" spans="2:13" x14ac:dyDescent="0.35">
      <c r="B1421" s="44"/>
      <c r="E1421" s="5"/>
      <c r="F1421" s="5"/>
      <c r="G1421" s="5"/>
      <c r="L1421" s="21"/>
    </row>
    <row r="1422" spans="2:13" x14ac:dyDescent="0.35">
      <c r="B1422" s="44"/>
      <c r="E1422" s="5"/>
      <c r="F1422" s="5"/>
      <c r="G1422" s="5"/>
      <c r="L1422" s="21"/>
    </row>
    <row r="1423" spans="2:13" x14ac:dyDescent="0.35">
      <c r="B1423" s="44"/>
      <c r="E1423" s="5"/>
      <c r="F1423" s="5"/>
      <c r="G1423" s="5"/>
      <c r="L1423" s="21"/>
    </row>
    <row r="1424" spans="2:13" x14ac:dyDescent="0.35">
      <c r="B1424" s="44"/>
      <c r="E1424" s="5"/>
      <c r="F1424" s="5"/>
      <c r="G1424" s="5"/>
      <c r="J1424" s="39"/>
      <c r="K1424" s="234" t="s">
        <v>26</v>
      </c>
      <c r="L1424" s="235"/>
    </row>
    <row r="1425" spans="2:12" x14ac:dyDescent="0.35">
      <c r="B1425" s="44"/>
      <c r="K1425" s="236" t="s">
        <v>27</v>
      </c>
      <c r="L1425" s="237"/>
    </row>
    <row r="1426" spans="2:12" x14ac:dyDescent="0.35">
      <c r="B1426" s="238"/>
      <c r="C1426" s="239"/>
      <c r="D1426" s="239"/>
      <c r="E1426" s="40"/>
      <c r="F1426" s="40"/>
      <c r="G1426" s="40"/>
      <c r="H1426" s="2"/>
      <c r="I1426" s="2"/>
      <c r="J1426" s="2"/>
      <c r="K1426" s="2"/>
      <c r="L1426" s="20"/>
    </row>
  </sheetData>
  <mergeCells count="113">
    <mergeCell ref="F15:G15"/>
    <mergeCell ref="B18:D19"/>
    <mergeCell ref="E18:G19"/>
    <mergeCell ref="H18:I19"/>
    <mergeCell ref="J18:J19"/>
    <mergeCell ref="K18:K19"/>
    <mergeCell ref="B86:D86"/>
    <mergeCell ref="K144:L144"/>
    <mergeCell ref="K145:L145"/>
    <mergeCell ref="K151:L151"/>
    <mergeCell ref="K152:L152"/>
    <mergeCell ref="B153:D153"/>
    <mergeCell ref="L18:L19"/>
    <mergeCell ref="N21:O21"/>
    <mergeCell ref="K77:L77"/>
    <mergeCell ref="K78:L78"/>
    <mergeCell ref="K84:L84"/>
    <mergeCell ref="K85:L85"/>
    <mergeCell ref="K279:L279"/>
    <mergeCell ref="K285:L285"/>
    <mergeCell ref="K286:L286"/>
    <mergeCell ref="B287:D287"/>
    <mergeCell ref="K345:L345"/>
    <mergeCell ref="K346:L346"/>
    <mergeCell ref="K211:L211"/>
    <mergeCell ref="K212:L212"/>
    <mergeCell ref="K218:L218"/>
    <mergeCell ref="K219:L219"/>
    <mergeCell ref="B220:D220"/>
    <mergeCell ref="K278:L278"/>
    <mergeCell ref="K420:L420"/>
    <mergeCell ref="B421:D421"/>
    <mergeCell ref="K479:L479"/>
    <mergeCell ref="K480:L480"/>
    <mergeCell ref="K486:L486"/>
    <mergeCell ref="K487:L487"/>
    <mergeCell ref="K352:L352"/>
    <mergeCell ref="K353:L353"/>
    <mergeCell ref="B354:D354"/>
    <mergeCell ref="K412:L412"/>
    <mergeCell ref="K413:L413"/>
    <mergeCell ref="K419:L419"/>
    <mergeCell ref="K613:L613"/>
    <mergeCell ref="K614:L614"/>
    <mergeCell ref="K620:L620"/>
    <mergeCell ref="K621:L621"/>
    <mergeCell ref="B622:D622"/>
    <mergeCell ref="K680:L680"/>
    <mergeCell ref="B488:D488"/>
    <mergeCell ref="K546:L546"/>
    <mergeCell ref="K547:L547"/>
    <mergeCell ref="K553:L553"/>
    <mergeCell ref="K554:L554"/>
    <mergeCell ref="B555:D555"/>
    <mergeCell ref="K754:L754"/>
    <mergeCell ref="K755:L755"/>
    <mergeCell ref="B756:D756"/>
    <mergeCell ref="K814:L814"/>
    <mergeCell ref="K815:L815"/>
    <mergeCell ref="K821:L821"/>
    <mergeCell ref="K681:L681"/>
    <mergeCell ref="K687:L687"/>
    <mergeCell ref="K688:L688"/>
    <mergeCell ref="B689:D689"/>
    <mergeCell ref="K747:L747"/>
    <mergeCell ref="K748:L748"/>
    <mergeCell ref="B890:D890"/>
    <mergeCell ref="K948:L948"/>
    <mergeCell ref="K949:L949"/>
    <mergeCell ref="K955:L955"/>
    <mergeCell ref="K956:L956"/>
    <mergeCell ref="B957:D957"/>
    <mergeCell ref="K822:L822"/>
    <mergeCell ref="B823:D823"/>
    <mergeCell ref="K881:L881"/>
    <mergeCell ref="K882:L882"/>
    <mergeCell ref="K888:L888"/>
    <mergeCell ref="K889:L889"/>
    <mergeCell ref="K1083:L1083"/>
    <mergeCell ref="K1089:L1089"/>
    <mergeCell ref="K1090:L1090"/>
    <mergeCell ref="B1091:D1091"/>
    <mergeCell ref="K1149:L1149"/>
    <mergeCell ref="K1150:L1150"/>
    <mergeCell ref="K1015:L1015"/>
    <mergeCell ref="K1016:L1016"/>
    <mergeCell ref="K1022:L1022"/>
    <mergeCell ref="K1023:L1023"/>
    <mergeCell ref="B1024:D1024"/>
    <mergeCell ref="K1082:L1082"/>
    <mergeCell ref="K1224:L1224"/>
    <mergeCell ref="B1225:D1225"/>
    <mergeCell ref="K1283:L1283"/>
    <mergeCell ref="K1284:L1284"/>
    <mergeCell ref="K1290:L1290"/>
    <mergeCell ref="K1291:L1291"/>
    <mergeCell ref="K1156:L1156"/>
    <mergeCell ref="K1157:L1157"/>
    <mergeCell ref="B1158:D1158"/>
    <mergeCell ref="K1216:L1216"/>
    <mergeCell ref="K1217:L1217"/>
    <mergeCell ref="K1223:L1223"/>
    <mergeCell ref="K1417:L1417"/>
    <mergeCell ref="K1418:L1418"/>
    <mergeCell ref="K1424:L1424"/>
    <mergeCell ref="K1425:L1425"/>
    <mergeCell ref="B1426:D1426"/>
    <mergeCell ref="B1292:D1292"/>
    <mergeCell ref="K1350:L1350"/>
    <mergeCell ref="K1351:L1351"/>
    <mergeCell ref="K1357:L1357"/>
    <mergeCell ref="K1358:L1358"/>
    <mergeCell ref="B1359:D1359"/>
  </mergeCells>
  <conditionalFormatting sqref="E54:E55">
    <cfRule type="expression" dxfId="9" priority="9">
      <formula>AND((ISBLANK($B54)=FALSE),(ISBLANK($E54)=FALSE))</formula>
    </cfRule>
  </conditionalFormatting>
  <conditionalFormatting sqref="E61:E64">
    <cfRule type="expression" dxfId="8" priority="10">
      <formula>AND((ISBLANK($B61)=FALSE),(ISBLANK($E61)=FALSE))</formula>
    </cfRule>
  </conditionalFormatting>
  <conditionalFormatting sqref="E90:E92">
    <cfRule type="expression" dxfId="7" priority="8">
      <formula>AND((ISBLANK($B90)=FALSE),(ISBLANK($E90)=FALSE))</formula>
    </cfRule>
  </conditionalFormatting>
  <conditionalFormatting sqref="E99:E101">
    <cfRule type="expression" dxfId="6" priority="7">
      <formula>AND((ISBLANK($B99)=FALSE),(ISBLANK($E99)=FALSE))</formula>
    </cfRule>
  </conditionalFormatting>
  <conditionalFormatting sqref="E632">
    <cfRule type="expression" dxfId="5" priority="6">
      <formula>AND((ISBLANK($B632)=FALSE),(ISBLANK($E632)=FALSE))</formula>
    </cfRule>
  </conditionalFormatting>
  <conditionalFormatting sqref="E988">
    <cfRule type="expression" dxfId="4" priority="5">
      <formula>AND((ISBLANK($B988)=FALSE),(ISBLANK($E988)=FALSE))</formula>
    </cfRule>
  </conditionalFormatting>
  <conditionalFormatting sqref="E988:F988">
    <cfRule type="expression" dxfId="3" priority="1">
      <formula>AND((ISBLANK($B988)=FALSE),(ISBLANK($E988)=FALSE))</formula>
    </cfRule>
  </conditionalFormatting>
  <conditionalFormatting sqref="F988">
    <cfRule type="expression" dxfId="2" priority="2">
      <formula>AND(ISBLANK($B988),ISBLANK($C988),ISBLANK($D988),((ISBLANK($F988))=FALSE),ISBLANK($G988))</formula>
    </cfRule>
    <cfRule type="expression" dxfId="1" priority="3">
      <formula>AND(ISBLANK($B988),(ISBLANK($C988)=FALSE),ISBLANK($D988),((ISBLANK($F988))=FALSE))</formula>
    </cfRule>
  </conditionalFormatting>
  <conditionalFormatting sqref="G988">
    <cfRule type="expression" dxfId="0" priority="4">
      <formula>AND(ISBLANK($B988),ISBLANK($C988),ISBLANK($D988),ISBLANK($F988),ISBLANK($E988),ISBLANK($F988))</formula>
    </cfRule>
  </conditionalFormatting>
  <printOptions horizontalCentered="1"/>
  <pageMargins left="0.80870078740157503" right="0.39370078740157499" top="0.39370078740157499" bottom="0.39370078740157499" header="0.31496062992126" footer="0.31496062992126"/>
  <pageSetup scale="55" fitToHeight="0" orientation="portrait" r:id="rId1"/>
  <headerFooter>
    <oddFooter>&amp;LMKT-FM-002/Rev.01/18 Des 15/&amp;K00B050Green&amp;RPage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Rincian Biaya rev.01</vt:lpstr>
      <vt:lpstr>'Rincian Biaya rev.01'!Print_Area</vt:lpstr>
      <vt:lpstr>'Rincian Biaya rev.01'!Print_Titles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wimba prambada</dc:creator>
  <cp:lastModifiedBy>sigit hartono</cp:lastModifiedBy>
  <cp:lastPrinted>2025-03-03T02:32:04Z</cp:lastPrinted>
  <dcterms:created xsi:type="dcterms:W3CDTF">2015-07-30T04:54:41Z</dcterms:created>
  <dcterms:modified xsi:type="dcterms:W3CDTF">2025-12-23T07:50:49Z</dcterms:modified>
</cp:coreProperties>
</file>